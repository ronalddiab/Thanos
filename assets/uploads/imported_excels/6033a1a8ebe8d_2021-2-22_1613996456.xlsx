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761CE42-08BD-4FDE-A6B1-A668CD77B5CB}" xr6:coauthVersionLast="46" xr6:coauthVersionMax="46" xr10:uidLastSave="{00000000-0000-0000-0000-000000000000}"/>
  <bookViews>
    <workbookView xWindow="-120" yWindow="-120" windowWidth="20730" windowHeight="11160" tabRatio="848" activeTab="1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'22'!$A$1:$J$153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91029"/>
</workbook>
</file>

<file path=xl/calcChain.xml><?xml version="1.0" encoding="utf-8"?>
<calcChain xmlns="http://schemas.openxmlformats.org/spreadsheetml/2006/main">
  <c r="E29" i="49" l="1"/>
  <c r="BV30" i="49"/>
  <c r="BU30" i="49"/>
  <c r="BT30" i="49"/>
  <c r="BS30" i="49"/>
  <c r="BR30" i="49"/>
  <c r="BQ30" i="49"/>
  <c r="BP30" i="49"/>
  <c r="BO30" i="49"/>
  <c r="BN30" i="49"/>
  <c r="BM30" i="49"/>
  <c r="BL30" i="49"/>
  <c r="BK30" i="49"/>
  <c r="BJ30" i="49"/>
  <c r="BI30" i="49"/>
  <c r="BH30" i="49"/>
  <c r="BG30" i="49"/>
  <c r="BF30" i="49"/>
  <c r="BE30" i="49"/>
  <c r="BD30" i="49"/>
  <c r="BC30" i="49"/>
  <c r="BB30" i="49"/>
  <c r="BA30" i="49"/>
  <c r="AZ30" i="49"/>
  <c r="AY30" i="49"/>
  <c r="AX30" i="49"/>
  <c r="AW30" i="49"/>
  <c r="AV30" i="49"/>
  <c r="AU30" i="49"/>
  <c r="AT30" i="49"/>
  <c r="AS30" i="49"/>
  <c r="AR30" i="49"/>
  <c r="AQ30" i="49"/>
  <c r="AP30" i="49"/>
  <c r="AO30" i="49"/>
  <c r="AN30" i="49"/>
  <c r="AM30" i="49"/>
  <c r="AL30" i="49"/>
  <c r="AK30" i="49"/>
  <c r="AJ30" i="49"/>
  <c r="AI30" i="49"/>
  <c r="AH30" i="49"/>
  <c r="AG30" i="49"/>
  <c r="AF30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BV29" i="49"/>
  <c r="BU29" i="49"/>
  <c r="BT29" i="49"/>
  <c r="BS29" i="49"/>
  <c r="BR29" i="49"/>
  <c r="BQ29" i="49"/>
  <c r="BP29" i="49"/>
  <c r="BO29" i="49"/>
  <c r="BN29" i="49"/>
  <c r="BM29" i="49"/>
  <c r="BL29" i="49"/>
  <c r="BK29" i="49"/>
  <c r="BJ29" i="49"/>
  <c r="BI29" i="49"/>
  <c r="BH29" i="49"/>
  <c r="BG29" i="49"/>
  <c r="BF29" i="49"/>
  <c r="BE29" i="49"/>
  <c r="BD29" i="49"/>
  <c r="BC29" i="49"/>
  <c r="BB29" i="49"/>
  <c r="BA29" i="49"/>
  <c r="AZ29" i="49"/>
  <c r="AY29" i="49"/>
  <c r="AX29" i="49"/>
  <c r="AW29" i="49"/>
  <c r="AV29" i="49"/>
  <c r="AU29" i="49"/>
  <c r="AT29" i="49"/>
  <c r="AS29" i="49"/>
  <c r="AR29" i="49"/>
  <c r="AQ29" i="49"/>
  <c r="AP29" i="49"/>
  <c r="AO29" i="49"/>
  <c r="AN29" i="49"/>
  <c r="AM29" i="49"/>
  <c r="AL29" i="49"/>
  <c r="AK29" i="49"/>
  <c r="AJ29" i="49"/>
  <c r="AI29" i="49"/>
  <c r="AH29" i="49"/>
  <c r="AG29" i="49"/>
  <c r="AF29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BV28" i="49"/>
  <c r="BU28" i="49"/>
  <c r="BT28" i="49"/>
  <c r="BS28" i="49"/>
  <c r="BR28" i="49"/>
  <c r="BQ28" i="49"/>
  <c r="BP28" i="49"/>
  <c r="BO28" i="49"/>
  <c r="BN28" i="49"/>
  <c r="BM28" i="49"/>
  <c r="BL28" i="49"/>
  <c r="BK28" i="49"/>
  <c r="BJ28" i="49"/>
  <c r="BI28" i="49"/>
  <c r="BH28" i="49"/>
  <c r="BG28" i="49"/>
  <c r="BF28" i="49"/>
  <c r="BE28" i="49"/>
  <c r="BD28" i="49"/>
  <c r="BC28" i="49"/>
  <c r="BB28" i="49"/>
  <c r="BA28" i="49"/>
  <c r="AZ28" i="49"/>
  <c r="AY28" i="49"/>
  <c r="AX28" i="49"/>
  <c r="AW28" i="49"/>
  <c r="AV28" i="49"/>
  <c r="AU28" i="49"/>
  <c r="AT28" i="49"/>
  <c r="AS28" i="49"/>
  <c r="AR28" i="49"/>
  <c r="AQ28" i="49"/>
  <c r="AP28" i="49"/>
  <c r="AO28" i="49"/>
  <c r="AN28" i="49"/>
  <c r="AM28" i="49"/>
  <c r="AL28" i="49"/>
  <c r="AK28" i="49"/>
  <c r="AJ28" i="49"/>
  <c r="AI28" i="49"/>
  <c r="AH28" i="49"/>
  <c r="AG28" i="49"/>
  <c r="AF28" i="49"/>
  <c r="AE28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BV27" i="49"/>
  <c r="BU27" i="49"/>
  <c r="BT27" i="49"/>
  <c r="BS27" i="49"/>
  <c r="BR27" i="49"/>
  <c r="BQ27" i="49"/>
  <c r="BP27" i="49"/>
  <c r="BO27" i="49"/>
  <c r="BN27" i="49"/>
  <c r="BM27" i="49"/>
  <c r="BL27" i="49"/>
  <c r="BK27" i="49"/>
  <c r="BJ27" i="49"/>
  <c r="BI27" i="49"/>
  <c r="BH27" i="49"/>
  <c r="BG27" i="49"/>
  <c r="BF27" i="49"/>
  <c r="BE27" i="49"/>
  <c r="BD27" i="49"/>
  <c r="BC27" i="49"/>
  <c r="BB27" i="49"/>
  <c r="BA27" i="49"/>
  <c r="AZ27" i="49"/>
  <c r="AY27" i="49"/>
  <c r="AX27" i="49"/>
  <c r="AW27" i="49"/>
  <c r="AV27" i="49"/>
  <c r="AU27" i="49"/>
  <c r="AT27" i="49"/>
  <c r="AS27" i="49"/>
  <c r="AR27" i="49"/>
  <c r="AQ27" i="49"/>
  <c r="AP27" i="49"/>
  <c r="AO27" i="49"/>
  <c r="AN27" i="49"/>
  <c r="AM27" i="49"/>
  <c r="AL27" i="49"/>
  <c r="AK27" i="49"/>
  <c r="AJ27" i="49"/>
  <c r="AI27" i="49"/>
  <c r="AH27" i="49"/>
  <c r="AG27" i="49"/>
  <c r="AF27" i="49"/>
  <c r="AE27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BV26" i="49"/>
  <c r="BU26" i="49"/>
  <c r="BT26" i="49"/>
  <c r="BS26" i="49"/>
  <c r="BR26" i="49"/>
  <c r="BQ26" i="49"/>
  <c r="BP26" i="49"/>
  <c r="BO26" i="49"/>
  <c r="BN26" i="49"/>
  <c r="BM26" i="49"/>
  <c r="BL26" i="49"/>
  <c r="BK26" i="49"/>
  <c r="BJ26" i="49"/>
  <c r="BI26" i="49"/>
  <c r="BH26" i="49"/>
  <c r="BG26" i="49"/>
  <c r="BF26" i="49"/>
  <c r="BE26" i="49"/>
  <c r="BD26" i="49"/>
  <c r="BC26" i="49"/>
  <c r="BB26" i="49"/>
  <c r="BA26" i="49"/>
  <c r="AZ26" i="49"/>
  <c r="AY26" i="49"/>
  <c r="AX26" i="49"/>
  <c r="AW26" i="49"/>
  <c r="AV26" i="49"/>
  <c r="AU26" i="49"/>
  <c r="AT26" i="49"/>
  <c r="AS26" i="49"/>
  <c r="AR26" i="49"/>
  <c r="AQ26" i="49"/>
  <c r="AP26" i="49"/>
  <c r="AO26" i="49"/>
  <c r="AN26" i="49"/>
  <c r="AM26" i="49"/>
  <c r="AL26" i="49"/>
  <c r="AK26" i="49"/>
  <c r="AJ26" i="49"/>
  <c r="AI26" i="49"/>
  <c r="AH26" i="49"/>
  <c r="AG26" i="49"/>
  <c r="AF26" i="49"/>
  <c r="AE26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BV25" i="49"/>
  <c r="BU25" i="49"/>
  <c r="BT25" i="49"/>
  <c r="BS25" i="49"/>
  <c r="BR25" i="49"/>
  <c r="BQ25" i="49"/>
  <c r="BP25" i="49"/>
  <c r="BO25" i="49"/>
  <c r="BN25" i="49"/>
  <c r="BM25" i="49"/>
  <c r="BL25" i="49"/>
  <c r="BK25" i="49"/>
  <c r="BJ25" i="49"/>
  <c r="BI25" i="49"/>
  <c r="BH25" i="49"/>
  <c r="BG25" i="49"/>
  <c r="BF25" i="49"/>
  <c r="BE25" i="49"/>
  <c r="BD25" i="49"/>
  <c r="BC25" i="49"/>
  <c r="BB25" i="49"/>
  <c r="BA25" i="49"/>
  <c r="AZ25" i="49"/>
  <c r="AY25" i="49"/>
  <c r="AX25" i="49"/>
  <c r="AW25" i="49"/>
  <c r="AV25" i="49"/>
  <c r="AU25" i="49"/>
  <c r="AT25" i="49"/>
  <c r="AS25" i="49"/>
  <c r="AR25" i="49"/>
  <c r="AQ25" i="49"/>
  <c r="AP25" i="49"/>
  <c r="AO25" i="49"/>
  <c r="AN25" i="49"/>
  <c r="AM25" i="49"/>
  <c r="AL25" i="49"/>
  <c r="AK25" i="49"/>
  <c r="AJ25" i="49"/>
  <c r="AI25" i="49"/>
  <c r="AH25" i="49"/>
  <c r="AG25" i="49"/>
  <c r="AF25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BV24" i="49"/>
  <c r="BU24" i="49"/>
  <c r="BT24" i="49"/>
  <c r="BS24" i="49"/>
  <c r="BR24" i="49"/>
  <c r="BQ24" i="49"/>
  <c r="BP24" i="49"/>
  <c r="BO24" i="49"/>
  <c r="BN24" i="49"/>
  <c r="BM24" i="49"/>
  <c r="BL24" i="49"/>
  <c r="BK24" i="49"/>
  <c r="BJ24" i="49"/>
  <c r="BI24" i="49"/>
  <c r="BH24" i="49"/>
  <c r="BG24" i="49"/>
  <c r="BF24" i="49"/>
  <c r="BE24" i="49"/>
  <c r="BD24" i="49"/>
  <c r="BC24" i="49"/>
  <c r="BB24" i="49"/>
  <c r="BA24" i="49"/>
  <c r="AZ24" i="49"/>
  <c r="AY24" i="49"/>
  <c r="AX24" i="49"/>
  <c r="AW24" i="49"/>
  <c r="AV24" i="49"/>
  <c r="AU24" i="49"/>
  <c r="AT24" i="49"/>
  <c r="AS24" i="49"/>
  <c r="AR24" i="49"/>
  <c r="AQ24" i="49"/>
  <c r="AP24" i="49"/>
  <c r="AO24" i="49"/>
  <c r="AN24" i="49"/>
  <c r="AM24" i="49"/>
  <c r="AL24" i="49"/>
  <c r="AK24" i="49"/>
  <c r="AJ24" i="49"/>
  <c r="AI24" i="49"/>
  <c r="AH24" i="49"/>
  <c r="AG24" i="49"/>
  <c r="AF24" i="49"/>
  <c r="AE24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BV23" i="49"/>
  <c r="BU23" i="49"/>
  <c r="BT23" i="49"/>
  <c r="BS23" i="49"/>
  <c r="BR23" i="49"/>
  <c r="BQ23" i="49"/>
  <c r="BP23" i="49"/>
  <c r="BO23" i="49"/>
  <c r="BN23" i="49"/>
  <c r="BM23" i="49"/>
  <c r="BL23" i="49"/>
  <c r="BK23" i="49"/>
  <c r="BJ23" i="49"/>
  <c r="BI23" i="49"/>
  <c r="BH23" i="49"/>
  <c r="BG23" i="49"/>
  <c r="BF23" i="49"/>
  <c r="BE23" i="49"/>
  <c r="BD23" i="49"/>
  <c r="BC23" i="49"/>
  <c r="BB23" i="49"/>
  <c r="BA23" i="49"/>
  <c r="AZ23" i="49"/>
  <c r="AY23" i="49"/>
  <c r="AX23" i="49"/>
  <c r="AW23" i="49"/>
  <c r="AV23" i="49"/>
  <c r="AU23" i="49"/>
  <c r="AT23" i="49"/>
  <c r="AS23" i="49"/>
  <c r="AR23" i="49"/>
  <c r="AQ23" i="49"/>
  <c r="AP23" i="49"/>
  <c r="AO23" i="49"/>
  <c r="AN23" i="49"/>
  <c r="AM23" i="49"/>
  <c r="AL23" i="49"/>
  <c r="AK23" i="49"/>
  <c r="AJ23" i="49"/>
  <c r="AI23" i="49"/>
  <c r="AH23" i="49"/>
  <c r="AG23" i="49"/>
  <c r="AF23" i="49"/>
  <c r="AE23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BV22" i="49"/>
  <c r="BU22" i="49"/>
  <c r="BT22" i="49"/>
  <c r="BS22" i="49"/>
  <c r="BR22" i="49"/>
  <c r="BQ22" i="49"/>
  <c r="BP22" i="49"/>
  <c r="BO22" i="49"/>
  <c r="BN22" i="49"/>
  <c r="BM22" i="49"/>
  <c r="BL22" i="49"/>
  <c r="BK22" i="49"/>
  <c r="BJ22" i="49"/>
  <c r="BI22" i="49"/>
  <c r="BH22" i="49"/>
  <c r="BG22" i="49"/>
  <c r="BF22" i="49"/>
  <c r="BE22" i="49"/>
  <c r="BD22" i="49"/>
  <c r="BC22" i="49"/>
  <c r="BB22" i="49"/>
  <c r="BA22" i="49"/>
  <c r="AZ22" i="49"/>
  <c r="AY22" i="49"/>
  <c r="AX22" i="49"/>
  <c r="AW22" i="49"/>
  <c r="AV22" i="49"/>
  <c r="AU22" i="49"/>
  <c r="AT22" i="49"/>
  <c r="AS22" i="49"/>
  <c r="AR22" i="49"/>
  <c r="AQ22" i="49"/>
  <c r="AP22" i="49"/>
  <c r="AO22" i="49"/>
  <c r="AN22" i="49"/>
  <c r="AM22" i="49"/>
  <c r="AL22" i="49"/>
  <c r="AK22" i="49"/>
  <c r="AJ22" i="49"/>
  <c r="AI22" i="49"/>
  <c r="AH22" i="49"/>
  <c r="AG22" i="49"/>
  <c r="AF22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BV21" i="49"/>
  <c r="BU21" i="49"/>
  <c r="BT21" i="49"/>
  <c r="BS21" i="49"/>
  <c r="BR21" i="49"/>
  <c r="BQ21" i="49"/>
  <c r="BP21" i="49"/>
  <c r="BO21" i="49"/>
  <c r="BN21" i="49"/>
  <c r="BM21" i="49"/>
  <c r="BL21" i="49"/>
  <c r="BK21" i="49"/>
  <c r="BJ21" i="49"/>
  <c r="BI21" i="49"/>
  <c r="BH21" i="49"/>
  <c r="BG21" i="49"/>
  <c r="BF21" i="49"/>
  <c r="BE21" i="49"/>
  <c r="BD21" i="49"/>
  <c r="BC21" i="49"/>
  <c r="BB21" i="49"/>
  <c r="BA21" i="49"/>
  <c r="AZ21" i="49"/>
  <c r="AY21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AL21" i="49"/>
  <c r="AK21" i="49"/>
  <c r="AJ21" i="49"/>
  <c r="AI21" i="49"/>
  <c r="AH21" i="49"/>
  <c r="AG21" i="49"/>
  <c r="AF21" i="49"/>
  <c r="AE21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BV20" i="49"/>
  <c r="BU20" i="49"/>
  <c r="BT20" i="49"/>
  <c r="BS20" i="49"/>
  <c r="BR20" i="49"/>
  <c r="BQ20" i="49"/>
  <c r="BP20" i="49"/>
  <c r="BO20" i="49"/>
  <c r="BN20" i="49"/>
  <c r="BM20" i="49"/>
  <c r="BL20" i="49"/>
  <c r="BK20" i="49"/>
  <c r="BJ20" i="49"/>
  <c r="BI20" i="49"/>
  <c r="BH20" i="49"/>
  <c r="BG20" i="49"/>
  <c r="BF20" i="49"/>
  <c r="BE20" i="49"/>
  <c r="BD20" i="49"/>
  <c r="BC20" i="49"/>
  <c r="BB20" i="49"/>
  <c r="BA20" i="49"/>
  <c r="AZ20" i="49"/>
  <c r="AY20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AL20" i="49"/>
  <c r="AK20" i="49"/>
  <c r="AJ20" i="49"/>
  <c r="AI20" i="49"/>
  <c r="AH20" i="49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BV19" i="49"/>
  <c r="BU19" i="49"/>
  <c r="BT19" i="49"/>
  <c r="BS19" i="49"/>
  <c r="BR19" i="49"/>
  <c r="BQ19" i="49"/>
  <c r="BP19" i="49"/>
  <c r="BO19" i="49"/>
  <c r="BN19" i="49"/>
  <c r="BM19" i="49"/>
  <c r="BL19" i="49"/>
  <c r="BK19" i="49"/>
  <c r="BJ19" i="49"/>
  <c r="BI19" i="49"/>
  <c r="BH19" i="49"/>
  <c r="BG19" i="49"/>
  <c r="BF19" i="49"/>
  <c r="BE19" i="49"/>
  <c r="BD19" i="49"/>
  <c r="BC19" i="49"/>
  <c r="BB19" i="49"/>
  <c r="BA19" i="49"/>
  <c r="AZ19" i="49"/>
  <c r="AY19" i="49"/>
  <c r="AX19" i="49"/>
  <c r="AW19" i="49"/>
  <c r="AV19" i="49"/>
  <c r="AU19" i="49"/>
  <c r="AT19" i="49"/>
  <c r="AS19" i="49"/>
  <c r="AR19" i="49"/>
  <c r="AQ19" i="49"/>
  <c r="AP19" i="49"/>
  <c r="AO19" i="49"/>
  <c r="AN19" i="49"/>
  <c r="AM19" i="49"/>
  <c r="AL19" i="49"/>
  <c r="AK19" i="49"/>
  <c r="AJ19" i="49"/>
  <c r="AI19" i="49"/>
  <c r="AH19" i="49"/>
  <c r="AG19" i="49"/>
  <c r="AF19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BV18" i="49"/>
  <c r="BU18" i="49"/>
  <c r="BT18" i="49"/>
  <c r="BS18" i="49"/>
  <c r="BR18" i="49"/>
  <c r="BQ18" i="49"/>
  <c r="BP18" i="49"/>
  <c r="BO18" i="49"/>
  <c r="BN18" i="49"/>
  <c r="BM18" i="49"/>
  <c r="BL18" i="49"/>
  <c r="BK18" i="49"/>
  <c r="BJ18" i="49"/>
  <c r="BI18" i="49"/>
  <c r="BH18" i="49"/>
  <c r="BG18" i="49"/>
  <c r="BF18" i="49"/>
  <c r="BE18" i="49"/>
  <c r="BD18" i="49"/>
  <c r="BC18" i="49"/>
  <c r="BB18" i="49"/>
  <c r="BA18" i="49"/>
  <c r="AZ18" i="49"/>
  <c r="AY18" i="49"/>
  <c r="AX18" i="49"/>
  <c r="AW18" i="49"/>
  <c r="AV18" i="49"/>
  <c r="AU18" i="49"/>
  <c r="AT18" i="49"/>
  <c r="AS18" i="49"/>
  <c r="AR18" i="49"/>
  <c r="AQ18" i="49"/>
  <c r="AP18" i="49"/>
  <c r="AO18" i="49"/>
  <c r="AN18" i="49"/>
  <c r="AM18" i="49"/>
  <c r="AL18" i="49"/>
  <c r="AK18" i="49"/>
  <c r="AJ18" i="49"/>
  <c r="AI18" i="49"/>
  <c r="AH18" i="49"/>
  <c r="AG18" i="49"/>
  <c r="AF18" i="49"/>
  <c r="AE18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BV17" i="49"/>
  <c r="BU17" i="49"/>
  <c r="BT17" i="49"/>
  <c r="BS17" i="49"/>
  <c r="BR17" i="49"/>
  <c r="BQ17" i="49"/>
  <c r="BP17" i="49"/>
  <c r="BO17" i="49"/>
  <c r="BN17" i="49"/>
  <c r="BM17" i="49"/>
  <c r="BL17" i="49"/>
  <c r="BK17" i="49"/>
  <c r="BJ17" i="49"/>
  <c r="BI17" i="49"/>
  <c r="BH17" i="49"/>
  <c r="BG17" i="49"/>
  <c r="BF17" i="49"/>
  <c r="BE17" i="49"/>
  <c r="BD17" i="49"/>
  <c r="BC17" i="49"/>
  <c r="BB17" i="49"/>
  <c r="BA17" i="49"/>
  <c r="AZ17" i="49"/>
  <c r="AY17" i="49"/>
  <c r="AX17" i="49"/>
  <c r="AW17" i="49"/>
  <c r="AV17" i="49"/>
  <c r="AU17" i="49"/>
  <c r="AT17" i="49"/>
  <c r="AS17" i="49"/>
  <c r="AR17" i="49"/>
  <c r="AQ17" i="49"/>
  <c r="AP17" i="49"/>
  <c r="AO17" i="49"/>
  <c r="AN17" i="49"/>
  <c r="AM17" i="49"/>
  <c r="AL17" i="49"/>
  <c r="AK17" i="49"/>
  <c r="AJ17" i="49"/>
  <c r="AI17" i="49"/>
  <c r="AH17" i="49"/>
  <c r="AG17" i="49"/>
  <c r="AF17" i="49"/>
  <c r="AE17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BV16" i="49"/>
  <c r="BU16" i="49"/>
  <c r="BT16" i="49"/>
  <c r="BS16" i="49"/>
  <c r="BR16" i="49"/>
  <c r="BQ16" i="49"/>
  <c r="BP16" i="49"/>
  <c r="BO16" i="49"/>
  <c r="BN16" i="49"/>
  <c r="BM16" i="49"/>
  <c r="BL16" i="49"/>
  <c r="BK16" i="49"/>
  <c r="BJ16" i="49"/>
  <c r="BI16" i="49"/>
  <c r="BH16" i="49"/>
  <c r="BG16" i="49"/>
  <c r="BF16" i="49"/>
  <c r="BE16" i="49"/>
  <c r="BD16" i="49"/>
  <c r="BC16" i="49"/>
  <c r="BB16" i="49"/>
  <c r="BA16" i="49"/>
  <c r="AZ16" i="49"/>
  <c r="AY16" i="49"/>
  <c r="AX16" i="49"/>
  <c r="AW16" i="49"/>
  <c r="AV16" i="49"/>
  <c r="AU16" i="49"/>
  <c r="AT16" i="49"/>
  <c r="AS16" i="49"/>
  <c r="AR16" i="49"/>
  <c r="AQ16" i="49"/>
  <c r="AP16" i="49"/>
  <c r="AO16" i="49"/>
  <c r="AN16" i="49"/>
  <c r="AM16" i="49"/>
  <c r="AL16" i="49"/>
  <c r="AK16" i="49"/>
  <c r="AJ16" i="49"/>
  <c r="AI16" i="49"/>
  <c r="AH16" i="49"/>
  <c r="AG16" i="49"/>
  <c r="AF16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BV15" i="49"/>
  <c r="BU15" i="49"/>
  <c r="BT15" i="49"/>
  <c r="BS15" i="49"/>
  <c r="BR15" i="49"/>
  <c r="BQ15" i="49"/>
  <c r="BP15" i="49"/>
  <c r="BO15" i="49"/>
  <c r="BN15" i="49"/>
  <c r="BM15" i="49"/>
  <c r="BL15" i="49"/>
  <c r="BK15" i="49"/>
  <c r="BJ15" i="49"/>
  <c r="BI15" i="49"/>
  <c r="BH15" i="49"/>
  <c r="BG15" i="49"/>
  <c r="BF15" i="49"/>
  <c r="BE15" i="49"/>
  <c r="BD15" i="49"/>
  <c r="BC15" i="49"/>
  <c r="BB15" i="49"/>
  <c r="BA15" i="49"/>
  <c r="AZ15" i="49"/>
  <c r="AY15" i="49"/>
  <c r="AX15" i="49"/>
  <c r="AW15" i="49"/>
  <c r="AV15" i="49"/>
  <c r="AU15" i="49"/>
  <c r="AT15" i="49"/>
  <c r="AS15" i="49"/>
  <c r="AR15" i="49"/>
  <c r="AQ15" i="49"/>
  <c r="AP15" i="49"/>
  <c r="AO15" i="49"/>
  <c r="AN15" i="49"/>
  <c r="AM15" i="49"/>
  <c r="AL15" i="49"/>
  <c r="AK15" i="49"/>
  <c r="AJ15" i="49"/>
  <c r="AI15" i="49"/>
  <c r="AH15" i="49"/>
  <c r="AG15" i="49"/>
  <c r="AF15" i="49"/>
  <c r="AE15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BV14" i="49"/>
  <c r="BU14" i="49"/>
  <c r="BT14" i="49"/>
  <c r="BS14" i="49"/>
  <c r="BR14" i="49"/>
  <c r="BQ14" i="49"/>
  <c r="BP14" i="49"/>
  <c r="BO14" i="49"/>
  <c r="BN14" i="49"/>
  <c r="BM14" i="49"/>
  <c r="BL14" i="49"/>
  <c r="BK14" i="49"/>
  <c r="BJ14" i="49"/>
  <c r="BI14" i="49"/>
  <c r="BH14" i="49"/>
  <c r="BG14" i="49"/>
  <c r="BF14" i="49"/>
  <c r="BE14" i="49"/>
  <c r="BD14" i="49"/>
  <c r="BC14" i="49"/>
  <c r="BB14" i="49"/>
  <c r="BA14" i="49"/>
  <c r="AZ14" i="49"/>
  <c r="AY14" i="49"/>
  <c r="AX14" i="49"/>
  <c r="AW14" i="49"/>
  <c r="AV14" i="49"/>
  <c r="AU14" i="49"/>
  <c r="AT14" i="49"/>
  <c r="AS14" i="49"/>
  <c r="AR14" i="49"/>
  <c r="AQ14" i="49"/>
  <c r="AP14" i="49"/>
  <c r="AO14" i="49"/>
  <c r="AN14" i="49"/>
  <c r="AM14" i="49"/>
  <c r="AL14" i="49"/>
  <c r="AK14" i="49"/>
  <c r="AJ14" i="49"/>
  <c r="AI14" i="49"/>
  <c r="AH14" i="49"/>
  <c r="AG14" i="49"/>
  <c r="AF14" i="49"/>
  <c r="AE14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BV13" i="49"/>
  <c r="BU13" i="49"/>
  <c r="BT13" i="49"/>
  <c r="BS13" i="49"/>
  <c r="BR13" i="49"/>
  <c r="BQ13" i="49"/>
  <c r="BP13" i="49"/>
  <c r="BO13" i="49"/>
  <c r="BN13" i="49"/>
  <c r="BM13" i="49"/>
  <c r="BL13" i="49"/>
  <c r="BK13" i="49"/>
  <c r="BJ13" i="49"/>
  <c r="BI13" i="49"/>
  <c r="BH13" i="49"/>
  <c r="BG13" i="49"/>
  <c r="BF13" i="49"/>
  <c r="BE13" i="49"/>
  <c r="BD13" i="49"/>
  <c r="BC13" i="49"/>
  <c r="BB13" i="49"/>
  <c r="BA13" i="49"/>
  <c r="AZ13" i="49"/>
  <c r="AY13" i="49"/>
  <c r="AX13" i="49"/>
  <c r="AW13" i="49"/>
  <c r="AV13" i="49"/>
  <c r="AU13" i="49"/>
  <c r="AT13" i="49"/>
  <c r="AS13" i="49"/>
  <c r="AR13" i="49"/>
  <c r="AQ13" i="49"/>
  <c r="AP13" i="49"/>
  <c r="AO13" i="49"/>
  <c r="AN13" i="49"/>
  <c r="AM13" i="49"/>
  <c r="AL13" i="49"/>
  <c r="AK13" i="49"/>
  <c r="AJ13" i="49"/>
  <c r="AI13" i="49"/>
  <c r="AH13" i="49"/>
  <c r="AG13" i="49"/>
  <c r="AF13" i="49"/>
  <c r="AE13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BV12" i="49"/>
  <c r="BU12" i="49"/>
  <c r="BT12" i="49"/>
  <c r="BS12" i="49"/>
  <c r="BR12" i="49"/>
  <c r="BQ12" i="49"/>
  <c r="BP12" i="49"/>
  <c r="BO12" i="49"/>
  <c r="BN12" i="49"/>
  <c r="BM12" i="49"/>
  <c r="BL12" i="49"/>
  <c r="BK12" i="49"/>
  <c r="BJ12" i="49"/>
  <c r="BI12" i="49"/>
  <c r="BH12" i="49"/>
  <c r="BG12" i="49"/>
  <c r="BF12" i="49"/>
  <c r="BE12" i="49"/>
  <c r="BD12" i="49"/>
  <c r="BC12" i="49"/>
  <c r="BB12" i="49"/>
  <c r="BA12" i="49"/>
  <c r="AZ12" i="49"/>
  <c r="AY12" i="49"/>
  <c r="AX12" i="49"/>
  <c r="AW12" i="49"/>
  <c r="AV12" i="49"/>
  <c r="AU12" i="49"/>
  <c r="AT12" i="49"/>
  <c r="AS12" i="49"/>
  <c r="AR12" i="49"/>
  <c r="AQ12" i="49"/>
  <c r="AP12" i="49"/>
  <c r="AO12" i="49"/>
  <c r="AN12" i="49"/>
  <c r="AM12" i="49"/>
  <c r="AL12" i="49"/>
  <c r="AK12" i="49"/>
  <c r="AJ12" i="49"/>
  <c r="AI12" i="49"/>
  <c r="AH12" i="49"/>
  <c r="AG12" i="49"/>
  <c r="AF12" i="49"/>
  <c r="AE12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BV11" i="49"/>
  <c r="BU11" i="49"/>
  <c r="BT11" i="49"/>
  <c r="BS11" i="49"/>
  <c r="BR11" i="49"/>
  <c r="BQ11" i="49"/>
  <c r="BP11" i="49"/>
  <c r="BO11" i="49"/>
  <c r="BN11" i="49"/>
  <c r="BM11" i="49"/>
  <c r="BL11" i="49"/>
  <c r="BK11" i="49"/>
  <c r="BJ11" i="49"/>
  <c r="BI11" i="49"/>
  <c r="BH11" i="49"/>
  <c r="BG11" i="49"/>
  <c r="BF11" i="49"/>
  <c r="BE11" i="49"/>
  <c r="BD11" i="49"/>
  <c r="BC11" i="49"/>
  <c r="BB11" i="49"/>
  <c r="BA11" i="49"/>
  <c r="AZ11" i="49"/>
  <c r="AY11" i="49"/>
  <c r="AX11" i="49"/>
  <c r="AW11" i="49"/>
  <c r="AV11" i="49"/>
  <c r="AU11" i="49"/>
  <c r="AT11" i="49"/>
  <c r="AS11" i="49"/>
  <c r="AR11" i="49"/>
  <c r="AQ11" i="49"/>
  <c r="AP11" i="49"/>
  <c r="AO11" i="49"/>
  <c r="AN11" i="49"/>
  <c r="AM11" i="49"/>
  <c r="AL11" i="49"/>
  <c r="AK11" i="49"/>
  <c r="AJ11" i="49"/>
  <c r="AI11" i="49"/>
  <c r="AH11" i="49"/>
  <c r="AG11" i="49"/>
  <c r="AF11" i="49"/>
  <c r="AE11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BV10" i="49"/>
  <c r="BU10" i="49"/>
  <c r="BT10" i="49"/>
  <c r="BS10" i="49"/>
  <c r="BR10" i="49"/>
  <c r="BQ10" i="49"/>
  <c r="BP10" i="49"/>
  <c r="BO10" i="49"/>
  <c r="BN10" i="49"/>
  <c r="BM10" i="49"/>
  <c r="BL10" i="49"/>
  <c r="BK10" i="49"/>
  <c r="BJ10" i="49"/>
  <c r="BI10" i="49"/>
  <c r="BH10" i="49"/>
  <c r="BG10" i="49"/>
  <c r="BF10" i="49"/>
  <c r="BE10" i="49"/>
  <c r="BD10" i="49"/>
  <c r="BC10" i="49"/>
  <c r="BB10" i="49"/>
  <c r="BA10" i="49"/>
  <c r="AZ10" i="49"/>
  <c r="AY10" i="49"/>
  <c r="AX10" i="49"/>
  <c r="AW10" i="49"/>
  <c r="AV10" i="49"/>
  <c r="AU10" i="49"/>
  <c r="AT10" i="49"/>
  <c r="AS10" i="49"/>
  <c r="AR10" i="49"/>
  <c r="AQ10" i="49"/>
  <c r="AP10" i="49"/>
  <c r="AO10" i="49"/>
  <c r="AN10" i="49"/>
  <c r="AM10" i="49"/>
  <c r="AL10" i="49"/>
  <c r="AK10" i="49"/>
  <c r="AJ10" i="49"/>
  <c r="AI10" i="49"/>
  <c r="AH10" i="49"/>
  <c r="AG10" i="49"/>
  <c r="AF10" i="49"/>
  <c r="AE10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BV9" i="49"/>
  <c r="BU9" i="49"/>
  <c r="BT9" i="49"/>
  <c r="BS9" i="49"/>
  <c r="BR9" i="49"/>
  <c r="BQ9" i="49"/>
  <c r="BP9" i="49"/>
  <c r="BO9" i="49"/>
  <c r="BN9" i="49"/>
  <c r="BM9" i="49"/>
  <c r="BL9" i="49"/>
  <c r="BK9" i="49"/>
  <c r="BJ9" i="49"/>
  <c r="BI9" i="49"/>
  <c r="BH9" i="49"/>
  <c r="BG9" i="49"/>
  <c r="BF9" i="49"/>
  <c r="BE9" i="49"/>
  <c r="BD9" i="49"/>
  <c r="BC9" i="49"/>
  <c r="BB9" i="49"/>
  <c r="BA9" i="49"/>
  <c r="AZ9" i="49"/>
  <c r="AY9" i="49"/>
  <c r="AX9" i="49"/>
  <c r="AW9" i="49"/>
  <c r="AV9" i="49"/>
  <c r="AU9" i="49"/>
  <c r="AT9" i="49"/>
  <c r="AS9" i="49"/>
  <c r="AR9" i="49"/>
  <c r="AQ9" i="49"/>
  <c r="AP9" i="49"/>
  <c r="AO9" i="49"/>
  <c r="AN9" i="49"/>
  <c r="AM9" i="49"/>
  <c r="AL9" i="49"/>
  <c r="AK9" i="49"/>
  <c r="AJ9" i="49"/>
  <c r="AI9" i="49"/>
  <c r="AH9" i="49"/>
  <c r="AG9" i="49"/>
  <c r="AF9" i="49"/>
  <c r="AE9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BV8" i="49"/>
  <c r="BU8" i="49"/>
  <c r="BT8" i="49"/>
  <c r="BS8" i="49"/>
  <c r="BR8" i="49"/>
  <c r="BQ8" i="49"/>
  <c r="BP8" i="49"/>
  <c r="BO8" i="49"/>
  <c r="BN8" i="49"/>
  <c r="BM8" i="49"/>
  <c r="BL8" i="49"/>
  <c r="BK8" i="49"/>
  <c r="BJ8" i="49"/>
  <c r="BI8" i="49"/>
  <c r="BH8" i="49"/>
  <c r="BG8" i="49"/>
  <c r="BF8" i="49"/>
  <c r="BE8" i="49"/>
  <c r="BD8" i="49"/>
  <c r="BC8" i="49"/>
  <c r="BB8" i="49"/>
  <c r="BA8" i="49"/>
  <c r="AZ8" i="49"/>
  <c r="AY8" i="49"/>
  <c r="AX8" i="49"/>
  <c r="AW8" i="49"/>
  <c r="AV8" i="49"/>
  <c r="AU8" i="49"/>
  <c r="AT8" i="49"/>
  <c r="AS8" i="49"/>
  <c r="AR8" i="49"/>
  <c r="AQ8" i="49"/>
  <c r="AP8" i="49"/>
  <c r="AO8" i="49"/>
  <c r="AN8" i="49"/>
  <c r="AM8" i="49"/>
  <c r="AL8" i="49"/>
  <c r="AK8" i="49"/>
  <c r="AJ8" i="49"/>
  <c r="AI8" i="49"/>
  <c r="AH8" i="49"/>
  <c r="AG8" i="49"/>
  <c r="AF8" i="49"/>
  <c r="AE8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BV7" i="49"/>
  <c r="BU7" i="49"/>
  <c r="BT7" i="49"/>
  <c r="BS7" i="49"/>
  <c r="BR7" i="49"/>
  <c r="BQ7" i="49"/>
  <c r="BP7" i="49"/>
  <c r="BO7" i="49"/>
  <c r="BN7" i="49"/>
  <c r="BM7" i="49"/>
  <c r="BL7" i="49"/>
  <c r="BK7" i="49"/>
  <c r="BJ7" i="49"/>
  <c r="BI7" i="49"/>
  <c r="BH7" i="49"/>
  <c r="BG7" i="49"/>
  <c r="BF7" i="49"/>
  <c r="BE7" i="49"/>
  <c r="BD7" i="49"/>
  <c r="BC7" i="49"/>
  <c r="BB7" i="49"/>
  <c r="BA7" i="49"/>
  <c r="AZ7" i="49"/>
  <c r="AY7" i="49"/>
  <c r="AX7" i="49"/>
  <c r="AW7" i="49"/>
  <c r="AV7" i="49"/>
  <c r="AU7" i="49"/>
  <c r="AT7" i="49"/>
  <c r="AS7" i="49"/>
  <c r="AR7" i="49"/>
  <c r="AQ7" i="49"/>
  <c r="AP7" i="49"/>
  <c r="AO7" i="49"/>
  <c r="AN7" i="49"/>
  <c r="AM7" i="49"/>
  <c r="AL7" i="49"/>
  <c r="AK7" i="49"/>
  <c r="AJ7" i="49"/>
  <c r="AI7" i="49"/>
  <c r="AH7" i="49"/>
  <c r="AG7" i="49"/>
  <c r="AF7" i="49"/>
  <c r="AE7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BV6" i="49"/>
  <c r="BU6" i="49"/>
  <c r="BT6" i="49"/>
  <c r="BS6" i="49"/>
  <c r="BR6" i="49"/>
  <c r="BQ6" i="49"/>
  <c r="BP6" i="49"/>
  <c r="BO6" i="49"/>
  <c r="BN6" i="49"/>
  <c r="BM6" i="49"/>
  <c r="BL6" i="49"/>
  <c r="BK6" i="49"/>
  <c r="BJ6" i="49"/>
  <c r="BI6" i="49"/>
  <c r="BH6" i="49"/>
  <c r="BG6" i="49"/>
  <c r="BF6" i="49"/>
  <c r="BE6" i="49"/>
  <c r="BD6" i="49"/>
  <c r="BC6" i="49"/>
  <c r="BB6" i="49"/>
  <c r="BA6" i="49"/>
  <c r="AZ6" i="49"/>
  <c r="AY6" i="49"/>
  <c r="AX6" i="49"/>
  <c r="AW6" i="49"/>
  <c r="AV6" i="49"/>
  <c r="AU6" i="49"/>
  <c r="AT6" i="49"/>
  <c r="AS6" i="49"/>
  <c r="AR6" i="49"/>
  <c r="AQ6" i="49"/>
  <c r="AP6" i="49"/>
  <c r="AO6" i="49"/>
  <c r="AN6" i="49"/>
  <c r="AM6" i="49"/>
  <c r="AL6" i="49"/>
  <c r="AK6" i="49"/>
  <c r="AJ6" i="49"/>
  <c r="AI6" i="49"/>
  <c r="AH6" i="49"/>
  <c r="AG6" i="49"/>
  <c r="AF6" i="49"/>
  <c r="AE6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BV5" i="49"/>
  <c r="BU5" i="49"/>
  <c r="BT5" i="49"/>
  <c r="BS5" i="49"/>
  <c r="BR5" i="49"/>
  <c r="BQ5" i="49"/>
  <c r="BP5" i="49"/>
  <c r="BO5" i="49"/>
  <c r="BN5" i="49"/>
  <c r="BM5" i="49"/>
  <c r="BL5" i="49"/>
  <c r="BK5" i="49"/>
  <c r="BJ5" i="49"/>
  <c r="BI5" i="49"/>
  <c r="BH5" i="49"/>
  <c r="BG5" i="49"/>
  <c r="BF5" i="49"/>
  <c r="BE5" i="49"/>
  <c r="BD5" i="49"/>
  <c r="BC5" i="49"/>
  <c r="BB5" i="49"/>
  <c r="BA5" i="49"/>
  <c r="AZ5" i="49"/>
  <c r="AY5" i="49"/>
  <c r="AX5" i="49"/>
  <c r="AW5" i="49"/>
  <c r="AV5" i="49"/>
  <c r="AU5" i="49"/>
  <c r="AT5" i="49"/>
  <c r="AS5" i="49"/>
  <c r="AR5" i="49"/>
  <c r="AQ5" i="49"/>
  <c r="AP5" i="49"/>
  <c r="AO5" i="49"/>
  <c r="AN5" i="49"/>
  <c r="AM5" i="49"/>
  <c r="AL5" i="49"/>
  <c r="AK5" i="49"/>
  <c r="AJ5" i="49"/>
  <c r="AI5" i="49"/>
  <c r="AH5" i="49"/>
  <c r="AG5" i="49"/>
  <c r="AF5" i="49"/>
  <c r="AE5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BV4" i="49"/>
  <c r="BU4" i="49"/>
  <c r="BT4" i="49"/>
  <c r="BS4" i="49"/>
  <c r="BR4" i="49"/>
  <c r="BQ4" i="49"/>
  <c r="BP4" i="49"/>
  <c r="BO4" i="49"/>
  <c r="BN4" i="49"/>
  <c r="BM4" i="49"/>
  <c r="BL4" i="49"/>
  <c r="BK4" i="49"/>
  <c r="BJ4" i="49"/>
  <c r="BI4" i="49"/>
  <c r="BH4" i="49"/>
  <c r="BG4" i="49"/>
  <c r="BF4" i="49"/>
  <c r="BE4" i="49"/>
  <c r="BD4" i="49"/>
  <c r="BC4" i="49"/>
  <c r="BB4" i="49"/>
  <c r="BA4" i="49"/>
  <c r="AZ4" i="49"/>
  <c r="AY4" i="49"/>
  <c r="AX4" i="49"/>
  <c r="AW4" i="49"/>
  <c r="AV4" i="49"/>
  <c r="AU4" i="49"/>
  <c r="AT4" i="49"/>
  <c r="AS4" i="49"/>
  <c r="AR4" i="49"/>
  <c r="AQ4" i="49"/>
  <c r="AP4" i="49"/>
  <c r="AO4" i="49"/>
  <c r="AN4" i="49"/>
  <c r="AM4" i="49"/>
  <c r="AL4" i="49"/>
  <c r="AK4" i="49"/>
  <c r="AJ4" i="49"/>
  <c r="AI4" i="49"/>
  <c r="AH4" i="49"/>
  <c r="AG4" i="49"/>
  <c r="AF4" i="49"/>
  <c r="AE4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BV3" i="49"/>
  <c r="BU3" i="49"/>
  <c r="BT3" i="49"/>
  <c r="BS3" i="49"/>
  <c r="BR3" i="49"/>
  <c r="BQ3" i="49"/>
  <c r="BP3" i="49"/>
  <c r="BO3" i="49"/>
  <c r="BN3" i="49"/>
  <c r="BM3" i="49"/>
  <c r="BL3" i="49"/>
  <c r="BK3" i="49"/>
  <c r="BJ3" i="49"/>
  <c r="BI3" i="49"/>
  <c r="BH3" i="49"/>
  <c r="BG3" i="49"/>
  <c r="BF3" i="49"/>
  <c r="BE3" i="49"/>
  <c r="BD3" i="49"/>
  <c r="BC3" i="49"/>
  <c r="BB3" i="49"/>
  <c r="BA3" i="49"/>
  <c r="AZ3" i="49"/>
  <c r="AY3" i="49"/>
  <c r="AX3" i="49"/>
  <c r="AW3" i="49"/>
  <c r="AV3" i="49"/>
  <c r="AU3" i="49"/>
  <c r="AT3" i="49"/>
  <c r="AS3" i="49"/>
  <c r="AR3" i="49"/>
  <c r="AQ3" i="49"/>
  <c r="AP3" i="49"/>
  <c r="AO3" i="49"/>
  <c r="AN3" i="49"/>
  <c r="AM3" i="49"/>
  <c r="AL3" i="49"/>
  <c r="AK3" i="49"/>
  <c r="AJ3" i="49"/>
  <c r="AI3" i="49"/>
  <c r="AH3" i="49"/>
  <c r="AG3" i="49"/>
  <c r="AF3" i="49"/>
  <c r="AE3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BV2" i="49"/>
  <c r="BU2" i="49"/>
  <c r="BT2" i="49"/>
  <c r="BS2" i="49"/>
  <c r="BR2" i="49"/>
  <c r="BQ2" i="49"/>
  <c r="BP2" i="49"/>
  <c r="BO2" i="49"/>
  <c r="BN2" i="49"/>
  <c r="BM2" i="49"/>
  <c r="BL2" i="49"/>
  <c r="BK2" i="49"/>
  <c r="BJ2" i="49"/>
  <c r="BI2" i="49"/>
  <c r="BH2" i="49"/>
  <c r="BG2" i="49"/>
  <c r="BF2" i="49"/>
  <c r="BE2" i="49"/>
  <c r="BD2" i="49"/>
  <c r="BC2" i="49"/>
  <c r="BB2" i="49"/>
  <c r="BA2" i="49"/>
  <c r="AZ2" i="49"/>
  <c r="AY2" i="49"/>
  <c r="AX2" i="49"/>
  <c r="AW2" i="49"/>
  <c r="AV2" i="49"/>
  <c r="AU2" i="49"/>
  <c r="AT2" i="49"/>
  <c r="AS2" i="49"/>
  <c r="AR2" i="49"/>
  <c r="AQ2" i="49"/>
  <c r="AP2" i="49"/>
  <c r="AO2" i="49"/>
  <c r="AN2" i="49"/>
  <c r="AM2" i="49"/>
  <c r="AL2" i="49"/>
  <c r="AK2" i="49"/>
  <c r="AJ2" i="49"/>
  <c r="AI2" i="49"/>
  <c r="AH2" i="49"/>
  <c r="AG2" i="49"/>
  <c r="AF2" i="49"/>
  <c r="AE2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L23" i="47" l="1"/>
  <c r="L24" i="47"/>
  <c r="L25" i="47"/>
  <c r="L26" i="47"/>
  <c r="L27" i="47"/>
  <c r="L28" i="47"/>
  <c r="L29" i="47"/>
  <c r="L30" i="47"/>
  <c r="L31" i="47"/>
  <c r="L22" i="47"/>
  <c r="L21" i="47"/>
  <c r="K31" i="47"/>
  <c r="K4" i="47"/>
  <c r="K7" i="47"/>
  <c r="K8" i="47"/>
  <c r="K12" i="47"/>
  <c r="K15" i="47"/>
  <c r="K16" i="47"/>
  <c r="K20" i="47"/>
  <c r="G3" i="48"/>
  <c r="K3" i="47" s="1"/>
  <c r="G4" i="48"/>
  <c r="G5" i="48"/>
  <c r="K5" i="47" s="1"/>
  <c r="G6" i="48"/>
  <c r="K6" i="47" s="1"/>
  <c r="G7" i="48"/>
  <c r="G8" i="48"/>
  <c r="G9" i="48"/>
  <c r="K9" i="47" s="1"/>
  <c r="G10" i="48"/>
  <c r="K10" i="47" s="1"/>
  <c r="G11" i="48"/>
  <c r="K11" i="47" s="1"/>
  <c r="G12" i="48"/>
  <c r="G13" i="48"/>
  <c r="K13" i="47" s="1"/>
  <c r="G14" i="48"/>
  <c r="K14" i="47" s="1"/>
  <c r="G15" i="48"/>
  <c r="G16" i="48"/>
  <c r="G17" i="48"/>
  <c r="K17" i="47" s="1"/>
  <c r="G18" i="48"/>
  <c r="K18" i="47" s="1"/>
  <c r="G19" i="48"/>
  <c r="K19" i="47" s="1"/>
  <c r="G20" i="48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7" i="48"/>
  <c r="E18" i="48"/>
  <c r="E16" i="48"/>
  <c r="E163" i="17"/>
  <c r="E162" i="17"/>
  <c r="G2" i="48"/>
  <c r="K2" i="47" s="1"/>
  <c r="E73" i="14"/>
  <c r="E72" i="14"/>
  <c r="E131" i="12"/>
  <c r="E132" i="12"/>
  <c r="E133" i="12"/>
  <c r="E134" i="12"/>
  <c r="E135" i="12"/>
  <c r="E136" i="12"/>
  <c r="E137" i="12"/>
  <c r="E138" i="12"/>
  <c r="E139" i="12"/>
  <c r="E140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8" i="11"/>
  <c r="E9" i="11"/>
  <c r="E10" i="11"/>
  <c r="E11" i="11"/>
  <c r="E12" i="11"/>
  <c r="E131" i="11"/>
  <c r="E132" i="11"/>
  <c r="E133" i="11"/>
  <c r="E134" i="11"/>
  <c r="E135" i="11"/>
  <c r="E136" i="11"/>
  <c r="E137" i="11"/>
  <c r="E138" i="11"/>
  <c r="E139" i="11"/>
  <c r="E140" i="11"/>
  <c r="E73" i="11"/>
  <c r="E77" i="11"/>
  <c r="E78" i="11"/>
  <c r="E79" i="11"/>
  <c r="E80" i="11"/>
  <c r="E81" i="11"/>
  <c r="E82" i="11"/>
  <c r="E83" i="11"/>
  <c r="E84" i="11"/>
  <c r="E63" i="11"/>
  <c r="E64" i="11"/>
  <c r="E65" i="11"/>
  <c r="E66" i="11"/>
  <c r="E67" i="11"/>
  <c r="E68" i="11"/>
  <c r="E69" i="11"/>
  <c r="E36" i="11"/>
  <c r="E37" i="11"/>
  <c r="E38" i="11"/>
  <c r="E39" i="11"/>
  <c r="E40" i="11"/>
  <c r="E41" i="11"/>
  <c r="E42" i="11"/>
  <c r="E43" i="11"/>
  <c r="E44" i="11"/>
  <c r="E45" i="11"/>
  <c r="E46" i="11"/>
  <c r="E50" i="11"/>
  <c r="E51" i="11"/>
  <c r="E52" i="11"/>
  <c r="E53" i="11"/>
  <c r="E54" i="11"/>
  <c r="E55" i="11"/>
  <c r="E56" i="11"/>
  <c r="E57" i="11"/>
  <c r="E58" i="11"/>
  <c r="E131" i="10"/>
  <c r="E132" i="10"/>
  <c r="E133" i="10"/>
  <c r="E134" i="10"/>
  <c r="E135" i="10"/>
  <c r="E136" i="10"/>
  <c r="E137" i="10"/>
  <c r="E138" i="10"/>
  <c r="E139" i="10"/>
  <c r="E140" i="10"/>
  <c r="E73" i="9"/>
  <c r="E74" i="9"/>
  <c r="E75" i="9"/>
  <c r="E76" i="9"/>
  <c r="E77" i="9"/>
  <c r="E78" i="9"/>
  <c r="E79" i="9"/>
  <c r="E80" i="9"/>
  <c r="E81" i="9"/>
  <c r="E82" i="9"/>
  <c r="E83" i="9"/>
  <c r="E84" i="9"/>
  <c r="E11" i="9"/>
  <c r="F24" i="9"/>
  <c r="E124" i="8"/>
  <c r="E125" i="8"/>
  <c r="E126" i="8"/>
  <c r="E127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E160" i="8"/>
  <c r="E161" i="8"/>
  <c r="G161" i="8" s="1"/>
  <c r="E162" i="8"/>
  <c r="G162" i="8" s="1"/>
  <c r="E163" i="8"/>
  <c r="E8" i="5"/>
  <c r="E50" i="43"/>
  <c r="E51" i="43"/>
  <c r="E52" i="43"/>
  <c r="E53" i="43"/>
  <c r="E54" i="43"/>
  <c r="E55" i="43"/>
  <c r="E56" i="43"/>
  <c r="E57" i="43"/>
  <c r="E58" i="43"/>
  <c r="E36" i="43"/>
  <c r="E37" i="43"/>
  <c r="E38" i="43"/>
  <c r="E39" i="43"/>
  <c r="E40" i="43"/>
  <c r="E41" i="43"/>
  <c r="E42" i="43"/>
  <c r="E43" i="43"/>
  <c r="E44" i="43"/>
  <c r="E45" i="43"/>
  <c r="E46" i="43"/>
  <c r="E124" i="30"/>
  <c r="E125" i="30"/>
  <c r="E126" i="30"/>
  <c r="E127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0" i="27"/>
  <c r="E111" i="27"/>
  <c r="E96" i="29"/>
  <c r="E97" i="29"/>
  <c r="E98" i="29"/>
  <c r="E99" i="29"/>
  <c r="E100" i="29"/>
  <c r="E124" i="29"/>
  <c r="E125" i="29"/>
  <c r="E126" i="29"/>
  <c r="E127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50" i="28"/>
  <c r="E51" i="28"/>
  <c r="E52" i="28"/>
  <c r="E53" i="28"/>
  <c r="E54" i="28"/>
  <c r="E55" i="28"/>
  <c r="E56" i="28"/>
  <c r="E57" i="28"/>
  <c r="E58" i="28"/>
  <c r="E124" i="28"/>
  <c r="E125" i="28"/>
  <c r="E126" i="28"/>
  <c r="E127" i="28"/>
  <c r="E131" i="28"/>
  <c r="E132" i="28"/>
  <c r="E133" i="28"/>
  <c r="E134" i="28"/>
  <c r="E135" i="28"/>
  <c r="E136" i="28"/>
  <c r="E137" i="28"/>
  <c r="E138" i="28"/>
  <c r="E139" i="28"/>
  <c r="E140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36" i="28"/>
  <c r="E37" i="28"/>
  <c r="E38" i="28"/>
  <c r="E39" i="28"/>
  <c r="E40" i="28"/>
  <c r="E41" i="28"/>
  <c r="E42" i="28"/>
  <c r="E43" i="28"/>
  <c r="E44" i="28"/>
  <c r="E45" i="28"/>
  <c r="E46" i="28"/>
  <c r="E131" i="27"/>
  <c r="E132" i="27"/>
  <c r="E133" i="27"/>
  <c r="E134" i="27"/>
  <c r="E135" i="27"/>
  <c r="E136" i="27"/>
  <c r="E137" i="27"/>
  <c r="E138" i="27"/>
  <c r="E139" i="27"/>
  <c r="E140" i="27"/>
  <c r="E87" i="40"/>
  <c r="E88" i="40"/>
  <c r="E89" i="40"/>
  <c r="E90" i="40"/>
  <c r="E2" i="48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E161" i="17"/>
  <c r="E73" i="13"/>
  <c r="E161" i="12"/>
  <c r="E162" i="12"/>
  <c r="E163" i="12"/>
  <c r="E160" i="12"/>
  <c r="F166" i="12"/>
  <c r="F167" i="12"/>
  <c r="F168" i="12"/>
  <c r="F169" i="12"/>
  <c r="F170" i="12"/>
  <c r="F171" i="12"/>
  <c r="F165" i="12"/>
  <c r="O142" i="12"/>
  <c r="E162" i="11"/>
  <c r="G162" i="11" s="1"/>
  <c r="E163" i="11"/>
  <c r="G163" i="11" s="1"/>
  <c r="E160" i="11"/>
  <c r="G160" i="11" s="1"/>
  <c r="E161" i="11"/>
  <c r="G161" i="11" s="1"/>
  <c r="F171" i="11"/>
  <c r="F170" i="11"/>
  <c r="F169" i="11"/>
  <c r="F168" i="11"/>
  <c r="F167" i="11"/>
  <c r="F166" i="11"/>
  <c r="F165" i="11"/>
  <c r="F164" i="11"/>
  <c r="E161" i="10"/>
  <c r="G161" i="10" s="1"/>
  <c r="E162" i="10"/>
  <c r="G162" i="10" s="1"/>
  <c r="E163" i="10"/>
  <c r="G163" i="10" s="1"/>
  <c r="E160" i="10"/>
  <c r="G160" i="10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i="9" s="1"/>
  <c r="E162" i="9"/>
  <c r="G162" i="9" s="1"/>
  <c r="E163" i="9"/>
  <c r="G163" i="9" s="1"/>
  <c r="E164" i="9"/>
  <c r="E160" i="9"/>
  <c r="G160" i="9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G164" i="10" s="1"/>
  <c r="G160" i="8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3" i="8"/>
  <c r="H121" i="33"/>
  <c r="H108" i="3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3" i="2"/>
  <c r="H108" i="2"/>
  <c r="E50" i="7"/>
  <c r="E51" i="7"/>
  <c r="E52" i="7"/>
  <c r="E53" i="7"/>
  <c r="E54" i="7"/>
  <c r="E55" i="7"/>
  <c r="E56" i="7"/>
  <c r="E57" i="7"/>
  <c r="E58" i="7"/>
  <c r="F171" i="7"/>
  <c r="E171" i="8" s="1"/>
  <c r="F170" i="7"/>
  <c r="E170" i="8" s="1"/>
  <c r="G170" i="8" s="1"/>
  <c r="F169" i="7"/>
  <c r="E169" i="8" s="1"/>
  <c r="F168" i="7"/>
  <c r="E168" i="8" s="1"/>
  <c r="F167" i="7"/>
  <c r="E167" i="8" s="1"/>
  <c r="F166" i="7"/>
  <c r="E166" i="8" s="1"/>
  <c r="G166" i="8" s="1"/>
  <c r="F165" i="7"/>
  <c r="E165" i="8" s="1"/>
  <c r="F164" i="7"/>
  <c r="E164" i="8" s="1"/>
  <c r="G164" i="8" s="1"/>
  <c r="G163" i="7"/>
  <c r="G162" i="7"/>
  <c r="G161" i="7"/>
  <c r="G160" i="7"/>
  <c r="F171" i="33"/>
  <c r="F170" i="33"/>
  <c r="F169" i="33"/>
  <c r="F168" i="33"/>
  <c r="F167" i="33"/>
  <c r="F166" i="33"/>
  <c r="F165" i="33"/>
  <c r="F164" i="33"/>
  <c r="G163" i="33"/>
  <c r="G162" i="33"/>
  <c r="G161" i="33"/>
  <c r="G160" i="33"/>
  <c r="F171" i="5"/>
  <c r="F170" i="5"/>
  <c r="F169" i="5"/>
  <c r="F168" i="5"/>
  <c r="F167" i="5"/>
  <c r="F166" i="5"/>
  <c r="F165" i="5"/>
  <c r="F164" i="5"/>
  <c r="G163" i="5"/>
  <c r="G162" i="5"/>
  <c r="G161" i="5"/>
  <c r="G160" i="5"/>
  <c r="E3" i="48"/>
  <c r="G90" i="4"/>
  <c r="G89" i="4"/>
  <c r="E87" i="4"/>
  <c r="G87" i="4" s="1"/>
  <c r="E88" i="4"/>
  <c r="G88" i="4" s="1"/>
  <c r="F171" i="4"/>
  <c r="F170" i="4"/>
  <c r="F169" i="4"/>
  <c r="F168" i="4"/>
  <c r="F167" i="4"/>
  <c r="F166" i="4"/>
  <c r="F165" i="4"/>
  <c r="F164" i="4"/>
  <c r="G163" i="4"/>
  <c r="G162" i="4"/>
  <c r="G161" i="4"/>
  <c r="G160" i="4"/>
  <c r="E171" i="2"/>
  <c r="E170" i="2"/>
  <c r="E169" i="2"/>
  <c r="E168" i="2"/>
  <c r="E167" i="2"/>
  <c r="E166" i="2"/>
  <c r="E165" i="2"/>
  <c r="E164" i="2"/>
  <c r="G164" i="2" s="1"/>
  <c r="E120" i="2"/>
  <c r="E119" i="2"/>
  <c r="E118" i="2"/>
  <c r="AN35" i="1"/>
  <c r="U35" i="1"/>
  <c r="Q35" i="1"/>
  <c r="N35" i="1"/>
  <c r="BK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BN34" i="1" s="1"/>
  <c r="AR34" i="1"/>
  <c r="AQ34" i="1"/>
  <c r="AP34" i="1"/>
  <c r="AO34" i="1"/>
  <c r="AM34" i="1"/>
  <c r="AL34" i="1"/>
  <c r="AJ34" i="1"/>
  <c r="AI34" i="1"/>
  <c r="AH34" i="1"/>
  <c r="AD34" i="1"/>
  <c r="AC34" i="1"/>
  <c r="AB34" i="1"/>
  <c r="AA34" i="1"/>
  <c r="Y34" i="1"/>
  <c r="X34" i="1"/>
  <c r="W34" i="1"/>
  <c r="T34" i="1"/>
  <c r="V34" i="1" s="1"/>
  <c r="P34" i="1"/>
  <c r="R34" i="1" s="1"/>
  <c r="M34" i="1"/>
  <c r="O34" i="1" s="1"/>
  <c r="L34" i="1"/>
  <c r="I34" i="1"/>
  <c r="H34" i="1"/>
  <c r="K34" i="1" s="1"/>
  <c r="G34" i="1"/>
  <c r="F34" i="1"/>
  <c r="E34" i="1"/>
  <c r="D34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G166" i="11" l="1"/>
  <c r="G164" i="11"/>
  <c r="S34" i="1"/>
  <c r="G164" i="9"/>
  <c r="BM34" i="1"/>
  <c r="AF34" i="1"/>
  <c r="E4" i="48"/>
  <c r="G170" i="11"/>
  <c r="G168" i="11"/>
  <c r="G165" i="10"/>
  <c r="G171" i="9"/>
  <c r="G170" i="10"/>
  <c r="G169" i="9"/>
  <c r="G165" i="9"/>
  <c r="G170" i="9"/>
  <c r="G168" i="8"/>
  <c r="G167" i="9"/>
  <c r="G171" i="8"/>
  <c r="G167" i="8"/>
  <c r="G165" i="8"/>
  <c r="G167" i="10"/>
  <c r="G171" i="10"/>
  <c r="G165" i="11"/>
  <c r="G169" i="8"/>
  <c r="G166" i="10"/>
  <c r="G169" i="10"/>
  <c r="G168" i="10"/>
  <c r="G168" i="9"/>
  <c r="G169" i="11"/>
  <c r="G167" i="11"/>
  <c r="G171" i="11"/>
  <c r="G166" i="9"/>
  <c r="Z34" i="1"/>
  <c r="AK34" i="1"/>
  <c r="BO34" i="1"/>
  <c r="AE34" i="1"/>
  <c r="BP34" i="1"/>
  <c r="BL34" i="1"/>
  <c r="BJ34" i="1"/>
  <c r="N18" i="43"/>
  <c r="N40" i="43"/>
  <c r="N41" i="43"/>
  <c r="N8" i="43"/>
  <c r="N9" i="43"/>
  <c r="N10" i="43"/>
  <c r="N11" i="43"/>
  <c r="N12" i="43"/>
  <c r="N13" i="43"/>
  <c r="N14" i="43"/>
  <c r="N15" i="43"/>
  <c r="N16" i="43"/>
  <c r="N17" i="43"/>
  <c r="N19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N7" i="43"/>
  <c r="AG34" i="1" l="1"/>
  <c r="BQ34" i="1"/>
  <c r="E15" i="30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21" i="29"/>
  <c r="N122" i="29"/>
  <c r="N123" i="29"/>
  <c r="N124" i="29"/>
  <c r="N125" i="29"/>
  <c r="N126" i="29"/>
  <c r="N127" i="29"/>
  <c r="N128" i="29"/>
  <c r="N7" i="29"/>
  <c r="E90" i="28"/>
  <c r="E74" i="27"/>
  <c r="E8" i="40" l="1"/>
  <c r="E9" i="40"/>
  <c r="E10" i="40"/>
  <c r="E11" i="40"/>
  <c r="E12" i="40"/>
  <c r="AD42" i="44"/>
  <c r="AD38" i="44"/>
  <c r="N39" i="25"/>
  <c r="E58" i="25"/>
  <c r="N20" i="24"/>
  <c r="I19" i="24"/>
  <c r="I18" i="24"/>
  <c r="E49" i="21" l="1"/>
  <c r="E132" i="20"/>
  <c r="E134" i="20"/>
  <c r="E135" i="20"/>
  <c r="E136" i="20"/>
  <c r="E137" i="20"/>
  <c r="E138" i="20"/>
  <c r="E139" i="20"/>
  <c r="E140" i="20"/>
  <c r="E79" i="20"/>
  <c r="E80" i="20"/>
  <c r="E81" i="20"/>
  <c r="E82" i="20"/>
  <c r="E83" i="20"/>
  <c r="E73" i="20"/>
  <c r="E74" i="20"/>
  <c r="E75" i="20"/>
  <c r="E76" i="20"/>
  <c r="E77" i="20"/>
  <c r="E78" i="20"/>
  <c r="E84" i="20"/>
  <c r="E50" i="20"/>
  <c r="E51" i="20"/>
  <c r="E52" i="20"/>
  <c r="E53" i="20"/>
  <c r="E54" i="20"/>
  <c r="E55" i="20"/>
  <c r="E56" i="20"/>
  <c r="E57" i="20"/>
  <c r="E58" i="20"/>
  <c r="E49" i="20"/>
  <c r="E132" i="19"/>
  <c r="E133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4" i="13"/>
  <c r="E162" i="14"/>
  <c r="G160" i="12" l="1"/>
  <c r="E24" i="8"/>
  <c r="E23" i="8"/>
  <c r="E22" i="8"/>
  <c r="E23" i="7"/>
  <c r="E24" i="7"/>
  <c r="E22" i="7"/>
  <c r="E23" i="33"/>
  <c r="E24" i="33"/>
  <c r="E22" i="33"/>
  <c r="E23" i="4"/>
  <c r="E24" i="4"/>
  <c r="E22" i="4"/>
  <c r="E82" i="3"/>
  <c r="E58" i="3"/>
  <c r="E24" i="3"/>
  <c r="H113" i="31" l="1"/>
  <c r="H108" i="31"/>
  <c r="E161" i="31" l="1"/>
  <c r="E162" i="31"/>
  <c r="E163" i="31"/>
  <c r="E160" i="31"/>
  <c r="E131" i="31"/>
  <c r="E132" i="31"/>
  <c r="E133" i="31"/>
  <c r="E134" i="31"/>
  <c r="E135" i="31"/>
  <c r="E136" i="31"/>
  <c r="E137" i="31"/>
  <c r="E138" i="31"/>
  <c r="E139" i="31"/>
  <c r="E140" i="31"/>
  <c r="E130" i="31"/>
  <c r="E124" i="31"/>
  <c r="E125" i="31"/>
  <c r="E126" i="31"/>
  <c r="E127" i="31"/>
  <c r="E123" i="31"/>
  <c r="E115" i="31"/>
  <c r="E114" i="31"/>
  <c r="E110" i="31"/>
  <c r="E111" i="31"/>
  <c r="E109" i="31"/>
  <c r="E105" i="31"/>
  <c r="E106" i="31"/>
  <c r="E104" i="31"/>
  <c r="E96" i="31"/>
  <c r="E97" i="31"/>
  <c r="E98" i="31"/>
  <c r="E99" i="31"/>
  <c r="E100" i="31"/>
  <c r="E95" i="31"/>
  <c r="E93" i="31"/>
  <c r="E92" i="31"/>
  <c r="E87" i="31"/>
  <c r="E88" i="31"/>
  <c r="E89" i="31"/>
  <c r="E90" i="31"/>
  <c r="E86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3" i="31"/>
  <c r="E64" i="31"/>
  <c r="E65" i="31"/>
  <c r="E66" i="31"/>
  <c r="E67" i="31"/>
  <c r="E68" i="31"/>
  <c r="E69" i="31"/>
  <c r="E62" i="31"/>
  <c r="E50" i="31"/>
  <c r="E51" i="31"/>
  <c r="E52" i="31"/>
  <c r="E53" i="31"/>
  <c r="E54" i="31"/>
  <c r="E55" i="31"/>
  <c r="E56" i="31"/>
  <c r="E57" i="31"/>
  <c r="E58" i="31"/>
  <c r="E49" i="31"/>
  <c r="E36" i="31"/>
  <c r="E37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9" i="31"/>
  <c r="E18" i="31"/>
  <c r="E15" i="31"/>
  <c r="E8" i="31"/>
  <c r="E9" i="31"/>
  <c r="E10" i="31"/>
  <c r="E11" i="31"/>
  <c r="E12" i="31"/>
  <c r="E7" i="31"/>
  <c r="E7" i="43"/>
  <c r="E41" i="29"/>
  <c r="E41" i="25"/>
  <c r="E131" i="40" l="1"/>
  <c r="E132" i="40"/>
  <c r="E133" i="40"/>
  <c r="E134" i="40"/>
  <c r="E135" i="40"/>
  <c r="E136" i="40"/>
  <c r="E137" i="40"/>
  <c r="E138" i="40"/>
  <c r="E139" i="40"/>
  <c r="E140" i="40"/>
  <c r="L86" i="20"/>
  <c r="E161" i="15" l="1"/>
  <c r="O31" i="12" l="1"/>
  <c r="E104" i="9" l="1"/>
  <c r="E86" i="8"/>
  <c r="E104" i="7"/>
  <c r="E88" i="33"/>
  <c r="E89" i="33"/>
  <c r="E90" i="33"/>
  <c r="E85" i="33"/>
  <c r="E86" i="33"/>
  <c r="E87" i="33"/>
  <c r="E87" i="5"/>
  <c r="E88" i="5"/>
  <c r="E89" i="5"/>
  <c r="E90" i="5"/>
  <c r="E86" i="5"/>
  <c r="E81" i="4"/>
  <c r="E85" i="3" l="1"/>
  <c r="E86" i="3"/>
  <c r="E87" i="3"/>
  <c r="E88" i="3"/>
  <c r="E89" i="3"/>
  <c r="E90" i="3"/>
  <c r="F171" i="3"/>
  <c r="F170" i="3"/>
  <c r="F169" i="3"/>
  <c r="F168" i="3"/>
  <c r="F167" i="3"/>
  <c r="F166" i="3"/>
  <c r="F165" i="3"/>
  <c r="F164" i="3"/>
  <c r="G164" i="3" s="1"/>
  <c r="G163" i="3"/>
  <c r="G162" i="3"/>
  <c r="G161" i="3"/>
  <c r="G160" i="3"/>
  <c r="E29" i="2" l="1"/>
  <c r="N29" i="29" s="1"/>
  <c r="F171" i="2"/>
  <c r="F170" i="2"/>
  <c r="G170" i="2" s="1"/>
  <c r="F169" i="2"/>
  <c r="F168" i="2"/>
  <c r="F167" i="2"/>
  <c r="F166" i="2"/>
  <c r="F165" i="2"/>
  <c r="G165" i="2" s="1"/>
  <c r="G163" i="2"/>
  <c r="G162" i="2"/>
  <c r="G161" i="2"/>
  <c r="G160" i="2"/>
  <c r="G171" i="2" l="1"/>
  <c r="G169" i="2"/>
  <c r="G168" i="2"/>
  <c r="G167" i="2"/>
  <c r="G166" i="2"/>
  <c r="G172" i="2" s="1"/>
  <c r="G89" i="2"/>
  <c r="G90" i="2"/>
  <c r="G19" i="2"/>
  <c r="E30" i="2" s="1"/>
  <c r="N30" i="29" s="1"/>
  <c r="G9" i="31" l="1"/>
  <c r="E171" i="31"/>
  <c r="E170" i="31"/>
  <c r="E169" i="31"/>
  <c r="E168" i="31"/>
  <c r="E167" i="31"/>
  <c r="E166" i="31"/>
  <c r="E165" i="31"/>
  <c r="E164" i="31"/>
  <c r="N8" i="31" l="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7" i="31"/>
  <c r="N48" i="31"/>
  <c r="N61" i="31"/>
  <c r="N71" i="31"/>
  <c r="N91" i="31"/>
  <c r="N102" i="31"/>
  <c r="N103" i="31"/>
  <c r="N108" i="31"/>
  <c r="N113" i="31"/>
  <c r="N121" i="31"/>
  <c r="N122" i="31"/>
  <c r="G89" i="31"/>
  <c r="G90" i="31"/>
  <c r="G18" i="30"/>
  <c r="E85" i="43"/>
  <c r="E86" i="43"/>
  <c r="E87" i="43"/>
  <c r="E88" i="43"/>
  <c r="E89" i="43"/>
  <c r="G89" i="43" s="1"/>
  <c r="E90" i="43"/>
  <c r="G90" i="43" s="1"/>
  <c r="E160" i="30"/>
  <c r="E85" i="30"/>
  <c r="E86" i="30"/>
  <c r="G88" i="30"/>
  <c r="G89" i="30"/>
  <c r="G90" i="30"/>
  <c r="Q34" i="44" l="1"/>
  <c r="E86" i="29" l="1"/>
  <c r="E85" i="29"/>
  <c r="E85" i="28"/>
  <c r="E86" i="28"/>
  <c r="E87" i="28"/>
  <c r="E88" i="28"/>
  <c r="E89" i="28"/>
  <c r="G89" i="28" s="1"/>
  <c r="G90" i="28"/>
  <c r="E89" i="27" l="1"/>
  <c r="G89" i="27" s="1"/>
  <c r="E90" i="27"/>
  <c r="G90" i="27" s="1"/>
  <c r="E85" i="27"/>
  <c r="E86" i="27"/>
  <c r="E87" i="27"/>
  <c r="E88" i="27"/>
  <c r="N89" i="40"/>
  <c r="N82" i="40"/>
  <c r="P132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E87" i="24"/>
  <c r="E88" i="24"/>
  <c r="E89" i="24"/>
  <c r="G89" i="24" s="1"/>
  <c r="E90" i="24"/>
  <c r="G90" i="24" s="1"/>
  <c r="O14" i="23" l="1"/>
  <c r="O16" i="23"/>
  <c r="O17" i="23"/>
  <c r="O21" i="23"/>
  <c r="O23" i="23"/>
  <c r="O24" i="23"/>
  <c r="O25" i="23"/>
  <c r="O26" i="23"/>
  <c r="O33" i="23"/>
  <c r="O34" i="23"/>
  <c r="O48" i="23"/>
  <c r="O61" i="23"/>
  <c r="O70" i="23"/>
  <c r="O71" i="23"/>
  <c r="O91" i="23"/>
  <c r="O102" i="23"/>
  <c r="O103" i="23"/>
  <c r="O108" i="23"/>
  <c r="O113" i="23"/>
  <c r="O121" i="23"/>
  <c r="O122" i="23"/>
  <c r="O129" i="23"/>
  <c r="O141" i="23"/>
  <c r="O154" i="23"/>
  <c r="E40" i="23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E62" i="20"/>
  <c r="E87" i="20"/>
  <c r="E88" i="20"/>
  <c r="E89" i="20"/>
  <c r="G89" i="20" s="1"/>
  <c r="E90" i="20"/>
  <c r="G90" i="20" s="1"/>
  <c r="E86" i="20"/>
  <c r="E163" i="19"/>
  <c r="E162" i="19"/>
  <c r="E161" i="19"/>
  <c r="E160" i="19"/>
  <c r="E134" i="15"/>
  <c r="E135" i="15"/>
  <c r="E72" i="15"/>
  <c r="H90" i="23" l="1"/>
  <c r="J90" i="23" s="1"/>
  <c r="O90" i="23"/>
  <c r="H89" i="23"/>
  <c r="J89" i="23" s="1"/>
  <c r="O89" i="23"/>
  <c r="E135" i="13"/>
  <c r="G160" i="31" l="1"/>
  <c r="G160" i="30"/>
  <c r="G161" i="15"/>
  <c r="G163" i="31"/>
  <c r="G162" i="31"/>
  <c r="G161" i="31"/>
  <c r="E163" i="43"/>
  <c r="G163" i="43" s="1"/>
  <c r="E162" i="43"/>
  <c r="G162" i="43" s="1"/>
  <c r="E161" i="43"/>
  <c r="G161" i="43" s="1"/>
  <c r="E160" i="43"/>
  <c r="G160" i="43" s="1"/>
  <c r="E163" i="30"/>
  <c r="G163" i="30" s="1"/>
  <c r="E162" i="30"/>
  <c r="G162" i="30" s="1"/>
  <c r="E161" i="30"/>
  <c r="G161" i="30" s="1"/>
  <c r="E163" i="29"/>
  <c r="G163" i="29" s="1"/>
  <c r="E162" i="29"/>
  <c r="G162" i="29" s="1"/>
  <c r="E161" i="29"/>
  <c r="G161" i="29" s="1"/>
  <c r="E160" i="29"/>
  <c r="G160" i="29" s="1"/>
  <c r="E163" i="28"/>
  <c r="G163" i="28" s="1"/>
  <c r="E162" i="28"/>
  <c r="G162" i="28" s="1"/>
  <c r="E161" i="28"/>
  <c r="G161" i="28" s="1"/>
  <c r="E160" i="28"/>
  <c r="G160" i="28" s="1"/>
  <c r="E163" i="27"/>
  <c r="G163" i="27" s="1"/>
  <c r="E162" i="27"/>
  <c r="G162" i="27" s="1"/>
  <c r="E161" i="27"/>
  <c r="G161" i="27" s="1"/>
  <c r="E160" i="27"/>
  <c r="G160" i="27" s="1"/>
  <c r="E163" i="40"/>
  <c r="G163" i="40" s="1"/>
  <c r="E162" i="40"/>
  <c r="G162" i="40" s="1"/>
  <c r="E161" i="40"/>
  <c r="G161" i="40" s="1"/>
  <c r="E160" i="40"/>
  <c r="G160" i="40" s="1"/>
  <c r="E163" i="25"/>
  <c r="G163" i="25" s="1"/>
  <c r="E162" i="25"/>
  <c r="G162" i="25" s="1"/>
  <c r="E161" i="25"/>
  <c r="G161" i="25" s="1"/>
  <c r="E160" i="25"/>
  <c r="G160" i="25" s="1"/>
  <c r="E163" i="24"/>
  <c r="G163" i="24" s="1"/>
  <c r="E162" i="24"/>
  <c r="G162" i="24" s="1"/>
  <c r="E161" i="24"/>
  <c r="G161" i="24" s="1"/>
  <c r="E160" i="24"/>
  <c r="G160" i="24" s="1"/>
  <c r="E163" i="23"/>
  <c r="G163" i="23" s="1"/>
  <c r="E162" i="23"/>
  <c r="G162" i="23" s="1"/>
  <c r="E161" i="23"/>
  <c r="G161" i="23" s="1"/>
  <c r="E160" i="23"/>
  <c r="G160" i="23" s="1"/>
  <c r="E163" i="22"/>
  <c r="G163" i="22" s="1"/>
  <c r="L163" i="22" s="1"/>
  <c r="E162" i="22"/>
  <c r="G162" i="22" s="1"/>
  <c r="L162" i="22" s="1"/>
  <c r="E161" i="22"/>
  <c r="G161" i="22" s="1"/>
  <c r="L161" i="22" s="1"/>
  <c r="E160" i="22"/>
  <c r="G160" i="22" s="1"/>
  <c r="L160" i="22" s="1"/>
  <c r="E163" i="21"/>
  <c r="G163" i="21" s="1"/>
  <c r="L163" i="21" s="1"/>
  <c r="E162" i="21"/>
  <c r="G162" i="21" s="1"/>
  <c r="L162" i="21" s="1"/>
  <c r="E161" i="21"/>
  <c r="G161" i="21" s="1"/>
  <c r="L161" i="21" s="1"/>
  <c r="E160" i="21"/>
  <c r="G160" i="21" s="1"/>
  <c r="G162" i="20"/>
  <c r="G161" i="20"/>
  <c r="G160" i="20"/>
  <c r="G163" i="19"/>
  <c r="G162" i="19"/>
  <c r="G161" i="19"/>
  <c r="G160" i="19"/>
  <c r="E163" i="18"/>
  <c r="G163" i="18" s="1"/>
  <c r="G162" i="18"/>
  <c r="E161" i="18"/>
  <c r="G161" i="18" s="1"/>
  <c r="E160" i="18"/>
  <c r="G160" i="18" s="1"/>
  <c r="G163" i="17"/>
  <c r="G162" i="17"/>
  <c r="G161" i="17"/>
  <c r="E160" i="17"/>
  <c r="G160" i="17" s="1"/>
  <c r="E163" i="16"/>
  <c r="G163" i="16" s="1"/>
  <c r="E162" i="16"/>
  <c r="G162" i="16" s="1"/>
  <c r="E161" i="16"/>
  <c r="G161" i="16" s="1"/>
  <c r="E160" i="16"/>
  <c r="G160" i="16" s="1"/>
  <c r="E163" i="15"/>
  <c r="G163" i="15" s="1"/>
  <c r="E162" i="15"/>
  <c r="G162" i="15" s="1"/>
  <c r="E160" i="15"/>
  <c r="G160" i="15" s="1"/>
  <c r="E163" i="14"/>
  <c r="G163" i="14" s="1"/>
  <c r="G162" i="14"/>
  <c r="E161" i="14"/>
  <c r="G161" i="14" s="1"/>
  <c r="E160" i="14"/>
  <c r="G160" i="14" s="1"/>
  <c r="E163" i="13"/>
  <c r="G163" i="13" s="1"/>
  <c r="E162" i="13"/>
  <c r="G162" i="13" s="1"/>
  <c r="E161" i="13"/>
  <c r="G161" i="13" s="1"/>
  <c r="E160" i="13"/>
  <c r="G160" i="13" s="1"/>
  <c r="E137" i="13"/>
  <c r="G163" i="12"/>
  <c r="G162" i="12"/>
  <c r="G161" i="12"/>
  <c r="F171" i="31"/>
  <c r="F170" i="31"/>
  <c r="F169" i="31"/>
  <c r="F168" i="31"/>
  <c r="F167" i="31"/>
  <c r="F166" i="31"/>
  <c r="F165" i="31"/>
  <c r="G165" i="31"/>
  <c r="F164" i="31"/>
  <c r="G164" i="31" s="1"/>
  <c r="F171" i="43"/>
  <c r="F170" i="43"/>
  <c r="F169" i="43"/>
  <c r="F168" i="43"/>
  <c r="F167" i="43"/>
  <c r="F166" i="43"/>
  <c r="F165" i="43"/>
  <c r="F164" i="43"/>
  <c r="F171" i="30"/>
  <c r="F170" i="30"/>
  <c r="F169" i="30"/>
  <c r="F168" i="30"/>
  <c r="F167" i="30"/>
  <c r="F166" i="30"/>
  <c r="F165" i="30"/>
  <c r="F164" i="30"/>
  <c r="F171" i="29"/>
  <c r="F170" i="29"/>
  <c r="F169" i="29"/>
  <c r="F168" i="29"/>
  <c r="F167" i="29"/>
  <c r="F166" i="29"/>
  <c r="F165" i="29"/>
  <c r="F164" i="29"/>
  <c r="F171" i="28"/>
  <c r="F170" i="28"/>
  <c r="F169" i="28"/>
  <c r="F168" i="28"/>
  <c r="F167" i="28"/>
  <c r="F166" i="28"/>
  <c r="F165" i="28"/>
  <c r="F164" i="28"/>
  <c r="F171" i="27"/>
  <c r="F170" i="27"/>
  <c r="F169" i="27"/>
  <c r="F168" i="27"/>
  <c r="F167" i="27"/>
  <c r="F166" i="27"/>
  <c r="F165" i="27"/>
  <c r="F164" i="27"/>
  <c r="F171" i="40"/>
  <c r="F170" i="40"/>
  <c r="F169" i="40"/>
  <c r="F168" i="40"/>
  <c r="F167" i="40"/>
  <c r="F166" i="40"/>
  <c r="F165" i="40"/>
  <c r="F164" i="40"/>
  <c r="F171" i="25"/>
  <c r="F170" i="25"/>
  <c r="F169" i="25"/>
  <c r="F168" i="25"/>
  <c r="F167" i="25"/>
  <c r="F166" i="25"/>
  <c r="F165" i="25"/>
  <c r="F164" i="25"/>
  <c r="F171" i="24"/>
  <c r="F170" i="24"/>
  <c r="F169" i="24"/>
  <c r="F168" i="24"/>
  <c r="F167" i="24"/>
  <c r="F166" i="24"/>
  <c r="F165" i="24"/>
  <c r="F164" i="24"/>
  <c r="F171" i="23"/>
  <c r="F170" i="23"/>
  <c r="F169" i="23"/>
  <c r="F168" i="23"/>
  <c r="F167" i="23"/>
  <c r="F166" i="23"/>
  <c r="F165" i="23"/>
  <c r="F164" i="23"/>
  <c r="F171" i="22"/>
  <c r="F170" i="22"/>
  <c r="F169" i="22"/>
  <c r="F168" i="22"/>
  <c r="F167" i="22"/>
  <c r="F166" i="22"/>
  <c r="F165" i="22"/>
  <c r="F164" i="22"/>
  <c r="F171" i="21"/>
  <c r="F170" i="21"/>
  <c r="F169" i="21"/>
  <c r="F168" i="21"/>
  <c r="F167" i="21"/>
  <c r="F166" i="21"/>
  <c r="F165" i="21"/>
  <c r="F164" i="21"/>
  <c r="G164" i="20"/>
  <c r="G163" i="20"/>
  <c r="F171" i="18"/>
  <c r="F170" i="18"/>
  <c r="F169" i="18"/>
  <c r="F168" i="18"/>
  <c r="F167" i="18"/>
  <c r="F166" i="18"/>
  <c r="F165" i="18"/>
  <c r="F164" i="18"/>
  <c r="F171" i="17"/>
  <c r="F170" i="17"/>
  <c r="F169" i="17"/>
  <c r="F168" i="17"/>
  <c r="F167" i="17"/>
  <c r="F166" i="17"/>
  <c r="F165" i="17"/>
  <c r="F164" i="17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 i="15"/>
  <c r="F169" i="15"/>
  <c r="F168" i="15"/>
  <c r="F167" i="15"/>
  <c r="F166" i="15"/>
  <c r="F165" i="15"/>
  <c r="F164" i="15"/>
  <c r="F171" i="14"/>
  <c r="F170" i="14"/>
  <c r="F169" i="14"/>
  <c r="F168" i="14"/>
  <c r="F167" i="14"/>
  <c r="F166" i="14"/>
  <c r="F165" i="14"/>
  <c r="F164" i="14"/>
  <c r="F171" i="13"/>
  <c r="F170" i="13"/>
  <c r="F169" i="13"/>
  <c r="F168" i="13"/>
  <c r="F167" i="13"/>
  <c r="F166" i="13"/>
  <c r="F165" i="13"/>
  <c r="F164" i="13"/>
  <c r="E164" i="12" s="1"/>
  <c r="F164" i="12"/>
  <c r="L160" i="21" l="1"/>
  <c r="R4" i="44"/>
  <c r="E9" i="10"/>
  <c r="G18" i="7"/>
  <c r="E15" i="8"/>
  <c r="E87" i="7"/>
  <c r="E88" i="7"/>
  <c r="E89" i="7"/>
  <c r="G89" i="7" s="1"/>
  <c r="E90" i="7"/>
  <c r="G90" i="7" s="1"/>
  <c r="E86" i="7"/>
  <c r="E87" i="19"/>
  <c r="E88" i="19"/>
  <c r="E89" i="19"/>
  <c r="G89" i="19" s="1"/>
  <c r="E90" i="19"/>
  <c r="G90" i="19" s="1"/>
  <c r="E86" i="19"/>
  <c r="E87" i="18"/>
  <c r="E88" i="18"/>
  <c r="E89" i="18"/>
  <c r="G89" i="18" s="1"/>
  <c r="E90" i="18"/>
  <c r="G90" i="18" s="1"/>
  <c r="E86" i="18"/>
  <c r="E87" i="17"/>
  <c r="E88" i="17"/>
  <c r="E89" i="17"/>
  <c r="G89" i="17" s="1"/>
  <c r="E90" i="17"/>
  <c r="G90" i="17" s="1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E87" i="12"/>
  <c r="E88" i="12"/>
  <c r="E89" i="12"/>
  <c r="G89" i="12" s="1"/>
  <c r="E90" i="12"/>
  <c r="G90" i="12" s="1"/>
  <c r="E86" i="12"/>
  <c r="E87" i="11"/>
  <c r="E88" i="11"/>
  <c r="E89" i="11"/>
  <c r="G89" i="11" s="1"/>
  <c r="E90" i="11"/>
  <c r="G90" i="11" s="1"/>
  <c r="E86" i="11"/>
  <c r="E87" i="10"/>
  <c r="E88" i="10"/>
  <c r="E89" i="10"/>
  <c r="G89" i="10" s="1"/>
  <c r="E90" i="10"/>
  <c r="G90" i="10" s="1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R11" i="44" l="1"/>
  <c r="R9" i="44"/>
  <c r="R10" i="44"/>
  <c r="R8" i="44"/>
  <c r="D33" i="1" l="1"/>
  <c r="G89" i="5"/>
  <c r="G90" i="5"/>
  <c r="G89" i="29"/>
  <c r="G90" i="29"/>
  <c r="H90" i="29" s="1"/>
  <c r="J90" i="29" s="1"/>
  <c r="G90" i="3"/>
  <c r="G89" i="3"/>
  <c r="H90" i="8"/>
  <c r="J90" i="8" s="1"/>
  <c r="H89" i="8"/>
  <c r="J89" i="8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4"/>
  <c r="J90" i="24" s="1"/>
  <c r="H89" i="24"/>
  <c r="J89" i="24" s="1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J90" i="30" s="1"/>
  <c r="H89" i="30"/>
  <c r="J89" i="30" s="1"/>
  <c r="H90" i="43"/>
  <c r="H89" i="43"/>
  <c r="H90" i="2"/>
  <c r="J90" i="2" s="1"/>
  <c r="H89" i="2"/>
  <c r="J89" i="2" s="1"/>
  <c r="H89" i="3" l="1"/>
  <c r="H90" i="3"/>
  <c r="J89" i="19"/>
  <c r="H89" i="20"/>
  <c r="J90" i="20"/>
  <c r="H90" i="21"/>
  <c r="J89" i="9"/>
  <c r="H89" i="10"/>
  <c r="J90" i="9"/>
  <c r="H90" i="10"/>
  <c r="H90" i="11" s="1"/>
  <c r="J90" i="11" s="1"/>
  <c r="K90" i="4"/>
  <c r="J90" i="43"/>
  <c r="H90" i="31"/>
  <c r="N90" i="31" s="1"/>
  <c r="J89" i="43"/>
  <c r="H89" i="31"/>
  <c r="J89" i="31" s="1"/>
  <c r="J90" i="10"/>
  <c r="R12" i="44"/>
  <c r="R7" i="44"/>
  <c r="R5" i="44"/>
  <c r="R6" i="44"/>
  <c r="H89" i="29"/>
  <c r="J89" i="29" s="1"/>
  <c r="H89" i="21" l="1"/>
  <c r="J89" i="20"/>
  <c r="J90" i="21"/>
  <c r="H90" i="22"/>
  <c r="J90" i="22" s="1"/>
  <c r="N89" i="31"/>
  <c r="H89" i="11"/>
  <c r="J89" i="11" s="1"/>
  <c r="J89" i="10"/>
  <c r="J90" i="3"/>
  <c r="H90" i="4"/>
  <c r="J89" i="3"/>
  <c r="H89" i="4"/>
  <c r="J90" i="31"/>
  <c r="K89" i="4"/>
  <c r="E7" i="8"/>
  <c r="G7" i="8" s="1"/>
  <c r="E99" i="43"/>
  <c r="E100" i="43"/>
  <c r="O59" i="30"/>
  <c r="N88" i="30"/>
  <c r="E99" i="30"/>
  <c r="E98" i="30"/>
  <c r="E100" i="30"/>
  <c r="H89" i="22" l="1"/>
  <c r="J89" i="22" s="1"/>
  <c r="J89" i="21"/>
  <c r="J89" i="4"/>
  <c r="H89" i="5"/>
  <c r="J90" i="4"/>
  <c r="H90" i="5"/>
  <c r="E133" i="29"/>
  <c r="E134" i="29"/>
  <c r="E135" i="29"/>
  <c r="E136" i="29"/>
  <c r="E137" i="29"/>
  <c r="E138" i="29"/>
  <c r="E139" i="29"/>
  <c r="E140" i="29"/>
  <c r="E105" i="29"/>
  <c r="E106" i="29"/>
  <c r="E107" i="29"/>
  <c r="E108" i="29"/>
  <c r="E109" i="29"/>
  <c r="E110" i="29"/>
  <c r="E111" i="29"/>
  <c r="E112" i="29"/>
  <c r="E113" i="29"/>
  <c r="E114" i="29"/>
  <c r="E115" i="29"/>
  <c r="E63" i="29"/>
  <c r="E165" i="29" s="1"/>
  <c r="G165" i="29" s="1"/>
  <c r="E64" i="29"/>
  <c r="E166" i="29" s="1"/>
  <c r="G166" i="29" s="1"/>
  <c r="E65" i="29"/>
  <c r="E167" i="29" s="1"/>
  <c r="G167" i="29" s="1"/>
  <c r="E66" i="29"/>
  <c r="E168" i="29" s="1"/>
  <c r="G168" i="29" s="1"/>
  <c r="E67" i="29"/>
  <c r="E169" i="29" s="1"/>
  <c r="G169" i="29" s="1"/>
  <c r="E68" i="29"/>
  <c r="E170" i="29" s="1"/>
  <c r="G170" i="29" s="1"/>
  <c r="E69" i="29"/>
  <c r="E171" i="29" s="1"/>
  <c r="G171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8" i="29"/>
  <c r="E9" i="29"/>
  <c r="E10" i="29"/>
  <c r="E11" i="29"/>
  <c r="E12" i="29"/>
  <c r="E7" i="29"/>
  <c r="E106" i="28"/>
  <c r="E107" i="28"/>
  <c r="E108" i="28"/>
  <c r="E109" i="28"/>
  <c r="E110" i="28"/>
  <c r="E111" i="28"/>
  <c r="E112" i="28"/>
  <c r="E113" i="28"/>
  <c r="E114" i="28"/>
  <c r="E115" i="28"/>
  <c r="E111" i="25"/>
  <c r="E15" i="28"/>
  <c r="G15" i="28" s="1"/>
  <c r="E50" i="27"/>
  <c r="E7" i="40"/>
  <c r="E7" i="25"/>
  <c r="G7" i="25" s="1"/>
  <c r="E77" i="24"/>
  <c r="E7" i="24"/>
  <c r="E7" i="23"/>
  <c r="E8" i="23"/>
  <c r="E9" i="23"/>
  <c r="G9" i="23" s="1"/>
  <c r="O9" i="23" s="1"/>
  <c r="G88" i="31"/>
  <c r="G86" i="31"/>
  <c r="G88" i="43"/>
  <c r="G86" i="43"/>
  <c r="Q32" i="44"/>
  <c r="G87" i="29"/>
  <c r="G88" i="29"/>
  <c r="G86" i="29"/>
  <c r="G87" i="28"/>
  <c r="G88" i="28"/>
  <c r="G86" i="28"/>
  <c r="O30" i="44" s="1"/>
  <c r="G88" i="27"/>
  <c r="G86" i="27"/>
  <c r="G87" i="40"/>
  <c r="G86" i="40"/>
  <c r="N86" i="40" s="1"/>
  <c r="G88" i="25"/>
  <c r="Q27" i="44" s="1"/>
  <c r="G86" i="25"/>
  <c r="O27" i="44" s="1"/>
  <c r="G87" i="24"/>
  <c r="G88" i="24"/>
  <c r="Q26" i="44" s="1"/>
  <c r="G86" i="24"/>
  <c r="O26" i="44" s="1"/>
  <c r="G86" i="23"/>
  <c r="O86" i="23" s="1"/>
  <c r="G86" i="22"/>
  <c r="G86" i="21"/>
  <c r="G88" i="20"/>
  <c r="G86" i="20"/>
  <c r="G88" i="19"/>
  <c r="G86" i="19"/>
  <c r="G86" i="18"/>
  <c r="G88" i="17"/>
  <c r="G87" i="16"/>
  <c r="G86" i="16"/>
  <c r="G86" i="15"/>
  <c r="G86" i="14"/>
  <c r="G88" i="13"/>
  <c r="G86" i="13"/>
  <c r="G86" i="12"/>
  <c r="G88" i="11"/>
  <c r="G86" i="11"/>
  <c r="G87" i="9"/>
  <c r="G86" i="9"/>
  <c r="G88" i="8"/>
  <c r="Q10" i="44" s="1"/>
  <c r="G86" i="8"/>
  <c r="G87" i="7"/>
  <c r="G86" i="7"/>
  <c r="G87" i="33"/>
  <c r="G88" i="33"/>
  <c r="G86" i="33"/>
  <c r="N86" i="33" s="1"/>
  <c r="G88" i="5"/>
  <c r="G86" i="5"/>
  <c r="E86" i="4"/>
  <c r="G86" i="4" s="1"/>
  <c r="G87" i="3"/>
  <c r="G88" i="3"/>
  <c r="G86" i="3"/>
  <c r="G88" i="10"/>
  <c r="G87" i="8"/>
  <c r="G87" i="12"/>
  <c r="G87" i="20"/>
  <c r="G87" i="31"/>
  <c r="G88" i="7"/>
  <c r="Q9" i="44" s="1"/>
  <c r="G88" i="23"/>
  <c r="O88" i="23" s="1"/>
  <c r="G87" i="11"/>
  <c r="G87" i="15"/>
  <c r="G87" i="19"/>
  <c r="G87" i="23"/>
  <c r="O87" i="23" s="1"/>
  <c r="G87" i="43"/>
  <c r="G87" i="27"/>
  <c r="G88" i="15"/>
  <c r="G87" i="25"/>
  <c r="G88" i="12"/>
  <c r="G88" i="16"/>
  <c r="G87" i="5"/>
  <c r="G88" i="9"/>
  <c r="Q11" i="44" s="1"/>
  <c r="G87" i="10"/>
  <c r="G86" i="10"/>
  <c r="G87" i="13"/>
  <c r="G88" i="14"/>
  <c r="G87" i="14"/>
  <c r="G87" i="17"/>
  <c r="G86" i="17"/>
  <c r="G88" i="18"/>
  <c r="G87" i="18"/>
  <c r="G88" i="22"/>
  <c r="G87" i="22"/>
  <c r="G88" i="40"/>
  <c r="G87" i="30"/>
  <c r="G86" i="30"/>
  <c r="O32" i="44" s="1"/>
  <c r="G87" i="2"/>
  <c r="G88" i="2"/>
  <c r="G86" i="2"/>
  <c r="Q12" i="44" l="1"/>
  <c r="H89" i="33"/>
  <c r="J89" i="5"/>
  <c r="Q7" i="44"/>
  <c r="H90" i="33"/>
  <c r="J90" i="5"/>
  <c r="P26" i="44"/>
  <c r="R26" i="44"/>
  <c r="R27" i="44"/>
  <c r="P27" i="44"/>
  <c r="P34" i="44"/>
  <c r="H88" i="24"/>
  <c r="J88" i="24" s="1"/>
  <c r="H86" i="24"/>
  <c r="J86" i="24" s="1"/>
  <c r="O13" i="44"/>
  <c r="O12" i="44"/>
  <c r="H86" i="9"/>
  <c r="J86" i="9" s="1"/>
  <c r="O11" i="44"/>
  <c r="H86" i="8"/>
  <c r="J86" i="8" s="1"/>
  <c r="O10" i="44"/>
  <c r="O9" i="44"/>
  <c r="P8" i="44"/>
  <c r="Q8" i="44"/>
  <c r="O8" i="44"/>
  <c r="P7" i="44"/>
  <c r="O7" i="44"/>
  <c r="O6" i="44"/>
  <c r="Q6" i="44"/>
  <c r="Q5" i="44"/>
  <c r="P5" i="44"/>
  <c r="H87" i="2"/>
  <c r="J87" i="2" s="1"/>
  <c r="P4" i="44"/>
  <c r="P6" i="44"/>
  <c r="O5" i="44"/>
  <c r="H86" i="2"/>
  <c r="J86" i="2" s="1"/>
  <c r="O4" i="44"/>
  <c r="H88" i="2"/>
  <c r="J88" i="2" s="1"/>
  <c r="Q4" i="44"/>
  <c r="H86" i="43"/>
  <c r="J86" i="43" s="1"/>
  <c r="O33" i="44"/>
  <c r="H86" i="29"/>
  <c r="J86" i="29" s="1"/>
  <c r="O31" i="44"/>
  <c r="H86" i="27"/>
  <c r="J86" i="27" s="1"/>
  <c r="O29" i="44"/>
  <c r="H86" i="40"/>
  <c r="J86" i="40" s="1"/>
  <c r="O28" i="44"/>
  <c r="H86" i="25"/>
  <c r="J86" i="25" s="1"/>
  <c r="H86" i="23"/>
  <c r="J86" i="23" s="1"/>
  <c r="O25" i="44"/>
  <c r="O24" i="44"/>
  <c r="O23" i="44"/>
  <c r="O22" i="44"/>
  <c r="H86" i="19"/>
  <c r="J86" i="19" s="1"/>
  <c r="O21" i="44"/>
  <c r="H86" i="18"/>
  <c r="J86" i="18" s="1"/>
  <c r="O20" i="44"/>
  <c r="H86" i="17"/>
  <c r="J86" i="17" s="1"/>
  <c r="O19" i="44"/>
  <c r="H86" i="16"/>
  <c r="J86" i="16" s="1"/>
  <c r="O18" i="44"/>
  <c r="H86" i="15"/>
  <c r="J86" i="15" s="1"/>
  <c r="O17" i="44"/>
  <c r="H86" i="14"/>
  <c r="J86" i="14" s="1"/>
  <c r="O16" i="44"/>
  <c r="H86" i="13"/>
  <c r="J86" i="13" s="1"/>
  <c r="O15" i="44"/>
  <c r="H86" i="12"/>
  <c r="J86" i="12" s="1"/>
  <c r="O14" i="44"/>
  <c r="P9" i="44"/>
  <c r="Q24" i="44"/>
  <c r="H87" i="13"/>
  <c r="J87" i="13" s="1"/>
  <c r="P15" i="44"/>
  <c r="R15" i="44"/>
  <c r="H87" i="23"/>
  <c r="J87" i="23" s="1"/>
  <c r="R25" i="44"/>
  <c r="P25" i="44"/>
  <c r="H87" i="12"/>
  <c r="J87" i="12" s="1"/>
  <c r="R14" i="44"/>
  <c r="P14" i="44"/>
  <c r="R24" i="44"/>
  <c r="P24" i="44"/>
  <c r="H88" i="18"/>
  <c r="J88" i="18" s="1"/>
  <c r="Q20" i="44"/>
  <c r="H88" i="14"/>
  <c r="J88" i="14" s="1"/>
  <c r="Q16" i="44"/>
  <c r="H88" i="9"/>
  <c r="J88" i="9" s="1"/>
  <c r="H87" i="25"/>
  <c r="J87" i="25" s="1"/>
  <c r="H87" i="43"/>
  <c r="J87" i="43" s="1"/>
  <c r="R33" i="44"/>
  <c r="P33" i="44"/>
  <c r="R13" i="44"/>
  <c r="P13" i="44"/>
  <c r="R22" i="44"/>
  <c r="P22" i="44"/>
  <c r="H88" i="8"/>
  <c r="J88" i="8" s="1"/>
  <c r="Q13" i="44"/>
  <c r="H88" i="17"/>
  <c r="J88" i="17" s="1"/>
  <c r="Q19" i="44"/>
  <c r="H87" i="24"/>
  <c r="J87" i="24" s="1"/>
  <c r="H87" i="40"/>
  <c r="J87" i="40" s="1"/>
  <c r="R28" i="44"/>
  <c r="P28" i="44"/>
  <c r="H88" i="28"/>
  <c r="J88" i="28" s="1"/>
  <c r="Q30" i="44"/>
  <c r="H87" i="29"/>
  <c r="J87" i="29" s="1"/>
  <c r="P31" i="44"/>
  <c r="R31" i="44"/>
  <c r="O34" i="44"/>
  <c r="H87" i="18"/>
  <c r="J87" i="18" s="1"/>
  <c r="R20" i="44"/>
  <c r="P20" i="44"/>
  <c r="H88" i="12"/>
  <c r="J88" i="12" s="1"/>
  <c r="Q14" i="44"/>
  <c r="R34" i="44"/>
  <c r="H88" i="13"/>
  <c r="J88" i="13" s="1"/>
  <c r="Q15" i="44"/>
  <c r="H87" i="16"/>
  <c r="J87" i="16" s="1"/>
  <c r="R18" i="44"/>
  <c r="P18" i="44"/>
  <c r="H88" i="19"/>
  <c r="J88" i="19" s="1"/>
  <c r="Q21" i="44"/>
  <c r="Q23" i="44"/>
  <c r="H88" i="29"/>
  <c r="J88" i="29" s="1"/>
  <c r="Q31" i="44"/>
  <c r="H88" i="43"/>
  <c r="J88" i="43" s="1"/>
  <c r="Q33" i="44"/>
  <c r="H88" i="40"/>
  <c r="J88" i="40" s="1"/>
  <c r="Q28" i="44"/>
  <c r="H87" i="14"/>
  <c r="J87" i="14" s="1"/>
  <c r="R16" i="44"/>
  <c r="P16" i="44"/>
  <c r="P12" i="44"/>
  <c r="H87" i="27"/>
  <c r="J87" i="27" s="1"/>
  <c r="R29" i="44"/>
  <c r="P29" i="44"/>
  <c r="H87" i="15"/>
  <c r="J87" i="15" s="1"/>
  <c r="R17" i="44"/>
  <c r="P17" i="44"/>
  <c r="R32" i="44"/>
  <c r="P32" i="44"/>
  <c r="P23" i="44"/>
  <c r="R23" i="44"/>
  <c r="H87" i="17"/>
  <c r="J87" i="17" s="1"/>
  <c r="P19" i="44"/>
  <c r="R19" i="44"/>
  <c r="H88" i="16"/>
  <c r="J88" i="16" s="1"/>
  <c r="Q18" i="44"/>
  <c r="H88" i="15"/>
  <c r="J88" i="15" s="1"/>
  <c r="Q17" i="44"/>
  <c r="H87" i="19"/>
  <c r="J87" i="19" s="1"/>
  <c r="R21" i="44"/>
  <c r="P21" i="44"/>
  <c r="H87" i="8"/>
  <c r="J87" i="8" s="1"/>
  <c r="P10" i="44"/>
  <c r="H87" i="9"/>
  <c r="J87" i="9" s="1"/>
  <c r="P11" i="44"/>
  <c r="H88" i="25"/>
  <c r="J88" i="25" s="1"/>
  <c r="H88" i="27"/>
  <c r="J88" i="27" s="1"/>
  <c r="Q29" i="44"/>
  <c r="H88" i="23"/>
  <c r="J88" i="23" s="1"/>
  <c r="Q25" i="44"/>
  <c r="Q22" i="44"/>
  <c r="H87" i="28"/>
  <c r="J87" i="28" s="1"/>
  <c r="R30" i="44"/>
  <c r="P30" i="44"/>
  <c r="H87" i="30"/>
  <c r="J87" i="30" s="1"/>
  <c r="H88" i="30"/>
  <c r="J88" i="30" s="1"/>
  <c r="H86" i="30"/>
  <c r="J86" i="30" s="1"/>
  <c r="H86" i="28"/>
  <c r="J86" i="28" s="1"/>
  <c r="E40" i="22"/>
  <c r="E8" i="22"/>
  <c r="H87" i="3" l="1"/>
  <c r="H88" i="3"/>
  <c r="H88" i="4" s="1"/>
  <c r="H86" i="3"/>
  <c r="H88" i="20"/>
  <c r="H87" i="20"/>
  <c r="H86" i="20"/>
  <c r="J88" i="3"/>
  <c r="H90" i="7"/>
  <c r="J90" i="7" s="1"/>
  <c r="J90" i="33"/>
  <c r="H86" i="10"/>
  <c r="H87" i="10"/>
  <c r="H88" i="10"/>
  <c r="J87" i="3"/>
  <c r="H87" i="4"/>
  <c r="H89" i="7"/>
  <c r="J89" i="7" s="1"/>
  <c r="J89" i="33"/>
  <c r="H88" i="31"/>
  <c r="N88" i="31" s="1"/>
  <c r="H87" i="31"/>
  <c r="N87" i="31" s="1"/>
  <c r="H86" i="31"/>
  <c r="N86" i="31" s="1"/>
  <c r="E15" i="20"/>
  <c r="E41" i="18"/>
  <c r="E7" i="20"/>
  <c r="E8" i="17"/>
  <c r="E9" i="17"/>
  <c r="E116" i="16"/>
  <c r="E8" i="16"/>
  <c r="G8" i="16" s="1"/>
  <c r="E8" i="15"/>
  <c r="O8" i="14"/>
  <c r="O7" i="14"/>
  <c r="J86" i="3" l="1"/>
  <c r="H86" i="4"/>
  <c r="H87" i="21"/>
  <c r="J87" i="20"/>
  <c r="J86" i="20"/>
  <c r="H86" i="21"/>
  <c r="H88" i="21"/>
  <c r="J88" i="20"/>
  <c r="J87" i="4"/>
  <c r="H87" i="5"/>
  <c r="H86" i="11"/>
  <c r="J86" i="11" s="1"/>
  <c r="J86" i="10"/>
  <c r="H87" i="11"/>
  <c r="J87" i="11" s="1"/>
  <c r="J87" i="10"/>
  <c r="J88" i="4"/>
  <c r="H88" i="5"/>
  <c r="H88" i="11"/>
  <c r="J88" i="11" s="1"/>
  <c r="J88" i="10"/>
  <c r="J86" i="31"/>
  <c r="J87" i="31"/>
  <c r="J88" i="31"/>
  <c r="E96" i="14"/>
  <c r="E97" i="14"/>
  <c r="E98" i="14"/>
  <c r="E99" i="14"/>
  <c r="E100" i="14"/>
  <c r="E8" i="14"/>
  <c r="E9" i="14"/>
  <c r="E10" i="14"/>
  <c r="E11" i="14"/>
  <c r="E12" i="14"/>
  <c r="E133" i="13"/>
  <c r="E136" i="13"/>
  <c r="E138" i="13"/>
  <c r="E139" i="13"/>
  <c r="E140" i="13"/>
  <c r="J86" i="4" l="1"/>
  <c r="H86" i="5"/>
  <c r="J88" i="21"/>
  <c r="H88" i="22"/>
  <c r="J88" i="22" s="1"/>
  <c r="J87" i="21"/>
  <c r="H87" i="22"/>
  <c r="J87" i="22" s="1"/>
  <c r="J86" i="21"/>
  <c r="H86" i="22"/>
  <c r="J86" i="22" s="1"/>
  <c r="H87" i="33"/>
  <c r="J87" i="5"/>
  <c r="H88" i="33"/>
  <c r="J88" i="5"/>
  <c r="E115" i="13"/>
  <c r="E105" i="13"/>
  <c r="E106" i="13"/>
  <c r="E109" i="13"/>
  <c r="E110" i="13"/>
  <c r="E111" i="13"/>
  <c r="E114" i="13"/>
  <c r="E93" i="13"/>
  <c r="E94" i="13"/>
  <c r="E95" i="13"/>
  <c r="E96" i="13"/>
  <c r="E97" i="13"/>
  <c r="E98" i="13"/>
  <c r="E99" i="13"/>
  <c r="E100" i="13"/>
  <c r="E38" i="13"/>
  <c r="E37" i="13"/>
  <c r="E8" i="13"/>
  <c r="E9" i="13"/>
  <c r="E10" i="13"/>
  <c r="E11" i="13"/>
  <c r="E12" i="13"/>
  <c r="E8" i="12"/>
  <c r="E9" i="12"/>
  <c r="G9" i="12" s="1"/>
  <c r="E10" i="12"/>
  <c r="E11" i="12"/>
  <c r="E12" i="12"/>
  <c r="E7" i="12"/>
  <c r="P14" i="12"/>
  <c r="P16" i="12"/>
  <c r="P17" i="12"/>
  <c r="P21" i="12"/>
  <c r="P23" i="12"/>
  <c r="P24" i="12"/>
  <c r="P25" i="12"/>
  <c r="P26" i="12"/>
  <c r="P33" i="12"/>
  <c r="P34" i="12"/>
  <c r="P48" i="12"/>
  <c r="P61" i="12"/>
  <c r="P70" i="12"/>
  <c r="P71" i="12"/>
  <c r="P91" i="12"/>
  <c r="P102" i="12"/>
  <c r="P103" i="12"/>
  <c r="P108" i="12"/>
  <c r="P113" i="12"/>
  <c r="P121" i="12"/>
  <c r="P122" i="12"/>
  <c r="P129" i="12"/>
  <c r="P141" i="12"/>
  <c r="E93" i="12"/>
  <c r="E94" i="12"/>
  <c r="E95" i="12"/>
  <c r="E96" i="12"/>
  <c r="E97" i="12"/>
  <c r="E98" i="12"/>
  <c r="E99" i="12"/>
  <c r="E100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115" i="12"/>
  <c r="E114" i="12"/>
  <c r="E111" i="12"/>
  <c r="E110" i="12"/>
  <c r="E109" i="12"/>
  <c r="E106" i="12"/>
  <c r="E105" i="12"/>
  <c r="E104" i="12"/>
  <c r="E49" i="12"/>
  <c r="E76" i="10"/>
  <c r="E105" i="11"/>
  <c r="E106" i="11"/>
  <c r="E109" i="11"/>
  <c r="E110" i="11"/>
  <c r="E111" i="11"/>
  <c r="E114" i="11"/>
  <c r="E115" i="11"/>
  <c r="E104" i="11"/>
  <c r="E100" i="11"/>
  <c r="E93" i="11"/>
  <c r="E95" i="11"/>
  <c r="E96" i="11"/>
  <c r="E97" i="11"/>
  <c r="E98" i="11"/>
  <c r="E99" i="11"/>
  <c r="E93" i="10"/>
  <c r="G93" i="10" s="1"/>
  <c r="E94" i="10"/>
  <c r="E95" i="10"/>
  <c r="G95" i="10" s="1"/>
  <c r="E96" i="10"/>
  <c r="G96" i="10" s="1"/>
  <c r="E97" i="10"/>
  <c r="G97" i="10" s="1"/>
  <c r="E98" i="10"/>
  <c r="G98" i="10" s="1"/>
  <c r="E99" i="10"/>
  <c r="G99" i="10" s="1"/>
  <c r="E100" i="10"/>
  <c r="G100" i="10" s="1"/>
  <c r="E73" i="10"/>
  <c r="G73" i="10" s="1"/>
  <c r="E74" i="10"/>
  <c r="G74" i="10" s="1"/>
  <c r="E75" i="10"/>
  <c r="G75" i="10" s="1"/>
  <c r="E77" i="10"/>
  <c r="G77" i="10" s="1"/>
  <c r="E78" i="10"/>
  <c r="G78" i="10" s="1"/>
  <c r="E79" i="10"/>
  <c r="G79" i="10" s="1"/>
  <c r="E80" i="10"/>
  <c r="G80" i="10" s="1"/>
  <c r="E81" i="10"/>
  <c r="G81" i="10" s="1"/>
  <c r="E82" i="10"/>
  <c r="G82" i="10" s="1"/>
  <c r="E83" i="10"/>
  <c r="G83" i="10" s="1"/>
  <c r="E84" i="10"/>
  <c r="G84" i="10" s="1"/>
  <c r="E63" i="10"/>
  <c r="E64" i="10"/>
  <c r="G64" i="10" s="1"/>
  <c r="E65" i="10"/>
  <c r="G65" i="10" s="1"/>
  <c r="E66" i="10"/>
  <c r="G66" i="10" s="1"/>
  <c r="E67" i="10"/>
  <c r="G67" i="10" s="1"/>
  <c r="E68" i="10"/>
  <c r="G68" i="10" s="1"/>
  <c r="E69" i="10"/>
  <c r="G69" i="10" s="1"/>
  <c r="E51" i="10"/>
  <c r="G51" i="10" s="1"/>
  <c r="E52" i="10"/>
  <c r="G52" i="10" s="1"/>
  <c r="E53" i="10"/>
  <c r="G53" i="10" s="1"/>
  <c r="E54" i="10"/>
  <c r="G54" i="10" s="1"/>
  <c r="E55" i="10"/>
  <c r="G55" i="10" s="1"/>
  <c r="E56" i="10"/>
  <c r="G56" i="10" s="1"/>
  <c r="E57" i="10"/>
  <c r="G57" i="10" s="1"/>
  <c r="E58" i="10"/>
  <c r="G58" i="10" s="1"/>
  <c r="M12" i="44" s="1"/>
  <c r="E36" i="10"/>
  <c r="G36" i="10" s="1"/>
  <c r="E37" i="10"/>
  <c r="G37" i="10" s="1"/>
  <c r="E38" i="10"/>
  <c r="E39" i="10"/>
  <c r="G39" i="10" s="1"/>
  <c r="G40" i="10"/>
  <c r="E41" i="10"/>
  <c r="G41" i="10" s="1"/>
  <c r="E42" i="10"/>
  <c r="G42" i="10" s="1"/>
  <c r="E43" i="10"/>
  <c r="G43" i="10" s="1"/>
  <c r="E44" i="10"/>
  <c r="G44" i="10" s="1"/>
  <c r="E45" i="10"/>
  <c r="G45" i="10" s="1"/>
  <c r="E46" i="10"/>
  <c r="E23" i="10"/>
  <c r="E22" i="10"/>
  <c r="G22" i="10" s="1"/>
  <c r="E8" i="10"/>
  <c r="G8" i="10" s="1"/>
  <c r="E10" i="10"/>
  <c r="G10" i="10" s="1"/>
  <c r="E11" i="10"/>
  <c r="G11" i="10" s="1"/>
  <c r="E12" i="10"/>
  <c r="G12" i="10" s="1"/>
  <c r="E7" i="10"/>
  <c r="G7" i="10" s="1"/>
  <c r="E104" i="10"/>
  <c r="E105" i="10"/>
  <c r="G105" i="10" s="1"/>
  <c r="E106" i="10"/>
  <c r="G106" i="10" s="1"/>
  <c r="E108" i="10"/>
  <c r="E109" i="10"/>
  <c r="G109" i="10" s="1"/>
  <c r="E110" i="10"/>
  <c r="G110" i="10" s="1"/>
  <c r="E111" i="10"/>
  <c r="G111" i="10" s="1"/>
  <c r="E114" i="10"/>
  <c r="G114" i="10" s="1"/>
  <c r="E115" i="10"/>
  <c r="G115" i="10" s="1"/>
  <c r="E15" i="10"/>
  <c r="G15" i="10" s="1"/>
  <c r="G9" i="10"/>
  <c r="I7" i="10"/>
  <c r="E18" i="10"/>
  <c r="G18" i="10"/>
  <c r="E19" i="10"/>
  <c r="G19" i="10" s="1"/>
  <c r="E29" i="10"/>
  <c r="G29" i="10" s="1"/>
  <c r="E35" i="10"/>
  <c r="G35" i="10" s="1"/>
  <c r="G38" i="10"/>
  <c r="G46" i="10"/>
  <c r="E49" i="10"/>
  <c r="G49" i="10" s="1"/>
  <c r="E50" i="10"/>
  <c r="G50" i="10" s="1"/>
  <c r="E62" i="10"/>
  <c r="G62" i="10" s="1"/>
  <c r="S12" i="44" s="1"/>
  <c r="G63" i="10"/>
  <c r="T12" i="44" s="1"/>
  <c r="E72" i="10"/>
  <c r="G72" i="10" s="1"/>
  <c r="E92" i="10"/>
  <c r="G92" i="10" s="1"/>
  <c r="G104" i="10"/>
  <c r="J113" i="10"/>
  <c r="G116" i="10"/>
  <c r="E123" i="10"/>
  <c r="G123" i="10" s="1"/>
  <c r="E124" i="10"/>
  <c r="G124" i="10" s="1"/>
  <c r="E125" i="10"/>
  <c r="G125" i="10" s="1"/>
  <c r="E126" i="10"/>
  <c r="G126" i="10" s="1"/>
  <c r="E127" i="10"/>
  <c r="G127" i="10" s="1"/>
  <c r="E130" i="10"/>
  <c r="G130" i="10" s="1"/>
  <c r="G131" i="10"/>
  <c r="G132" i="10"/>
  <c r="G133" i="10"/>
  <c r="G134" i="10"/>
  <c r="G135" i="10"/>
  <c r="G136" i="10"/>
  <c r="AJ12" i="44" s="1"/>
  <c r="G137" i="10"/>
  <c r="G138" i="10"/>
  <c r="G139" i="10"/>
  <c r="G140" i="10"/>
  <c r="AI12" i="44" s="1"/>
  <c r="E115" i="9"/>
  <c r="E110" i="8"/>
  <c r="E111" i="8"/>
  <c r="E111" i="9"/>
  <c r="E110" i="7"/>
  <c r="G110" i="7" s="1"/>
  <c r="E111" i="7"/>
  <c r="E109" i="7"/>
  <c r="E110" i="4"/>
  <c r="E111" i="4"/>
  <c r="E109" i="4"/>
  <c r="E109" i="8"/>
  <c r="E109" i="9"/>
  <c r="E110" i="9"/>
  <c r="E114" i="9"/>
  <c r="E106" i="9"/>
  <c r="E105" i="9"/>
  <c r="G105" i="9" s="1"/>
  <c r="E15" i="9"/>
  <c r="G15" i="9" s="1"/>
  <c r="E8" i="9"/>
  <c r="E105" i="8"/>
  <c r="E115" i="7"/>
  <c r="E114" i="7"/>
  <c r="E123" i="8"/>
  <c r="E115" i="8"/>
  <c r="E114" i="8"/>
  <c r="E106" i="8"/>
  <c r="H86" i="33" l="1"/>
  <c r="J86" i="5"/>
  <c r="H87" i="7"/>
  <c r="J87" i="7" s="1"/>
  <c r="J87" i="33"/>
  <c r="L14" i="45"/>
  <c r="H88" i="7"/>
  <c r="J88" i="7" s="1"/>
  <c r="J88" i="33"/>
  <c r="L13" i="45"/>
  <c r="E31" i="10"/>
  <c r="G31" i="10" s="1"/>
  <c r="P9" i="12"/>
  <c r="E30" i="10"/>
  <c r="G30" i="10" s="1"/>
  <c r="G76" i="10"/>
  <c r="G85" i="10" s="1"/>
  <c r="G20" i="10"/>
  <c r="E27" i="10"/>
  <c r="G27" i="10" s="1"/>
  <c r="G117" i="10"/>
  <c r="I136" i="10"/>
  <c r="G118" i="10"/>
  <c r="F118" i="10"/>
  <c r="G94" i="10"/>
  <c r="I138" i="10"/>
  <c r="G144" i="10"/>
  <c r="G148" i="10"/>
  <c r="G47" i="10"/>
  <c r="G142" i="10"/>
  <c r="I133" i="10"/>
  <c r="G119" i="10"/>
  <c r="G101" i="10"/>
  <c r="F119" i="10"/>
  <c r="G146" i="10"/>
  <c r="G59" i="10"/>
  <c r="G150" i="10"/>
  <c r="G152" i="10"/>
  <c r="G128" i="10"/>
  <c r="E28" i="10"/>
  <c r="G28" i="10" s="1"/>
  <c r="G13" i="10"/>
  <c r="G112" i="10"/>
  <c r="G107" i="10"/>
  <c r="G109" i="7"/>
  <c r="E105" i="7"/>
  <c r="E106" i="7"/>
  <c r="H86" i="7" l="1"/>
  <c r="J86" i="7" s="1"/>
  <c r="J86" i="33"/>
  <c r="G120" i="10"/>
  <c r="F120" i="10"/>
  <c r="G149" i="10"/>
  <c r="G32" i="10"/>
  <c r="I13" i="10"/>
  <c r="G60" i="10"/>
  <c r="I60" i="10" s="1"/>
  <c r="G153" i="10"/>
  <c r="G151" i="10"/>
  <c r="G143" i="10"/>
  <c r="G147" i="10"/>
  <c r="G145" i="10"/>
  <c r="G106" i="7"/>
  <c r="E8" i="7"/>
  <c r="G8" i="7" s="1"/>
  <c r="I59" i="10" l="1"/>
  <c r="E107" i="33"/>
  <c r="E108" i="33"/>
  <c r="E112" i="33"/>
  <c r="E113" i="33"/>
  <c r="E100" i="33"/>
  <c r="E96" i="33" l="1"/>
  <c r="E8" i="33"/>
  <c r="G8" i="33" s="1"/>
  <c r="E134" i="5" l="1"/>
  <c r="G8" i="5"/>
  <c r="E132" i="4"/>
  <c r="G123" i="2"/>
  <c r="E27" i="5" l="1"/>
  <c r="G27" i="5" s="1"/>
  <c r="E19" i="3"/>
  <c r="G19" i="3" s="1"/>
  <c r="G9" i="2" l="1"/>
  <c r="G35" i="2"/>
  <c r="G8" i="2" l="1"/>
  <c r="E27" i="2" s="1"/>
  <c r="N27" i="29" s="1"/>
  <c r="G7" i="2"/>
  <c r="E29" i="43"/>
  <c r="G27" i="2" l="1"/>
  <c r="N27" i="31"/>
  <c r="A3" i="46"/>
  <c r="G15" i="2"/>
  <c r="G79" i="31"/>
  <c r="G131" i="31"/>
  <c r="G132" i="31"/>
  <c r="G133" i="31"/>
  <c r="G135" i="31"/>
  <c r="G136" i="31"/>
  <c r="G137" i="31"/>
  <c r="G139" i="31"/>
  <c r="G140" i="31"/>
  <c r="G130" i="31"/>
  <c r="G125" i="31"/>
  <c r="G123" i="31"/>
  <c r="E108" i="30"/>
  <c r="E107" i="30"/>
  <c r="E108" i="43"/>
  <c r="G105" i="31"/>
  <c r="G106" i="31"/>
  <c r="G109" i="31"/>
  <c r="G110" i="31"/>
  <c r="G111" i="31"/>
  <c r="G114" i="31"/>
  <c r="G104" i="31"/>
  <c r="G93" i="31"/>
  <c r="G95" i="31"/>
  <c r="G97" i="31"/>
  <c r="G98" i="31"/>
  <c r="G99" i="31"/>
  <c r="G92" i="31"/>
  <c r="G73" i="31"/>
  <c r="G74" i="31"/>
  <c r="G75" i="31"/>
  <c r="G76" i="31"/>
  <c r="G77" i="31"/>
  <c r="G78" i="31"/>
  <c r="G81" i="31"/>
  <c r="G82" i="31"/>
  <c r="G83" i="31"/>
  <c r="G84" i="31"/>
  <c r="G72" i="31"/>
  <c r="G63" i="31"/>
  <c r="G167" i="31"/>
  <c r="G169" i="31"/>
  <c r="G171" i="31"/>
  <c r="G62" i="31"/>
  <c r="G50" i="31"/>
  <c r="G51" i="31"/>
  <c r="G53" i="31"/>
  <c r="G54" i="31"/>
  <c r="G55" i="31"/>
  <c r="G57" i="31"/>
  <c r="G58" i="31"/>
  <c r="G49" i="31"/>
  <c r="G36" i="31"/>
  <c r="G37" i="31"/>
  <c r="G38" i="31"/>
  <c r="G39" i="31"/>
  <c r="G41" i="31"/>
  <c r="G42" i="31"/>
  <c r="G43" i="31"/>
  <c r="G45" i="31"/>
  <c r="G46" i="31"/>
  <c r="G35" i="31"/>
  <c r="G22" i="31"/>
  <c r="G19" i="31"/>
  <c r="G15" i="31"/>
  <c r="G8" i="31"/>
  <c r="G10" i="31"/>
  <c r="G11" i="31"/>
  <c r="G12" i="31"/>
  <c r="G7" i="31"/>
  <c r="G80" i="31"/>
  <c r="G96" i="31"/>
  <c r="G100" i="31"/>
  <c r="G138" i="31"/>
  <c r="G134" i="31"/>
  <c r="G127" i="31"/>
  <c r="G126" i="31"/>
  <c r="G124" i="31"/>
  <c r="G116" i="31"/>
  <c r="G115" i="31"/>
  <c r="J113" i="31"/>
  <c r="G69" i="31"/>
  <c r="G65" i="31"/>
  <c r="G56" i="31"/>
  <c r="G52" i="31"/>
  <c r="G44" i="31"/>
  <c r="G40" i="31"/>
  <c r="G29" i="31"/>
  <c r="G18" i="31"/>
  <c r="I15" i="31"/>
  <c r="K9" i="31"/>
  <c r="M8" i="31"/>
  <c r="I7" i="31"/>
  <c r="E28" i="31" l="1"/>
  <c r="G28" i="31" s="1"/>
  <c r="E28" i="2"/>
  <c r="G28" i="2" s="1"/>
  <c r="E31" i="31"/>
  <c r="G31" i="31" s="1"/>
  <c r="AH13" i="45"/>
  <c r="AI34" i="44"/>
  <c r="E27" i="31"/>
  <c r="G27" i="31" s="1"/>
  <c r="AJ34" i="44"/>
  <c r="AH14" i="45"/>
  <c r="E30" i="31"/>
  <c r="G30" i="31" s="1"/>
  <c r="S34" i="44"/>
  <c r="T34" i="44"/>
  <c r="H27" i="2"/>
  <c r="G68" i="31"/>
  <c r="G170" i="31"/>
  <c r="G67" i="31"/>
  <c r="G66" i="31"/>
  <c r="G168" i="31"/>
  <c r="G64" i="31"/>
  <c r="G166" i="31"/>
  <c r="M34" i="44"/>
  <c r="G20" i="31"/>
  <c r="G47" i="31"/>
  <c r="F118" i="31"/>
  <c r="G59" i="31"/>
  <c r="G94" i="31"/>
  <c r="G107" i="31"/>
  <c r="I133" i="31"/>
  <c r="G128" i="31"/>
  <c r="H128" i="31" s="1"/>
  <c r="N128" i="31" s="1"/>
  <c r="G152" i="31"/>
  <c r="G144" i="31"/>
  <c r="F119" i="31"/>
  <c r="G101" i="31"/>
  <c r="G119" i="31"/>
  <c r="G117" i="31"/>
  <c r="I136" i="31"/>
  <c r="G150" i="31"/>
  <c r="G85" i="31"/>
  <c r="G13" i="31"/>
  <c r="G142" i="31"/>
  <c r="G146" i="31"/>
  <c r="G112" i="31"/>
  <c r="G148" i="31"/>
  <c r="I138" i="31"/>
  <c r="G118" i="31"/>
  <c r="N28" i="31" l="1"/>
  <c r="N28" i="29"/>
  <c r="G172" i="31"/>
  <c r="H28" i="2"/>
  <c r="I13" i="31"/>
  <c r="G32" i="31"/>
  <c r="G143" i="31"/>
  <c r="G145" i="31"/>
  <c r="G149" i="31"/>
  <c r="F120" i="31"/>
  <c r="G120" i="31"/>
  <c r="G60" i="31"/>
  <c r="G153" i="31"/>
  <c r="G147" i="31"/>
  <c r="G151" i="31"/>
  <c r="I60" i="31" l="1"/>
  <c r="I59" i="31"/>
  <c r="I8" i="29" l="1"/>
  <c r="I8" i="28" l="1"/>
  <c r="E29" i="27" l="1"/>
  <c r="I8" i="27" l="1"/>
  <c r="I8" i="40"/>
  <c r="I8" i="25"/>
  <c r="AI24" i="45"/>
  <c r="AI26" i="45"/>
  <c r="I8" i="24" l="1"/>
  <c r="I8" i="23"/>
  <c r="I8" i="22"/>
  <c r="G62" i="20"/>
  <c r="S22" i="44" s="1"/>
  <c r="E58" i="21"/>
  <c r="I8" i="21"/>
  <c r="F4" i="45" l="1"/>
  <c r="E4" i="45"/>
  <c r="D4" i="45"/>
  <c r="J4" i="1" l="1"/>
  <c r="E8" i="43"/>
  <c r="G8" i="43" s="1"/>
  <c r="E8" i="30"/>
  <c r="G8" i="30" s="1"/>
  <c r="E8" i="28"/>
  <c r="E8" i="27"/>
  <c r="E8" i="25"/>
  <c r="E8" i="24"/>
  <c r="G8" i="24" s="1"/>
  <c r="E8" i="21"/>
  <c r="E8" i="20"/>
  <c r="E8" i="19"/>
  <c r="E8" i="18"/>
  <c r="K9" i="17"/>
  <c r="K8" i="17"/>
  <c r="K7" i="17"/>
  <c r="E15" i="17"/>
  <c r="G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0" i="15"/>
  <c r="E41" i="15"/>
  <c r="E42" i="15"/>
  <c r="E43" i="15"/>
  <c r="E44" i="15"/>
  <c r="E45" i="15"/>
  <c r="E46" i="15"/>
  <c r="I8" i="15"/>
  <c r="G8" i="15"/>
  <c r="G8" i="12"/>
  <c r="G9" i="14"/>
  <c r="G58" i="12"/>
  <c r="G57" i="12"/>
  <c r="P57" i="12" s="1"/>
  <c r="G56" i="12"/>
  <c r="P56" i="12" s="1"/>
  <c r="G55" i="12"/>
  <c r="P55" i="12" s="1"/>
  <c r="G54" i="12"/>
  <c r="P54" i="12" s="1"/>
  <c r="G53" i="12"/>
  <c r="P53" i="12" s="1"/>
  <c r="G52" i="12"/>
  <c r="P52" i="12" s="1"/>
  <c r="G51" i="12"/>
  <c r="P51" i="12" s="1"/>
  <c r="G50" i="12"/>
  <c r="G49" i="12"/>
  <c r="P49" i="12" s="1"/>
  <c r="E50" i="13"/>
  <c r="E51" i="13"/>
  <c r="E52" i="13"/>
  <c r="E53" i="13"/>
  <c r="E54" i="13"/>
  <c r="E55" i="13"/>
  <c r="E56" i="13"/>
  <c r="E57" i="13"/>
  <c r="E58" i="13"/>
  <c r="E7" i="13"/>
  <c r="G7" i="13" s="1"/>
  <c r="F2" i="47" l="1"/>
  <c r="F3" i="47" s="1"/>
  <c r="F4" i="47" s="1"/>
  <c r="F5" i="47" s="1"/>
  <c r="F6" i="47" s="1"/>
  <c r="F7" i="47" s="1"/>
  <c r="F8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2" i="47" s="1"/>
  <c r="F23" i="47" s="1"/>
  <c r="F24" i="47" s="1"/>
  <c r="F25" i="47" s="1"/>
  <c r="F26" i="47" s="1"/>
  <c r="F27" i="47" s="1"/>
  <c r="F28" i="47" s="1"/>
  <c r="F29" i="47" s="1"/>
  <c r="F30" i="47" s="1"/>
  <c r="F31" i="47" s="1"/>
  <c r="J35" i="1"/>
  <c r="P58" i="12"/>
  <c r="M14" i="44"/>
  <c r="G33" i="1"/>
  <c r="P50" i="12"/>
  <c r="P8" i="12"/>
  <c r="G59" i="12"/>
  <c r="P59" i="12" s="1"/>
  <c r="E105" i="43"/>
  <c r="E106" i="43"/>
  <c r="E107" i="43"/>
  <c r="E109" i="43"/>
  <c r="E110" i="43"/>
  <c r="E111" i="43"/>
  <c r="E112" i="43"/>
  <c r="E113" i="43"/>
  <c r="E114" i="43"/>
  <c r="E115" i="43"/>
  <c r="E104" i="43"/>
  <c r="E105" i="30"/>
  <c r="E106" i="30"/>
  <c r="E109" i="30"/>
  <c r="E110" i="30"/>
  <c r="E111" i="30"/>
  <c r="E112" i="30"/>
  <c r="E113" i="30"/>
  <c r="E114" i="30"/>
  <c r="E115" i="30"/>
  <c r="E104" i="30"/>
  <c r="G106" i="29"/>
  <c r="E104" i="29"/>
  <c r="E105" i="28"/>
  <c r="E104" i="28"/>
  <c r="E105" i="27"/>
  <c r="E106" i="27"/>
  <c r="E107" i="27"/>
  <c r="E108" i="27"/>
  <c r="E109" i="27"/>
  <c r="E112" i="27"/>
  <c r="E113" i="27"/>
  <c r="E114" i="27"/>
  <c r="E115" i="27"/>
  <c r="E104" i="27"/>
  <c r="E105" i="40"/>
  <c r="E106" i="40"/>
  <c r="E107" i="40"/>
  <c r="E108" i="40"/>
  <c r="E109" i="40"/>
  <c r="E110" i="40"/>
  <c r="E111" i="40"/>
  <c r="E112" i="40"/>
  <c r="E113" i="40"/>
  <c r="E114" i="40"/>
  <c r="E115" i="40"/>
  <c r="E104" i="40"/>
  <c r="E115" i="25"/>
  <c r="E109" i="25"/>
  <c r="E110" i="25"/>
  <c r="E105" i="25"/>
  <c r="E106" i="25"/>
  <c r="E108" i="25"/>
  <c r="E112" i="25"/>
  <c r="E114" i="25"/>
  <c r="E104" i="25"/>
  <c r="E105" i="24"/>
  <c r="E106" i="24"/>
  <c r="E107" i="24"/>
  <c r="E108" i="24"/>
  <c r="E109" i="24"/>
  <c r="E110" i="24"/>
  <c r="E111" i="24"/>
  <c r="E112" i="24"/>
  <c r="E113" i="24"/>
  <c r="E114" i="24"/>
  <c r="E115" i="24"/>
  <c r="E104" i="24"/>
  <c r="E105" i="23"/>
  <c r="E106" i="23"/>
  <c r="E107" i="23"/>
  <c r="E108" i="23"/>
  <c r="E109" i="23"/>
  <c r="E110" i="23"/>
  <c r="E111" i="23"/>
  <c r="E112" i="23"/>
  <c r="E113" i="23"/>
  <c r="E114" i="23"/>
  <c r="E115" i="23"/>
  <c r="E104" i="23"/>
  <c r="E105" i="22"/>
  <c r="E106" i="22"/>
  <c r="E107" i="22"/>
  <c r="E108" i="22"/>
  <c r="E109" i="22"/>
  <c r="E110" i="22"/>
  <c r="E111" i="22"/>
  <c r="E112" i="22"/>
  <c r="E113" i="22"/>
  <c r="E114" i="22"/>
  <c r="E115" i="22"/>
  <c r="E104" i="22"/>
  <c r="E105" i="21"/>
  <c r="E106" i="21"/>
  <c r="E107" i="21"/>
  <c r="E108" i="21"/>
  <c r="E109" i="21"/>
  <c r="E110" i="21"/>
  <c r="E111" i="21"/>
  <c r="E112" i="21"/>
  <c r="E113" i="21"/>
  <c r="E114" i="21"/>
  <c r="E115" i="21"/>
  <c r="E104" i="21"/>
  <c r="E105" i="20"/>
  <c r="E106" i="20"/>
  <c r="E107" i="20"/>
  <c r="E108" i="20"/>
  <c r="E109" i="20"/>
  <c r="E110" i="20"/>
  <c r="E111" i="20"/>
  <c r="E112" i="20"/>
  <c r="E113" i="20"/>
  <c r="E114" i="20"/>
  <c r="E115" i="20"/>
  <c r="E104" i="20"/>
  <c r="E105" i="19"/>
  <c r="E106" i="19"/>
  <c r="E107" i="19"/>
  <c r="E108" i="19"/>
  <c r="E109" i="19"/>
  <c r="E110" i="19"/>
  <c r="E111" i="19"/>
  <c r="E112" i="19"/>
  <c r="E113" i="19"/>
  <c r="E114" i="19"/>
  <c r="E115" i="19"/>
  <c r="E104" i="19"/>
  <c r="E105" i="18"/>
  <c r="E106" i="18"/>
  <c r="E107" i="18"/>
  <c r="E108" i="18"/>
  <c r="E109" i="18"/>
  <c r="E110" i="18"/>
  <c r="E111" i="18"/>
  <c r="E112" i="18"/>
  <c r="E113" i="18"/>
  <c r="E114" i="18"/>
  <c r="E115" i="18"/>
  <c r="E104" i="18"/>
  <c r="E105" i="17"/>
  <c r="E106" i="17"/>
  <c r="E107" i="17"/>
  <c r="E108" i="17"/>
  <c r="E109" i="17"/>
  <c r="E110" i="17"/>
  <c r="E111" i="17"/>
  <c r="E112" i="17"/>
  <c r="E113" i="17"/>
  <c r="E114" i="17"/>
  <c r="E115" i="17"/>
  <c r="E104" i="17"/>
  <c r="E105" i="16"/>
  <c r="E106" i="16"/>
  <c r="E107" i="16"/>
  <c r="E108" i="16"/>
  <c r="E109" i="16"/>
  <c r="E110" i="16"/>
  <c r="E111" i="16"/>
  <c r="E112" i="16"/>
  <c r="E113" i="16"/>
  <c r="E114" i="16"/>
  <c r="E115" i="16"/>
  <c r="E104" i="16"/>
  <c r="E105" i="15"/>
  <c r="E106" i="15"/>
  <c r="E107" i="15"/>
  <c r="E108" i="15"/>
  <c r="E109" i="15"/>
  <c r="E110" i="15"/>
  <c r="E111" i="15"/>
  <c r="E112" i="15"/>
  <c r="E113" i="15"/>
  <c r="E114" i="15"/>
  <c r="E115" i="15"/>
  <c r="E104" i="15"/>
  <c r="E105" i="14"/>
  <c r="E106" i="14"/>
  <c r="E109" i="14"/>
  <c r="E110" i="14"/>
  <c r="E111" i="14"/>
  <c r="E114" i="14"/>
  <c r="E115" i="14"/>
  <c r="E104" i="1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 i="4"/>
  <c r="E106" i="4"/>
  <c r="E105" i="4"/>
  <c r="E104" i="4"/>
  <c r="E115" i="3"/>
  <c r="E114" i="3"/>
  <c r="E111" i="3"/>
  <c r="E110" i="3"/>
  <c r="E106" i="3"/>
  <c r="E105" i="3"/>
  <c r="E104" i="3"/>
  <c r="E29" i="5"/>
  <c r="G29" i="5" s="1"/>
  <c r="E29" i="33"/>
  <c r="G29" i="33" s="1"/>
  <c r="E29" i="7"/>
  <c r="G29" i="7" s="1"/>
  <c r="E29" i="8"/>
  <c r="G29" i="8" s="1"/>
  <c r="E29" i="11"/>
  <c r="G29" i="11" s="1"/>
  <c r="E29" i="12"/>
  <c r="G29" i="12" s="1"/>
  <c r="P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O29" i="23" s="1"/>
  <c r="E29" i="24"/>
  <c r="G29" i="24" s="1"/>
  <c r="E29" i="25"/>
  <c r="G29" i="25" s="1"/>
  <c r="E29" i="40"/>
  <c r="G29" i="40" s="1"/>
  <c r="E29" i="28"/>
  <c r="G29" i="28" s="1"/>
  <c r="E29" i="29"/>
  <c r="G29" i="29" s="1"/>
  <c r="E29" i="30"/>
  <c r="G29" i="30" s="1"/>
  <c r="G29" i="43"/>
  <c r="E29" i="4"/>
  <c r="G29" i="4" s="1"/>
  <c r="E29" i="3"/>
  <c r="G29" i="3" s="1"/>
  <c r="G29" i="13" l="1"/>
  <c r="G116" i="5"/>
  <c r="G115" i="5"/>
  <c r="G114" i="5"/>
  <c r="J113" i="5"/>
  <c r="G111" i="5"/>
  <c r="G110" i="5"/>
  <c r="G109" i="5"/>
  <c r="G106" i="5"/>
  <c r="G105" i="5"/>
  <c r="G104" i="5"/>
  <c r="G116" i="33"/>
  <c r="G115" i="33"/>
  <c r="G114" i="33"/>
  <c r="J113" i="33"/>
  <c r="G111" i="33"/>
  <c r="G110" i="33"/>
  <c r="G109" i="33"/>
  <c r="G106" i="33"/>
  <c r="G105" i="33"/>
  <c r="G104" i="33"/>
  <c r="G116" i="7"/>
  <c r="G115" i="7"/>
  <c r="G114" i="7"/>
  <c r="J113" i="7"/>
  <c r="G111" i="7"/>
  <c r="I20" i="45"/>
  <c r="I18" i="45"/>
  <c r="G105" i="7"/>
  <c r="G104" i="7"/>
  <c r="G116" i="8"/>
  <c r="G115" i="8"/>
  <c r="G114" i="8"/>
  <c r="J113" i="8"/>
  <c r="G111" i="8"/>
  <c r="G110" i="8"/>
  <c r="G109" i="8"/>
  <c r="G106" i="8"/>
  <c r="G105" i="8"/>
  <c r="G104" i="8"/>
  <c r="G116" i="9"/>
  <c r="G115" i="9"/>
  <c r="G114" i="9"/>
  <c r="J113" i="9"/>
  <c r="G111" i="9"/>
  <c r="G110" i="9"/>
  <c r="G109" i="9"/>
  <c r="G106" i="9"/>
  <c r="K17" i="45"/>
  <c r="G104" i="9"/>
  <c r="L22" i="45"/>
  <c r="L21" i="45"/>
  <c r="L20" i="45"/>
  <c r="L18" i="45"/>
  <c r="L17" i="45"/>
  <c r="L16" i="45"/>
  <c r="G116" i="11"/>
  <c r="G115" i="11"/>
  <c r="G114" i="11"/>
  <c r="J113" i="11"/>
  <c r="G111" i="11"/>
  <c r="G110" i="11"/>
  <c r="G109" i="11"/>
  <c r="G106" i="11"/>
  <c r="G105" i="11"/>
  <c r="G116" i="12"/>
  <c r="P116" i="12" s="1"/>
  <c r="G115" i="12"/>
  <c r="G114" i="12"/>
  <c r="N13" i="45" s="1"/>
  <c r="J113" i="12"/>
  <c r="G111" i="12"/>
  <c r="G110" i="12"/>
  <c r="G109" i="12"/>
  <c r="G106" i="12"/>
  <c r="G105" i="12"/>
  <c r="G104" i="12"/>
  <c r="G116" i="13"/>
  <c r="G115" i="13"/>
  <c r="G114" i="13"/>
  <c r="J113" i="13"/>
  <c r="G111" i="13"/>
  <c r="G110" i="13"/>
  <c r="G109" i="13"/>
  <c r="G106" i="13"/>
  <c r="G105" i="13"/>
  <c r="G104" i="13"/>
  <c r="G116" i="14"/>
  <c r="G115" i="14"/>
  <c r="P14" i="45" s="1"/>
  <c r="G114" i="14"/>
  <c r="J113" i="14"/>
  <c r="G111" i="14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 i="15"/>
  <c r="Q14" i="45" s="1"/>
  <c r="G114" i="15"/>
  <c r="Q13" i="45" s="1"/>
  <c r="J113" i="15"/>
  <c r="G111" i="15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 i="16"/>
  <c r="R14" i="45" s="1"/>
  <c r="G114" i="16"/>
  <c r="R13" i="45" s="1"/>
  <c r="J113" i="16"/>
  <c r="G111" i="16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 i="17"/>
  <c r="S14" i="45" s="1"/>
  <c r="G114" i="17"/>
  <c r="J113" i="17"/>
  <c r="G111" i="17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 i="18"/>
  <c r="T14" i="45" s="1"/>
  <c r="G114" i="18"/>
  <c r="J113" i="18"/>
  <c r="G111" i="18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 i="19"/>
  <c r="U14" i="45" s="1"/>
  <c r="G114" i="19"/>
  <c r="U13" i="45" s="1"/>
  <c r="J113" i="19"/>
  <c r="G111" i="19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 i="20"/>
  <c r="G114" i="20"/>
  <c r="J113" i="20"/>
  <c r="G111" i="20"/>
  <c r="G110" i="20"/>
  <c r="G109" i="20"/>
  <c r="G106" i="20"/>
  <c r="G105" i="20"/>
  <c r="G104" i="20"/>
  <c r="G116" i="21"/>
  <c r="G115" i="21"/>
  <c r="G114" i="21"/>
  <c r="J113" i="21"/>
  <c r="G111" i="21"/>
  <c r="G110" i="21"/>
  <c r="G109" i="21"/>
  <c r="G106" i="21"/>
  <c r="G105" i="21"/>
  <c r="G104" i="21"/>
  <c r="G116" i="22"/>
  <c r="G115" i="22"/>
  <c r="G114" i="22"/>
  <c r="J113" i="22"/>
  <c r="G111" i="22"/>
  <c r="G110" i="22"/>
  <c r="G109" i="22"/>
  <c r="G106" i="22"/>
  <c r="G105" i="22"/>
  <c r="G104" i="22"/>
  <c r="G116" i="23"/>
  <c r="O116" i="23" s="1"/>
  <c r="G115" i="23"/>
  <c r="G114" i="23"/>
  <c r="J113" i="23"/>
  <c r="G111" i="23"/>
  <c r="G110" i="23"/>
  <c r="G109" i="23"/>
  <c r="O109" i="23" s="1"/>
  <c r="G106" i="23"/>
  <c r="G105" i="23"/>
  <c r="G104" i="23"/>
  <c r="G116" i="24"/>
  <c r="G115" i="24"/>
  <c r="Z14" i="45" s="1"/>
  <c r="G114" i="24"/>
  <c r="Z13" i="45" s="1"/>
  <c r="J113" i="24"/>
  <c r="G111" i="24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 i="25"/>
  <c r="AA14" i="45" s="1"/>
  <c r="G114" i="25"/>
  <c r="J113" i="25"/>
  <c r="G111" i="25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 i="40"/>
  <c r="AB14" i="45" s="1"/>
  <c r="G114" i="40"/>
  <c r="J113" i="40"/>
  <c r="G111" i="40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 i="27"/>
  <c r="AC14" i="45" s="1"/>
  <c r="G114" i="27"/>
  <c r="AC13" i="45" s="1"/>
  <c r="J113" i="27"/>
  <c r="G111" i="27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 i="28"/>
  <c r="AD14" i="45" s="1"/>
  <c r="G114" i="28"/>
  <c r="J113" i="28"/>
  <c r="G111" i="28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 i="29"/>
  <c r="AE14" i="45" s="1"/>
  <c r="G114" i="29"/>
  <c r="J113" i="29"/>
  <c r="G111" i="29"/>
  <c r="AE22" i="45" s="1"/>
  <c r="G110" i="29"/>
  <c r="AE21" i="45" s="1"/>
  <c r="G109" i="29"/>
  <c r="AE20" i="45" s="1"/>
  <c r="AE18" i="45"/>
  <c r="G105" i="29"/>
  <c r="AE17" i="45" s="1"/>
  <c r="G104" i="29"/>
  <c r="AE16" i="45" s="1"/>
  <c r="G116" i="30"/>
  <c r="G115" i="30"/>
  <c r="G114" i="30"/>
  <c r="J113" i="30"/>
  <c r="G111" i="30"/>
  <c r="G110" i="30"/>
  <c r="G109" i="30"/>
  <c r="G106" i="30"/>
  <c r="G105" i="30"/>
  <c r="G104" i="30"/>
  <c r="G116" i="43"/>
  <c r="G115" i="43"/>
  <c r="AG14" i="45" s="1"/>
  <c r="G114" i="43"/>
  <c r="AG13" i="45" s="1"/>
  <c r="J113" i="43"/>
  <c r="G111" i="43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 i="45"/>
  <c r="AH21" i="45"/>
  <c r="AH20" i="45"/>
  <c r="AH18" i="45"/>
  <c r="AH17" i="45"/>
  <c r="AH16" i="45"/>
  <c r="G116" i="4"/>
  <c r="G115" i="4"/>
  <c r="G114" i="4"/>
  <c r="J113" i="4"/>
  <c r="G111" i="4"/>
  <c r="G110" i="4"/>
  <c r="G109" i="4"/>
  <c r="G106" i="4"/>
  <c r="G105" i="4"/>
  <c r="G104" i="4"/>
  <c r="G116" i="2"/>
  <c r="H116" i="2" s="1"/>
  <c r="G115" i="2"/>
  <c r="G114" i="2"/>
  <c r="J113" i="2"/>
  <c r="G111" i="2"/>
  <c r="H111" i="2" s="1"/>
  <c r="G110" i="2"/>
  <c r="H110" i="2" s="1"/>
  <c r="G109" i="2"/>
  <c r="H109" i="2" s="1"/>
  <c r="G106" i="2"/>
  <c r="H106" i="2" s="1"/>
  <c r="G105" i="2"/>
  <c r="H105" i="2" s="1"/>
  <c r="G104" i="2"/>
  <c r="H104" i="2" s="1"/>
  <c r="J113" i="3"/>
  <c r="G116" i="3"/>
  <c r="H116" i="3" s="1"/>
  <c r="G115" i="3"/>
  <c r="G114" i="3"/>
  <c r="G111" i="3"/>
  <c r="G110" i="3"/>
  <c r="G109" i="3"/>
  <c r="G106" i="3"/>
  <c r="G105" i="3"/>
  <c r="G104" i="3"/>
  <c r="G190" i="11"/>
  <c r="G191" i="11"/>
  <c r="G189" i="11"/>
  <c r="G185" i="11"/>
  <c r="G186" i="11"/>
  <c r="G184" i="11"/>
  <c r="G180" i="11"/>
  <c r="G181" i="11"/>
  <c r="G179" i="11"/>
  <c r="H116" i="4" l="1"/>
  <c r="H116" i="5" s="1"/>
  <c r="H116" i="33" s="1"/>
  <c r="H116" i="7" s="1"/>
  <c r="H116" i="8" s="1"/>
  <c r="H116" i="9" s="1"/>
  <c r="H116" i="10" s="1"/>
  <c r="H116" i="11" s="1"/>
  <c r="W20" i="45"/>
  <c r="W18" i="45"/>
  <c r="X20" i="45"/>
  <c r="W17" i="45"/>
  <c r="H114" i="20"/>
  <c r="H114" i="21" s="1"/>
  <c r="X18" i="45"/>
  <c r="W16" i="45"/>
  <c r="W14" i="45"/>
  <c r="V18" i="45"/>
  <c r="V17" i="45"/>
  <c r="X21" i="45"/>
  <c r="X17" i="45"/>
  <c r="V22" i="45"/>
  <c r="W21" i="45"/>
  <c r="V16" i="45"/>
  <c r="X16" i="45"/>
  <c r="X14" i="45"/>
  <c r="V21" i="45"/>
  <c r="X22" i="45"/>
  <c r="V14" i="45"/>
  <c r="W22" i="45"/>
  <c r="V20" i="45"/>
  <c r="D14" i="45"/>
  <c r="H115" i="2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 i="45"/>
  <c r="K21" i="45"/>
  <c r="K14" i="45"/>
  <c r="J18" i="45"/>
  <c r="I16" i="45"/>
  <c r="I22" i="45"/>
  <c r="H20" i="45"/>
  <c r="G22" i="45"/>
  <c r="E16" i="45"/>
  <c r="H104" i="3"/>
  <c r="H108" i="4" s="1"/>
  <c r="F21" i="45"/>
  <c r="K22" i="45"/>
  <c r="J20" i="45"/>
  <c r="H16" i="45"/>
  <c r="H14" i="45"/>
  <c r="E20" i="45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 i="45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 i="45"/>
  <c r="K20" i="45"/>
  <c r="K13" i="45"/>
  <c r="J17" i="45"/>
  <c r="J22" i="45"/>
  <c r="I14" i="45"/>
  <c r="H18" i="45"/>
  <c r="G16" i="45"/>
  <c r="G21" i="45"/>
  <c r="G14" i="45"/>
  <c r="F16" i="45"/>
  <c r="F14" i="45"/>
  <c r="H21" i="45"/>
  <c r="E14" i="45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E17" i="45"/>
  <c r="H105" i="3"/>
  <c r="H105" i="4" s="1"/>
  <c r="H105" i="5" s="1"/>
  <c r="H105" i="33" s="1"/>
  <c r="H105" i="7" s="1"/>
  <c r="H105" i="8" s="1"/>
  <c r="H105" i="9" s="1"/>
  <c r="H105" i="10" s="1"/>
  <c r="H105" i="11" s="1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F22" i="45"/>
  <c r="J16" i="45"/>
  <c r="J21" i="45"/>
  <c r="I13" i="45"/>
  <c r="H17" i="45"/>
  <c r="H22" i="45"/>
  <c r="G20" i="45"/>
  <c r="M22" i="45"/>
  <c r="M21" i="45"/>
  <c r="M18" i="45"/>
  <c r="M17" i="45"/>
  <c r="M14" i="45"/>
  <c r="J14" i="45"/>
  <c r="J13" i="45"/>
  <c r="G13" i="45"/>
  <c r="E13" i="45"/>
  <c r="P115" i="12"/>
  <c r="N14" i="45"/>
  <c r="Y22" i="45"/>
  <c r="O111" i="23"/>
  <c r="H13" i="45"/>
  <c r="Y16" i="45"/>
  <c r="O104" i="23"/>
  <c r="AF14" i="45"/>
  <c r="AF13" i="45"/>
  <c r="H114" i="29"/>
  <c r="J114" i="29" s="1"/>
  <c r="AE13" i="45"/>
  <c r="H114" i="28"/>
  <c r="J114" i="28" s="1"/>
  <c r="AD13" i="45"/>
  <c r="H114" i="40"/>
  <c r="J114" i="40" s="1"/>
  <c r="AB13" i="45"/>
  <c r="H114" i="25"/>
  <c r="J114" i="25" s="1"/>
  <c r="AA13" i="45"/>
  <c r="Y14" i="45"/>
  <c r="O115" i="23"/>
  <c r="Y13" i="45"/>
  <c r="O114" i="23"/>
  <c r="Y21" i="45"/>
  <c r="O110" i="23"/>
  <c r="Y18" i="45"/>
  <c r="O106" i="23"/>
  <c r="Y17" i="45"/>
  <c r="O105" i="23"/>
  <c r="X13" i="45"/>
  <c r="W13" i="45"/>
  <c r="V13" i="45"/>
  <c r="H114" i="18"/>
  <c r="J114" i="18" s="1"/>
  <c r="T13" i="45"/>
  <c r="H114" i="17"/>
  <c r="J114" i="17" s="1"/>
  <c r="S13" i="45"/>
  <c r="O14" i="45"/>
  <c r="H114" i="14"/>
  <c r="J114" i="14" s="1"/>
  <c r="P13" i="45"/>
  <c r="O13" i="45"/>
  <c r="D17" i="45"/>
  <c r="D22" i="45"/>
  <c r="D20" i="45"/>
  <c r="D16" i="45"/>
  <c r="D21" i="45"/>
  <c r="D18" i="45"/>
  <c r="AF20" i="45"/>
  <c r="AF18" i="45"/>
  <c r="AF17" i="45"/>
  <c r="AF22" i="45"/>
  <c r="AF16" i="45"/>
  <c r="AF21" i="45"/>
  <c r="O16" i="45"/>
  <c r="O20" i="45"/>
  <c r="O21" i="45"/>
  <c r="O18" i="45"/>
  <c r="O17" i="45"/>
  <c r="O22" i="45"/>
  <c r="N20" i="45"/>
  <c r="P109" i="12"/>
  <c r="N18" i="45"/>
  <c r="P106" i="12"/>
  <c r="H114" i="12"/>
  <c r="J114" i="12" s="1"/>
  <c r="P114" i="12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i="2" s="1"/>
  <c r="G112" i="23"/>
  <c r="O112" i="23" s="1"/>
  <c r="Y20" i="45"/>
  <c r="G117" i="4"/>
  <c r="G117" i="13"/>
  <c r="G193" i="11"/>
  <c r="G107" i="2"/>
  <c r="H107" i="2" s="1"/>
  <c r="G107" i="27"/>
  <c r="G107" i="24"/>
  <c r="G112" i="22"/>
  <c r="G117" i="12"/>
  <c r="P117" i="12" s="1"/>
  <c r="G112" i="9"/>
  <c r="G112" i="30"/>
  <c r="G117" i="30"/>
  <c r="G117" i="20"/>
  <c r="G117" i="19"/>
  <c r="G112" i="15"/>
  <c r="G107" i="14"/>
  <c r="G117" i="9"/>
  <c r="G117" i="25"/>
  <c r="G112" i="24"/>
  <c r="G107" i="43"/>
  <c r="G117" i="43"/>
  <c r="G112" i="43"/>
  <c r="G107" i="30"/>
  <c r="G107" i="28"/>
  <c r="G117" i="28"/>
  <c r="G107" i="25"/>
  <c r="G117" i="22"/>
  <c r="G117" i="21"/>
  <c r="G107" i="21"/>
  <c r="G107" i="20"/>
  <c r="G107" i="19"/>
  <c r="G117" i="18"/>
  <c r="G117" i="16"/>
  <c r="G112" i="16"/>
  <c r="H114" i="13"/>
  <c r="J114" i="13" s="1"/>
  <c r="G107" i="12"/>
  <c r="P107" i="12" s="1"/>
  <c r="G107" i="29"/>
  <c r="G117" i="29"/>
  <c r="G117" i="27"/>
  <c r="G112" i="27"/>
  <c r="G112" i="40"/>
  <c r="G117" i="40"/>
  <c r="G107" i="40"/>
  <c r="G112" i="25"/>
  <c r="G117" i="24"/>
  <c r="G107" i="23"/>
  <c r="O107" i="23" s="1"/>
  <c r="G117" i="23"/>
  <c r="O117" i="23" s="1"/>
  <c r="G107" i="22"/>
  <c r="G112" i="19"/>
  <c r="G112" i="18"/>
  <c r="G107" i="18"/>
  <c r="G112" i="17"/>
  <c r="G107" i="17"/>
  <c r="G107" i="15"/>
  <c r="G117" i="15"/>
  <c r="G112" i="14"/>
  <c r="G117" i="14"/>
  <c r="G107" i="13"/>
  <c r="G112" i="12"/>
  <c r="P112" i="12" s="1"/>
  <c r="G107" i="8"/>
  <c r="G117" i="8"/>
  <c r="G112" i="33"/>
  <c r="G117" i="33"/>
  <c r="G107" i="33"/>
  <c r="G112" i="5"/>
  <c r="G117" i="5"/>
  <c r="G107" i="4"/>
  <c r="G112" i="2"/>
  <c r="H112" i="2" s="1"/>
  <c r="G112" i="4"/>
  <c r="H114" i="43"/>
  <c r="H114" i="23"/>
  <c r="J114" i="23" s="1"/>
  <c r="H114" i="15"/>
  <c r="J114" i="15" s="1"/>
  <c r="H114" i="24"/>
  <c r="J114" i="24" s="1"/>
  <c r="H114" i="16"/>
  <c r="J114" i="16" s="1"/>
  <c r="G112" i="28"/>
  <c r="G112" i="20"/>
  <c r="G117" i="17"/>
  <c r="G107" i="16"/>
  <c r="G112" i="29"/>
  <c r="G112" i="21"/>
  <c r="G112" i="13"/>
  <c r="H114" i="27"/>
  <c r="J114" i="27" s="1"/>
  <c r="H114" i="19"/>
  <c r="J114" i="19" s="1"/>
  <c r="H114" i="30"/>
  <c r="J114" i="30" s="1"/>
  <c r="G117" i="3"/>
  <c r="H117" i="3" s="1"/>
  <c r="G107" i="3"/>
  <c r="G112" i="3"/>
  <c r="G187" i="11"/>
  <c r="G182" i="11"/>
  <c r="H104" i="4" l="1"/>
  <c r="J114" i="20"/>
  <c r="H114" i="22"/>
  <c r="J114" i="22" s="1"/>
  <c r="J114" i="21"/>
  <c r="H104" i="5"/>
  <c r="H104" i="33" s="1"/>
  <c r="H104" i="7" s="1"/>
  <c r="H104" i="8" s="1"/>
  <c r="H104" i="9" s="1"/>
  <c r="H104" i="10" s="1"/>
  <c r="H104" i="11" s="1"/>
  <c r="J114" i="3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 i="11"/>
  <c r="J114" i="43"/>
  <c r="H114" i="31"/>
  <c r="F120" i="2"/>
  <c r="G120" i="11"/>
  <c r="G120" i="9"/>
  <c r="F120" i="9"/>
  <c r="F120" i="8"/>
  <c r="G120" i="8"/>
  <c r="F120" i="7"/>
  <c r="G120" i="12"/>
  <c r="P120" i="12" s="1"/>
  <c r="F120" i="12"/>
  <c r="F120" i="14"/>
  <c r="G120" i="14"/>
  <c r="G120" i="17"/>
  <c r="F120" i="17"/>
  <c r="G120" i="18"/>
  <c r="F120" i="18"/>
  <c r="G120" i="16"/>
  <c r="F120" i="16"/>
  <c r="F120" i="43"/>
  <c r="G120" i="43"/>
  <c r="G120" i="13"/>
  <c r="F120" i="13"/>
  <c r="F120" i="33"/>
  <c r="G120" i="33"/>
  <c r="F120" i="19"/>
  <c r="G120" i="19"/>
  <c r="G120" i="15"/>
  <c r="F120" i="15"/>
  <c r="F120" i="5"/>
  <c r="G120" i="5"/>
  <c r="F120" i="30"/>
  <c r="G120" i="30"/>
  <c r="F120" i="29"/>
  <c r="N120" i="29" s="1"/>
  <c r="G120" i="29"/>
  <c r="F120" i="28"/>
  <c r="G120" i="28"/>
  <c r="F120" i="27"/>
  <c r="G120" i="27"/>
  <c r="G120" i="40"/>
  <c r="F120" i="40"/>
  <c r="F120" i="25"/>
  <c r="G120" i="25"/>
  <c r="F120" i="24"/>
  <c r="G120" i="24"/>
  <c r="F120" i="23"/>
  <c r="G120" i="23"/>
  <c r="O120" i="23" s="1"/>
  <c r="F120" i="22"/>
  <c r="G120" i="22"/>
  <c r="G120" i="21"/>
  <c r="F120" i="21"/>
  <c r="F120" i="20"/>
  <c r="G120" i="20"/>
  <c r="G120" i="3"/>
  <c r="F120" i="3"/>
  <c r="G120" i="4"/>
  <c r="G120" i="2"/>
  <c r="H120" i="2" s="1"/>
  <c r="G8" i="11"/>
  <c r="G8" i="9"/>
  <c r="I8" i="20"/>
  <c r="I8" i="19"/>
  <c r="I8" i="18"/>
  <c r="I8" i="17"/>
  <c r="I7" i="16"/>
  <c r="I8" i="16"/>
  <c r="I8" i="14"/>
  <c r="I8" i="13"/>
  <c r="H114" i="5" l="1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 i="31"/>
  <c r="E27" i="11"/>
  <c r="E27" i="9"/>
  <c r="G27" i="9" s="1"/>
  <c r="E19" i="8"/>
  <c r="E8" i="8"/>
  <c r="G8" i="8" s="1"/>
  <c r="I7" i="4"/>
  <c r="I7" i="3"/>
  <c r="H114" i="33" l="1"/>
  <c r="J114" i="5"/>
  <c r="G27" i="11"/>
  <c r="BF33" i="1"/>
  <c r="BI33" i="1" s="1"/>
  <c r="BE33" i="1"/>
  <c r="BD33" i="1"/>
  <c r="BC33" i="1"/>
  <c r="BB33" i="1"/>
  <c r="BA33" i="1"/>
  <c r="T33" i="1"/>
  <c r="F33" i="1"/>
  <c r="E33" i="1"/>
  <c r="E8" i="3"/>
  <c r="G8" i="3" s="1"/>
  <c r="H11" i="1"/>
  <c r="K11" i="1" s="1"/>
  <c r="H12" i="1"/>
  <c r="K12" i="1" s="1"/>
  <c r="H13" i="1"/>
  <c r="K13" i="1" s="1"/>
  <c r="G8" i="13"/>
  <c r="G8" i="14"/>
  <c r="G8" i="17"/>
  <c r="G8" i="18"/>
  <c r="G8" i="19"/>
  <c r="G8" i="20"/>
  <c r="G8" i="21"/>
  <c r="G8" i="22"/>
  <c r="G8" i="23"/>
  <c r="O8" i="23" s="1"/>
  <c r="G8" i="25"/>
  <c r="G8" i="40"/>
  <c r="G8" i="27"/>
  <c r="G8" i="28"/>
  <c r="G8" i="29"/>
  <c r="E8" i="4"/>
  <c r="G8" i="4" s="1"/>
  <c r="K9" i="43"/>
  <c r="M8" i="43"/>
  <c r="H114" i="7" l="1"/>
  <c r="J114" i="33"/>
  <c r="E27" i="3"/>
  <c r="G27" i="3" s="1"/>
  <c r="L8" i="22"/>
  <c r="E27" i="7"/>
  <c r="G27" i="7" s="1"/>
  <c r="E27" i="8"/>
  <c r="G27" i="8" s="1"/>
  <c r="E27" i="33"/>
  <c r="G27" i="33" s="1"/>
  <c r="E27" i="4"/>
  <c r="G27" i="4" s="1"/>
  <c r="H8" i="2"/>
  <c r="H33" i="1"/>
  <c r="K33" i="1" s="1"/>
  <c r="E27" i="43"/>
  <c r="G27" i="43" s="1"/>
  <c r="H18" i="1"/>
  <c r="K18" i="1" s="1"/>
  <c r="E27" i="16"/>
  <c r="G27" i="16" s="1"/>
  <c r="H27" i="1"/>
  <c r="K27" i="1" s="1"/>
  <c r="E27" i="25"/>
  <c r="G27" i="25" s="1"/>
  <c r="H28" i="1"/>
  <c r="K28" i="1" s="1"/>
  <c r="E27" i="40"/>
  <c r="G27" i="40" s="1"/>
  <c r="H30" i="1"/>
  <c r="K30" i="1" s="1"/>
  <c r="E27" i="28"/>
  <c r="G27" i="28" s="1"/>
  <c r="H14" i="1"/>
  <c r="K14" i="1" s="1"/>
  <c r="E27" i="12"/>
  <c r="G27" i="12" s="1"/>
  <c r="P27" i="12" s="1"/>
  <c r="H31" i="1"/>
  <c r="K31" i="1" s="1"/>
  <c r="E27" i="29"/>
  <c r="G27" i="29" s="1"/>
  <c r="H23" i="1"/>
  <c r="K23" i="1" s="1"/>
  <c r="E27" i="21"/>
  <c r="G27" i="21" s="1"/>
  <c r="H15" i="1"/>
  <c r="K15" i="1" s="1"/>
  <c r="E27" i="13"/>
  <c r="H25" i="1"/>
  <c r="K25" i="1" s="1"/>
  <c r="E27" i="23"/>
  <c r="G27" i="23" s="1"/>
  <c r="O27" i="23" s="1"/>
  <c r="H17" i="1"/>
  <c r="K17" i="1" s="1"/>
  <c r="E27" i="15"/>
  <c r="G27" i="15" s="1"/>
  <c r="H26" i="1"/>
  <c r="K26" i="1" s="1"/>
  <c r="E27" i="24"/>
  <c r="G27" i="24" s="1"/>
  <c r="H19" i="1"/>
  <c r="K19" i="1" s="1"/>
  <c r="E27" i="17"/>
  <c r="G27" i="17" s="1"/>
  <c r="H20" i="1"/>
  <c r="K20" i="1" s="1"/>
  <c r="E27" i="18"/>
  <c r="G27" i="18" s="1"/>
  <c r="H29" i="1"/>
  <c r="K29" i="1" s="1"/>
  <c r="E27" i="27"/>
  <c r="G27" i="27" s="1"/>
  <c r="H21" i="1"/>
  <c r="K21" i="1" s="1"/>
  <c r="E27" i="19"/>
  <c r="G27" i="19" s="1"/>
  <c r="H22" i="1"/>
  <c r="K22" i="1" s="1"/>
  <c r="E27" i="20"/>
  <c r="G27" i="20" s="1"/>
  <c r="H32" i="1"/>
  <c r="K32" i="1" s="1"/>
  <c r="E27" i="30"/>
  <c r="H24" i="1"/>
  <c r="K24" i="1" s="1"/>
  <c r="E27" i="22"/>
  <c r="G27" i="22" s="1"/>
  <c r="H16" i="1"/>
  <c r="K16" i="1" s="1"/>
  <c r="E27" i="14"/>
  <c r="G27" i="14" s="1"/>
  <c r="H4" i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114" i="8" l="1"/>
  <c r="J114" i="7"/>
  <c r="K4" i="1"/>
  <c r="K35" i="1" s="1"/>
  <c r="H35" i="1"/>
  <c r="G27" i="13"/>
  <c r="J8" i="2"/>
  <c r="I9" i="2" s="1"/>
  <c r="G27" i="30"/>
  <c r="H8" i="3"/>
  <c r="J8" i="3" s="1"/>
  <c r="I9" i="3" s="1"/>
  <c r="M10" i="29"/>
  <c r="I7" i="29"/>
  <c r="J114" i="8" l="1"/>
  <c r="H114" i="9"/>
  <c r="N7" i="28"/>
  <c r="J114" i="9" l="1"/>
  <c r="H114" i="10"/>
  <c r="E9" i="28"/>
  <c r="G9" i="28" s="1"/>
  <c r="E10" i="28"/>
  <c r="E11" i="28"/>
  <c r="E12" i="28"/>
  <c r="L16" i="27"/>
  <c r="L19" i="27" s="1"/>
  <c r="H114" i="11" l="1"/>
  <c r="J114" i="11" s="1"/>
  <c r="J114" i="10"/>
  <c r="E23" i="27"/>
  <c r="G23" i="27" s="1"/>
  <c r="E24" i="27"/>
  <c r="G24" i="27" s="1"/>
  <c r="I15" i="27"/>
  <c r="L10" i="40"/>
  <c r="G29" i="27" l="1"/>
  <c r="I15" i="40"/>
  <c r="J3" i="25"/>
  <c r="I3" i="25"/>
  <c r="H3" i="25"/>
  <c r="G3" i="25"/>
  <c r="I7" i="25"/>
  <c r="I15" i="25"/>
  <c r="E7" i="19" l="1"/>
  <c r="E7" i="18"/>
  <c r="G18" i="21"/>
  <c r="E31" i="21" l="1"/>
  <c r="G31" i="21" s="1"/>
  <c r="W5" i="45"/>
  <c r="G32" i="1"/>
  <c r="G31" i="1"/>
  <c r="G30" i="1"/>
  <c r="G29" i="1"/>
  <c r="G28" i="1"/>
  <c r="G27" i="1"/>
  <c r="G26" i="1"/>
  <c r="G25" i="1"/>
  <c r="G24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3" i="1" l="1"/>
  <c r="G19" i="1"/>
  <c r="G21" i="1"/>
  <c r="G18" i="1"/>
  <c r="G20" i="1"/>
  <c r="G17" i="1"/>
  <c r="G22" i="1"/>
  <c r="E165" i="30"/>
  <c r="G165" i="30" s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51" i="29"/>
  <c r="E52" i="29"/>
  <c r="E53" i="29"/>
  <c r="E54" i="29"/>
  <c r="E55" i="29"/>
  <c r="E56" i="29"/>
  <c r="E57" i="29"/>
  <c r="E58" i="29"/>
  <c r="G7" i="29"/>
  <c r="E7" i="28"/>
  <c r="G7" i="28" s="1"/>
  <c r="H17" i="25"/>
  <c r="G35" i="1" l="1"/>
  <c r="E72" i="17"/>
  <c r="E69" i="17"/>
  <c r="G171" i="17" s="1"/>
  <c r="E68" i="17"/>
  <c r="G170" i="17" s="1"/>
  <c r="E67" i="17"/>
  <c r="G169" i="17" s="1"/>
  <c r="E66" i="17"/>
  <c r="G168" i="17" s="1"/>
  <c r="E65" i="17"/>
  <c r="G167" i="17" s="1"/>
  <c r="E64" i="17"/>
  <c r="G166" i="17" s="1"/>
  <c r="E63" i="17"/>
  <c r="G165" i="17" s="1"/>
  <c r="E62" i="17"/>
  <c r="G164" i="17" s="1"/>
  <c r="E58" i="17"/>
  <c r="E57" i="17"/>
  <c r="E56" i="17"/>
  <c r="E55" i="17"/>
  <c r="E54" i="17"/>
  <c r="E53" i="17"/>
  <c r="E52" i="17"/>
  <c r="E51" i="17"/>
  <c r="E50" i="17"/>
  <c r="E49" i="17"/>
  <c r="K49" i="17" s="1"/>
  <c r="G42" i="17"/>
  <c r="E35" i="17"/>
  <c r="E10" i="17"/>
  <c r="E7" i="17"/>
  <c r="E24" i="12"/>
  <c r="E24" i="11"/>
  <c r="G172" i="17" l="1"/>
  <c r="E92" i="9"/>
  <c r="E49" i="8" l="1"/>
  <c r="E72" i="8" l="1"/>
  <c r="E93" i="7" l="1"/>
  <c r="E7" i="7"/>
  <c r="G7" i="7" s="1"/>
  <c r="E66" i="4" l="1"/>
  <c r="E168" i="4" s="1"/>
  <c r="G168" i="4" s="1"/>
  <c r="E7" i="27" l="1"/>
  <c r="G7" i="27" s="1"/>
  <c r="E94" i="40"/>
  <c r="E131" i="25"/>
  <c r="E132" i="25"/>
  <c r="E133" i="25"/>
  <c r="E134" i="25"/>
  <c r="E135" i="25"/>
  <c r="E136" i="25"/>
  <c r="E137" i="25"/>
  <c r="E138" i="25"/>
  <c r="E139" i="25"/>
  <c r="E140" i="25"/>
  <c r="E130" i="25"/>
  <c r="E124" i="25"/>
  <c r="E125" i="25"/>
  <c r="E126" i="25"/>
  <c r="E127" i="25"/>
  <c r="E123" i="25"/>
  <c r="E93" i="25"/>
  <c r="E94" i="25"/>
  <c r="E95" i="25"/>
  <c r="E96" i="25"/>
  <c r="E97" i="25"/>
  <c r="E98" i="25"/>
  <c r="E99" i="25"/>
  <c r="E100" i="25"/>
  <c r="E92" i="25"/>
  <c r="E73" i="25"/>
  <c r="E74" i="25"/>
  <c r="E75" i="25"/>
  <c r="E76" i="25"/>
  <c r="E77" i="25"/>
  <c r="E78" i="25"/>
  <c r="E79" i="25"/>
  <c r="E80" i="25"/>
  <c r="E81" i="25"/>
  <c r="E82" i="25"/>
  <c r="E83" i="25"/>
  <c r="G83" i="25" s="1"/>
  <c r="N27" i="44" s="1"/>
  <c r="E84" i="25"/>
  <c r="E72" i="25"/>
  <c r="E63" i="25"/>
  <c r="E165" i="25" s="1"/>
  <c r="G165" i="25" s="1"/>
  <c r="E64" i="25"/>
  <c r="E166" i="25" s="1"/>
  <c r="G166" i="25" s="1"/>
  <c r="E65" i="25"/>
  <c r="E167" i="25" s="1"/>
  <c r="G167" i="25" s="1"/>
  <c r="E66" i="25"/>
  <c r="E168" i="25" s="1"/>
  <c r="G168" i="25" s="1"/>
  <c r="E67" i="25"/>
  <c r="E169" i="25" s="1"/>
  <c r="G169" i="25" s="1"/>
  <c r="E68" i="25"/>
  <c r="E170" i="25" s="1"/>
  <c r="G170" i="25" s="1"/>
  <c r="E69" i="25"/>
  <c r="E171" i="25" s="1"/>
  <c r="G171" i="25" s="1"/>
  <c r="E62" i="25"/>
  <c r="E164" i="25" s="1"/>
  <c r="G164" i="25" s="1"/>
  <c r="E50" i="25"/>
  <c r="G50" i="25" s="1"/>
  <c r="E51" i="25"/>
  <c r="E52" i="25"/>
  <c r="E53" i="25"/>
  <c r="E54" i="25"/>
  <c r="E55" i="25"/>
  <c r="E56" i="25"/>
  <c r="E57" i="25"/>
  <c r="E49" i="25"/>
  <c r="E36" i="25"/>
  <c r="E37" i="25"/>
  <c r="E38" i="25"/>
  <c r="E39" i="25"/>
  <c r="E40" i="25"/>
  <c r="E42" i="25"/>
  <c r="E43" i="25"/>
  <c r="E44" i="25"/>
  <c r="E45" i="25"/>
  <c r="E46" i="25"/>
  <c r="E35" i="25"/>
  <c r="E23" i="25"/>
  <c r="E24" i="25"/>
  <c r="E22" i="25"/>
  <c r="E19" i="25"/>
  <c r="E18" i="25"/>
  <c r="E15" i="25"/>
  <c r="E10" i="25"/>
  <c r="E11" i="25"/>
  <c r="E12" i="25"/>
  <c r="E9" i="25"/>
  <c r="G9" i="25" s="1"/>
  <c r="E11" i="17"/>
  <c r="E12" i="17"/>
  <c r="E24" i="14"/>
  <c r="E23" i="14"/>
  <c r="E22" i="14"/>
  <c r="G172" i="25" l="1"/>
  <c r="E35" i="13"/>
  <c r="I7" i="9"/>
  <c r="E92" i="8"/>
  <c r="E93" i="8"/>
  <c r="I7" i="8"/>
  <c r="I7" i="5" l="1"/>
  <c r="E69" i="4"/>
  <c r="E171" i="4" s="1"/>
  <c r="G171" i="4" s="1"/>
  <c r="E132" i="43"/>
  <c r="G140" i="25"/>
  <c r="AI27" i="44" s="1"/>
  <c r="G139" i="25"/>
  <c r="G138" i="25"/>
  <c r="AL27" i="44" s="1"/>
  <c r="G137" i="25"/>
  <c r="G136" i="25"/>
  <c r="AJ27" i="44" s="1"/>
  <c r="G135" i="25"/>
  <c r="G134" i="25"/>
  <c r="H134" i="25" s="1"/>
  <c r="G133" i="25"/>
  <c r="G132" i="25"/>
  <c r="G131" i="25"/>
  <c r="G130" i="25"/>
  <c r="G127" i="25"/>
  <c r="AG27" i="44" s="1"/>
  <c r="G126" i="25"/>
  <c r="AF27" i="44" s="1"/>
  <c r="G125" i="25"/>
  <c r="AE27" i="44" s="1"/>
  <c r="G124" i="25"/>
  <c r="AD27" i="44" s="1"/>
  <c r="G123" i="25"/>
  <c r="AC27" i="44" s="1"/>
  <c r="G100" i="25"/>
  <c r="G99" i="25"/>
  <c r="G98" i="25"/>
  <c r="AA12" i="45" s="1"/>
  <c r="AA26" i="45" s="1"/>
  <c r="G97" i="25"/>
  <c r="AA10" i="45" s="1"/>
  <c r="G96" i="25"/>
  <c r="AA9" i="45" s="1"/>
  <c r="G95" i="25"/>
  <c r="AA8" i="45" s="1"/>
  <c r="AA28" i="45" s="1"/>
  <c r="G93" i="25"/>
  <c r="G92" i="25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 i="25"/>
  <c r="G69" i="25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22" i="25"/>
  <c r="G19" i="25"/>
  <c r="G18" i="25"/>
  <c r="G15" i="25"/>
  <c r="E28" i="25" s="1"/>
  <c r="G12" i="25"/>
  <c r="G11" i="25"/>
  <c r="G10" i="25"/>
  <c r="G85" i="25" l="1"/>
  <c r="AA29" i="45"/>
  <c r="AA30" i="45" s="1"/>
  <c r="E31" i="25"/>
  <c r="G31" i="25" s="1"/>
  <c r="AA5" i="45"/>
  <c r="G28" i="25"/>
  <c r="H137" i="25"/>
  <c r="J137" i="25" s="1"/>
  <c r="AK27" i="44"/>
  <c r="AM27" i="44" s="1"/>
  <c r="AA24" i="45"/>
  <c r="E30" i="25"/>
  <c r="G30" i="25" s="1"/>
  <c r="AA6" i="45"/>
  <c r="F119" i="25"/>
  <c r="G119" i="25"/>
  <c r="F118" i="25"/>
  <c r="G118" i="25"/>
  <c r="H135" i="25"/>
  <c r="J135" i="25" s="1"/>
  <c r="M27" i="1"/>
  <c r="G25" i="47" s="1"/>
  <c r="AB27" i="44"/>
  <c r="H138" i="25"/>
  <c r="J138" i="25" s="1"/>
  <c r="G128" i="25"/>
  <c r="G150" i="25"/>
  <c r="G151" i="25" s="1"/>
  <c r="I133" i="25"/>
  <c r="G47" i="25"/>
  <c r="G144" i="25"/>
  <c r="G145" i="25" s="1"/>
  <c r="G152" i="25"/>
  <c r="G153" i="25" s="1"/>
  <c r="G13" i="25"/>
  <c r="G20" i="25"/>
  <c r="G101" i="25"/>
  <c r="J134" i="25"/>
  <c r="I136" i="25"/>
  <c r="G148" i="25"/>
  <c r="G59" i="25"/>
  <c r="G94" i="25"/>
  <c r="I138" i="25"/>
  <c r="G146" i="25"/>
  <c r="G142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0" i="14"/>
  <c r="E41" i="14"/>
  <c r="E42" i="14"/>
  <c r="E43" i="14"/>
  <c r="E44" i="14"/>
  <c r="E45" i="14"/>
  <c r="E46" i="14"/>
  <c r="E41" i="13"/>
  <c r="G41" i="13" s="1"/>
  <c r="AH27" i="44" l="1"/>
  <c r="AO27" i="44" s="1"/>
  <c r="G32" i="25"/>
  <c r="I13" i="25"/>
  <c r="G60" i="25"/>
  <c r="I60" i="25" s="1"/>
  <c r="G143" i="25"/>
  <c r="G147" i="25"/>
  <c r="G149" i="25"/>
  <c r="E123" i="30"/>
  <c r="E35" i="28"/>
  <c r="G35" i="28" s="1"/>
  <c r="I59" i="25" l="1"/>
  <c r="E45" i="21"/>
  <c r="G133" i="2" l="1"/>
  <c r="E36" i="23"/>
  <c r="E37" i="23"/>
  <c r="E38" i="23"/>
  <c r="E39" i="23"/>
  <c r="E43" i="23"/>
  <c r="G43" i="23" s="1"/>
  <c r="O43" i="23" s="1"/>
  <c r="E44" i="23"/>
  <c r="E45" i="23"/>
  <c r="E46" i="23"/>
  <c r="E69" i="16"/>
  <c r="E171" i="16" s="1"/>
  <c r="G171" i="16" s="1"/>
  <c r="E68" i="16"/>
  <c r="E170" i="16" s="1"/>
  <c r="G170" i="16" s="1"/>
  <c r="E67" i="16"/>
  <c r="E169" i="16" s="1"/>
  <c r="G169" i="16" s="1"/>
  <c r="E66" i="16"/>
  <c r="E168" i="16" s="1"/>
  <c r="G168" i="16" s="1"/>
  <c r="E65" i="16"/>
  <c r="E167" i="16" s="1"/>
  <c r="G167" i="16" s="1"/>
  <c r="E64" i="16"/>
  <c r="E166" i="16" s="1"/>
  <c r="G166" i="16" s="1"/>
  <c r="E63" i="16"/>
  <c r="E165" i="16" s="1"/>
  <c r="G165" i="16" s="1"/>
  <c r="E62" i="16"/>
  <c r="E164" i="16" s="1"/>
  <c r="G164" i="16" s="1"/>
  <c r="E58" i="16"/>
  <c r="E57" i="16"/>
  <c r="E56" i="16"/>
  <c r="E55" i="16"/>
  <c r="E54" i="16"/>
  <c r="E53" i="16"/>
  <c r="E52" i="16"/>
  <c r="E51" i="16"/>
  <c r="E50" i="16"/>
  <c r="E49" i="16"/>
  <c r="K49" i="16" s="1"/>
  <c r="E46" i="16"/>
  <c r="E45" i="16"/>
  <c r="E44" i="16"/>
  <c r="E43" i="16"/>
  <c r="E42" i="16"/>
  <c r="E41" i="16"/>
  <c r="G41" i="16" s="1"/>
  <c r="E40" i="16"/>
  <c r="E39" i="16"/>
  <c r="E38" i="16"/>
  <c r="E37" i="16"/>
  <c r="E36" i="16"/>
  <c r="E15" i="16"/>
  <c r="E10" i="16"/>
  <c r="E9" i="16"/>
  <c r="G9" i="16" s="1"/>
  <c r="E50" i="15"/>
  <c r="E51" i="15"/>
  <c r="E52" i="15"/>
  <c r="E53" i="15"/>
  <c r="E54" i="15"/>
  <c r="E55" i="15"/>
  <c r="E56" i="15"/>
  <c r="E57" i="15"/>
  <c r="E58" i="15"/>
  <c r="I7" i="15"/>
  <c r="E36" i="13"/>
  <c r="E39" i="13"/>
  <c r="E40" i="13"/>
  <c r="E42" i="13"/>
  <c r="E43" i="13"/>
  <c r="E44" i="13"/>
  <c r="E45" i="13"/>
  <c r="E46" i="13"/>
  <c r="E7" i="3"/>
  <c r="G134" i="2"/>
  <c r="G172" i="16" l="1"/>
  <c r="E132" i="29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i="17" s="1"/>
  <c r="S10" i="45" s="1"/>
  <c r="E96" i="17"/>
  <c r="G96" i="17" s="1"/>
  <c r="E124" i="13"/>
  <c r="E125" i="13"/>
  <c r="G125" i="13" s="1"/>
  <c r="E126" i="13"/>
  <c r="G126" i="13" s="1"/>
  <c r="E127" i="13"/>
  <c r="G127" i="13" s="1"/>
  <c r="E63" i="13"/>
  <c r="E64" i="13"/>
  <c r="E42" i="7"/>
  <c r="G42" i="7" s="1"/>
  <c r="AW9" i="1" s="1"/>
  <c r="G139" i="2"/>
  <c r="G124" i="2"/>
  <c r="G99" i="2"/>
  <c r="G98" i="2"/>
  <c r="G93" i="2"/>
  <c r="G84" i="2"/>
  <c r="G79" i="2"/>
  <c r="G76" i="2"/>
  <c r="G74" i="2"/>
  <c r="G72" i="2"/>
  <c r="G66" i="2"/>
  <c r="G65" i="2"/>
  <c r="G58" i="2"/>
  <c r="G55" i="2"/>
  <c r="G54" i="2"/>
  <c r="G42" i="2"/>
  <c r="G7" i="3"/>
  <c r="AK34" i="44"/>
  <c r="AL34" i="44"/>
  <c r="AD34" i="44"/>
  <c r="AE34" i="44"/>
  <c r="AF34" i="44"/>
  <c r="AG34" i="44"/>
  <c r="AH9" i="45"/>
  <c r="AH10" i="45"/>
  <c r="AH12" i="45"/>
  <c r="AH26" i="45" s="1"/>
  <c r="AH8" i="45"/>
  <c r="AH28" i="45" s="1"/>
  <c r="AH7" i="45"/>
  <c r="C34" i="44"/>
  <c r="F34" i="44"/>
  <c r="G34" i="44"/>
  <c r="H34" i="44"/>
  <c r="I34" i="44"/>
  <c r="J34" i="44"/>
  <c r="K34" i="44"/>
  <c r="L34" i="44"/>
  <c r="N34" i="44"/>
  <c r="B34" i="44"/>
  <c r="U34" i="44"/>
  <c r="V34" i="44"/>
  <c r="W34" i="44"/>
  <c r="X34" i="44"/>
  <c r="Y34" i="44"/>
  <c r="Z34" i="44"/>
  <c r="E131" i="43"/>
  <c r="G131" i="43" s="1"/>
  <c r="G132" i="43"/>
  <c r="AA33" i="1" s="1"/>
  <c r="E133" i="43"/>
  <c r="E134" i="43"/>
  <c r="G134" i="43" s="1"/>
  <c r="AC33" i="1" s="1"/>
  <c r="E135" i="43"/>
  <c r="G135" i="43" s="1"/>
  <c r="AD33" i="1" s="1"/>
  <c r="E136" i="43"/>
  <c r="G136" i="43" s="1"/>
  <c r="AJ33" i="44" s="1"/>
  <c r="E137" i="43"/>
  <c r="G137" i="43" s="1"/>
  <c r="E138" i="43"/>
  <c r="G138" i="43" s="1"/>
  <c r="E139" i="43"/>
  <c r="G139" i="43" s="1"/>
  <c r="E140" i="43"/>
  <c r="G140" i="43" s="1"/>
  <c r="E130" i="43"/>
  <c r="G130" i="43" s="1"/>
  <c r="E124" i="43"/>
  <c r="G124" i="43" s="1"/>
  <c r="AD33" i="44" s="1"/>
  <c r="E125" i="43"/>
  <c r="G125" i="43" s="1"/>
  <c r="AE33" i="44" s="1"/>
  <c r="E126" i="43"/>
  <c r="G126" i="43" s="1"/>
  <c r="AF33" i="44" s="1"/>
  <c r="E127" i="43"/>
  <c r="G127" i="43" s="1"/>
  <c r="AG33" i="44" s="1"/>
  <c r="E123" i="43"/>
  <c r="G123" i="43" s="1"/>
  <c r="E96" i="43"/>
  <c r="G96" i="43" s="1"/>
  <c r="E97" i="43"/>
  <c r="G97" i="43" s="1"/>
  <c r="E98" i="43"/>
  <c r="G98" i="43" s="1"/>
  <c r="AG12" i="45" s="1"/>
  <c r="AG26" i="45" s="1"/>
  <c r="G99" i="43"/>
  <c r="E95" i="43"/>
  <c r="G95" i="43" s="1"/>
  <c r="E93" i="43"/>
  <c r="G93" i="43" s="1"/>
  <c r="E92" i="43"/>
  <c r="G92" i="43" s="1"/>
  <c r="AG7" i="45" s="1"/>
  <c r="E73" i="43"/>
  <c r="G73" i="43" s="1"/>
  <c r="C33" i="44" s="1"/>
  <c r="E74" i="43"/>
  <c r="G74" i="43" s="1"/>
  <c r="D33" i="44" s="1"/>
  <c r="E75" i="43"/>
  <c r="G75" i="43" s="1"/>
  <c r="E33" i="44" s="1"/>
  <c r="E76" i="43"/>
  <c r="G76" i="43" s="1"/>
  <c r="F33" i="44" s="1"/>
  <c r="E77" i="43"/>
  <c r="G77" i="43" s="1"/>
  <c r="G33" i="44" s="1"/>
  <c r="E78" i="43"/>
  <c r="G78" i="43" s="1"/>
  <c r="H33" i="44" s="1"/>
  <c r="E79" i="43"/>
  <c r="G79" i="43" s="1"/>
  <c r="I33" i="44" s="1"/>
  <c r="E80" i="43"/>
  <c r="G80" i="43" s="1"/>
  <c r="J33" i="44" s="1"/>
  <c r="E81" i="43"/>
  <c r="G81" i="43" s="1"/>
  <c r="K33" i="44" s="1"/>
  <c r="E82" i="43"/>
  <c r="G82" i="43" s="1"/>
  <c r="L33" i="44" s="1"/>
  <c r="E83" i="43"/>
  <c r="G83" i="43" s="1"/>
  <c r="N33" i="44" s="1"/>
  <c r="E84" i="43"/>
  <c r="G84" i="43" s="1"/>
  <c r="AA33" i="44" s="1"/>
  <c r="E72" i="43"/>
  <c r="G72" i="43" s="1"/>
  <c r="B33" i="44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BG33" i="1" s="1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9" i="43"/>
  <c r="G19" i="43" s="1"/>
  <c r="E18" i="43"/>
  <c r="E15" i="43"/>
  <c r="G15" i="43" s="1"/>
  <c r="E10" i="43"/>
  <c r="G10" i="43" s="1"/>
  <c r="E11" i="43"/>
  <c r="G11" i="43" s="1"/>
  <c r="E12" i="43"/>
  <c r="G12" i="43" s="1"/>
  <c r="E9" i="43"/>
  <c r="G9" i="43" s="1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0" i="17"/>
  <c r="G100" i="17" s="1"/>
  <c r="E99" i="17"/>
  <c r="G99" i="17" s="1"/>
  <c r="AA12" i="44"/>
  <c r="G22" i="43"/>
  <c r="G18" i="43"/>
  <c r="I15" i="43"/>
  <c r="E36" i="27"/>
  <c r="G36" i="27" s="1"/>
  <c r="E37" i="27"/>
  <c r="G37" i="27" s="1"/>
  <c r="E38" i="27"/>
  <c r="G38" i="27" s="1"/>
  <c r="E39" i="27"/>
  <c r="G39" i="27" s="1"/>
  <c r="E40" i="27"/>
  <c r="G40" i="27" s="1"/>
  <c r="E41" i="27"/>
  <c r="G41" i="27" s="1"/>
  <c r="E42" i="27"/>
  <c r="G42" i="27" s="1"/>
  <c r="E43" i="27"/>
  <c r="G43" i="27" s="1"/>
  <c r="E44" i="27"/>
  <c r="G44" i="27" s="1"/>
  <c r="E45" i="27"/>
  <c r="G45" i="27" s="1"/>
  <c r="E46" i="27"/>
  <c r="G46" i="27" s="1"/>
  <c r="X27" i="1"/>
  <c r="Y27" i="1"/>
  <c r="E58" i="19"/>
  <c r="G58" i="19" s="1"/>
  <c r="M21" i="44" s="1"/>
  <c r="E52" i="18"/>
  <c r="G52" i="18" s="1"/>
  <c r="BC20" i="1" s="1"/>
  <c r="E54" i="18"/>
  <c r="G54" i="18" s="1"/>
  <c r="BE20" i="1" s="1"/>
  <c r="E135" i="16"/>
  <c r="G135" i="16" s="1"/>
  <c r="AD18" i="1" s="1"/>
  <c r="E99" i="3"/>
  <c r="G99" i="3" s="1"/>
  <c r="G58" i="3"/>
  <c r="E57" i="3"/>
  <c r="G57" i="3" s="1"/>
  <c r="BH5" i="1" s="1"/>
  <c r="E56" i="3"/>
  <c r="G56" i="3" s="1"/>
  <c r="BG5" i="1" s="1"/>
  <c r="E55" i="3"/>
  <c r="G55" i="3" s="1"/>
  <c r="BF5" i="1" s="1"/>
  <c r="E54" i="3"/>
  <c r="G54" i="3" s="1"/>
  <c r="BE5" i="1" s="1"/>
  <c r="E53" i="3"/>
  <c r="G53" i="3" s="1"/>
  <c r="BD5" i="1" s="1"/>
  <c r="E52" i="3"/>
  <c r="G52" i="3" s="1"/>
  <c r="E51" i="3"/>
  <c r="G51" i="3" s="1"/>
  <c r="BB5" i="1" s="1"/>
  <c r="E50" i="3"/>
  <c r="G50" i="3" s="1"/>
  <c r="E49" i="3"/>
  <c r="G49" i="3" s="1"/>
  <c r="BA5" i="1" s="1"/>
  <c r="E36" i="3"/>
  <c r="G36" i="3" s="1"/>
  <c r="E46" i="3"/>
  <c r="G46" i="3" s="1"/>
  <c r="E45" i="3"/>
  <c r="G45" i="3" s="1"/>
  <c r="E44" i="3"/>
  <c r="G44" i="3" s="1"/>
  <c r="E43" i="3"/>
  <c r="G43" i="3" s="1"/>
  <c r="E42" i="3"/>
  <c r="G42" i="3" s="1"/>
  <c r="E41" i="3"/>
  <c r="G41" i="3" s="1"/>
  <c r="E40" i="3"/>
  <c r="G40" i="3" s="1"/>
  <c r="E39" i="3"/>
  <c r="G39" i="3" s="1"/>
  <c r="E38" i="3"/>
  <c r="G38" i="3" s="1"/>
  <c r="E37" i="3"/>
  <c r="G37" i="3" s="1"/>
  <c r="E35" i="3"/>
  <c r="G35" i="3" s="1"/>
  <c r="E23" i="3"/>
  <c r="E22" i="3"/>
  <c r="G22" i="3" s="1"/>
  <c r="E18" i="3"/>
  <c r="E15" i="3"/>
  <c r="E12" i="3"/>
  <c r="E11" i="3"/>
  <c r="G11" i="3" s="1"/>
  <c r="E10" i="3"/>
  <c r="G10" i="3" s="1"/>
  <c r="E9" i="3"/>
  <c r="G9" i="3" s="1"/>
  <c r="E126" i="42"/>
  <c r="G126" i="42" s="1"/>
  <c r="E125" i="42"/>
  <c r="G125" i="42" s="1"/>
  <c r="E124" i="42"/>
  <c r="G124" i="42" s="1"/>
  <c r="E123" i="42"/>
  <c r="G123" i="42" s="1"/>
  <c r="E122" i="42"/>
  <c r="G122" i="42" s="1"/>
  <c r="E121" i="42"/>
  <c r="G121" i="42" s="1"/>
  <c r="E120" i="42"/>
  <c r="G120" i="42" s="1"/>
  <c r="E119" i="42"/>
  <c r="G119" i="42" s="1"/>
  <c r="E118" i="42"/>
  <c r="G118" i="42" s="1"/>
  <c r="E117" i="42"/>
  <c r="G117" i="42" s="1"/>
  <c r="E116" i="42"/>
  <c r="G116" i="42" s="1"/>
  <c r="E101" i="42"/>
  <c r="G101" i="42" s="1"/>
  <c r="E100" i="42"/>
  <c r="G100" i="42" s="1"/>
  <c r="E99" i="42"/>
  <c r="G99" i="42" s="1"/>
  <c r="E98" i="42"/>
  <c r="G98" i="42" s="1"/>
  <c r="E97" i="42"/>
  <c r="G97" i="42" s="1"/>
  <c r="E94" i="42"/>
  <c r="G94" i="42" s="1"/>
  <c r="E93" i="42"/>
  <c r="G93" i="42" s="1"/>
  <c r="E92" i="42"/>
  <c r="G92" i="42" s="1"/>
  <c r="E91" i="42"/>
  <c r="G91" i="42" s="1"/>
  <c r="G90" i="42"/>
  <c r="E89" i="42"/>
  <c r="G89" i="42" s="1"/>
  <c r="E88" i="42"/>
  <c r="E87" i="42"/>
  <c r="G87" i="42" s="1"/>
  <c r="E86" i="42"/>
  <c r="G86" i="42" s="1"/>
  <c r="E83" i="42"/>
  <c r="G83" i="42" s="1"/>
  <c r="E82" i="42"/>
  <c r="G82" i="42" s="1"/>
  <c r="E81" i="42"/>
  <c r="G81" i="42" s="1"/>
  <c r="E80" i="42"/>
  <c r="G80" i="42" s="1"/>
  <c r="E79" i="42"/>
  <c r="G79" i="42" s="1"/>
  <c r="E78" i="42"/>
  <c r="G78" i="42" s="1"/>
  <c r="E77" i="42"/>
  <c r="G77" i="42" s="1"/>
  <c r="E76" i="42"/>
  <c r="G76" i="42" s="1"/>
  <c r="E75" i="42"/>
  <c r="G75" i="42" s="1"/>
  <c r="E74" i="42"/>
  <c r="G74" i="42" s="1"/>
  <c r="E73" i="42"/>
  <c r="G73" i="42" s="1"/>
  <c r="E72" i="42"/>
  <c r="G72" i="42" s="1"/>
  <c r="E71" i="42"/>
  <c r="G71" i="42" s="1"/>
  <c r="E68" i="42"/>
  <c r="G68" i="42" s="1"/>
  <c r="E67" i="42"/>
  <c r="G67" i="42" s="1"/>
  <c r="E66" i="42"/>
  <c r="G66" i="42" s="1"/>
  <c r="E65" i="42"/>
  <c r="G65" i="42" s="1"/>
  <c r="E64" i="42"/>
  <c r="G64" i="42" s="1"/>
  <c r="E63" i="42"/>
  <c r="G63" i="42" s="1"/>
  <c r="E62" i="42"/>
  <c r="G62" i="42" s="1"/>
  <c r="E61" i="42"/>
  <c r="G61" i="42" s="1"/>
  <c r="E57" i="42"/>
  <c r="G57" i="42" s="1"/>
  <c r="E56" i="42"/>
  <c r="G56" i="42" s="1"/>
  <c r="E55" i="42"/>
  <c r="G55" i="42" s="1"/>
  <c r="E54" i="42"/>
  <c r="G54" i="42" s="1"/>
  <c r="E53" i="42"/>
  <c r="G53" i="42" s="1"/>
  <c r="E52" i="42"/>
  <c r="G52" i="42" s="1"/>
  <c r="E51" i="42"/>
  <c r="G51" i="42" s="1"/>
  <c r="E50" i="42"/>
  <c r="G50" i="42" s="1"/>
  <c r="E49" i="42"/>
  <c r="G49" i="42" s="1"/>
  <c r="E48" i="42"/>
  <c r="G48" i="42" s="1"/>
  <c r="E45" i="42"/>
  <c r="G45" i="42" s="1"/>
  <c r="E44" i="42"/>
  <c r="G44" i="42" s="1"/>
  <c r="E43" i="42"/>
  <c r="G43" i="42" s="1"/>
  <c r="E42" i="42"/>
  <c r="G42" i="42" s="1"/>
  <c r="E41" i="42"/>
  <c r="G41" i="42" s="1"/>
  <c r="E40" i="42"/>
  <c r="G40" i="42" s="1"/>
  <c r="E39" i="42"/>
  <c r="G39" i="42" s="1"/>
  <c r="E38" i="42"/>
  <c r="G38" i="42" s="1"/>
  <c r="E37" i="42"/>
  <c r="G37" i="42" s="1"/>
  <c r="E36" i="42"/>
  <c r="G36" i="42" s="1"/>
  <c r="E35" i="42"/>
  <c r="G35" i="42" s="1"/>
  <c r="E34" i="42"/>
  <c r="G34" i="42" s="1"/>
  <c r="E29" i="42"/>
  <c r="G29" i="42" s="1"/>
  <c r="E24" i="42"/>
  <c r="E23" i="42"/>
  <c r="E22" i="42"/>
  <c r="G22" i="42" s="1"/>
  <c r="E19" i="42"/>
  <c r="G19" i="42" s="1"/>
  <c r="G18" i="42"/>
  <c r="E18" i="42"/>
  <c r="I15" i="42"/>
  <c r="E15" i="42"/>
  <c r="G15" i="42" s="1"/>
  <c r="E28" i="42" s="1"/>
  <c r="G28" i="42" s="1"/>
  <c r="E12" i="42"/>
  <c r="E11" i="42"/>
  <c r="G11" i="42" s="1"/>
  <c r="E10" i="42"/>
  <c r="G10" i="42" s="1"/>
  <c r="E9" i="42"/>
  <c r="G9" i="42" s="1"/>
  <c r="I7" i="42"/>
  <c r="E7" i="42"/>
  <c r="G7" i="42" s="1"/>
  <c r="J3" i="42"/>
  <c r="I3" i="42"/>
  <c r="H3" i="42"/>
  <c r="G3" i="42"/>
  <c r="I15" i="24"/>
  <c r="E100" i="20"/>
  <c r="G100" i="20" s="1"/>
  <c r="E7" i="16"/>
  <c r="G7" i="16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D12" i="44"/>
  <c r="AE12" i="44"/>
  <c r="AF12" i="44"/>
  <c r="AG12" i="44"/>
  <c r="C12" i="44"/>
  <c r="D12" i="44"/>
  <c r="E12" i="44"/>
  <c r="F12" i="44"/>
  <c r="G12" i="44"/>
  <c r="H12" i="44"/>
  <c r="I12" i="44"/>
  <c r="J12" i="44"/>
  <c r="K12" i="44"/>
  <c r="L12" i="44"/>
  <c r="N12" i="44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7" i="20"/>
  <c r="G127" i="20" s="1"/>
  <c r="AG22" i="44" s="1"/>
  <c r="E126" i="20"/>
  <c r="G126" i="20" s="1"/>
  <c r="AF22" i="44" s="1"/>
  <c r="E125" i="20"/>
  <c r="G125" i="20" s="1"/>
  <c r="AE22" i="44" s="1"/>
  <c r="E95" i="20"/>
  <c r="G95" i="20" s="1"/>
  <c r="V8" i="45" s="1"/>
  <c r="V28" i="45" s="1"/>
  <c r="E96" i="20"/>
  <c r="G96" i="20" s="1"/>
  <c r="E97" i="20"/>
  <c r="G97" i="20" s="1"/>
  <c r="E98" i="20"/>
  <c r="G98" i="20" s="1"/>
  <c r="V12" i="45" s="1"/>
  <c r="V26" i="45" s="1"/>
  <c r="E99" i="20"/>
  <c r="G99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9" i="15" s="1"/>
  <c r="G73" i="13"/>
  <c r="E74" i="13"/>
  <c r="G74" i="13" s="1"/>
  <c r="E75" i="13"/>
  <c r="G75" i="13" s="1"/>
  <c r="E76" i="13"/>
  <c r="G76" i="13" s="1"/>
  <c r="E77" i="13"/>
  <c r="G77" i="13" s="1"/>
  <c r="E78" i="13"/>
  <c r="G78" i="13" s="1"/>
  <c r="E79" i="13"/>
  <c r="G79" i="13" s="1"/>
  <c r="E80" i="13"/>
  <c r="G80" i="13" s="1"/>
  <c r="E81" i="13"/>
  <c r="G81" i="13" s="1"/>
  <c r="E82" i="13"/>
  <c r="G82" i="13" s="1"/>
  <c r="E83" i="13"/>
  <c r="G83" i="13" s="1"/>
  <c r="E84" i="13"/>
  <c r="G84" i="13" s="1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3" i="12"/>
  <c r="G134" i="12"/>
  <c r="G135" i="12"/>
  <c r="G136" i="12"/>
  <c r="G137" i="12"/>
  <c r="P137" i="12" s="1"/>
  <c r="G138" i="12"/>
  <c r="P138" i="12" s="1"/>
  <c r="G139" i="12"/>
  <c r="G140" i="12"/>
  <c r="AI14" i="44" s="1"/>
  <c r="E17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P45" i="12" s="1"/>
  <c r="G46" i="12"/>
  <c r="P46" i="12" s="1"/>
  <c r="G96" i="11"/>
  <c r="M9" i="45" s="1"/>
  <c r="G97" i="11"/>
  <c r="G98" i="11"/>
  <c r="M12" i="45" s="1"/>
  <c r="M26" i="45" s="1"/>
  <c r="G99" i="11"/>
  <c r="G100" i="11"/>
  <c r="G93" i="11"/>
  <c r="G73" i="11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M13" i="44" s="1"/>
  <c r="E24" i="5"/>
  <c r="E23" i="5"/>
  <c r="E22" i="5"/>
  <c r="G22" i="5" s="1"/>
  <c r="H24" i="4"/>
  <c r="G22" i="4"/>
  <c r="E19" i="5"/>
  <c r="G19" i="5" s="1"/>
  <c r="E18" i="5"/>
  <c r="G9" i="8"/>
  <c r="E10" i="8"/>
  <c r="G10" i="8" s="1"/>
  <c r="E11" i="8"/>
  <c r="G11" i="8" s="1"/>
  <c r="E12" i="8"/>
  <c r="G12" i="8" s="1"/>
  <c r="G15" i="8"/>
  <c r="E18" i="8"/>
  <c r="G18" i="8"/>
  <c r="G19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M10" i="44" s="1"/>
  <c r="E62" i="8"/>
  <c r="G62" i="8" s="1"/>
  <c r="S10" i="44" s="1"/>
  <c r="E63" i="8"/>
  <c r="G63" i="8" s="1"/>
  <c r="T10" i="44" s="1"/>
  <c r="E64" i="8"/>
  <c r="G64" i="8" s="1"/>
  <c r="U10" i="44" s="1"/>
  <c r="E65" i="8"/>
  <c r="G65" i="8" s="1"/>
  <c r="V10" i="44" s="1"/>
  <c r="E66" i="8"/>
  <c r="G66" i="8" s="1"/>
  <c r="W10" i="44" s="1"/>
  <c r="E67" i="8"/>
  <c r="G67" i="8" s="1"/>
  <c r="X10" i="44" s="1"/>
  <c r="E68" i="8"/>
  <c r="G68" i="8" s="1"/>
  <c r="Y10" i="44" s="1"/>
  <c r="E69" i="8"/>
  <c r="G69" i="8" s="1"/>
  <c r="G72" i="8"/>
  <c r="G73" i="8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 i="8"/>
  <c r="J7" i="45" s="1"/>
  <c r="G93" i="8"/>
  <c r="E94" i="8"/>
  <c r="E95" i="8"/>
  <c r="G95" i="8" s="1"/>
  <c r="J8" i="45" s="1"/>
  <c r="J28" i="45" s="1"/>
  <c r="E96" i="8"/>
  <c r="G96" i="8" s="1"/>
  <c r="E97" i="8"/>
  <c r="G97" i="8" s="1"/>
  <c r="E98" i="8"/>
  <c r="G98" i="8" s="1"/>
  <c r="J12" i="45" s="1"/>
  <c r="J26" i="45" s="1"/>
  <c r="E99" i="8"/>
  <c r="G99" i="8" s="1"/>
  <c r="E100" i="8"/>
  <c r="G100" i="8" s="1"/>
  <c r="G123" i="8"/>
  <c r="G124" i="8"/>
  <c r="AD10" i="44" s="1"/>
  <c r="G125" i="8"/>
  <c r="AE10" i="44" s="1"/>
  <c r="G126" i="8"/>
  <c r="AF10" i="44" s="1"/>
  <c r="G127" i="8"/>
  <c r="AG10" i="44" s="1"/>
  <c r="E130" i="8"/>
  <c r="G130" i="8" s="1"/>
  <c r="E131" i="8"/>
  <c r="G131" i="8" s="1"/>
  <c r="E132" i="8"/>
  <c r="G132" i="8" s="1"/>
  <c r="E133" i="8"/>
  <c r="G133" i="8" s="1"/>
  <c r="AB10" i="1" s="1"/>
  <c r="E134" i="8"/>
  <c r="G134" i="8" s="1"/>
  <c r="AC10" i="1" s="1"/>
  <c r="E135" i="8"/>
  <c r="G135" i="8" s="1"/>
  <c r="E136" i="8"/>
  <c r="G136" i="8" s="1"/>
  <c r="AJ10" i="44" s="1"/>
  <c r="E137" i="8"/>
  <c r="G137" i="8" s="1"/>
  <c r="AK10" i="44" s="1"/>
  <c r="E138" i="8"/>
  <c r="G138" i="8" s="1"/>
  <c r="E139" i="8"/>
  <c r="G139" i="8" s="1"/>
  <c r="AL10" i="1" s="1"/>
  <c r="E140" i="8"/>
  <c r="G140" i="8" s="1"/>
  <c r="AI10" i="44" s="1"/>
  <c r="E96" i="4"/>
  <c r="G96" i="4" s="1"/>
  <c r="E97" i="4"/>
  <c r="G97" i="4" s="1"/>
  <c r="E98" i="4"/>
  <c r="G98" i="4" s="1"/>
  <c r="F12" i="45" s="1"/>
  <c r="F26" i="45" s="1"/>
  <c r="E99" i="4"/>
  <c r="G99" i="4" s="1"/>
  <c r="E100" i="4"/>
  <c r="G100" i="4" s="1"/>
  <c r="E95" i="4"/>
  <c r="G95" i="4" s="1"/>
  <c r="F8" i="45" s="1"/>
  <c r="F28" i="45" s="1"/>
  <c r="G7" i="4"/>
  <c r="A5" i="46" s="1"/>
  <c r="E9" i="4"/>
  <c r="G9" i="4" s="1"/>
  <c r="E10" i="4"/>
  <c r="G10" i="4" s="1"/>
  <c r="E11" i="4"/>
  <c r="G11" i="4" s="1"/>
  <c r="E12" i="4"/>
  <c r="G12" i="4" s="1"/>
  <c r="E15" i="4"/>
  <c r="G15" i="4" s="1"/>
  <c r="E18" i="4"/>
  <c r="G18" i="4"/>
  <c r="F5" i="45" s="1"/>
  <c r="E19" i="4"/>
  <c r="G19" i="4" s="1"/>
  <c r="E35" i="4"/>
  <c r="G35" i="4" s="1"/>
  <c r="E36" i="4"/>
  <c r="G36" i="4" s="1"/>
  <c r="E37" i="4"/>
  <c r="G37" i="4" s="1"/>
  <c r="E38" i="4"/>
  <c r="G38" i="4" s="1"/>
  <c r="E39" i="4"/>
  <c r="G39" i="4" s="1"/>
  <c r="G40" i="4"/>
  <c r="AU6" i="1" s="1"/>
  <c r="E41" i="4"/>
  <c r="G41" i="4" s="1"/>
  <c r="E42" i="4"/>
  <c r="E43" i="4"/>
  <c r="G43" i="4" s="1"/>
  <c r="E44" i="4"/>
  <c r="G44" i="4" s="1"/>
  <c r="E45" i="4"/>
  <c r="G45" i="4" s="1"/>
  <c r="E46" i="4"/>
  <c r="G46" i="4" s="1"/>
  <c r="E49" i="4"/>
  <c r="G49" i="4" s="1"/>
  <c r="E50" i="4"/>
  <c r="G50" i="4" s="1"/>
  <c r="E51" i="4"/>
  <c r="G51" i="4" s="1"/>
  <c r="BB6" i="1" s="1"/>
  <c r="E52" i="4"/>
  <c r="G52" i="4" s="1"/>
  <c r="E53" i="4"/>
  <c r="G53" i="4" s="1"/>
  <c r="BD6" i="1" s="1"/>
  <c r="E54" i="4"/>
  <c r="G54" i="4" s="1"/>
  <c r="E55" i="4"/>
  <c r="G55" i="4" s="1"/>
  <c r="E56" i="4"/>
  <c r="G56" i="4" s="1"/>
  <c r="E57" i="4"/>
  <c r="G57" i="4" s="1"/>
  <c r="BH6" i="1" s="1"/>
  <c r="E58" i="4"/>
  <c r="G58" i="4" s="1"/>
  <c r="M6" i="44" s="1"/>
  <c r="E62" i="4"/>
  <c r="E164" i="4" s="1"/>
  <c r="E63" i="4"/>
  <c r="E64" i="4"/>
  <c r="E65" i="4"/>
  <c r="G66" i="4"/>
  <c r="W6" i="44" s="1"/>
  <c r="E67" i="4"/>
  <c r="E68" i="4"/>
  <c r="G69" i="4"/>
  <c r="E72" i="4"/>
  <c r="G72" i="4" s="1"/>
  <c r="B6" i="44" s="1"/>
  <c r="E73" i="4"/>
  <c r="G73" i="4" s="1"/>
  <c r="C6" i="44" s="1"/>
  <c r="E74" i="4"/>
  <c r="G74" i="4" s="1"/>
  <c r="D6" i="44" s="1"/>
  <c r="E75" i="4"/>
  <c r="G75" i="4" s="1"/>
  <c r="E6" i="44" s="1"/>
  <c r="E76" i="4"/>
  <c r="G76" i="4" s="1"/>
  <c r="F6" i="44" s="1"/>
  <c r="E77" i="4"/>
  <c r="G77" i="4" s="1"/>
  <c r="G6" i="44" s="1"/>
  <c r="E78" i="4"/>
  <c r="G78" i="4" s="1"/>
  <c r="H6" i="44" s="1"/>
  <c r="E79" i="4"/>
  <c r="G79" i="4" s="1"/>
  <c r="I6" i="44" s="1"/>
  <c r="E80" i="4"/>
  <c r="G80" i="4" s="1"/>
  <c r="J6" i="44" s="1"/>
  <c r="G81" i="4"/>
  <c r="K6" i="44" s="1"/>
  <c r="E82" i="4"/>
  <c r="G82" i="4" s="1"/>
  <c r="L6" i="44" s="1"/>
  <c r="E83" i="4"/>
  <c r="G83" i="4" s="1"/>
  <c r="N6" i="44" s="1"/>
  <c r="E84" i="4"/>
  <c r="G84" i="4" s="1"/>
  <c r="AA6" i="44" s="1"/>
  <c r="E92" i="4"/>
  <c r="G92" i="4" s="1"/>
  <c r="F7" i="45" s="1"/>
  <c r="E93" i="4"/>
  <c r="G93" i="4" s="1"/>
  <c r="E123" i="4"/>
  <c r="G123" i="4" s="1"/>
  <c r="E124" i="4"/>
  <c r="G124" i="4" s="1"/>
  <c r="AD6" i="44" s="1"/>
  <c r="E125" i="4"/>
  <c r="G125" i="4" s="1"/>
  <c r="AE6" i="44" s="1"/>
  <c r="E126" i="4"/>
  <c r="G126" i="4" s="1"/>
  <c r="AF6" i="44" s="1"/>
  <c r="E127" i="4"/>
  <c r="G127" i="4" s="1"/>
  <c r="AG6" i="44" s="1"/>
  <c r="E130" i="4"/>
  <c r="G130" i="4" s="1"/>
  <c r="E131" i="4"/>
  <c r="G131" i="4" s="1"/>
  <c r="G132" i="4"/>
  <c r="E133" i="4"/>
  <c r="G133" i="4" s="1"/>
  <c r="AB6" i="1" s="1"/>
  <c r="E134" i="4"/>
  <c r="G134" i="4" s="1"/>
  <c r="E135" i="4"/>
  <c r="G135" i="4" s="1"/>
  <c r="AD6" i="1" s="1"/>
  <c r="E136" i="4"/>
  <c r="G136" i="4" s="1"/>
  <c r="AJ6" i="44" s="1"/>
  <c r="E137" i="4"/>
  <c r="G137" i="4" s="1"/>
  <c r="AK6" i="44" s="1"/>
  <c r="E138" i="4"/>
  <c r="G138" i="4" s="1"/>
  <c r="E139" i="4"/>
  <c r="G139" i="4" s="1"/>
  <c r="AL6" i="1" s="1"/>
  <c r="E140" i="4"/>
  <c r="G140" i="4" s="1"/>
  <c r="AI6" i="44" s="1"/>
  <c r="E70" i="14"/>
  <c r="G70" i="14" s="1"/>
  <c r="J16" i="35" s="1"/>
  <c r="E64" i="9"/>
  <c r="G64" i="9" s="1"/>
  <c r="U11" i="44" s="1"/>
  <c r="G37" i="5"/>
  <c r="E43" i="5"/>
  <c r="G43" i="5" s="1"/>
  <c r="E15" i="5"/>
  <c r="G15" i="5" s="1"/>
  <c r="E10" i="5"/>
  <c r="G10" i="5" s="1"/>
  <c r="E11" i="5"/>
  <c r="G11" i="5" s="1"/>
  <c r="E12" i="5"/>
  <c r="G12" i="5" s="1"/>
  <c r="G9" i="5"/>
  <c r="E7" i="5"/>
  <c r="G7" i="5" s="1"/>
  <c r="A6" i="46" s="1"/>
  <c r="G18" i="5"/>
  <c r="E140" i="23"/>
  <c r="G140" i="23" s="1"/>
  <c r="E73" i="22"/>
  <c r="G73" i="22" s="1"/>
  <c r="C24" i="44" s="1"/>
  <c r="E74" i="22"/>
  <c r="G74" i="22" s="1"/>
  <c r="D24" i="44" s="1"/>
  <c r="E75" i="22"/>
  <c r="G75" i="22" s="1"/>
  <c r="E24" i="44" s="1"/>
  <c r="E76" i="22"/>
  <c r="G76" i="22" s="1"/>
  <c r="F24" i="44" s="1"/>
  <c r="E77" i="22"/>
  <c r="G77" i="22" s="1"/>
  <c r="G24" i="44" s="1"/>
  <c r="E78" i="22"/>
  <c r="G78" i="22" s="1"/>
  <c r="H24" i="44" s="1"/>
  <c r="E79" i="22"/>
  <c r="G79" i="22" s="1"/>
  <c r="I24" i="44" s="1"/>
  <c r="E80" i="22"/>
  <c r="G80" i="22" s="1"/>
  <c r="J24" i="44" s="1"/>
  <c r="E81" i="22"/>
  <c r="G81" i="22" s="1"/>
  <c r="K24" i="44" s="1"/>
  <c r="E82" i="22"/>
  <c r="G82" i="22" s="1"/>
  <c r="L24" i="44" s="1"/>
  <c r="E83" i="22"/>
  <c r="G83" i="22" s="1"/>
  <c r="N24" i="44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G41" i="22"/>
  <c r="L41" i="22" s="1"/>
  <c r="E42" i="22"/>
  <c r="G42" i="22" s="1"/>
  <c r="E43" i="22"/>
  <c r="G43" i="22" s="1"/>
  <c r="E44" i="22"/>
  <c r="G44" i="22" s="1"/>
  <c r="L44" i="22" s="1"/>
  <c r="E45" i="22"/>
  <c r="G45" i="22" s="1"/>
  <c r="L45" i="22" s="1"/>
  <c r="E46" i="22"/>
  <c r="G46" i="22" s="1"/>
  <c r="E63" i="19"/>
  <c r="I15" i="18"/>
  <c r="I7" i="18"/>
  <c r="G50" i="17"/>
  <c r="G51" i="17"/>
  <c r="BB19" i="1" s="1"/>
  <c r="G52" i="17"/>
  <c r="G53" i="17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 i="17"/>
  <c r="G38" i="17"/>
  <c r="G41" i="17"/>
  <c r="AW19" i="1"/>
  <c r="G43" i="17"/>
  <c r="G44" i="17"/>
  <c r="G45" i="17"/>
  <c r="G46" i="17"/>
  <c r="E19" i="17"/>
  <c r="G19" i="17" s="1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1" i="13"/>
  <c r="G131" i="13" s="1"/>
  <c r="E132" i="13"/>
  <c r="G132" i="13" s="1"/>
  <c r="G133" i="13"/>
  <c r="G134" i="13"/>
  <c r="G135" i="13"/>
  <c r="G136" i="13"/>
  <c r="AJ15" i="44" s="1"/>
  <c r="G137" i="13"/>
  <c r="G138" i="13"/>
  <c r="G139" i="13"/>
  <c r="G140" i="13"/>
  <c r="AI15" i="44" s="1"/>
  <c r="G96" i="13"/>
  <c r="G97" i="13"/>
  <c r="G98" i="13"/>
  <c r="G99" i="13"/>
  <c r="G100" i="13"/>
  <c r="G93" i="13"/>
  <c r="H70" i="12"/>
  <c r="E84" i="14"/>
  <c r="G84" i="14" s="1"/>
  <c r="E83" i="14"/>
  <c r="G83" i="14" s="1"/>
  <c r="N16" i="44" s="1"/>
  <c r="E82" i="14"/>
  <c r="G82" i="14" s="1"/>
  <c r="L16" i="44" s="1"/>
  <c r="E81" i="14"/>
  <c r="G81" i="14" s="1"/>
  <c r="K16" i="44" s="1"/>
  <c r="E80" i="14"/>
  <c r="G80" i="14" s="1"/>
  <c r="J16" i="44" s="1"/>
  <c r="E79" i="14"/>
  <c r="G79" i="14" s="1"/>
  <c r="I16" i="44" s="1"/>
  <c r="E78" i="14"/>
  <c r="G78" i="14" s="1"/>
  <c r="H16" i="44" s="1"/>
  <c r="E77" i="14"/>
  <c r="G77" i="14" s="1"/>
  <c r="G16" i="44" s="1"/>
  <c r="E76" i="14"/>
  <c r="G76" i="14" s="1"/>
  <c r="F16" i="44" s="1"/>
  <c r="E75" i="14"/>
  <c r="G75" i="14" s="1"/>
  <c r="E16" i="44" s="1"/>
  <c r="E74" i="14"/>
  <c r="G74" i="14" s="1"/>
  <c r="D16" i="44" s="1"/>
  <c r="G73" i="14"/>
  <c r="C16" i="44" s="1"/>
  <c r="G72" i="14"/>
  <c r="E72" i="13"/>
  <c r="G72" i="13" s="1"/>
  <c r="G84" i="12"/>
  <c r="P84" i="12" s="1"/>
  <c r="G83" i="12"/>
  <c r="G82" i="12"/>
  <c r="G81" i="12"/>
  <c r="G80" i="12"/>
  <c r="G79" i="12"/>
  <c r="G78" i="12"/>
  <c r="G77" i="12"/>
  <c r="G76" i="12"/>
  <c r="G75" i="12"/>
  <c r="G74" i="12"/>
  <c r="G73" i="12"/>
  <c r="E72" i="12"/>
  <c r="G72" i="12" s="1"/>
  <c r="P72" i="12" s="1"/>
  <c r="E72" i="11"/>
  <c r="G72" i="11" s="1"/>
  <c r="B12" i="44"/>
  <c r="G84" i="9"/>
  <c r="G83" i="9"/>
  <c r="N11" i="44" s="1"/>
  <c r="G82" i="9"/>
  <c r="L11" i="44" s="1"/>
  <c r="G81" i="9"/>
  <c r="K11" i="44" s="1"/>
  <c r="G80" i="9"/>
  <c r="J11" i="44" s="1"/>
  <c r="G79" i="9"/>
  <c r="I11" i="44" s="1"/>
  <c r="G78" i="9"/>
  <c r="H11" i="44" s="1"/>
  <c r="G77" i="9"/>
  <c r="G11" i="44" s="1"/>
  <c r="G76" i="9"/>
  <c r="F11" i="44" s="1"/>
  <c r="G75" i="9"/>
  <c r="E11" i="44" s="1"/>
  <c r="G74" i="9"/>
  <c r="D11" i="44" s="1"/>
  <c r="G73" i="9"/>
  <c r="C11" i="44" s="1"/>
  <c r="E72" i="9"/>
  <c r="G72" i="9" s="1"/>
  <c r="B11" i="44" s="1"/>
  <c r="E84" i="7"/>
  <c r="G84" i="7" s="1"/>
  <c r="E83" i="7"/>
  <c r="G83" i="7" s="1"/>
  <c r="N9" i="44" s="1"/>
  <c r="E82" i="7"/>
  <c r="G82" i="7" s="1"/>
  <c r="L9" i="44" s="1"/>
  <c r="E81" i="7"/>
  <c r="G81" i="7" s="1"/>
  <c r="K9" i="44" s="1"/>
  <c r="E80" i="7"/>
  <c r="G80" i="7" s="1"/>
  <c r="J9" i="44" s="1"/>
  <c r="E79" i="7"/>
  <c r="G79" i="7" s="1"/>
  <c r="I9" i="44" s="1"/>
  <c r="E78" i="7"/>
  <c r="G78" i="7" s="1"/>
  <c r="H9" i="44" s="1"/>
  <c r="E77" i="7"/>
  <c r="G77" i="7" s="1"/>
  <c r="G9" i="44" s="1"/>
  <c r="E76" i="7"/>
  <c r="G76" i="7" s="1"/>
  <c r="F9" i="44" s="1"/>
  <c r="E75" i="7"/>
  <c r="G75" i="7" s="1"/>
  <c r="E9" i="44" s="1"/>
  <c r="E74" i="7"/>
  <c r="G74" i="7" s="1"/>
  <c r="D9" i="44" s="1"/>
  <c r="E73" i="7"/>
  <c r="G73" i="7" s="1"/>
  <c r="C9" i="44" s="1"/>
  <c r="E72" i="7"/>
  <c r="G72" i="7" s="1"/>
  <c r="B9" i="44" s="1"/>
  <c r="E84" i="33"/>
  <c r="G84" i="33" s="1"/>
  <c r="E83" i="33"/>
  <c r="G83" i="33" s="1"/>
  <c r="N8" i="44" s="1"/>
  <c r="E82" i="33"/>
  <c r="G82" i="33" s="1"/>
  <c r="L8" i="44" s="1"/>
  <c r="E81" i="33"/>
  <c r="G81" i="33" s="1"/>
  <c r="K8" i="44" s="1"/>
  <c r="E80" i="33"/>
  <c r="G80" i="33" s="1"/>
  <c r="J8" i="44" s="1"/>
  <c r="E79" i="33"/>
  <c r="G79" i="33" s="1"/>
  <c r="I8" i="44" s="1"/>
  <c r="E78" i="33"/>
  <c r="G78" i="33" s="1"/>
  <c r="H8" i="44" s="1"/>
  <c r="E77" i="33"/>
  <c r="G77" i="33" s="1"/>
  <c r="G8" i="44" s="1"/>
  <c r="E76" i="33"/>
  <c r="G76" i="33" s="1"/>
  <c r="F8" i="44" s="1"/>
  <c r="E75" i="33"/>
  <c r="G75" i="33" s="1"/>
  <c r="E8" i="44" s="1"/>
  <c r="E74" i="33"/>
  <c r="G74" i="33" s="1"/>
  <c r="D8" i="44" s="1"/>
  <c r="E73" i="33"/>
  <c r="G73" i="33" s="1"/>
  <c r="C8" i="44" s="1"/>
  <c r="E72" i="33"/>
  <c r="G72" i="33" s="1"/>
  <c r="B8" i="44" s="1"/>
  <c r="H70" i="5"/>
  <c r="J70" i="5" s="1"/>
  <c r="E84" i="5"/>
  <c r="G84" i="5" s="1"/>
  <c r="AA7" i="44" s="1"/>
  <c r="E83" i="5"/>
  <c r="G83" i="5" s="1"/>
  <c r="N7" i="44" s="1"/>
  <c r="E82" i="5"/>
  <c r="G82" i="5" s="1"/>
  <c r="L7" i="44" s="1"/>
  <c r="E81" i="5"/>
  <c r="G81" i="5" s="1"/>
  <c r="K7" i="44" s="1"/>
  <c r="E80" i="5"/>
  <c r="G80" i="5" s="1"/>
  <c r="J7" i="44" s="1"/>
  <c r="E79" i="5"/>
  <c r="G79" i="5" s="1"/>
  <c r="I7" i="44" s="1"/>
  <c r="E78" i="5"/>
  <c r="G78" i="5" s="1"/>
  <c r="H7" i="44" s="1"/>
  <c r="E77" i="5"/>
  <c r="G77" i="5" s="1"/>
  <c r="G7" i="44" s="1"/>
  <c r="E76" i="5"/>
  <c r="G76" i="5" s="1"/>
  <c r="F7" i="44" s="1"/>
  <c r="E75" i="5"/>
  <c r="G75" i="5" s="1"/>
  <c r="E74" i="5"/>
  <c r="G74" i="5" s="1"/>
  <c r="E73" i="5"/>
  <c r="G73" i="5" s="1"/>
  <c r="C7" i="44" s="1"/>
  <c r="E72" i="5"/>
  <c r="G72" i="5" s="1"/>
  <c r="B7" i="44" s="1"/>
  <c r="E84" i="3"/>
  <c r="G84" i="3" s="1"/>
  <c r="E83" i="3"/>
  <c r="G83" i="3" s="1"/>
  <c r="N5" i="44" s="1"/>
  <c r="G82" i="3"/>
  <c r="L5" i="44" s="1"/>
  <c r="E81" i="3"/>
  <c r="G81" i="3" s="1"/>
  <c r="K5" i="44" s="1"/>
  <c r="E80" i="3"/>
  <c r="G80" i="3" s="1"/>
  <c r="J5" i="44" s="1"/>
  <c r="E79" i="3"/>
  <c r="G79" i="3" s="1"/>
  <c r="I5" i="44" s="1"/>
  <c r="E78" i="3"/>
  <c r="G78" i="3" s="1"/>
  <c r="H5" i="44" s="1"/>
  <c r="E77" i="3"/>
  <c r="G77" i="3" s="1"/>
  <c r="G5" i="44" s="1"/>
  <c r="E76" i="3"/>
  <c r="G76" i="3" s="1"/>
  <c r="F5" i="44" s="1"/>
  <c r="E75" i="3"/>
  <c r="G75" i="3" s="1"/>
  <c r="E5" i="44" s="1"/>
  <c r="E74" i="3"/>
  <c r="G74" i="3" s="1"/>
  <c r="D5" i="44" s="1"/>
  <c r="E73" i="3"/>
  <c r="G73" i="3" s="1"/>
  <c r="C5" i="44" s="1"/>
  <c r="E72" i="3"/>
  <c r="G72" i="3" s="1"/>
  <c r="B5" i="44" s="1"/>
  <c r="H70" i="2"/>
  <c r="J70" i="2" s="1"/>
  <c r="G73" i="2"/>
  <c r="G75" i="2"/>
  <c r="G77" i="2"/>
  <c r="G78" i="2"/>
  <c r="G80" i="2"/>
  <c r="G81" i="2"/>
  <c r="G82" i="2"/>
  <c r="G83" i="2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1" i="11"/>
  <c r="G132" i="11"/>
  <c r="AA13" i="1" s="1"/>
  <c r="G133" i="11"/>
  <c r="AB13" i="1" s="1"/>
  <c r="G134" i="11"/>
  <c r="G135" i="11"/>
  <c r="AD13" i="1" s="1"/>
  <c r="G136" i="11"/>
  <c r="AJ13" i="44" s="1"/>
  <c r="G137" i="11"/>
  <c r="G138" i="11"/>
  <c r="G139" i="11"/>
  <c r="AL13" i="1" s="1"/>
  <c r="G140" i="11"/>
  <c r="E124" i="11"/>
  <c r="G124" i="11" s="1"/>
  <c r="AD13" i="44" s="1"/>
  <c r="E125" i="11"/>
  <c r="G125" i="11" s="1"/>
  <c r="AE13" i="44" s="1"/>
  <c r="E126" i="11"/>
  <c r="G126" i="11" s="1"/>
  <c r="AF13" i="44" s="1"/>
  <c r="E127" i="11"/>
  <c r="G127" i="11" s="1"/>
  <c r="AG13" i="44" s="1"/>
  <c r="G10" i="11"/>
  <c r="G11" i="11"/>
  <c r="G12" i="11"/>
  <c r="E124" i="9"/>
  <c r="G124" i="9" s="1"/>
  <c r="AD11" i="44" s="1"/>
  <c r="E125" i="9"/>
  <c r="G125" i="9" s="1"/>
  <c r="AE11" i="44" s="1"/>
  <c r="E126" i="9"/>
  <c r="G126" i="9" s="1"/>
  <c r="AF11" i="44" s="1"/>
  <c r="E127" i="9"/>
  <c r="G127" i="9" s="1"/>
  <c r="AG11" i="44" s="1"/>
  <c r="E123" i="9"/>
  <c r="G123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0" i="30"/>
  <c r="G140" i="30" s="1"/>
  <c r="E139" i="30"/>
  <c r="G139" i="30" s="1"/>
  <c r="E138" i="30"/>
  <c r="G138" i="30" s="1"/>
  <c r="E137" i="30"/>
  <c r="G137" i="30" s="1"/>
  <c r="E136" i="30"/>
  <c r="G136" i="30" s="1"/>
  <c r="AJ32" i="44" s="1"/>
  <c r="E135" i="30"/>
  <c r="G135" i="30" s="1"/>
  <c r="E134" i="30"/>
  <c r="G134" i="30" s="1"/>
  <c r="E133" i="30"/>
  <c r="G133" i="30" s="1"/>
  <c r="E132" i="30"/>
  <c r="G132" i="30" s="1"/>
  <c r="E131" i="30"/>
  <c r="G131" i="30" s="1"/>
  <c r="E130" i="30"/>
  <c r="G130" i="30" s="1"/>
  <c r="G127" i="30"/>
  <c r="G126" i="30"/>
  <c r="G125" i="30"/>
  <c r="G124" i="30"/>
  <c r="G123" i="30"/>
  <c r="G100" i="30"/>
  <c r="G99" i="30"/>
  <c r="G98" i="30"/>
  <c r="E97" i="30"/>
  <c r="G97" i="30" s="1"/>
  <c r="E96" i="30"/>
  <c r="G96" i="30" s="1"/>
  <c r="E95" i="30"/>
  <c r="G95" i="30" s="1"/>
  <c r="E93" i="30"/>
  <c r="G93" i="30" s="1"/>
  <c r="E92" i="30"/>
  <c r="G92" i="30" s="1"/>
  <c r="E72" i="30"/>
  <c r="G72" i="30" s="1"/>
  <c r="G69" i="30"/>
  <c r="G68" i="30"/>
  <c r="G67" i="30"/>
  <c r="G66" i="30"/>
  <c r="G65" i="30"/>
  <c r="G64" i="30"/>
  <c r="G63" i="30"/>
  <c r="T32" i="44" s="1"/>
  <c r="E62" i="30"/>
  <c r="G58" i="30"/>
  <c r="G57" i="30"/>
  <c r="G56" i="30"/>
  <c r="G55" i="30"/>
  <c r="G54" i="30"/>
  <c r="G53" i="30"/>
  <c r="G52" i="30"/>
  <c r="G51" i="30"/>
  <c r="G50" i="30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E35" i="30"/>
  <c r="G35" i="30" s="1"/>
  <c r="E24" i="30"/>
  <c r="E23" i="30"/>
  <c r="E22" i="30"/>
  <c r="G22" i="30" s="1"/>
  <c r="E19" i="30"/>
  <c r="G19" i="30" s="1"/>
  <c r="E18" i="30"/>
  <c r="G15" i="30"/>
  <c r="E12" i="30"/>
  <c r="G12" i="30" s="1"/>
  <c r="E11" i="30"/>
  <c r="G11" i="30" s="1"/>
  <c r="E10" i="30"/>
  <c r="G10" i="30" s="1"/>
  <c r="E9" i="30"/>
  <c r="G9" i="30" s="1"/>
  <c r="E7" i="30"/>
  <c r="G7" i="30" s="1"/>
  <c r="G140" i="29"/>
  <c r="G139" i="29"/>
  <c r="AL31" i="1" s="1"/>
  <c r="G138" i="29"/>
  <c r="G137" i="29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i="29" s="1"/>
  <c r="E130" i="29"/>
  <c r="G130" i="29" s="1"/>
  <c r="G127" i="29"/>
  <c r="AG31" i="44" s="1"/>
  <c r="G126" i="29"/>
  <c r="AF31" i="44" s="1"/>
  <c r="G125" i="29"/>
  <c r="AE31" i="44" s="1"/>
  <c r="G124" i="29"/>
  <c r="AD31" i="44" s="1"/>
  <c r="E123" i="29"/>
  <c r="G123" i="29" s="1"/>
  <c r="AC31" i="44" s="1"/>
  <c r="G100" i="29"/>
  <c r="G99" i="29"/>
  <c r="G98" i="29"/>
  <c r="AE12" i="45" s="1"/>
  <c r="AE26" i="45" s="1"/>
  <c r="G97" i="29"/>
  <c r="G96" i="29"/>
  <c r="E95" i="29"/>
  <c r="G95" i="29" s="1"/>
  <c r="AE8" i="45" s="1"/>
  <c r="AE28" i="45" s="1"/>
  <c r="E94" i="29"/>
  <c r="E93" i="29"/>
  <c r="G93" i="29" s="1"/>
  <c r="E92" i="29"/>
  <c r="G92" i="29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i="29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 i="29"/>
  <c r="M31" i="44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4" i="29"/>
  <c r="E23" i="29"/>
  <c r="E22" i="29"/>
  <c r="G22" i="29" s="1"/>
  <c r="E19" i="29"/>
  <c r="G19" i="29" s="1"/>
  <c r="E15" i="29"/>
  <c r="G15" i="29" s="1"/>
  <c r="G12" i="29"/>
  <c r="G11" i="29"/>
  <c r="G10" i="29"/>
  <c r="G9" i="29"/>
  <c r="G140" i="28"/>
  <c r="G138" i="28"/>
  <c r="G137" i="28"/>
  <c r="G136" i="28"/>
  <c r="AJ30" i="44" s="1"/>
  <c r="G135" i="28"/>
  <c r="G134" i="28"/>
  <c r="AC30" i="1" s="1"/>
  <c r="G133" i="28"/>
  <c r="AB30" i="1" s="1"/>
  <c r="G132" i="28"/>
  <c r="AA30" i="1" s="1"/>
  <c r="G131" i="28"/>
  <c r="E130" i="28"/>
  <c r="G130" i="28" s="1"/>
  <c r="G127" i="28"/>
  <c r="AG30" i="44" s="1"/>
  <c r="G126" i="28"/>
  <c r="AF30" i="44" s="1"/>
  <c r="G125" i="28"/>
  <c r="AE30" i="44" s="1"/>
  <c r="G124" i="28"/>
  <c r="AD30" i="44" s="1"/>
  <c r="E123" i="28"/>
  <c r="G123" i="28" s="1"/>
  <c r="I123" i="28" s="1"/>
  <c r="E100" i="28"/>
  <c r="G100" i="28" s="1"/>
  <c r="E99" i="28"/>
  <c r="G99" i="28" s="1"/>
  <c r="E98" i="28"/>
  <c r="G98" i="28" s="1"/>
  <c r="AD12" i="45" s="1"/>
  <c r="AD26" i="45" s="1"/>
  <c r="E97" i="28"/>
  <c r="G97" i="28" s="1"/>
  <c r="E96" i="28"/>
  <c r="G96" i="28" s="1"/>
  <c r="AD9" i="45" s="1"/>
  <c r="E95" i="28"/>
  <c r="G95" i="28" s="1"/>
  <c r="AD8" i="45" s="1"/>
  <c r="AD28" i="45" s="1"/>
  <c r="E94" i="28"/>
  <c r="E93" i="28"/>
  <c r="G93" i="28" s="1"/>
  <c r="E92" i="28"/>
  <c r="G92" i="28" s="1"/>
  <c r="AD7" i="45" s="1"/>
  <c r="G84" i="28"/>
  <c r="G83" i="28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i="28" s="1"/>
  <c r="B30" i="44" s="1"/>
  <c r="E62" i="28"/>
  <c r="G58" i="28"/>
  <c r="G57" i="28"/>
  <c r="G56" i="28"/>
  <c r="BG30" i="1" s="1"/>
  <c r="G55" i="28"/>
  <c r="G54" i="28"/>
  <c r="BE30" i="1" s="1"/>
  <c r="G53" i="28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4" i="28"/>
  <c r="E23" i="28"/>
  <c r="E22" i="28"/>
  <c r="G22" i="28" s="1"/>
  <c r="E19" i="28"/>
  <c r="G19" i="28" s="1"/>
  <c r="E18" i="28"/>
  <c r="G12" i="28"/>
  <c r="G11" i="28"/>
  <c r="G10" i="28"/>
  <c r="G140" i="27"/>
  <c r="G139" i="27"/>
  <c r="AL29" i="1" s="1"/>
  <c r="G138" i="27"/>
  <c r="G137" i="27"/>
  <c r="G136" i="27"/>
  <c r="AJ29" i="44" s="1"/>
  <c r="G135" i="27"/>
  <c r="AD29" i="1" s="1"/>
  <c r="G134" i="27"/>
  <c r="AC29" i="1" s="1"/>
  <c r="G133" i="27"/>
  <c r="AB29" i="1" s="1"/>
  <c r="G132" i="27"/>
  <c r="AA29" i="1" s="1"/>
  <c r="G131" i="27"/>
  <c r="E130" i="27"/>
  <c r="G130" i="27" s="1"/>
  <c r="E127" i="27"/>
  <c r="G127" i="27" s="1"/>
  <c r="AG29" i="44" s="1"/>
  <c r="E126" i="27"/>
  <c r="G126" i="27" s="1"/>
  <c r="AF29" i="44" s="1"/>
  <c r="E125" i="27"/>
  <c r="G125" i="27" s="1"/>
  <c r="AE29" i="44" s="1"/>
  <c r="E124" i="27"/>
  <c r="G124" i="27" s="1"/>
  <c r="AD29" i="44" s="1"/>
  <c r="E123" i="27"/>
  <c r="G123" i="27" s="1"/>
  <c r="E100" i="27"/>
  <c r="G100" i="27" s="1"/>
  <c r="E99" i="27"/>
  <c r="G99" i="27" s="1"/>
  <c r="E98" i="27"/>
  <c r="G98" i="27" s="1"/>
  <c r="AC12" i="45" s="1"/>
  <c r="AC26" i="45" s="1"/>
  <c r="E97" i="27"/>
  <c r="G97" i="27" s="1"/>
  <c r="E96" i="27"/>
  <c r="G96" i="27" s="1"/>
  <c r="E95" i="27"/>
  <c r="G95" i="27" s="1"/>
  <c r="AC8" i="45" s="1"/>
  <c r="AC28" i="45" s="1"/>
  <c r="E94" i="27"/>
  <c r="E93" i="27"/>
  <c r="G93" i="27" s="1"/>
  <c r="E92" i="27"/>
  <c r="G92" i="27" s="1"/>
  <c r="AC7" i="45" s="1"/>
  <c r="E84" i="27"/>
  <c r="G84" i="27" s="1"/>
  <c r="E83" i="27"/>
  <c r="G83" i="27" s="1"/>
  <c r="N29" i="44" s="1"/>
  <c r="E82" i="27"/>
  <c r="G82" i="27" s="1"/>
  <c r="L29" i="44" s="1"/>
  <c r="E81" i="27"/>
  <c r="G81" i="27" s="1"/>
  <c r="K29" i="44" s="1"/>
  <c r="E80" i="27"/>
  <c r="G80" i="27" s="1"/>
  <c r="J29" i="44" s="1"/>
  <c r="E79" i="27"/>
  <c r="G79" i="27" s="1"/>
  <c r="I29" i="44" s="1"/>
  <c r="E78" i="27"/>
  <c r="G78" i="27" s="1"/>
  <c r="H29" i="44" s="1"/>
  <c r="E77" i="27"/>
  <c r="G77" i="27" s="1"/>
  <c r="G29" i="44" s="1"/>
  <c r="E76" i="27"/>
  <c r="G76" i="27" s="1"/>
  <c r="F29" i="44" s="1"/>
  <c r="E75" i="27"/>
  <c r="G75" i="27" s="1"/>
  <c r="E29" i="44" s="1"/>
  <c r="G74" i="27"/>
  <c r="D29" i="44" s="1"/>
  <c r="E73" i="27"/>
  <c r="G73" i="27" s="1"/>
  <c r="C29" i="44" s="1"/>
  <c r="E72" i="27"/>
  <c r="G72" i="27" s="1"/>
  <c r="B29" i="44" s="1"/>
  <c r="E69" i="27"/>
  <c r="E68" i="27"/>
  <c r="E67" i="27"/>
  <c r="E66" i="27"/>
  <c r="E65" i="27"/>
  <c r="E64" i="27"/>
  <c r="E63" i="27"/>
  <c r="E62" i="27"/>
  <c r="E58" i="27"/>
  <c r="G58" i="27" s="1"/>
  <c r="E57" i="27"/>
  <c r="G57" i="27" s="1"/>
  <c r="E56" i="27"/>
  <c r="G56" i="27" s="1"/>
  <c r="BG29" i="1" s="1"/>
  <c r="E55" i="27"/>
  <c r="G55" i="27" s="1"/>
  <c r="E54" i="27"/>
  <c r="G54" i="27" s="1"/>
  <c r="BE29" i="1" s="1"/>
  <c r="E53" i="27"/>
  <c r="G53" i="27" s="1"/>
  <c r="BD29" i="1" s="1"/>
  <c r="E52" i="27"/>
  <c r="G52" i="27" s="1"/>
  <c r="E51" i="27"/>
  <c r="G51" i="27" s="1"/>
  <c r="BB29" i="1" s="1"/>
  <c r="G50" i="27"/>
  <c r="E49" i="27"/>
  <c r="G49" i="27" s="1"/>
  <c r="BA29" i="1" s="1"/>
  <c r="E35" i="27"/>
  <c r="G35" i="27" s="1"/>
  <c r="E22" i="27"/>
  <c r="G22" i="27" s="1"/>
  <c r="E19" i="27"/>
  <c r="G19" i="27" s="1"/>
  <c r="E18" i="27"/>
  <c r="E15" i="27"/>
  <c r="G15" i="27" s="1"/>
  <c r="E12" i="27"/>
  <c r="G12" i="27" s="1"/>
  <c r="E11" i="27"/>
  <c r="G11" i="27" s="1"/>
  <c r="E10" i="27"/>
  <c r="G10" i="27" s="1"/>
  <c r="E9" i="27"/>
  <c r="G9" i="27" s="1"/>
  <c r="G140" i="40"/>
  <c r="AI28" i="44" s="1"/>
  <c r="G139" i="40"/>
  <c r="G138" i="40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 i="40"/>
  <c r="G130" i="40" s="1"/>
  <c r="E127" i="40"/>
  <c r="G127" i="40" s="1"/>
  <c r="AG28" i="44" s="1"/>
  <c r="E126" i="40"/>
  <c r="G126" i="40" s="1"/>
  <c r="AF28" i="44" s="1"/>
  <c r="E125" i="40"/>
  <c r="G125" i="40" s="1"/>
  <c r="AE28" i="44" s="1"/>
  <c r="E124" i="40"/>
  <c r="G124" i="40" s="1"/>
  <c r="AD28" i="44" s="1"/>
  <c r="E123" i="40"/>
  <c r="G123" i="40" s="1"/>
  <c r="E100" i="40"/>
  <c r="G100" i="40" s="1"/>
  <c r="E99" i="40"/>
  <c r="G99" i="40" s="1"/>
  <c r="E98" i="40"/>
  <c r="G98" i="40" s="1"/>
  <c r="AB12" i="45" s="1"/>
  <c r="AB26" i="45" s="1"/>
  <c r="E97" i="40"/>
  <c r="G97" i="40" s="1"/>
  <c r="E96" i="40"/>
  <c r="G96" i="40" s="1"/>
  <c r="E95" i="40"/>
  <c r="G95" i="40" s="1"/>
  <c r="AB8" i="45" s="1"/>
  <c r="AB28" i="45" s="1"/>
  <c r="E93" i="40"/>
  <c r="G93" i="40" s="1"/>
  <c r="E92" i="40"/>
  <c r="G92" i="40" s="1"/>
  <c r="AB7" i="45" s="1"/>
  <c r="E84" i="40"/>
  <c r="G84" i="40" s="1"/>
  <c r="E83" i="40"/>
  <c r="G83" i="40" s="1"/>
  <c r="N28" i="44" s="1"/>
  <c r="E82" i="40"/>
  <c r="G82" i="40" s="1"/>
  <c r="L28" i="44" s="1"/>
  <c r="E81" i="40"/>
  <c r="G81" i="40" s="1"/>
  <c r="K28" i="44" s="1"/>
  <c r="E80" i="40"/>
  <c r="G80" i="40" s="1"/>
  <c r="J28" i="44" s="1"/>
  <c r="E79" i="40"/>
  <c r="G79" i="40" s="1"/>
  <c r="I28" i="44" s="1"/>
  <c r="E78" i="40"/>
  <c r="G78" i="40" s="1"/>
  <c r="H28" i="44" s="1"/>
  <c r="E77" i="40"/>
  <c r="G77" i="40" s="1"/>
  <c r="G28" i="44" s="1"/>
  <c r="E76" i="40"/>
  <c r="G76" i="40" s="1"/>
  <c r="F28" i="44" s="1"/>
  <c r="E75" i="40"/>
  <c r="G75" i="40" s="1"/>
  <c r="E28" i="44" s="1"/>
  <c r="E74" i="40"/>
  <c r="G74" i="40" s="1"/>
  <c r="D28" i="44" s="1"/>
  <c r="E73" i="40"/>
  <c r="G73" i="40" s="1"/>
  <c r="C28" i="44" s="1"/>
  <c r="E72" i="40"/>
  <c r="G72" i="40" s="1"/>
  <c r="B28" i="44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BA28" i="1" s="1"/>
  <c r="E35" i="40"/>
  <c r="G35" i="40" s="1"/>
  <c r="E24" i="40"/>
  <c r="E23" i="40"/>
  <c r="E22" i="40"/>
  <c r="G22" i="40" s="1"/>
  <c r="E19" i="40"/>
  <c r="G19" i="40" s="1"/>
  <c r="E18" i="40"/>
  <c r="E15" i="40"/>
  <c r="G15" i="40" s="1"/>
  <c r="G12" i="40"/>
  <c r="G11" i="40"/>
  <c r="G10" i="40"/>
  <c r="G9" i="40"/>
  <c r="G7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E140" i="24"/>
  <c r="G140" i="24" s="1"/>
  <c r="E139" i="24"/>
  <c r="G139" i="24" s="1"/>
  <c r="AL28" i="1" s="1"/>
  <c r="E138" i="24"/>
  <c r="G138" i="24" s="1"/>
  <c r="E137" i="24"/>
  <c r="G137" i="24" s="1"/>
  <c r="E136" i="24"/>
  <c r="G136" i="24" s="1"/>
  <c r="AJ26" i="44" s="1"/>
  <c r="E135" i="24"/>
  <c r="G135" i="24" s="1"/>
  <c r="AD26" i="1" s="1"/>
  <c r="E134" i="24"/>
  <c r="G134" i="24" s="1"/>
  <c r="AC26" i="1" s="1"/>
  <c r="E133" i="24"/>
  <c r="G133" i="24" s="1"/>
  <c r="AB26" i="1" s="1"/>
  <c r="E132" i="24"/>
  <c r="G132" i="24" s="1"/>
  <c r="AA26" i="1" s="1"/>
  <c r="E131" i="24"/>
  <c r="G131" i="24" s="1"/>
  <c r="E130" i="24"/>
  <c r="G130" i="24" s="1"/>
  <c r="E127" i="24"/>
  <c r="G127" i="24" s="1"/>
  <c r="AG26" i="44" s="1"/>
  <c r="E126" i="24"/>
  <c r="G126" i="24" s="1"/>
  <c r="AF26" i="44" s="1"/>
  <c r="E125" i="24"/>
  <c r="G125" i="24" s="1"/>
  <c r="AE26" i="44" s="1"/>
  <c r="E124" i="24"/>
  <c r="G124" i="24" s="1"/>
  <c r="AD26" i="44" s="1"/>
  <c r="E123" i="24"/>
  <c r="G123" i="24" s="1"/>
  <c r="E100" i="24"/>
  <c r="G100" i="24" s="1"/>
  <c r="E99" i="24"/>
  <c r="G99" i="24" s="1"/>
  <c r="E98" i="24"/>
  <c r="G98" i="24" s="1"/>
  <c r="Z12" i="45" s="1"/>
  <c r="Z26" i="45" s="1"/>
  <c r="E97" i="24"/>
  <c r="G97" i="24" s="1"/>
  <c r="E96" i="24"/>
  <c r="G96" i="24" s="1"/>
  <c r="E95" i="24"/>
  <c r="G95" i="24" s="1"/>
  <c r="Z8" i="45" s="1"/>
  <c r="Z28" i="45" s="1"/>
  <c r="E94" i="24"/>
  <c r="E93" i="24"/>
  <c r="G93" i="24" s="1"/>
  <c r="E92" i="24"/>
  <c r="G92" i="24" s="1"/>
  <c r="Z7" i="45" s="1"/>
  <c r="E84" i="24"/>
  <c r="G84" i="24" s="1"/>
  <c r="E83" i="24"/>
  <c r="G83" i="24" s="1"/>
  <c r="N26" i="44" s="1"/>
  <c r="E82" i="24"/>
  <c r="G82" i="24" s="1"/>
  <c r="L26" i="44" s="1"/>
  <c r="E81" i="24"/>
  <c r="G81" i="24" s="1"/>
  <c r="K26" i="44" s="1"/>
  <c r="E80" i="24"/>
  <c r="G80" i="24" s="1"/>
  <c r="J26" i="44" s="1"/>
  <c r="E79" i="24"/>
  <c r="G79" i="24" s="1"/>
  <c r="I26" i="44" s="1"/>
  <c r="E78" i="24"/>
  <c r="G78" i="24" s="1"/>
  <c r="H26" i="44" s="1"/>
  <c r="G77" i="24"/>
  <c r="G26" i="44" s="1"/>
  <c r="E76" i="24"/>
  <c r="G76" i="24" s="1"/>
  <c r="F26" i="44" s="1"/>
  <c r="E75" i="24"/>
  <c r="G75" i="24" s="1"/>
  <c r="E26" i="44" s="1"/>
  <c r="E74" i="24"/>
  <c r="G74" i="24" s="1"/>
  <c r="D26" i="44" s="1"/>
  <c r="E73" i="24"/>
  <c r="G73" i="24" s="1"/>
  <c r="E72" i="24"/>
  <c r="G72" i="24" s="1"/>
  <c r="E69" i="24"/>
  <c r="E68" i="24"/>
  <c r="E67" i="24"/>
  <c r="E66" i="24"/>
  <c r="E65" i="24"/>
  <c r="E64" i="24"/>
  <c r="E63" i="24"/>
  <c r="E62" i="24"/>
  <c r="E58" i="24"/>
  <c r="G58" i="24" s="1"/>
  <c r="M26" i="44" s="1"/>
  <c r="E57" i="24"/>
  <c r="G57" i="24" s="1"/>
  <c r="BH26" i="1" s="1"/>
  <c r="E56" i="24"/>
  <c r="G56" i="24" s="1"/>
  <c r="BG26" i="1" s="1"/>
  <c r="E55" i="24"/>
  <c r="G55" i="24" s="1"/>
  <c r="BF26" i="1" s="1"/>
  <c r="E54" i="24"/>
  <c r="G54" i="24" s="1"/>
  <c r="BE26" i="1" s="1"/>
  <c r="E53" i="24"/>
  <c r="G53" i="24" s="1"/>
  <c r="BD26" i="1" s="1"/>
  <c r="E52" i="24"/>
  <c r="G52" i="24" s="1"/>
  <c r="BC26" i="1" s="1"/>
  <c r="E51" i="24"/>
  <c r="G51" i="24" s="1"/>
  <c r="BB26" i="1" s="1"/>
  <c r="E50" i="24"/>
  <c r="G50" i="24" s="1"/>
  <c r="E49" i="24"/>
  <c r="G49" i="24" s="1"/>
  <c r="BA26" i="1" s="1"/>
  <c r="E46" i="24"/>
  <c r="G46" i="24" s="1"/>
  <c r="E45" i="24"/>
  <c r="G45" i="24" s="1"/>
  <c r="E44" i="24"/>
  <c r="G44" i="24" s="1"/>
  <c r="E43" i="24"/>
  <c r="G43" i="24" s="1"/>
  <c r="E42" i="24"/>
  <c r="G42" i="24" s="1"/>
  <c r="AW26" i="1" s="1"/>
  <c r="E41" i="24"/>
  <c r="G41" i="24" s="1"/>
  <c r="E40" i="24"/>
  <c r="G40" i="24" s="1"/>
  <c r="E39" i="24"/>
  <c r="G39" i="24" s="1"/>
  <c r="E38" i="24"/>
  <c r="G38" i="24" s="1"/>
  <c r="E37" i="24"/>
  <c r="G37" i="24" s="1"/>
  <c r="E36" i="24"/>
  <c r="G36" i="24" s="1"/>
  <c r="E35" i="24"/>
  <c r="G35" i="24" s="1"/>
  <c r="G22" i="24"/>
  <c r="E19" i="24"/>
  <c r="G19" i="24" s="1"/>
  <c r="E18" i="24"/>
  <c r="E15" i="24"/>
  <c r="G15" i="24" s="1"/>
  <c r="E12" i="24"/>
  <c r="G12" i="24" s="1"/>
  <c r="E11" i="24"/>
  <c r="G11" i="24" s="1"/>
  <c r="E10" i="24"/>
  <c r="G10" i="24" s="1"/>
  <c r="E9" i="24"/>
  <c r="G9" i="24" s="1"/>
  <c r="G7" i="24"/>
  <c r="E139" i="23"/>
  <c r="G139" i="23" s="1"/>
  <c r="E138" i="23"/>
  <c r="G138" i="23" s="1"/>
  <c r="E137" i="23"/>
  <c r="G137" i="23" s="1"/>
  <c r="O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O131" i="23" s="1"/>
  <c r="E130" i="23"/>
  <c r="G130" i="23" s="1"/>
  <c r="O130" i="23" s="1"/>
  <c r="E127" i="23"/>
  <c r="G127" i="23" s="1"/>
  <c r="E126" i="23"/>
  <c r="G126" i="23" s="1"/>
  <c r="E125" i="23"/>
  <c r="G125" i="23" s="1"/>
  <c r="E124" i="23"/>
  <c r="G124" i="23" s="1"/>
  <c r="E123" i="23"/>
  <c r="G123" i="23" s="1"/>
  <c r="O123" i="23" s="1"/>
  <c r="E100" i="23"/>
  <c r="G100" i="23" s="1"/>
  <c r="E99" i="23"/>
  <c r="G99" i="23" s="1"/>
  <c r="O99" i="23" s="1"/>
  <c r="E98" i="23"/>
  <c r="G98" i="23" s="1"/>
  <c r="E97" i="23"/>
  <c r="G97" i="23" s="1"/>
  <c r="O97" i="23" s="1"/>
  <c r="E96" i="23"/>
  <c r="G96" i="23" s="1"/>
  <c r="O96" i="23" s="1"/>
  <c r="E95" i="23"/>
  <c r="G95" i="23" s="1"/>
  <c r="E94" i="23"/>
  <c r="E93" i="23"/>
  <c r="G93" i="23" s="1"/>
  <c r="O93" i="23" s="1"/>
  <c r="E92" i="23"/>
  <c r="G92" i="23" s="1"/>
  <c r="G84" i="23"/>
  <c r="O84" i="23" s="1"/>
  <c r="G83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8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E50" i="23"/>
  <c r="G50" i="23" s="1"/>
  <c r="O50" i="23" s="1"/>
  <c r="E49" i="23"/>
  <c r="G49" i="23" s="1"/>
  <c r="G46" i="23"/>
  <c r="O46" i="23" s="1"/>
  <c r="G45" i="23"/>
  <c r="O45" i="23" s="1"/>
  <c r="G44" i="23"/>
  <c r="O44" i="23" s="1"/>
  <c r="G42" i="23"/>
  <c r="O42" i="23" s="1"/>
  <c r="G41" i="23"/>
  <c r="O41" i="23" s="1"/>
  <c r="G40" i="23"/>
  <c r="O40" i="23" s="1"/>
  <c r="G39" i="23"/>
  <c r="O39" i="23" s="1"/>
  <c r="G38" i="23"/>
  <c r="O38" i="23" s="1"/>
  <c r="G37" i="23"/>
  <c r="O37" i="23" s="1"/>
  <c r="G36" i="23"/>
  <c r="O36" i="23" s="1"/>
  <c r="E35" i="23"/>
  <c r="G35" i="23" s="1"/>
  <c r="O35" i="23" s="1"/>
  <c r="E24" i="23"/>
  <c r="E23" i="23"/>
  <c r="E22" i="23"/>
  <c r="G22" i="23" s="1"/>
  <c r="O22" i="23" s="1"/>
  <c r="E19" i="23"/>
  <c r="G19" i="23" s="1"/>
  <c r="O19" i="23" s="1"/>
  <c r="E18" i="23"/>
  <c r="E15" i="23"/>
  <c r="G15" i="23" s="1"/>
  <c r="O15" i="23" s="1"/>
  <c r="E12" i="23"/>
  <c r="G12" i="23" s="1"/>
  <c r="O12" i="23" s="1"/>
  <c r="E11" i="23"/>
  <c r="G11" i="23" s="1"/>
  <c r="O11" i="23" s="1"/>
  <c r="E10" i="23"/>
  <c r="G10" i="23" s="1"/>
  <c r="O10" i="23" s="1"/>
  <c r="G7" i="23"/>
  <c r="O7" i="23" s="1"/>
  <c r="E140" i="22"/>
  <c r="G140" i="22" s="1"/>
  <c r="E139" i="22"/>
  <c r="G139" i="22" s="1"/>
  <c r="AL24" i="1" s="1"/>
  <c r="E138" i="22"/>
  <c r="G138" i="22" s="1"/>
  <c r="AL24" i="44" s="1"/>
  <c r="E137" i="22"/>
  <c r="G137" i="22" s="1"/>
  <c r="E136" i="22"/>
  <c r="G136" i="22" s="1"/>
  <c r="AJ24" i="44" s="1"/>
  <c r="E135" i="22"/>
  <c r="G135" i="22" s="1"/>
  <c r="AD24" i="1" s="1"/>
  <c r="E134" i="22"/>
  <c r="G134" i="22" s="1"/>
  <c r="E133" i="22"/>
  <c r="G133" i="22" s="1"/>
  <c r="AB24" i="1" s="1"/>
  <c r="E132" i="22"/>
  <c r="G132" i="22" s="1"/>
  <c r="AA24" i="1" s="1"/>
  <c r="E131" i="22"/>
  <c r="G131" i="22" s="1"/>
  <c r="E130" i="22"/>
  <c r="G130" i="22" s="1"/>
  <c r="E127" i="22"/>
  <c r="G127" i="22" s="1"/>
  <c r="AG24" i="44" s="1"/>
  <c r="E126" i="22"/>
  <c r="G126" i="22" s="1"/>
  <c r="AF24" i="44" s="1"/>
  <c r="E125" i="22"/>
  <c r="G125" i="22" s="1"/>
  <c r="AE24" i="44" s="1"/>
  <c r="E124" i="22"/>
  <c r="G124" i="22" s="1"/>
  <c r="AD24" i="44" s="1"/>
  <c r="E123" i="22"/>
  <c r="G123" i="22" s="1"/>
  <c r="E100" i="22"/>
  <c r="G100" i="22" s="1"/>
  <c r="E99" i="22"/>
  <c r="G99" i="22" s="1"/>
  <c r="E98" i="22"/>
  <c r="G98" i="22" s="1"/>
  <c r="X12" i="45" s="1"/>
  <c r="X26" i="45" s="1"/>
  <c r="E97" i="22"/>
  <c r="G97" i="22" s="1"/>
  <c r="E96" i="22"/>
  <c r="G96" i="22" s="1"/>
  <c r="E95" i="22"/>
  <c r="G95" i="22" s="1"/>
  <c r="X8" i="45" s="1"/>
  <c r="X28" i="45" s="1"/>
  <c r="E94" i="22"/>
  <c r="E93" i="22"/>
  <c r="G93" i="22" s="1"/>
  <c r="E92" i="22"/>
  <c r="G92" i="22" s="1"/>
  <c r="X7" i="45" s="1"/>
  <c r="E72" i="22"/>
  <c r="G72" i="22" s="1"/>
  <c r="B24" i="44" s="1"/>
  <c r="E62" i="22"/>
  <c r="E49" i="22"/>
  <c r="G49" i="22" s="1"/>
  <c r="E35" i="22"/>
  <c r="G35" i="22" s="1"/>
  <c r="G22" i="22"/>
  <c r="E19" i="22"/>
  <c r="G19" i="22" s="1"/>
  <c r="E18" i="22"/>
  <c r="E15" i="22"/>
  <c r="G15" i="22" s="1"/>
  <c r="E12" i="22"/>
  <c r="G12" i="22" s="1"/>
  <c r="E11" i="22"/>
  <c r="G11" i="22" s="1"/>
  <c r="E10" i="22"/>
  <c r="G10" i="22" s="1"/>
  <c r="E9" i="22"/>
  <c r="G9" i="22" s="1"/>
  <c r="E7" i="22"/>
  <c r="G7" i="22" s="1"/>
  <c r="E140" i="21"/>
  <c r="G140" i="21" s="1"/>
  <c r="E139" i="21"/>
  <c r="G139" i="21" s="1"/>
  <c r="AL23" i="1" s="1"/>
  <c r="E138" i="21"/>
  <c r="G138" i="21" s="1"/>
  <c r="AL23" i="44" s="1"/>
  <c r="E137" i="21"/>
  <c r="G137" i="21" s="1"/>
  <c r="E136" i="21"/>
  <c r="G136" i="21" s="1"/>
  <c r="AJ23" i="44" s="1"/>
  <c r="E135" i="21"/>
  <c r="G135" i="21" s="1"/>
  <c r="AD23" i="1" s="1"/>
  <c r="E134" i="21"/>
  <c r="G134" i="21" s="1"/>
  <c r="E133" i="21"/>
  <c r="G133" i="21" s="1"/>
  <c r="AB23" i="1" s="1"/>
  <c r="G132" i="21"/>
  <c r="AA23" i="1" s="1"/>
  <c r="E131" i="21"/>
  <c r="G131" i="21" s="1"/>
  <c r="E130" i="21"/>
  <c r="G130" i="21" s="1"/>
  <c r="E127" i="21"/>
  <c r="G127" i="21" s="1"/>
  <c r="AG23" i="44" s="1"/>
  <c r="E126" i="21"/>
  <c r="G126" i="21" s="1"/>
  <c r="AF23" i="44" s="1"/>
  <c r="E125" i="21"/>
  <c r="G125" i="21" s="1"/>
  <c r="AE23" i="44" s="1"/>
  <c r="E124" i="21"/>
  <c r="G124" i="21" s="1"/>
  <c r="AD23" i="44" s="1"/>
  <c r="E123" i="21"/>
  <c r="G123" i="21" s="1"/>
  <c r="E100" i="21"/>
  <c r="G100" i="21" s="1"/>
  <c r="E99" i="21"/>
  <c r="G99" i="21" s="1"/>
  <c r="E98" i="21"/>
  <c r="G98" i="21" s="1"/>
  <c r="W12" i="45" s="1"/>
  <c r="W26" i="45" s="1"/>
  <c r="E97" i="21"/>
  <c r="G97" i="21" s="1"/>
  <c r="E96" i="21"/>
  <c r="G96" i="21" s="1"/>
  <c r="E95" i="21"/>
  <c r="G95" i="21" s="1"/>
  <c r="W8" i="45" s="1"/>
  <c r="W28" i="45" s="1"/>
  <c r="E94" i="21"/>
  <c r="E93" i="21"/>
  <c r="G93" i="21" s="1"/>
  <c r="E92" i="21"/>
  <c r="G92" i="21" s="1"/>
  <c r="W7" i="45" s="1"/>
  <c r="E84" i="21"/>
  <c r="G84" i="21" s="1"/>
  <c r="E83" i="21"/>
  <c r="G83" i="21" s="1"/>
  <c r="N23" i="44" s="1"/>
  <c r="E82" i="21"/>
  <c r="G82" i="21" s="1"/>
  <c r="L23" i="44" s="1"/>
  <c r="E81" i="21"/>
  <c r="G81" i="21" s="1"/>
  <c r="K23" i="44" s="1"/>
  <c r="E80" i="21"/>
  <c r="G80" i="21" s="1"/>
  <c r="J23" i="44" s="1"/>
  <c r="E79" i="21"/>
  <c r="G79" i="21" s="1"/>
  <c r="I23" i="44" s="1"/>
  <c r="E78" i="21"/>
  <c r="G78" i="21" s="1"/>
  <c r="H23" i="44" s="1"/>
  <c r="E77" i="21"/>
  <c r="G77" i="21" s="1"/>
  <c r="G23" i="44" s="1"/>
  <c r="E76" i="21"/>
  <c r="G76" i="21" s="1"/>
  <c r="F23" i="44" s="1"/>
  <c r="E75" i="21"/>
  <c r="G75" i="21" s="1"/>
  <c r="E23" i="44" s="1"/>
  <c r="E74" i="21"/>
  <c r="G74" i="21" s="1"/>
  <c r="D23" i="44" s="1"/>
  <c r="E73" i="21"/>
  <c r="G73" i="21" s="1"/>
  <c r="C23" i="44" s="1"/>
  <c r="E72" i="21"/>
  <c r="G72" i="21" s="1"/>
  <c r="B23" i="44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L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E46" i="21"/>
  <c r="G46" i="21" s="1"/>
  <c r="L46" i="21" s="1"/>
  <c r="G45" i="21"/>
  <c r="L45" i="21" s="1"/>
  <c r="E44" i="21"/>
  <c r="G44" i="21" s="1"/>
  <c r="L44" i="21" s="1"/>
  <c r="E43" i="21"/>
  <c r="G43" i="21" s="1"/>
  <c r="G42" i="21"/>
  <c r="G41" i="21"/>
  <c r="G40" i="21"/>
  <c r="L40" i="21" s="1"/>
  <c r="E39" i="21"/>
  <c r="G39" i="21" s="1"/>
  <c r="E38" i="21"/>
  <c r="G38" i="21" s="1"/>
  <c r="E37" i="21"/>
  <c r="G37" i="21" s="1"/>
  <c r="E36" i="21"/>
  <c r="G36" i="21" s="1"/>
  <c r="E35" i="21"/>
  <c r="G35" i="21" s="1"/>
  <c r="E23" i="21"/>
  <c r="E22" i="21"/>
  <c r="E19" i="21"/>
  <c r="G19" i="21" s="1"/>
  <c r="E18" i="21"/>
  <c r="E15" i="21"/>
  <c r="G15" i="21" s="1"/>
  <c r="E12" i="21"/>
  <c r="G12" i="21" s="1"/>
  <c r="E11" i="21"/>
  <c r="G11" i="21" s="1"/>
  <c r="E10" i="21"/>
  <c r="G10" i="21" s="1"/>
  <c r="E9" i="21"/>
  <c r="G9" i="21" s="1"/>
  <c r="E7" i="21"/>
  <c r="G7" i="21" s="1"/>
  <c r="G140" i="20"/>
  <c r="G139" i="20"/>
  <c r="AL22" i="1" s="1"/>
  <c r="G138" i="20"/>
  <c r="G137" i="20"/>
  <c r="G136" i="20"/>
  <c r="AJ22" i="44" s="1"/>
  <c r="G135" i="20"/>
  <c r="AD22" i="1" s="1"/>
  <c r="G134" i="20"/>
  <c r="G133" i="20"/>
  <c r="AB22" i="1" s="1"/>
  <c r="G132" i="20"/>
  <c r="AA22" i="1" s="1"/>
  <c r="E131" i="20"/>
  <c r="G131" i="20" s="1"/>
  <c r="E130" i="20"/>
  <c r="G130" i="20" s="1"/>
  <c r="E124" i="20"/>
  <c r="G124" i="20" s="1"/>
  <c r="AD22" i="44" s="1"/>
  <c r="E123" i="20"/>
  <c r="G123" i="20" s="1"/>
  <c r="E94" i="20"/>
  <c r="E93" i="20"/>
  <c r="G93" i="20" s="1"/>
  <c r="E92" i="20"/>
  <c r="G92" i="20" s="1"/>
  <c r="V7" i="45" s="1"/>
  <c r="G84" i="20"/>
  <c r="G83" i="20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i="20" s="1"/>
  <c r="B22" i="44" s="1"/>
  <c r="E69" i="20"/>
  <c r="E68" i="20"/>
  <c r="E67" i="20"/>
  <c r="E66" i="20"/>
  <c r="E65" i="20"/>
  <c r="E64" i="20"/>
  <c r="E63" i="20"/>
  <c r="E165" i="20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E46" i="20"/>
  <c r="G46" i="20" s="1"/>
  <c r="E45" i="20"/>
  <c r="G45" i="20" s="1"/>
  <c r="E44" i="20"/>
  <c r="G44" i="20" s="1"/>
  <c r="E43" i="20"/>
  <c r="G43" i="20" s="1"/>
  <c r="E42" i="20"/>
  <c r="E41" i="20"/>
  <c r="G41" i="20" s="1"/>
  <c r="E40" i="20"/>
  <c r="G40" i="20" s="1"/>
  <c r="E39" i="20"/>
  <c r="G39" i="20" s="1"/>
  <c r="E38" i="20"/>
  <c r="G38" i="20" s="1"/>
  <c r="E37" i="20"/>
  <c r="G37" i="20" s="1"/>
  <c r="E36" i="20"/>
  <c r="G36" i="20" s="1"/>
  <c r="E35" i="20"/>
  <c r="G35" i="20" s="1"/>
  <c r="G22" i="20"/>
  <c r="E19" i="20"/>
  <c r="G19" i="20" s="1"/>
  <c r="E18" i="20"/>
  <c r="G15" i="20"/>
  <c r="E12" i="20"/>
  <c r="G12" i="20" s="1"/>
  <c r="E11" i="20"/>
  <c r="G11" i="20" s="1"/>
  <c r="E10" i="20"/>
  <c r="G10" i="20" s="1"/>
  <c r="E9" i="20"/>
  <c r="G9" i="20" s="1"/>
  <c r="G7" i="20"/>
  <c r="E140" i="19"/>
  <c r="E139" i="19"/>
  <c r="E138" i="19"/>
  <c r="E137" i="19"/>
  <c r="G137" i="19" s="1"/>
  <c r="E136" i="19"/>
  <c r="G136" i="19" s="1"/>
  <c r="AJ21" i="44" s="1"/>
  <c r="E135" i="19"/>
  <c r="E134" i="19"/>
  <c r="E133" i="19"/>
  <c r="E131" i="19"/>
  <c r="G131" i="19" s="1"/>
  <c r="E130" i="19"/>
  <c r="G130" i="19" s="1"/>
  <c r="E127" i="19"/>
  <c r="G127" i="19" s="1"/>
  <c r="AG21" i="44" s="1"/>
  <c r="E126" i="19"/>
  <c r="G126" i="19" s="1"/>
  <c r="AF21" i="44" s="1"/>
  <c r="E125" i="19"/>
  <c r="G125" i="19" s="1"/>
  <c r="AE21" i="44" s="1"/>
  <c r="E124" i="19"/>
  <c r="G124" i="19" s="1"/>
  <c r="AD21" i="44" s="1"/>
  <c r="E123" i="19"/>
  <c r="G123" i="19" s="1"/>
  <c r="E100" i="19"/>
  <c r="G100" i="19" s="1"/>
  <c r="E99" i="19"/>
  <c r="G99" i="19" s="1"/>
  <c r="E98" i="19"/>
  <c r="G98" i="19" s="1"/>
  <c r="U12" i="45" s="1"/>
  <c r="U26" i="45" s="1"/>
  <c r="E97" i="19"/>
  <c r="G97" i="19" s="1"/>
  <c r="E96" i="19"/>
  <c r="G96" i="19" s="1"/>
  <c r="E95" i="19"/>
  <c r="G95" i="19" s="1"/>
  <c r="U8" i="45" s="1"/>
  <c r="U28" i="45" s="1"/>
  <c r="E94" i="19"/>
  <c r="E93" i="19"/>
  <c r="G93" i="19" s="1"/>
  <c r="E92" i="19"/>
  <c r="G92" i="19" s="1"/>
  <c r="U7" i="45" s="1"/>
  <c r="E84" i="19"/>
  <c r="G84" i="19" s="1"/>
  <c r="E83" i="19"/>
  <c r="G83" i="19" s="1"/>
  <c r="N21" i="44" s="1"/>
  <c r="E82" i="19"/>
  <c r="G82" i="19" s="1"/>
  <c r="L21" i="44" s="1"/>
  <c r="E81" i="19"/>
  <c r="G81" i="19" s="1"/>
  <c r="K21" i="44" s="1"/>
  <c r="E80" i="19"/>
  <c r="G80" i="19" s="1"/>
  <c r="J21" i="44" s="1"/>
  <c r="E79" i="19"/>
  <c r="G79" i="19" s="1"/>
  <c r="I21" i="44" s="1"/>
  <c r="E78" i="19"/>
  <c r="G78" i="19" s="1"/>
  <c r="H21" i="44" s="1"/>
  <c r="E77" i="19"/>
  <c r="G77" i="19" s="1"/>
  <c r="G21" i="44" s="1"/>
  <c r="E76" i="19"/>
  <c r="G76" i="19" s="1"/>
  <c r="F21" i="44" s="1"/>
  <c r="E75" i="19"/>
  <c r="G75" i="19" s="1"/>
  <c r="E21" i="44" s="1"/>
  <c r="E74" i="19"/>
  <c r="G74" i="19" s="1"/>
  <c r="D21" i="44" s="1"/>
  <c r="E73" i="19"/>
  <c r="G73" i="19" s="1"/>
  <c r="C21" i="44" s="1"/>
  <c r="E72" i="19"/>
  <c r="G72" i="19" s="1"/>
  <c r="E69" i="19"/>
  <c r="G171" i="19" s="1"/>
  <c r="E68" i="19"/>
  <c r="E67" i="19"/>
  <c r="E66" i="19"/>
  <c r="E65" i="19"/>
  <c r="E64" i="19"/>
  <c r="E62" i="19"/>
  <c r="E57" i="19"/>
  <c r="G57" i="19" s="1"/>
  <c r="BH21" i="1" s="1"/>
  <c r="E56" i="19"/>
  <c r="G56" i="19" s="1"/>
  <c r="BG21" i="1" s="1"/>
  <c r="E55" i="19"/>
  <c r="G55" i="19" s="1"/>
  <c r="E54" i="19"/>
  <c r="G54" i="19" s="1"/>
  <c r="E53" i="19"/>
  <c r="G53" i="19" s="1"/>
  <c r="BD21" i="1" s="1"/>
  <c r="E52" i="19"/>
  <c r="G52" i="19" s="1"/>
  <c r="E51" i="19"/>
  <c r="G51" i="19" s="1"/>
  <c r="BB21" i="1" s="1"/>
  <c r="E50" i="19"/>
  <c r="G50" i="19" s="1"/>
  <c r="E49" i="19"/>
  <c r="E46" i="19"/>
  <c r="G46" i="19" s="1"/>
  <c r="E45" i="19"/>
  <c r="G45" i="19" s="1"/>
  <c r="E44" i="19"/>
  <c r="G44" i="19" s="1"/>
  <c r="E43" i="19"/>
  <c r="G43" i="19" s="1"/>
  <c r="E42" i="19"/>
  <c r="G42" i="19" s="1"/>
  <c r="AW21" i="1" s="1"/>
  <c r="E41" i="19"/>
  <c r="G41" i="19" s="1"/>
  <c r="E39" i="19"/>
  <c r="E38" i="19"/>
  <c r="G38" i="19" s="1"/>
  <c r="E37" i="19"/>
  <c r="E36" i="19"/>
  <c r="G36" i="19" s="1"/>
  <c r="E35" i="19"/>
  <c r="G35" i="19" s="1"/>
  <c r="E24" i="19"/>
  <c r="E22" i="19"/>
  <c r="G22" i="19" s="1"/>
  <c r="E19" i="19"/>
  <c r="G19" i="19" s="1"/>
  <c r="E18" i="19"/>
  <c r="E15" i="19"/>
  <c r="G15" i="19" s="1"/>
  <c r="E12" i="19"/>
  <c r="G12" i="19" s="1"/>
  <c r="E11" i="19"/>
  <c r="G11" i="19" s="1"/>
  <c r="E10" i="19"/>
  <c r="G10" i="19" s="1"/>
  <c r="E9" i="19"/>
  <c r="G9" i="19" s="1"/>
  <c r="E140" i="18"/>
  <c r="G140" i="18" s="1"/>
  <c r="AI20" i="44" s="1"/>
  <c r="E139" i="18"/>
  <c r="E138" i="18"/>
  <c r="G138" i="18" s="1"/>
  <c r="E137" i="18"/>
  <c r="G137" i="18" s="1"/>
  <c r="E136" i="18"/>
  <c r="G136" i="18" s="1"/>
  <c r="AJ20" i="44" s="1"/>
  <c r="E135" i="18"/>
  <c r="E134" i="18"/>
  <c r="G134" i="18" s="1"/>
  <c r="E133" i="18"/>
  <c r="E132" i="18"/>
  <c r="E131" i="18"/>
  <c r="G131" i="18" s="1"/>
  <c r="E130" i="18"/>
  <c r="G130" i="18" s="1"/>
  <c r="E127" i="18"/>
  <c r="G127" i="18" s="1"/>
  <c r="AG20" i="44" s="1"/>
  <c r="E126" i="18"/>
  <c r="G126" i="18" s="1"/>
  <c r="AF20" i="44" s="1"/>
  <c r="E125" i="18"/>
  <c r="G125" i="18" s="1"/>
  <c r="AE20" i="44" s="1"/>
  <c r="E124" i="18"/>
  <c r="G124" i="18" s="1"/>
  <c r="AD20" i="44" s="1"/>
  <c r="E123" i="18"/>
  <c r="G123" i="18" s="1"/>
  <c r="E100" i="18"/>
  <c r="G100" i="18" s="1"/>
  <c r="E99" i="18"/>
  <c r="G99" i="18" s="1"/>
  <c r="E98" i="18"/>
  <c r="G98" i="18" s="1"/>
  <c r="T12" i="45" s="1"/>
  <c r="T26" i="45" s="1"/>
  <c r="E97" i="18"/>
  <c r="G97" i="18" s="1"/>
  <c r="E96" i="18"/>
  <c r="G96" i="18" s="1"/>
  <c r="E95" i="18"/>
  <c r="G95" i="18" s="1"/>
  <c r="T8" i="45" s="1"/>
  <c r="E94" i="18"/>
  <c r="E93" i="18"/>
  <c r="G93" i="18" s="1"/>
  <c r="E92" i="18"/>
  <c r="G92" i="18" s="1"/>
  <c r="T7" i="45" s="1"/>
  <c r="E84" i="18"/>
  <c r="G84" i="18" s="1"/>
  <c r="E83" i="18"/>
  <c r="G83" i="18" s="1"/>
  <c r="N20" i="44" s="1"/>
  <c r="E82" i="18"/>
  <c r="G82" i="18" s="1"/>
  <c r="L20" i="44" s="1"/>
  <c r="E81" i="18"/>
  <c r="G81" i="18" s="1"/>
  <c r="K20" i="44" s="1"/>
  <c r="E80" i="18"/>
  <c r="G80" i="18" s="1"/>
  <c r="J20" i="44" s="1"/>
  <c r="E79" i="18"/>
  <c r="G79" i="18" s="1"/>
  <c r="I20" i="44" s="1"/>
  <c r="E78" i="18"/>
  <c r="G78" i="18" s="1"/>
  <c r="H20" i="44" s="1"/>
  <c r="E77" i="18"/>
  <c r="G77" i="18" s="1"/>
  <c r="G20" i="44" s="1"/>
  <c r="E76" i="18"/>
  <c r="G76" i="18" s="1"/>
  <c r="F20" i="44" s="1"/>
  <c r="E75" i="18"/>
  <c r="G75" i="18" s="1"/>
  <c r="E20" i="44" s="1"/>
  <c r="E74" i="18"/>
  <c r="G74" i="18" s="1"/>
  <c r="D20" i="44" s="1"/>
  <c r="E73" i="18"/>
  <c r="G73" i="18" s="1"/>
  <c r="C20" i="44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M20" i="44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E36" i="18"/>
  <c r="G36" i="18" s="1"/>
  <c r="E35" i="18"/>
  <c r="G35" i="18" s="1"/>
  <c r="E24" i="18"/>
  <c r="E23" i="18"/>
  <c r="E22" i="18"/>
  <c r="E19" i="18"/>
  <c r="G19" i="18" s="1"/>
  <c r="E18" i="18"/>
  <c r="E15" i="18"/>
  <c r="G15" i="18" s="1"/>
  <c r="E12" i="18"/>
  <c r="G12" i="18" s="1"/>
  <c r="E11" i="18"/>
  <c r="G11" i="18" s="1"/>
  <c r="E10" i="18"/>
  <c r="G10" i="18" s="1"/>
  <c r="E9" i="18"/>
  <c r="G9" i="18" s="1"/>
  <c r="G7" i="18"/>
  <c r="E140" i="17"/>
  <c r="G140" i="17" s="1"/>
  <c r="E139" i="17"/>
  <c r="G139" i="17" s="1"/>
  <c r="AL19" i="1" s="1"/>
  <c r="E138" i="17"/>
  <c r="G138" i="17" s="1"/>
  <c r="E137" i="17"/>
  <c r="G137" i="17" s="1"/>
  <c r="E136" i="17"/>
  <c r="E135" i="17"/>
  <c r="G135" i="17" s="1"/>
  <c r="AD19" i="1" s="1"/>
  <c r="E134" i="17"/>
  <c r="G134" i="17" s="1"/>
  <c r="AC19" i="1" s="1"/>
  <c r="E133" i="17"/>
  <c r="G133" i="17" s="1"/>
  <c r="AB19" i="1" s="1"/>
  <c r="E132" i="17"/>
  <c r="G132" i="17" s="1"/>
  <c r="AA19" i="1" s="1"/>
  <c r="E131" i="17"/>
  <c r="G131" i="17" s="1"/>
  <c r="E130" i="17"/>
  <c r="G130" i="17" s="1"/>
  <c r="E127" i="17"/>
  <c r="G127" i="17" s="1"/>
  <c r="AG19" i="44" s="1"/>
  <c r="E126" i="17"/>
  <c r="G126" i="17" s="1"/>
  <c r="AF19" i="44" s="1"/>
  <c r="E125" i="17"/>
  <c r="G125" i="17" s="1"/>
  <c r="AE19" i="44" s="1"/>
  <c r="E124" i="17"/>
  <c r="G124" i="17" s="1"/>
  <c r="AD19" i="44" s="1"/>
  <c r="E123" i="17"/>
  <c r="G123" i="17" s="1"/>
  <c r="E98" i="17"/>
  <c r="G98" i="17" s="1"/>
  <c r="S12" i="45" s="1"/>
  <c r="S26" i="45" s="1"/>
  <c r="E95" i="17"/>
  <c r="G95" i="17" s="1"/>
  <c r="S8" i="45" s="1"/>
  <c r="S28" i="45" s="1"/>
  <c r="E94" i="17"/>
  <c r="E93" i="17"/>
  <c r="G93" i="17" s="1"/>
  <c r="E92" i="17"/>
  <c r="G92" i="17" s="1"/>
  <c r="S7" i="45" s="1"/>
  <c r="E84" i="17"/>
  <c r="G84" i="17" s="1"/>
  <c r="E83" i="17"/>
  <c r="G83" i="17" s="1"/>
  <c r="N19" i="44" s="1"/>
  <c r="E82" i="17"/>
  <c r="G82" i="17" s="1"/>
  <c r="L19" i="44" s="1"/>
  <c r="E81" i="17"/>
  <c r="G81" i="17" s="1"/>
  <c r="K19" i="44" s="1"/>
  <c r="E80" i="17"/>
  <c r="G80" i="17" s="1"/>
  <c r="J19" i="44" s="1"/>
  <c r="E79" i="17"/>
  <c r="G79" i="17" s="1"/>
  <c r="I19" i="44" s="1"/>
  <c r="E78" i="17"/>
  <c r="G78" i="17" s="1"/>
  <c r="H19" i="44" s="1"/>
  <c r="E77" i="17"/>
  <c r="G77" i="17" s="1"/>
  <c r="G19" i="44" s="1"/>
  <c r="E76" i="17"/>
  <c r="G76" i="17" s="1"/>
  <c r="F19" i="44" s="1"/>
  <c r="E75" i="17"/>
  <c r="G75" i="17" s="1"/>
  <c r="E19" i="44" s="1"/>
  <c r="E74" i="17"/>
  <c r="G74" i="17" s="1"/>
  <c r="D19" i="44" s="1"/>
  <c r="E73" i="17"/>
  <c r="G73" i="17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 i="17"/>
  <c r="E24" i="17"/>
  <c r="E23" i="17"/>
  <c r="E22" i="17"/>
  <c r="G22" i="17" s="1"/>
  <c r="G15" i="17"/>
  <c r="G12" i="17"/>
  <c r="G11" i="17"/>
  <c r="G10" i="17"/>
  <c r="G9" i="17"/>
  <c r="G7" i="17"/>
  <c r="E140" i="16"/>
  <c r="G140" i="16" s="1"/>
  <c r="E139" i="16"/>
  <c r="G139" i="16" s="1"/>
  <c r="AL18" i="1" s="1"/>
  <c r="E138" i="16"/>
  <c r="G138" i="16" s="1"/>
  <c r="E137" i="16"/>
  <c r="G137" i="16" s="1"/>
  <c r="E136" i="16"/>
  <c r="G136" i="16" s="1"/>
  <c r="AJ18" i="44" s="1"/>
  <c r="E134" i="16"/>
  <c r="G134" i="16" s="1"/>
  <c r="E133" i="16"/>
  <c r="G133" i="16" s="1"/>
  <c r="AB18" i="1" s="1"/>
  <c r="E132" i="16"/>
  <c r="G132" i="16" s="1"/>
  <c r="AA18" i="1" s="1"/>
  <c r="E131" i="16"/>
  <c r="G131" i="16" s="1"/>
  <c r="E130" i="16"/>
  <c r="G130" i="16" s="1"/>
  <c r="E127" i="16"/>
  <c r="G127" i="16" s="1"/>
  <c r="AG18" i="44" s="1"/>
  <c r="E126" i="16"/>
  <c r="G126" i="16" s="1"/>
  <c r="AF18" i="44" s="1"/>
  <c r="E125" i="16"/>
  <c r="G125" i="16" s="1"/>
  <c r="AE18" i="44" s="1"/>
  <c r="E124" i="16"/>
  <c r="G124" i="16" s="1"/>
  <c r="AD18" i="44" s="1"/>
  <c r="E123" i="16"/>
  <c r="G123" i="16" s="1"/>
  <c r="E100" i="16"/>
  <c r="G100" i="16" s="1"/>
  <c r="E99" i="16"/>
  <c r="G99" i="16" s="1"/>
  <c r="E98" i="16"/>
  <c r="G98" i="16" s="1"/>
  <c r="R12" i="45" s="1"/>
  <c r="R26" i="45" s="1"/>
  <c r="E97" i="16"/>
  <c r="G97" i="16" s="1"/>
  <c r="E96" i="16"/>
  <c r="G96" i="16" s="1"/>
  <c r="E95" i="16"/>
  <c r="G95" i="16" s="1"/>
  <c r="R8" i="45" s="1"/>
  <c r="R28" i="45" s="1"/>
  <c r="E93" i="16"/>
  <c r="G93" i="16" s="1"/>
  <c r="E92" i="16"/>
  <c r="G92" i="16" s="1"/>
  <c r="R7" i="45" s="1"/>
  <c r="E84" i="16"/>
  <c r="G84" i="16" s="1"/>
  <c r="E83" i="16"/>
  <c r="G83" i="16" s="1"/>
  <c r="N18" i="44" s="1"/>
  <c r="E82" i="16"/>
  <c r="G82" i="16" s="1"/>
  <c r="L18" i="44" s="1"/>
  <c r="E81" i="16"/>
  <c r="G81" i="16" s="1"/>
  <c r="K18" i="44" s="1"/>
  <c r="E80" i="16"/>
  <c r="G80" i="16" s="1"/>
  <c r="J18" i="44" s="1"/>
  <c r="E79" i="16"/>
  <c r="G79" i="16" s="1"/>
  <c r="I18" i="44" s="1"/>
  <c r="E78" i="16"/>
  <c r="G78" i="16" s="1"/>
  <c r="H18" i="44" s="1"/>
  <c r="E77" i="16"/>
  <c r="G77" i="16" s="1"/>
  <c r="G18" i="44" s="1"/>
  <c r="E76" i="16"/>
  <c r="G76" i="16" s="1"/>
  <c r="F18" i="44" s="1"/>
  <c r="E75" i="16"/>
  <c r="G75" i="16" s="1"/>
  <c r="E18" i="44" s="1"/>
  <c r="E74" i="16"/>
  <c r="G74" i="16" s="1"/>
  <c r="D18" i="44" s="1"/>
  <c r="E73" i="16"/>
  <c r="G73" i="16" s="1"/>
  <c r="E72" i="16"/>
  <c r="G72" i="16" s="1"/>
  <c r="B18" i="44" s="1"/>
  <c r="G69" i="16"/>
  <c r="G68" i="16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BI18" i="1" s="1"/>
  <c r="G49" i="16"/>
  <c r="G46" i="16"/>
  <c r="G45" i="16"/>
  <c r="G44" i="16"/>
  <c r="G43" i="16"/>
  <c r="G42" i="16"/>
  <c r="G40" i="16"/>
  <c r="G38" i="16"/>
  <c r="G37" i="16"/>
  <c r="G36" i="16"/>
  <c r="AZ18" i="1" s="1"/>
  <c r="E35" i="16"/>
  <c r="G35" i="16" s="1"/>
  <c r="E24" i="16"/>
  <c r="E23" i="16"/>
  <c r="E22" i="16"/>
  <c r="G22" i="16" s="1"/>
  <c r="E19" i="16"/>
  <c r="G19" i="16" s="1"/>
  <c r="E18" i="16"/>
  <c r="G15" i="16"/>
  <c r="E12" i="16"/>
  <c r="G12" i="16" s="1"/>
  <c r="E11" i="16"/>
  <c r="G11" i="16" s="1"/>
  <c r="G10" i="16"/>
  <c r="E140" i="15"/>
  <c r="G140" i="15" s="1"/>
  <c r="E139" i="15"/>
  <c r="G139" i="15" s="1"/>
  <c r="AL17" i="1" s="1"/>
  <c r="E138" i="15"/>
  <c r="G138" i="15" s="1"/>
  <c r="E137" i="15"/>
  <c r="G137" i="15" s="1"/>
  <c r="E136" i="15"/>
  <c r="G136" i="15" s="1"/>
  <c r="AJ17" i="44" s="1"/>
  <c r="G135" i="15"/>
  <c r="AD17" i="1" s="1"/>
  <c r="G134" i="15"/>
  <c r="E133" i="15"/>
  <c r="G133" i="15" s="1"/>
  <c r="AB17" i="1" s="1"/>
  <c r="E132" i="15"/>
  <c r="G132" i="15" s="1"/>
  <c r="AA17" i="1" s="1"/>
  <c r="E131" i="15"/>
  <c r="G131" i="15" s="1"/>
  <c r="E130" i="15"/>
  <c r="G130" i="15" s="1"/>
  <c r="E127" i="15"/>
  <c r="G127" i="15" s="1"/>
  <c r="AG17" i="44" s="1"/>
  <c r="E126" i="15"/>
  <c r="G126" i="15" s="1"/>
  <c r="AF17" i="44" s="1"/>
  <c r="E125" i="15"/>
  <c r="G125" i="15" s="1"/>
  <c r="AE17" i="44" s="1"/>
  <c r="E124" i="15"/>
  <c r="G124" i="15" s="1"/>
  <c r="AD17" i="44" s="1"/>
  <c r="E123" i="15"/>
  <c r="G123" i="15" s="1"/>
  <c r="E100" i="15"/>
  <c r="G100" i="15" s="1"/>
  <c r="E99" i="15"/>
  <c r="G99" i="15" s="1"/>
  <c r="E98" i="15"/>
  <c r="G98" i="15" s="1"/>
  <c r="Q12" i="45" s="1"/>
  <c r="Q26" i="45" s="1"/>
  <c r="E97" i="15"/>
  <c r="G97" i="15" s="1"/>
  <c r="E96" i="15"/>
  <c r="G96" i="15" s="1"/>
  <c r="E95" i="15"/>
  <c r="G95" i="15" s="1"/>
  <c r="Q8" i="45" s="1"/>
  <c r="Q28" i="45" s="1"/>
  <c r="E94" i="15"/>
  <c r="E93" i="15"/>
  <c r="G93" i="15" s="1"/>
  <c r="E92" i="15"/>
  <c r="G92" i="15" s="1"/>
  <c r="Q7" i="45" s="1"/>
  <c r="E69" i="15"/>
  <c r="E68" i="15"/>
  <c r="E67" i="15"/>
  <c r="E66" i="15"/>
  <c r="E65" i="15"/>
  <c r="E64" i="15"/>
  <c r="E63" i="15"/>
  <c r="E62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BA17" i="1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9" i="15"/>
  <c r="G19" i="15" s="1"/>
  <c r="E18" i="15"/>
  <c r="E15" i="15"/>
  <c r="G15" i="15" s="1"/>
  <c r="E12" i="15"/>
  <c r="G12" i="15" s="1"/>
  <c r="E11" i="15"/>
  <c r="G11" i="15" s="1"/>
  <c r="E10" i="15"/>
  <c r="G10" i="15" s="1"/>
  <c r="E7" i="15"/>
  <c r="G7" i="15" s="1"/>
  <c r="E140" i="14"/>
  <c r="G140" i="14" s="1"/>
  <c r="E139" i="14"/>
  <c r="G139" i="14" s="1"/>
  <c r="AL16" i="1" s="1"/>
  <c r="E138" i="14"/>
  <c r="G138" i="14" s="1"/>
  <c r="AL16" i="44" s="1"/>
  <c r="E137" i="14"/>
  <c r="G137" i="14" s="1"/>
  <c r="E136" i="14"/>
  <c r="G136" i="14" s="1"/>
  <c r="AJ16" i="44" s="1"/>
  <c r="E135" i="14"/>
  <c r="G135" i="14" s="1"/>
  <c r="AD16" i="1" s="1"/>
  <c r="E134" i="14"/>
  <c r="G134" i="14" s="1"/>
  <c r="AC16" i="1" s="1"/>
  <c r="E133" i="14"/>
  <c r="G133" i="14" s="1"/>
  <c r="AB16" i="1" s="1"/>
  <c r="E132" i="14"/>
  <c r="G132" i="14" s="1"/>
  <c r="AA16" i="1" s="1"/>
  <c r="E131" i="14"/>
  <c r="G131" i="14" s="1"/>
  <c r="E130" i="14"/>
  <c r="G130" i="14" s="1"/>
  <c r="E127" i="14"/>
  <c r="G127" i="14" s="1"/>
  <c r="AG16" i="44" s="1"/>
  <c r="E126" i="14"/>
  <c r="G126" i="14" s="1"/>
  <c r="AF16" i="44" s="1"/>
  <c r="E125" i="14"/>
  <c r="G125" i="14" s="1"/>
  <c r="AE16" i="44" s="1"/>
  <c r="E124" i="14"/>
  <c r="G124" i="14" s="1"/>
  <c r="AD16" i="44" s="1"/>
  <c r="E123" i="14"/>
  <c r="G123" i="14" s="1"/>
  <c r="G100" i="14"/>
  <c r="G99" i="14"/>
  <c r="G98" i="14"/>
  <c r="P12" i="45" s="1"/>
  <c r="P26" i="45" s="1"/>
  <c r="G97" i="14"/>
  <c r="P10" i="45" s="1"/>
  <c r="G96" i="14"/>
  <c r="E95" i="14"/>
  <c r="G95" i="14" s="1"/>
  <c r="P8" i="45" s="1"/>
  <c r="P28" i="45" s="1"/>
  <c r="E94" i="14"/>
  <c r="E93" i="14"/>
  <c r="G93" i="14" s="1"/>
  <c r="E92" i="14"/>
  <c r="G92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9" i="14"/>
  <c r="G19" i="14" s="1"/>
  <c r="E18" i="14"/>
  <c r="E15" i="14"/>
  <c r="G15" i="14" s="1"/>
  <c r="G12" i="14"/>
  <c r="G11" i="14"/>
  <c r="G10" i="14"/>
  <c r="E7" i="14"/>
  <c r="G7" i="14" s="1"/>
  <c r="E130" i="13"/>
  <c r="G130" i="13" s="1"/>
  <c r="E123" i="13"/>
  <c r="G123" i="13" s="1"/>
  <c r="G95" i="13"/>
  <c r="E92" i="13"/>
  <c r="G92" i="13" s="1"/>
  <c r="E62" i="13"/>
  <c r="G58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9" i="13"/>
  <c r="G19" i="13" s="1"/>
  <c r="E18" i="13"/>
  <c r="E15" i="13"/>
  <c r="G12" i="13"/>
  <c r="G11" i="13"/>
  <c r="G10" i="13"/>
  <c r="G9" i="13"/>
  <c r="G132" i="12"/>
  <c r="G131" i="12"/>
  <c r="P131" i="12" s="1"/>
  <c r="E130" i="12"/>
  <c r="G130" i="12" s="1"/>
  <c r="P130" i="12" s="1"/>
  <c r="E127" i="12"/>
  <c r="G127" i="12" s="1"/>
  <c r="E126" i="12"/>
  <c r="G126" i="12" s="1"/>
  <c r="E125" i="12"/>
  <c r="G125" i="12" s="1"/>
  <c r="E124" i="12"/>
  <c r="G124" i="12" s="1"/>
  <c r="E123" i="12"/>
  <c r="G123" i="12" s="1"/>
  <c r="P123" i="12" s="1"/>
  <c r="G100" i="12"/>
  <c r="G99" i="12"/>
  <c r="G98" i="12"/>
  <c r="G97" i="12"/>
  <c r="P97" i="12" s="1"/>
  <c r="G96" i="12"/>
  <c r="P96" i="12" s="1"/>
  <c r="G95" i="12"/>
  <c r="P95" i="12" s="1"/>
  <c r="G93" i="12"/>
  <c r="P93" i="12" s="1"/>
  <c r="E92" i="12"/>
  <c r="G92" i="12" s="1"/>
  <c r="E62" i="12"/>
  <c r="G164" i="12" s="1"/>
  <c r="BA14" i="1"/>
  <c r="E35" i="12"/>
  <c r="G35" i="12" s="1"/>
  <c r="E23" i="12"/>
  <c r="E22" i="12"/>
  <c r="G22" i="12" s="1"/>
  <c r="P22" i="12" s="1"/>
  <c r="E19" i="12"/>
  <c r="G19" i="12" s="1"/>
  <c r="E18" i="12"/>
  <c r="E15" i="12"/>
  <c r="G15" i="12" s="1"/>
  <c r="G12" i="12"/>
  <c r="P12" i="12" s="1"/>
  <c r="G11" i="12"/>
  <c r="P11" i="12" s="1"/>
  <c r="G10" i="12"/>
  <c r="G7" i="12"/>
  <c r="O9" i="12" s="1"/>
  <c r="E130" i="11"/>
  <c r="G130" i="11" s="1"/>
  <c r="E123" i="11"/>
  <c r="G123" i="11" s="1"/>
  <c r="AC13" i="44" s="1"/>
  <c r="G95" i="11"/>
  <c r="E92" i="11"/>
  <c r="G92" i="11" s="1"/>
  <c r="E62" i="11"/>
  <c r="E49" i="11"/>
  <c r="G49" i="11" s="1"/>
  <c r="BA13" i="1" s="1"/>
  <c r="E35" i="11"/>
  <c r="G35" i="11" s="1"/>
  <c r="E23" i="11"/>
  <c r="E22" i="11"/>
  <c r="G22" i="11" s="1"/>
  <c r="E19" i="11"/>
  <c r="G19" i="11" s="1"/>
  <c r="E18" i="11"/>
  <c r="E15" i="11"/>
  <c r="G15" i="11" s="1"/>
  <c r="G9" i="11"/>
  <c r="E7" i="11"/>
  <c r="G7" i="11" s="1"/>
  <c r="AA12" i="1"/>
  <c r="L12" i="45"/>
  <c r="L26" i="45" s="1"/>
  <c r="L8" i="45"/>
  <c r="L28" i="45" s="1"/>
  <c r="L7" i="45"/>
  <c r="Y12" i="44"/>
  <c r="X12" i="44"/>
  <c r="W12" i="44"/>
  <c r="V12" i="44"/>
  <c r="U12" i="44"/>
  <c r="BH12" i="1"/>
  <c r="BG12" i="1"/>
  <c r="BF12" i="1"/>
  <c r="BE12" i="1"/>
  <c r="BC12" i="1"/>
  <c r="BB12" i="1"/>
  <c r="BA12" i="1"/>
  <c r="AW12" i="1"/>
  <c r="E140" i="9"/>
  <c r="G140" i="9" s="1"/>
  <c r="E139" i="9"/>
  <c r="G139" i="9" s="1"/>
  <c r="AL11" i="1" s="1"/>
  <c r="E138" i="9"/>
  <c r="G138" i="9" s="1"/>
  <c r="E137" i="9"/>
  <c r="G137" i="9" s="1"/>
  <c r="E136" i="9"/>
  <c r="G136" i="9" s="1"/>
  <c r="AJ11" i="44" s="1"/>
  <c r="E135" i="9"/>
  <c r="G135" i="9" s="1"/>
  <c r="AD11" i="1" s="1"/>
  <c r="E134" i="9"/>
  <c r="G134" i="9" s="1"/>
  <c r="AC11" i="1" s="1"/>
  <c r="E133" i="9"/>
  <c r="G133" i="9" s="1"/>
  <c r="AB11" i="1" s="1"/>
  <c r="E132" i="9"/>
  <c r="G132" i="9" s="1"/>
  <c r="AA11" i="1" s="1"/>
  <c r="E131" i="9"/>
  <c r="G131" i="9" s="1"/>
  <c r="E130" i="9"/>
  <c r="G130" i="9" s="1"/>
  <c r="E100" i="9"/>
  <c r="G100" i="9" s="1"/>
  <c r="E99" i="9"/>
  <c r="G99" i="9" s="1"/>
  <c r="E98" i="9"/>
  <c r="G98" i="9" s="1"/>
  <c r="K12" i="45" s="1"/>
  <c r="K26" i="45" s="1"/>
  <c r="E97" i="9"/>
  <c r="G97" i="9" s="1"/>
  <c r="E96" i="9"/>
  <c r="G96" i="9" s="1"/>
  <c r="K9" i="45" s="1"/>
  <c r="E95" i="9"/>
  <c r="G95" i="9" s="1"/>
  <c r="K8" i="45" s="1"/>
  <c r="K28" i="45" s="1"/>
  <c r="E94" i="9"/>
  <c r="E93" i="9"/>
  <c r="G93" i="9" s="1"/>
  <c r="G92" i="9"/>
  <c r="K7" i="45" s="1"/>
  <c r="E69" i="9"/>
  <c r="G69" i="9" s="1"/>
  <c r="E68" i="9"/>
  <c r="G68" i="9" s="1"/>
  <c r="Y11" i="44" s="1"/>
  <c r="E67" i="9"/>
  <c r="G67" i="9" s="1"/>
  <c r="X11" i="44" s="1"/>
  <c r="E66" i="9"/>
  <c r="G66" i="9" s="1"/>
  <c r="W11" i="44" s="1"/>
  <c r="E65" i="9"/>
  <c r="G65" i="9" s="1"/>
  <c r="V11" i="44" s="1"/>
  <c r="E63" i="9"/>
  <c r="G63" i="9" s="1"/>
  <c r="T11" i="44" s="1"/>
  <c r="E62" i="9"/>
  <c r="G62" i="9" s="1"/>
  <c r="S11" i="44" s="1"/>
  <c r="E58" i="9"/>
  <c r="G58" i="9" s="1"/>
  <c r="M11" i="44" s="1"/>
  <c r="E57" i="9"/>
  <c r="G57" i="9" s="1"/>
  <c r="BH11" i="1" s="1"/>
  <c r="E56" i="9"/>
  <c r="G56" i="9" s="1"/>
  <c r="BG11" i="1" s="1"/>
  <c r="E55" i="9"/>
  <c r="G55" i="9" s="1"/>
  <c r="BF11" i="1" s="1"/>
  <c r="E54" i="9"/>
  <c r="G54" i="9" s="1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9" i="9"/>
  <c r="G19" i="9" s="1"/>
  <c r="E18" i="9"/>
  <c r="E12" i="9"/>
  <c r="G12" i="9" s="1"/>
  <c r="G11" i="9"/>
  <c r="E10" i="9"/>
  <c r="G10" i="9" s="1"/>
  <c r="G9" i="9"/>
  <c r="E7" i="9"/>
  <c r="G7" i="9" s="1"/>
  <c r="E140" i="7"/>
  <c r="G140" i="7" s="1"/>
  <c r="AI9" i="44" s="1"/>
  <c r="E139" i="7"/>
  <c r="G139" i="7" s="1"/>
  <c r="AL9" i="1" s="1"/>
  <c r="E138" i="7"/>
  <c r="G138" i="7" s="1"/>
  <c r="E137" i="7"/>
  <c r="G137" i="7" s="1"/>
  <c r="AK9" i="44" s="1"/>
  <c r="E136" i="7"/>
  <c r="G136" i="7" s="1"/>
  <c r="AJ9" i="44" s="1"/>
  <c r="E135" i="7"/>
  <c r="G135" i="7" s="1"/>
  <c r="AD9" i="1" s="1"/>
  <c r="E134" i="7"/>
  <c r="G134" i="7" s="1"/>
  <c r="AC9" i="1" s="1"/>
  <c r="E133" i="7"/>
  <c r="G133" i="7" s="1"/>
  <c r="AB9" i="1" s="1"/>
  <c r="E132" i="7"/>
  <c r="G132" i="7" s="1"/>
  <c r="E131" i="7"/>
  <c r="G131" i="7" s="1"/>
  <c r="E130" i="7"/>
  <c r="G130" i="7" s="1"/>
  <c r="E127" i="7"/>
  <c r="G127" i="7" s="1"/>
  <c r="AG9" i="44" s="1"/>
  <c r="E126" i="7"/>
  <c r="G126" i="7" s="1"/>
  <c r="AF9" i="44" s="1"/>
  <c r="E125" i="7"/>
  <c r="G125" i="7" s="1"/>
  <c r="AE9" i="44" s="1"/>
  <c r="E124" i="7"/>
  <c r="G124" i="7" s="1"/>
  <c r="AD9" i="44" s="1"/>
  <c r="E123" i="7"/>
  <c r="G123" i="7" s="1"/>
  <c r="E100" i="7"/>
  <c r="G100" i="7" s="1"/>
  <c r="E99" i="7"/>
  <c r="G99" i="7" s="1"/>
  <c r="E98" i="7"/>
  <c r="G98" i="7" s="1"/>
  <c r="I12" i="45" s="1"/>
  <c r="I26" i="45" s="1"/>
  <c r="E97" i="7"/>
  <c r="G97" i="7" s="1"/>
  <c r="E96" i="7"/>
  <c r="G96" i="7" s="1"/>
  <c r="I9" i="45" s="1"/>
  <c r="E95" i="7"/>
  <c r="G95" i="7" s="1"/>
  <c r="I8" i="45" s="1"/>
  <c r="I28" i="45" s="1"/>
  <c r="E94" i="7"/>
  <c r="G93" i="7"/>
  <c r="E92" i="7"/>
  <c r="G92" i="7" s="1"/>
  <c r="I7" i="45" s="1"/>
  <c r="E69" i="7"/>
  <c r="E68" i="7"/>
  <c r="E67" i="7"/>
  <c r="E66" i="7"/>
  <c r="E65" i="7"/>
  <c r="E64" i="7"/>
  <c r="E63" i="7"/>
  <c r="E62" i="7"/>
  <c r="E164" i="7" s="1"/>
  <c r="G58" i="7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9" i="7"/>
  <c r="G19" i="7" s="1"/>
  <c r="E18" i="7"/>
  <c r="E15" i="7"/>
  <c r="G15" i="7" s="1"/>
  <c r="E12" i="7"/>
  <c r="G12" i="7" s="1"/>
  <c r="E11" i="7"/>
  <c r="G11" i="7" s="1"/>
  <c r="E10" i="7"/>
  <c r="G10" i="7" s="1"/>
  <c r="E9" i="7"/>
  <c r="G9" i="7" s="1"/>
  <c r="E15" i="33"/>
  <c r="G15" i="33" s="1"/>
  <c r="E131" i="33"/>
  <c r="G131" i="33" s="1"/>
  <c r="E132" i="33"/>
  <c r="G132" i="33" s="1"/>
  <c r="AA8" i="1" s="1"/>
  <c r="E133" i="33"/>
  <c r="G133" i="33" s="1"/>
  <c r="AB8" i="1" s="1"/>
  <c r="E134" i="33"/>
  <c r="G134" i="33" s="1"/>
  <c r="E135" i="33"/>
  <c r="G135" i="33" s="1"/>
  <c r="AD8" i="1" s="1"/>
  <c r="E136" i="33"/>
  <c r="G136" i="33" s="1"/>
  <c r="AJ8" i="44" s="1"/>
  <c r="E137" i="33"/>
  <c r="G137" i="33" s="1"/>
  <c r="E138" i="33"/>
  <c r="G138" i="33" s="1"/>
  <c r="E139" i="33"/>
  <c r="G139" i="33" s="1"/>
  <c r="E140" i="33"/>
  <c r="G140" i="33" s="1"/>
  <c r="E130" i="33"/>
  <c r="G130" i="33" s="1"/>
  <c r="E124" i="33"/>
  <c r="G124" i="33" s="1"/>
  <c r="AD8" i="44" s="1"/>
  <c r="E125" i="33"/>
  <c r="G125" i="33" s="1"/>
  <c r="AE8" i="44" s="1"/>
  <c r="E126" i="33"/>
  <c r="G126" i="33" s="1"/>
  <c r="AF8" i="44" s="1"/>
  <c r="E127" i="33"/>
  <c r="G127" i="33" s="1"/>
  <c r="AG8" i="44" s="1"/>
  <c r="E123" i="33"/>
  <c r="G123" i="33" s="1"/>
  <c r="G96" i="33"/>
  <c r="E97" i="33"/>
  <c r="G97" i="33" s="1"/>
  <c r="E98" i="33"/>
  <c r="G98" i="33" s="1"/>
  <c r="H12" i="45" s="1"/>
  <c r="H26" i="45" s="1"/>
  <c r="E99" i="33"/>
  <c r="G99" i="33" s="1"/>
  <c r="G100" i="33"/>
  <c r="E95" i="33"/>
  <c r="G95" i="33" s="1"/>
  <c r="H8" i="45" s="1"/>
  <c r="H28" i="45" s="1"/>
  <c r="E93" i="33"/>
  <c r="G93" i="33" s="1"/>
  <c r="E92" i="33"/>
  <c r="G92" i="33" s="1"/>
  <c r="H7" i="45" s="1"/>
  <c r="E63" i="33"/>
  <c r="E64" i="33"/>
  <c r="E65" i="33"/>
  <c r="E66" i="33"/>
  <c r="E67" i="33"/>
  <c r="E68" i="33"/>
  <c r="E69" i="33"/>
  <c r="E62" i="33"/>
  <c r="E164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M8" i="44" s="1"/>
  <c r="E49" i="33"/>
  <c r="G49" i="33" s="1"/>
  <c r="BA8" i="1" s="1"/>
  <c r="E36" i="33"/>
  <c r="G36" i="33" s="1"/>
  <c r="E37" i="33"/>
  <c r="G37" i="33" s="1"/>
  <c r="E38" i="33"/>
  <c r="G38" i="33" s="1"/>
  <c r="E39" i="33"/>
  <c r="G39" i="33" s="1"/>
  <c r="E40" i="33"/>
  <c r="G40" i="33" s="1"/>
  <c r="E41" i="33"/>
  <c r="G41" i="33" s="1"/>
  <c r="E42" i="33"/>
  <c r="G42" i="33" s="1"/>
  <c r="AW8" i="1" s="1"/>
  <c r="E43" i="33"/>
  <c r="G43" i="33" s="1"/>
  <c r="E44" i="33"/>
  <c r="G44" i="33" s="1"/>
  <c r="E45" i="33"/>
  <c r="G45" i="33" s="1"/>
  <c r="E46" i="33"/>
  <c r="G46" i="33" s="1"/>
  <c r="E35" i="33"/>
  <c r="G35" i="33" s="1"/>
  <c r="G22" i="33"/>
  <c r="E19" i="33"/>
  <c r="G19" i="33" s="1"/>
  <c r="E18" i="33"/>
  <c r="E10" i="33"/>
  <c r="G10" i="33" s="1"/>
  <c r="E11" i="33"/>
  <c r="G11" i="33" s="1"/>
  <c r="E12" i="33"/>
  <c r="G12" i="33" s="1"/>
  <c r="E9" i="33"/>
  <c r="G9" i="33" s="1"/>
  <c r="E7" i="33"/>
  <c r="E131" i="5"/>
  <c r="G131" i="5" s="1"/>
  <c r="E132" i="5"/>
  <c r="G132" i="5" s="1"/>
  <c r="E133" i="5"/>
  <c r="G133" i="5" s="1"/>
  <c r="G134" i="5"/>
  <c r="AC7" i="1" s="1"/>
  <c r="E135" i="5"/>
  <c r="G135" i="5" s="1"/>
  <c r="E136" i="5"/>
  <c r="G136" i="5" s="1"/>
  <c r="AJ7" i="44" s="1"/>
  <c r="E137" i="5"/>
  <c r="G137" i="5" s="1"/>
  <c r="AK7" i="44" s="1"/>
  <c r="E138" i="5"/>
  <c r="G138" i="5" s="1"/>
  <c r="E139" i="5"/>
  <c r="G139" i="5" s="1"/>
  <c r="E140" i="5"/>
  <c r="G140" i="5" s="1"/>
  <c r="E130" i="5"/>
  <c r="G130" i="5" s="1"/>
  <c r="E124" i="5"/>
  <c r="G124" i="5" s="1"/>
  <c r="AD7" i="44" s="1"/>
  <c r="E125" i="5"/>
  <c r="G125" i="5" s="1"/>
  <c r="AE7" i="44" s="1"/>
  <c r="E126" i="5"/>
  <c r="G126" i="5" s="1"/>
  <c r="AF7" i="44" s="1"/>
  <c r="E127" i="5"/>
  <c r="G127" i="5" s="1"/>
  <c r="AG7" i="44" s="1"/>
  <c r="E123" i="5"/>
  <c r="G123" i="5" s="1"/>
  <c r="E95" i="5"/>
  <c r="G95" i="5" s="1"/>
  <c r="G8" i="45" s="1"/>
  <c r="G28" i="45" s="1"/>
  <c r="E96" i="5"/>
  <c r="G96" i="5" s="1"/>
  <c r="E97" i="5"/>
  <c r="G97" i="5" s="1"/>
  <c r="E98" i="5"/>
  <c r="G98" i="5" s="1"/>
  <c r="G12" i="45" s="1"/>
  <c r="G26" i="45" s="1"/>
  <c r="E99" i="5"/>
  <c r="G99" i="5" s="1"/>
  <c r="E100" i="5"/>
  <c r="G100" i="5" s="1"/>
  <c r="E93" i="5"/>
  <c r="G93" i="5" s="1"/>
  <c r="E92" i="5"/>
  <c r="G92" i="5" s="1"/>
  <c r="G7" i="45" s="1"/>
  <c r="E63" i="5"/>
  <c r="E64" i="5"/>
  <c r="E65" i="5"/>
  <c r="E66" i="5"/>
  <c r="E67" i="5"/>
  <c r="E68" i="5"/>
  <c r="E69" i="5"/>
  <c r="E62" i="5"/>
  <c r="E164" i="5" s="1"/>
  <c r="E50" i="5"/>
  <c r="G50" i="5" s="1"/>
  <c r="E51" i="5"/>
  <c r="G51" i="5" s="1"/>
  <c r="E52" i="5"/>
  <c r="G52" i="5" s="1"/>
  <c r="BC7" i="1" s="1"/>
  <c r="E53" i="5"/>
  <c r="G53" i="5" s="1"/>
  <c r="BD7" i="1" s="1"/>
  <c r="E54" i="5"/>
  <c r="G54" i="5" s="1"/>
  <c r="BE7" i="1" s="1"/>
  <c r="E55" i="5"/>
  <c r="G55" i="5" s="1"/>
  <c r="BF7" i="1" s="1"/>
  <c r="E56" i="5"/>
  <c r="G56" i="5" s="1"/>
  <c r="E57" i="5"/>
  <c r="G57" i="5" s="1"/>
  <c r="BH7" i="1" s="1"/>
  <c r="E58" i="5"/>
  <c r="G58" i="5" s="1"/>
  <c r="M7" i="44" s="1"/>
  <c r="E49" i="5"/>
  <c r="G49" i="5" s="1"/>
  <c r="E36" i="5"/>
  <c r="G36" i="5" s="1"/>
  <c r="E38" i="5"/>
  <c r="G38" i="5" s="1"/>
  <c r="G39" i="5"/>
  <c r="E40" i="5"/>
  <c r="G40" i="5" s="1"/>
  <c r="E41" i="5"/>
  <c r="G41" i="5" s="1"/>
  <c r="E42" i="5"/>
  <c r="G42" i="5" s="1"/>
  <c r="AW7" i="1" s="1"/>
  <c r="E44" i="5"/>
  <c r="G44" i="5" s="1"/>
  <c r="E45" i="5"/>
  <c r="G45" i="5" s="1"/>
  <c r="E46" i="5"/>
  <c r="G46" i="5" s="1"/>
  <c r="E35" i="5"/>
  <c r="G35" i="5" s="1"/>
  <c r="I15" i="30"/>
  <c r="G18" i="29"/>
  <c r="G139" i="28"/>
  <c r="AL30" i="1" s="1"/>
  <c r="G18" i="28"/>
  <c r="G18" i="27"/>
  <c r="G18" i="40"/>
  <c r="AC27" i="1"/>
  <c r="AU27" i="1"/>
  <c r="G18" i="24"/>
  <c r="G18" i="23"/>
  <c r="O18" i="23" s="1"/>
  <c r="I7" i="23"/>
  <c r="G40" i="22"/>
  <c r="L40" i="22" s="1"/>
  <c r="G18" i="22"/>
  <c r="G18" i="20"/>
  <c r="I7" i="20"/>
  <c r="G40" i="19"/>
  <c r="AU21" i="1" s="1"/>
  <c r="G18" i="19"/>
  <c r="I15" i="19"/>
  <c r="I7" i="19"/>
  <c r="G18" i="18"/>
  <c r="G64" i="17"/>
  <c r="U19" i="44" s="1"/>
  <c r="G18" i="17"/>
  <c r="I15" i="17"/>
  <c r="I7" i="17"/>
  <c r="G39" i="16"/>
  <c r="G18" i="16"/>
  <c r="G18" i="15"/>
  <c r="G18" i="14"/>
  <c r="G124" i="13"/>
  <c r="G18" i="13"/>
  <c r="G18" i="12"/>
  <c r="G18" i="11"/>
  <c r="G18" i="9"/>
  <c r="G18" i="33"/>
  <c r="E140" i="3"/>
  <c r="G140" i="3" s="1"/>
  <c r="E139" i="3"/>
  <c r="G139" i="3" s="1"/>
  <c r="E138" i="3"/>
  <c r="G138" i="3" s="1"/>
  <c r="E137" i="3"/>
  <c r="G137" i="3" s="1"/>
  <c r="AK5" i="44" s="1"/>
  <c r="E136" i="3"/>
  <c r="G136" i="3" s="1"/>
  <c r="AJ5" i="44" s="1"/>
  <c r="E135" i="3"/>
  <c r="G135" i="3" s="1"/>
  <c r="AD5" i="1" s="1"/>
  <c r="E134" i="3"/>
  <c r="G134" i="3" s="1"/>
  <c r="E133" i="3"/>
  <c r="G133" i="3" s="1"/>
  <c r="AB5" i="1" s="1"/>
  <c r="E132" i="3"/>
  <c r="G132" i="3" s="1"/>
  <c r="E131" i="3"/>
  <c r="G131" i="3" s="1"/>
  <c r="E130" i="3"/>
  <c r="G130" i="3" s="1"/>
  <c r="E127" i="3"/>
  <c r="G127" i="3" s="1"/>
  <c r="AG5" i="44" s="1"/>
  <c r="E126" i="3"/>
  <c r="G126" i="3" s="1"/>
  <c r="AF5" i="44" s="1"/>
  <c r="E125" i="3"/>
  <c r="G125" i="3" s="1"/>
  <c r="AE5" i="44" s="1"/>
  <c r="E124" i="3"/>
  <c r="G124" i="3" s="1"/>
  <c r="AD5" i="44" s="1"/>
  <c r="E123" i="3"/>
  <c r="G123" i="3" s="1"/>
  <c r="E100" i="3"/>
  <c r="G100" i="3" s="1"/>
  <c r="E98" i="3"/>
  <c r="G98" i="3" s="1"/>
  <c r="E12" i="45" s="1"/>
  <c r="E26" i="45" s="1"/>
  <c r="E97" i="3"/>
  <c r="G97" i="3" s="1"/>
  <c r="E96" i="3"/>
  <c r="G96" i="3" s="1"/>
  <c r="E95" i="3"/>
  <c r="G95" i="3" s="1"/>
  <c r="E8" i="45" s="1"/>
  <c r="E28" i="45" s="1"/>
  <c r="E93" i="3"/>
  <c r="G93" i="3" s="1"/>
  <c r="E92" i="3"/>
  <c r="G92" i="3" s="1"/>
  <c r="E7" i="45" s="1"/>
  <c r="E69" i="3"/>
  <c r="E68" i="3"/>
  <c r="E67" i="3"/>
  <c r="E66" i="3"/>
  <c r="E65" i="3"/>
  <c r="E64" i="3"/>
  <c r="E63" i="3"/>
  <c r="E62" i="3"/>
  <c r="G62" i="3" s="1"/>
  <c r="S5" i="44" s="1"/>
  <c r="G18" i="3"/>
  <c r="G92" i="2"/>
  <c r="G95" i="2"/>
  <c r="G96" i="2"/>
  <c r="G97" i="2"/>
  <c r="G100" i="2"/>
  <c r="G135" i="2"/>
  <c r="G127" i="2"/>
  <c r="G126" i="2"/>
  <c r="G125" i="2"/>
  <c r="BD23" i="1"/>
  <c r="G22" i="2"/>
  <c r="G18" i="2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G140" i="2"/>
  <c r="AI4" i="44" s="1"/>
  <c r="G138" i="2"/>
  <c r="G137" i="2"/>
  <c r="G136" i="2"/>
  <c r="AJ4" i="44" s="1"/>
  <c r="AB4" i="1"/>
  <c r="G132" i="2"/>
  <c r="G131" i="2"/>
  <c r="G130" i="2"/>
  <c r="G69" i="2"/>
  <c r="G68" i="2"/>
  <c r="G67" i="2"/>
  <c r="G64" i="2"/>
  <c r="G63" i="2"/>
  <c r="G62" i="2"/>
  <c r="G57" i="2"/>
  <c r="G56" i="2"/>
  <c r="G53" i="2"/>
  <c r="G52" i="2"/>
  <c r="G51" i="2"/>
  <c r="G50" i="2"/>
  <c r="G49" i="2"/>
  <c r="G46" i="2"/>
  <c r="G45" i="2"/>
  <c r="G44" i="2"/>
  <c r="G43" i="2"/>
  <c r="G41" i="2"/>
  <c r="G40" i="2"/>
  <c r="G39" i="2"/>
  <c r="G38" i="2"/>
  <c r="G37" i="2"/>
  <c r="G36" i="2"/>
  <c r="H23" i="2"/>
  <c r="G12" i="2"/>
  <c r="G11" i="2"/>
  <c r="G10" i="2"/>
  <c r="H9" i="2"/>
  <c r="I111" i="41"/>
  <c r="H24" i="3"/>
  <c r="J24" i="3" s="1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E3" i="41"/>
  <c r="F3" i="41"/>
  <c r="G3" i="41"/>
  <c r="H3" i="41"/>
  <c r="G13" i="9" l="1"/>
  <c r="G24" i="9"/>
  <c r="F118" i="29"/>
  <c r="N118" i="29" s="1"/>
  <c r="G63" i="3"/>
  <c r="T5" i="44" s="1"/>
  <c r="E165" i="3"/>
  <c r="G165" i="3" s="1"/>
  <c r="G62" i="5"/>
  <c r="S7" i="44" s="1"/>
  <c r="G164" i="5"/>
  <c r="G66" i="5"/>
  <c r="W7" i="44" s="1"/>
  <c r="E168" i="5"/>
  <c r="G168" i="5" s="1"/>
  <c r="G68" i="33"/>
  <c r="Y8" i="44" s="1"/>
  <c r="E170" i="33"/>
  <c r="G170" i="33" s="1"/>
  <c r="G64" i="33"/>
  <c r="U8" i="44" s="1"/>
  <c r="E166" i="33"/>
  <c r="G166" i="33" s="1"/>
  <c r="G62" i="7"/>
  <c r="S9" i="44" s="1"/>
  <c r="G164" i="7"/>
  <c r="G66" i="7"/>
  <c r="W9" i="44" s="1"/>
  <c r="E168" i="7"/>
  <c r="G168" i="7" s="1"/>
  <c r="G136" i="17"/>
  <c r="AJ19" i="44" s="1"/>
  <c r="G65" i="4"/>
  <c r="V6" i="44" s="1"/>
  <c r="E167" i="4"/>
  <c r="G167" i="4" s="1"/>
  <c r="E170" i="12"/>
  <c r="G170" i="12" s="1"/>
  <c r="E165" i="12"/>
  <c r="G165" i="12" s="1"/>
  <c r="G67" i="3"/>
  <c r="X5" i="44" s="1"/>
  <c r="E169" i="3"/>
  <c r="G169" i="3" s="1"/>
  <c r="G66" i="3"/>
  <c r="W5" i="44" s="1"/>
  <c r="E168" i="3"/>
  <c r="G168" i="3" s="1"/>
  <c r="G67" i="5"/>
  <c r="X7" i="44" s="1"/>
  <c r="E169" i="5"/>
  <c r="G169" i="5" s="1"/>
  <c r="G63" i="5"/>
  <c r="T7" i="44" s="1"/>
  <c r="E165" i="5"/>
  <c r="G165" i="5" s="1"/>
  <c r="G69" i="33"/>
  <c r="Z8" i="44" s="1"/>
  <c r="E171" i="33"/>
  <c r="G171" i="33" s="1"/>
  <c r="G65" i="33"/>
  <c r="V8" i="44" s="1"/>
  <c r="E167" i="33"/>
  <c r="G167" i="33" s="1"/>
  <c r="G65" i="7"/>
  <c r="V9" i="44" s="1"/>
  <c r="E167" i="7"/>
  <c r="G167" i="7" s="1"/>
  <c r="G69" i="7"/>
  <c r="I9" i="35" s="1"/>
  <c r="E171" i="7"/>
  <c r="G171" i="7" s="1"/>
  <c r="G62" i="4"/>
  <c r="S6" i="44" s="1"/>
  <c r="G164" i="4"/>
  <c r="E166" i="12"/>
  <c r="G166" i="12" s="1"/>
  <c r="F118" i="5"/>
  <c r="G65" i="3"/>
  <c r="V5" i="44" s="1"/>
  <c r="E167" i="3"/>
  <c r="G167" i="3" s="1"/>
  <c r="G69" i="3"/>
  <c r="Z5" i="44" s="1"/>
  <c r="E171" i="3"/>
  <c r="G171" i="3" s="1"/>
  <c r="G68" i="5"/>
  <c r="Y7" i="44" s="1"/>
  <c r="E170" i="5"/>
  <c r="G170" i="5" s="1"/>
  <c r="G64" i="5"/>
  <c r="U7" i="44" s="1"/>
  <c r="E166" i="5"/>
  <c r="G166" i="5" s="1"/>
  <c r="G62" i="33"/>
  <c r="S8" i="44" s="1"/>
  <c r="G164" i="33"/>
  <c r="G66" i="33"/>
  <c r="W8" i="44" s="1"/>
  <c r="E168" i="33"/>
  <c r="G168" i="33" s="1"/>
  <c r="G64" i="7"/>
  <c r="U9" i="44" s="1"/>
  <c r="E166" i="7"/>
  <c r="G166" i="7" s="1"/>
  <c r="G68" i="7"/>
  <c r="Y9" i="44" s="1"/>
  <c r="E170" i="7"/>
  <c r="G170" i="7" s="1"/>
  <c r="G67" i="4"/>
  <c r="X6" i="44" s="1"/>
  <c r="E169" i="4"/>
  <c r="G169" i="4" s="1"/>
  <c r="G63" i="4"/>
  <c r="T6" i="44" s="1"/>
  <c r="E165" i="4"/>
  <c r="G165" i="4" s="1"/>
  <c r="E167" i="12"/>
  <c r="G167" i="12" s="1"/>
  <c r="G64" i="3"/>
  <c r="U5" i="44" s="1"/>
  <c r="E166" i="3"/>
  <c r="G166" i="3" s="1"/>
  <c r="G68" i="3"/>
  <c r="Y5" i="44" s="1"/>
  <c r="E170" i="3"/>
  <c r="G170" i="3" s="1"/>
  <c r="G69" i="5"/>
  <c r="Z7" i="44" s="1"/>
  <c r="E171" i="5"/>
  <c r="G171" i="5" s="1"/>
  <c r="G65" i="5"/>
  <c r="V7" i="44" s="1"/>
  <c r="E167" i="5"/>
  <c r="G167" i="5" s="1"/>
  <c r="G67" i="33"/>
  <c r="X8" i="44" s="1"/>
  <c r="E169" i="33"/>
  <c r="G169" i="33" s="1"/>
  <c r="G63" i="33"/>
  <c r="T8" i="44" s="1"/>
  <c r="E165" i="33"/>
  <c r="G165" i="33" s="1"/>
  <c r="G63" i="7"/>
  <c r="T9" i="44" s="1"/>
  <c r="E165" i="7"/>
  <c r="G165" i="7" s="1"/>
  <c r="G67" i="7"/>
  <c r="X9" i="44" s="1"/>
  <c r="E169" i="7"/>
  <c r="G169" i="7" s="1"/>
  <c r="G68" i="4"/>
  <c r="Y6" i="44" s="1"/>
  <c r="E170" i="4"/>
  <c r="G170" i="4" s="1"/>
  <c r="G64" i="4"/>
  <c r="U6" i="44" s="1"/>
  <c r="E166" i="4"/>
  <c r="G166" i="4" s="1"/>
  <c r="E169" i="12"/>
  <c r="G169" i="12" s="1"/>
  <c r="E168" i="12"/>
  <c r="G168" i="12" s="1"/>
  <c r="G128" i="30"/>
  <c r="G128" i="22"/>
  <c r="G118" i="33"/>
  <c r="F118" i="33"/>
  <c r="D35" i="1"/>
  <c r="F35" i="1"/>
  <c r="F38" i="1" s="1"/>
  <c r="AH29" i="45"/>
  <c r="AH30" i="45" s="1"/>
  <c r="G133" i="43"/>
  <c r="AB33" i="1" s="1"/>
  <c r="G119" i="40"/>
  <c r="H119" i="40" s="1"/>
  <c r="J119" i="40" s="1"/>
  <c r="B27" i="44"/>
  <c r="C27" i="44"/>
  <c r="B26" i="44"/>
  <c r="C26" i="44"/>
  <c r="G7" i="33"/>
  <c r="A7" i="46" s="1"/>
  <c r="G15" i="13"/>
  <c r="E28" i="13" s="1"/>
  <c r="G28" i="13" s="1"/>
  <c r="AW33" i="1"/>
  <c r="AT33" i="1"/>
  <c r="AQ33" i="1"/>
  <c r="M29" i="44"/>
  <c r="M30" i="44"/>
  <c r="AW30" i="1"/>
  <c r="M28" i="44"/>
  <c r="O100" i="23"/>
  <c r="G119" i="23"/>
  <c r="M16" i="44"/>
  <c r="M17" i="44"/>
  <c r="BC17" i="1"/>
  <c r="BC16" i="1"/>
  <c r="AW17" i="1"/>
  <c r="AW16" i="1"/>
  <c r="M5" i="44"/>
  <c r="AW5" i="1"/>
  <c r="E31" i="2"/>
  <c r="N31" i="29" s="1"/>
  <c r="A4" i="46"/>
  <c r="AM5" i="1"/>
  <c r="AI5" i="44"/>
  <c r="AM8" i="1"/>
  <c r="AI8" i="44"/>
  <c r="AM11" i="1"/>
  <c r="AO11" i="1" s="1"/>
  <c r="AI11" i="44"/>
  <c r="G63" i="15"/>
  <c r="T17" i="44" s="1"/>
  <c r="E165" i="15"/>
  <c r="G165" i="15" s="1"/>
  <c r="AM18" i="1"/>
  <c r="AO18" i="1" s="1"/>
  <c r="AI18" i="44"/>
  <c r="AM19" i="1"/>
  <c r="AO19" i="1" s="1"/>
  <c r="AI19" i="44"/>
  <c r="G49" i="18"/>
  <c r="K49" i="18"/>
  <c r="G62" i="18"/>
  <c r="S20" i="44" s="1"/>
  <c r="E164" i="18"/>
  <c r="G164" i="18" s="1"/>
  <c r="T28" i="45"/>
  <c r="G135" i="18"/>
  <c r="AD20" i="1" s="1"/>
  <c r="G139" i="18"/>
  <c r="AL20" i="1" s="1"/>
  <c r="E166" i="19"/>
  <c r="G166" i="19"/>
  <c r="G64" i="19"/>
  <c r="U21" i="44" s="1"/>
  <c r="E170" i="19"/>
  <c r="G170" i="19"/>
  <c r="G133" i="19"/>
  <c r="AB21" i="1" s="1"/>
  <c r="G42" i="20"/>
  <c r="AW22" i="1" s="1"/>
  <c r="E169" i="20"/>
  <c r="G169" i="20"/>
  <c r="BB23" i="1"/>
  <c r="L51" i="21"/>
  <c r="G62" i="21"/>
  <c r="S23" i="44" s="1"/>
  <c r="E164" i="21"/>
  <c r="G164" i="21" s="1"/>
  <c r="BG25" i="1"/>
  <c r="O56" i="23"/>
  <c r="G63" i="23"/>
  <c r="E165" i="23"/>
  <c r="G165" i="23" s="1"/>
  <c r="AF25" i="44"/>
  <c r="O126" i="23"/>
  <c r="BB24" i="1"/>
  <c r="L51" i="22"/>
  <c r="G63" i="22"/>
  <c r="T24" i="44" s="1"/>
  <c r="E165" i="22"/>
  <c r="G165" i="22" s="1"/>
  <c r="L165" i="22" s="1"/>
  <c r="G63" i="11"/>
  <c r="T13" i="44" s="1"/>
  <c r="G62" i="11"/>
  <c r="S13" i="44" s="1"/>
  <c r="AM17" i="1"/>
  <c r="AI17" i="44"/>
  <c r="G42" i="18"/>
  <c r="AW20" i="1" s="1"/>
  <c r="G62" i="19"/>
  <c r="E164" i="19"/>
  <c r="G164" i="19" s="1"/>
  <c r="E169" i="19"/>
  <c r="G169" i="19"/>
  <c r="G67" i="19"/>
  <c r="X21" i="44" s="1"/>
  <c r="G132" i="19"/>
  <c r="AA21" i="1" s="1"/>
  <c r="G140" i="19"/>
  <c r="AI21" i="44" s="1"/>
  <c r="E168" i="20"/>
  <c r="G168" i="20"/>
  <c r="BE23" i="1"/>
  <c r="L54" i="21"/>
  <c r="BB25" i="1"/>
  <c r="O51" i="23"/>
  <c r="BF25" i="1"/>
  <c r="O55" i="23"/>
  <c r="G62" i="23"/>
  <c r="E164" i="23"/>
  <c r="G164" i="23" s="1"/>
  <c r="AD25" i="1"/>
  <c r="O135" i="23"/>
  <c r="AL25" i="1"/>
  <c r="O139" i="23"/>
  <c r="G62" i="30"/>
  <c r="S32" i="44" s="1"/>
  <c r="E164" i="30"/>
  <c r="G164" i="30" s="1"/>
  <c r="G172" i="30" s="1"/>
  <c r="BG24" i="1"/>
  <c r="L56" i="22"/>
  <c r="G62" i="43"/>
  <c r="S33" i="44" s="1"/>
  <c r="E164" i="43"/>
  <c r="G164" i="43" s="1"/>
  <c r="AM7" i="1"/>
  <c r="AI7" i="44"/>
  <c r="AM16" i="1"/>
  <c r="AI16" i="44"/>
  <c r="G133" i="18"/>
  <c r="AB20" i="1" s="1"/>
  <c r="G49" i="19"/>
  <c r="BA21" i="1" s="1"/>
  <c r="K49" i="19"/>
  <c r="E168" i="19"/>
  <c r="G66" i="19"/>
  <c r="W21" i="44" s="1"/>
  <c r="G168" i="19"/>
  <c r="G135" i="19"/>
  <c r="AD21" i="1" s="1"/>
  <c r="G139" i="19"/>
  <c r="AL21" i="1" s="1"/>
  <c r="E167" i="20"/>
  <c r="G167" i="20"/>
  <c r="E171" i="20"/>
  <c r="G171" i="20"/>
  <c r="BH23" i="1"/>
  <c r="L57" i="21"/>
  <c r="BE25" i="1"/>
  <c r="O54" i="23"/>
  <c r="AD25" i="44"/>
  <c r="O124" i="23"/>
  <c r="AC25" i="1"/>
  <c r="O134" i="23"/>
  <c r="AM13" i="1"/>
  <c r="AO13" i="1" s="1"/>
  <c r="AI13" i="44"/>
  <c r="G63" i="14"/>
  <c r="T16" i="44" s="1"/>
  <c r="E165" i="14"/>
  <c r="G165" i="14" s="1"/>
  <c r="G63" i="19"/>
  <c r="T21" i="44" s="1"/>
  <c r="E165" i="19"/>
  <c r="G165" i="19" s="1"/>
  <c r="BH24" i="1"/>
  <c r="L57" i="22"/>
  <c r="G42" i="4"/>
  <c r="AW6" i="1" s="1"/>
  <c r="G63" i="43"/>
  <c r="T33" i="44" s="1"/>
  <c r="E165" i="43"/>
  <c r="G165" i="43" s="1"/>
  <c r="AL33" i="1"/>
  <c r="G128" i="33"/>
  <c r="G62" i="13"/>
  <c r="S15" i="44" s="1"/>
  <c r="E164" i="13"/>
  <c r="G164" i="13" s="1"/>
  <c r="G62" i="14"/>
  <c r="S16" i="44" s="1"/>
  <c r="E164" i="14"/>
  <c r="G164" i="14" s="1"/>
  <c r="G63" i="18"/>
  <c r="T20" i="44" s="1"/>
  <c r="E165" i="18"/>
  <c r="G165" i="18" s="1"/>
  <c r="G132" i="18"/>
  <c r="AA20" i="1" s="1"/>
  <c r="E167" i="19"/>
  <c r="G65" i="19"/>
  <c r="V21" i="44" s="1"/>
  <c r="G167" i="19"/>
  <c r="G134" i="19"/>
  <c r="AC21" i="1" s="1"/>
  <c r="G138" i="19"/>
  <c r="AL21" i="44" s="1"/>
  <c r="E166" i="20"/>
  <c r="G166" i="20"/>
  <c r="E170" i="20"/>
  <c r="G170" i="20"/>
  <c r="BG23" i="1"/>
  <c r="L56" i="21"/>
  <c r="G63" i="21"/>
  <c r="T23" i="44" s="1"/>
  <c r="E165" i="21"/>
  <c r="G165" i="21" s="1"/>
  <c r="L165" i="21" s="1"/>
  <c r="G62" i="22"/>
  <c r="S24" i="44" s="1"/>
  <c r="E164" i="22"/>
  <c r="G164" i="22" s="1"/>
  <c r="L164" i="22" s="1"/>
  <c r="BH25" i="1"/>
  <c r="O57" i="23"/>
  <c r="AG25" i="44"/>
  <c r="O127" i="23"/>
  <c r="P136" i="12"/>
  <c r="AJ14" i="44"/>
  <c r="G63" i="13"/>
  <c r="T15" i="44" s="1"/>
  <c r="E165" i="13"/>
  <c r="G165" i="13" s="1"/>
  <c r="AM33" i="1"/>
  <c r="AI33" i="44"/>
  <c r="AI32" i="44"/>
  <c r="BA19" i="1"/>
  <c r="AM31" i="1"/>
  <c r="AO31" i="1" s="1"/>
  <c r="AI31" i="44"/>
  <c r="AM30" i="1"/>
  <c r="AO30" i="1" s="1"/>
  <c r="AI30" i="44"/>
  <c r="AM29" i="1"/>
  <c r="AO29" i="1" s="1"/>
  <c r="AI29" i="44"/>
  <c r="N7" i="40"/>
  <c r="N11" i="40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i="45" s="1"/>
  <c r="O98" i="23"/>
  <c r="Y8" i="45"/>
  <c r="Y28" i="45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O24" i="1" s="1"/>
  <c r="AI24" i="44"/>
  <c r="M24" i="44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L7" i="22"/>
  <c r="AM23" i="1"/>
  <c r="AO23" i="1" s="1"/>
  <c r="AI23" i="44"/>
  <c r="AM22" i="1"/>
  <c r="AO22" i="1" s="1"/>
  <c r="AI22" i="44"/>
  <c r="M22" i="44"/>
  <c r="M23" i="44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L7" i="21"/>
  <c r="G69" i="19"/>
  <c r="Z21" i="44" s="1"/>
  <c r="E171" i="19"/>
  <c r="M15" i="44"/>
  <c r="G69" i="12"/>
  <c r="P69" i="12" s="1"/>
  <c r="G171" i="12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i="2" s="1"/>
  <c r="H45" i="2"/>
  <c r="BH4" i="1"/>
  <c r="H131" i="2"/>
  <c r="H131" i="3" s="1"/>
  <c r="J131" i="3" s="1"/>
  <c r="H135" i="2"/>
  <c r="H135" i="3" s="1"/>
  <c r="H39" i="2"/>
  <c r="AY4" i="1"/>
  <c r="BI4" i="1"/>
  <c r="BG4" i="1"/>
  <c r="U4" i="44"/>
  <c r="H130" i="2"/>
  <c r="H130" i="3" s="1"/>
  <c r="AG4" i="44"/>
  <c r="V4" i="44"/>
  <c r="J104" i="10"/>
  <c r="H40" i="2"/>
  <c r="J40" i="2" s="1"/>
  <c r="X4" i="44"/>
  <c r="J117" i="10"/>
  <c r="F119" i="2"/>
  <c r="F118" i="2"/>
  <c r="N30" i="31"/>
  <c r="H38" i="2"/>
  <c r="J38" i="2" s="1"/>
  <c r="AX4" i="1"/>
  <c r="H49" i="2"/>
  <c r="H49" i="3" s="1"/>
  <c r="H53" i="2"/>
  <c r="T4" i="44"/>
  <c r="AM4" i="1"/>
  <c r="H58" i="2"/>
  <c r="H58" i="3" s="1"/>
  <c r="M4" i="44"/>
  <c r="AZ4" i="1"/>
  <c r="H51" i="2"/>
  <c r="J51" i="2" s="1"/>
  <c r="W4" i="44"/>
  <c r="H12" i="2"/>
  <c r="H12" i="3" s="1"/>
  <c r="J12" i="3" s="1"/>
  <c r="H52" i="2"/>
  <c r="H52" i="3" s="1"/>
  <c r="S4" i="44"/>
  <c r="Y4" i="44"/>
  <c r="AA4" i="1"/>
  <c r="AL4" i="44"/>
  <c r="J120" i="10"/>
  <c r="J115" i="10"/>
  <c r="B4" i="44"/>
  <c r="G69" i="43"/>
  <c r="Z33" i="44" s="1"/>
  <c r="E171" i="43"/>
  <c r="G171" i="43" s="1"/>
  <c r="G68" i="43"/>
  <c r="Y33" i="44" s="1"/>
  <c r="E170" i="43"/>
  <c r="G170" i="43" s="1"/>
  <c r="G67" i="43"/>
  <c r="X33" i="44" s="1"/>
  <c r="E169" i="43"/>
  <c r="G169" i="43" s="1"/>
  <c r="G66" i="43"/>
  <c r="W33" i="44" s="1"/>
  <c r="E168" i="43"/>
  <c r="G168" i="43" s="1"/>
  <c r="G65" i="43"/>
  <c r="V33" i="44" s="1"/>
  <c r="E167" i="43"/>
  <c r="G167" i="43" s="1"/>
  <c r="G64" i="43"/>
  <c r="U33" i="44" s="1"/>
  <c r="E166" i="43"/>
  <c r="G166" i="43" s="1"/>
  <c r="M33" i="44"/>
  <c r="M32" i="44"/>
  <c r="G62" i="29"/>
  <c r="S31" i="44" s="1"/>
  <c r="E164" i="29"/>
  <c r="G164" i="29" s="1"/>
  <c r="G172" i="29" s="1"/>
  <c r="BD31" i="1"/>
  <c r="AW29" i="1"/>
  <c r="N42" i="27"/>
  <c r="G62" i="28"/>
  <c r="S30" i="44" s="1"/>
  <c r="E164" i="28"/>
  <c r="G164" i="28" s="1"/>
  <c r="G66" i="28"/>
  <c r="W30" i="44" s="1"/>
  <c r="E168" i="28"/>
  <c r="G168" i="28" s="1"/>
  <c r="G65" i="28"/>
  <c r="V30" i="44" s="1"/>
  <c r="E167" i="28"/>
  <c r="G167" i="28" s="1"/>
  <c r="G69" i="28"/>
  <c r="Z30" i="44" s="1"/>
  <c r="E171" i="28"/>
  <c r="G171" i="28" s="1"/>
  <c r="G64" i="28"/>
  <c r="U30" i="44" s="1"/>
  <c r="E166" i="28"/>
  <c r="G166" i="28" s="1"/>
  <c r="G68" i="28"/>
  <c r="Y30" i="44" s="1"/>
  <c r="E170" i="28"/>
  <c r="G170" i="28" s="1"/>
  <c r="G63" i="28"/>
  <c r="T30" i="44" s="1"/>
  <c r="E165" i="28"/>
  <c r="G165" i="28" s="1"/>
  <c r="G67" i="28"/>
  <c r="X30" i="44" s="1"/>
  <c r="E169" i="28"/>
  <c r="G169" i="28" s="1"/>
  <c r="G63" i="27"/>
  <c r="T29" i="44" s="1"/>
  <c r="E165" i="27"/>
  <c r="G165" i="27" s="1"/>
  <c r="G67" i="27"/>
  <c r="X29" i="44" s="1"/>
  <c r="E169" i="27"/>
  <c r="G169" i="27" s="1"/>
  <c r="G62" i="27"/>
  <c r="S29" i="44" s="1"/>
  <c r="E164" i="27"/>
  <c r="G164" i="27" s="1"/>
  <c r="G66" i="27"/>
  <c r="W29" i="44" s="1"/>
  <c r="E168" i="27"/>
  <c r="G168" i="27" s="1"/>
  <c r="G65" i="27"/>
  <c r="V29" i="44" s="1"/>
  <c r="E167" i="27"/>
  <c r="G167" i="27" s="1"/>
  <c r="G69" i="27"/>
  <c r="Z29" i="44" s="1"/>
  <c r="E171" i="27"/>
  <c r="G171" i="27" s="1"/>
  <c r="G64" i="27"/>
  <c r="U29" i="44" s="1"/>
  <c r="E166" i="27"/>
  <c r="G166" i="27" s="1"/>
  <c r="G68" i="27"/>
  <c r="Y29" i="44" s="1"/>
  <c r="E170" i="27"/>
  <c r="G170" i="27" s="1"/>
  <c r="G63" i="40"/>
  <c r="T28" i="44" s="1"/>
  <c r="E165" i="40"/>
  <c r="G165" i="40" s="1"/>
  <c r="G67" i="40"/>
  <c r="X28" i="44" s="1"/>
  <c r="E169" i="40"/>
  <c r="G169" i="40" s="1"/>
  <c r="G62" i="40"/>
  <c r="S28" i="44" s="1"/>
  <c r="E164" i="40"/>
  <c r="G164" i="40" s="1"/>
  <c r="G66" i="40"/>
  <c r="W28" i="44" s="1"/>
  <c r="E168" i="40"/>
  <c r="G168" i="40" s="1"/>
  <c r="G65" i="40"/>
  <c r="V28" i="44" s="1"/>
  <c r="E167" i="40"/>
  <c r="G167" i="40" s="1"/>
  <c r="G69" i="40"/>
  <c r="Z28" i="44" s="1"/>
  <c r="E171" i="40"/>
  <c r="G171" i="40" s="1"/>
  <c r="I28" i="1"/>
  <c r="E26" i="47" s="1"/>
  <c r="G64" i="40"/>
  <c r="U28" i="44" s="1"/>
  <c r="E166" i="40"/>
  <c r="G166" i="40" s="1"/>
  <c r="G68" i="40"/>
  <c r="Y28" i="44" s="1"/>
  <c r="E170" i="40"/>
  <c r="G170" i="40" s="1"/>
  <c r="G65" i="24"/>
  <c r="V26" i="44" s="1"/>
  <c r="E167" i="24"/>
  <c r="G167" i="24" s="1"/>
  <c r="G69" i="24"/>
  <c r="Z26" i="44" s="1"/>
  <c r="E171" i="24"/>
  <c r="G171" i="24" s="1"/>
  <c r="G64" i="24"/>
  <c r="U26" i="44" s="1"/>
  <c r="E166" i="24"/>
  <c r="G166" i="24" s="1"/>
  <c r="G68" i="24"/>
  <c r="Y26" i="44" s="1"/>
  <c r="E170" i="24"/>
  <c r="G170" i="24" s="1"/>
  <c r="G63" i="24"/>
  <c r="T26" i="44" s="1"/>
  <c r="E165" i="24"/>
  <c r="G165" i="24" s="1"/>
  <c r="G67" i="24"/>
  <c r="X26" i="44" s="1"/>
  <c r="E169" i="24"/>
  <c r="G169" i="24" s="1"/>
  <c r="G62" i="24"/>
  <c r="S26" i="44" s="1"/>
  <c r="E164" i="24"/>
  <c r="G164" i="24" s="1"/>
  <c r="G66" i="24"/>
  <c r="W26" i="44" s="1"/>
  <c r="E168" i="24"/>
  <c r="G168" i="24" s="1"/>
  <c r="G69" i="23"/>
  <c r="E171" i="23"/>
  <c r="G171" i="23" s="1"/>
  <c r="G68" i="23"/>
  <c r="E170" i="23"/>
  <c r="G170" i="23" s="1"/>
  <c r="G67" i="23"/>
  <c r="E169" i="23"/>
  <c r="G169" i="23" s="1"/>
  <c r="G66" i="23"/>
  <c r="E168" i="23"/>
  <c r="G168" i="23" s="1"/>
  <c r="G65" i="23"/>
  <c r="E167" i="23"/>
  <c r="G167" i="23" s="1"/>
  <c r="G64" i="23"/>
  <c r="E166" i="23"/>
  <c r="G166" i="23" s="1"/>
  <c r="G69" i="22"/>
  <c r="Z24" i="44" s="1"/>
  <c r="E171" i="22"/>
  <c r="G171" i="22" s="1"/>
  <c r="L171" i="22" s="1"/>
  <c r="G68" i="22"/>
  <c r="Y24" i="44" s="1"/>
  <c r="E170" i="22"/>
  <c r="G170" i="22" s="1"/>
  <c r="L170" i="22" s="1"/>
  <c r="G67" i="22"/>
  <c r="X24" i="44" s="1"/>
  <c r="E169" i="22"/>
  <c r="G169" i="22" s="1"/>
  <c r="L169" i="22" s="1"/>
  <c r="G66" i="22"/>
  <c r="W24" i="44" s="1"/>
  <c r="E168" i="22"/>
  <c r="G168" i="22" s="1"/>
  <c r="L168" i="22" s="1"/>
  <c r="G65" i="22"/>
  <c r="V24" i="44" s="1"/>
  <c r="E167" i="22"/>
  <c r="G167" i="22" s="1"/>
  <c r="L167" i="22" s="1"/>
  <c r="G64" i="22"/>
  <c r="U24" i="44" s="1"/>
  <c r="E166" i="22"/>
  <c r="G166" i="22" s="1"/>
  <c r="L166" i="22" s="1"/>
  <c r="G69" i="21"/>
  <c r="Z23" i="44" s="1"/>
  <c r="E171" i="21"/>
  <c r="G171" i="21" s="1"/>
  <c r="L171" i="21" s="1"/>
  <c r="G68" i="21"/>
  <c r="Y23" i="44" s="1"/>
  <c r="E170" i="21"/>
  <c r="G170" i="21" s="1"/>
  <c r="L170" i="21" s="1"/>
  <c r="G67" i="21"/>
  <c r="X23" i="44" s="1"/>
  <c r="E169" i="21"/>
  <c r="G169" i="21" s="1"/>
  <c r="L169" i="21" s="1"/>
  <c r="G66" i="21"/>
  <c r="W23" i="44" s="1"/>
  <c r="E168" i="21"/>
  <c r="G168" i="21" s="1"/>
  <c r="L168" i="21" s="1"/>
  <c r="G65" i="21"/>
  <c r="V23" i="44" s="1"/>
  <c r="E167" i="21"/>
  <c r="G167" i="21" s="1"/>
  <c r="L167" i="21" s="1"/>
  <c r="G64" i="21"/>
  <c r="U23" i="44" s="1"/>
  <c r="E166" i="21"/>
  <c r="G166" i="21" s="1"/>
  <c r="L166" i="21" s="1"/>
  <c r="G63" i="20"/>
  <c r="T22" i="44" s="1"/>
  <c r="G165" i="20"/>
  <c r="S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G69" i="18"/>
  <c r="Z20" i="44" s="1"/>
  <c r="E171" i="18"/>
  <c r="G171" i="18" s="1"/>
  <c r="G68" i="18"/>
  <c r="Y20" i="44" s="1"/>
  <c r="E170" i="18"/>
  <c r="G170" i="18" s="1"/>
  <c r="G67" i="18"/>
  <c r="X20" i="44" s="1"/>
  <c r="E169" i="18"/>
  <c r="G169" i="18" s="1"/>
  <c r="G66" i="18"/>
  <c r="W20" i="44" s="1"/>
  <c r="E168" i="18"/>
  <c r="G168" i="18" s="1"/>
  <c r="G65" i="18"/>
  <c r="V20" i="44" s="1"/>
  <c r="E167" i="18"/>
  <c r="G167" i="18" s="1"/>
  <c r="G64" i="18"/>
  <c r="U20" i="44" s="1"/>
  <c r="E166" i="18"/>
  <c r="G166" i="18" s="1"/>
  <c r="G69" i="15"/>
  <c r="I17" i="35" s="1"/>
  <c r="E171" i="15"/>
  <c r="G171" i="15" s="1"/>
  <c r="G68" i="15"/>
  <c r="Y17" i="44" s="1"/>
  <c r="E170" i="15"/>
  <c r="G170" i="15" s="1"/>
  <c r="G67" i="15"/>
  <c r="X17" i="44" s="1"/>
  <c r="E169" i="15"/>
  <c r="G169" i="15" s="1"/>
  <c r="G66" i="15"/>
  <c r="W17" i="44" s="1"/>
  <c r="E168" i="15"/>
  <c r="G168" i="15" s="1"/>
  <c r="G65" i="15"/>
  <c r="V17" i="44" s="1"/>
  <c r="E167" i="15"/>
  <c r="G167" i="15" s="1"/>
  <c r="G64" i="15"/>
  <c r="U17" i="44" s="1"/>
  <c r="E166" i="15"/>
  <c r="G166" i="15" s="1"/>
  <c r="G62" i="15"/>
  <c r="S17" i="44" s="1"/>
  <c r="E164" i="15"/>
  <c r="G164" i="15" s="1"/>
  <c r="G69" i="14"/>
  <c r="I16" i="35" s="1"/>
  <c r="E171" i="14"/>
  <c r="G171" i="14" s="1"/>
  <c r="G68" i="14"/>
  <c r="Y16" i="44" s="1"/>
  <c r="E170" i="14"/>
  <c r="G170" i="14" s="1"/>
  <c r="G67" i="14"/>
  <c r="X16" i="44" s="1"/>
  <c r="E169" i="14"/>
  <c r="G169" i="14" s="1"/>
  <c r="G66" i="14"/>
  <c r="W16" i="44" s="1"/>
  <c r="E168" i="14"/>
  <c r="G168" i="14" s="1"/>
  <c r="G65" i="14"/>
  <c r="V16" i="44" s="1"/>
  <c r="E167" i="14"/>
  <c r="G167" i="14" s="1"/>
  <c r="G64" i="14"/>
  <c r="U16" i="44" s="1"/>
  <c r="E166" i="14"/>
  <c r="G166" i="14" s="1"/>
  <c r="G69" i="13"/>
  <c r="E171" i="13"/>
  <c r="G171" i="13" s="1"/>
  <c r="G68" i="13"/>
  <c r="Y15" i="44" s="1"/>
  <c r="E170" i="13"/>
  <c r="G170" i="13" s="1"/>
  <c r="G67" i="13"/>
  <c r="E169" i="13"/>
  <c r="G169" i="13" s="1"/>
  <c r="G66" i="13"/>
  <c r="W15" i="44" s="1"/>
  <c r="E168" i="13"/>
  <c r="G168" i="13" s="1"/>
  <c r="G65" i="13"/>
  <c r="V15" i="44" s="1"/>
  <c r="E167" i="13"/>
  <c r="G167" i="13" s="1"/>
  <c r="G64" i="13"/>
  <c r="U15" i="44" s="1"/>
  <c r="E166" i="13"/>
  <c r="G166" i="13" s="1"/>
  <c r="F119" i="11"/>
  <c r="M8" i="45"/>
  <c r="M28" i="45" s="1"/>
  <c r="F196" i="11"/>
  <c r="M7" i="45"/>
  <c r="F194" i="11"/>
  <c r="F119" i="3"/>
  <c r="BH32" i="1"/>
  <c r="U32" i="44"/>
  <c r="Y32" i="44"/>
  <c r="AF12" i="45"/>
  <c r="AF26" i="45" s="1"/>
  <c r="AD32" i="44"/>
  <c r="AC32" i="1"/>
  <c r="AL32" i="44"/>
  <c r="J110" i="10"/>
  <c r="J105" i="10"/>
  <c r="J32" i="44"/>
  <c r="F32" i="44"/>
  <c r="J107" i="10"/>
  <c r="AW32" i="1"/>
  <c r="BG32" i="1"/>
  <c r="X32" i="44"/>
  <c r="AF7" i="45"/>
  <c r="AF10" i="45"/>
  <c r="AG32" i="44"/>
  <c r="AB32" i="1"/>
  <c r="AK32" i="44"/>
  <c r="J111" i="10"/>
  <c r="J106" i="10"/>
  <c r="K32" i="44"/>
  <c r="G32" i="44"/>
  <c r="C32" i="44"/>
  <c r="D5" i="45"/>
  <c r="H10" i="2"/>
  <c r="J10" i="2" s="1"/>
  <c r="G13" i="2"/>
  <c r="I13" i="2" s="1"/>
  <c r="BB32" i="1"/>
  <c r="W32" i="44"/>
  <c r="B32" i="44"/>
  <c r="AF9" i="45"/>
  <c r="AF32" i="44"/>
  <c r="L32" i="44"/>
  <c r="H32" i="44"/>
  <c r="D32" i="44"/>
  <c r="J116" i="10"/>
  <c r="BH36" i="1"/>
  <c r="V32" i="44"/>
  <c r="Z32" i="44"/>
  <c r="AE32" i="44"/>
  <c r="AL32" i="1"/>
  <c r="J109" i="10"/>
  <c r="N32" i="44"/>
  <c r="I32" i="44"/>
  <c r="E32" i="44"/>
  <c r="J112" i="10"/>
  <c r="G128" i="2"/>
  <c r="H128" i="2" s="1"/>
  <c r="J128" i="2" s="1"/>
  <c r="P15" i="12"/>
  <c r="P44" i="12"/>
  <c r="J15" i="44"/>
  <c r="F15" i="44"/>
  <c r="AE15" i="44"/>
  <c r="AU24" i="1"/>
  <c r="BA15" i="1"/>
  <c r="BD15" i="1"/>
  <c r="BH15" i="1"/>
  <c r="O8" i="45"/>
  <c r="O28" i="45" s="1"/>
  <c r="P41" i="12"/>
  <c r="P37" i="12"/>
  <c r="K15" i="44"/>
  <c r="G15" i="44"/>
  <c r="C15" i="44"/>
  <c r="AF15" i="44"/>
  <c r="BE15" i="1"/>
  <c r="P40" i="12"/>
  <c r="P19" i="12"/>
  <c r="G118" i="13"/>
  <c r="O7" i="45"/>
  <c r="O12" i="45"/>
  <c r="O26" i="45" s="1"/>
  <c r="E28" i="5"/>
  <c r="G28" i="5" s="1"/>
  <c r="E30" i="5"/>
  <c r="G30" i="5" s="1"/>
  <c r="P38" i="12"/>
  <c r="L15" i="44"/>
  <c r="H15" i="44"/>
  <c r="D15" i="44"/>
  <c r="AG15" i="44"/>
  <c r="F119" i="9"/>
  <c r="P18" i="12"/>
  <c r="P36" i="12"/>
  <c r="AW15" i="1"/>
  <c r="AD15" i="44"/>
  <c r="G20" i="7"/>
  <c r="P9" i="1" s="1"/>
  <c r="I7" i="47" s="1"/>
  <c r="O7" i="9"/>
  <c r="P35" i="12"/>
  <c r="E28" i="20"/>
  <c r="G28" i="20" s="1"/>
  <c r="AA15" i="1"/>
  <c r="N8" i="5"/>
  <c r="P43" i="12"/>
  <c r="P39" i="12"/>
  <c r="N15" i="44"/>
  <c r="I15" i="44"/>
  <c r="E15" i="44"/>
  <c r="N7" i="14"/>
  <c r="AB15" i="1"/>
  <c r="AL15" i="1"/>
  <c r="AD15" i="1"/>
  <c r="AM15" i="1"/>
  <c r="AC15" i="1"/>
  <c r="BF15" i="1"/>
  <c r="C14" i="44"/>
  <c r="P73" i="12"/>
  <c r="K14" i="44"/>
  <c r="P81" i="12"/>
  <c r="AM14" i="1"/>
  <c r="P140" i="12"/>
  <c r="N12" i="45"/>
  <c r="N26" i="45" s="1"/>
  <c r="P98" i="12"/>
  <c r="AD14" i="44"/>
  <c r="P124" i="12"/>
  <c r="F14" i="44"/>
  <c r="P76" i="12"/>
  <c r="J14" i="44"/>
  <c r="P80" i="12"/>
  <c r="AB14" i="1"/>
  <c r="P133" i="12"/>
  <c r="P99" i="12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 i="12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 i="12"/>
  <c r="I13" i="12" s="1"/>
  <c r="P7" i="12"/>
  <c r="N8" i="45"/>
  <c r="N28" i="45" s="1"/>
  <c r="F119" i="12"/>
  <c r="G47" i="5"/>
  <c r="E31" i="18"/>
  <c r="T5" i="45"/>
  <c r="E30" i="19"/>
  <c r="G30" i="19" s="1"/>
  <c r="U6" i="45"/>
  <c r="Y21" i="1"/>
  <c r="U10" i="45"/>
  <c r="AI21" i="1"/>
  <c r="AK21" i="44"/>
  <c r="AH22" i="1"/>
  <c r="E28" i="22"/>
  <c r="G28" i="22" s="1"/>
  <c r="AH24" i="1"/>
  <c r="AI25" i="1"/>
  <c r="AK25" i="44"/>
  <c r="E28" i="24"/>
  <c r="G28" i="24" s="1"/>
  <c r="AI26" i="1"/>
  <c r="AK26" i="44"/>
  <c r="AF8" i="45"/>
  <c r="AF28" i="45" s="1"/>
  <c r="F119" i="30"/>
  <c r="AH13" i="1"/>
  <c r="X15" i="1"/>
  <c r="O9" i="45"/>
  <c r="AI15" i="1"/>
  <c r="AK15" i="44"/>
  <c r="E31" i="5"/>
  <c r="G31" i="5" s="1"/>
  <c r="G5" i="45"/>
  <c r="F118" i="4"/>
  <c r="E30" i="8"/>
  <c r="G30" i="8" s="1"/>
  <c r="J6" i="45"/>
  <c r="Y13" i="1"/>
  <c r="M10" i="45"/>
  <c r="M29" i="45" s="1"/>
  <c r="G67" i="12"/>
  <c r="AH14" i="1"/>
  <c r="AJ12" i="1"/>
  <c r="AL12" i="44"/>
  <c r="G15" i="3"/>
  <c r="E28" i="43"/>
  <c r="G28" i="43" s="1"/>
  <c r="AS33" i="1"/>
  <c r="E31" i="11"/>
  <c r="M5" i="45"/>
  <c r="E31" i="28"/>
  <c r="G31" i="28" s="1"/>
  <c r="AD5" i="45"/>
  <c r="Y8" i="1"/>
  <c r="H10" i="45"/>
  <c r="AJ17" i="1"/>
  <c r="AL17" i="44"/>
  <c r="E30" i="18"/>
  <c r="G30" i="18" s="1"/>
  <c r="T6" i="45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K8" i="44"/>
  <c r="E28" i="33"/>
  <c r="G28" i="33" s="1"/>
  <c r="AJ9" i="1"/>
  <c r="AL9" i="44"/>
  <c r="AM9" i="44" s="1"/>
  <c r="E28" i="9"/>
  <c r="G28" i="9" s="1"/>
  <c r="Y11" i="1"/>
  <c r="K10" i="45"/>
  <c r="K24" i="45" s="1"/>
  <c r="AJ11" i="1"/>
  <c r="AL11" i="44"/>
  <c r="E30" i="12"/>
  <c r="G30" i="12" s="1"/>
  <c r="P30" i="12" s="1"/>
  <c r="N6" i="45"/>
  <c r="E30" i="14"/>
  <c r="G30" i="14" s="1"/>
  <c r="P6" i="45"/>
  <c r="Y17" i="1"/>
  <c r="Q10" i="45"/>
  <c r="AI17" i="1"/>
  <c r="AK17" i="44"/>
  <c r="E28" i="16"/>
  <c r="G28" i="16" s="1"/>
  <c r="AJ20" i="1"/>
  <c r="AL20" i="44"/>
  <c r="X21" i="1"/>
  <c r="U9" i="45"/>
  <c r="AH21" i="1"/>
  <c r="AI23" i="1"/>
  <c r="AK23" i="44"/>
  <c r="AM23" i="44" s="1"/>
  <c r="AH25" i="1"/>
  <c r="AH26" i="1"/>
  <c r="E28" i="40"/>
  <c r="G28" i="40" s="1"/>
  <c r="AH31" i="1"/>
  <c r="G118" i="30"/>
  <c r="F118" i="30"/>
  <c r="AI13" i="1"/>
  <c r="AK13" i="44"/>
  <c r="Y15" i="1"/>
  <c r="O10" i="45"/>
  <c r="AJ15" i="1"/>
  <c r="AL15" i="44"/>
  <c r="E28" i="4"/>
  <c r="G28" i="4" s="1"/>
  <c r="AH10" i="1"/>
  <c r="X10" i="1"/>
  <c r="J9" i="45"/>
  <c r="E28" i="8"/>
  <c r="G28" i="8" s="1"/>
  <c r="G68" i="12"/>
  <c r="G63" i="12"/>
  <c r="T14" i="44" s="1"/>
  <c r="AI14" i="1"/>
  <c r="AK14" i="44"/>
  <c r="E31" i="3"/>
  <c r="G31" i="3" s="1"/>
  <c r="E31" i="14"/>
  <c r="G31" i="14" s="1"/>
  <c r="P5" i="45"/>
  <c r="E28" i="11"/>
  <c r="G62" i="12"/>
  <c r="S14" i="44" s="1"/>
  <c r="E30" i="15"/>
  <c r="G30" i="15" s="1"/>
  <c r="Q6" i="45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E30" i="33"/>
  <c r="G30" i="33" s="1"/>
  <c r="H6" i="45"/>
  <c r="AJ8" i="1"/>
  <c r="AL8" i="44"/>
  <c r="E30" i="7"/>
  <c r="G30" i="7" s="1"/>
  <c r="I6" i="45"/>
  <c r="Y9" i="1"/>
  <c r="I10" i="45"/>
  <c r="I29" i="45" s="1"/>
  <c r="I30" i="45" s="1"/>
  <c r="AI11" i="1"/>
  <c r="AK11" i="44"/>
  <c r="Y12" i="1"/>
  <c r="L10" i="45"/>
  <c r="E30" i="11"/>
  <c r="M6" i="45"/>
  <c r="Y14" i="1"/>
  <c r="N10" i="45"/>
  <c r="AI16" i="1"/>
  <c r="AK16" i="44"/>
  <c r="E28" i="15"/>
  <c r="G28" i="15" s="1"/>
  <c r="X17" i="1"/>
  <c r="Q9" i="45"/>
  <c r="AH17" i="1"/>
  <c r="AW18" i="1"/>
  <c r="Y18" i="1"/>
  <c r="R10" i="45"/>
  <c r="AJ18" i="1"/>
  <c r="AL18" i="44"/>
  <c r="E28" i="17"/>
  <c r="G28" i="17" s="1"/>
  <c r="AJ19" i="1"/>
  <c r="AL19" i="44"/>
  <c r="E28" i="18"/>
  <c r="G28" i="18" s="1"/>
  <c r="Y20" i="1"/>
  <c r="T10" i="45"/>
  <c r="AI20" i="1"/>
  <c r="AK20" i="44"/>
  <c r="E28" i="19"/>
  <c r="G28" i="19" s="1"/>
  <c r="AJ22" i="1"/>
  <c r="AL22" i="44"/>
  <c r="E28" i="21"/>
  <c r="G28" i="21" s="1"/>
  <c r="AH23" i="1"/>
  <c r="E28" i="23"/>
  <c r="G28" i="23" s="1"/>
  <c r="O28" i="23" s="1"/>
  <c r="AH30" i="1"/>
  <c r="AJ13" i="1"/>
  <c r="AL13" i="44"/>
  <c r="E30" i="17"/>
  <c r="G30" i="17" s="1"/>
  <c r="S6" i="45"/>
  <c r="BF24" i="1"/>
  <c r="Y10" i="1"/>
  <c r="J10" i="45"/>
  <c r="G64" i="12"/>
  <c r="AJ14" i="1"/>
  <c r="AL14" i="44"/>
  <c r="AH12" i="1"/>
  <c r="E30" i="3"/>
  <c r="G30" i="3" s="1"/>
  <c r="G118" i="43"/>
  <c r="H118" i="43" s="1"/>
  <c r="F118" i="43"/>
  <c r="AY33" i="1"/>
  <c r="AU33" i="1"/>
  <c r="AZ33" i="1"/>
  <c r="X19" i="1"/>
  <c r="S9" i="45"/>
  <c r="E31" i="33"/>
  <c r="G31" i="33" s="1"/>
  <c r="H5" i="45"/>
  <c r="E28" i="7"/>
  <c r="G28" i="7" s="1"/>
  <c r="E30" i="13"/>
  <c r="G30" i="13" s="1"/>
  <c r="O6" i="45"/>
  <c r="AH18" i="1"/>
  <c r="E31" i="7"/>
  <c r="G31" i="7" s="1"/>
  <c r="I5" i="45"/>
  <c r="E31" i="12"/>
  <c r="G31" i="12" s="1"/>
  <c r="P31" i="12" s="1"/>
  <c r="N5" i="45"/>
  <c r="E31" i="15"/>
  <c r="G31" i="15" s="1"/>
  <c r="Q5" i="45"/>
  <c r="X8" i="1"/>
  <c r="H9" i="45"/>
  <c r="E30" i="9"/>
  <c r="G30" i="9" s="1"/>
  <c r="K6" i="45"/>
  <c r="AH11" i="1"/>
  <c r="L6" i="45"/>
  <c r="X12" i="1"/>
  <c r="L9" i="45"/>
  <c r="E28" i="12"/>
  <c r="G28" i="12" s="1"/>
  <c r="P28" i="12" s="1"/>
  <c r="X14" i="1"/>
  <c r="N9" i="45"/>
  <c r="E28" i="14"/>
  <c r="G28" i="14" s="1"/>
  <c r="X16" i="1"/>
  <c r="P9" i="45"/>
  <c r="AH16" i="1"/>
  <c r="E30" i="16"/>
  <c r="G30" i="16" s="1"/>
  <c r="R6" i="45"/>
  <c r="X18" i="1"/>
  <c r="R9" i="45"/>
  <c r="AI18" i="1"/>
  <c r="AK18" i="44"/>
  <c r="AI19" i="1"/>
  <c r="AK19" i="44"/>
  <c r="X20" i="1"/>
  <c r="T9" i="45"/>
  <c r="AH20" i="1"/>
  <c r="AI22" i="1"/>
  <c r="AK22" i="44"/>
  <c r="AI24" i="1"/>
  <c r="AK24" i="44"/>
  <c r="AJ26" i="1"/>
  <c r="AL26" i="44"/>
  <c r="AH29" i="1"/>
  <c r="BF6" i="1"/>
  <c r="AJ10" i="1"/>
  <c r="AL10" i="44"/>
  <c r="E31" i="8"/>
  <c r="G31" i="8" s="1"/>
  <c r="J5" i="45"/>
  <c r="G65" i="12"/>
  <c r="AI12" i="1"/>
  <c r="AK12" i="44"/>
  <c r="G66" i="12"/>
  <c r="AV33" i="1"/>
  <c r="AR33" i="1"/>
  <c r="G100" i="43"/>
  <c r="G119" i="43" s="1"/>
  <c r="H119" i="43" s="1"/>
  <c r="BG6" i="1"/>
  <c r="BG7" i="1"/>
  <c r="AJ7" i="1"/>
  <c r="AL7" i="44"/>
  <c r="AM7" i="44" s="1"/>
  <c r="X7" i="1"/>
  <c r="G9" i="45"/>
  <c r="G6" i="45"/>
  <c r="Y7" i="1"/>
  <c r="G10" i="45"/>
  <c r="E31" i="4"/>
  <c r="G31" i="4" s="1"/>
  <c r="E30" i="4"/>
  <c r="G30" i="4" s="1"/>
  <c r="F6" i="45"/>
  <c r="X6" i="1"/>
  <c r="F9" i="45"/>
  <c r="AJ6" i="1"/>
  <c r="AL6" i="44"/>
  <c r="AM6" i="44" s="1"/>
  <c r="Y6" i="1"/>
  <c r="F10" i="45"/>
  <c r="H22" i="2"/>
  <c r="J22" i="2" s="1"/>
  <c r="G24" i="2"/>
  <c r="H120" i="43"/>
  <c r="D7" i="45"/>
  <c r="H137" i="2"/>
  <c r="AK4" i="44"/>
  <c r="D8" i="45"/>
  <c r="D28" i="45" s="1"/>
  <c r="AJ5" i="1"/>
  <c r="AL5" i="44"/>
  <c r="AM5" i="44" s="1"/>
  <c r="AH4" i="1"/>
  <c r="D9" i="45"/>
  <c r="H104" i="30"/>
  <c r="J104" i="30" s="1"/>
  <c r="D12" i="45"/>
  <c r="D26" i="45" s="1"/>
  <c r="AX33" i="1"/>
  <c r="AH5" i="45"/>
  <c r="AM34" i="44"/>
  <c r="E31" i="43"/>
  <c r="G31" i="43" s="1"/>
  <c r="AG5" i="45"/>
  <c r="AH6" i="45"/>
  <c r="AH24" i="45"/>
  <c r="AG8" i="45"/>
  <c r="AG28" i="45" s="1"/>
  <c r="AH33" i="1"/>
  <c r="E31" i="30"/>
  <c r="G31" i="30" s="1"/>
  <c r="AF5" i="45"/>
  <c r="AJ33" i="1"/>
  <c r="AL33" i="44"/>
  <c r="AI33" i="1"/>
  <c r="AK33" i="44"/>
  <c r="Y33" i="1"/>
  <c r="AG10" i="45"/>
  <c r="X33" i="1"/>
  <c r="AG9" i="45"/>
  <c r="E30" i="43"/>
  <c r="G30" i="43" s="1"/>
  <c r="AG6" i="45"/>
  <c r="E30" i="30"/>
  <c r="G30" i="30" s="1"/>
  <c r="AF6" i="45"/>
  <c r="E28" i="30"/>
  <c r="G28" i="30" s="1"/>
  <c r="AJ31" i="1"/>
  <c r="AL31" i="44"/>
  <c r="Y31" i="1"/>
  <c r="AE10" i="45"/>
  <c r="X31" i="1"/>
  <c r="AE9" i="45"/>
  <c r="BF31" i="1"/>
  <c r="E30" i="29"/>
  <c r="G30" i="29" s="1"/>
  <c r="AE6" i="45"/>
  <c r="E28" i="29"/>
  <c r="G28" i="29" s="1"/>
  <c r="AJ30" i="1"/>
  <c r="AL30" i="44"/>
  <c r="AI30" i="1"/>
  <c r="AK30" i="44"/>
  <c r="Y30" i="1"/>
  <c r="AD10" i="45"/>
  <c r="AD24" i="45" s="1"/>
  <c r="BF30" i="1"/>
  <c r="BF29" i="1"/>
  <c r="BC30" i="1"/>
  <c r="E30" i="28"/>
  <c r="G30" i="28" s="1"/>
  <c r="AD6" i="45"/>
  <c r="E28" i="27"/>
  <c r="G28" i="27" s="1"/>
  <c r="E28" i="28"/>
  <c r="G28" i="28" s="1"/>
  <c r="AJ29" i="1"/>
  <c r="AL29" i="44"/>
  <c r="AI29" i="1"/>
  <c r="AK29" i="44"/>
  <c r="Y29" i="1"/>
  <c r="AC10" i="45"/>
  <c r="X29" i="1"/>
  <c r="AC9" i="45"/>
  <c r="E30" i="27"/>
  <c r="G30" i="27" s="1"/>
  <c r="AC6" i="45"/>
  <c r="AM28" i="44"/>
  <c r="Y28" i="1"/>
  <c r="AB10" i="45"/>
  <c r="X28" i="1"/>
  <c r="AB9" i="45"/>
  <c r="E30" i="40"/>
  <c r="G30" i="40" s="1"/>
  <c r="AB6" i="45"/>
  <c r="E31" i="23"/>
  <c r="G31" i="23" s="1"/>
  <c r="O31" i="23" s="1"/>
  <c r="Y5" i="45"/>
  <c r="E31" i="24"/>
  <c r="G31" i="24" s="1"/>
  <c r="Z5" i="45"/>
  <c r="Y26" i="1"/>
  <c r="Z10" i="45"/>
  <c r="X26" i="1"/>
  <c r="Z9" i="45"/>
  <c r="E30" i="24"/>
  <c r="G30" i="24" s="1"/>
  <c r="Z6" i="45"/>
  <c r="Y25" i="1"/>
  <c r="Y10" i="45"/>
  <c r="X25" i="1"/>
  <c r="Y9" i="45"/>
  <c r="E30" i="23"/>
  <c r="G30" i="23" s="1"/>
  <c r="O30" i="23" s="1"/>
  <c r="Y6" i="45"/>
  <c r="Y24" i="1"/>
  <c r="X10" i="45"/>
  <c r="X24" i="1"/>
  <c r="X9" i="45"/>
  <c r="E30" i="22"/>
  <c r="G30" i="22" s="1"/>
  <c r="X6" i="45"/>
  <c r="Y23" i="1"/>
  <c r="W10" i="45"/>
  <c r="Y22" i="1"/>
  <c r="V10" i="45"/>
  <c r="X23" i="1"/>
  <c r="W9" i="45"/>
  <c r="X22" i="1"/>
  <c r="V9" i="45"/>
  <c r="E30" i="21"/>
  <c r="G30" i="21" s="1"/>
  <c r="W6" i="45"/>
  <c r="E30" i="20"/>
  <c r="G30" i="20" s="1"/>
  <c r="V6" i="45"/>
  <c r="H97" i="2"/>
  <c r="J97" i="2" s="1"/>
  <c r="D10" i="45"/>
  <c r="H99" i="2"/>
  <c r="H99" i="3" s="1"/>
  <c r="D6" i="45"/>
  <c r="Y5" i="1"/>
  <c r="E10" i="45"/>
  <c r="E5" i="45"/>
  <c r="X5" i="1"/>
  <c r="E9" i="45"/>
  <c r="E6" i="45"/>
  <c r="H18" i="2"/>
  <c r="J18" i="2" s="1"/>
  <c r="H107" i="12"/>
  <c r="J107" i="12" s="1"/>
  <c r="H107" i="43"/>
  <c r="J107" i="2"/>
  <c r="H107" i="14"/>
  <c r="J107" i="14" s="1"/>
  <c r="H107" i="24"/>
  <c r="J107" i="24" s="1"/>
  <c r="H107" i="28"/>
  <c r="J107" i="28" s="1"/>
  <c r="H107" i="27"/>
  <c r="J107" i="27" s="1"/>
  <c r="H107" i="15"/>
  <c r="J107" i="15" s="1"/>
  <c r="J107" i="9"/>
  <c r="H107" i="19"/>
  <c r="H107" i="29"/>
  <c r="J107" i="29" s="1"/>
  <c r="H107" i="40"/>
  <c r="J107" i="40" s="1"/>
  <c r="H107" i="25"/>
  <c r="J107" i="25" s="1"/>
  <c r="J107" i="33"/>
  <c r="H107" i="30"/>
  <c r="J107" i="30" s="1"/>
  <c r="J107" i="7"/>
  <c r="H107" i="23"/>
  <c r="J107" i="23" s="1"/>
  <c r="J107" i="8"/>
  <c r="H107" i="18"/>
  <c r="J107" i="18" s="1"/>
  <c r="J107" i="11"/>
  <c r="H107" i="17"/>
  <c r="J107" i="17" s="1"/>
  <c r="J107" i="5"/>
  <c r="J107" i="4"/>
  <c r="H107" i="13"/>
  <c r="J107" i="13" s="1"/>
  <c r="H107" i="16"/>
  <c r="J107" i="16" s="1"/>
  <c r="J107" i="3"/>
  <c r="J109" i="8"/>
  <c r="H109" i="23"/>
  <c r="J109" i="23" s="1"/>
  <c r="H109" i="13"/>
  <c r="J109" i="13" s="1"/>
  <c r="J109" i="5"/>
  <c r="H109" i="17"/>
  <c r="J109" i="17" s="1"/>
  <c r="H109" i="25"/>
  <c r="J109" i="25" s="1"/>
  <c r="H109" i="30"/>
  <c r="J109" i="30" s="1"/>
  <c r="H109" i="28"/>
  <c r="J109" i="28" s="1"/>
  <c r="H109" i="16"/>
  <c r="J109" i="16" s="1"/>
  <c r="J109" i="9"/>
  <c r="H109" i="15"/>
  <c r="J109" i="15" s="1"/>
  <c r="H109" i="24"/>
  <c r="J109" i="24" s="1"/>
  <c r="H109" i="43"/>
  <c r="H109" i="29"/>
  <c r="J109" i="29" s="1"/>
  <c r="J109" i="7"/>
  <c r="J109" i="3"/>
  <c r="H109" i="14"/>
  <c r="J109" i="14" s="1"/>
  <c r="H109" i="40"/>
  <c r="J109" i="40" s="1"/>
  <c r="H109" i="27"/>
  <c r="J109" i="27" s="1"/>
  <c r="H109" i="12"/>
  <c r="J109" i="12" s="1"/>
  <c r="J109" i="2"/>
  <c r="H109" i="19"/>
  <c r="J109" i="4"/>
  <c r="J109" i="11"/>
  <c r="H109" i="18"/>
  <c r="J109" i="18" s="1"/>
  <c r="J109" i="33"/>
  <c r="J104" i="9"/>
  <c r="J104" i="11"/>
  <c r="H104" i="13"/>
  <c r="J104" i="13" s="1"/>
  <c r="H104" i="17"/>
  <c r="J104" i="17" s="1"/>
  <c r="H104" i="25"/>
  <c r="J104" i="25" s="1"/>
  <c r="J104" i="5"/>
  <c r="H104" i="19"/>
  <c r="H104" i="16"/>
  <c r="J104" i="16" s="1"/>
  <c r="H104" i="27"/>
  <c r="J104" i="27" s="1"/>
  <c r="J104" i="2"/>
  <c r="H104" i="12"/>
  <c r="J104" i="12" s="1"/>
  <c r="H104" i="24"/>
  <c r="J104" i="24" s="1"/>
  <c r="H104" i="28"/>
  <c r="J104" i="28" s="1"/>
  <c r="H104" i="43"/>
  <c r="J104" i="4"/>
  <c r="H104" i="15"/>
  <c r="J104" i="15" s="1"/>
  <c r="H104" i="14"/>
  <c r="J104" i="14" s="1"/>
  <c r="H104" i="29"/>
  <c r="J104" i="29" s="1"/>
  <c r="J104" i="3"/>
  <c r="J104" i="7"/>
  <c r="H104" i="40"/>
  <c r="J104" i="40" s="1"/>
  <c r="J104" i="8"/>
  <c r="H104" i="18"/>
  <c r="J104" i="18" s="1"/>
  <c r="J104" i="33"/>
  <c r="H104" i="23"/>
  <c r="J104" i="23" s="1"/>
  <c r="H110" i="12"/>
  <c r="J110" i="12" s="1"/>
  <c r="H110" i="15"/>
  <c r="J110" i="15" s="1"/>
  <c r="H110" i="43"/>
  <c r="J110" i="33"/>
  <c r="H110" i="18"/>
  <c r="J110" i="18" s="1"/>
  <c r="H110" i="24"/>
  <c r="J110" i="24" s="1"/>
  <c r="H110" i="40"/>
  <c r="J110" i="40" s="1"/>
  <c r="H110" i="23"/>
  <c r="J110" i="23" s="1"/>
  <c r="J110" i="8"/>
  <c r="H110" i="29"/>
  <c r="J110" i="29" s="1"/>
  <c r="H110" i="30"/>
  <c r="J110" i="30" s="1"/>
  <c r="J110" i="11"/>
  <c r="H110" i="19"/>
  <c r="H110" i="28"/>
  <c r="J110" i="28" s="1"/>
  <c r="H110" i="16"/>
  <c r="J110" i="16" s="1"/>
  <c r="H110" i="27"/>
  <c r="J110" i="27" s="1"/>
  <c r="J110" i="9"/>
  <c r="J110" i="7"/>
  <c r="J110" i="2"/>
  <c r="J110" i="3"/>
  <c r="J110" i="5"/>
  <c r="H110" i="13"/>
  <c r="J110" i="13" s="1"/>
  <c r="H110" i="25"/>
  <c r="J110" i="25" s="1"/>
  <c r="J110" i="4"/>
  <c r="H110" i="17"/>
  <c r="J110" i="17" s="1"/>
  <c r="H110" i="14"/>
  <c r="J110" i="14" s="1"/>
  <c r="H92" i="2"/>
  <c r="J92" i="2" s="1"/>
  <c r="J115" i="7"/>
  <c r="H115" i="15"/>
  <c r="J115" i="15" s="1"/>
  <c r="H115" i="24"/>
  <c r="J115" i="24" s="1"/>
  <c r="J115" i="8"/>
  <c r="H115" i="13"/>
  <c r="J115" i="13" s="1"/>
  <c r="H115" i="17"/>
  <c r="J115" i="17" s="1"/>
  <c r="H115" i="23"/>
  <c r="J115" i="23" s="1"/>
  <c r="H115" i="25"/>
  <c r="J115" i="25" s="1"/>
  <c r="H115" i="30"/>
  <c r="J115" i="30" s="1"/>
  <c r="H115" i="29"/>
  <c r="J115" i="29" s="1"/>
  <c r="J115" i="5"/>
  <c r="H115" i="28"/>
  <c r="J115" i="28" s="1"/>
  <c r="J115" i="9"/>
  <c r="H115" i="43"/>
  <c r="H115" i="16"/>
  <c r="J115" i="16" s="1"/>
  <c r="H115" i="12"/>
  <c r="J115" i="12" s="1"/>
  <c r="H115" i="18"/>
  <c r="J115" i="18" s="1"/>
  <c r="J115" i="2"/>
  <c r="J115" i="3"/>
  <c r="H115" i="19"/>
  <c r="H115" i="14"/>
  <c r="J115" i="14" s="1"/>
  <c r="H115" i="40"/>
  <c r="J115" i="40" s="1"/>
  <c r="J115" i="33"/>
  <c r="H115" i="27"/>
  <c r="J115" i="27" s="1"/>
  <c r="J115" i="11"/>
  <c r="J115" i="4"/>
  <c r="H111" i="19"/>
  <c r="J111" i="7"/>
  <c r="H111" i="14"/>
  <c r="J111" i="14" s="1"/>
  <c r="H111" i="15"/>
  <c r="J111" i="15" s="1"/>
  <c r="H111" i="27"/>
  <c r="J111" i="27" s="1"/>
  <c r="H111" i="23"/>
  <c r="J111" i="23" s="1"/>
  <c r="J111" i="33"/>
  <c r="H111" i="18"/>
  <c r="J111" i="18" s="1"/>
  <c r="H111" i="40"/>
  <c r="J111" i="40" s="1"/>
  <c r="H111" i="13"/>
  <c r="J111" i="13" s="1"/>
  <c r="J111" i="5"/>
  <c r="H111" i="29"/>
  <c r="J111" i="29" s="1"/>
  <c r="J111" i="2"/>
  <c r="J111" i="11"/>
  <c r="H111" i="28"/>
  <c r="J111" i="28" s="1"/>
  <c r="H111" i="24"/>
  <c r="J111" i="24" s="1"/>
  <c r="H111" i="12"/>
  <c r="J111" i="12" s="1"/>
  <c r="J111" i="8"/>
  <c r="J111" i="3"/>
  <c r="H111" i="16"/>
  <c r="J111" i="16" s="1"/>
  <c r="H111" i="17"/>
  <c r="J111" i="17" s="1"/>
  <c r="H111" i="30"/>
  <c r="J111" i="30" s="1"/>
  <c r="H111" i="43"/>
  <c r="H111" i="25"/>
  <c r="J111" i="25" s="1"/>
  <c r="J111" i="4"/>
  <c r="J111" i="9"/>
  <c r="W4" i="1"/>
  <c r="G119" i="2"/>
  <c r="H119" i="2" s="1"/>
  <c r="H117" i="13"/>
  <c r="J117" i="13" s="1"/>
  <c r="J117" i="5"/>
  <c r="H117" i="43"/>
  <c r="H117" i="29"/>
  <c r="J117" i="29" s="1"/>
  <c r="H117" i="12"/>
  <c r="J117" i="12" s="1"/>
  <c r="H117" i="28"/>
  <c r="J117" i="28" s="1"/>
  <c r="H117" i="16"/>
  <c r="J117" i="16" s="1"/>
  <c r="J117" i="33"/>
  <c r="J117" i="8"/>
  <c r="H117" i="15"/>
  <c r="J117" i="15" s="1"/>
  <c r="J117" i="7"/>
  <c r="H117" i="24"/>
  <c r="J117" i="24" s="1"/>
  <c r="H117" i="23"/>
  <c r="J117" i="23" s="1"/>
  <c r="H117" i="25"/>
  <c r="J117" i="25" s="1"/>
  <c r="H117" i="18"/>
  <c r="J117" i="18" s="1"/>
  <c r="H117" i="27"/>
  <c r="J117" i="27" s="1"/>
  <c r="J117" i="4"/>
  <c r="H117" i="14"/>
  <c r="J117" i="14" s="1"/>
  <c r="H117" i="30"/>
  <c r="J117" i="30" s="1"/>
  <c r="J117" i="9"/>
  <c r="H117" i="40"/>
  <c r="J117" i="40" s="1"/>
  <c r="J117" i="11"/>
  <c r="H117" i="19"/>
  <c r="J117" i="2"/>
  <c r="J117" i="3"/>
  <c r="H117" i="17"/>
  <c r="J117" i="17" s="1"/>
  <c r="J120" i="3"/>
  <c r="X4" i="1"/>
  <c r="H118" i="25"/>
  <c r="J118" i="25" s="1"/>
  <c r="H98" i="2"/>
  <c r="H98" i="3" s="1"/>
  <c r="H119" i="25"/>
  <c r="J119" i="25" s="1"/>
  <c r="H19" i="2"/>
  <c r="J19" i="2" s="1"/>
  <c r="G118" i="2"/>
  <c r="H118" i="2" s="1"/>
  <c r="H105" i="15"/>
  <c r="J105" i="15" s="1"/>
  <c r="H105" i="16"/>
  <c r="J105" i="16" s="1"/>
  <c r="H105" i="24"/>
  <c r="J105" i="24" s="1"/>
  <c r="J105" i="7"/>
  <c r="H105" i="12"/>
  <c r="J105" i="12" s="1"/>
  <c r="H105" i="23"/>
  <c r="J105" i="23" s="1"/>
  <c r="H105" i="27"/>
  <c r="J105" i="27" s="1"/>
  <c r="J105" i="8"/>
  <c r="J105" i="33"/>
  <c r="H105" i="14"/>
  <c r="J105" i="14" s="1"/>
  <c r="H105" i="19"/>
  <c r="H105" i="30"/>
  <c r="J105" i="30" s="1"/>
  <c r="J105" i="11"/>
  <c r="H105" i="43"/>
  <c r="J105" i="2"/>
  <c r="H105" i="13"/>
  <c r="J105" i="13" s="1"/>
  <c r="H105" i="18"/>
  <c r="J105" i="18" s="1"/>
  <c r="H105" i="40"/>
  <c r="J105" i="40" s="1"/>
  <c r="J105" i="5"/>
  <c r="J105" i="3"/>
  <c r="H105" i="17"/>
  <c r="J105" i="17" s="1"/>
  <c r="J105" i="9"/>
  <c r="H105" i="29"/>
  <c r="J105" i="29" s="1"/>
  <c r="H105" i="28"/>
  <c r="J105" i="28" s="1"/>
  <c r="J105" i="4"/>
  <c r="H105" i="25"/>
  <c r="J105" i="25" s="1"/>
  <c r="H116" i="12"/>
  <c r="J116" i="12" s="1"/>
  <c r="H116" i="16"/>
  <c r="J116" i="16" s="1"/>
  <c r="H116" i="18"/>
  <c r="J116" i="18" s="1"/>
  <c r="H116" i="40"/>
  <c r="J116" i="40" s="1"/>
  <c r="H116" i="23"/>
  <c r="J116" i="23" s="1"/>
  <c r="J116" i="11"/>
  <c r="H116" i="24"/>
  <c r="J116" i="24" s="1"/>
  <c r="J116" i="8"/>
  <c r="H116" i="27"/>
  <c r="J116" i="27" s="1"/>
  <c r="H116" i="19"/>
  <c r="J116" i="4"/>
  <c r="J116" i="5"/>
  <c r="H116" i="17"/>
  <c r="J116" i="17" s="1"/>
  <c r="J116" i="2"/>
  <c r="H116" i="15"/>
  <c r="J116" i="15" s="1"/>
  <c r="J116" i="9"/>
  <c r="J116" i="3"/>
  <c r="J116" i="7"/>
  <c r="H116" i="25"/>
  <c r="J116" i="25" s="1"/>
  <c r="J116" i="33"/>
  <c r="H116" i="14"/>
  <c r="J116" i="14" s="1"/>
  <c r="H116" i="13"/>
  <c r="J116" i="13" s="1"/>
  <c r="H116" i="43"/>
  <c r="H116" i="30"/>
  <c r="J116" i="30" s="1"/>
  <c r="H116" i="28"/>
  <c r="J116" i="28" s="1"/>
  <c r="H116" i="29"/>
  <c r="J116" i="29" s="1"/>
  <c r="H100" i="2"/>
  <c r="J100" i="2" s="1"/>
  <c r="J120" i="8"/>
  <c r="H120" i="15"/>
  <c r="J120" i="15" s="1"/>
  <c r="H120" i="24"/>
  <c r="J120" i="24" s="1"/>
  <c r="H120" i="40"/>
  <c r="J120" i="40" s="1"/>
  <c r="J120" i="9"/>
  <c r="J120" i="33"/>
  <c r="H120" i="14"/>
  <c r="J120" i="14" s="1"/>
  <c r="J120" i="7"/>
  <c r="H120" i="16"/>
  <c r="J120" i="16" s="1"/>
  <c r="J120" i="11"/>
  <c r="J120" i="2"/>
  <c r="H120" i="18"/>
  <c r="J120" i="18" s="1"/>
  <c r="H120" i="19"/>
  <c r="H120" i="23"/>
  <c r="J120" i="23" s="1"/>
  <c r="H120" i="25"/>
  <c r="J120" i="25" s="1"/>
  <c r="J120" i="5"/>
  <c r="H120" i="27"/>
  <c r="J120" i="27" s="1"/>
  <c r="J120" i="4"/>
  <c r="H120" i="28"/>
  <c r="J120" i="28" s="1"/>
  <c r="H120" i="29"/>
  <c r="J120" i="29" s="1"/>
  <c r="H120" i="13"/>
  <c r="J120" i="13" s="1"/>
  <c r="H120" i="17"/>
  <c r="J120" i="17" s="1"/>
  <c r="H120" i="30"/>
  <c r="J120" i="30" s="1"/>
  <c r="H120" i="12"/>
  <c r="J120" i="12" s="1"/>
  <c r="H106" i="17"/>
  <c r="J106" i="17" s="1"/>
  <c r="H106" i="25"/>
  <c r="J106" i="25" s="1"/>
  <c r="H106" i="19"/>
  <c r="J106" i="9"/>
  <c r="H106" i="15"/>
  <c r="J106" i="15" s="1"/>
  <c r="J106" i="7"/>
  <c r="H106" i="18"/>
  <c r="J106" i="18" s="1"/>
  <c r="H106" i="23"/>
  <c r="J106" i="23" s="1"/>
  <c r="H106" i="40"/>
  <c r="J106" i="40" s="1"/>
  <c r="J106" i="11"/>
  <c r="H106" i="12"/>
  <c r="J106" i="12" s="1"/>
  <c r="H106" i="30"/>
  <c r="J106" i="30" s="1"/>
  <c r="H106" i="14"/>
  <c r="J106" i="14" s="1"/>
  <c r="J106" i="33"/>
  <c r="H106" i="24"/>
  <c r="J106" i="24" s="1"/>
  <c r="J106" i="4"/>
  <c r="H106" i="29"/>
  <c r="J106" i="29" s="1"/>
  <c r="J106" i="8"/>
  <c r="H106" i="43"/>
  <c r="H106" i="27"/>
  <c r="J106" i="27" s="1"/>
  <c r="H106" i="28"/>
  <c r="J106" i="28" s="1"/>
  <c r="H106" i="16"/>
  <c r="J106" i="16" s="1"/>
  <c r="H106" i="13"/>
  <c r="J106" i="13" s="1"/>
  <c r="J106" i="2"/>
  <c r="J106" i="5"/>
  <c r="J106" i="3"/>
  <c r="AA4" i="44"/>
  <c r="H112" i="24"/>
  <c r="J112" i="24" s="1"/>
  <c r="H112" i="14"/>
  <c r="J112" i="14" s="1"/>
  <c r="H112" i="23"/>
  <c r="J112" i="23" s="1"/>
  <c r="J112" i="5"/>
  <c r="J112" i="2"/>
  <c r="J112" i="8"/>
  <c r="H112" i="19"/>
  <c r="J112" i="7"/>
  <c r="J112" i="9"/>
  <c r="H112" i="25"/>
  <c r="J112" i="25" s="1"/>
  <c r="H112" i="16"/>
  <c r="J112" i="16" s="1"/>
  <c r="J112" i="33"/>
  <c r="H112" i="40"/>
  <c r="J112" i="40" s="1"/>
  <c r="H112" i="27"/>
  <c r="J112" i="27" s="1"/>
  <c r="H112" i="15"/>
  <c r="J112" i="15" s="1"/>
  <c r="H112" i="30"/>
  <c r="J112" i="30" s="1"/>
  <c r="H112" i="12"/>
  <c r="J112" i="12" s="1"/>
  <c r="H112" i="17"/>
  <c r="J112" i="17" s="1"/>
  <c r="H112" i="43"/>
  <c r="J112" i="11"/>
  <c r="H112" i="18"/>
  <c r="J112" i="18" s="1"/>
  <c r="J112" i="4"/>
  <c r="J112" i="3"/>
  <c r="H112" i="28"/>
  <c r="J112" i="28" s="1"/>
  <c r="H112" i="29"/>
  <c r="J112" i="29" s="1"/>
  <c r="H112" i="13"/>
  <c r="J112" i="13" s="1"/>
  <c r="F119" i="13"/>
  <c r="G119" i="13"/>
  <c r="F118" i="16"/>
  <c r="G118" i="16"/>
  <c r="H118" i="16" s="1"/>
  <c r="J118" i="16" s="1"/>
  <c r="F119" i="16"/>
  <c r="G119" i="16"/>
  <c r="H119" i="16" s="1"/>
  <c r="J119" i="16" s="1"/>
  <c r="F118" i="23"/>
  <c r="G118" i="23"/>
  <c r="F118" i="8"/>
  <c r="G118" i="8"/>
  <c r="G119" i="9"/>
  <c r="G119" i="11"/>
  <c r="G118" i="15"/>
  <c r="H118" i="15" s="1"/>
  <c r="J118" i="15" s="1"/>
  <c r="F119" i="17"/>
  <c r="G119" i="17"/>
  <c r="H119" i="17" s="1"/>
  <c r="J119" i="17" s="1"/>
  <c r="F118" i="20"/>
  <c r="G118" i="20"/>
  <c r="F119" i="40"/>
  <c r="F119" i="8"/>
  <c r="G119" i="8"/>
  <c r="G118" i="11"/>
  <c r="F119" i="18"/>
  <c r="G119" i="18"/>
  <c r="H119" i="18" s="1"/>
  <c r="J119" i="18" s="1"/>
  <c r="G119" i="33"/>
  <c r="F119" i="7"/>
  <c r="G119" i="7"/>
  <c r="F118" i="13"/>
  <c r="F118" i="24"/>
  <c r="G118" i="24"/>
  <c r="H118" i="24" s="1"/>
  <c r="J118" i="24" s="1"/>
  <c r="F119" i="24"/>
  <c r="G119" i="24"/>
  <c r="H119" i="24" s="1"/>
  <c r="J119" i="24" s="1"/>
  <c r="F119" i="28"/>
  <c r="G119" i="28"/>
  <c r="H119" i="28" s="1"/>
  <c r="J119" i="28" s="1"/>
  <c r="F119" i="5"/>
  <c r="G119" i="5"/>
  <c r="F119" i="21"/>
  <c r="G119" i="21"/>
  <c r="G119" i="30"/>
  <c r="F118" i="7"/>
  <c r="G118" i="7"/>
  <c r="F119" i="15"/>
  <c r="G119" i="15"/>
  <c r="H119" i="15" s="1"/>
  <c r="J119" i="15" s="1"/>
  <c r="F118" i="19"/>
  <c r="G118" i="19"/>
  <c r="H118" i="19" s="1"/>
  <c r="J118" i="19" s="1"/>
  <c r="F118" i="21"/>
  <c r="G118" i="21"/>
  <c r="F118" i="27"/>
  <c r="G118" i="27"/>
  <c r="H118" i="27" s="1"/>
  <c r="J118" i="27" s="1"/>
  <c r="F118" i="28"/>
  <c r="G118" i="28"/>
  <c r="H118" i="28" s="1"/>
  <c r="J118" i="28" s="1"/>
  <c r="F119" i="4"/>
  <c r="G119" i="4"/>
  <c r="F118" i="9"/>
  <c r="G118" i="9"/>
  <c r="G119" i="14"/>
  <c r="H119" i="14" s="1"/>
  <c r="J119" i="14" s="1"/>
  <c r="F119" i="14"/>
  <c r="G119" i="22"/>
  <c r="F119" i="22"/>
  <c r="F119" i="29"/>
  <c r="N119" i="29" s="1"/>
  <c r="G119" i="29"/>
  <c r="H119" i="29" s="1"/>
  <c r="J119" i="29" s="1"/>
  <c r="G118" i="4"/>
  <c r="G119" i="12"/>
  <c r="F118" i="14"/>
  <c r="G118" i="14"/>
  <c r="H118" i="14" s="1"/>
  <c r="J118" i="14" s="1"/>
  <c r="F119" i="19"/>
  <c r="G119" i="19"/>
  <c r="H119" i="19" s="1"/>
  <c r="J119" i="19" s="1"/>
  <c r="F118" i="22"/>
  <c r="G118" i="22"/>
  <c r="F119" i="23"/>
  <c r="G118" i="5"/>
  <c r="F119" i="20"/>
  <c r="G119" i="20"/>
  <c r="G118" i="18"/>
  <c r="H118" i="18" s="1"/>
  <c r="J118" i="18" s="1"/>
  <c r="F118" i="18"/>
  <c r="F118" i="12"/>
  <c r="G118" i="12"/>
  <c r="G118" i="40"/>
  <c r="H118" i="40" s="1"/>
  <c r="J118" i="40" s="1"/>
  <c r="F118" i="40"/>
  <c r="F119" i="27"/>
  <c r="G119" i="27"/>
  <c r="H119" i="27" s="1"/>
  <c r="J119" i="27" s="1"/>
  <c r="G118" i="29"/>
  <c r="H118" i="29" s="1"/>
  <c r="J118" i="29" s="1"/>
  <c r="F118" i="17"/>
  <c r="G118" i="17"/>
  <c r="H118" i="17" s="1"/>
  <c r="J118" i="17" s="1"/>
  <c r="F118" i="3"/>
  <c r="G118" i="3"/>
  <c r="H118" i="3" s="1"/>
  <c r="G119" i="3"/>
  <c r="E11" i="35"/>
  <c r="G11" i="35" s="1"/>
  <c r="W19" i="1"/>
  <c r="W8" i="1"/>
  <c r="W9" i="1"/>
  <c r="W30" i="1"/>
  <c r="W18" i="1"/>
  <c r="W20" i="1"/>
  <c r="G198" i="11"/>
  <c r="W23" i="1"/>
  <c r="E17" i="35"/>
  <c r="G17" i="35" s="1"/>
  <c r="E15" i="35"/>
  <c r="G15" i="35" s="1"/>
  <c r="E16" i="35"/>
  <c r="G16" i="35" s="1"/>
  <c r="W24" i="1"/>
  <c r="W31" i="1"/>
  <c r="W33" i="1"/>
  <c r="E12" i="35"/>
  <c r="G12" i="35" s="1"/>
  <c r="W21" i="1"/>
  <c r="W25" i="1"/>
  <c r="W22" i="1"/>
  <c r="E10" i="35"/>
  <c r="G10" i="35" s="1"/>
  <c r="W29" i="1"/>
  <c r="E13" i="35"/>
  <c r="G13" i="35" s="1"/>
  <c r="G101" i="11"/>
  <c r="AL5" i="1"/>
  <c r="I140" i="3"/>
  <c r="AH8" i="1"/>
  <c r="I136" i="33"/>
  <c r="AH7" i="1"/>
  <c r="I136" i="5"/>
  <c r="AL7" i="1"/>
  <c r="I139" i="5"/>
  <c r="AM6" i="1"/>
  <c r="AO6" i="1" s="1"/>
  <c r="I140" i="4"/>
  <c r="I135" i="4"/>
  <c r="AH9" i="1"/>
  <c r="I136" i="7"/>
  <c r="AA7" i="1"/>
  <c r="I133" i="5"/>
  <c r="L21" i="27"/>
  <c r="AH5" i="1"/>
  <c r="I138" i="3"/>
  <c r="AL8" i="1"/>
  <c r="I139" i="33"/>
  <c r="AM9" i="1"/>
  <c r="AO9" i="1" s="1"/>
  <c r="I139" i="7"/>
  <c r="I133" i="3"/>
  <c r="AH6" i="1"/>
  <c r="I138" i="4"/>
  <c r="AC33" i="44"/>
  <c r="AP33" i="1"/>
  <c r="AA9" i="1"/>
  <c r="AE9" i="1" s="1"/>
  <c r="I133" i="7"/>
  <c r="AI10" i="1"/>
  <c r="I136" i="8"/>
  <c r="I133" i="8"/>
  <c r="AM10" i="1"/>
  <c r="AO10" i="1" s="1"/>
  <c r="I139" i="8"/>
  <c r="I4" i="35"/>
  <c r="Z4" i="44"/>
  <c r="AT18" i="1"/>
  <c r="AQ7" i="1"/>
  <c r="AS7" i="1"/>
  <c r="AQ8" i="1"/>
  <c r="AX8" i="1"/>
  <c r="AB9" i="44"/>
  <c r="AT9" i="1"/>
  <c r="AY9" i="1"/>
  <c r="BI9" i="1"/>
  <c r="Z9" i="44"/>
  <c r="AS11" i="1"/>
  <c r="AZ12" i="1"/>
  <c r="AU12" i="1"/>
  <c r="AY12" i="1"/>
  <c r="BI12" i="1"/>
  <c r="I12" i="35"/>
  <c r="Z12" i="44"/>
  <c r="AB13" i="44"/>
  <c r="AB17" i="44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B7" i="44"/>
  <c r="I7" i="35"/>
  <c r="Z6" i="44"/>
  <c r="BE6" i="1"/>
  <c r="BI6" i="1"/>
  <c r="AY6" i="1"/>
  <c r="I10" i="35"/>
  <c r="Z10" i="44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B8" i="44"/>
  <c r="AS9" i="1"/>
  <c r="AX9" i="1"/>
  <c r="AB11" i="44"/>
  <c r="AQ12" i="1"/>
  <c r="AT12" i="1"/>
  <c r="AB15" i="44"/>
  <c r="AB16" i="44"/>
  <c r="AZ17" i="1"/>
  <c r="AU17" i="1"/>
  <c r="AY17" i="1"/>
  <c r="AU18" i="1"/>
  <c r="AY18" i="1"/>
  <c r="I18" i="35"/>
  <c r="Z18" i="44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B10" i="44"/>
  <c r="AV14" i="1"/>
  <c r="AR14" i="1"/>
  <c r="AX15" i="1"/>
  <c r="AT15" i="1"/>
  <c r="AY13" i="1"/>
  <c r="AU13" i="1"/>
  <c r="BI5" i="1"/>
  <c r="AS29" i="1"/>
  <c r="I5" i="35"/>
  <c r="AU7" i="1"/>
  <c r="AV8" i="1"/>
  <c r="BJ8" i="1" s="1"/>
  <c r="I9" i="1"/>
  <c r="AR9" i="1"/>
  <c r="I11" i="1"/>
  <c r="AZ11" i="1"/>
  <c r="AU11" i="1"/>
  <c r="AY11" i="1"/>
  <c r="BI11" i="1"/>
  <c r="I13" i="1"/>
  <c r="E11" i="47" s="1"/>
  <c r="AB14" i="44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2" i="29"/>
  <c r="AV31" i="1"/>
  <c r="AS32" i="1"/>
  <c r="AR19" i="1"/>
  <c r="AX24" i="1"/>
  <c r="AS24" i="1"/>
  <c r="AR7" i="1"/>
  <c r="AS6" i="1"/>
  <c r="AB6" i="44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AB34" i="44"/>
  <c r="AS8" i="1"/>
  <c r="BI8" i="1"/>
  <c r="AU9" i="1"/>
  <c r="AT11" i="1"/>
  <c r="AX11" i="1"/>
  <c r="I11" i="35"/>
  <c r="Z11" i="44"/>
  <c r="AQ13" i="1"/>
  <c r="AQ15" i="1"/>
  <c r="AS17" i="1"/>
  <c r="AB18" i="44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I18" i="1"/>
  <c r="E16" i="47" s="1"/>
  <c r="AY29" i="1"/>
  <c r="AU29" i="1"/>
  <c r="AZ29" i="1"/>
  <c r="AY28" i="1"/>
  <c r="AU28" i="1"/>
  <c r="AX30" i="1"/>
  <c r="AX31" i="1"/>
  <c r="I20" i="1"/>
  <c r="G143" i="18"/>
  <c r="H63" i="2"/>
  <c r="H125" i="2"/>
  <c r="J125" i="2" s="1"/>
  <c r="AE4" i="44"/>
  <c r="AP8" i="1"/>
  <c r="AC8" i="44"/>
  <c r="AP9" i="1"/>
  <c r="AC9" i="44"/>
  <c r="AP12" i="1"/>
  <c r="AC12" i="44"/>
  <c r="H18" i="35"/>
  <c r="BK19" i="1"/>
  <c r="AA19" i="44"/>
  <c r="M21" i="1"/>
  <c r="AB21" i="44"/>
  <c r="B20" i="44"/>
  <c r="B21" i="44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i="2" s="1"/>
  <c r="J4" i="44"/>
  <c r="H73" i="2"/>
  <c r="H73" i="3" s="1"/>
  <c r="H73" i="4" s="1"/>
  <c r="J73" i="4" s="1"/>
  <c r="C4" i="44"/>
  <c r="M16" i="35"/>
  <c r="O16" i="35" s="1"/>
  <c r="B16" i="44"/>
  <c r="BK16" i="1"/>
  <c r="AA16" i="44"/>
  <c r="AP6" i="1"/>
  <c r="AC6" i="44"/>
  <c r="BK15" i="1"/>
  <c r="AA15" i="44"/>
  <c r="D17" i="44"/>
  <c r="BK32" i="1"/>
  <c r="AA32" i="44"/>
  <c r="D34" i="44"/>
  <c r="E34" i="44"/>
  <c r="H66" i="2"/>
  <c r="H66" i="3" s="1"/>
  <c r="H79" i="2"/>
  <c r="J79" i="2" s="1"/>
  <c r="I4" i="44"/>
  <c r="H62" i="2"/>
  <c r="J62" i="2" s="1"/>
  <c r="AP5" i="1"/>
  <c r="AC5" i="44"/>
  <c r="AB19" i="44"/>
  <c r="M19" i="1"/>
  <c r="M20" i="1"/>
  <c r="AB20" i="44"/>
  <c r="G128" i="18"/>
  <c r="G57" i="18"/>
  <c r="BH20" i="1" s="1"/>
  <c r="AP20" i="1"/>
  <c r="AC20" i="44"/>
  <c r="G7" i="19"/>
  <c r="G37" i="19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i="2" s="1"/>
  <c r="K4" i="44"/>
  <c r="H75" i="2"/>
  <c r="H75" i="3" s="1"/>
  <c r="E4" i="44"/>
  <c r="BK13" i="1"/>
  <c r="AA11" i="44"/>
  <c r="M15" i="35"/>
  <c r="O15" i="35" s="1"/>
  <c r="B15" i="44"/>
  <c r="BK10" i="1"/>
  <c r="AA10" i="44"/>
  <c r="M10" i="35"/>
  <c r="O10" i="35" s="1"/>
  <c r="B10" i="44"/>
  <c r="E17" i="44"/>
  <c r="M33" i="1"/>
  <c r="AB33" i="44"/>
  <c r="H65" i="2"/>
  <c r="J65" i="2" s="1"/>
  <c r="H76" i="2"/>
  <c r="H76" i="3" s="1"/>
  <c r="F4" i="44"/>
  <c r="H67" i="2"/>
  <c r="J67" i="2" s="1"/>
  <c r="H127" i="2"/>
  <c r="H127" i="3" s="1"/>
  <c r="J127" i="3" s="1"/>
  <c r="AP7" i="1"/>
  <c r="AC7" i="44"/>
  <c r="H11" i="35"/>
  <c r="AP15" i="1"/>
  <c r="AC15" i="44"/>
  <c r="AP16" i="1"/>
  <c r="AC16" i="44"/>
  <c r="AP19" i="1"/>
  <c r="AC19" i="44"/>
  <c r="G56" i="18"/>
  <c r="AM20" i="1"/>
  <c r="AP21" i="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i="44" s="1"/>
  <c r="AO31" i="44" s="1"/>
  <c r="AP32" i="1"/>
  <c r="AC32" i="44"/>
  <c r="H82" i="2"/>
  <c r="J82" i="2" s="1"/>
  <c r="L4" i="44"/>
  <c r="H77" i="2"/>
  <c r="J77" i="2" s="1"/>
  <c r="G4" i="44"/>
  <c r="BK5" i="1"/>
  <c r="AA5" i="44"/>
  <c r="BK9" i="1"/>
  <c r="AA9" i="44"/>
  <c r="M14" i="35"/>
  <c r="O14" i="35" s="1"/>
  <c r="B14" i="44"/>
  <c r="BK14" i="1"/>
  <c r="AA14" i="44"/>
  <c r="BK33" i="1"/>
  <c r="AA34" i="44"/>
  <c r="AC34" i="44"/>
  <c r="H74" i="2"/>
  <c r="J74" i="2" s="1"/>
  <c r="D4" i="44"/>
  <c r="H64" i="2"/>
  <c r="J64" i="2" s="1"/>
  <c r="H126" i="2"/>
  <c r="H126" i="3" s="1"/>
  <c r="J126" i="3" s="1"/>
  <c r="AF4" i="44"/>
  <c r="AP4" i="1"/>
  <c r="AC4" i="44"/>
  <c r="AB4" i="44"/>
  <c r="H9" i="35"/>
  <c r="AB12" i="44"/>
  <c r="H12" i="35"/>
  <c r="AP13" i="1"/>
  <c r="AP14" i="1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i="2" s="1"/>
  <c r="N4" i="44"/>
  <c r="H78" i="2"/>
  <c r="H78" i="3" s="1"/>
  <c r="H4" i="44"/>
  <c r="D7" i="44"/>
  <c r="E7" i="44"/>
  <c r="BK8" i="1"/>
  <c r="AA8" i="44"/>
  <c r="M13" i="35"/>
  <c r="O13" i="35" s="1"/>
  <c r="B13" i="44"/>
  <c r="BK24" i="1"/>
  <c r="AA24" i="44"/>
  <c r="AP10" i="1"/>
  <c r="AC10" i="44"/>
  <c r="H10" i="35"/>
  <c r="B17" i="44"/>
  <c r="H124" i="2"/>
  <c r="J124" i="2" s="1"/>
  <c r="AD4" i="44"/>
  <c r="AP17" i="1"/>
  <c r="AC17" i="44"/>
  <c r="AP18" i="1"/>
  <c r="AC18" i="44"/>
  <c r="BK18" i="1"/>
  <c r="AA18" i="44"/>
  <c r="BK17" i="1"/>
  <c r="AA17" i="44"/>
  <c r="N17" i="44"/>
  <c r="L17" i="44"/>
  <c r="K17" i="44"/>
  <c r="J17" i="44"/>
  <c r="I17" i="44"/>
  <c r="H17" i="44"/>
  <c r="G17" i="44"/>
  <c r="F17" i="44"/>
  <c r="M18" i="35"/>
  <c r="C18" i="44"/>
  <c r="M17" i="35"/>
  <c r="C17" i="44"/>
  <c r="G128" i="11"/>
  <c r="H46" i="2"/>
  <c r="J46" i="2" s="1"/>
  <c r="M4" i="1"/>
  <c r="G128" i="12"/>
  <c r="P128" i="12" s="1"/>
  <c r="G128" i="28"/>
  <c r="G128" i="15"/>
  <c r="G128" i="24"/>
  <c r="G128" i="27"/>
  <c r="G128" i="19"/>
  <c r="G128" i="21"/>
  <c r="G128" i="29"/>
  <c r="G128" i="17"/>
  <c r="H128" i="17" s="1"/>
  <c r="G128" i="40"/>
  <c r="G128" i="43"/>
  <c r="G128" i="14"/>
  <c r="G128" i="23"/>
  <c r="O128" i="23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 i="1"/>
  <c r="E25" i="47" s="1"/>
  <c r="G148" i="21"/>
  <c r="G149" i="21" s="1"/>
  <c r="G20" i="19"/>
  <c r="P21" i="1" s="1"/>
  <c r="G20" i="24"/>
  <c r="V30" i="1"/>
  <c r="V21" i="1"/>
  <c r="V9" i="1"/>
  <c r="V8" i="1"/>
  <c r="V33" i="1"/>
  <c r="G94" i="11"/>
  <c r="G148" i="16"/>
  <c r="G149" i="16" s="1"/>
  <c r="G94" i="28"/>
  <c r="G148" i="43"/>
  <c r="AT4" i="1"/>
  <c r="G146" i="29"/>
  <c r="G148" i="28"/>
  <c r="G149" i="28" s="1"/>
  <c r="G20" i="40"/>
  <c r="AJ27" i="1"/>
  <c r="AJ28" i="1"/>
  <c r="G152" i="43"/>
  <c r="O27" i="1"/>
  <c r="G20" i="22"/>
  <c r="P24" i="1" s="1"/>
  <c r="G20" i="21"/>
  <c r="BB36" i="1"/>
  <c r="BF36" i="1"/>
  <c r="G94" i="27"/>
  <c r="G152" i="24"/>
  <c r="G153" i="24" s="1"/>
  <c r="G150" i="40"/>
  <c r="G151" i="40" s="1"/>
  <c r="G20" i="13"/>
  <c r="G152" i="18"/>
  <c r="G153" i="18" s="1"/>
  <c r="V31" i="1"/>
  <c r="V28" i="1"/>
  <c r="I138" i="24"/>
  <c r="G146" i="40"/>
  <c r="G147" i="40" s="1"/>
  <c r="V7" i="1"/>
  <c r="I138" i="40"/>
  <c r="G146" i="22"/>
  <c r="G147" i="22" s="1"/>
  <c r="AE29" i="1"/>
  <c r="G13" i="28"/>
  <c r="I13" i="28" s="1"/>
  <c r="G148" i="30"/>
  <c r="BC32" i="1"/>
  <c r="V6" i="1"/>
  <c r="AS23" i="1"/>
  <c r="G152" i="22"/>
  <c r="G153" i="22" s="1"/>
  <c r="G144" i="40"/>
  <c r="G145" i="40" s="1"/>
  <c r="I138" i="27"/>
  <c r="G152" i="14"/>
  <c r="G153" i="14" s="1"/>
  <c r="G20" i="27"/>
  <c r="G13" i="21"/>
  <c r="I13" i="21" s="1"/>
  <c r="G94" i="23"/>
  <c r="O94" i="23" s="1"/>
  <c r="G94" i="40"/>
  <c r="G148" i="17"/>
  <c r="G149" i="17" s="1"/>
  <c r="G20" i="42"/>
  <c r="E30" i="42" s="1"/>
  <c r="G30" i="42" s="1"/>
  <c r="G20" i="20"/>
  <c r="G20" i="43"/>
  <c r="G152" i="8"/>
  <c r="G153" i="8" s="1"/>
  <c r="I138" i="28"/>
  <c r="I29" i="1"/>
  <c r="E27" i="47" s="1"/>
  <c r="G20" i="23"/>
  <c r="I133" i="2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i="16" s="1"/>
  <c r="E18" i="35"/>
  <c r="G18" i="35" s="1"/>
  <c r="G94" i="16"/>
  <c r="BC19" i="1"/>
  <c r="I138" i="16"/>
  <c r="AA36" i="1"/>
  <c r="U36" i="1"/>
  <c r="AO17" i="1"/>
  <c r="G59" i="15"/>
  <c r="G20" i="14"/>
  <c r="P16" i="1" s="1"/>
  <c r="AT27" i="1"/>
  <c r="BG17" i="1"/>
  <c r="G144" i="15"/>
  <c r="G145" i="15" s="1"/>
  <c r="AZ26" i="1"/>
  <c r="G150" i="24"/>
  <c r="G151" i="24" s="1"/>
  <c r="G20" i="11"/>
  <c r="G101" i="19"/>
  <c r="I133" i="21"/>
  <c r="G85" i="40"/>
  <c r="I24" i="1"/>
  <c r="E22" i="47" s="1"/>
  <c r="BH30" i="1"/>
  <c r="G142" i="28"/>
  <c r="G143" i="28" s="1"/>
  <c r="AC13" i="1"/>
  <c r="AE13" i="1" s="1"/>
  <c r="I136" i="11"/>
  <c r="M17" i="1"/>
  <c r="G15" i="47" s="1"/>
  <c r="BC27" i="1"/>
  <c r="G85" i="19"/>
  <c r="G13" i="22"/>
  <c r="I13" i="22" s="1"/>
  <c r="G59" i="28"/>
  <c r="I136" i="27"/>
  <c r="V26" i="1"/>
  <c r="G20" i="15"/>
  <c r="P17" i="1" s="1"/>
  <c r="G20" i="18"/>
  <c r="G94" i="15"/>
  <c r="G142" i="22"/>
  <c r="G143" i="22" s="1"/>
  <c r="G142" i="27"/>
  <c r="G143" i="27" s="1"/>
  <c r="G152" i="28"/>
  <c r="G153" i="28" s="1"/>
  <c r="X30" i="1"/>
  <c r="G150" i="21"/>
  <c r="G151" i="21" s="1"/>
  <c r="G144" i="22"/>
  <c r="G145" i="22" s="1"/>
  <c r="G146" i="13"/>
  <c r="G146" i="16"/>
  <c r="G147" i="16" s="1"/>
  <c r="G150" i="29"/>
  <c r="E9" i="35"/>
  <c r="G9" i="35" s="1"/>
  <c r="V25" i="1"/>
  <c r="G152" i="27"/>
  <c r="G153" i="27" s="1"/>
  <c r="G146" i="17"/>
  <c r="G147" i="17" s="1"/>
  <c r="G152" i="40"/>
  <c r="G153" i="40" s="1"/>
  <c r="V29" i="1"/>
  <c r="V18" i="1"/>
  <c r="V14" i="1"/>
  <c r="V32" i="1"/>
  <c r="G20" i="17"/>
  <c r="G94" i="12"/>
  <c r="P94" i="12" s="1"/>
  <c r="G152" i="13"/>
  <c r="BE36" i="1"/>
  <c r="G85" i="17"/>
  <c r="G94" i="17"/>
  <c r="G94" i="20"/>
  <c r="G94" i="21"/>
  <c r="G150" i="20"/>
  <c r="G151" i="20" s="1"/>
  <c r="G146" i="21"/>
  <c r="G147" i="21" s="1"/>
  <c r="G142" i="23"/>
  <c r="G13" i="14"/>
  <c r="I13" i="14" s="1"/>
  <c r="G13" i="17"/>
  <c r="I13" i="17" s="1"/>
  <c r="I136" i="22"/>
  <c r="G13" i="40"/>
  <c r="I13" i="40" s="1"/>
  <c r="D36" i="1"/>
  <c r="J36" i="1"/>
  <c r="G94" i="8"/>
  <c r="AZ28" i="1"/>
  <c r="I26" i="1"/>
  <c r="E24" i="47" s="1"/>
  <c r="G148" i="9"/>
  <c r="G149" i="9" s="1"/>
  <c r="G94" i="18"/>
  <c r="G85" i="23"/>
  <c r="O85" i="23" s="1"/>
  <c r="G13" i="27"/>
  <c r="I13" i="27" s="1"/>
  <c r="G59" i="27"/>
  <c r="BH29" i="1"/>
  <c r="G20" i="8"/>
  <c r="P10" i="1" s="1"/>
  <c r="I8" i="47" s="1"/>
  <c r="AE16" i="1"/>
  <c r="G146" i="14"/>
  <c r="G147" i="14" s="1"/>
  <c r="I138" i="12"/>
  <c r="G94" i="13"/>
  <c r="G85" i="13"/>
  <c r="G148" i="13"/>
  <c r="BC15" i="1"/>
  <c r="M15" i="1"/>
  <c r="M14" i="1"/>
  <c r="V13" i="1"/>
  <c r="AO12" i="1"/>
  <c r="I133" i="11"/>
  <c r="G85" i="11"/>
  <c r="G142" i="11"/>
  <c r="G143" i="11" s="1"/>
  <c r="W11" i="1"/>
  <c r="BK12" i="1"/>
  <c r="AV12" i="1"/>
  <c r="G20" i="9"/>
  <c r="P11" i="1" s="1"/>
  <c r="G94" i="9"/>
  <c r="M11" i="1"/>
  <c r="BK11" i="1"/>
  <c r="M11" i="35"/>
  <c r="O11" i="35" s="1"/>
  <c r="G85" i="9"/>
  <c r="BC11" i="1"/>
  <c r="G59" i="9"/>
  <c r="G142" i="8"/>
  <c r="G143" i="8" s="1"/>
  <c r="G150" i="9"/>
  <c r="G151" i="9" s="1"/>
  <c r="G13" i="8"/>
  <c r="I13" i="8" s="1"/>
  <c r="W10" i="1"/>
  <c r="G85" i="8"/>
  <c r="I10" i="1"/>
  <c r="E8" i="47" s="1"/>
  <c r="BG10" i="1"/>
  <c r="G144" i="8"/>
  <c r="G145" i="8" s="1"/>
  <c r="BB14" i="1"/>
  <c r="G152" i="12"/>
  <c r="G47" i="28"/>
  <c r="G150" i="28"/>
  <c r="G151" i="28" s="1"/>
  <c r="AZ30" i="1"/>
  <c r="AR5" i="1"/>
  <c r="G152" i="3"/>
  <c r="G13" i="24"/>
  <c r="AZ13" i="1"/>
  <c r="G150" i="11"/>
  <c r="G151" i="11" s="1"/>
  <c r="AA10" i="1"/>
  <c r="I138" i="23"/>
  <c r="AJ25" i="1"/>
  <c r="L17" i="35"/>
  <c r="G85" i="15"/>
  <c r="AQ4" i="1"/>
  <c r="H35" i="2"/>
  <c r="J35" i="2" s="1"/>
  <c r="AC17" i="1"/>
  <c r="AE17" i="1" s="1"/>
  <c r="I136" i="15"/>
  <c r="I138" i="22"/>
  <c r="AJ24" i="1"/>
  <c r="J24" i="4"/>
  <c r="H24" i="5"/>
  <c r="G150" i="12"/>
  <c r="AZ14" i="1"/>
  <c r="G148" i="14"/>
  <c r="G149" i="14" s="1"/>
  <c r="AS16" i="1"/>
  <c r="AC22" i="1"/>
  <c r="AE22" i="1" s="1"/>
  <c r="I136" i="20"/>
  <c r="AR18" i="1"/>
  <c r="G152" i="16"/>
  <c r="G153" i="16" s="1"/>
  <c r="G150" i="18"/>
  <c r="G151" i="18" s="1"/>
  <c r="AZ20" i="1"/>
  <c r="AH15" i="1"/>
  <c r="I136" i="13"/>
  <c r="AD10" i="1"/>
  <c r="BB13" i="1"/>
  <c r="G152" i="11"/>
  <c r="G153" i="11" s="1"/>
  <c r="AS13" i="1"/>
  <c r="G148" i="11"/>
  <c r="G149" i="11" s="1"/>
  <c r="AI27" i="1"/>
  <c r="AI28" i="1"/>
  <c r="I12" i="1"/>
  <c r="E10" i="47" s="1"/>
  <c r="BA20" i="1"/>
  <c r="AR23" i="1"/>
  <c r="G152" i="21"/>
  <c r="G153" i="21" s="1"/>
  <c r="AJ23" i="1"/>
  <c r="I138" i="21"/>
  <c r="AS26" i="1"/>
  <c r="G148" i="24"/>
  <c r="G149" i="24" s="1"/>
  <c r="AQ28" i="1"/>
  <c r="G142" i="40"/>
  <c r="G143" i="40" s="1"/>
  <c r="X13" i="1"/>
  <c r="AV27" i="1"/>
  <c r="G144" i="14"/>
  <c r="G145" i="14" s="1"/>
  <c r="G146" i="20"/>
  <c r="G147" i="20" s="1"/>
  <c r="G13" i="13"/>
  <c r="AB36" i="1"/>
  <c r="AR31" i="1"/>
  <c r="G59" i="17"/>
  <c r="AM27" i="1"/>
  <c r="AO27" i="1" s="1"/>
  <c r="I22" i="1"/>
  <c r="E20" i="47" s="1"/>
  <c r="G59" i="23"/>
  <c r="O59" i="23" s="1"/>
  <c r="BD4" i="1"/>
  <c r="I138" i="18"/>
  <c r="G101" i="20"/>
  <c r="G148" i="22"/>
  <c r="G149" i="22" s="1"/>
  <c r="G146" i="23"/>
  <c r="H140" i="2"/>
  <c r="H140" i="3" s="1"/>
  <c r="J140" i="3" s="1"/>
  <c r="G142" i="13"/>
  <c r="V20" i="1"/>
  <c r="G152" i="23"/>
  <c r="G101" i="8"/>
  <c r="I138" i="9"/>
  <c r="I138" i="11"/>
  <c r="I25" i="1"/>
  <c r="E23" i="47" s="1"/>
  <c r="G142" i="24"/>
  <c r="G143" i="24" s="1"/>
  <c r="I133" i="40"/>
  <c r="G148" i="15"/>
  <c r="G149" i="15" s="1"/>
  <c r="BB30" i="1"/>
  <c r="AL36" i="1"/>
  <c r="V12" i="1"/>
  <c r="BA11" i="1"/>
  <c r="I133" i="13"/>
  <c r="G150" i="14"/>
  <c r="G151" i="14" s="1"/>
  <c r="I133" i="14"/>
  <c r="G13" i="19"/>
  <c r="I133" i="20"/>
  <c r="I133" i="28"/>
  <c r="G94" i="29"/>
  <c r="G85" i="12"/>
  <c r="M12" i="1"/>
  <c r="AX12" i="1"/>
  <c r="AQ19" i="1"/>
  <c r="G142" i="17"/>
  <c r="G143" i="17" s="1"/>
  <c r="AC23" i="1"/>
  <c r="AE23" i="1" s="1"/>
  <c r="I136" i="21"/>
  <c r="BI29" i="1"/>
  <c r="G150" i="27"/>
  <c r="G151" i="27" s="1"/>
  <c r="AD12" i="1"/>
  <c r="AE12" i="1" s="1"/>
  <c r="AJ4" i="1"/>
  <c r="H138" i="2"/>
  <c r="H138" i="3" s="1"/>
  <c r="AC20" i="1"/>
  <c r="I30" i="1"/>
  <c r="E28" i="47" s="1"/>
  <c r="AT10" i="1"/>
  <c r="G146" i="8"/>
  <c r="G147" i="8" s="1"/>
  <c r="G144" i="27"/>
  <c r="G145" i="27" s="1"/>
  <c r="AV29" i="1"/>
  <c r="AV30" i="1"/>
  <c r="G144" i="28"/>
  <c r="G145" i="28" s="1"/>
  <c r="BG15" i="1"/>
  <c r="G144" i="13"/>
  <c r="W15" i="1"/>
  <c r="G101" i="13"/>
  <c r="AQ23" i="1"/>
  <c r="G142" i="21"/>
  <c r="G143" i="21" s="1"/>
  <c r="BF23" i="1"/>
  <c r="G144" i="21"/>
  <c r="G145" i="21" s="1"/>
  <c r="AT26" i="1"/>
  <c r="G146" i="24"/>
  <c r="G147" i="24" s="1"/>
  <c r="BD30" i="1"/>
  <c r="G146" i="28"/>
  <c r="G147" i="28" s="1"/>
  <c r="AI31" i="1"/>
  <c r="I138" i="29"/>
  <c r="M12" i="35"/>
  <c r="O12" i="35" s="1"/>
  <c r="G150" i="17"/>
  <c r="G151" i="17" s="1"/>
  <c r="I7" i="1"/>
  <c r="E5" i="47" s="1"/>
  <c r="G150" i="8"/>
  <c r="G151" i="8" s="1"/>
  <c r="AZ10" i="1"/>
  <c r="AT29" i="1"/>
  <c r="G146" i="27"/>
  <c r="G147" i="27" s="1"/>
  <c r="AS4" i="1"/>
  <c r="G59" i="40"/>
  <c r="G85" i="28"/>
  <c r="BC18" i="1"/>
  <c r="AZ22" i="1"/>
  <c r="V27" i="1"/>
  <c r="I133" i="12"/>
  <c r="G101" i="16"/>
  <c r="G13" i="18"/>
  <c r="I13" i="18" s="1"/>
  <c r="G94" i="19"/>
  <c r="G94" i="22"/>
  <c r="G94" i="24"/>
  <c r="AE26" i="1"/>
  <c r="G85" i="22"/>
  <c r="G59" i="8"/>
  <c r="G146" i="12"/>
  <c r="O8" i="35"/>
  <c r="V10" i="1"/>
  <c r="F36" i="1"/>
  <c r="V5" i="1"/>
  <c r="AE11" i="1"/>
  <c r="G20" i="12"/>
  <c r="P20" i="12" s="1"/>
  <c r="G150" i="15"/>
  <c r="G151" i="15" s="1"/>
  <c r="I133" i="15"/>
  <c r="G13" i="20"/>
  <c r="I13" i="20" s="1"/>
  <c r="I138" i="20"/>
  <c r="AO28" i="1"/>
  <c r="V24" i="1"/>
  <c r="V15" i="1"/>
  <c r="V22" i="1"/>
  <c r="I133" i="24"/>
  <c r="G152" i="7"/>
  <c r="G153" i="7" s="1"/>
  <c r="AO16" i="1"/>
  <c r="G47" i="16"/>
  <c r="I133" i="16"/>
  <c r="AE19" i="1"/>
  <c r="G101" i="22"/>
  <c r="G13" i="23"/>
  <c r="G109" i="42"/>
  <c r="G110" i="42" s="1"/>
  <c r="I13" i="9"/>
  <c r="G142" i="14"/>
  <c r="G143" i="14" s="1"/>
  <c r="G94" i="14"/>
  <c r="G13" i="15"/>
  <c r="I13" i="15" s="1"/>
  <c r="AM36" i="1"/>
  <c r="G20" i="16"/>
  <c r="P18" i="1" s="1"/>
  <c r="I16" i="47" s="1"/>
  <c r="G85" i="20"/>
  <c r="G148" i="23"/>
  <c r="N36" i="1"/>
  <c r="G85" i="14"/>
  <c r="I138" i="13"/>
  <c r="G144" i="17"/>
  <c r="G145" i="17" s="1"/>
  <c r="G47" i="27"/>
  <c r="G13" i="11"/>
  <c r="AD36" i="1"/>
  <c r="I138" i="15"/>
  <c r="G20" i="28"/>
  <c r="G146" i="7"/>
  <c r="G147" i="7" s="1"/>
  <c r="G142" i="7"/>
  <c r="G143" i="7" s="1"/>
  <c r="G94" i="33"/>
  <c r="M9" i="1"/>
  <c r="G94" i="7"/>
  <c r="BB9" i="1"/>
  <c r="AI9" i="1"/>
  <c r="M9" i="35"/>
  <c r="O9" i="35" s="1"/>
  <c r="G85" i="7"/>
  <c r="G47" i="7"/>
  <c r="AQ9" i="1"/>
  <c r="G148" i="7"/>
  <c r="G149" i="7" s="1"/>
  <c r="G13" i="7"/>
  <c r="I13" i="7" s="1"/>
  <c r="AC8" i="1"/>
  <c r="AE8" i="1" s="1"/>
  <c r="I133" i="33"/>
  <c r="G101" i="33"/>
  <c r="G85" i="33"/>
  <c r="G150" i="33"/>
  <c r="AT8" i="1"/>
  <c r="G146" i="33"/>
  <c r="M8" i="1"/>
  <c r="G13" i="33"/>
  <c r="AS12" i="1"/>
  <c r="T36" i="1"/>
  <c r="V17" i="1"/>
  <c r="G101" i="7"/>
  <c r="X9" i="1"/>
  <c r="G142" i="9"/>
  <c r="G143" i="9" s="1"/>
  <c r="AQ11" i="1"/>
  <c r="X11" i="1"/>
  <c r="G101" i="9"/>
  <c r="AR17" i="1"/>
  <c r="G152" i="15"/>
  <c r="G153" i="15" s="1"/>
  <c r="W12" i="1"/>
  <c r="E14" i="35"/>
  <c r="G14" i="35" s="1"/>
  <c r="W14" i="1"/>
  <c r="BI15" i="1"/>
  <c r="G59" i="13"/>
  <c r="AZ25" i="1"/>
  <c r="G150" i="23"/>
  <c r="W26" i="1"/>
  <c r="G101" i="24"/>
  <c r="BE28" i="1"/>
  <c r="BE27" i="1"/>
  <c r="W27" i="1"/>
  <c r="Z27" i="1" s="1"/>
  <c r="W28" i="1"/>
  <c r="G101" i="40"/>
  <c r="G148" i="27"/>
  <c r="G149" i="27" s="1"/>
  <c r="BC29" i="1"/>
  <c r="AD30" i="1"/>
  <c r="AE30" i="1" s="1"/>
  <c r="I136" i="28"/>
  <c r="Y19" i="1"/>
  <c r="G101" i="17"/>
  <c r="G148" i="12"/>
  <c r="BC14" i="1"/>
  <c r="AT24" i="1"/>
  <c r="G47" i="22"/>
  <c r="L47" i="22" s="1"/>
  <c r="AX27" i="1"/>
  <c r="Y16" i="1"/>
  <c r="G101" i="14"/>
  <c r="AJ16" i="1"/>
  <c r="I138" i="14"/>
  <c r="AQ18" i="1"/>
  <c r="G142" i="16"/>
  <c r="G143" i="16" s="1"/>
  <c r="L18" i="35"/>
  <c r="G85" i="16"/>
  <c r="G47" i="15"/>
  <c r="G59" i="24"/>
  <c r="G47" i="13"/>
  <c r="I133" i="17"/>
  <c r="V19" i="1"/>
  <c r="I133" i="9"/>
  <c r="G85" i="21"/>
  <c r="AE27" i="1"/>
  <c r="AE28" i="1"/>
  <c r="G85" i="27"/>
  <c r="G47" i="40"/>
  <c r="G146" i="15"/>
  <c r="G147" i="15" s="1"/>
  <c r="G144" i="16"/>
  <c r="G145" i="16" s="1"/>
  <c r="I136" i="24"/>
  <c r="G101" i="18"/>
  <c r="G144" i="33"/>
  <c r="AZ9" i="1"/>
  <c r="G146" i="9"/>
  <c r="G147" i="9" s="1"/>
  <c r="M13" i="1"/>
  <c r="G101" i="12"/>
  <c r="P101" i="12" s="1"/>
  <c r="G150" i="13"/>
  <c r="BB15" i="1"/>
  <c r="G59" i="14"/>
  <c r="G101" i="23"/>
  <c r="O101" i="23" s="1"/>
  <c r="K8" i="35"/>
  <c r="V16" i="1"/>
  <c r="G144" i="7"/>
  <c r="G145" i="7" s="1"/>
  <c r="G13" i="16"/>
  <c r="G47" i="23"/>
  <c r="O47" i="23" s="1"/>
  <c r="I136" i="23"/>
  <c r="H23" i="3"/>
  <c r="J23" i="2"/>
  <c r="H68" i="2"/>
  <c r="H4" i="35"/>
  <c r="AR11" i="1"/>
  <c r="G152" i="9"/>
  <c r="G153" i="9" s="1"/>
  <c r="I17" i="1"/>
  <c r="E15" i="47" s="1"/>
  <c r="AQ21" i="1"/>
  <c r="BC21" i="1"/>
  <c r="G148" i="19"/>
  <c r="AS28" i="1"/>
  <c r="G148" i="40"/>
  <c r="G149" i="40" s="1"/>
  <c r="AV11" i="1"/>
  <c r="BJ11" i="1" s="1"/>
  <c r="G144" i="9"/>
  <c r="G145" i="9" s="1"/>
  <c r="AQ14" i="1"/>
  <c r="G142" i="12"/>
  <c r="G47" i="12"/>
  <c r="M16" i="1"/>
  <c r="G59" i="16"/>
  <c r="BA18" i="1"/>
  <c r="BA36" i="1" s="1"/>
  <c r="AW25" i="1"/>
  <c r="G144" i="23"/>
  <c r="AH28" i="1"/>
  <c r="AH27" i="1"/>
  <c r="AR8" i="1"/>
  <c r="G152" i="33"/>
  <c r="BD12" i="1"/>
  <c r="I16" i="1"/>
  <c r="E14" i="47" s="1"/>
  <c r="AC18" i="1"/>
  <c r="I136" i="16"/>
  <c r="AS20" i="1"/>
  <c r="G148" i="18"/>
  <c r="G149" i="18" s="1"/>
  <c r="AR22" i="1"/>
  <c r="G152" i="20"/>
  <c r="G153" i="20" s="1"/>
  <c r="I23" i="1"/>
  <c r="E21" i="47" s="1"/>
  <c r="AT13" i="1"/>
  <c r="G47" i="11"/>
  <c r="G146" i="11"/>
  <c r="G147" i="11" s="1"/>
  <c r="G47" i="24"/>
  <c r="I136" i="9"/>
  <c r="G150" i="7"/>
  <c r="G151" i="7" s="1"/>
  <c r="G59" i="21"/>
  <c r="L59" i="21" s="1"/>
  <c r="G85" i="24"/>
  <c r="G47" i="9"/>
  <c r="G144" i="19"/>
  <c r="G59" i="7"/>
  <c r="G59" i="33"/>
  <c r="AC24" i="1"/>
  <c r="AE24" i="1" s="1"/>
  <c r="V23" i="1"/>
  <c r="AL26" i="1"/>
  <c r="G85" i="18"/>
  <c r="G47" i="17"/>
  <c r="G144" i="11"/>
  <c r="G145" i="11" s="1"/>
  <c r="J70" i="12"/>
  <c r="H70" i="13"/>
  <c r="G142" i="33"/>
  <c r="G144" i="24"/>
  <c r="G145" i="24" s="1"/>
  <c r="I136" i="12"/>
  <c r="G47" i="21"/>
  <c r="L47" i="21" s="1"/>
  <c r="G47" i="14"/>
  <c r="G47" i="33"/>
  <c r="G148" i="33"/>
  <c r="G148" i="8"/>
  <c r="G149" i="8" s="1"/>
  <c r="G144" i="12"/>
  <c r="I136" i="14"/>
  <c r="G142" i="20"/>
  <c r="G143" i="20" s="1"/>
  <c r="G59" i="22"/>
  <c r="L59" i="22" s="1"/>
  <c r="I136" i="29"/>
  <c r="G152" i="17"/>
  <c r="G153" i="17" s="1"/>
  <c r="AV9" i="1"/>
  <c r="BJ9" i="1" s="1"/>
  <c r="AR12" i="1"/>
  <c r="AQ16" i="1"/>
  <c r="BI16" i="1"/>
  <c r="BI17" i="1"/>
  <c r="W17" i="1"/>
  <c r="I19" i="1"/>
  <c r="E17" i="47" s="1"/>
  <c r="G47" i="8"/>
  <c r="G142" i="15"/>
  <c r="G143" i="15" s="1"/>
  <c r="G101" i="15"/>
  <c r="G150" i="22"/>
  <c r="G151" i="22" s="1"/>
  <c r="G101" i="21"/>
  <c r="G59" i="11"/>
  <c r="I14" i="1"/>
  <c r="E12" i="47" s="1"/>
  <c r="G101" i="27"/>
  <c r="H57" i="2"/>
  <c r="H57" i="3" s="1"/>
  <c r="J57" i="3" s="1"/>
  <c r="G148" i="29"/>
  <c r="G94" i="5"/>
  <c r="I119" i="42"/>
  <c r="G142" i="30"/>
  <c r="G20" i="4"/>
  <c r="G13" i="42"/>
  <c r="I13" i="42" s="1"/>
  <c r="G113" i="42"/>
  <c r="G114" i="42" s="1"/>
  <c r="G13" i="3"/>
  <c r="I13" i="3" s="1"/>
  <c r="G20" i="5"/>
  <c r="G88" i="42"/>
  <c r="I133" i="43"/>
  <c r="AI7" i="1"/>
  <c r="AD7" i="1"/>
  <c r="AB7" i="1"/>
  <c r="E7" i="35"/>
  <c r="G7" i="35" s="1"/>
  <c r="W7" i="1"/>
  <c r="G101" i="5"/>
  <c r="M6" i="35"/>
  <c r="O6" i="35" s="1"/>
  <c r="G85" i="5"/>
  <c r="G148" i="5"/>
  <c r="G149" i="5" s="1"/>
  <c r="G152" i="5"/>
  <c r="G153" i="5" s="1"/>
  <c r="BB7" i="1"/>
  <c r="G59" i="5"/>
  <c r="G142" i="5"/>
  <c r="G143" i="5" s="1"/>
  <c r="BA7" i="1"/>
  <c r="AV7" i="1"/>
  <c r="G144" i="5"/>
  <c r="G145" i="5" s="1"/>
  <c r="G146" i="5"/>
  <c r="G147" i="5" s="1"/>
  <c r="AT7" i="1"/>
  <c r="G150" i="5"/>
  <c r="G151" i="5" s="1"/>
  <c r="AZ7" i="1"/>
  <c r="M7" i="1"/>
  <c r="G13" i="5"/>
  <c r="W6" i="1"/>
  <c r="E6" i="35"/>
  <c r="G6" i="35" s="1"/>
  <c r="G101" i="4"/>
  <c r="G94" i="4"/>
  <c r="BK7" i="1"/>
  <c r="BK6" i="1"/>
  <c r="M7" i="35"/>
  <c r="O7" i="35" s="1"/>
  <c r="G85" i="4"/>
  <c r="AI6" i="1"/>
  <c r="AC6" i="1"/>
  <c r="AA6" i="1"/>
  <c r="BC6" i="1"/>
  <c r="G148" i="4"/>
  <c r="G149" i="4" s="1"/>
  <c r="G152" i="4"/>
  <c r="G153" i="4" s="1"/>
  <c r="G59" i="4"/>
  <c r="BA6" i="1"/>
  <c r="G142" i="4"/>
  <c r="G143" i="4" s="1"/>
  <c r="AX6" i="1"/>
  <c r="AV6" i="1"/>
  <c r="AT6" i="1"/>
  <c r="G146" i="4"/>
  <c r="G147" i="4" s="1"/>
  <c r="G150" i="4"/>
  <c r="G151" i="4" s="1"/>
  <c r="AZ6" i="1"/>
  <c r="M6" i="1"/>
  <c r="G13" i="4"/>
  <c r="I13" i="4" s="1"/>
  <c r="I6" i="1"/>
  <c r="E4" i="47" s="1"/>
  <c r="W5" i="1"/>
  <c r="E5" i="35"/>
  <c r="G5" i="35" s="1"/>
  <c r="G101" i="3"/>
  <c r="G94" i="3"/>
  <c r="H94" i="3" s="1"/>
  <c r="AI5" i="1"/>
  <c r="AC5" i="1"/>
  <c r="H133" i="2"/>
  <c r="H133" i="3" s="1"/>
  <c r="H133" i="4" s="1"/>
  <c r="AA5" i="1"/>
  <c r="M5" i="35"/>
  <c r="O5" i="35" s="1"/>
  <c r="G85" i="3"/>
  <c r="G148" i="3"/>
  <c r="G149" i="3" s="1"/>
  <c r="BC5" i="1"/>
  <c r="G152" i="2"/>
  <c r="BB4" i="1"/>
  <c r="G59" i="3"/>
  <c r="AX5" i="1"/>
  <c r="G142" i="3"/>
  <c r="G143" i="3" s="1"/>
  <c r="G144" i="3"/>
  <c r="G145" i="3" s="1"/>
  <c r="AV5" i="1"/>
  <c r="BJ5" i="1" s="1"/>
  <c r="AT5" i="1"/>
  <c r="G146" i="3"/>
  <c r="G147" i="3" s="1"/>
  <c r="G150" i="3"/>
  <c r="G151" i="3" s="1"/>
  <c r="G47" i="3"/>
  <c r="AZ5" i="1"/>
  <c r="I5" i="1"/>
  <c r="E3" i="47" s="1"/>
  <c r="H136" i="2"/>
  <c r="J136" i="2" s="1"/>
  <c r="H132" i="2"/>
  <c r="J132" i="2" s="1"/>
  <c r="H96" i="2"/>
  <c r="J96" i="2" s="1"/>
  <c r="H56" i="2"/>
  <c r="H45" i="3"/>
  <c r="H45" i="4" s="1"/>
  <c r="J45" i="2"/>
  <c r="J137" i="2"/>
  <c r="H137" i="3"/>
  <c r="J131" i="2"/>
  <c r="AI4" i="1"/>
  <c r="H123" i="2"/>
  <c r="J123" i="2" s="1"/>
  <c r="H50" i="2"/>
  <c r="BA4" i="1"/>
  <c r="H37" i="2"/>
  <c r="H43" i="2"/>
  <c r="H43" i="3" s="1"/>
  <c r="J43" i="3" s="1"/>
  <c r="H36" i="2"/>
  <c r="J36" i="2" s="1"/>
  <c r="G142" i="2"/>
  <c r="G150" i="2"/>
  <c r="H38" i="3"/>
  <c r="H44" i="2"/>
  <c r="AU4" i="1"/>
  <c r="AR4" i="1"/>
  <c r="G20" i="2"/>
  <c r="J9" i="2"/>
  <c r="H9" i="3"/>
  <c r="I140" i="2"/>
  <c r="AL4" i="1"/>
  <c r="H139" i="2"/>
  <c r="I138" i="2"/>
  <c r="AD4" i="1"/>
  <c r="AC4" i="1"/>
  <c r="I135" i="2"/>
  <c r="H134" i="2"/>
  <c r="Y4" i="1"/>
  <c r="G101" i="2"/>
  <c r="E4" i="35"/>
  <c r="G4" i="35" s="1"/>
  <c r="H95" i="2"/>
  <c r="G94" i="2"/>
  <c r="H93" i="2"/>
  <c r="BK4" i="1"/>
  <c r="H84" i="2"/>
  <c r="H82" i="3"/>
  <c r="M4" i="35"/>
  <c r="O4" i="35" s="1"/>
  <c r="G85" i="2"/>
  <c r="H72" i="2"/>
  <c r="H69" i="2"/>
  <c r="H55" i="2"/>
  <c r="BF4" i="1"/>
  <c r="BE4" i="1"/>
  <c r="H54" i="2"/>
  <c r="H53" i="3"/>
  <c r="J53" i="2"/>
  <c r="G59" i="2"/>
  <c r="G148" i="2"/>
  <c r="BC4" i="1"/>
  <c r="H42" i="2"/>
  <c r="AW4" i="1"/>
  <c r="G144" i="2"/>
  <c r="AV4" i="1"/>
  <c r="H41" i="2"/>
  <c r="J39" i="2"/>
  <c r="H39" i="3"/>
  <c r="G47" i="2"/>
  <c r="G146" i="2"/>
  <c r="H15" i="2"/>
  <c r="H7" i="2"/>
  <c r="J7" i="2" s="1"/>
  <c r="I4" i="1"/>
  <c r="I136" i="43"/>
  <c r="G142" i="43"/>
  <c r="G150" i="43"/>
  <c r="I138" i="43"/>
  <c r="I124" i="42"/>
  <c r="I122" i="42"/>
  <c r="G95" i="42"/>
  <c r="G94" i="43"/>
  <c r="G84" i="42"/>
  <c r="G85" i="43"/>
  <c r="G144" i="43"/>
  <c r="G107" i="42"/>
  <c r="G108" i="42" s="1"/>
  <c r="G58" i="42"/>
  <c r="G103" i="42"/>
  <c r="G104" i="42" s="1"/>
  <c r="G59" i="43"/>
  <c r="G105" i="42"/>
  <c r="G106" i="42" s="1"/>
  <c r="G47" i="43"/>
  <c r="G146" i="43"/>
  <c r="G111" i="42"/>
  <c r="G112" i="42" s="1"/>
  <c r="G46" i="42"/>
  <c r="G13" i="43"/>
  <c r="E27" i="42"/>
  <c r="G27" i="42" s="1"/>
  <c r="Y32" i="1"/>
  <c r="BK31" i="1"/>
  <c r="AP31" i="1"/>
  <c r="G101" i="29"/>
  <c r="X32" i="1"/>
  <c r="G101" i="30"/>
  <c r="W32" i="1"/>
  <c r="G94" i="30"/>
  <c r="G85" i="29"/>
  <c r="G85" i="30"/>
  <c r="G20" i="30"/>
  <c r="G20" i="29"/>
  <c r="P31" i="1" s="1"/>
  <c r="I29" i="47" s="1"/>
  <c r="AM32" i="1"/>
  <c r="AJ32" i="1"/>
  <c r="I138" i="30"/>
  <c r="AI32" i="1"/>
  <c r="AH32" i="1"/>
  <c r="AD32" i="1"/>
  <c r="I133" i="29"/>
  <c r="AE31" i="1"/>
  <c r="AA32" i="1"/>
  <c r="I133" i="30"/>
  <c r="I136" i="30"/>
  <c r="BF32" i="1"/>
  <c r="BE32" i="1"/>
  <c r="BD32" i="1"/>
  <c r="BC31" i="1"/>
  <c r="G152" i="30"/>
  <c r="BI32" i="1"/>
  <c r="G59" i="30"/>
  <c r="G59" i="29"/>
  <c r="G142" i="29"/>
  <c r="BA32" i="1"/>
  <c r="AX32" i="1"/>
  <c r="G144" i="29"/>
  <c r="AV32" i="1"/>
  <c r="G144" i="30"/>
  <c r="AU32" i="1"/>
  <c r="G146" i="30"/>
  <c r="AT31" i="1"/>
  <c r="AZ32" i="1"/>
  <c r="G47" i="30"/>
  <c r="G150" i="30"/>
  <c r="G47" i="29"/>
  <c r="G13" i="29"/>
  <c r="G13" i="30"/>
  <c r="I32" i="1"/>
  <c r="E30" i="47" s="1"/>
  <c r="H92" i="3" l="1"/>
  <c r="H7" i="35"/>
  <c r="J116" i="19"/>
  <c r="H116" i="20"/>
  <c r="J110" i="19"/>
  <c r="H110" i="20"/>
  <c r="J107" i="19"/>
  <c r="H107" i="20"/>
  <c r="J111" i="19"/>
  <c r="H111" i="20"/>
  <c r="E29" i="9"/>
  <c r="G29" i="9" s="1"/>
  <c r="T11" i="1"/>
  <c r="V11" i="1" s="1"/>
  <c r="J115" i="19"/>
  <c r="H115" i="20"/>
  <c r="J119" i="20"/>
  <c r="H119" i="20"/>
  <c r="J106" i="19"/>
  <c r="H106" i="20"/>
  <c r="J120" i="19"/>
  <c r="H120" i="20"/>
  <c r="G151" i="33"/>
  <c r="I136" i="17"/>
  <c r="J119" i="21"/>
  <c r="H119" i="21"/>
  <c r="J117" i="19"/>
  <c r="H117" i="20"/>
  <c r="J104" i="19"/>
  <c r="H104" i="20"/>
  <c r="H119" i="22"/>
  <c r="J119" i="22" s="1"/>
  <c r="J118" i="20"/>
  <c r="H118" i="20"/>
  <c r="H118" i="21" s="1"/>
  <c r="J109" i="19"/>
  <c r="H109" i="20"/>
  <c r="J112" i="19"/>
  <c r="H112" i="20"/>
  <c r="J105" i="19"/>
  <c r="H105" i="20"/>
  <c r="AJ21" i="1"/>
  <c r="AJ35" i="1" s="1"/>
  <c r="I13" i="33"/>
  <c r="G142" i="19"/>
  <c r="G143" i="19" s="1"/>
  <c r="T29" i="45"/>
  <c r="T30" i="45" s="1"/>
  <c r="BJ14" i="1"/>
  <c r="M30" i="45"/>
  <c r="G143" i="33"/>
  <c r="G145" i="33"/>
  <c r="I8" i="1"/>
  <c r="E6" i="47" s="1"/>
  <c r="G149" i="33"/>
  <c r="G153" i="33"/>
  <c r="G147" i="33"/>
  <c r="I6" i="35"/>
  <c r="K6" i="35" s="1"/>
  <c r="H6" i="35"/>
  <c r="H63" i="3"/>
  <c r="H63" i="4" s="1"/>
  <c r="J76" i="2"/>
  <c r="J49" i="2"/>
  <c r="J58" i="2"/>
  <c r="I138" i="19"/>
  <c r="I133" i="18"/>
  <c r="H68" i="3"/>
  <c r="H68" i="4" s="1"/>
  <c r="H68" i="5" s="1"/>
  <c r="AO7" i="1"/>
  <c r="AH19" i="1"/>
  <c r="AH35" i="1" s="1"/>
  <c r="H5" i="35"/>
  <c r="AB35" i="1"/>
  <c r="L28" i="1"/>
  <c r="H119" i="3"/>
  <c r="J119" i="3" s="1"/>
  <c r="G172" i="12"/>
  <c r="H118" i="4"/>
  <c r="H118" i="5" s="1"/>
  <c r="AK23" i="1"/>
  <c r="H17" i="35"/>
  <c r="K17" i="35" s="1"/>
  <c r="L29" i="45"/>
  <c r="L30" i="45" s="1"/>
  <c r="BB35" i="1"/>
  <c r="F37" i="1"/>
  <c r="H51" i="3"/>
  <c r="H51" i="4" s="1"/>
  <c r="G31" i="2"/>
  <c r="H31" i="2" s="1"/>
  <c r="N31" i="31"/>
  <c r="H10" i="3"/>
  <c r="J10" i="3" s="1"/>
  <c r="AO25" i="1"/>
  <c r="AO8" i="1"/>
  <c r="AV35" i="1"/>
  <c r="BF35" i="1"/>
  <c r="AL35" i="1"/>
  <c r="E2" i="47"/>
  <c r="BE35" i="1"/>
  <c r="AU35" i="1"/>
  <c r="BA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A35" i="1"/>
  <c r="AY35" i="1"/>
  <c r="AZ35" i="1"/>
  <c r="BI35" i="1"/>
  <c r="O8" i="1"/>
  <c r="G6" i="47"/>
  <c r="O22" i="1"/>
  <c r="G20" i="47"/>
  <c r="O20" i="1"/>
  <c r="G18" i="47"/>
  <c r="O13" i="1"/>
  <c r="G11" i="47"/>
  <c r="O12" i="1"/>
  <c r="G10" i="47"/>
  <c r="M10" i="47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i="45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i="47" s="1"/>
  <c r="O31" i="1"/>
  <c r="G29" i="47"/>
  <c r="R24" i="1"/>
  <c r="I22" i="47"/>
  <c r="O29" i="1"/>
  <c r="G27" i="47"/>
  <c r="O23" i="1"/>
  <c r="G21" i="47"/>
  <c r="N29" i="45"/>
  <c r="N30" i="45" s="1"/>
  <c r="O16" i="1"/>
  <c r="G14" i="47"/>
  <c r="O11" i="1"/>
  <c r="G9" i="47"/>
  <c r="O26" i="1"/>
  <c r="G24" i="47"/>
  <c r="I24" i="45"/>
  <c r="O9" i="1"/>
  <c r="G7" i="47"/>
  <c r="R17" i="1"/>
  <c r="I15" i="47"/>
  <c r="M15" i="47" s="1"/>
  <c r="O18" i="1"/>
  <c r="G16" i="47"/>
  <c r="M16" i="47" s="1"/>
  <c r="O30" i="1"/>
  <c r="G28" i="47"/>
  <c r="O19" i="1"/>
  <c r="G17" i="47"/>
  <c r="O25" i="1"/>
  <c r="G23" i="47"/>
  <c r="O21" i="1"/>
  <c r="G19" i="47"/>
  <c r="L20" i="1"/>
  <c r="E18" i="47"/>
  <c r="AS36" i="1"/>
  <c r="BJ16" i="1"/>
  <c r="H29" i="45"/>
  <c r="H30" i="45" s="1"/>
  <c r="BM28" i="1"/>
  <c r="BN28" i="1"/>
  <c r="H12" i="4"/>
  <c r="H12" i="5" s="1"/>
  <c r="I13" i="35"/>
  <c r="AO15" i="1"/>
  <c r="G32" i="17"/>
  <c r="I13" i="24"/>
  <c r="G32" i="22"/>
  <c r="G32" i="5"/>
  <c r="AE14" i="1"/>
  <c r="AO33" i="1"/>
  <c r="I136" i="19"/>
  <c r="I133" i="19"/>
  <c r="G47" i="20"/>
  <c r="G144" i="20"/>
  <c r="G145" i="20" s="1"/>
  <c r="BJ22" i="1"/>
  <c r="G59" i="19"/>
  <c r="G144" i="18"/>
  <c r="G145" i="18" s="1"/>
  <c r="I136" i="18"/>
  <c r="AW36" i="1"/>
  <c r="AJ36" i="1"/>
  <c r="Q29" i="45"/>
  <c r="Q30" i="45" s="1"/>
  <c r="R29" i="45"/>
  <c r="R30" i="45" s="1"/>
  <c r="BC36" i="1"/>
  <c r="Z16" i="44"/>
  <c r="Z15" i="44"/>
  <c r="Z14" i="1"/>
  <c r="G32" i="9"/>
  <c r="AO5" i="1"/>
  <c r="G47" i="4"/>
  <c r="G60" i="4" s="1"/>
  <c r="I59" i="4" s="1"/>
  <c r="G144" i="4"/>
  <c r="G145" i="4" s="1"/>
  <c r="J99" i="2"/>
  <c r="H77" i="3"/>
  <c r="H77" i="4" s="1"/>
  <c r="J77" i="4" s="1"/>
  <c r="BL4" i="1"/>
  <c r="J12" i="2"/>
  <c r="AE21" i="1"/>
  <c r="J106" i="43"/>
  <c r="H106" i="31"/>
  <c r="N106" i="31" s="1"/>
  <c r="J115" i="43"/>
  <c r="H115" i="31"/>
  <c r="N115" i="31" s="1"/>
  <c r="J110" i="43"/>
  <c r="H110" i="31"/>
  <c r="N110" i="31" s="1"/>
  <c r="J104" i="43"/>
  <c r="H104" i="31"/>
  <c r="N104" i="31" s="1"/>
  <c r="E24" i="45"/>
  <c r="E29" i="45"/>
  <c r="E30" i="45" s="1"/>
  <c r="W24" i="45"/>
  <c r="W29" i="45"/>
  <c r="W30" i="45" s="1"/>
  <c r="J119" i="43"/>
  <c r="H119" i="31"/>
  <c r="J119" i="31" s="1"/>
  <c r="J118" i="43"/>
  <c r="H118" i="31"/>
  <c r="J118" i="31" s="1"/>
  <c r="G31" i="18"/>
  <c r="G32" i="18" s="1"/>
  <c r="K31" i="18"/>
  <c r="L164" i="21"/>
  <c r="L172" i="21" s="1"/>
  <c r="G172" i="21"/>
  <c r="AE20" i="1"/>
  <c r="Z29" i="45"/>
  <c r="Z30" i="45" s="1"/>
  <c r="O29" i="45"/>
  <c r="O30" i="45" s="1"/>
  <c r="J116" i="43"/>
  <c r="H116" i="31"/>
  <c r="J116" i="31" s="1"/>
  <c r="J117" i="43"/>
  <c r="H117" i="31"/>
  <c r="N117" i="31" s="1"/>
  <c r="J111" i="43"/>
  <c r="H111" i="31"/>
  <c r="N111" i="31" s="1"/>
  <c r="J107" i="43"/>
  <c r="H107" i="31"/>
  <c r="N107" i="31" s="1"/>
  <c r="P24" i="45"/>
  <c r="P29" i="45"/>
  <c r="P30" i="45" s="1"/>
  <c r="S25" i="44"/>
  <c r="O62" i="23"/>
  <c r="J29" i="45"/>
  <c r="J30" i="45" s="1"/>
  <c r="K29" i="45"/>
  <c r="K30" i="45" s="1"/>
  <c r="T24" i="45"/>
  <c r="J112" i="43"/>
  <c r="H112" i="31"/>
  <c r="N112" i="31" s="1"/>
  <c r="J105" i="43"/>
  <c r="H105" i="31"/>
  <c r="N105" i="31" s="1"/>
  <c r="J109" i="43"/>
  <c r="H109" i="31"/>
  <c r="N109" i="31" s="1"/>
  <c r="V24" i="45"/>
  <c r="V29" i="45"/>
  <c r="V30" i="45" s="1"/>
  <c r="J120" i="43"/>
  <c r="H120" i="31"/>
  <c r="N120" i="31" s="1"/>
  <c r="S24" i="45"/>
  <c r="S29" i="45"/>
  <c r="S30" i="45" s="1"/>
  <c r="BP4" i="1"/>
  <c r="BN4" i="1"/>
  <c r="AO20" i="1"/>
  <c r="D29" i="45"/>
  <c r="D30" i="45" s="1"/>
  <c r="G29" i="45"/>
  <c r="G30" i="45" s="1"/>
  <c r="T25" i="44"/>
  <c r="O63" i="23"/>
  <c r="F29" i="45"/>
  <c r="F30" i="45" s="1"/>
  <c r="AM21" i="1"/>
  <c r="AO21" i="1" s="1"/>
  <c r="AG29" i="45"/>
  <c r="AG30" i="45" s="1"/>
  <c r="AE29" i="45"/>
  <c r="AE30" i="45" s="1"/>
  <c r="AF29" i="45"/>
  <c r="AF30" i="45" s="1"/>
  <c r="AD29" i="45"/>
  <c r="AD30" i="45" s="1"/>
  <c r="AC29" i="45"/>
  <c r="AC30" i="45" s="1"/>
  <c r="AB29" i="45"/>
  <c r="AB30" i="45" s="1"/>
  <c r="G172" i="24"/>
  <c r="AO26" i="1"/>
  <c r="Y29" i="45"/>
  <c r="Y30" i="45" s="1"/>
  <c r="AE25" i="1"/>
  <c r="X29" i="45"/>
  <c r="X30" i="45" s="1"/>
  <c r="H119" i="23"/>
  <c r="J119" i="23" s="1"/>
  <c r="O119" i="23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 i="23"/>
  <c r="O149" i="23" s="1"/>
  <c r="O148" i="23"/>
  <c r="G145" i="23"/>
  <c r="O145" i="23" s="1"/>
  <c r="O144" i="23"/>
  <c r="G147" i="23"/>
  <c r="O147" i="23" s="1"/>
  <c r="O146" i="23"/>
  <c r="G153" i="23"/>
  <c r="O153" i="23" s="1"/>
  <c r="O152" i="23"/>
  <c r="G151" i="23"/>
  <c r="O151" i="23" s="1"/>
  <c r="O150" i="23"/>
  <c r="G143" i="23"/>
  <c r="O143" i="23" s="1"/>
  <c r="O142" i="23"/>
  <c r="P25" i="1"/>
  <c r="R25" i="1" s="1"/>
  <c r="O20" i="23"/>
  <c r="H118" i="23"/>
  <c r="J118" i="23" s="1"/>
  <c r="O118" i="23"/>
  <c r="I13" i="23"/>
  <c r="O13" i="23"/>
  <c r="BJ24" i="1"/>
  <c r="AH4" i="44"/>
  <c r="Z21" i="1"/>
  <c r="Y36" i="1"/>
  <c r="G32" i="16"/>
  <c r="AO15" i="44"/>
  <c r="M24" i="45"/>
  <c r="I14" i="35"/>
  <c r="Z14" i="44"/>
  <c r="H13" i="35"/>
  <c r="K13" i="35" s="1"/>
  <c r="G32" i="8"/>
  <c r="G32" i="20"/>
  <c r="G60" i="5"/>
  <c r="I59" i="5" s="1"/>
  <c r="I13" i="5"/>
  <c r="AI36" i="1"/>
  <c r="AO4" i="1"/>
  <c r="Z7" i="1"/>
  <c r="H19" i="3"/>
  <c r="J19" i="3" s="1"/>
  <c r="N29" i="31"/>
  <c r="H144" i="2"/>
  <c r="J144" i="2" s="1"/>
  <c r="H148" i="2"/>
  <c r="H148" i="3" s="1"/>
  <c r="H20" i="2"/>
  <c r="J20" i="2" s="1"/>
  <c r="I20" i="2" s="1"/>
  <c r="J118" i="2"/>
  <c r="J119" i="2"/>
  <c r="J135" i="2"/>
  <c r="J130" i="2"/>
  <c r="G30" i="2"/>
  <c r="J52" i="2"/>
  <c r="H40" i="3"/>
  <c r="H40" i="4" s="1"/>
  <c r="H11" i="3"/>
  <c r="H11" i="4" s="1"/>
  <c r="H11" i="5" s="1"/>
  <c r="H59" i="2"/>
  <c r="H59" i="3" s="1"/>
  <c r="H59" i="4" s="1"/>
  <c r="H152" i="2"/>
  <c r="J152" i="2" s="1"/>
  <c r="H142" i="2"/>
  <c r="J142" i="2" s="1"/>
  <c r="H146" i="2"/>
  <c r="J146" i="2" s="1"/>
  <c r="H101" i="2"/>
  <c r="H101" i="3" s="1"/>
  <c r="H101" i="4" s="1"/>
  <c r="H150" i="2"/>
  <c r="J150" i="2" s="1"/>
  <c r="H80" i="3"/>
  <c r="H80" i="4" s="1"/>
  <c r="J80" i="4" s="1"/>
  <c r="J126" i="2"/>
  <c r="J111" i="31"/>
  <c r="G172" i="43"/>
  <c r="BJ33" i="1"/>
  <c r="AF33" i="1"/>
  <c r="BJ29" i="1"/>
  <c r="G172" i="28"/>
  <c r="G172" i="27"/>
  <c r="AM31" i="44"/>
  <c r="G172" i="40"/>
  <c r="G172" i="23"/>
  <c r="G172" i="22"/>
  <c r="U24" i="45"/>
  <c r="Z22" i="1"/>
  <c r="BJ21" i="1"/>
  <c r="G172" i="20"/>
  <c r="AM21" i="44"/>
  <c r="G172" i="19"/>
  <c r="Z20" i="1"/>
  <c r="G172" i="18"/>
  <c r="AK17" i="1"/>
  <c r="Z18" i="1"/>
  <c r="Z17" i="44"/>
  <c r="G172" i="15"/>
  <c r="O24" i="45"/>
  <c r="H16" i="35"/>
  <c r="K16" i="35" s="1"/>
  <c r="G172" i="13"/>
  <c r="G172" i="14"/>
  <c r="AE15" i="1"/>
  <c r="I15" i="35"/>
  <c r="H15" i="35"/>
  <c r="X15" i="44"/>
  <c r="H118" i="13"/>
  <c r="J118" i="13" s="1"/>
  <c r="G28" i="11"/>
  <c r="G30" i="11"/>
  <c r="G31" i="11"/>
  <c r="AM11" i="44"/>
  <c r="AK8" i="1"/>
  <c r="AM25" i="44"/>
  <c r="AM20" i="44"/>
  <c r="R24" i="45"/>
  <c r="AH36" i="1"/>
  <c r="G32" i="4"/>
  <c r="AK26" i="1"/>
  <c r="AF24" i="45"/>
  <c r="AM32" i="44"/>
  <c r="M5" i="1"/>
  <c r="M35" i="1" s="1"/>
  <c r="H15" i="3"/>
  <c r="H15" i="4" s="1"/>
  <c r="H85" i="2"/>
  <c r="J85" i="2" s="1"/>
  <c r="BJ6" i="1"/>
  <c r="H97" i="3"/>
  <c r="H97" i="4" s="1"/>
  <c r="J66" i="2"/>
  <c r="J73" i="2"/>
  <c r="J127" i="2"/>
  <c r="G149" i="30"/>
  <c r="H119" i="30"/>
  <c r="J119" i="30" s="1"/>
  <c r="G32" i="7"/>
  <c r="H67" i="3"/>
  <c r="J67" i="3" s="1"/>
  <c r="G101" i="43"/>
  <c r="H100" i="3"/>
  <c r="H100" i="4" s="1"/>
  <c r="H18" i="3"/>
  <c r="J18" i="3" s="1"/>
  <c r="Z6" i="1"/>
  <c r="BJ18" i="1"/>
  <c r="G32" i="13"/>
  <c r="Y24" i="45"/>
  <c r="G32" i="29"/>
  <c r="G143" i="30"/>
  <c r="H118" i="30"/>
  <c r="J118" i="30" s="1"/>
  <c r="J63" i="2"/>
  <c r="G32" i="40"/>
  <c r="I13" i="30"/>
  <c r="G145" i="30"/>
  <c r="G60" i="30"/>
  <c r="G32" i="23"/>
  <c r="O32" i="23" s="1"/>
  <c r="G32" i="24"/>
  <c r="G146" i="19"/>
  <c r="G147" i="19" s="1"/>
  <c r="G146" i="18"/>
  <c r="G147" i="18" s="1"/>
  <c r="X36" i="1"/>
  <c r="AK20" i="1"/>
  <c r="Q24" i="45"/>
  <c r="G153" i="13"/>
  <c r="H119" i="13"/>
  <c r="J119" i="13" s="1"/>
  <c r="E28" i="3"/>
  <c r="G28" i="3" s="1"/>
  <c r="G32" i="3" s="1"/>
  <c r="Z5" i="1"/>
  <c r="K11" i="35"/>
  <c r="AB5" i="44"/>
  <c r="AH5" i="44" s="1"/>
  <c r="AM4" i="44"/>
  <c r="G32" i="21"/>
  <c r="AK18" i="1"/>
  <c r="Z17" i="1"/>
  <c r="AM17" i="44"/>
  <c r="AM16" i="44"/>
  <c r="G143" i="12"/>
  <c r="P143" i="12" s="1"/>
  <c r="P142" i="12"/>
  <c r="G149" i="12"/>
  <c r="P149" i="12" s="1"/>
  <c r="P148" i="12"/>
  <c r="AK11" i="1"/>
  <c r="P47" i="12"/>
  <c r="G60" i="12"/>
  <c r="I60" i="12" s="1"/>
  <c r="P85" i="12"/>
  <c r="G151" i="12"/>
  <c r="P151" i="12" s="1"/>
  <c r="P150" i="12"/>
  <c r="H118" i="12"/>
  <c r="J118" i="12" s="1"/>
  <c r="P118" i="12"/>
  <c r="H119" i="12"/>
  <c r="J119" i="12" s="1"/>
  <c r="P119" i="12"/>
  <c r="W14" i="44"/>
  <c r="P66" i="12"/>
  <c r="Y14" i="44"/>
  <c r="P68" i="12"/>
  <c r="X14" i="44"/>
  <c r="P67" i="12"/>
  <c r="G145" i="12"/>
  <c r="P145" i="12" s="1"/>
  <c r="P144" i="12"/>
  <c r="G147" i="12"/>
  <c r="P147" i="12" s="1"/>
  <c r="P146" i="12"/>
  <c r="V14" i="44"/>
  <c r="P65" i="12"/>
  <c r="U14" i="44"/>
  <c r="P64" i="12"/>
  <c r="P63" i="12"/>
  <c r="G153" i="12"/>
  <c r="P153" i="12" s="1"/>
  <c r="P152" i="12"/>
  <c r="P62" i="12"/>
  <c r="G60" i="11"/>
  <c r="I60" i="11" s="1"/>
  <c r="Z24" i="45"/>
  <c r="G32" i="33"/>
  <c r="G32" i="14"/>
  <c r="P13" i="12"/>
  <c r="AK15" i="1"/>
  <c r="AM15" i="44"/>
  <c r="N24" i="45"/>
  <c r="AK14" i="1"/>
  <c r="G32" i="12"/>
  <c r="P32" i="12" s="1"/>
  <c r="AK13" i="1"/>
  <c r="BN13" i="1"/>
  <c r="L13" i="1"/>
  <c r="BM13" i="1"/>
  <c r="AK12" i="1"/>
  <c r="Z12" i="1"/>
  <c r="AH11" i="44"/>
  <c r="L24" i="45"/>
  <c r="AK9" i="1"/>
  <c r="J24" i="45"/>
  <c r="H24" i="45"/>
  <c r="AK22" i="1"/>
  <c r="G32" i="15"/>
  <c r="X24" i="45"/>
  <c r="AM10" i="44"/>
  <c r="G32" i="19"/>
  <c r="AH7" i="44"/>
  <c r="AM8" i="44"/>
  <c r="I15" i="1"/>
  <c r="H14" i="35"/>
  <c r="G32" i="27"/>
  <c r="Z29" i="1"/>
  <c r="AK29" i="1"/>
  <c r="G32" i="28"/>
  <c r="AG24" i="45"/>
  <c r="AM24" i="44"/>
  <c r="AM22" i="44"/>
  <c r="AM18" i="44"/>
  <c r="Z9" i="1"/>
  <c r="Z15" i="1"/>
  <c r="Z10" i="1"/>
  <c r="L18" i="1"/>
  <c r="AE24" i="45"/>
  <c r="AM19" i="44"/>
  <c r="F119" i="43"/>
  <c r="H128" i="18"/>
  <c r="J128" i="18" s="1"/>
  <c r="J128" i="17"/>
  <c r="O16" i="3"/>
  <c r="G128" i="3"/>
  <c r="H128" i="3" s="1"/>
  <c r="J128" i="3" s="1"/>
  <c r="AK16" i="1"/>
  <c r="AK24" i="1"/>
  <c r="AK25" i="1"/>
  <c r="AK10" i="1"/>
  <c r="Z8" i="1"/>
  <c r="AM12" i="44"/>
  <c r="AM26" i="44"/>
  <c r="G32" i="43"/>
  <c r="AM14" i="44"/>
  <c r="AM13" i="44"/>
  <c r="AK7" i="1"/>
  <c r="F24" i="45"/>
  <c r="G24" i="45"/>
  <c r="H24" i="2"/>
  <c r="J24" i="2" s="1"/>
  <c r="T4" i="1"/>
  <c r="H22" i="3"/>
  <c r="J22" i="3" s="1"/>
  <c r="H74" i="3"/>
  <c r="H74" i="4" s="1"/>
  <c r="J74" i="4" s="1"/>
  <c r="H65" i="3"/>
  <c r="H65" i="4" s="1"/>
  <c r="H83" i="3"/>
  <c r="J83" i="3" s="1"/>
  <c r="Z4" i="1"/>
  <c r="J98" i="2"/>
  <c r="H81" i="3"/>
  <c r="J81" i="3" s="1"/>
  <c r="H79" i="3"/>
  <c r="H79" i="4" s="1"/>
  <c r="J79" i="4" s="1"/>
  <c r="H125" i="3"/>
  <c r="H125" i="4" s="1"/>
  <c r="H64" i="3"/>
  <c r="J64" i="3" s="1"/>
  <c r="D24" i="45"/>
  <c r="G60" i="43"/>
  <c r="I60" i="43" s="1"/>
  <c r="AK33" i="1"/>
  <c r="AM33" i="44"/>
  <c r="Z33" i="1"/>
  <c r="G32" i="30"/>
  <c r="AK31" i="1"/>
  <c r="Z31" i="1"/>
  <c r="BP31" i="1"/>
  <c r="BQ31" i="1" s="1"/>
  <c r="BJ31" i="1"/>
  <c r="BJ41" i="1" s="1"/>
  <c r="AK30" i="1"/>
  <c r="AM30" i="44"/>
  <c r="AC24" i="45"/>
  <c r="BN30" i="1"/>
  <c r="AM29" i="44"/>
  <c r="AB24" i="45"/>
  <c r="Z28" i="1"/>
  <c r="Z26" i="1"/>
  <c r="AF25" i="1"/>
  <c r="Z25" i="1"/>
  <c r="AF24" i="1"/>
  <c r="AG24" i="1" s="1"/>
  <c r="Z24" i="1"/>
  <c r="Z23" i="1"/>
  <c r="G148" i="20"/>
  <c r="G149" i="20" s="1"/>
  <c r="H7" i="3"/>
  <c r="G47" i="18"/>
  <c r="AF18" i="1"/>
  <c r="K9" i="35"/>
  <c r="H124" i="3"/>
  <c r="H124" i="4" s="1"/>
  <c r="BN27" i="1"/>
  <c r="AH33" i="44"/>
  <c r="AO33" i="44" s="1"/>
  <c r="AF21" i="1"/>
  <c r="BG20" i="1"/>
  <c r="BL20" i="1" s="1"/>
  <c r="G145" i="13"/>
  <c r="G147" i="13"/>
  <c r="G151" i="13"/>
  <c r="G143" i="13"/>
  <c r="I13" i="13"/>
  <c r="G149" i="13"/>
  <c r="Z19" i="1"/>
  <c r="AK5" i="1"/>
  <c r="AH32" i="44"/>
  <c r="AO32" i="44" s="1"/>
  <c r="BP24" i="1"/>
  <c r="BQ24" i="1" s="1"/>
  <c r="AV36" i="1"/>
  <c r="BL28" i="1"/>
  <c r="AF28" i="1"/>
  <c r="AG28" i="1" s="1"/>
  <c r="BP28" i="1"/>
  <c r="BQ28" i="1" s="1"/>
  <c r="G47" i="19"/>
  <c r="AX36" i="1"/>
  <c r="AH16" i="44"/>
  <c r="AO16" i="44" s="1"/>
  <c r="K18" i="35"/>
  <c r="G145" i="19"/>
  <c r="BP21" i="1"/>
  <c r="G149" i="19"/>
  <c r="BP23" i="1"/>
  <c r="BQ23" i="1" s="1"/>
  <c r="K5" i="35"/>
  <c r="AK6" i="1"/>
  <c r="AF19" i="1"/>
  <c r="AG19" i="1" s="1"/>
  <c r="AF15" i="1"/>
  <c r="AH17" i="44"/>
  <c r="AO17" i="44" s="1"/>
  <c r="AH19" i="44"/>
  <c r="AO19" i="44" s="1"/>
  <c r="G151" i="19"/>
  <c r="Z30" i="1"/>
  <c r="AH8" i="44"/>
  <c r="AU36" i="1"/>
  <c r="K12" i="35"/>
  <c r="AT36" i="1"/>
  <c r="AH15" i="44"/>
  <c r="O17" i="35"/>
  <c r="AH13" i="44"/>
  <c r="BP13" i="1"/>
  <c r="BQ13" i="1" s="1"/>
  <c r="BP14" i="1"/>
  <c r="AH24" i="44"/>
  <c r="AO24" i="44" s="1"/>
  <c r="AH6" i="44"/>
  <c r="K7" i="35"/>
  <c r="AF16" i="1"/>
  <c r="AG16" i="1" s="1"/>
  <c r="G153" i="3"/>
  <c r="AH10" i="44"/>
  <c r="BJ32" i="1"/>
  <c r="BM18" i="1"/>
  <c r="AH18" i="44"/>
  <c r="AO18" i="44" s="1"/>
  <c r="P33" i="1"/>
  <c r="S33" i="1" s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AH34" i="44"/>
  <c r="AO34" i="44" s="1"/>
  <c r="BL13" i="1"/>
  <c r="I13" i="11"/>
  <c r="AH14" i="44"/>
  <c r="AF13" i="1"/>
  <c r="AG13" i="1" s="1"/>
  <c r="BM11" i="1"/>
  <c r="BN11" i="1"/>
  <c r="K10" i="35"/>
  <c r="AH9" i="44"/>
  <c r="BP10" i="1"/>
  <c r="BM9" i="1"/>
  <c r="BN9" i="1"/>
  <c r="AF8" i="1"/>
  <c r="AG8" i="1" s="1"/>
  <c r="BP8" i="1"/>
  <c r="BQ8" i="1" s="1"/>
  <c r="J75" i="2"/>
  <c r="J78" i="2"/>
  <c r="K4" i="35"/>
  <c r="H62" i="3"/>
  <c r="H62" i="4" s="1"/>
  <c r="BP18" i="1"/>
  <c r="BP17" i="1"/>
  <c r="BQ17" i="1" s="1"/>
  <c r="BP19" i="1"/>
  <c r="BQ19" i="1" s="1"/>
  <c r="I21" i="1"/>
  <c r="BJ4" i="1"/>
  <c r="AH12" i="44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M20" i="1" s="1"/>
  <c r="BJ15" i="1"/>
  <c r="AH30" i="44"/>
  <c r="AO30" i="44" s="1"/>
  <c r="AF30" i="1"/>
  <c r="AG30" i="1" s="1"/>
  <c r="BJ30" i="1"/>
  <c r="AH28" i="44"/>
  <c r="AO28" i="44" s="1"/>
  <c r="AH26" i="44"/>
  <c r="AO26" i="44" s="1"/>
  <c r="AH22" i="44"/>
  <c r="AO22" i="44" s="1"/>
  <c r="G152" i="19"/>
  <c r="G153" i="19" s="1"/>
  <c r="I13" i="19"/>
  <c r="BN20" i="1"/>
  <c r="G59" i="18"/>
  <c r="P4" i="1"/>
  <c r="AH20" i="44"/>
  <c r="AO20" i="44" s="1"/>
  <c r="AH29" i="44"/>
  <c r="AO29" i="44" s="1"/>
  <c r="AH23" i="44"/>
  <c r="AO23" i="44" s="1"/>
  <c r="AH25" i="44"/>
  <c r="AO25" i="44" s="1"/>
  <c r="AH21" i="44"/>
  <c r="AO21" i="44" s="1"/>
  <c r="O18" i="35"/>
  <c r="H46" i="3"/>
  <c r="J46" i="3" s="1"/>
  <c r="M36" i="1"/>
  <c r="G59" i="20"/>
  <c r="BN29" i="1"/>
  <c r="BC22" i="1"/>
  <c r="BN22" i="1" s="1"/>
  <c r="BL11" i="1"/>
  <c r="BN19" i="1"/>
  <c r="BL18" i="1"/>
  <c r="BL9" i="1"/>
  <c r="BN14" i="1"/>
  <c r="BN12" i="1"/>
  <c r="BN26" i="1"/>
  <c r="BN6" i="1"/>
  <c r="BN5" i="1"/>
  <c r="BN32" i="1"/>
  <c r="BM24" i="1"/>
  <c r="BL24" i="1"/>
  <c r="BM5" i="1"/>
  <c r="BL5" i="1"/>
  <c r="BM25" i="1"/>
  <c r="BL25" i="1"/>
  <c r="BM12" i="1"/>
  <c r="BL12" i="1"/>
  <c r="L27" i="1"/>
  <c r="BL27" i="1"/>
  <c r="BM27" i="1"/>
  <c r="BM4" i="1"/>
  <c r="L8" i="1"/>
  <c r="BM8" i="1"/>
  <c r="BL8" i="1"/>
  <c r="BL22" i="1"/>
  <c r="BM22" i="1"/>
  <c r="BM29" i="1"/>
  <c r="BL29" i="1"/>
  <c r="BN25" i="1"/>
  <c r="BN18" i="1"/>
  <c r="BM32" i="1"/>
  <c r="BL32" i="1"/>
  <c r="BL14" i="1"/>
  <c r="BM14" i="1"/>
  <c r="BL23" i="1"/>
  <c r="BM23" i="1"/>
  <c r="BL7" i="1"/>
  <c r="BM7" i="1"/>
  <c r="BL10" i="1"/>
  <c r="BM10" i="1"/>
  <c r="BL6" i="1"/>
  <c r="BM6" i="1"/>
  <c r="BL30" i="1"/>
  <c r="BM30" i="1"/>
  <c r="BL19" i="1"/>
  <c r="BM19" i="1"/>
  <c r="BM16" i="1"/>
  <c r="BL16" i="1"/>
  <c r="BM17" i="1"/>
  <c r="BL17" i="1"/>
  <c r="BL26" i="1"/>
  <c r="BM26" i="1"/>
  <c r="BN24" i="1"/>
  <c r="BN7" i="1"/>
  <c r="BN16" i="1"/>
  <c r="BN23" i="1"/>
  <c r="BN17" i="1"/>
  <c r="BN10" i="1"/>
  <c r="BN8" i="1"/>
  <c r="I13" i="29"/>
  <c r="Z13" i="1"/>
  <c r="P28" i="1"/>
  <c r="BP7" i="1"/>
  <c r="P20" i="1"/>
  <c r="H57" i="4"/>
  <c r="H57" i="5" s="1"/>
  <c r="S21" i="1"/>
  <c r="P15" i="1"/>
  <c r="G145" i="29"/>
  <c r="P26" i="1"/>
  <c r="I31" i="1"/>
  <c r="G147" i="29"/>
  <c r="G149" i="29"/>
  <c r="G153" i="29"/>
  <c r="G151" i="29"/>
  <c r="P6" i="1"/>
  <c r="AK4" i="1"/>
  <c r="J140" i="2"/>
  <c r="H131" i="4"/>
  <c r="H131" i="5" s="1"/>
  <c r="J138" i="2"/>
  <c r="J68" i="2"/>
  <c r="BP27" i="1"/>
  <c r="BQ27" i="1" s="1"/>
  <c r="G60" i="27"/>
  <c r="I59" i="27" s="1"/>
  <c r="S24" i="1"/>
  <c r="P23" i="1"/>
  <c r="R11" i="1"/>
  <c r="H136" i="3"/>
  <c r="H136" i="4" s="1"/>
  <c r="Z16" i="1"/>
  <c r="P22" i="1"/>
  <c r="P8" i="1"/>
  <c r="I6" i="47" s="1"/>
  <c r="G31" i="42"/>
  <c r="P13" i="1"/>
  <c r="BP30" i="1"/>
  <c r="BQ30" i="1" s="1"/>
  <c r="L29" i="1"/>
  <c r="P29" i="1"/>
  <c r="I27" i="47" s="1"/>
  <c r="Z11" i="1"/>
  <c r="AC36" i="1"/>
  <c r="L22" i="1"/>
  <c r="G60" i="28"/>
  <c r="I59" i="28" s="1"/>
  <c r="AO36" i="1"/>
  <c r="G60" i="17"/>
  <c r="I60" i="17" s="1"/>
  <c r="G60" i="15"/>
  <c r="I60" i="15" s="1"/>
  <c r="G60" i="16"/>
  <c r="I59" i="16" s="1"/>
  <c r="R16" i="1"/>
  <c r="S17" i="1"/>
  <c r="AR36" i="1"/>
  <c r="O17" i="1"/>
  <c r="BG36" i="1"/>
  <c r="L26" i="1"/>
  <c r="L24" i="1"/>
  <c r="P19" i="1"/>
  <c r="I17" i="47" s="1"/>
  <c r="H96" i="3"/>
  <c r="J96" i="3" s="1"/>
  <c r="G60" i="40"/>
  <c r="I59" i="40" s="1"/>
  <c r="AK28" i="1"/>
  <c r="V36" i="1"/>
  <c r="AF17" i="1"/>
  <c r="AG17" i="1" s="1"/>
  <c r="G60" i="14"/>
  <c r="I59" i="14" s="1"/>
  <c r="BP15" i="1"/>
  <c r="P14" i="1"/>
  <c r="BP12" i="1"/>
  <c r="BQ12" i="1" s="1"/>
  <c r="S12" i="1"/>
  <c r="R12" i="1"/>
  <c r="G60" i="9"/>
  <c r="I59" i="9" s="1"/>
  <c r="AE10" i="1"/>
  <c r="AF10" i="1"/>
  <c r="L10" i="1"/>
  <c r="H138" i="4"/>
  <c r="J138" i="4" s="1"/>
  <c r="J138" i="3"/>
  <c r="L12" i="1"/>
  <c r="S10" i="1"/>
  <c r="R10" i="1"/>
  <c r="P30" i="1"/>
  <c r="I28" i="47" s="1"/>
  <c r="J73" i="3"/>
  <c r="H35" i="3"/>
  <c r="H35" i="4" s="1"/>
  <c r="W36" i="1"/>
  <c r="G60" i="23"/>
  <c r="L30" i="1"/>
  <c r="P27" i="1"/>
  <c r="I25" i="47" s="1"/>
  <c r="M25" i="47" s="1"/>
  <c r="AF29" i="1"/>
  <c r="AG29" i="1" s="1"/>
  <c r="BP29" i="1"/>
  <c r="BQ29" i="1" s="1"/>
  <c r="L25" i="1"/>
  <c r="J24" i="5"/>
  <c r="H24" i="33"/>
  <c r="AF23" i="1"/>
  <c r="AG23" i="1" s="1"/>
  <c r="G60" i="22"/>
  <c r="L60" i="22" s="1"/>
  <c r="G60" i="8"/>
  <c r="I59" i="8" s="1"/>
  <c r="AK27" i="1"/>
  <c r="L7" i="1"/>
  <c r="G60" i="7"/>
  <c r="I60" i="7" s="1"/>
  <c r="AQ36" i="1"/>
  <c r="AF11" i="1"/>
  <c r="AG11" i="1" s="1"/>
  <c r="BP11" i="1"/>
  <c r="BQ11" i="1" s="1"/>
  <c r="L14" i="1"/>
  <c r="L23" i="1"/>
  <c r="L16" i="1"/>
  <c r="L17" i="1"/>
  <c r="I36" i="1"/>
  <c r="H23" i="4"/>
  <c r="J23" i="3"/>
  <c r="I13" i="16"/>
  <c r="P7" i="1"/>
  <c r="G60" i="33"/>
  <c r="H140" i="4"/>
  <c r="J140" i="4" s="1"/>
  <c r="P5" i="1"/>
  <c r="G60" i="21"/>
  <c r="L60" i="21" s="1"/>
  <c r="G60" i="24"/>
  <c r="I60" i="24" s="1"/>
  <c r="AE18" i="1"/>
  <c r="AE36" i="1" s="1"/>
  <c r="AF9" i="1"/>
  <c r="AG9" i="1" s="1"/>
  <c r="BP9" i="1"/>
  <c r="BQ9" i="1" s="1"/>
  <c r="L19" i="1"/>
  <c r="J70" i="13"/>
  <c r="H70" i="14"/>
  <c r="H70" i="29" s="1"/>
  <c r="R18" i="1"/>
  <c r="S18" i="1"/>
  <c r="P36" i="1"/>
  <c r="R9" i="1"/>
  <c r="S9" i="1"/>
  <c r="H43" i="4"/>
  <c r="H43" i="5" s="1"/>
  <c r="J57" i="2"/>
  <c r="BP25" i="1"/>
  <c r="G60" i="13"/>
  <c r="AE7" i="1"/>
  <c r="H94" i="4"/>
  <c r="H94" i="5" s="1"/>
  <c r="AE6" i="1"/>
  <c r="BP6" i="1"/>
  <c r="AF6" i="1"/>
  <c r="L6" i="1"/>
  <c r="J94" i="3"/>
  <c r="AE5" i="1"/>
  <c r="J133" i="4"/>
  <c r="H133" i="5"/>
  <c r="J133" i="5" s="1"/>
  <c r="J133" i="2"/>
  <c r="J133" i="3"/>
  <c r="J118" i="3"/>
  <c r="G60" i="3"/>
  <c r="I59" i="3" s="1"/>
  <c r="G153" i="2"/>
  <c r="J43" i="2"/>
  <c r="AF5" i="1"/>
  <c r="BP5" i="1"/>
  <c r="L5" i="1"/>
  <c r="H132" i="3"/>
  <c r="J132" i="3" s="1"/>
  <c r="J56" i="2"/>
  <c r="H56" i="3"/>
  <c r="J45" i="3"/>
  <c r="H137" i="4"/>
  <c r="J137" i="3"/>
  <c r="H130" i="4"/>
  <c r="J130" i="3"/>
  <c r="H123" i="3"/>
  <c r="H123" i="4" s="1"/>
  <c r="J92" i="3"/>
  <c r="H92" i="4"/>
  <c r="J50" i="2"/>
  <c r="H50" i="3"/>
  <c r="G143" i="2"/>
  <c r="H13" i="2"/>
  <c r="H13" i="3" s="1"/>
  <c r="J37" i="2"/>
  <c r="H37" i="3"/>
  <c r="G151" i="2"/>
  <c r="H36" i="3"/>
  <c r="J36" i="3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 i="3"/>
  <c r="J134" i="2"/>
  <c r="H127" i="4"/>
  <c r="J127" i="4" s="1"/>
  <c r="H126" i="4"/>
  <c r="J126" i="4" s="1"/>
  <c r="H99" i="4"/>
  <c r="J99" i="3"/>
  <c r="J98" i="3"/>
  <c r="H98" i="4"/>
  <c r="H95" i="3"/>
  <c r="J95" i="2"/>
  <c r="H93" i="3"/>
  <c r="J93" i="2"/>
  <c r="H84" i="3"/>
  <c r="H85" i="3"/>
  <c r="J84" i="2"/>
  <c r="J82" i="3"/>
  <c r="H82" i="4"/>
  <c r="J82" i="4" s="1"/>
  <c r="J78" i="3"/>
  <c r="H78" i="4"/>
  <c r="J78" i="4" s="1"/>
  <c r="J76" i="3"/>
  <c r="H76" i="4"/>
  <c r="J76" i="4" s="1"/>
  <c r="H75" i="4"/>
  <c r="J75" i="4" s="1"/>
  <c r="J75" i="3"/>
  <c r="H73" i="5"/>
  <c r="H72" i="3"/>
  <c r="J72" i="2"/>
  <c r="J69" i="2"/>
  <c r="H69" i="3"/>
  <c r="J66" i="3"/>
  <c r="H66" i="4"/>
  <c r="J63" i="3"/>
  <c r="J58" i="3"/>
  <c r="H58" i="4"/>
  <c r="G145" i="2"/>
  <c r="H55" i="3"/>
  <c r="J55" i="2"/>
  <c r="H54" i="3"/>
  <c r="J54" i="2"/>
  <c r="J53" i="3"/>
  <c r="H53" i="4"/>
  <c r="H52" i="4"/>
  <c r="J52" i="3"/>
  <c r="G149" i="2"/>
  <c r="J49" i="3"/>
  <c r="H49" i="4"/>
  <c r="H42" i="3"/>
  <c r="J42" i="2"/>
  <c r="AF4" i="1"/>
  <c r="J41" i="2"/>
  <c r="H41" i="3"/>
  <c r="H47" i="2"/>
  <c r="G60" i="2"/>
  <c r="G147" i="2"/>
  <c r="J39" i="3"/>
  <c r="H39" i="4"/>
  <c r="J28" i="2"/>
  <c r="J15" i="2"/>
  <c r="I16" i="2" s="1"/>
  <c r="H27" i="3"/>
  <c r="L4" i="1"/>
  <c r="AE33" i="1"/>
  <c r="AO32" i="1"/>
  <c r="AE32" i="1"/>
  <c r="G59" i="42"/>
  <c r="I59" i="42" s="1"/>
  <c r="G151" i="30"/>
  <c r="Z32" i="1"/>
  <c r="P32" i="1"/>
  <c r="I30" i="47" s="1"/>
  <c r="AK32" i="1"/>
  <c r="G147" i="30"/>
  <c r="G153" i="30"/>
  <c r="G143" i="29"/>
  <c r="AF32" i="1"/>
  <c r="BP32" i="1"/>
  <c r="G60" i="29"/>
  <c r="R31" i="1"/>
  <c r="S31" i="1"/>
  <c r="L32" i="1"/>
  <c r="H118" i="22" l="1"/>
  <c r="J118" i="22" s="1"/>
  <c r="J118" i="21"/>
  <c r="AK21" i="1"/>
  <c r="H112" i="21"/>
  <c r="J112" i="20"/>
  <c r="H104" i="21"/>
  <c r="J104" i="20"/>
  <c r="H120" i="21"/>
  <c r="J120" i="20"/>
  <c r="H110" i="21"/>
  <c r="J110" i="20"/>
  <c r="J100" i="3"/>
  <c r="H117" i="21"/>
  <c r="J117" i="20"/>
  <c r="H116" i="21"/>
  <c r="J116" i="20"/>
  <c r="H105" i="21"/>
  <c r="J105" i="20"/>
  <c r="H115" i="21"/>
  <c r="J115" i="20"/>
  <c r="H107" i="21"/>
  <c r="J107" i="20"/>
  <c r="H109" i="21"/>
  <c r="J109" i="20"/>
  <c r="N118" i="31"/>
  <c r="H106" i="21"/>
  <c r="J106" i="20"/>
  <c r="H111" i="21"/>
  <c r="J111" i="20"/>
  <c r="M28" i="47"/>
  <c r="M6" i="47"/>
  <c r="J77" i="3"/>
  <c r="H31" i="3"/>
  <c r="H31" i="4" s="1"/>
  <c r="H31" i="5" s="1"/>
  <c r="J31" i="2"/>
  <c r="J110" i="31"/>
  <c r="J68" i="3"/>
  <c r="J148" i="2"/>
  <c r="H18" i="4"/>
  <c r="J18" i="4" s="1"/>
  <c r="AK19" i="1"/>
  <c r="AK35" i="1" s="1"/>
  <c r="J12" i="4"/>
  <c r="H119" i="4"/>
  <c r="H119" i="5" s="1"/>
  <c r="J119" i="5" s="1"/>
  <c r="J80" i="3"/>
  <c r="M17" i="47"/>
  <c r="M27" i="47"/>
  <c r="N116" i="31"/>
  <c r="J109" i="31"/>
  <c r="J115" i="31"/>
  <c r="J118" i="5"/>
  <c r="H118" i="33"/>
  <c r="BO24" i="1"/>
  <c r="J118" i="4"/>
  <c r="M22" i="47"/>
  <c r="O36" i="1"/>
  <c r="AG14" i="1"/>
  <c r="BQ14" i="1"/>
  <c r="J51" i="3"/>
  <c r="N119" i="31"/>
  <c r="J101" i="2"/>
  <c r="J106" i="31"/>
  <c r="J105" i="31"/>
  <c r="H146" i="3"/>
  <c r="H146" i="4" s="1"/>
  <c r="H144" i="3"/>
  <c r="H144" i="4" s="1"/>
  <c r="H144" i="5" s="1"/>
  <c r="J11" i="3"/>
  <c r="J11" i="4"/>
  <c r="H10" i="4"/>
  <c r="J10" i="4" s="1"/>
  <c r="H142" i="3"/>
  <c r="H142" i="4" s="1"/>
  <c r="H142" i="5" s="1"/>
  <c r="M14" i="47"/>
  <c r="V4" i="1"/>
  <c r="V35" i="1" s="1"/>
  <c r="T35" i="1"/>
  <c r="P35" i="1"/>
  <c r="AM35" i="1"/>
  <c r="BC35" i="1"/>
  <c r="BR4" i="1"/>
  <c r="AE35" i="1"/>
  <c r="M30" i="47"/>
  <c r="BG35" i="1"/>
  <c r="AO35" i="1"/>
  <c r="AT35" i="1"/>
  <c r="Z35" i="1"/>
  <c r="S7" i="1"/>
  <c r="I5" i="47"/>
  <c r="M5" i="47" s="1"/>
  <c r="S20" i="1"/>
  <c r="I18" i="47"/>
  <c r="M18" i="47" s="1"/>
  <c r="L21" i="1"/>
  <c r="E19" i="47"/>
  <c r="M19" i="47" s="1"/>
  <c r="R22" i="1"/>
  <c r="BO22" i="1" s="1"/>
  <c r="I20" i="47"/>
  <c r="M20" i="47" s="1"/>
  <c r="S25" i="1"/>
  <c r="I23" i="47"/>
  <c r="M23" i="47" s="1"/>
  <c r="S14" i="1"/>
  <c r="I12" i="47"/>
  <c r="M12" i="47" s="1"/>
  <c r="R33" i="1"/>
  <c r="BO33" i="1" s="1"/>
  <c r="I31" i="47"/>
  <c r="S6" i="1"/>
  <c r="I4" i="47"/>
  <c r="M4" i="47" s="1"/>
  <c r="S15" i="1"/>
  <c r="I13" i="47"/>
  <c r="S5" i="1"/>
  <c r="I3" i="47"/>
  <c r="R13" i="1"/>
  <c r="BO13" i="1" s="1"/>
  <c r="I11" i="47"/>
  <c r="M11" i="47" s="1"/>
  <c r="S4" i="1"/>
  <c r="I2" i="47"/>
  <c r="M2" i="47" s="1"/>
  <c r="M9" i="47"/>
  <c r="R23" i="1"/>
  <c r="I21" i="47"/>
  <c r="M21" i="47" s="1"/>
  <c r="R26" i="1"/>
  <c r="BO26" i="1" s="1"/>
  <c r="I24" i="47"/>
  <c r="M24" i="47" s="1"/>
  <c r="O5" i="1"/>
  <c r="O35" i="1" s="1"/>
  <c r="G3" i="47"/>
  <c r="BN31" i="1"/>
  <c r="E29" i="47"/>
  <c r="M29" i="47" s="1"/>
  <c r="S28" i="1"/>
  <c r="I26" i="47"/>
  <c r="M26" i="47" s="1"/>
  <c r="BL15" i="1"/>
  <c r="E13" i="47"/>
  <c r="M7" i="47"/>
  <c r="J120" i="31"/>
  <c r="AG21" i="1"/>
  <c r="J112" i="31"/>
  <c r="J104" i="31"/>
  <c r="J117" i="31"/>
  <c r="G60" i="20"/>
  <c r="I60" i="20" s="1"/>
  <c r="BQ21" i="1"/>
  <c r="G60" i="19"/>
  <c r="I59" i="19" s="1"/>
  <c r="Z36" i="1"/>
  <c r="AK36" i="1"/>
  <c r="K14" i="35"/>
  <c r="BQ5" i="1"/>
  <c r="J59" i="2"/>
  <c r="J124" i="3"/>
  <c r="J107" i="31"/>
  <c r="BQ4" i="1"/>
  <c r="BQ32" i="1"/>
  <c r="BQ25" i="1"/>
  <c r="AG25" i="1"/>
  <c r="I59" i="23"/>
  <c r="O60" i="23"/>
  <c r="BQ18" i="1"/>
  <c r="BQ15" i="1"/>
  <c r="AG15" i="1"/>
  <c r="BQ10" i="1"/>
  <c r="BQ6" i="1"/>
  <c r="BQ7" i="1"/>
  <c r="I60" i="5"/>
  <c r="H19" i="4"/>
  <c r="J19" i="4" s="1"/>
  <c r="H151" i="2"/>
  <c r="H151" i="3" s="1"/>
  <c r="J151" i="3" s="1"/>
  <c r="H147" i="2"/>
  <c r="H147" i="3" s="1"/>
  <c r="H147" i="4" s="1"/>
  <c r="H153" i="2"/>
  <c r="J153" i="2" s="1"/>
  <c r="J40" i="3"/>
  <c r="H150" i="3"/>
  <c r="H150" i="4" s="1"/>
  <c r="J150" i="4" s="1"/>
  <c r="G29" i="2"/>
  <c r="G32" i="2" s="1"/>
  <c r="H30" i="2"/>
  <c r="H30" i="3" s="1"/>
  <c r="H30" i="4" s="1"/>
  <c r="J30" i="4" s="1"/>
  <c r="H145" i="2"/>
  <c r="H145" i="3" s="1"/>
  <c r="H145" i="4" s="1"/>
  <c r="H143" i="2"/>
  <c r="J143" i="2" s="1"/>
  <c r="H149" i="2"/>
  <c r="H149" i="3" s="1"/>
  <c r="H149" i="4" s="1"/>
  <c r="H152" i="3"/>
  <c r="L15" i="1"/>
  <c r="K15" i="35"/>
  <c r="G32" i="11"/>
  <c r="J97" i="3"/>
  <c r="H67" i="4"/>
  <c r="H67" i="5" s="1"/>
  <c r="I60" i="30"/>
  <c r="AG33" i="1"/>
  <c r="R4" i="1"/>
  <c r="J125" i="3"/>
  <c r="H28" i="3"/>
  <c r="H28" i="4" s="1"/>
  <c r="H28" i="5" s="1"/>
  <c r="J79" i="3"/>
  <c r="AF20" i="1"/>
  <c r="AG20" i="1" s="1"/>
  <c r="I59" i="11"/>
  <c r="H128" i="19"/>
  <c r="H128" i="20" s="1"/>
  <c r="P60" i="12"/>
  <c r="I59" i="12"/>
  <c r="BM15" i="1"/>
  <c r="H83" i="4"/>
  <c r="L36" i="1"/>
  <c r="BN15" i="1"/>
  <c r="H81" i="4"/>
  <c r="J81" i="4" s="1"/>
  <c r="H128" i="4"/>
  <c r="J128" i="4" s="1"/>
  <c r="H22" i="4"/>
  <c r="J22" i="4" s="1"/>
  <c r="J74" i="3"/>
  <c r="H64" i="4"/>
  <c r="H64" i="5" s="1"/>
  <c r="J65" i="3"/>
  <c r="H27" i="4"/>
  <c r="J27" i="3"/>
  <c r="G60" i="18"/>
  <c r="I59" i="18" s="1"/>
  <c r="BM21" i="1"/>
  <c r="BP20" i="1"/>
  <c r="BQ20" i="1" s="1"/>
  <c r="BJ20" i="1"/>
  <c r="BJ35" i="1" s="1"/>
  <c r="J62" i="3"/>
  <c r="BN21" i="1"/>
  <c r="BO21" i="1"/>
  <c r="BP36" i="1"/>
  <c r="BM36" i="1"/>
  <c r="BO11" i="1"/>
  <c r="BL21" i="1"/>
  <c r="BO9" i="1"/>
  <c r="AG7" i="1"/>
  <c r="BL31" i="1"/>
  <c r="H46" i="4"/>
  <c r="J46" i="4" s="1"/>
  <c r="BL36" i="1"/>
  <c r="L31" i="1"/>
  <c r="BM31" i="1"/>
  <c r="S26" i="1"/>
  <c r="R20" i="1"/>
  <c r="BO20" i="1" s="1"/>
  <c r="R15" i="1"/>
  <c r="R6" i="1"/>
  <c r="BO6" i="1" s="1"/>
  <c r="J57" i="4"/>
  <c r="R28" i="1"/>
  <c r="BO28" i="1" s="1"/>
  <c r="BO31" i="1"/>
  <c r="J131" i="4"/>
  <c r="S13" i="1"/>
  <c r="H138" i="5"/>
  <c r="H138" i="33" s="1"/>
  <c r="J136" i="3"/>
  <c r="J123" i="3"/>
  <c r="J101" i="3"/>
  <c r="H133" i="33"/>
  <c r="H133" i="7" s="1"/>
  <c r="H133" i="8" s="1"/>
  <c r="J43" i="4"/>
  <c r="I60" i="28"/>
  <c r="H140" i="5"/>
  <c r="J140" i="5" s="1"/>
  <c r="I60" i="27"/>
  <c r="S23" i="1"/>
  <c r="S22" i="1"/>
  <c r="R29" i="1"/>
  <c r="BO29" i="1" s="1"/>
  <c r="S29" i="1"/>
  <c r="R8" i="1"/>
  <c r="BO8" i="1" s="1"/>
  <c r="S8" i="1"/>
  <c r="J35" i="3"/>
  <c r="R14" i="1"/>
  <c r="BO14" i="1" s="1"/>
  <c r="I60" i="40"/>
  <c r="I59" i="17"/>
  <c r="I59" i="15"/>
  <c r="I60" i="16"/>
  <c r="I60" i="14"/>
  <c r="AF36" i="1"/>
  <c r="BO16" i="1"/>
  <c r="H96" i="4"/>
  <c r="H96" i="5" s="1"/>
  <c r="R19" i="1"/>
  <c r="BO19" i="1" s="1"/>
  <c r="S19" i="1"/>
  <c r="S36" i="1"/>
  <c r="H132" i="4"/>
  <c r="J132" i="4" s="1"/>
  <c r="AG18" i="1"/>
  <c r="AG36" i="1" s="1"/>
  <c r="BO12" i="1"/>
  <c r="I60" i="9"/>
  <c r="BO10" i="1"/>
  <c r="AG10" i="1"/>
  <c r="I59" i="22"/>
  <c r="I60" i="22"/>
  <c r="J68" i="4"/>
  <c r="BO25" i="1"/>
  <c r="H24" i="7"/>
  <c r="J24" i="33"/>
  <c r="R27" i="1"/>
  <c r="BO27" i="1" s="1"/>
  <c r="S27" i="1"/>
  <c r="R30" i="1"/>
  <c r="BO30" i="1" s="1"/>
  <c r="S30" i="1"/>
  <c r="I60" i="8"/>
  <c r="R5" i="1"/>
  <c r="I60" i="23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69" i="42"/>
  <c r="H70" i="24"/>
  <c r="H70" i="25" s="1"/>
  <c r="K36" i="1"/>
  <c r="BO17" i="1"/>
  <c r="R36" i="1"/>
  <c r="BO18" i="1"/>
  <c r="I59" i="21"/>
  <c r="I60" i="21"/>
  <c r="J23" i="4"/>
  <c r="H23" i="5"/>
  <c r="BO23" i="1"/>
  <c r="I59" i="13"/>
  <c r="I60" i="13"/>
  <c r="I59" i="24"/>
  <c r="I59" i="33"/>
  <c r="I60" i="33"/>
  <c r="AG6" i="1"/>
  <c r="J94" i="4"/>
  <c r="I60" i="4"/>
  <c r="J94" i="5"/>
  <c r="H94" i="33"/>
  <c r="AG5" i="1"/>
  <c r="I60" i="3"/>
  <c r="J59" i="3"/>
  <c r="AG4" i="1"/>
  <c r="J56" i="3"/>
  <c r="H56" i="4"/>
  <c r="J13" i="2"/>
  <c r="H131" i="33"/>
  <c r="J131" i="5"/>
  <c r="J130" i="4"/>
  <c r="H130" i="5"/>
  <c r="J137" i="4"/>
  <c r="H137" i="5"/>
  <c r="H136" i="5"/>
  <c r="J136" i="4"/>
  <c r="J92" i="4"/>
  <c r="H92" i="5"/>
  <c r="H77" i="5"/>
  <c r="J68" i="5"/>
  <c r="H68" i="33"/>
  <c r="J62" i="4"/>
  <c r="H62" i="5"/>
  <c r="J50" i="3"/>
  <c r="H50" i="4"/>
  <c r="H57" i="33"/>
  <c r="J57" i="5"/>
  <c r="J37" i="3"/>
  <c r="H37" i="4"/>
  <c r="H36" i="4"/>
  <c r="J35" i="4"/>
  <c r="H35" i="5"/>
  <c r="J38" i="4"/>
  <c r="H38" i="5"/>
  <c r="H45" i="33"/>
  <c r="J45" i="5"/>
  <c r="H44" i="4"/>
  <c r="J44" i="3"/>
  <c r="H40" i="5"/>
  <c r="J40" i="4"/>
  <c r="H20" i="3"/>
  <c r="J9" i="4"/>
  <c r="H9" i="5"/>
  <c r="J11" i="5"/>
  <c r="H11" i="33"/>
  <c r="J139" i="3"/>
  <c r="H139" i="4"/>
  <c r="H135" i="5"/>
  <c r="J135" i="4"/>
  <c r="J134" i="3"/>
  <c r="H134" i="4"/>
  <c r="J125" i="4"/>
  <c r="H125" i="5"/>
  <c r="H127" i="5"/>
  <c r="H126" i="5"/>
  <c r="J124" i="4"/>
  <c r="H124" i="5"/>
  <c r="J123" i="4"/>
  <c r="H123" i="5"/>
  <c r="H100" i="5"/>
  <c r="J100" i="4"/>
  <c r="H99" i="5"/>
  <c r="J99" i="4"/>
  <c r="J98" i="4"/>
  <c r="H98" i="5"/>
  <c r="H97" i="5"/>
  <c r="J97" i="4"/>
  <c r="H101" i="5"/>
  <c r="J101" i="4"/>
  <c r="J95" i="3"/>
  <c r="H95" i="4"/>
  <c r="H93" i="4"/>
  <c r="J93" i="3"/>
  <c r="J84" i="3"/>
  <c r="H84" i="4"/>
  <c r="J84" i="4" s="1"/>
  <c r="J85" i="3"/>
  <c r="H85" i="4"/>
  <c r="J85" i="4" s="1"/>
  <c r="H82" i="5"/>
  <c r="H80" i="5"/>
  <c r="H79" i="5"/>
  <c r="H78" i="5"/>
  <c r="H76" i="5"/>
  <c r="H75" i="5"/>
  <c r="H74" i="5"/>
  <c r="H73" i="33"/>
  <c r="J73" i="5"/>
  <c r="H72" i="4"/>
  <c r="J72" i="3"/>
  <c r="J69" i="3"/>
  <c r="H69" i="4"/>
  <c r="H66" i="5"/>
  <c r="J66" i="4"/>
  <c r="H65" i="5"/>
  <c r="J65" i="4"/>
  <c r="J63" i="4"/>
  <c r="H63" i="5"/>
  <c r="J58" i="4"/>
  <c r="H58" i="5"/>
  <c r="J55" i="3"/>
  <c r="H55" i="4"/>
  <c r="J54" i="3"/>
  <c r="H54" i="4"/>
  <c r="H53" i="5"/>
  <c r="J53" i="4"/>
  <c r="H148" i="4"/>
  <c r="J148" i="3"/>
  <c r="J52" i="4"/>
  <c r="H52" i="5"/>
  <c r="H51" i="5"/>
  <c r="J51" i="4"/>
  <c r="H49" i="5"/>
  <c r="J49" i="4"/>
  <c r="J59" i="4"/>
  <c r="H59" i="5"/>
  <c r="J43" i="5"/>
  <c r="H43" i="33"/>
  <c r="J42" i="3"/>
  <c r="H42" i="4"/>
  <c r="H41" i="4"/>
  <c r="J41" i="3"/>
  <c r="H60" i="2"/>
  <c r="I60" i="2"/>
  <c r="I59" i="2"/>
  <c r="H47" i="3"/>
  <c r="J47" i="2"/>
  <c r="H39" i="5"/>
  <c r="J39" i="4"/>
  <c r="J15" i="3"/>
  <c r="I16" i="3" s="1"/>
  <c r="J12" i="5"/>
  <c r="H12" i="33"/>
  <c r="J13" i="3"/>
  <c r="H13" i="4"/>
  <c r="J27" i="2"/>
  <c r="H7" i="4"/>
  <c r="J7" i="3"/>
  <c r="AG32" i="1"/>
  <c r="I58" i="42"/>
  <c r="S32" i="1"/>
  <c r="R32" i="1"/>
  <c r="BO32" i="1" s="1"/>
  <c r="I59" i="29"/>
  <c r="I60" i="29"/>
  <c r="I59" i="30"/>
  <c r="H112" i="22" l="1"/>
  <c r="J112" i="22" s="1"/>
  <c r="J112" i="21"/>
  <c r="H107" i="22"/>
  <c r="J107" i="22" s="1"/>
  <c r="J107" i="21"/>
  <c r="H117" i="22"/>
  <c r="J117" i="22" s="1"/>
  <c r="J117" i="21"/>
  <c r="H104" i="22"/>
  <c r="J104" i="22" s="1"/>
  <c r="J104" i="21"/>
  <c r="H109" i="22"/>
  <c r="J109" i="22" s="1"/>
  <c r="J109" i="21"/>
  <c r="H116" i="22"/>
  <c r="J116" i="22" s="1"/>
  <c r="J116" i="21"/>
  <c r="H120" i="22"/>
  <c r="J120" i="22" s="1"/>
  <c r="J120" i="21"/>
  <c r="H111" i="22"/>
  <c r="J111" i="22" s="1"/>
  <c r="J111" i="21"/>
  <c r="H105" i="22"/>
  <c r="J105" i="22" s="1"/>
  <c r="J105" i="21"/>
  <c r="H106" i="22"/>
  <c r="J106" i="22" s="1"/>
  <c r="J106" i="21"/>
  <c r="H110" i="22"/>
  <c r="J110" i="22" s="1"/>
  <c r="J110" i="21"/>
  <c r="H115" i="22"/>
  <c r="J115" i="22" s="1"/>
  <c r="J115" i="21"/>
  <c r="H119" i="33"/>
  <c r="J119" i="33" s="1"/>
  <c r="J31" i="4"/>
  <c r="J31" i="3"/>
  <c r="J119" i="4"/>
  <c r="J144" i="4"/>
  <c r="H18" i="5"/>
  <c r="J18" i="5" s="1"/>
  <c r="J147" i="3"/>
  <c r="H83" i="5"/>
  <c r="H83" i="33" s="1"/>
  <c r="J83" i="4"/>
  <c r="J118" i="33"/>
  <c r="H118" i="7"/>
  <c r="H31" i="33"/>
  <c r="J31" i="5"/>
  <c r="J146" i="3"/>
  <c r="J147" i="2"/>
  <c r="J142" i="4"/>
  <c r="J142" i="3"/>
  <c r="J144" i="3"/>
  <c r="BO5" i="1"/>
  <c r="H10" i="5"/>
  <c r="H10" i="33" s="1"/>
  <c r="J149" i="2"/>
  <c r="AG35" i="1"/>
  <c r="AF35" i="1"/>
  <c r="S35" i="1"/>
  <c r="BO4" i="1"/>
  <c r="R35" i="1"/>
  <c r="M13" i="47"/>
  <c r="M3" i="47"/>
  <c r="I59" i="20"/>
  <c r="I60" i="19"/>
  <c r="J30" i="2"/>
  <c r="J145" i="3"/>
  <c r="H150" i="5"/>
  <c r="J150" i="5" s="1"/>
  <c r="J149" i="3"/>
  <c r="J150" i="3"/>
  <c r="J30" i="3"/>
  <c r="H19" i="5"/>
  <c r="H19" i="33" s="1"/>
  <c r="H19" i="7" s="1"/>
  <c r="J145" i="2"/>
  <c r="J152" i="3"/>
  <c r="H152" i="4"/>
  <c r="H151" i="4"/>
  <c r="J151" i="4" s="1"/>
  <c r="H32" i="2"/>
  <c r="J32" i="2" s="1"/>
  <c r="H153" i="3"/>
  <c r="J153" i="3" s="1"/>
  <c r="J151" i="2"/>
  <c r="H29" i="2"/>
  <c r="H29" i="3" s="1"/>
  <c r="J29" i="3" s="1"/>
  <c r="H143" i="3"/>
  <c r="H143" i="4" s="1"/>
  <c r="H143" i="5" s="1"/>
  <c r="J28" i="4"/>
  <c r="BO15" i="1"/>
  <c r="H128" i="5"/>
  <c r="J128" i="5" s="1"/>
  <c r="J67" i="4"/>
  <c r="J64" i="4"/>
  <c r="H81" i="5"/>
  <c r="H81" i="33" s="1"/>
  <c r="H81" i="7" s="1"/>
  <c r="J28" i="3"/>
  <c r="H22" i="5"/>
  <c r="H22" i="33" s="1"/>
  <c r="J22" i="33" s="1"/>
  <c r="J128" i="19"/>
  <c r="J128" i="20"/>
  <c r="H128" i="21"/>
  <c r="H30" i="5"/>
  <c r="J30" i="5" s="1"/>
  <c r="J27" i="4"/>
  <c r="H27" i="5"/>
  <c r="H28" i="33"/>
  <c r="J28" i="5"/>
  <c r="I60" i="18"/>
  <c r="H46" i="5"/>
  <c r="J46" i="5" s="1"/>
  <c r="J133" i="33"/>
  <c r="J133" i="7"/>
  <c r="J138" i="5"/>
  <c r="H140" i="33"/>
  <c r="H140" i="7" s="1"/>
  <c r="J96" i="4"/>
  <c r="H132" i="5"/>
  <c r="J132" i="5" s="1"/>
  <c r="J24" i="7"/>
  <c r="H24" i="8"/>
  <c r="BO36" i="1"/>
  <c r="J23" i="5"/>
  <c r="H23" i="33"/>
  <c r="J94" i="33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 i="33"/>
  <c r="J62" i="5"/>
  <c r="H64" i="33"/>
  <c r="J64" i="5"/>
  <c r="J68" i="33"/>
  <c r="H68" i="7"/>
  <c r="J57" i="33"/>
  <c r="H57" i="7"/>
  <c r="J50" i="4"/>
  <c r="H50" i="5"/>
  <c r="J37" i="4"/>
  <c r="H37" i="5"/>
  <c r="H36" i="5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 i="5"/>
  <c r="J134" i="4"/>
  <c r="H133" i="9"/>
  <c r="H133" i="10" s="1"/>
  <c r="J133" i="10" s="1"/>
  <c r="J133" i="8"/>
  <c r="J125" i="5"/>
  <c r="H125" i="33"/>
  <c r="H127" i="33"/>
  <c r="J127" i="5"/>
  <c r="H126" i="33"/>
  <c r="J126" i="5"/>
  <c r="J124" i="5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 i="5"/>
  <c r="J83" i="5"/>
  <c r="J82" i="5"/>
  <c r="H82" i="33"/>
  <c r="H80" i="33"/>
  <c r="J80" i="5"/>
  <c r="J79" i="5"/>
  <c r="H79" i="33"/>
  <c r="H78" i="33"/>
  <c r="J78" i="5"/>
  <c r="J76" i="5"/>
  <c r="H76" i="33"/>
  <c r="H75" i="33"/>
  <c r="J75" i="5"/>
  <c r="H74" i="33"/>
  <c r="J74" i="5"/>
  <c r="H73" i="7"/>
  <c r="J73" i="33"/>
  <c r="H72" i="5"/>
  <c r="J72" i="4"/>
  <c r="J69" i="4"/>
  <c r="H69" i="5"/>
  <c r="J67" i="5"/>
  <c r="H67" i="33"/>
  <c r="H66" i="33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 i="5"/>
  <c r="H52" i="33"/>
  <c r="J51" i="5"/>
  <c r="H51" i="33"/>
  <c r="H59" i="33"/>
  <c r="J59" i="5"/>
  <c r="J49" i="5"/>
  <c r="H49" i="33"/>
  <c r="H43" i="7"/>
  <c r="J43" i="33"/>
  <c r="J142" i="5"/>
  <c r="H142" i="33"/>
  <c r="H42" i="5"/>
  <c r="J42" i="4"/>
  <c r="J144" i="5"/>
  <c r="H144" i="33"/>
  <c r="H41" i="5"/>
  <c r="J41" i="4"/>
  <c r="H47" i="4"/>
  <c r="J47" i="3"/>
  <c r="H146" i="5"/>
  <c r="J146" i="4"/>
  <c r="H60" i="3"/>
  <c r="J60" i="2"/>
  <c r="H39" i="33"/>
  <c r="J39" i="5"/>
  <c r="J15" i="4"/>
  <c r="I16" i="4" s="1"/>
  <c r="H15" i="5"/>
  <c r="H12" i="7"/>
  <c r="J12" i="33"/>
  <c r="J13" i="4"/>
  <c r="H13" i="5"/>
  <c r="H147" i="5"/>
  <c r="J147" i="4"/>
  <c r="H7" i="5"/>
  <c r="J7" i="4"/>
  <c r="J149" i="4"/>
  <c r="H149" i="5"/>
  <c r="H145" i="5"/>
  <c r="J145" i="4"/>
  <c r="H150" i="33" l="1"/>
  <c r="J150" i="33" s="1"/>
  <c r="H119" i="7"/>
  <c r="H119" i="8" s="1"/>
  <c r="H18" i="33"/>
  <c r="H18" i="7" s="1"/>
  <c r="J10" i="5"/>
  <c r="H29" i="4"/>
  <c r="J29" i="4" s="1"/>
  <c r="H31" i="7"/>
  <c r="J31" i="33"/>
  <c r="J118" i="7"/>
  <c r="H118" i="8"/>
  <c r="BO35" i="1"/>
  <c r="J19" i="5"/>
  <c r="H32" i="3"/>
  <c r="J32" i="3" s="1"/>
  <c r="H151" i="5"/>
  <c r="H151" i="33" s="1"/>
  <c r="J151" i="33" s="1"/>
  <c r="H153" i="4"/>
  <c r="H153" i="5" s="1"/>
  <c r="H153" i="33" s="1"/>
  <c r="J153" i="33" s="1"/>
  <c r="H152" i="5"/>
  <c r="J152" i="4"/>
  <c r="J143" i="4"/>
  <c r="J29" i="2"/>
  <c r="J143" i="3"/>
  <c r="J81" i="33"/>
  <c r="J81" i="5"/>
  <c r="H128" i="33"/>
  <c r="J128" i="33" s="1"/>
  <c r="H22" i="7"/>
  <c r="H22" i="8" s="1"/>
  <c r="H22" i="9" s="1"/>
  <c r="H22" i="10" s="1"/>
  <c r="J22" i="10" s="1"/>
  <c r="J22" i="5"/>
  <c r="J128" i="21"/>
  <c r="H128" i="22"/>
  <c r="H29" i="5"/>
  <c r="H30" i="33"/>
  <c r="J30" i="33" s="1"/>
  <c r="H28" i="7"/>
  <c r="J28" i="33"/>
  <c r="J27" i="5"/>
  <c r="H27" i="33"/>
  <c r="H46" i="33"/>
  <c r="J46" i="33" s="1"/>
  <c r="H132" i="33"/>
  <c r="H132" i="7" s="1"/>
  <c r="J140" i="33"/>
  <c r="J24" i="8"/>
  <c r="H24" i="9"/>
  <c r="H24" i="10" s="1"/>
  <c r="J24" i="10" s="1"/>
  <c r="J23" i="33"/>
  <c r="H23" i="7"/>
  <c r="J19" i="33"/>
  <c r="H94" i="8"/>
  <c r="J94" i="7"/>
  <c r="H56" i="33"/>
  <c r="J56" i="5"/>
  <c r="H131" i="8"/>
  <c r="J131" i="7"/>
  <c r="H136" i="7"/>
  <c r="J136" i="33"/>
  <c r="J130" i="33"/>
  <c r="H130" i="7"/>
  <c r="H137" i="7"/>
  <c r="J137" i="33"/>
  <c r="J92" i="33"/>
  <c r="H92" i="7"/>
  <c r="H77" i="7"/>
  <c r="J77" i="33"/>
  <c r="J64" i="33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 i="33"/>
  <c r="H35" i="7"/>
  <c r="H20" i="5"/>
  <c r="J20" i="4"/>
  <c r="J9" i="33"/>
  <c r="H9" i="7"/>
  <c r="H11" i="8"/>
  <c r="J11" i="7"/>
  <c r="J19" i="7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 i="7"/>
  <c r="J127" i="33"/>
  <c r="J126" i="33"/>
  <c r="H126" i="7"/>
  <c r="H124" i="7"/>
  <c r="J124" i="33"/>
  <c r="H123" i="7"/>
  <c r="J123" i="33"/>
  <c r="H100" i="7"/>
  <c r="J100" i="33"/>
  <c r="H99" i="7"/>
  <c r="J99" i="33"/>
  <c r="J98" i="33"/>
  <c r="H98" i="7"/>
  <c r="H97" i="7"/>
  <c r="J97" i="33"/>
  <c r="J96" i="33"/>
  <c r="H96" i="7"/>
  <c r="H101" i="7"/>
  <c r="J101" i="33"/>
  <c r="J95" i="5"/>
  <c r="H95" i="33"/>
  <c r="J93" i="5"/>
  <c r="H93" i="33"/>
  <c r="H84" i="33"/>
  <c r="J84" i="5"/>
  <c r="H85" i="33"/>
  <c r="J85" i="5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J72" i="5"/>
  <c r="H72" i="33"/>
  <c r="H69" i="33"/>
  <c r="J69" i="5"/>
  <c r="H67" i="7"/>
  <c r="J67" i="33"/>
  <c r="J66" i="33"/>
  <c r="H66" i="7"/>
  <c r="J65" i="33"/>
  <c r="H65" i="7"/>
  <c r="J63" i="33"/>
  <c r="H63" i="7"/>
  <c r="J58" i="33"/>
  <c r="H58" i="7"/>
  <c r="H55" i="33"/>
  <c r="J55" i="5"/>
  <c r="J54" i="5"/>
  <c r="H54" i="33"/>
  <c r="J53" i="33"/>
  <c r="H53" i="7"/>
  <c r="J148" i="5"/>
  <c r="H148" i="33"/>
  <c r="H52" i="7"/>
  <c r="J52" i="33"/>
  <c r="H51" i="7"/>
  <c r="J51" i="33"/>
  <c r="H59" i="7"/>
  <c r="J59" i="33"/>
  <c r="J49" i="33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 i="33"/>
  <c r="J146" i="5"/>
  <c r="J60" i="3"/>
  <c r="H60" i="4"/>
  <c r="J47" i="4"/>
  <c r="H47" i="5"/>
  <c r="J15" i="5"/>
  <c r="I16" i="5" s="1"/>
  <c r="H15" i="33"/>
  <c r="H12" i="8"/>
  <c r="J12" i="7"/>
  <c r="J10" i="33"/>
  <c r="H10" i="7"/>
  <c r="J13" i="5"/>
  <c r="H13" i="33"/>
  <c r="H149" i="33"/>
  <c r="J149" i="5"/>
  <c r="J7" i="5"/>
  <c r="H7" i="33"/>
  <c r="H143" i="33"/>
  <c r="J143" i="5"/>
  <c r="H145" i="33"/>
  <c r="J145" i="5"/>
  <c r="H147" i="33"/>
  <c r="J147" i="5"/>
  <c r="H150" i="7" l="1"/>
  <c r="H150" i="8" s="1"/>
  <c r="J119" i="7"/>
  <c r="J151" i="5"/>
  <c r="J18" i="33"/>
  <c r="H31" i="8"/>
  <c r="J31" i="7"/>
  <c r="H118" i="9"/>
  <c r="J118" i="8"/>
  <c r="H119" i="9"/>
  <c r="J119" i="8"/>
  <c r="J153" i="4"/>
  <c r="H32" i="4"/>
  <c r="J32" i="4" s="1"/>
  <c r="J152" i="5"/>
  <c r="H152" i="33"/>
  <c r="H128" i="7"/>
  <c r="J128" i="7" s="1"/>
  <c r="J22" i="8"/>
  <c r="J22" i="7"/>
  <c r="J22" i="9"/>
  <c r="J128" i="22"/>
  <c r="H128" i="23"/>
  <c r="H29" i="33"/>
  <c r="J29" i="5"/>
  <c r="H30" i="7"/>
  <c r="J30" i="7" s="1"/>
  <c r="H28" i="8"/>
  <c r="J28" i="7"/>
  <c r="H27" i="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i="10" s="1"/>
  <c r="H18" i="8"/>
  <c r="J18" i="7"/>
  <c r="J56" i="33"/>
  <c r="H56" i="7"/>
  <c r="H137" i="8"/>
  <c r="J137" i="7"/>
  <c r="J136" i="7"/>
  <c r="H136" i="8"/>
  <c r="J131" i="8"/>
  <c r="H131" i="9"/>
  <c r="H131" i="10" s="1"/>
  <c r="J131" i="10" s="1"/>
  <c r="H130" i="8"/>
  <c r="J130" i="7"/>
  <c r="J92" i="7"/>
  <c r="H92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45" i="10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i="10" s="1"/>
  <c r="J11" i="8"/>
  <c r="H19" i="9"/>
  <c r="H19" i="10" s="1"/>
  <c r="J19" i="10" s="1"/>
  <c r="J19" i="8"/>
  <c r="H140" i="9"/>
  <c r="H140" i="10" s="1"/>
  <c r="J140" i="10" s="1"/>
  <c r="J140" i="8"/>
  <c r="J139" i="33"/>
  <c r="H139" i="7"/>
  <c r="H138" i="9"/>
  <c r="H138" i="10" s="1"/>
  <c r="J138" i="10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 i="7"/>
  <c r="H100" i="8"/>
  <c r="H99" i="8"/>
  <c r="J99" i="7"/>
  <c r="J98" i="7"/>
  <c r="H98" i="8"/>
  <c r="H97" i="8"/>
  <c r="J97" i="7"/>
  <c r="J96" i="7"/>
  <c r="H96" i="8"/>
  <c r="H101" i="8"/>
  <c r="J101" i="7"/>
  <c r="J95" i="33"/>
  <c r="H95" i="7"/>
  <c r="J93" i="33"/>
  <c r="H93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8" i="7"/>
  <c r="J148" i="33"/>
  <c r="H52" i="8"/>
  <c r="J52" i="7"/>
  <c r="J51" i="7"/>
  <c r="H51" i="8"/>
  <c r="J49" i="7"/>
  <c r="H49" i="8"/>
  <c r="H59" i="8"/>
  <c r="J59" i="7"/>
  <c r="J142" i="7"/>
  <c r="H142" i="8"/>
  <c r="J43" i="8"/>
  <c r="H43" i="9"/>
  <c r="H43" i="10" s="1"/>
  <c r="J43" i="10" s="1"/>
  <c r="J42" i="33"/>
  <c r="H42" i="7"/>
  <c r="J144" i="7"/>
  <c r="H144" i="8"/>
  <c r="H41" i="7"/>
  <c r="J41" i="33"/>
  <c r="J60" i="4"/>
  <c r="H60" i="5"/>
  <c r="J146" i="33"/>
  <c r="H146" i="7"/>
  <c r="H47" i="33"/>
  <c r="J47" i="5"/>
  <c r="J39" i="7"/>
  <c r="H39" i="8"/>
  <c r="J15" i="33"/>
  <c r="I16" i="33" s="1"/>
  <c r="H15" i="7"/>
  <c r="J12" i="8"/>
  <c r="H12" i="9"/>
  <c r="H12" i="10" s="1"/>
  <c r="J12" i="10" s="1"/>
  <c r="J10" i="7"/>
  <c r="H10" i="8"/>
  <c r="H13" i="7"/>
  <c r="J13" i="33"/>
  <c r="H7" i="7"/>
  <c r="J7" i="33"/>
  <c r="J147" i="33"/>
  <c r="H147" i="7"/>
  <c r="H151" i="7"/>
  <c r="J151" i="7" s="1"/>
  <c r="H153" i="7"/>
  <c r="J153" i="7" s="1"/>
  <c r="H145" i="7"/>
  <c r="J145" i="33"/>
  <c r="J143" i="33"/>
  <c r="H143" i="7"/>
  <c r="J149" i="33"/>
  <c r="H149" i="7"/>
  <c r="J150" i="7" l="1"/>
  <c r="H119" i="10"/>
  <c r="J119" i="9"/>
  <c r="H31" i="9"/>
  <c r="J31" i="8"/>
  <c r="H118" i="10"/>
  <c r="J118" i="9"/>
  <c r="H32" i="5"/>
  <c r="J152" i="33"/>
  <c r="H152" i="7"/>
  <c r="H128" i="8"/>
  <c r="J128" i="8" s="1"/>
  <c r="J128" i="23"/>
  <c r="H128" i="24"/>
  <c r="H29" i="7"/>
  <c r="J29" i="33"/>
  <c r="H30" i="8"/>
  <c r="J30" i="8" s="1"/>
  <c r="H28" i="9"/>
  <c r="H28" i="10" s="1"/>
  <c r="J28" i="10" s="1"/>
  <c r="J28" i="8"/>
  <c r="H27" i="8"/>
  <c r="J27" i="7"/>
  <c r="J46" i="7"/>
  <c r="H24" i="11"/>
  <c r="J23" i="8"/>
  <c r="H23" i="9"/>
  <c r="H23" i="10" s="1"/>
  <c r="J23" i="10" s="1"/>
  <c r="H22" i="12"/>
  <c r="J22" i="11"/>
  <c r="J94" i="9"/>
  <c r="J18" i="8"/>
  <c r="H18" i="9"/>
  <c r="H18" i="10" s="1"/>
  <c r="J18" i="10" s="1"/>
  <c r="J56" i="7"/>
  <c r="H56" i="8"/>
  <c r="H130" i="9"/>
  <c r="H130" i="10" s="1"/>
  <c r="J130" i="10" s="1"/>
  <c r="J130" i="8"/>
  <c r="J137" i="8"/>
  <c r="H137" i="9"/>
  <c r="H137" i="10" s="1"/>
  <c r="J137" i="10" s="1"/>
  <c r="J131" i="9"/>
  <c r="J136" i="8"/>
  <c r="H136" i="9"/>
  <c r="H136" i="10" s="1"/>
  <c r="J136" i="10" s="1"/>
  <c r="H92" i="9"/>
  <c r="H92" i="10" s="1"/>
  <c r="J92" i="10" s="1"/>
  <c r="J92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0" i="9"/>
  <c r="J139" i="7"/>
  <c r="H139" i="8"/>
  <c r="J138" i="9"/>
  <c r="J135" i="8"/>
  <c r="H135" i="9"/>
  <c r="H135" i="10" s="1"/>
  <c r="J135" i="10" s="1"/>
  <c r="J134" i="7"/>
  <c r="H134" i="8"/>
  <c r="H133" i="12"/>
  <c r="J133" i="11"/>
  <c r="J132" i="8"/>
  <c r="H132" i="9"/>
  <c r="H132" i="10" s="1"/>
  <c r="J132" i="10" s="1"/>
  <c r="H125" i="9"/>
  <c r="H125" i="10" s="1"/>
  <c r="J125" i="10" s="1"/>
  <c r="J125" i="8"/>
  <c r="J127" i="8"/>
  <c r="H127" i="9"/>
  <c r="H127" i="10" s="1"/>
  <c r="J127" i="10" s="1"/>
  <c r="J126" i="8"/>
  <c r="H126" i="9"/>
  <c r="H126" i="10" s="1"/>
  <c r="J126" i="10" s="1"/>
  <c r="H124" i="9"/>
  <c r="H124" i="10" s="1"/>
  <c r="J124" i="10" s="1"/>
  <c r="J124" i="8"/>
  <c r="H123" i="9"/>
  <c r="H123" i="10" s="1"/>
  <c r="J123" i="10" s="1"/>
  <c r="J123" i="8"/>
  <c r="J100" i="8"/>
  <c r="H100" i="9"/>
  <c r="H100" i="10" s="1"/>
  <c r="J100" i="10" s="1"/>
  <c r="H99" i="9"/>
  <c r="H99" i="10" s="1"/>
  <c r="J99" i="10" s="1"/>
  <c r="J99" i="8"/>
  <c r="J98" i="8"/>
  <c r="H98" i="9"/>
  <c r="H98" i="10" s="1"/>
  <c r="J98" i="10" s="1"/>
  <c r="H97" i="9"/>
  <c r="H97" i="10" s="1"/>
  <c r="J97" i="10" s="1"/>
  <c r="J97" i="8"/>
  <c r="J96" i="8"/>
  <c r="H96" i="9"/>
  <c r="H96" i="10" s="1"/>
  <c r="J96" i="10" s="1"/>
  <c r="H95" i="8"/>
  <c r="J95" i="7"/>
  <c r="H101" i="9"/>
  <c r="H101" i="10" s="1"/>
  <c r="J101" i="10" s="1"/>
  <c r="J101" i="8"/>
  <c r="H93" i="8"/>
  <c r="J93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8" i="7"/>
  <c r="H148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10" s="1"/>
  <c r="J46" i="8"/>
  <c r="H142" i="9"/>
  <c r="H142" i="10" s="1"/>
  <c r="J142" i="10" s="1"/>
  <c r="J142" i="8"/>
  <c r="J43" i="9"/>
  <c r="H42" i="8"/>
  <c r="J42" i="7"/>
  <c r="H144" i="9"/>
  <c r="H144" i="10" s="1"/>
  <c r="J144" i="10" s="1"/>
  <c r="J144" i="8"/>
  <c r="H41" i="8"/>
  <c r="J41" i="7"/>
  <c r="H60" i="33"/>
  <c r="J60" i="5"/>
  <c r="H39" i="9"/>
  <c r="H39" i="10" s="1"/>
  <c r="J39" i="10" s="1"/>
  <c r="J39" i="8"/>
  <c r="J146" i="7"/>
  <c r="H146" i="8"/>
  <c r="J47" i="33"/>
  <c r="H47" i="7"/>
  <c r="J150" i="8"/>
  <c r="H150" i="9"/>
  <c r="H150" i="10" s="1"/>
  <c r="J150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49" i="8"/>
  <c r="J149" i="7"/>
  <c r="H153" i="8"/>
  <c r="J153" i="8" s="1"/>
  <c r="H143" i="8"/>
  <c r="J143" i="7"/>
  <c r="H151" i="8"/>
  <c r="J151" i="8" s="1"/>
  <c r="H147" i="8"/>
  <c r="J147" i="7"/>
  <c r="H145" i="8"/>
  <c r="J145" i="7"/>
  <c r="J7" i="7"/>
  <c r="H7" i="8"/>
  <c r="H32" i="33" l="1"/>
  <c r="H32" i="7" s="1"/>
  <c r="J32" i="5"/>
  <c r="J118" i="10"/>
  <c r="H118" i="11"/>
  <c r="J118" i="11" s="1"/>
  <c r="J119" i="10"/>
  <c r="H119" i="11"/>
  <c r="J119" i="11" s="1"/>
  <c r="J31" i="9"/>
  <c r="H31" i="10"/>
  <c r="J152" i="7"/>
  <c r="H152" i="8"/>
  <c r="J77" i="9"/>
  <c r="H77" i="10"/>
  <c r="J77" i="10" s="1"/>
  <c r="J128" i="24"/>
  <c r="H128" i="25"/>
  <c r="J29" i="7"/>
  <c r="H29" i="8"/>
  <c r="H30" i="9"/>
  <c r="J27" i="8"/>
  <c r="H27" i="9"/>
  <c r="H27" i="10" s="1"/>
  <c r="J27" i="10" s="1"/>
  <c r="H28" i="11"/>
  <c r="J28" i="9"/>
  <c r="J24" i="11"/>
  <c r="H24" i="12"/>
  <c r="J23" i="9"/>
  <c r="H22" i="13"/>
  <c r="J22" i="12"/>
  <c r="H94" i="11"/>
  <c r="J18" i="9"/>
  <c r="H56" i="9"/>
  <c r="H56" i="10" s="1"/>
  <c r="J56" i="10" s="1"/>
  <c r="J56" i="8"/>
  <c r="H131" i="11"/>
  <c r="J130" i="9"/>
  <c r="J136" i="9"/>
  <c r="J137" i="9"/>
  <c r="J92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H45" i="11"/>
  <c r="J40" i="9"/>
  <c r="H20" i="8"/>
  <c r="J20" i="7"/>
  <c r="J9" i="9"/>
  <c r="H9" i="11"/>
  <c r="J9" i="11" s="1"/>
  <c r="H19" i="11"/>
  <c r="H140" i="11"/>
  <c r="H139" i="9"/>
  <c r="H139" i="10" s="1"/>
  <c r="J139" i="10" s="1"/>
  <c r="J139" i="8"/>
  <c r="H138" i="11"/>
  <c r="J135" i="9"/>
  <c r="H134" i="9"/>
  <c r="H134" i="10" s="1"/>
  <c r="J134" i="10" s="1"/>
  <c r="J134" i="8"/>
  <c r="H133" i="13"/>
  <c r="J133" i="12"/>
  <c r="J132" i="9"/>
  <c r="J125" i="9"/>
  <c r="J127" i="9"/>
  <c r="J126" i="9"/>
  <c r="J124" i="9"/>
  <c r="J123" i="9"/>
  <c r="J100" i="9"/>
  <c r="J99" i="9"/>
  <c r="J98" i="9"/>
  <c r="J97" i="9"/>
  <c r="J96" i="9"/>
  <c r="J101" i="9"/>
  <c r="J95" i="8"/>
  <c r="H95" i="9"/>
  <c r="H95" i="10" s="1"/>
  <c r="J95" i="10" s="1"/>
  <c r="J93" i="8"/>
  <c r="H93" i="9"/>
  <c r="H93" i="10" s="1"/>
  <c r="J93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8" i="9"/>
  <c r="H148" i="10" s="1"/>
  <c r="J148" i="10" s="1"/>
  <c r="J148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2" i="9"/>
  <c r="H42" i="9"/>
  <c r="H42" i="10" s="1"/>
  <c r="J42" i="10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i="10" s="1"/>
  <c r="J146" i="8"/>
  <c r="J150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5" i="8"/>
  <c r="H145" i="9"/>
  <c r="H145" i="10" s="1"/>
  <c r="J145" i="10" s="1"/>
  <c r="H151" i="9"/>
  <c r="H153" i="9"/>
  <c r="H147" i="9"/>
  <c r="H147" i="10" s="1"/>
  <c r="J147" i="10" s="1"/>
  <c r="J147" i="8"/>
  <c r="H143" i="9"/>
  <c r="H143" i="10" s="1"/>
  <c r="J143" i="10" s="1"/>
  <c r="J143" i="8"/>
  <c r="H149" i="9"/>
  <c r="H149" i="10" s="1"/>
  <c r="J149" i="10" s="1"/>
  <c r="J149" i="8"/>
  <c r="J32" i="33" l="1"/>
  <c r="H31" i="11"/>
  <c r="J31" i="10"/>
  <c r="J152" i="8"/>
  <c r="H152" i="9"/>
  <c r="J13" i="10"/>
  <c r="H13" i="12"/>
  <c r="J30" i="9"/>
  <c r="H30" i="10"/>
  <c r="J30" i="10" s="1"/>
  <c r="J41" i="10"/>
  <c r="H41" i="11"/>
  <c r="J44" i="10"/>
  <c r="H44" i="11"/>
  <c r="J151" i="9"/>
  <c r="H151" i="10"/>
  <c r="J151" i="10" s="1"/>
  <c r="J153" i="9"/>
  <c r="H153" i="10"/>
  <c r="J153" i="10" s="1"/>
  <c r="J7" i="9"/>
  <c r="I9" i="9" s="1"/>
  <c r="H7" i="10"/>
  <c r="J7" i="10" s="1"/>
  <c r="I9" i="10" s="1"/>
  <c r="J128" i="25"/>
  <c r="H128" i="40"/>
  <c r="J29" i="8"/>
  <c r="H29" i="9"/>
  <c r="H29" i="10" s="1"/>
  <c r="J29" i="10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 i="11"/>
  <c r="H56" i="12"/>
  <c r="J56" i="12" s="1"/>
  <c r="J56" i="9"/>
  <c r="H137" i="11"/>
  <c r="G196" i="11" s="1"/>
  <c r="H196" i="11" s="1"/>
  <c r="H130" i="11"/>
  <c r="G194" i="11" s="1"/>
  <c r="H194" i="11" s="1"/>
  <c r="H136" i="11"/>
  <c r="H131" i="12"/>
  <c r="J131" i="11"/>
  <c r="H92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9" i="12"/>
  <c r="J19" i="11"/>
  <c r="J140" i="11"/>
  <c r="H140" i="12"/>
  <c r="J139" i="9"/>
  <c r="J138" i="11"/>
  <c r="H138" i="12"/>
  <c r="H135" i="11"/>
  <c r="J134" i="9"/>
  <c r="J133" i="13"/>
  <c r="H133" i="14"/>
  <c r="H132" i="11"/>
  <c r="H125" i="11"/>
  <c r="H127" i="11"/>
  <c r="H126" i="11"/>
  <c r="H124" i="11"/>
  <c r="H123" i="11"/>
  <c r="H100" i="11"/>
  <c r="H99" i="11"/>
  <c r="H98" i="11"/>
  <c r="H97" i="11"/>
  <c r="H96" i="11"/>
  <c r="H101" i="11"/>
  <c r="J95" i="9"/>
  <c r="J93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8" i="9"/>
  <c r="H51" i="11"/>
  <c r="H59" i="11"/>
  <c r="H49" i="11"/>
  <c r="H46" i="11"/>
  <c r="H43" i="12"/>
  <c r="J43" i="11"/>
  <c r="H142" i="11"/>
  <c r="J42" i="9"/>
  <c r="J41" i="9"/>
  <c r="H144" i="11"/>
  <c r="H60" i="8"/>
  <c r="J60" i="7"/>
  <c r="J146" i="9"/>
  <c r="J47" i="8"/>
  <c r="H47" i="9"/>
  <c r="H47" i="10" s="1"/>
  <c r="J47" i="10" s="1"/>
  <c r="H39" i="11"/>
  <c r="H150" i="11"/>
  <c r="J15" i="9"/>
  <c r="I16" i="9" s="1"/>
  <c r="H12" i="12"/>
  <c r="H12" i="13" s="1"/>
  <c r="H12" i="14" s="1"/>
  <c r="H13" i="11"/>
  <c r="J13" i="9"/>
  <c r="J147" i="9"/>
  <c r="J145" i="9"/>
  <c r="J149" i="9"/>
  <c r="J143" i="9"/>
  <c r="H31" i="12" l="1"/>
  <c r="J31" i="11"/>
  <c r="H152" i="10"/>
  <c r="J152" i="9"/>
  <c r="H30" i="11"/>
  <c r="J30" i="11" s="1"/>
  <c r="J128" i="40"/>
  <c r="H128" i="27"/>
  <c r="H29" i="11"/>
  <c r="J29" i="9"/>
  <c r="H28" i="13"/>
  <c r="J28" i="12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4" i="13"/>
  <c r="J94" i="12"/>
  <c r="H18" i="12"/>
  <c r="J18" i="11"/>
  <c r="H56" i="11"/>
  <c r="J131" i="12"/>
  <c r="H131" i="13"/>
  <c r="H130" i="12"/>
  <c r="J130" i="11"/>
  <c r="J136" i="11"/>
  <c r="H136" i="12"/>
  <c r="J137" i="11"/>
  <c r="H137" i="12"/>
  <c r="H92" i="12"/>
  <c r="J92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 i="12"/>
  <c r="H19" i="13"/>
  <c r="H140" i="13"/>
  <c r="J140" i="12"/>
  <c r="H139" i="11"/>
  <c r="F198" i="11" s="1"/>
  <c r="H138" i="13"/>
  <c r="J138" i="12"/>
  <c r="H135" i="12"/>
  <c r="J135" i="11"/>
  <c r="H134" i="11"/>
  <c r="H133" i="15"/>
  <c r="J133" i="14"/>
  <c r="J132" i="11"/>
  <c r="H132" i="12"/>
  <c r="J125" i="11"/>
  <c r="H125" i="12"/>
  <c r="H127" i="12"/>
  <c r="J127" i="11"/>
  <c r="H126" i="12"/>
  <c r="J126" i="11"/>
  <c r="H124" i="12"/>
  <c r="J124" i="11"/>
  <c r="J123" i="11"/>
  <c r="H123" i="12"/>
  <c r="J100" i="11"/>
  <c r="H100" i="12"/>
  <c r="H99" i="12"/>
  <c r="J99" i="11"/>
  <c r="H98" i="12"/>
  <c r="J98" i="11"/>
  <c r="J97" i="11"/>
  <c r="H97" i="12"/>
  <c r="H96" i="12"/>
  <c r="J96" i="11"/>
  <c r="J101" i="11"/>
  <c r="H101" i="12"/>
  <c r="H95" i="11"/>
  <c r="H93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8" i="11"/>
  <c r="J51" i="11"/>
  <c r="J49" i="11"/>
  <c r="J59" i="11"/>
  <c r="J46" i="11"/>
  <c r="H46" i="12"/>
  <c r="J142" i="11"/>
  <c r="H142" i="12"/>
  <c r="J43" i="12"/>
  <c r="H43" i="13"/>
  <c r="H42" i="11"/>
  <c r="H144" i="12"/>
  <c r="J144" i="11"/>
  <c r="J47" i="9"/>
  <c r="J60" i="8"/>
  <c r="H60" i="9"/>
  <c r="H60" i="10" s="1"/>
  <c r="H39" i="12"/>
  <c r="J39" i="11"/>
  <c r="H146" i="11"/>
  <c r="H150" i="12"/>
  <c r="J150" i="11"/>
  <c r="H15" i="11"/>
  <c r="J12" i="12"/>
  <c r="H10" i="12"/>
  <c r="H10" i="13" s="1"/>
  <c r="H10" i="14" s="1"/>
  <c r="H151" i="11"/>
  <c r="H143" i="11"/>
  <c r="H153" i="11"/>
  <c r="H7" i="11"/>
  <c r="H145" i="11"/>
  <c r="H149" i="11"/>
  <c r="H147" i="11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i="12" s="1"/>
  <c r="J60" i="10"/>
  <c r="H60" i="11"/>
  <c r="H60" i="12" s="1"/>
  <c r="J128" i="27"/>
  <c r="H128" i="28"/>
  <c r="J128" i="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 i="13"/>
  <c r="H131" i="14"/>
  <c r="J137" i="12"/>
  <c r="H137" i="13"/>
  <c r="H92" i="13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 i="13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 i="12"/>
  <c r="H125" i="13"/>
  <c r="J127" i="12"/>
  <c r="H127" i="13"/>
  <c r="J126" i="12"/>
  <c r="H126" i="13"/>
  <c r="J124" i="12"/>
  <c r="H124" i="13"/>
  <c r="J123" i="12"/>
  <c r="H123" i="13"/>
  <c r="H100" i="13"/>
  <c r="J100" i="12"/>
  <c r="H99" i="13"/>
  <c r="J99" i="12"/>
  <c r="H98" i="13"/>
  <c r="J98" i="12"/>
  <c r="J97" i="12"/>
  <c r="H97" i="13"/>
  <c r="J96" i="12"/>
  <c r="H96" i="13"/>
  <c r="J101" i="12"/>
  <c r="H101" i="13"/>
  <c r="H95" i="12"/>
  <c r="J95" i="11"/>
  <c r="H93" i="12"/>
  <c r="J93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H52" i="13"/>
  <c r="J148" i="11"/>
  <c r="H148" i="12"/>
  <c r="H51" i="13"/>
  <c r="H49" i="13"/>
  <c r="H59" i="13"/>
  <c r="H46" i="13"/>
  <c r="J46" i="12"/>
  <c r="J142" i="12"/>
  <c r="H142" i="13"/>
  <c r="H43" i="14"/>
  <c r="J43" i="13"/>
  <c r="J42" i="11"/>
  <c r="H42" i="12"/>
  <c r="J144" i="12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i="11" s="1"/>
  <c r="H15" i="12"/>
  <c r="J12" i="13"/>
  <c r="J10" i="12"/>
  <c r="H13" i="13"/>
  <c r="H13" i="14" s="1"/>
  <c r="J13" i="11"/>
  <c r="J145" i="11"/>
  <c r="H145" i="12"/>
  <c r="H151" i="12"/>
  <c r="J151" i="11"/>
  <c r="J143" i="11"/>
  <c r="H143" i="12"/>
  <c r="J149" i="11"/>
  <c r="H149" i="12"/>
  <c r="J7" i="11"/>
  <c r="I9" i="11" s="1"/>
  <c r="H7" i="12"/>
  <c r="H153" i="12"/>
  <c r="J153" i="11"/>
  <c r="H147" i="12"/>
  <c r="J147" i="11"/>
  <c r="H31" i="21" l="1"/>
  <c r="J31" i="20"/>
  <c r="H152" i="12"/>
  <c r="H152" i="13" s="1"/>
  <c r="J152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 i="14"/>
  <c r="J92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H11" i="15"/>
  <c r="J11" i="14"/>
  <c r="J9" i="13"/>
  <c r="J19" i="14"/>
  <c r="H19" i="15"/>
  <c r="H140" i="15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 i="13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 i="14"/>
  <c r="J96" i="13"/>
  <c r="J101" i="13"/>
  <c r="H101" i="14"/>
  <c r="J95" i="12"/>
  <c r="H95" i="13"/>
  <c r="H93" i="13"/>
  <c r="J93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H52" i="14"/>
  <c r="J148" i="12"/>
  <c r="H148" i="13"/>
  <c r="H51" i="14"/>
  <c r="J51" i="13"/>
  <c r="H49" i="14"/>
  <c r="J49" i="13"/>
  <c r="J59" i="13"/>
  <c r="H59" i="14"/>
  <c r="J46" i="13"/>
  <c r="H46" i="14"/>
  <c r="H142" i="14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i="12" s="1"/>
  <c r="H15" i="13"/>
  <c r="H128" i="13" s="1"/>
  <c r="H12" i="15"/>
  <c r="J12" i="14"/>
  <c r="J10" i="13"/>
  <c r="J13" i="12"/>
  <c r="H149" i="13"/>
  <c r="J149" i="12"/>
  <c r="H145" i="13"/>
  <c r="J145" i="12"/>
  <c r="H153" i="13"/>
  <c r="J153" i="13" s="1"/>
  <c r="J153" i="12"/>
  <c r="H7" i="13"/>
  <c r="J7" i="12"/>
  <c r="I9" i="12" s="1"/>
  <c r="J143" i="12"/>
  <c r="H143" i="13"/>
  <c r="J147" i="12"/>
  <c r="H147" i="13"/>
  <c r="J151" i="12"/>
  <c r="H151" i="13"/>
  <c r="J151" i="13" s="1"/>
  <c r="H31" i="22" l="1"/>
  <c r="J31" i="21"/>
  <c r="J152" i="13"/>
  <c r="H152" i="14"/>
  <c r="H30" i="14"/>
  <c r="J30" i="14" s="1"/>
  <c r="H29" i="14"/>
  <c r="J29" i="13"/>
  <c r="H28" i="16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4" i="16"/>
  <c r="J94" i="15"/>
  <c r="H18" i="15"/>
  <c r="J18" i="14"/>
  <c r="H56" i="14"/>
  <c r="J56" i="13"/>
  <c r="J137" i="14"/>
  <c r="H137" i="15"/>
  <c r="H131" i="16"/>
  <c r="J131" i="15"/>
  <c r="H136" i="15"/>
  <c r="J136" i="14"/>
  <c r="H130" i="15"/>
  <c r="J130" i="14"/>
  <c r="H92" i="15"/>
  <c r="J92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0" i="15"/>
  <c r="H140" i="16"/>
  <c r="H139" i="14"/>
  <c r="J139" i="13"/>
  <c r="J138" i="15"/>
  <c r="H138" i="16"/>
  <c r="H135" i="15"/>
  <c r="J135" i="14"/>
  <c r="H134" i="14"/>
  <c r="J134" i="13"/>
  <c r="H133" i="18"/>
  <c r="H133" i="19" s="1"/>
  <c r="J133" i="17"/>
  <c r="H132" i="15"/>
  <c r="J132" i="14"/>
  <c r="J125" i="14"/>
  <c r="H125" i="15"/>
  <c r="J127" i="14"/>
  <c r="H127" i="15"/>
  <c r="H126" i="15"/>
  <c r="J126" i="14"/>
  <c r="H124" i="15"/>
  <c r="J124" i="14"/>
  <c r="H123" i="15"/>
  <c r="J123" i="14"/>
  <c r="H100" i="15"/>
  <c r="J100" i="14"/>
  <c r="H99" i="15"/>
  <c r="J99" i="14"/>
  <c r="H98" i="15"/>
  <c r="J98" i="14"/>
  <c r="J97" i="14"/>
  <c r="H97" i="15"/>
  <c r="J96" i="14"/>
  <c r="H96" i="15"/>
  <c r="H101" i="15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8" i="13"/>
  <c r="H148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i="13" s="1"/>
  <c r="H15" i="14"/>
  <c r="J12" i="15"/>
  <c r="H12" i="16"/>
  <c r="H10" i="15"/>
  <c r="J10" i="14"/>
  <c r="J13" i="13"/>
  <c r="H151" i="14"/>
  <c r="H147" i="14"/>
  <c r="J147" i="13"/>
  <c r="H143" i="14"/>
  <c r="J143" i="13"/>
  <c r="J7" i="13"/>
  <c r="I9" i="13" s="1"/>
  <c r="H7" i="14"/>
  <c r="H145" i="14"/>
  <c r="J145" i="13"/>
  <c r="H153" i="14"/>
  <c r="H149" i="14"/>
  <c r="J149" i="13"/>
  <c r="H31" i="23" l="1"/>
  <c r="H31" i="24" s="1"/>
  <c r="H31" i="25" s="1"/>
  <c r="H31" i="40" s="1"/>
  <c r="H31" i="27" s="1"/>
  <c r="H31" i="28" s="1"/>
  <c r="H31" i="29" s="1"/>
  <c r="H31" i="30" s="1"/>
  <c r="H31" i="43" s="1"/>
  <c r="H31" i="31" s="1"/>
  <c r="J31" i="22"/>
  <c r="J152" i="14"/>
  <c r="H152" i="15"/>
  <c r="H30" i="15"/>
  <c r="J30" i="15" s="1"/>
  <c r="J29" i="14"/>
  <c r="H29" i="15"/>
  <c r="H32" i="14"/>
  <c r="J32" i="13"/>
  <c r="H28" i="17"/>
  <c r="J28" i="16"/>
  <c r="J27" i="15"/>
  <c r="H27" i="16"/>
  <c r="J77" i="15"/>
  <c r="H73" i="15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 i="16"/>
  <c r="J136" i="15"/>
  <c r="J92" i="15"/>
  <c r="H92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0" i="17"/>
  <c r="J140" i="16"/>
  <c r="H139" i="15"/>
  <c r="J139" i="14"/>
  <c r="H138" i="17"/>
  <c r="J138" i="16"/>
  <c r="H135" i="16"/>
  <c r="J135" i="15"/>
  <c r="H134" i="15"/>
  <c r="J134" i="14"/>
  <c r="J133" i="18"/>
  <c r="H132" i="16"/>
  <c r="J132" i="15"/>
  <c r="J125" i="15"/>
  <c r="H125" i="16"/>
  <c r="H127" i="16"/>
  <c r="J127" i="15"/>
  <c r="J126" i="15"/>
  <c r="H126" i="16"/>
  <c r="J124" i="15"/>
  <c r="H124" i="16"/>
  <c r="J123" i="15"/>
  <c r="H123" i="16"/>
  <c r="J100" i="15"/>
  <c r="H100" i="16"/>
  <c r="H99" i="16"/>
  <c r="J99" i="15"/>
  <c r="H98" i="16"/>
  <c r="J98" i="15"/>
  <c r="J97" i="15"/>
  <c r="H97" i="16"/>
  <c r="H96" i="16"/>
  <c r="J96" i="15"/>
  <c r="H101" i="16"/>
  <c r="J101" i="15"/>
  <c r="H95" i="15"/>
  <c r="J95" i="14"/>
  <c r="J93" i="14"/>
  <c r="H93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8" i="14"/>
  <c r="H148" i="15"/>
  <c r="J52" i="15"/>
  <c r="H52" i="16"/>
  <c r="H51" i="16"/>
  <c r="J51" i="15"/>
  <c r="H49" i="16"/>
  <c r="J49" i="15"/>
  <c r="H59" i="16"/>
  <c r="J59" i="15"/>
  <c r="J46" i="15"/>
  <c r="H46" i="16"/>
  <c r="H142" i="16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i="14" s="1"/>
  <c r="H12" i="17"/>
  <c r="J12" i="16"/>
  <c r="J10" i="15"/>
  <c r="H10" i="16"/>
  <c r="J13" i="14"/>
  <c r="H13" i="15"/>
  <c r="J147" i="14"/>
  <c r="H147" i="15"/>
  <c r="H153" i="15"/>
  <c r="J153" i="14"/>
  <c r="H7" i="15"/>
  <c r="J7" i="14"/>
  <c r="I9" i="14" s="1"/>
  <c r="J149" i="14"/>
  <c r="H149" i="15"/>
  <c r="J145" i="14"/>
  <c r="H145" i="15"/>
  <c r="J143" i="14"/>
  <c r="H143" i="15"/>
  <c r="J151" i="14"/>
  <c r="H151" i="15"/>
  <c r="J152" i="15" l="1"/>
  <c r="H152" i="16"/>
  <c r="H30" i="16"/>
  <c r="J30" i="16" s="1"/>
  <c r="H29" i="16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 i="16"/>
  <c r="H136" i="17"/>
  <c r="J130" i="16"/>
  <c r="H130" i="17"/>
  <c r="J131" i="17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0" i="18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 i="16"/>
  <c r="H125" i="17"/>
  <c r="H127" i="17"/>
  <c r="J127" i="16"/>
  <c r="J126" i="16"/>
  <c r="H126" i="17"/>
  <c r="J124" i="16"/>
  <c r="H124" i="17"/>
  <c r="H123" i="17"/>
  <c r="J123" i="16"/>
  <c r="J100" i="16"/>
  <c r="H100" i="17"/>
  <c r="H99" i="17"/>
  <c r="J99" i="16"/>
  <c r="H98" i="17"/>
  <c r="J98" i="16"/>
  <c r="H97" i="17"/>
  <c r="J97" i="16"/>
  <c r="J96" i="16"/>
  <c r="H96" i="17"/>
  <c r="J95" i="15"/>
  <c r="H95" i="16"/>
  <c r="H101" i="17"/>
  <c r="J101" i="16"/>
  <c r="H93" i="16"/>
  <c r="J93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8" i="15"/>
  <c r="H148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2" i="16"/>
  <c r="H142" i="17"/>
  <c r="H142" i="18" s="1"/>
  <c r="J142" i="18" s="1"/>
  <c r="H42" i="16"/>
  <c r="J42" i="15"/>
  <c r="J144" i="16"/>
  <c r="H144" i="17"/>
  <c r="H41" i="16"/>
  <c r="J41" i="15"/>
  <c r="H60" i="14"/>
  <c r="J60" i="13"/>
  <c r="J47" i="14"/>
  <c r="H47" i="15"/>
  <c r="J146" i="15"/>
  <c r="H146" i="16"/>
  <c r="J39" i="16"/>
  <c r="H39" i="17"/>
  <c r="J150" i="16"/>
  <c r="H150" i="17"/>
  <c r="J15" i="15"/>
  <c r="I16" i="15" s="1"/>
  <c r="H15" i="16"/>
  <c r="J12" i="17"/>
  <c r="H12" i="18"/>
  <c r="J10" i="16"/>
  <c r="H10" i="17"/>
  <c r="J13" i="15"/>
  <c r="H13" i="16"/>
  <c r="H151" i="16"/>
  <c r="J151" i="15"/>
  <c r="J149" i="15"/>
  <c r="H149" i="16"/>
  <c r="J7" i="15"/>
  <c r="I9" i="15" s="1"/>
  <c r="H7" i="16"/>
  <c r="J143" i="15"/>
  <c r="H143" i="16"/>
  <c r="H145" i="16"/>
  <c r="J145" i="15"/>
  <c r="H147" i="16"/>
  <c r="J147" i="15"/>
  <c r="H153" i="16"/>
  <c r="J153" i="15"/>
  <c r="J152" i="16" l="1"/>
  <c r="H152" i="17"/>
  <c r="H30" i="17"/>
  <c r="J30" i="17" s="1"/>
  <c r="H29" i="17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 i="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0" i="18"/>
  <c r="J139" i="16"/>
  <c r="H139" i="17"/>
  <c r="J138" i="18"/>
  <c r="H135" i="18"/>
  <c r="H135" i="19" s="1"/>
  <c r="J135" i="17"/>
  <c r="H134" i="17"/>
  <c r="J134" i="16"/>
  <c r="J133" i="20"/>
  <c r="H133" i="21"/>
  <c r="H132" i="18"/>
  <c r="H132" i="19" s="1"/>
  <c r="J132" i="17"/>
  <c r="J125" i="17"/>
  <c r="H125" i="18"/>
  <c r="J127" i="17"/>
  <c r="H127" i="18"/>
  <c r="H126" i="18"/>
  <c r="J126" i="17"/>
  <c r="H124" i="18"/>
  <c r="J124" i="17"/>
  <c r="J123" i="17"/>
  <c r="H123" i="18"/>
  <c r="J100" i="17"/>
  <c r="H100" i="18"/>
  <c r="H99" i="18"/>
  <c r="J99" i="17"/>
  <c r="J98" i="17"/>
  <c r="H98" i="18"/>
  <c r="H97" i="18"/>
  <c r="J97" i="17"/>
  <c r="H96" i="18"/>
  <c r="J96" i="17"/>
  <c r="J95" i="16"/>
  <c r="H95" i="17"/>
  <c r="H101" i="18"/>
  <c r="J101" i="17"/>
  <c r="J93" i="16"/>
  <c r="H93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8" i="17"/>
  <c r="J148" i="16"/>
  <c r="J52" i="17"/>
  <c r="H52" i="18"/>
  <c r="H51" i="18"/>
  <c r="J51" i="17"/>
  <c r="H59" i="18"/>
  <c r="J59" i="17"/>
  <c r="J49" i="17"/>
  <c r="H49" i="18"/>
  <c r="H46" i="18"/>
  <c r="J46" i="17"/>
  <c r="J142" i="17"/>
  <c r="H43" i="19"/>
  <c r="J43" i="18"/>
  <c r="J42" i="16"/>
  <c r="H42" i="17"/>
  <c r="J144" i="17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i="16" s="1"/>
  <c r="H15" i="17"/>
  <c r="J15" i="17" s="1"/>
  <c r="H12" i="19"/>
  <c r="J12" i="18"/>
  <c r="H10" i="18"/>
  <c r="J10" i="17"/>
  <c r="J13" i="16"/>
  <c r="H13" i="17"/>
  <c r="J147" i="16"/>
  <c r="H147" i="17"/>
  <c r="H143" i="17"/>
  <c r="H143" i="18" s="1"/>
  <c r="J143" i="18" s="1"/>
  <c r="J143" i="16"/>
  <c r="J149" i="16"/>
  <c r="H149" i="17"/>
  <c r="H153" i="17"/>
  <c r="J153" i="16"/>
  <c r="H145" i="17"/>
  <c r="J145" i="16"/>
  <c r="J151" i="16"/>
  <c r="H151" i="17"/>
  <c r="H7" i="17"/>
  <c r="J7" i="16"/>
  <c r="I9" i="16" s="1"/>
  <c r="J152" i="17" l="1"/>
  <c r="H152" i="18"/>
  <c r="H30" i="18"/>
  <c r="H30" i="19" s="1"/>
  <c r="J30" i="19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 i="18"/>
  <c r="H131" i="20"/>
  <c r="J131" i="19"/>
  <c r="H130" i="19"/>
  <c r="J130" i="18"/>
  <c r="J137" i="18"/>
  <c r="J92" i="18"/>
  <c r="H92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H35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 i="19"/>
  <c r="H140" i="20"/>
  <c r="H139" i="18"/>
  <c r="H139" i="19" s="1"/>
  <c r="J139" i="17"/>
  <c r="H138" i="20"/>
  <c r="J138" i="19"/>
  <c r="J135" i="18"/>
  <c r="H134" i="18"/>
  <c r="H134" i="19" s="1"/>
  <c r="J134" i="17"/>
  <c r="H133" i="22"/>
  <c r="J133" i="21"/>
  <c r="J132" i="18"/>
  <c r="J125" i="18"/>
  <c r="H125" i="19"/>
  <c r="J127" i="18"/>
  <c r="H127" i="19"/>
  <c r="H126" i="19"/>
  <c r="J126" i="18"/>
  <c r="J124" i="18"/>
  <c r="H124" i="19"/>
  <c r="J123" i="18"/>
  <c r="H123" i="19"/>
  <c r="J100" i="18"/>
  <c r="H100" i="19"/>
  <c r="J99" i="18"/>
  <c r="H99" i="19"/>
  <c r="H98" i="19"/>
  <c r="J98" i="18"/>
  <c r="J97" i="18"/>
  <c r="H97" i="19"/>
  <c r="J96" i="18"/>
  <c r="H96" i="19"/>
  <c r="J95" i="17"/>
  <c r="H95" i="18"/>
  <c r="J101" i="18"/>
  <c r="H101" i="19"/>
  <c r="J93" i="17"/>
  <c r="H93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 i="18"/>
  <c r="J13" i="17"/>
  <c r="J7" i="17"/>
  <c r="I9" i="17" s="1"/>
  <c r="H7" i="18"/>
  <c r="J145" i="17"/>
  <c r="H145" i="18"/>
  <c r="J143" i="17"/>
  <c r="J153" i="17"/>
  <c r="H153" i="18"/>
  <c r="H151" i="18"/>
  <c r="J151" i="17"/>
  <c r="H149" i="18"/>
  <c r="J149" i="17"/>
  <c r="H147" i="18"/>
  <c r="J147" i="17"/>
  <c r="H152" i="19" l="1"/>
  <c r="J152" i="18"/>
  <c r="H30" i="20"/>
  <c r="J30" i="2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 i="19"/>
  <c r="H137" i="20"/>
  <c r="H131" i="21"/>
  <c r="J131" i="20"/>
  <c r="J130" i="19"/>
  <c r="H130" i="20"/>
  <c r="H92" i="20"/>
  <c r="J92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0" i="20"/>
  <c r="H140" i="21"/>
  <c r="J139" i="18"/>
  <c r="H138" i="21"/>
  <c r="J138" i="20"/>
  <c r="H135" i="20"/>
  <c r="J135" i="19"/>
  <c r="J134" i="18"/>
  <c r="J133" i="22"/>
  <c r="H133" i="23"/>
  <c r="H132" i="20"/>
  <c r="J132" i="19"/>
  <c r="J125" i="19"/>
  <c r="H125" i="20"/>
  <c r="J127" i="19"/>
  <c r="H127" i="20"/>
  <c r="H126" i="20"/>
  <c r="J126" i="19"/>
  <c r="H124" i="20"/>
  <c r="J124" i="19"/>
  <c r="H123" i="20"/>
  <c r="J123" i="19"/>
  <c r="J100" i="19"/>
  <c r="H100" i="20"/>
  <c r="H99" i="20"/>
  <c r="J99" i="19"/>
  <c r="H98" i="20"/>
  <c r="J98" i="19"/>
  <c r="H97" i="20"/>
  <c r="J97" i="19"/>
  <c r="H96" i="20"/>
  <c r="J96" i="19"/>
  <c r="J101" i="19"/>
  <c r="H101" i="20"/>
  <c r="J95" i="18"/>
  <c r="H95" i="19"/>
  <c r="J93" i="18"/>
  <c r="H93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8" i="18"/>
  <c r="H148" i="19"/>
  <c r="J51" i="19"/>
  <c r="H51" i="20"/>
  <c r="J49" i="19"/>
  <c r="H49" i="20"/>
  <c r="J59" i="19"/>
  <c r="H59" i="20"/>
  <c r="H46" i="20"/>
  <c r="J46" i="19"/>
  <c r="J43" i="20"/>
  <c r="H43" i="21"/>
  <c r="H142" i="20"/>
  <c r="J142" i="19"/>
  <c r="H42" i="19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i="18" s="1"/>
  <c r="J12" i="20"/>
  <c r="H12" i="21"/>
  <c r="J10" i="19"/>
  <c r="H10" i="20"/>
  <c r="H13" i="19"/>
  <c r="J13" i="18"/>
  <c r="J147" i="18"/>
  <c r="H147" i="19"/>
  <c r="H151" i="19"/>
  <c r="J151" i="18"/>
  <c r="H143" i="19"/>
  <c r="J7" i="18"/>
  <c r="I9" i="18" s="1"/>
  <c r="H7" i="19"/>
  <c r="H149" i="19"/>
  <c r="J149" i="18"/>
  <c r="H153" i="19"/>
  <c r="J153" i="19" s="1"/>
  <c r="J153" i="18"/>
  <c r="H145" i="19"/>
  <c r="J145" i="18"/>
  <c r="H152" i="20" l="1"/>
  <c r="J152" i="19"/>
  <c r="H30" i="21"/>
  <c r="J30" i="21" s="1"/>
  <c r="J29" i="19"/>
  <c r="H29" i="20"/>
  <c r="J27" i="20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i="25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 i="21"/>
  <c r="J92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i="25" s="1"/>
  <c r="J133" i="23"/>
  <c r="H132" i="21"/>
  <c r="J132" i="20"/>
  <c r="J125" i="20"/>
  <c r="H125" i="21"/>
  <c r="J127" i="20"/>
  <c r="H127" i="21"/>
  <c r="H126" i="21"/>
  <c r="J126" i="20"/>
  <c r="J124" i="20"/>
  <c r="H124" i="21"/>
  <c r="H123" i="21"/>
  <c r="J123" i="20"/>
  <c r="J100" i="20"/>
  <c r="H100" i="21"/>
  <c r="H99" i="21"/>
  <c r="J99" i="20"/>
  <c r="J98" i="20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8" i="20"/>
  <c r="J148" i="19"/>
  <c r="J51" i="20"/>
  <c r="H51" i="21"/>
  <c r="J49" i="20"/>
  <c r="H49" i="21"/>
  <c r="H59" i="21"/>
  <c r="J59" i="20"/>
  <c r="J46" i="20"/>
  <c r="H46" i="21"/>
  <c r="H43" i="22"/>
  <c r="J43" i="21"/>
  <c r="H142" i="21"/>
  <c r="J142" i="20"/>
  <c r="J42" i="19"/>
  <c r="H42" i="20"/>
  <c r="H144" i="21"/>
  <c r="J144" i="20"/>
  <c r="H41" i="20"/>
  <c r="J41" i="19"/>
  <c r="H39" i="21"/>
  <c r="J39" i="20"/>
  <c r="H146" i="20"/>
  <c r="J146" i="19"/>
  <c r="J60" i="17"/>
  <c r="H60" i="18"/>
  <c r="J47" i="18"/>
  <c r="H47" i="19"/>
  <c r="J150" i="20"/>
  <c r="H150" i="21"/>
  <c r="H15" i="20"/>
  <c r="J15" i="19"/>
  <c r="I16" i="19" s="1"/>
  <c r="H12" i="22"/>
  <c r="J12" i="21"/>
  <c r="J10" i="20"/>
  <c r="H10" i="21"/>
  <c r="H13" i="20"/>
  <c r="J13" i="19"/>
  <c r="H145" i="20"/>
  <c r="J145" i="19"/>
  <c r="J7" i="19"/>
  <c r="I9" i="19" s="1"/>
  <c r="H7" i="20"/>
  <c r="H147" i="20"/>
  <c r="J147" i="19"/>
  <c r="H153" i="20"/>
  <c r="H149" i="20"/>
  <c r="J149" i="19"/>
  <c r="H151" i="20"/>
  <c r="J151" i="20" s="1"/>
  <c r="J151" i="19"/>
  <c r="H143" i="20"/>
  <c r="J143" i="19"/>
  <c r="J152" i="20" l="1"/>
  <c r="H152" i="21"/>
  <c r="H30" i="22"/>
  <c r="J30" i="22" s="1"/>
  <c r="J29" i="20"/>
  <c r="H29" i="21"/>
  <c r="H28" i="23"/>
  <c r="J28" i="22"/>
  <c r="H32" i="20"/>
  <c r="J32" i="19"/>
  <c r="J27" i="21"/>
  <c r="H27" i="22"/>
  <c r="J24" i="23"/>
  <c r="H24" i="24"/>
  <c r="H24" i="25" s="1"/>
  <c r="J24" i="25" s="1"/>
  <c r="H23" i="22"/>
  <c r="J23" i="21"/>
  <c r="J22" i="24"/>
  <c r="J94" i="22"/>
  <c r="H94" i="23"/>
  <c r="H18" i="22"/>
  <c r="J18" i="21"/>
  <c r="J56" i="20"/>
  <c r="H56" i="21"/>
  <c r="J130" i="21"/>
  <c r="H130" i="22"/>
  <c r="H131" i="23"/>
  <c r="J131" i="22"/>
  <c r="H137" i="22"/>
  <c r="J137" i="21"/>
  <c r="J136" i="21"/>
  <c r="H136" i="22"/>
  <c r="H92" i="22"/>
  <c r="J92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0" i="22"/>
  <c r="H140" i="23"/>
  <c r="H140" i="24" s="1"/>
  <c r="H140" i="25" s="1"/>
  <c r="J140" i="25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 i="22"/>
  <c r="J127" i="21"/>
  <c r="J126" i="21"/>
  <c r="H126" i="22"/>
  <c r="J124" i="21"/>
  <c r="H124" i="22"/>
  <c r="H123" i="22"/>
  <c r="J123" i="21"/>
  <c r="J100" i="21"/>
  <c r="H100" i="22"/>
  <c r="H99" i="22"/>
  <c r="J99" i="21"/>
  <c r="H98" i="22"/>
  <c r="J98" i="21"/>
  <c r="J97" i="21"/>
  <c r="H97" i="22"/>
  <c r="H96" i="22"/>
  <c r="J96" i="21"/>
  <c r="H101" i="22"/>
  <c r="J101" i="21"/>
  <c r="H95" i="21"/>
  <c r="J95" i="20"/>
  <c r="H93" i="21"/>
  <c r="J93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8" i="21"/>
  <c r="J148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2" i="22"/>
  <c r="J142" i="21"/>
  <c r="H42" i="21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i="20" s="1"/>
  <c r="H15" i="21"/>
  <c r="H12" i="23"/>
  <c r="J12" i="22"/>
  <c r="H10" i="22"/>
  <c r="J10" i="21"/>
  <c r="J13" i="20"/>
  <c r="H13" i="21"/>
  <c r="H7" i="21"/>
  <c r="J7" i="20"/>
  <c r="H151" i="21"/>
  <c r="J151" i="21" s="1"/>
  <c r="H153" i="21"/>
  <c r="J153" i="21" s="1"/>
  <c r="J153" i="20"/>
  <c r="J143" i="20"/>
  <c r="H143" i="21"/>
  <c r="J149" i="20"/>
  <c r="H149" i="21"/>
  <c r="H147" i="21"/>
  <c r="J147" i="20"/>
  <c r="J145" i="20"/>
  <c r="H145" i="21"/>
  <c r="J152" i="21" l="1"/>
  <c r="H152" i="22"/>
  <c r="H30" i="23"/>
  <c r="J30" i="23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i="25" s="1"/>
  <c r="H18" i="23"/>
  <c r="J18" i="22"/>
  <c r="J56" i="21"/>
  <c r="H56" i="22"/>
  <c r="H130" i="23"/>
  <c r="J130" i="22"/>
  <c r="H131" i="24"/>
  <c r="H131" i="25" s="1"/>
  <c r="J131" i="25" s="1"/>
  <c r="J131" i="23"/>
  <c r="H137" i="23"/>
  <c r="J137" i="22"/>
  <c r="H136" i="23"/>
  <c r="J136" i="22"/>
  <c r="J92" i="22"/>
  <c r="H92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0" i="23"/>
  <c r="H139" i="22"/>
  <c r="J139" i="21"/>
  <c r="J138" i="23"/>
  <c r="H135" i="23"/>
  <c r="J135" i="22"/>
  <c r="H134" i="22"/>
  <c r="J134" i="21"/>
  <c r="H133" i="40"/>
  <c r="J132" i="22"/>
  <c r="H132" i="23"/>
  <c r="J125" i="22"/>
  <c r="H125" i="23"/>
  <c r="H127" i="23"/>
  <c r="J127" i="22"/>
  <c r="H126" i="23"/>
  <c r="J126" i="22"/>
  <c r="J124" i="22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8" i="21"/>
  <c r="H148" i="22"/>
  <c r="H51" i="23"/>
  <c r="J51" i="22"/>
  <c r="J49" i="22"/>
  <c r="H49" i="23"/>
  <c r="J59" i="22"/>
  <c r="H59" i="23"/>
  <c r="J46" i="22"/>
  <c r="H46" i="23"/>
  <c r="H142" i="23"/>
  <c r="J142" i="22"/>
  <c r="H43" i="24"/>
  <c r="H43" i="25" s="1"/>
  <c r="J43" i="25" s="1"/>
  <c r="J43" i="23"/>
  <c r="H42" i="22"/>
  <c r="J42" i="21"/>
  <c r="H144" i="23"/>
  <c r="J144" i="22"/>
  <c r="H41" i="22"/>
  <c r="J41" i="21"/>
  <c r="J47" i="20"/>
  <c r="H47" i="21"/>
  <c r="J60" i="19"/>
  <c r="H60" i="20"/>
  <c r="H146" i="22"/>
  <c r="J146" i="21"/>
  <c r="J39" i="22"/>
  <c r="H39" i="23"/>
  <c r="H150" i="23"/>
  <c r="J150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5" i="22"/>
  <c r="J145" i="21"/>
  <c r="H149" i="22"/>
  <c r="J149" i="21"/>
  <c r="J143" i="21"/>
  <c r="H143" i="22"/>
  <c r="H151" i="22"/>
  <c r="J7" i="21"/>
  <c r="H7" i="22"/>
  <c r="J7" i="22" s="1"/>
  <c r="H147" i="22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i="25" s="1"/>
  <c r="H22" i="27"/>
  <c r="J22" i="40"/>
  <c r="J94" i="24"/>
  <c r="H18" i="24"/>
  <c r="H18" i="25" s="1"/>
  <c r="J18" i="25" s="1"/>
  <c r="J18" i="23"/>
  <c r="H56" i="23"/>
  <c r="J56" i="22"/>
  <c r="J136" i="23"/>
  <c r="H136" i="24"/>
  <c r="H136" i="25" s="1"/>
  <c r="J136" i="25" s="1"/>
  <c r="J131" i="24"/>
  <c r="J137" i="23"/>
  <c r="H130" i="24"/>
  <c r="H130" i="25" s="1"/>
  <c r="J130" i="25" s="1"/>
  <c r="J130" i="23"/>
  <c r="J92" i="23"/>
  <c r="H92" i="24"/>
  <c r="H92" i="25" s="1"/>
  <c r="J92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0" i="24"/>
  <c r="H139" i="23"/>
  <c r="J139" i="22"/>
  <c r="J138" i="24"/>
  <c r="J135" i="23"/>
  <c r="H134" i="23"/>
  <c r="J134" i="22"/>
  <c r="J133" i="40"/>
  <c r="H133" i="27"/>
  <c r="J132" i="23"/>
  <c r="H132" i="24"/>
  <c r="H132" i="25" s="1"/>
  <c r="J132" i="25" s="1"/>
  <c r="J125" i="23"/>
  <c r="H125" i="24"/>
  <c r="H125" i="25" s="1"/>
  <c r="J125" i="25" s="1"/>
  <c r="H127" i="24"/>
  <c r="J127" i="23"/>
  <c r="J126" i="23"/>
  <c r="H126" i="24"/>
  <c r="H126" i="25" s="1"/>
  <c r="J126" i="25" s="1"/>
  <c r="J124" i="23"/>
  <c r="H124" i="24"/>
  <c r="H124" i="25" s="1"/>
  <c r="J124" i="25" s="1"/>
  <c r="H123" i="24"/>
  <c r="H123" i="25" s="1"/>
  <c r="J123" i="25" s="1"/>
  <c r="J123" i="23"/>
  <c r="J100" i="23"/>
  <c r="H100" i="24"/>
  <c r="H100" i="25" s="1"/>
  <c r="J100" i="25" s="1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96" i="24"/>
  <c r="H96" i="25" s="1"/>
  <c r="J96" i="25" s="1"/>
  <c r="J96" i="23"/>
  <c r="H101" i="24"/>
  <c r="H101" i="25" s="1"/>
  <c r="J101" i="25" s="1"/>
  <c r="J101" i="23"/>
  <c r="H95" i="23"/>
  <c r="J95" i="22"/>
  <c r="J93" i="22"/>
  <c r="H93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8" i="22"/>
  <c r="H148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2" i="24"/>
  <c r="H142" i="25" s="1"/>
  <c r="J142" i="25" s="1"/>
  <c r="J142" i="23"/>
  <c r="J43" i="24"/>
  <c r="J42" i="22"/>
  <c r="H42" i="23"/>
  <c r="J41" i="22"/>
  <c r="H41" i="23"/>
  <c r="H144" i="24"/>
  <c r="H144" i="25" s="1"/>
  <c r="J144" i="25" s="1"/>
  <c r="J144" i="23"/>
  <c r="H47" i="22"/>
  <c r="J47" i="21"/>
  <c r="H39" i="24"/>
  <c r="H39" i="25" s="1"/>
  <c r="J39" i="25" s="1"/>
  <c r="J39" i="23"/>
  <c r="H60" i="21"/>
  <c r="J60" i="20"/>
  <c r="J146" i="22"/>
  <c r="H146" i="23"/>
  <c r="H150" i="24"/>
  <c r="H150" i="25" s="1"/>
  <c r="J150" i="25" s="1"/>
  <c r="J150" i="23"/>
  <c r="J15" i="22"/>
  <c r="I16" i="22" s="1"/>
  <c r="H15" i="23"/>
  <c r="J12" i="24"/>
  <c r="J10" i="23"/>
  <c r="H10" i="24"/>
  <c r="H10" i="25" s="1"/>
  <c r="J10" i="25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i="25" s="1"/>
  <c r="J127" i="24"/>
  <c r="H28" i="40"/>
  <c r="J28" i="25"/>
  <c r="J27" i="24"/>
  <c r="H27" i="25"/>
  <c r="H32" i="23"/>
  <c r="J32" i="22"/>
  <c r="J30" i="25"/>
  <c r="H30" i="40"/>
  <c r="J24" i="40"/>
  <c r="H24" i="27"/>
  <c r="J23" i="24"/>
  <c r="H22" i="28"/>
  <c r="J22" i="27"/>
  <c r="H94" i="40"/>
  <c r="J18" i="24"/>
  <c r="J56" i="23"/>
  <c r="H56" i="24"/>
  <c r="H56" i="25" s="1"/>
  <c r="J56" i="25" s="1"/>
  <c r="J130" i="24"/>
  <c r="H131" i="40"/>
  <c r="J137" i="24"/>
  <c r="J136" i="24"/>
  <c r="J92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0" i="40"/>
  <c r="J139" i="23"/>
  <c r="H139" i="24"/>
  <c r="H138" i="40"/>
  <c r="J135" i="24"/>
  <c r="J134" i="23"/>
  <c r="J133" i="27"/>
  <c r="H133" i="28"/>
  <c r="J132" i="24"/>
  <c r="J125" i="24"/>
  <c r="J126" i="24"/>
  <c r="J124" i="24"/>
  <c r="J123" i="24"/>
  <c r="J100" i="24"/>
  <c r="J99" i="24"/>
  <c r="J98" i="24"/>
  <c r="J97" i="24"/>
  <c r="J96" i="24"/>
  <c r="J101" i="24"/>
  <c r="H95" i="24"/>
  <c r="H95" i="25" s="1"/>
  <c r="J95" i="25" s="1"/>
  <c r="J95" i="23"/>
  <c r="H93" i="24"/>
  <c r="H93" i="25" s="1"/>
  <c r="J93" i="25" s="1"/>
  <c r="J93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8" i="23"/>
  <c r="H148" i="24"/>
  <c r="H148" i="25" s="1"/>
  <c r="J148" i="25" s="1"/>
  <c r="J52" i="24"/>
  <c r="J51" i="24"/>
  <c r="J49" i="24"/>
  <c r="J59" i="24"/>
  <c r="J46" i="24"/>
  <c r="H43" i="40"/>
  <c r="J142" i="24"/>
  <c r="H42" i="24"/>
  <c r="H42" i="25" s="1"/>
  <c r="J42" i="25" s="1"/>
  <c r="J42" i="23"/>
  <c r="J41" i="23"/>
  <c r="H41" i="24"/>
  <c r="H41" i="25" s="1"/>
  <c r="J41" i="25" s="1"/>
  <c r="J144" i="24"/>
  <c r="J39" i="24"/>
  <c r="H146" i="24"/>
  <c r="H146" i="25" s="1"/>
  <c r="J146" i="25" s="1"/>
  <c r="J146" i="23"/>
  <c r="H60" i="22"/>
  <c r="J60" i="21"/>
  <c r="J47" i="22"/>
  <c r="H47" i="23"/>
  <c r="J150" i="24"/>
  <c r="J15" i="23"/>
  <c r="I16" i="23" s="1"/>
  <c r="H15" i="24"/>
  <c r="H15" i="25" s="1"/>
  <c r="J15" i="25" s="1"/>
  <c r="I16" i="25" s="1"/>
  <c r="H12" i="40"/>
  <c r="J10" i="24"/>
  <c r="H13" i="24"/>
  <c r="H13" i="25" s="1"/>
  <c r="J13" i="25" s="1"/>
  <c r="J13" i="23"/>
  <c r="H151" i="24"/>
  <c r="H151" i="25" s="1"/>
  <c r="J151" i="25" s="1"/>
  <c r="J151" i="23"/>
  <c r="J143" i="23"/>
  <c r="H143" i="24"/>
  <c r="H143" i="25" s="1"/>
  <c r="J143" i="25" s="1"/>
  <c r="H153" i="24"/>
  <c r="H153" i="25" s="1"/>
  <c r="J153" i="25" s="1"/>
  <c r="J153" i="23"/>
  <c r="H7" i="24"/>
  <c r="H7" i="25" s="1"/>
  <c r="J7" i="25" s="1"/>
  <c r="J7" i="23"/>
  <c r="J149" i="23"/>
  <c r="H149" i="24"/>
  <c r="H149" i="25" s="1"/>
  <c r="J149" i="25" s="1"/>
  <c r="H147" i="24"/>
  <c r="H147" i="25" s="1"/>
  <c r="J147" i="25" s="1"/>
  <c r="J147" i="23"/>
  <c r="H145" i="24"/>
  <c r="H145" i="25" s="1"/>
  <c r="J145" i="2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 i="40"/>
  <c r="H130" i="40"/>
  <c r="J131" i="40"/>
  <c r="H131" i="27"/>
  <c r="H92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 i="40"/>
  <c r="H127" i="40"/>
  <c r="H126" i="40"/>
  <c r="H124" i="40"/>
  <c r="H123" i="40"/>
  <c r="H100" i="40"/>
  <c r="H99" i="40"/>
  <c r="H98" i="40"/>
  <c r="H97" i="40"/>
  <c r="H96" i="40"/>
  <c r="H101" i="40"/>
  <c r="J95" i="24"/>
  <c r="J93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8" i="24"/>
  <c r="H51" i="40"/>
  <c r="H59" i="40"/>
  <c r="H49" i="40"/>
  <c r="H46" i="40"/>
  <c r="H142" i="40"/>
  <c r="H43" i="27"/>
  <c r="J43" i="40"/>
  <c r="J42" i="24"/>
  <c r="J41" i="24"/>
  <c r="H144" i="40"/>
  <c r="H39" i="40"/>
  <c r="J146" i="24"/>
  <c r="H47" i="24"/>
  <c r="H47" i="25" s="1"/>
  <c r="J47" i="25" s="1"/>
  <c r="J47" i="23"/>
  <c r="H60" i="23"/>
  <c r="J60" i="22"/>
  <c r="H150" i="40"/>
  <c r="J15" i="24"/>
  <c r="I16" i="24" s="1"/>
  <c r="J12" i="40"/>
  <c r="H12" i="27"/>
  <c r="H10" i="40"/>
  <c r="J13" i="24"/>
  <c r="J143" i="24"/>
  <c r="J145" i="24"/>
  <c r="J153" i="24"/>
  <c r="J151" i="24"/>
  <c r="J149" i="24"/>
  <c r="J147" i="24"/>
  <c r="J7" i="24"/>
  <c r="J152" i="25" l="1"/>
  <c r="H152" i="40"/>
  <c r="H29" i="40"/>
  <c r="J29" i="25"/>
  <c r="H32" i="25"/>
  <c r="J32" i="24"/>
  <c r="J28" i="27"/>
  <c r="H28" i="28"/>
  <c r="J27" i="40"/>
  <c r="H27" i="27"/>
  <c r="J30" i="27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 i="40"/>
  <c r="H130" i="27"/>
  <c r="H137" i="27"/>
  <c r="J137" i="40"/>
  <c r="J131" i="27"/>
  <c r="H131" i="28"/>
  <c r="J92" i="40"/>
  <c r="H92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 i="27"/>
  <c r="J125" i="40"/>
  <c r="J127" i="40"/>
  <c r="H127" i="27"/>
  <c r="H126" i="27"/>
  <c r="J126" i="40"/>
  <c r="H124" i="27"/>
  <c r="J124" i="40"/>
  <c r="J123" i="40"/>
  <c r="H123" i="27"/>
  <c r="J100" i="40"/>
  <c r="H100" i="27"/>
  <c r="H99" i="27"/>
  <c r="J99" i="40"/>
  <c r="J98" i="40"/>
  <c r="H98" i="27"/>
  <c r="J97" i="40"/>
  <c r="H97" i="27"/>
  <c r="J96" i="40"/>
  <c r="H96" i="27"/>
  <c r="J101" i="40"/>
  <c r="H101" i="27"/>
  <c r="H95" i="40"/>
  <c r="H93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8" i="40"/>
  <c r="J51" i="40"/>
  <c r="H51" i="27"/>
  <c r="J59" i="40"/>
  <c r="H59" i="27"/>
  <c r="J49" i="40"/>
  <c r="H49" i="27"/>
  <c r="J46" i="40"/>
  <c r="H46" i="27"/>
  <c r="H142" i="27"/>
  <c r="J142" i="40"/>
  <c r="J43" i="27"/>
  <c r="H43" i="28"/>
  <c r="H42" i="40"/>
  <c r="H41" i="40"/>
  <c r="J144" i="40"/>
  <c r="H144" i="27"/>
  <c r="H39" i="27"/>
  <c r="J39" i="40"/>
  <c r="J60" i="23"/>
  <c r="H60" i="24"/>
  <c r="H60" i="25" s="1"/>
  <c r="J60" i="25" s="1"/>
  <c r="H146" i="40"/>
  <c r="J47" i="24"/>
  <c r="J150" i="40"/>
  <c r="H150" i="27"/>
  <c r="H15" i="40"/>
  <c r="H12" i="28"/>
  <c r="J12" i="27"/>
  <c r="J10" i="40"/>
  <c r="H10" i="27"/>
  <c r="H13" i="40"/>
  <c r="H7" i="40"/>
  <c r="L13" i="40" s="1"/>
  <c r="H149" i="40"/>
  <c r="H153" i="40"/>
  <c r="H145" i="40"/>
  <c r="H147" i="40"/>
  <c r="H151" i="40"/>
  <c r="H143" i="40"/>
  <c r="J152" i="40" l="1"/>
  <c r="H152" i="27"/>
  <c r="J29" i="40"/>
  <c r="H29" i="27"/>
  <c r="H32" i="40"/>
  <c r="J32" i="25"/>
  <c r="J27" i="27"/>
  <c r="H27" i="28"/>
  <c r="J28" i="28"/>
  <c r="H28" i="29"/>
  <c r="J30" i="28"/>
  <c r="H30" i="29"/>
  <c r="H24" i="30"/>
  <c r="J24" i="29"/>
  <c r="H23" i="28"/>
  <c r="J23" i="27"/>
  <c r="J22" i="30"/>
  <c r="H22" i="43"/>
  <c r="H22" i="31" s="1"/>
  <c r="J22" i="31" s="1"/>
  <c r="H22" i="42"/>
  <c r="J22" i="42" s="1"/>
  <c r="J94" i="28"/>
  <c r="H94" i="29"/>
  <c r="H18" i="28"/>
  <c r="J18" i="27"/>
  <c r="H56" i="27"/>
  <c r="J56" i="40"/>
  <c r="J137" i="27"/>
  <c r="H137" i="28"/>
  <c r="J136" i="27"/>
  <c r="H136" i="28"/>
  <c r="H131" i="29"/>
  <c r="J131" i="28"/>
  <c r="H130" i="28"/>
  <c r="J130" i="27"/>
  <c r="J92" i="27"/>
  <c r="H92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0" i="29"/>
  <c r="J140" i="28"/>
  <c r="H139" i="27"/>
  <c r="J139" i="40"/>
  <c r="J138" i="28"/>
  <c r="H138" i="29"/>
  <c r="H135" i="28"/>
  <c r="J135" i="27"/>
  <c r="H134" i="27"/>
  <c r="J134" i="40"/>
  <c r="J133" i="30"/>
  <c r="H119" i="42"/>
  <c r="J119" i="42" s="1"/>
  <c r="H133" i="43"/>
  <c r="J132" i="27"/>
  <c r="H132" i="28"/>
  <c r="J125" i="27"/>
  <c r="H125" i="28"/>
  <c r="H127" i="28"/>
  <c r="J127" i="27"/>
  <c r="J126" i="27"/>
  <c r="H126" i="28"/>
  <c r="H124" i="28"/>
  <c r="J124" i="27"/>
  <c r="H123" i="28"/>
  <c r="J123" i="27"/>
  <c r="J100" i="27"/>
  <c r="H100" i="28"/>
  <c r="H99" i="28"/>
  <c r="J99" i="27"/>
  <c r="J98" i="27"/>
  <c r="H98" i="28"/>
  <c r="H97" i="28"/>
  <c r="J97" i="27"/>
  <c r="H96" i="28"/>
  <c r="J96" i="27"/>
  <c r="J95" i="40"/>
  <c r="H95" i="27"/>
  <c r="J101" i="27"/>
  <c r="H101" i="28"/>
  <c r="J93" i="40"/>
  <c r="H93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8" i="27"/>
  <c r="J148" i="40"/>
  <c r="J51" i="27"/>
  <c r="H51" i="28"/>
  <c r="H59" i="28"/>
  <c r="J59" i="27"/>
  <c r="J49" i="27"/>
  <c r="H49" i="28"/>
  <c r="H46" i="28"/>
  <c r="J46" i="27"/>
  <c r="H43" i="29"/>
  <c r="J43" i="28"/>
  <c r="J142" i="27"/>
  <c r="H142" i="28"/>
  <c r="J42" i="40"/>
  <c r="H42" i="27"/>
  <c r="H144" i="28"/>
  <c r="J144" i="27"/>
  <c r="H41" i="27"/>
  <c r="J41" i="40"/>
  <c r="H47" i="40"/>
  <c r="J60" i="24"/>
  <c r="J146" i="40"/>
  <c r="H146" i="27"/>
  <c r="H39" i="28"/>
  <c r="J39" i="27"/>
  <c r="J150" i="27"/>
  <c r="H150" i="28"/>
  <c r="H15" i="27"/>
  <c r="J15" i="40"/>
  <c r="I16" i="40" s="1"/>
  <c r="H12" i="29"/>
  <c r="J12" i="28"/>
  <c r="J10" i="27"/>
  <c r="H10" i="28"/>
  <c r="J13" i="40"/>
  <c r="H13" i="27"/>
  <c r="H7" i="27"/>
  <c r="J7" i="40"/>
  <c r="J151" i="40"/>
  <c r="H151" i="27"/>
  <c r="J151" i="27" s="1"/>
  <c r="H149" i="27"/>
  <c r="J149" i="40"/>
  <c r="J145" i="40"/>
  <c r="H145" i="27"/>
  <c r="H143" i="27"/>
  <c r="J143" i="40"/>
  <c r="J147" i="40"/>
  <c r="H147" i="27"/>
  <c r="H153" i="27"/>
  <c r="J153" i="27" s="1"/>
  <c r="J153" i="40"/>
  <c r="H133" i="31" l="1"/>
  <c r="J133" i="31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i="42" s="1"/>
  <c r="H24" i="43"/>
  <c r="H24" i="31" s="1"/>
  <c r="J24" i="31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 i="29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0" i="29"/>
  <c r="H140" i="30"/>
  <c r="H139" i="28"/>
  <c r="J139" i="27"/>
  <c r="J138" i="29"/>
  <c r="H138" i="30"/>
  <c r="H135" i="29"/>
  <c r="J135" i="28"/>
  <c r="H134" i="28"/>
  <c r="J134" i="27"/>
  <c r="J133" i="43"/>
  <c r="H132" i="29"/>
  <c r="J132" i="28"/>
  <c r="H125" i="29"/>
  <c r="J125" i="28"/>
  <c r="H127" i="29"/>
  <c r="J127" i="28"/>
  <c r="J126" i="28"/>
  <c r="H126" i="29"/>
  <c r="J124" i="28"/>
  <c r="H124" i="29"/>
  <c r="J123" i="28"/>
  <c r="H123" i="29"/>
  <c r="J100" i="28"/>
  <c r="H100" i="29"/>
  <c r="J99" i="28"/>
  <c r="H99" i="29"/>
  <c r="H98" i="29"/>
  <c r="J98" i="28"/>
  <c r="J97" i="28"/>
  <c r="H97" i="29"/>
  <c r="J96" i="28"/>
  <c r="H96" i="29"/>
  <c r="H95" i="28"/>
  <c r="J95" i="27"/>
  <c r="J101" i="28"/>
  <c r="H101" i="29"/>
  <c r="H93" i="28"/>
  <c r="J93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8" i="27"/>
  <c r="H148" i="28"/>
  <c r="J51" i="28"/>
  <c r="H51" i="29"/>
  <c r="J49" i="28"/>
  <c r="H49" i="29"/>
  <c r="J59" i="28"/>
  <c r="H59" i="29"/>
  <c r="J46" i="28"/>
  <c r="H46" i="29"/>
  <c r="J142" i="28"/>
  <c r="H142" i="29"/>
  <c r="J43" i="29"/>
  <c r="H43" i="30"/>
  <c r="H42" i="28"/>
  <c r="J42" i="27"/>
  <c r="H41" i="28"/>
  <c r="J41" i="27"/>
  <c r="J144" i="28"/>
  <c r="H144" i="29"/>
  <c r="J146" i="27"/>
  <c r="H146" i="28"/>
  <c r="J39" i="28"/>
  <c r="H39" i="29"/>
  <c r="H60" i="40"/>
  <c r="J47" i="40"/>
  <c r="H47" i="27"/>
  <c r="J150" i="28"/>
  <c r="H150" i="29"/>
  <c r="H15" i="28"/>
  <c r="J15" i="27"/>
  <c r="I16" i="27" s="1"/>
  <c r="H12" i="30"/>
  <c r="J12" i="29"/>
  <c r="J10" i="28"/>
  <c r="H10" i="29"/>
  <c r="H13" i="28"/>
  <c r="J13" i="27"/>
  <c r="J145" i="27"/>
  <c r="H145" i="28"/>
  <c r="H151" i="28"/>
  <c r="J149" i="27"/>
  <c r="H149" i="28"/>
  <c r="H147" i="28"/>
  <c r="J147" i="27"/>
  <c r="H153" i="28"/>
  <c r="J143" i="27"/>
  <c r="H143" i="28"/>
  <c r="J7" i="27"/>
  <c r="H7" i="28"/>
  <c r="J152" i="28" l="1"/>
  <c r="H152" i="29"/>
  <c r="J29" i="28"/>
  <c r="H29" i="29"/>
  <c r="H32" i="28"/>
  <c r="J32" i="27"/>
  <c r="J28" i="30"/>
  <c r="H28" i="43"/>
  <c r="J27" i="29"/>
  <c r="H27" i="30"/>
  <c r="J30" i="30"/>
  <c r="H30" i="43"/>
  <c r="J24" i="43"/>
  <c r="J23" i="29"/>
  <c r="H23" i="30"/>
  <c r="J94" i="30"/>
  <c r="H88" i="42"/>
  <c r="J88" i="42" s="1"/>
  <c r="H94" i="43"/>
  <c r="H94" i="31" s="1"/>
  <c r="J18" i="29"/>
  <c r="J56" i="28"/>
  <c r="H56" i="29"/>
  <c r="J130" i="29"/>
  <c r="H130" i="30"/>
  <c r="H117" i="42"/>
  <c r="J117" i="42" s="1"/>
  <c r="H131" i="43"/>
  <c r="J131" i="30"/>
  <c r="H137" i="30"/>
  <c r="J137" i="29"/>
  <c r="H136" i="30"/>
  <c r="J136" i="29"/>
  <c r="J92" i="29"/>
  <c r="H92" i="30"/>
  <c r="H76" i="42"/>
  <c r="J76" i="42" s="1"/>
  <c r="J77" i="30"/>
  <c r="H77" i="43"/>
  <c r="H77" i="31" s="1"/>
  <c r="J68" i="30"/>
  <c r="H68" i="43"/>
  <c r="H68" i="31" s="1"/>
  <c r="H67" i="42"/>
  <c r="J67" i="42" s="1"/>
  <c r="J62" i="29"/>
  <c r="H62" i="30"/>
  <c r="H64" i="30"/>
  <c r="J64" i="29"/>
  <c r="H57" i="43"/>
  <c r="H57" i="31" s="1"/>
  <c r="H56" i="42"/>
  <c r="J56" i="42" s="1"/>
  <c r="J57" i="30"/>
  <c r="J50" i="28"/>
  <c r="H50" i="29"/>
  <c r="J36" i="28"/>
  <c r="H36" i="29"/>
  <c r="H37" i="29"/>
  <c r="J37" i="28"/>
  <c r="J38" i="29"/>
  <c r="H38" i="30"/>
  <c r="H44" i="29"/>
  <c r="J44" i="28"/>
  <c r="H44" i="42"/>
  <c r="J44" i="42" s="1"/>
  <c r="J45" i="30"/>
  <c r="H45" i="43"/>
  <c r="H45" i="31" s="1"/>
  <c r="H35" i="30"/>
  <c r="J35" i="29"/>
  <c r="J40" i="29"/>
  <c r="H40" i="30"/>
  <c r="H20" i="28"/>
  <c r="J20" i="27"/>
  <c r="J11" i="30"/>
  <c r="H11" i="43"/>
  <c r="H11" i="42"/>
  <c r="J11" i="42" s="1"/>
  <c r="H9" i="30"/>
  <c r="J9" i="29"/>
  <c r="H19" i="42"/>
  <c r="J19" i="42" s="1"/>
  <c r="H19" i="43"/>
  <c r="J19" i="30"/>
  <c r="J140" i="30"/>
  <c r="H126" i="42"/>
  <c r="J126" i="42" s="1"/>
  <c r="H140" i="43"/>
  <c r="J139" i="28"/>
  <c r="H139" i="29"/>
  <c r="H124" i="42"/>
  <c r="J124" i="42" s="1"/>
  <c r="H138" i="43"/>
  <c r="J138" i="30"/>
  <c r="J135" i="29"/>
  <c r="H135" i="30"/>
  <c r="J134" i="28"/>
  <c r="H134" i="29"/>
  <c r="J132" i="29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 i="30"/>
  <c r="J98" i="29"/>
  <c r="J97" i="29"/>
  <c r="H97" i="30"/>
  <c r="J96" i="29"/>
  <c r="H96" i="30"/>
  <c r="J101" i="29"/>
  <c r="H101" i="30"/>
  <c r="H95" i="29"/>
  <c r="J95" i="28"/>
  <c r="H93" i="29"/>
  <c r="J93" i="28"/>
  <c r="J85" i="28"/>
  <c r="H85" i="29"/>
  <c r="J84" i="28"/>
  <c r="H84" i="29"/>
  <c r="J83" i="29"/>
  <c r="H83" i="30"/>
  <c r="J82" i="29"/>
  <c r="H82" i="30"/>
  <c r="H80" i="42"/>
  <c r="J80" i="42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8" i="28"/>
  <c r="H148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H42" i="42"/>
  <c r="J42" i="42" s="1"/>
  <c r="J43" i="30"/>
  <c r="H142" i="30"/>
  <c r="J142" i="29"/>
  <c r="J42" i="28"/>
  <c r="H42" i="29"/>
  <c r="J144" i="29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 i="29"/>
  <c r="H150" i="30"/>
  <c r="J15" i="28"/>
  <c r="I16" i="28" s="1"/>
  <c r="H15" i="29"/>
  <c r="H12" i="43"/>
  <c r="J12" i="30"/>
  <c r="H12" i="42"/>
  <c r="J12" i="4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i="29" s="1"/>
  <c r="J143" i="28"/>
  <c r="H143" i="29"/>
  <c r="J153" i="28"/>
  <c r="H153" i="29"/>
  <c r="J153" i="29" s="1"/>
  <c r="J147" i="28"/>
  <c r="H147" i="29"/>
  <c r="H12" i="31" l="1"/>
  <c r="J12" i="31" s="1"/>
  <c r="H131" i="31"/>
  <c r="J131" i="31" s="1"/>
  <c r="H11" i="31"/>
  <c r="J11" i="31" s="1"/>
  <c r="H138" i="31"/>
  <c r="J138" i="31" s="1"/>
  <c r="H140" i="31"/>
  <c r="J140" i="31" s="1"/>
  <c r="H19" i="31"/>
  <c r="J19" i="31" s="1"/>
  <c r="H30" i="31"/>
  <c r="J30" i="31" s="1"/>
  <c r="H28" i="31"/>
  <c r="J28" i="31" s="1"/>
  <c r="J68" i="31"/>
  <c r="N68" i="31"/>
  <c r="J43" i="31"/>
  <c r="N43" i="31"/>
  <c r="J45" i="31"/>
  <c r="N45" i="31"/>
  <c r="J94" i="31"/>
  <c r="N94" i="31"/>
  <c r="J152" i="29"/>
  <c r="H152" i="30"/>
  <c r="J81" i="31"/>
  <c r="N81" i="31"/>
  <c r="J77" i="31"/>
  <c r="N77" i="31"/>
  <c r="BH33" i="1"/>
  <c r="BH35" i="1" s="1"/>
  <c r="BP35" i="1" s="1"/>
  <c r="BQ35" i="1" s="1"/>
  <c r="J29" i="29"/>
  <c r="H29" i="30"/>
  <c r="J28" i="43"/>
  <c r="H32" i="29"/>
  <c r="J32" i="28"/>
  <c r="H27" i="43"/>
  <c r="H27" i="31" s="1"/>
  <c r="J27" i="30"/>
  <c r="J30" i="43"/>
  <c r="H29" i="42"/>
  <c r="J29" i="42" s="1"/>
  <c r="H23" i="42"/>
  <c r="J23" i="42" s="1"/>
  <c r="H23" i="43"/>
  <c r="H23" i="31" s="1"/>
  <c r="J23" i="31" s="1"/>
  <c r="J23" i="30"/>
  <c r="J94" i="43"/>
  <c r="J18" i="30"/>
  <c r="H18" i="42"/>
  <c r="J18" i="42" s="1"/>
  <c r="J56" i="29"/>
  <c r="H56" i="30"/>
  <c r="H137" i="43"/>
  <c r="H123" i="42"/>
  <c r="J123" i="42" s="1"/>
  <c r="J137" i="30"/>
  <c r="H130" i="43"/>
  <c r="H116" i="42"/>
  <c r="J116" i="42" s="1"/>
  <c r="J130" i="30"/>
  <c r="H136" i="43"/>
  <c r="J136" i="30"/>
  <c r="H122" i="42"/>
  <c r="J122" i="42" s="1"/>
  <c r="J131" i="43"/>
  <c r="H86" i="42"/>
  <c r="J86" i="42" s="1"/>
  <c r="H92" i="43"/>
  <c r="H92" i="31" s="1"/>
  <c r="J92" i="30"/>
  <c r="J77" i="43"/>
  <c r="H63" i="42"/>
  <c r="J63" i="42" s="1"/>
  <c r="H64" i="43"/>
  <c r="H64" i="31" s="1"/>
  <c r="J64" i="30"/>
  <c r="H62" i="43"/>
  <c r="H62" i="31" s="1"/>
  <c r="J62" i="30"/>
  <c r="H61" i="42"/>
  <c r="J61" i="42" s="1"/>
  <c r="J68" i="43"/>
  <c r="H50" i="30"/>
  <c r="J50" i="29"/>
  <c r="J57" i="43"/>
  <c r="J36" i="29"/>
  <c r="H36" i="30"/>
  <c r="J37" i="29"/>
  <c r="H37" i="30"/>
  <c r="H38" i="43"/>
  <c r="H37" i="42"/>
  <c r="J37" i="42" s="1"/>
  <c r="J38" i="30"/>
  <c r="H39" i="42"/>
  <c r="J39" i="42" s="1"/>
  <c r="J40" i="30"/>
  <c r="H40" i="43"/>
  <c r="J45" i="43"/>
  <c r="H44" i="30"/>
  <c r="J44" i="29"/>
  <c r="J35" i="30"/>
  <c r="H34" i="42"/>
  <c r="J34" i="42" s="1"/>
  <c r="H35" i="43"/>
  <c r="H20" i="29"/>
  <c r="J20" i="28"/>
  <c r="J11" i="43"/>
  <c r="H9" i="43"/>
  <c r="J9" i="30"/>
  <c r="H9" i="42"/>
  <c r="J9" i="42" s="1"/>
  <c r="J19" i="43"/>
  <c r="J140" i="43"/>
  <c r="J139" i="29"/>
  <c r="H139" i="30"/>
  <c r="J138" i="43"/>
  <c r="H121" i="42"/>
  <c r="J121" i="42" s="1"/>
  <c r="J135" i="30"/>
  <c r="H135" i="43"/>
  <c r="H134" i="30"/>
  <c r="J134" i="29"/>
  <c r="H132" i="43"/>
  <c r="H118" i="42"/>
  <c r="J118" i="42" s="1"/>
  <c r="J132" i="30"/>
  <c r="J125" i="30"/>
  <c r="H125" i="43"/>
  <c r="H125" i="31" s="1"/>
  <c r="H99" i="42"/>
  <c r="J99" i="42" s="1"/>
  <c r="H127" i="43"/>
  <c r="H127" i="31" s="1"/>
  <c r="J127" i="30"/>
  <c r="H101" i="42"/>
  <c r="J101" i="42" s="1"/>
  <c r="H100" i="42"/>
  <c r="J100" i="42" s="1"/>
  <c r="H126" i="43"/>
  <c r="H126" i="31" s="1"/>
  <c r="J126" i="30"/>
  <c r="J124" i="30"/>
  <c r="H124" i="43"/>
  <c r="H124" i="31" s="1"/>
  <c r="H98" i="42"/>
  <c r="J98" i="42" s="1"/>
  <c r="J123" i="30"/>
  <c r="H97" i="42"/>
  <c r="J97" i="42" s="1"/>
  <c r="H123" i="43"/>
  <c r="H123" i="31" s="1"/>
  <c r="H94" i="42"/>
  <c r="J94" i="42" s="1"/>
  <c r="H100" i="43"/>
  <c r="H100" i="31" s="1"/>
  <c r="J100" i="30"/>
  <c r="J99" i="30"/>
  <c r="H93" i="42"/>
  <c r="J93" i="42" s="1"/>
  <c r="H99" i="43"/>
  <c r="H99" i="31" s="1"/>
  <c r="H98" i="43"/>
  <c r="H98" i="31" s="1"/>
  <c r="H92" i="42"/>
  <c r="J92" i="42" s="1"/>
  <c r="J98" i="30"/>
  <c r="H97" i="43"/>
  <c r="H97" i="31" s="1"/>
  <c r="J97" i="30"/>
  <c r="H91" i="42"/>
  <c r="J91" i="42" s="1"/>
  <c r="H90" i="42"/>
  <c r="J90" i="42" s="1"/>
  <c r="H96" i="43"/>
  <c r="H96" i="31" s="1"/>
  <c r="J96" i="30"/>
  <c r="H95" i="42"/>
  <c r="J95" i="42" s="1"/>
  <c r="J101" i="30"/>
  <c r="H101" i="43"/>
  <c r="H101" i="31" s="1"/>
  <c r="J95" i="29"/>
  <c r="H95" i="30"/>
  <c r="J93" i="29"/>
  <c r="H93" i="30"/>
  <c r="J85" i="29"/>
  <c r="H85" i="30"/>
  <c r="H84" i="30"/>
  <c r="J84" i="29"/>
  <c r="J83" i="30"/>
  <c r="H83" i="43"/>
  <c r="H83" i="31" s="1"/>
  <c r="H82" i="42"/>
  <c r="J82" i="42" s="1"/>
  <c r="J82" i="30"/>
  <c r="H81" i="42"/>
  <c r="J81" i="42" s="1"/>
  <c r="H82" i="43"/>
  <c r="H82" i="31" s="1"/>
  <c r="J81" i="43"/>
  <c r="J80" i="30"/>
  <c r="H80" i="43"/>
  <c r="H80" i="31" s="1"/>
  <c r="H79" i="42"/>
  <c r="J79" i="42" s="1"/>
  <c r="J78" i="30"/>
  <c r="H77" i="42"/>
  <c r="J77" i="42" s="1"/>
  <c r="H78" i="43"/>
  <c r="H78" i="31" s="1"/>
  <c r="J79" i="30"/>
  <c r="H79" i="43"/>
  <c r="H79" i="31" s="1"/>
  <c r="H78" i="42"/>
  <c r="J78" i="42" s="1"/>
  <c r="H75" i="42"/>
  <c r="J75" i="42" s="1"/>
  <c r="H76" i="43"/>
  <c r="H76" i="31" s="1"/>
  <c r="J76" i="30"/>
  <c r="J74" i="30"/>
  <c r="H73" i="42"/>
  <c r="J73" i="42" s="1"/>
  <c r="H74" i="43"/>
  <c r="H74" i="31" s="1"/>
  <c r="H74" i="42"/>
  <c r="J74" i="42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i="42" s="1"/>
  <c r="J67" i="30"/>
  <c r="J66" i="30"/>
  <c r="H66" i="43"/>
  <c r="H66" i="31" s="1"/>
  <c r="H65" i="42"/>
  <c r="J65" i="42" s="1"/>
  <c r="H64" i="42"/>
  <c r="J64" i="42" s="1"/>
  <c r="J65" i="30"/>
  <c r="H65" i="43"/>
  <c r="H65" i="31" s="1"/>
  <c r="H62" i="42"/>
  <c r="J62" i="42" s="1"/>
  <c r="H63" i="43"/>
  <c r="H63" i="31" s="1"/>
  <c r="J63" i="30"/>
  <c r="H57" i="42"/>
  <c r="J57" i="42" s="1"/>
  <c r="J58" i="30"/>
  <c r="H58" i="43"/>
  <c r="J55" i="29"/>
  <c r="H55" i="30"/>
  <c r="J54" i="29"/>
  <c r="H54" i="30"/>
  <c r="H52" i="42"/>
  <c r="J52" i="42" s="1"/>
  <c r="H53" i="43"/>
  <c r="H53" i="31" s="1"/>
  <c r="J53" i="30"/>
  <c r="H148" i="30"/>
  <c r="J148" i="29"/>
  <c r="H52" i="43"/>
  <c r="H52" i="31" s="1"/>
  <c r="J52" i="30"/>
  <c r="H51" i="42"/>
  <c r="J51" i="42" s="1"/>
  <c r="H51" i="43"/>
  <c r="H51" i="31" s="1"/>
  <c r="J51" i="30"/>
  <c r="H50" i="42"/>
  <c r="J50" i="42" s="1"/>
  <c r="H49" i="43"/>
  <c r="H49" i="31" s="1"/>
  <c r="H48" i="42"/>
  <c r="J48" i="42" s="1"/>
  <c r="J49" i="30"/>
  <c r="H58" i="42"/>
  <c r="J58" i="42" s="1"/>
  <c r="J59" i="30"/>
  <c r="H59" i="43"/>
  <c r="H59" i="31" s="1"/>
  <c r="H45" i="42"/>
  <c r="J45" i="42" s="1"/>
  <c r="H46" i="43"/>
  <c r="H46" i="31" s="1"/>
  <c r="J46" i="30"/>
  <c r="H142" i="43"/>
  <c r="J142" i="30"/>
  <c r="H103" i="42"/>
  <c r="J103" i="42" s="1"/>
  <c r="J43" i="43"/>
  <c r="H42" i="30"/>
  <c r="J42" i="29"/>
  <c r="J144" i="30"/>
  <c r="H144" i="43"/>
  <c r="H105" i="42"/>
  <c r="J105" i="42" s="1"/>
  <c r="J41" i="29"/>
  <c r="H41" i="30"/>
  <c r="H60" i="28"/>
  <c r="J60" i="27"/>
  <c r="J146" i="29"/>
  <c r="H146" i="30"/>
  <c r="J39" i="30"/>
  <c r="H38" i="42"/>
  <c r="J38" i="42" s="1"/>
  <c r="H39" i="43"/>
  <c r="J47" i="28"/>
  <c r="H111" i="42"/>
  <c r="J111" i="42" s="1"/>
  <c r="H150" i="43"/>
  <c r="J150" i="30"/>
  <c r="J15" i="29"/>
  <c r="I16" i="29" s="1"/>
  <c r="H15" i="30"/>
  <c r="J12" i="43"/>
  <c r="H10" i="43"/>
  <c r="H10" i="42"/>
  <c r="J10" i="42" s="1"/>
  <c r="J10" i="30"/>
  <c r="J13" i="29"/>
  <c r="H13" i="30"/>
  <c r="J147" i="29"/>
  <c r="H147" i="30"/>
  <c r="H151" i="30"/>
  <c r="J151" i="30" s="1"/>
  <c r="J145" i="29"/>
  <c r="H145" i="30"/>
  <c r="J7" i="29"/>
  <c r="H7" i="30"/>
  <c r="H153" i="30"/>
  <c r="J153" i="30" s="1"/>
  <c r="J143" i="29"/>
  <c r="H143" i="30"/>
  <c r="J149" i="29"/>
  <c r="H149" i="30"/>
  <c r="H9" i="31" l="1"/>
  <c r="J9" i="31" s="1"/>
  <c r="H35" i="31"/>
  <c r="J35" i="31" s="1"/>
  <c r="H130" i="31"/>
  <c r="J130" i="31" s="1"/>
  <c r="H150" i="31"/>
  <c r="J150" i="31" s="1"/>
  <c r="H10" i="31"/>
  <c r="J10" i="31" s="1"/>
  <c r="H132" i="31"/>
  <c r="J132" i="31" s="1"/>
  <c r="H38" i="31"/>
  <c r="J38" i="31" s="1"/>
  <c r="H137" i="31"/>
  <c r="J137" i="31" s="1"/>
  <c r="H18" i="31"/>
  <c r="J18" i="31" s="1"/>
  <c r="H39" i="31"/>
  <c r="J39" i="31" s="1"/>
  <c r="H144" i="31"/>
  <c r="J144" i="31" s="1"/>
  <c r="H58" i="31"/>
  <c r="N58" i="31" s="1"/>
  <c r="H135" i="31"/>
  <c r="J135" i="31" s="1"/>
  <c r="H40" i="31"/>
  <c r="J40" i="31" s="1"/>
  <c r="H142" i="31"/>
  <c r="J142" i="31" s="1"/>
  <c r="H136" i="31"/>
  <c r="J136" i="31" s="1"/>
  <c r="J59" i="31"/>
  <c r="N59" i="31"/>
  <c r="J51" i="31"/>
  <c r="N51" i="31"/>
  <c r="J79" i="31"/>
  <c r="N79" i="31"/>
  <c r="J127" i="31"/>
  <c r="N127" i="31"/>
  <c r="J52" i="31"/>
  <c r="N52" i="31"/>
  <c r="J53" i="31"/>
  <c r="N53" i="31"/>
  <c r="J65" i="31"/>
  <c r="N65" i="31"/>
  <c r="J66" i="31"/>
  <c r="N66" i="31"/>
  <c r="J67" i="31"/>
  <c r="N67" i="31"/>
  <c r="J101" i="31"/>
  <c r="N101" i="31"/>
  <c r="J96" i="31"/>
  <c r="N96" i="31"/>
  <c r="J97" i="31"/>
  <c r="N97" i="31"/>
  <c r="J99" i="31"/>
  <c r="N99" i="31"/>
  <c r="J100" i="31"/>
  <c r="N100" i="31"/>
  <c r="J64" i="31"/>
  <c r="N64" i="31"/>
  <c r="J92" i="31"/>
  <c r="N92" i="31"/>
  <c r="J152" i="30"/>
  <c r="H152" i="43"/>
  <c r="H152" i="31" s="1"/>
  <c r="H113" i="42"/>
  <c r="J113" i="42" s="1"/>
  <c r="J75" i="31"/>
  <c r="N75" i="31"/>
  <c r="J78" i="31"/>
  <c r="N78" i="31"/>
  <c r="J80" i="31"/>
  <c r="N80" i="31"/>
  <c r="J98" i="31"/>
  <c r="N98" i="31"/>
  <c r="J125" i="31"/>
  <c r="N125" i="31"/>
  <c r="J57" i="31"/>
  <c r="N57" i="31"/>
  <c r="J126" i="31"/>
  <c r="N126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3" i="31"/>
  <c r="N123" i="31"/>
  <c r="J124" i="31"/>
  <c r="N124" i="31"/>
  <c r="J62" i="31"/>
  <c r="N62" i="31"/>
  <c r="BP33" i="1"/>
  <c r="BQ33" i="1" s="1"/>
  <c r="J27" i="31"/>
  <c r="J29" i="30"/>
  <c r="H29" i="43"/>
  <c r="H29" i="31" s="1"/>
  <c r="H32" i="30"/>
  <c r="J32" i="29"/>
  <c r="J27" i="43"/>
  <c r="J23" i="43"/>
  <c r="J18" i="43"/>
  <c r="J56" i="30"/>
  <c r="H55" i="42"/>
  <c r="J55" i="42" s="1"/>
  <c r="H56" i="43"/>
  <c r="H56" i="31" s="1"/>
  <c r="J136" i="43"/>
  <c r="J137" i="43"/>
  <c r="J130" i="43"/>
  <c r="J92" i="43"/>
  <c r="J64" i="43"/>
  <c r="J62" i="43"/>
  <c r="H50" i="43"/>
  <c r="H50" i="31" s="1"/>
  <c r="H49" i="42"/>
  <c r="J49" i="42" s="1"/>
  <c r="J50" i="30"/>
  <c r="H35" i="42"/>
  <c r="J35" i="42" s="1"/>
  <c r="H36" i="43"/>
  <c r="J36" i="30"/>
  <c r="H37" i="43"/>
  <c r="J37" i="30"/>
  <c r="H36" i="42"/>
  <c r="J36" i="42" s="1"/>
  <c r="J35" i="43"/>
  <c r="J40" i="43"/>
  <c r="H43" i="42"/>
  <c r="J43" i="42" s="1"/>
  <c r="H44" i="43"/>
  <c r="H44" i="31" s="1"/>
  <c r="J44" i="30"/>
  <c r="J38" i="43"/>
  <c r="H20" i="30"/>
  <c r="H20" i="43" s="1"/>
  <c r="H20" i="31" s="1"/>
  <c r="J20" i="29"/>
  <c r="J9" i="43"/>
  <c r="H125" i="42"/>
  <c r="J125" i="42" s="1"/>
  <c r="H139" i="43"/>
  <c r="J139" i="30"/>
  <c r="J135" i="43"/>
  <c r="J134" i="30"/>
  <c r="H120" i="42"/>
  <c r="J120" i="42" s="1"/>
  <c r="H134" i="43"/>
  <c r="H134" i="31" s="1"/>
  <c r="J132" i="43"/>
  <c r="J125" i="43"/>
  <c r="J127" i="43"/>
  <c r="J126" i="43"/>
  <c r="J124" i="43"/>
  <c r="J123" i="43"/>
  <c r="J100" i="43"/>
  <c r="J99" i="43"/>
  <c r="J98" i="43"/>
  <c r="J97" i="43"/>
  <c r="J96" i="43"/>
  <c r="H89" i="42"/>
  <c r="J89" i="42" s="1"/>
  <c r="J95" i="30"/>
  <c r="H95" i="43"/>
  <c r="H95" i="31" s="1"/>
  <c r="J101" i="43"/>
  <c r="H93" i="43"/>
  <c r="H93" i="31" s="1"/>
  <c r="J93" i="30"/>
  <c r="H87" i="42"/>
  <c r="J87" i="42" s="1"/>
  <c r="H84" i="43"/>
  <c r="H84" i="31" s="1"/>
  <c r="H83" i="42"/>
  <c r="J83" i="42" s="1"/>
  <c r="J84" i="30"/>
  <c r="J85" i="30"/>
  <c r="H84" i="42"/>
  <c r="J84" i="42" s="1"/>
  <c r="H85" i="43"/>
  <c r="H85" i="31" s="1"/>
  <c r="J83" i="43"/>
  <c r="J82" i="43"/>
  <c r="J80" i="43"/>
  <c r="J78" i="43"/>
  <c r="J79" i="43"/>
  <c r="J76" i="43"/>
  <c r="J75" i="43"/>
  <c r="J74" i="43"/>
  <c r="H72" i="42"/>
  <c r="J72" i="42" s="1"/>
  <c r="J73" i="30"/>
  <c r="H73" i="43"/>
  <c r="H73" i="31" s="1"/>
  <c r="J72" i="30"/>
  <c r="H71" i="42"/>
  <c r="J71" i="42" s="1"/>
  <c r="H72" i="43"/>
  <c r="H72" i="31" s="1"/>
  <c r="H69" i="43"/>
  <c r="H69" i="31" s="1"/>
  <c r="H68" i="42"/>
  <c r="J68" i="42" s="1"/>
  <c r="J69" i="30"/>
  <c r="J67" i="43"/>
  <c r="J66" i="43"/>
  <c r="J65" i="43"/>
  <c r="J63" i="43"/>
  <c r="J58" i="43"/>
  <c r="H54" i="42"/>
  <c r="J54" i="42" s="1"/>
  <c r="H55" i="43"/>
  <c r="H55" i="31" s="1"/>
  <c r="J55" i="30"/>
  <c r="H53" i="42"/>
  <c r="J53" i="42" s="1"/>
  <c r="J54" i="30"/>
  <c r="H54" i="43"/>
  <c r="H54" i="31" s="1"/>
  <c r="J53" i="43"/>
  <c r="H109" i="42"/>
  <c r="J109" i="42" s="1"/>
  <c r="H148" i="43"/>
  <c r="J148" i="30"/>
  <c r="J52" i="43"/>
  <c r="J51" i="43"/>
  <c r="J49" i="43"/>
  <c r="J59" i="43"/>
  <c r="J46" i="43"/>
  <c r="J142" i="43"/>
  <c r="J42" i="30"/>
  <c r="H42" i="43"/>
  <c r="H42" i="31" s="1"/>
  <c r="H41" i="42"/>
  <c r="J41" i="42" s="1"/>
  <c r="J144" i="43"/>
  <c r="J41" i="30"/>
  <c r="H40" i="42"/>
  <c r="J40" i="42" s="1"/>
  <c r="H41" i="43"/>
  <c r="H41" i="31" s="1"/>
  <c r="J39" i="43"/>
  <c r="J47" i="29"/>
  <c r="H47" i="30"/>
  <c r="H146" i="43"/>
  <c r="H107" i="42"/>
  <c r="J107" i="42" s="1"/>
  <c r="J146" i="30"/>
  <c r="H60" i="29"/>
  <c r="J60" i="28"/>
  <c r="J150" i="43"/>
  <c r="H28" i="42"/>
  <c r="J28" i="42" s="1"/>
  <c r="J15" i="30"/>
  <c r="I16" i="30" s="1"/>
  <c r="H15" i="42"/>
  <c r="J15" i="42" s="1"/>
  <c r="I16" i="42" s="1"/>
  <c r="H15" i="43"/>
  <c r="H15" i="31" s="1"/>
  <c r="J15" i="31" s="1"/>
  <c r="I16" i="31" s="1"/>
  <c r="J10" i="43"/>
  <c r="J13" i="30"/>
  <c r="H13" i="42"/>
  <c r="J13" i="42" s="1"/>
  <c r="H13" i="43"/>
  <c r="J143" i="30"/>
  <c r="H104" i="42"/>
  <c r="J104" i="42" s="1"/>
  <c r="H106" i="42"/>
  <c r="J106" i="42" s="1"/>
  <c r="J145" i="30"/>
  <c r="H108" i="42"/>
  <c r="J108" i="42" s="1"/>
  <c r="J147" i="30"/>
  <c r="H110" i="42"/>
  <c r="J110" i="42" s="1"/>
  <c r="J149" i="30"/>
  <c r="H114" i="42"/>
  <c r="J114" i="42" s="1"/>
  <c r="H7" i="42"/>
  <c r="J7" i="42" s="1"/>
  <c r="I9" i="42" s="1"/>
  <c r="J7" i="30"/>
  <c r="H112" i="42"/>
  <c r="J112" i="42" s="1"/>
  <c r="J58" i="31" l="1"/>
  <c r="H146" i="31"/>
  <c r="J146" i="31" s="1"/>
  <c r="H13" i="31"/>
  <c r="J13" i="31" s="1"/>
  <c r="H148" i="31"/>
  <c r="J148" i="31" s="1"/>
  <c r="H139" i="31"/>
  <c r="J139" i="31" s="1"/>
  <c r="H36" i="31"/>
  <c r="J36" i="31" s="1"/>
  <c r="H37" i="31"/>
  <c r="J37" i="31" s="1"/>
  <c r="J95" i="31"/>
  <c r="N95" i="31"/>
  <c r="J69" i="31"/>
  <c r="N69" i="31"/>
  <c r="J73" i="31"/>
  <c r="N73" i="31"/>
  <c r="J84" i="31"/>
  <c r="N84" i="31"/>
  <c r="J152" i="31"/>
  <c r="J152" i="43"/>
  <c r="J72" i="31"/>
  <c r="N72" i="31"/>
  <c r="J42" i="31"/>
  <c r="N42" i="31"/>
  <c r="J54" i="31"/>
  <c r="N54" i="31"/>
  <c r="J55" i="31"/>
  <c r="N55" i="31"/>
  <c r="J85" i="31"/>
  <c r="N85" i="31"/>
  <c r="J93" i="31"/>
  <c r="N93" i="31"/>
  <c r="J44" i="31"/>
  <c r="N44" i="31"/>
  <c r="J50" i="31"/>
  <c r="N50" i="31"/>
  <c r="J41" i="31"/>
  <c r="N41" i="31"/>
  <c r="J56" i="31"/>
  <c r="N56" i="31"/>
  <c r="I9" i="30"/>
  <c r="J134" i="43"/>
  <c r="J134" i="31"/>
  <c r="J29" i="31"/>
  <c r="J29" i="43"/>
  <c r="H32" i="43"/>
  <c r="H32" i="31" s="1"/>
  <c r="J32" i="30"/>
  <c r="J56" i="43"/>
  <c r="J50" i="43"/>
  <c r="J36" i="43"/>
  <c r="J37" i="43"/>
  <c r="J44" i="43"/>
  <c r="J20" i="30"/>
  <c r="H20" i="42"/>
  <c r="J20" i="42" s="1"/>
  <c r="J20" i="31"/>
  <c r="H30" i="42"/>
  <c r="J30" i="42" s="1"/>
  <c r="J139" i="43"/>
  <c r="J95" i="43"/>
  <c r="J93" i="43"/>
  <c r="J84" i="43"/>
  <c r="J85" i="43"/>
  <c r="J72" i="43"/>
  <c r="J73" i="43"/>
  <c r="J69" i="43"/>
  <c r="J55" i="43"/>
  <c r="J54" i="43"/>
  <c r="J148" i="43"/>
  <c r="J42" i="43"/>
  <c r="J41" i="43"/>
  <c r="H60" i="30"/>
  <c r="J60" i="29"/>
  <c r="J146" i="43"/>
  <c r="J47" i="30"/>
  <c r="H46" i="42"/>
  <c r="J46" i="42" s="1"/>
  <c r="H47" i="43"/>
  <c r="H47" i="31" s="1"/>
  <c r="J15" i="43"/>
  <c r="I16" i="43" s="1"/>
  <c r="J13" i="43"/>
  <c r="H31" i="42"/>
  <c r="J31" i="42" s="1"/>
  <c r="H27" i="42"/>
  <c r="J27" i="42" s="1"/>
  <c r="J47" i="31" l="1"/>
  <c r="N47" i="31"/>
  <c r="J32" i="43"/>
  <c r="J32" i="31"/>
  <c r="J20" i="43"/>
  <c r="J60" i="30"/>
  <c r="H60" i="43"/>
  <c r="H60" i="31" s="1"/>
  <c r="H59" i="42"/>
  <c r="J59" i="42" s="1"/>
  <c r="J47" i="43"/>
  <c r="J60" i="31" l="1"/>
  <c r="N60" i="31"/>
  <c r="J60" i="43"/>
  <c r="H8" i="4"/>
  <c r="J8" i="4" l="1"/>
  <c r="I9" i="4" s="1"/>
  <c r="H8" i="5"/>
  <c r="H8" i="33" l="1"/>
  <c r="J8" i="5"/>
  <c r="I9" i="5" s="1"/>
  <c r="J8" i="33" l="1"/>
  <c r="I9" i="33" s="1"/>
  <c r="H8" i="7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42" l="1"/>
  <c r="I20" i="42" s="1"/>
  <c r="I18" i="9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3"/>
  <c r="I20" i="3" s="1"/>
  <c r="I18" i="14"/>
  <c r="I20" i="14" s="1"/>
  <c r="I18" i="31"/>
  <c r="I20" i="31" s="1"/>
  <c r="I18" i="21"/>
  <c r="I20" i="21" s="1"/>
  <c r="I18" i="20"/>
  <c r="I20" i="20" s="1"/>
  <c r="I18" i="4"/>
  <c r="I20" i="4" s="1"/>
  <c r="I18" i="19"/>
  <c r="I20" i="19" s="1"/>
  <c r="I18" i="27"/>
  <c r="I20" i="27" s="1"/>
  <c r="I18" i="5"/>
  <c r="I20" i="5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7" i="43" s="1"/>
  <c r="G149" i="43" l="1"/>
  <c r="H149" i="43" s="1"/>
  <c r="H149" i="31" s="1"/>
  <c r="J149" i="31" s="1"/>
  <c r="G147" i="43"/>
  <c r="H147" i="43" s="1"/>
  <c r="H147" i="31" s="1"/>
  <c r="J147" i="31" s="1"/>
  <c r="G151" i="43"/>
  <c r="H151" i="43" s="1"/>
  <c r="H151" i="31" s="1"/>
  <c r="I33" i="1"/>
  <c r="I59" i="43"/>
  <c r="G145" i="43"/>
  <c r="H145" i="43" s="1"/>
  <c r="H145" i="31" s="1"/>
  <c r="H7" i="31"/>
  <c r="G143" i="43"/>
  <c r="H143" i="43" s="1"/>
  <c r="H143" i="31" s="1"/>
  <c r="I13" i="43"/>
  <c r="G153" i="43"/>
  <c r="H153" i="43" s="1"/>
  <c r="H153" i="31" s="1"/>
  <c r="E31" i="47" l="1"/>
  <c r="M31" i="47" s="1"/>
  <c r="I35" i="1"/>
  <c r="I37" i="1" s="1"/>
  <c r="J149" i="43"/>
  <c r="J147" i="43"/>
  <c r="J153" i="43"/>
  <c r="J153" i="31"/>
  <c r="J7" i="43"/>
  <c r="I9" i="43" s="1"/>
  <c r="J7" i="31"/>
  <c r="I9" i="31" s="1"/>
  <c r="J151" i="31"/>
  <c r="J151" i="43"/>
  <c r="J143" i="31"/>
  <c r="J143" i="43"/>
  <c r="L33" i="1"/>
  <c r="L35" i="1" s="1"/>
  <c r="BN33" i="1"/>
  <c r="BN35" i="1" s="1"/>
  <c r="BM33" i="1"/>
  <c r="BM35" i="1" s="1"/>
  <c r="BL33" i="1"/>
  <c r="BL35" i="1" s="1"/>
  <c r="J145" i="31"/>
  <c r="J145" i="43"/>
</calcChain>
</file>

<file path=xl/sharedStrings.xml><?xml version="1.0" encoding="utf-8"?>
<sst xmlns="http://schemas.openxmlformats.org/spreadsheetml/2006/main" count="10315" uniqueCount="362">
  <si>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</si>
  <si>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</si>
  <si>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</si>
  <si>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</si>
  <si>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</si>
  <si>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</si>
  <si>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</si>
  <si>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</si>
  <si>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</si>
  <si>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</si>
  <si>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</si>
  <si>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</si>
  <si>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</si>
  <si>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</si>
  <si>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</si>
  <si>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</si>
  <si>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</si>
  <si>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</si>
  <si>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</si>
  <si>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</si>
  <si>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</si>
  <si>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</si>
  <si>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</si>
  <si>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</si>
  <si>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</si>
  <si>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</si>
  <si>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</si>
  <si>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</si>
  <si>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</si>
  <si>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</si>
  <si>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</si>
  <si>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</si>
  <si>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</si>
  <si>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</si>
  <si>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</si>
  <si>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</si>
  <si>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</si>
  <si>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</si>
  <si>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</si>
  <si>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</si>
  <si>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</si>
  <si>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</si>
  <si>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</si>
  <si>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</si>
  <si>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</si>
  <si>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</si>
  <si>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</si>
  <si>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</si>
  <si>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</si>
  <si>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</si>
  <si>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</si>
  <si>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</si>
  <si>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</si>
  <si>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</si>
  <si>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</si>
  <si>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</si>
  <si>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</si>
  <si>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</si>
  <si>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</si>
  <si>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</si>
  <si>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</si>
  <si>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</si>
  <si>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</si>
  <si>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</si>
  <si>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</si>
  <si>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</si>
  <si>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</si>
  <si>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</si>
  <si>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</si>
  <si>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</si>
  <si>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</si>
  <si>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</si>
  <si>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</si>
  <si>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</si>
  <si>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</si>
  <si>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</si>
  <si>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</si>
  <si>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</si>
  <si>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</si>
  <si>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</si>
  <si>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</si>
  <si>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</si>
  <si>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</si>
  <si>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</si>
  <si>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</si>
  <si>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</si>
  <si>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</si>
  <si>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</si>
  <si>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</si>
  <si>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</si>
  <si>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</si>
  <si>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</si>
  <si>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</si>
  <si>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</si>
  <si>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</si>
  <si>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</si>
  <si>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</si>
  <si>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</si>
  <si>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</si>
  <si>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</si>
  <si>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</si>
  <si>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</si>
  <si>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</si>
  <si>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</si>
  <si>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</si>
  <si>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</si>
  <si>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</si>
  <si>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</si>
  <si>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</si>
  <si>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</si>
  <si>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</si>
  <si>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</si>
  <si>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</si>
  <si>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</si>
  <si>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</si>
  <si>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</si>
  <si>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</si>
  <si>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</si>
  <si>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</si>
  <si>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</si>
  <si>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</si>
  <si>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</si>
  <si>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</si>
  <si>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</si>
  <si>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</si>
  <si>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</si>
  <si>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</si>
  <si>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</si>
  <si>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</si>
  <si>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</si>
  <si>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</si>
  <si>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</si>
  <si>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</si>
  <si>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</si>
  <si>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</si>
  <si>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</si>
  <si>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</si>
  <si>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</si>
  <si>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</si>
  <si>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</si>
  <si>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</si>
  <si>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</si>
  <si>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</si>
  <si>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</si>
  <si>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</si>
  <si>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</si>
  <si>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</si>
  <si>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</si>
  <si>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</si>
  <si>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</si>
  <si>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</si>
  <si>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</si>
  <si>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</si>
  <si>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</si>
  <si>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</si>
  <si>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</si>
  <si>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</si>
  <si>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</si>
  <si>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</si>
  <si>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</si>
  <si>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</si>
  <si>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</si>
  <si>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</si>
  <si>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</si>
  <si>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</si>
  <si>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</si>
  <si>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</si>
  <si>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</si>
  <si>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</si>
  <si>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</si>
  <si>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</si>
  <si>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</si>
  <si>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</si>
  <si>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</si>
  <si>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</si>
  <si>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</si>
  <si>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</si>
  <si>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</si>
  <si>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</si>
  <si>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</si>
  <si>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</si>
  <si>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</si>
  <si>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</si>
  <si>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</si>
  <si>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</si>
  <si>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</si>
  <si>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</si>
  <si>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</si>
  <si>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</si>
  <si>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</si>
  <si>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</si>
  <si>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</si>
  <si>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</si>
  <si>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</si>
  <si>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</si>
  <si>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</si>
  <si>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</si>
  <si>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</si>
  <si>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</si>
  <si>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</si>
  <si>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</si>
  <si>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</si>
  <si>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</si>
  <si>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</si>
  <si>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</si>
  <si>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</si>
  <si>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</si>
  <si>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</si>
  <si>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</si>
  <si>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</si>
  <si>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</si>
  <si>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</si>
  <si>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</si>
  <si>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</si>
  <si>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</si>
  <si>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</si>
  <si>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</si>
  <si>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</si>
  <si>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</si>
  <si>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</si>
  <si>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</si>
  <si>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</si>
  <si>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</si>
  <si>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</si>
  <si>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</si>
  <si>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</si>
  <si>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</si>
  <si>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</si>
  <si>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</si>
  <si>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</si>
  <si>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</si>
  <si>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</si>
  <si>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</si>
  <si>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</si>
  <si>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</si>
  <si>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</si>
  <si>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</si>
  <si>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</si>
  <si>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</si>
  <si>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</si>
  <si>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</si>
  <si>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</si>
  <si>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</si>
  <si>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</si>
  <si>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</si>
  <si>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</si>
  <si>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</si>
  <si>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</si>
  <si>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</si>
  <si>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</si>
  <si>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</si>
  <si>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</si>
  <si>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</si>
  <si>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</si>
  <si>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</si>
  <si>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</si>
  <si>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</si>
  <si>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</si>
  <si>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</si>
  <si>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</si>
  <si>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</si>
  <si>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</si>
  <si>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</si>
  <si>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</si>
  <si>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</si>
  <si>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</si>
  <si>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</si>
  <si>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</si>
  <si>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</si>
  <si>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</si>
  <si>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</si>
  <si>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</si>
  <si>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</si>
  <si>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</si>
  <si>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</si>
  <si>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</si>
  <si>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</si>
  <si>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</si>
  <si>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</si>
  <si>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</si>
  <si>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</si>
  <si>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</si>
  <si>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</si>
  <si>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</si>
  <si>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</si>
  <si>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</si>
  <si>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</si>
  <si>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</si>
  <si>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</si>
  <si>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</si>
  <si>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</si>
  <si>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</si>
  <si>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</si>
  <si>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</si>
  <si>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</si>
  <si>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</si>
  <si>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</si>
  <si>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</si>
  <si>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</si>
  <si>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</si>
  <si>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</si>
  <si>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</si>
  <si>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</si>
  <si>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</si>
  <si>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</si>
  <si>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</si>
  <si>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</si>
  <si>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</si>
  <si>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</si>
  <si>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</si>
  <si>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</si>
  <si>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</si>
  <si>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</si>
  <si>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</si>
  <si>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</si>
  <si>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</si>
  <si>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</si>
  <si>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</si>
  <si>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</si>
  <si>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</si>
  <si>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</si>
  <si>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</si>
  <si>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</si>
  <si>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</si>
  <si>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</si>
  <si>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</si>
  <si>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</si>
  <si>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</si>
  <si>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</si>
  <si>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by- Prakash</t>
  </si>
  <si>
    <t>Prepaired by----Prakash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</si>
  <si>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</si>
  <si>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</si>
  <si>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</si>
  <si>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</si>
  <si>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</si>
  <si>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</si>
  <si>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</si>
  <si>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</si>
  <si>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</si>
  <si>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</si>
  <si>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</si>
  <si>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</si>
  <si>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</si>
  <si>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</si>
  <si>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</si>
  <si>
    <t xml:space="preserve">Prepaired by --Devendra </t>
  </si>
  <si>
    <t xml:space="preserve">                                                  </t>
  </si>
  <si>
    <t>Main HVAC Power Panel 2- 800A</t>
  </si>
  <si>
    <t>Main MV Panel BALLROOM LVL-1- 2000A</t>
  </si>
  <si>
    <t>Fire Emergency Power Panel 2 - 1000A</t>
  </si>
  <si>
    <t>Main Power Panel 2 -1800A</t>
  </si>
  <si>
    <t>Main Lighting and Small power Panel 2</t>
  </si>
  <si>
    <t>5th floor spa</t>
  </si>
  <si>
    <t>20th Floor</t>
  </si>
  <si>
    <t>Consumption of Extra AHU run</t>
  </si>
  <si>
    <t>B1 Laundry</t>
  </si>
  <si>
    <t>R.o.plant</t>
  </si>
  <si>
    <t>Total Domestic Consumption</t>
  </si>
  <si>
    <t>Total STP Consumption</t>
  </si>
  <si>
    <t>Chiller No 1</t>
  </si>
  <si>
    <t>Chiller No  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</si>
</sst>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35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mbria"/>
      <family val="2"/>
      <scheme val="maj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90" fillId="0" borderId="0" applyNumberFormat="0" applyFill="0" applyBorder="0" applyAlignment="0" applyProtection="0"/>
    <xf numFmtId="0" fontId="2" fillId="0" borderId="0"/>
    <xf numFmtId="0" fontId="1" fillId="0" borderId="0"/>
  </cellStyleXfs>
  <cellXfs count="1651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40" fillId="2" borderId="6" xfId="3" applyFont="1" applyFill="1" applyBorder="1" applyAlignment="1">
      <alignment horizontal="center" vertical="center"/>
    </xf>
    <xf numFmtId="0" fontId="38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164" fontId="40" fillId="2" borderId="6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2" fontId="41" fillId="8" borderId="7" xfId="3" applyNumberFormat="1" applyFont="1" applyFill="1" applyBorder="1" applyAlignment="1">
      <alignment horizontal="right" vertical="center"/>
    </xf>
    <xf numFmtId="1" fontId="41" fillId="8" borderId="7" xfId="3" applyNumberFormat="1" applyFont="1" applyFill="1" applyBorder="1" applyAlignment="1">
      <alignment horizontal="center" vertical="center"/>
    </xf>
    <xf numFmtId="164" fontId="35" fillId="2" borderId="6" xfId="3" applyNumberFormat="1" applyFont="1" applyFill="1" applyBorder="1" applyAlignment="1">
      <alignment horizontal="center" vertical="center" wrapText="1" shrinkToFit="1"/>
    </xf>
    <xf numFmtId="0" fontId="35" fillId="2" borderId="6" xfId="3" applyFont="1" applyFill="1" applyBorder="1" applyAlignment="1">
      <alignment horizontal="center" vertical="center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1" fontId="35" fillId="2" borderId="6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2" borderId="6" xfId="3" applyFont="1" applyFill="1" applyBorder="1" applyAlignment="1">
      <alignment horizont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1" fontId="35" fillId="2" borderId="8" xfId="3" applyNumberFormat="1" applyFont="1" applyFill="1" applyBorder="1" applyAlignment="1">
      <alignment horizontal="center"/>
    </xf>
    <xf numFmtId="1" fontId="35" fillId="2" borderId="2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1" fontId="34" fillId="12" borderId="1" xfId="5" applyNumberFormat="1" applyFont="1" applyFill="1" applyBorder="1" applyAlignment="1" applyProtection="1">
      <alignment horizontal="center"/>
    </xf>
    <xf numFmtId="0" fontId="45" fillId="0" borderId="1" xfId="4" applyFont="1" applyBorder="1" applyAlignment="1">
      <alignment horizontal="center"/>
    </xf>
    <xf numFmtId="0" fontId="48" fillId="2" borderId="2" xfId="3" applyFont="1" applyFill="1" applyBorder="1" applyAlignment="1">
      <alignment horizontal="center"/>
    </xf>
    <xf numFmtId="0" fontId="48" fillId="2" borderId="3" xfId="3" applyFont="1" applyFill="1" applyBorder="1" applyAlignment="1">
      <alignment horizontal="center"/>
    </xf>
    <xf numFmtId="0" fontId="48" fillId="2" borderId="4" xfId="3" applyFont="1" applyFill="1" applyBorder="1" applyAlignment="1">
      <alignment horizontal="center"/>
    </xf>
    <xf numFmtId="44" fontId="48" fillId="8" borderId="1" xfId="8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164" fontId="47" fillId="8" borderId="1" xfId="5" applyNumberFormat="1" applyFont="1" applyFill="1" applyBorder="1" applyAlignment="1" applyProtection="1">
      <alignment horizontal="center"/>
    </xf>
    <xf numFmtId="1" fontId="48" fillId="0" borderId="1" xfId="4" applyNumberFormat="1" applyFont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1" fontId="48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" fontId="46" fillId="2" borderId="1" xfId="3" applyNumberFormat="1" applyFont="1" applyFill="1" applyBorder="1" applyAlignment="1">
      <alignment horizontal="center" vertical="top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164" fontId="34" fillId="2" borderId="1" xfId="5" applyNumberFormat="1" applyFont="1" applyFill="1" applyBorder="1" applyAlignment="1" applyProtection="1">
      <alignment horizontal="center" vertical="center"/>
    </xf>
    <xf numFmtId="164" fontId="34" fillId="8" borderId="1" xfId="5" applyNumberFormat="1" applyFont="1" applyFill="1" applyBorder="1" applyAlignment="1" applyProtection="1">
      <alignment horizontal="center" vertical="top"/>
    </xf>
    <xf numFmtId="2" fontId="35" fillId="2" borderId="6" xfId="5" applyNumberFormat="1" applyFont="1" applyFill="1" applyBorder="1" applyAlignment="1" applyProtection="1">
      <alignment horizontal="center"/>
    </xf>
    <xf numFmtId="165" fontId="35" fillId="2" borderId="6" xfId="6" applyNumberFormat="1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1" fontId="35" fillId="2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164" fontId="35" fillId="2" borderId="6" xfId="5" applyNumberFormat="1" applyFont="1" applyFill="1" applyBorder="1" applyAlignment="1" applyProtection="1">
      <alignment horizontal="center"/>
    </xf>
    <xf numFmtId="0" fontId="35" fillId="0" borderId="1" xfId="4" applyFont="1" applyBorder="1"/>
    <xf numFmtId="0" fontId="34" fillId="0" borderId="0" xfId="0" applyFont="1" applyBorder="1"/>
    <xf numFmtId="0" fontId="34" fillId="0" borderId="0" xfId="0" applyFont="1"/>
    <xf numFmtId="164" fontId="35" fillId="2" borderId="6" xfId="3" applyNumberFormat="1" applyFont="1" applyFill="1" applyBorder="1" applyAlignment="1">
      <alignment horizontal="center"/>
    </xf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8" xfId="7" applyFont="1" applyFill="1" applyBorder="1" applyAlignment="1">
      <alignment horizontal="right" wrapText="1"/>
    </xf>
    <xf numFmtId="43" fontId="34" fillId="8" borderId="1" xfId="7" applyFont="1" applyFill="1" applyBorder="1" applyAlignment="1">
      <alignment horizontal="right" wrapText="1"/>
    </xf>
    <xf numFmtId="165" fontId="34" fillId="0" borderId="1" xfId="6" applyNumberFormat="1" applyFont="1" applyFill="1" applyBorder="1" applyAlignment="1"/>
    <xf numFmtId="164" fontId="35" fillId="2" borderId="0" xfId="5" applyNumberFormat="1" applyFont="1" applyFill="1" applyBorder="1" applyAlignment="1" applyProtection="1">
      <alignment horizontal="center"/>
    </xf>
    <xf numFmtId="1" fontId="34" fillId="8" borderId="1" xfId="5" applyNumberFormat="1" applyFont="1" applyFill="1" applyBorder="1" applyAlignment="1">
      <alignment horizontal="right"/>
    </xf>
    <xf numFmtId="0" fontId="50" fillId="0" borderId="0" xfId="4" applyFont="1"/>
    <xf numFmtId="1" fontId="38" fillId="0" borderId="0" xfId="0" applyNumberFormat="1" applyFont="1" applyAlignment="1">
      <alignment horizontal="center"/>
    </xf>
    <xf numFmtId="1" fontId="38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2" fontId="34" fillId="12" borderId="8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51" fillId="0" borderId="0" xfId="0" applyFont="1"/>
    <xf numFmtId="0" fontId="51" fillId="0" borderId="0" xfId="0" applyFont="1" applyBorder="1"/>
    <xf numFmtId="0" fontId="53" fillId="0" borderId="0" xfId="0" applyFont="1" applyBorder="1"/>
    <xf numFmtId="0" fontId="53" fillId="0" borderId="0" xfId="0" applyFont="1"/>
    <xf numFmtId="164" fontId="52" fillId="2" borderId="0" xfId="5" applyNumberFormat="1" applyFont="1" applyFill="1" applyBorder="1" applyAlignment="1" applyProtection="1">
      <alignment horizontal="center"/>
    </xf>
    <xf numFmtId="0" fontId="55" fillId="0" borderId="0" xfId="4" applyFont="1"/>
    <xf numFmtId="1" fontId="51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1" fontId="38" fillId="0" borderId="0" xfId="0" applyNumberFormat="1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1" fontId="56" fillId="2" borderId="1" xfId="5" applyNumberFormat="1" applyFont="1" applyFill="1" applyBorder="1" applyAlignment="1">
      <alignment horizontal="center" vertical="center"/>
    </xf>
    <xf numFmtId="1" fontId="56" fillId="8" borderId="1" xfId="5" applyNumberFormat="1" applyFont="1" applyFill="1" applyBorder="1" applyAlignment="1">
      <alignment horizontal="center" vertical="center"/>
    </xf>
    <xf numFmtId="0" fontId="35" fillId="15" borderId="1" xfId="3" applyFont="1" applyFill="1" applyBorder="1" applyAlignment="1">
      <alignment horizontal="center" vertical="center"/>
    </xf>
    <xf numFmtId="1" fontId="35" fillId="15" borderId="1" xfId="3" applyNumberFormat="1" applyFont="1" applyFill="1" applyBorder="1" applyAlignment="1">
      <alignment horizontal="center" vertical="center"/>
    </xf>
    <xf numFmtId="1" fontId="35" fillId="15" borderId="2" xfId="3" applyNumberFormat="1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7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8" fillId="16" borderId="2" xfId="3" applyFont="1" applyFill="1" applyBorder="1" applyAlignment="1">
      <alignment horizontal="center"/>
    </xf>
    <xf numFmtId="0" fontId="48" fillId="16" borderId="3" xfId="3" applyFont="1" applyFill="1" applyBorder="1" applyAlignment="1">
      <alignment horizontal="center"/>
    </xf>
    <xf numFmtId="0" fontId="48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7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5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6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>
      <alignment horizontal="left"/>
    </xf>
    <xf numFmtId="0" fontId="39" fillId="2" borderId="1" xfId="4" applyFont="1" applyFill="1" applyBorder="1" applyAlignment="1"/>
    <xf numFmtId="2" fontId="34" fillId="2" borderId="1" xfId="3" applyNumberFormat="1" applyFont="1" applyFill="1" applyBorder="1" applyAlignment="1">
      <alignment horizontal="right"/>
    </xf>
    <xf numFmtId="0" fontId="39" fillId="2" borderId="8" xfId="4" applyFont="1" applyFill="1" applyBorder="1" applyAlignment="1">
      <alignment horizontal="left"/>
    </xf>
    <xf numFmtId="2" fontId="53" fillId="8" borderId="1" xfId="3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 vertical="center" wrapText="1" shrinkToFit="1"/>
    </xf>
    <xf numFmtId="0" fontId="52" fillId="2" borderId="0" xfId="3" applyFont="1" applyFill="1" applyBorder="1" applyAlignment="1">
      <alignment horizontal="center" vertical="center"/>
    </xf>
    <xf numFmtId="1" fontId="52" fillId="2" borderId="0" xfId="5" applyNumberFormat="1" applyFont="1" applyFill="1" applyBorder="1" applyAlignment="1" applyProtection="1">
      <alignment horizontal="center"/>
    </xf>
    <xf numFmtId="0" fontId="52" fillId="2" borderId="0" xfId="3" applyFont="1" applyFill="1" applyBorder="1" applyAlignment="1">
      <alignment horizontal="center"/>
    </xf>
    <xf numFmtId="2" fontId="52" fillId="2" borderId="0" xfId="5" applyNumberFormat="1" applyFont="1" applyFill="1" applyBorder="1" applyAlignment="1" applyProtection="1">
      <alignment horizontal="center"/>
    </xf>
    <xf numFmtId="165" fontId="52" fillId="2" borderId="0" xfId="6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/>
    </xf>
    <xf numFmtId="0" fontId="58" fillId="0" borderId="30" xfId="4" applyFont="1" applyBorder="1" applyAlignment="1">
      <alignment vertical="center" wrapText="1"/>
    </xf>
    <xf numFmtId="0" fontId="58" fillId="0" borderId="25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9" fillId="2" borderId="1" xfId="1" applyNumberFormat="1" applyFont="1" applyFill="1" applyBorder="1" applyAlignment="1">
      <alignment vertical="center" wrapText="1"/>
    </xf>
    <xf numFmtId="2" fontId="51" fillId="0" borderId="0" xfId="0" applyNumberFormat="1" applyFont="1"/>
    <xf numFmtId="0" fontId="51" fillId="0" borderId="0" xfId="0" applyFont="1" applyFill="1"/>
    <xf numFmtId="0" fontId="62" fillId="0" borderId="0" xfId="0" applyFont="1"/>
    <xf numFmtId="1" fontId="35" fillId="0" borderId="1" xfId="3" applyNumberFormat="1" applyFont="1" applyFill="1" applyBorder="1" applyAlignment="1">
      <alignment horizontal="center"/>
    </xf>
    <xf numFmtId="0" fontId="61" fillId="0" borderId="1" xfId="0" applyFont="1" applyFill="1" applyBorder="1"/>
    <xf numFmtId="0" fontId="62" fillId="0" borderId="0" xfId="0" applyFont="1" applyBorder="1"/>
    <xf numFmtId="0" fontId="62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/>
    </xf>
    <xf numFmtId="1" fontId="35" fillId="0" borderId="1" xfId="5" applyNumberFormat="1" applyFont="1" applyFill="1" applyBorder="1" applyAlignment="1" applyProtection="1">
      <alignment horizontal="center"/>
    </xf>
    <xf numFmtId="1" fontId="62" fillId="0" borderId="1" xfId="0" applyNumberFormat="1" applyFont="1" applyFill="1" applyBorder="1" applyAlignment="1">
      <alignment horizontal="center"/>
    </xf>
    <xf numFmtId="1" fontId="62" fillId="0" borderId="0" xfId="0" applyNumberFormat="1" applyFont="1" applyAlignment="1">
      <alignment horizontal="center"/>
    </xf>
    <xf numFmtId="1" fontId="62" fillId="0" borderId="0" xfId="0" applyNumberFormat="1" applyFont="1"/>
    <xf numFmtId="0" fontId="62" fillId="0" borderId="0" xfId="0" applyFont="1" applyFill="1"/>
    <xf numFmtId="0" fontId="61" fillId="0" borderId="0" xfId="0" applyFont="1" applyFill="1"/>
    <xf numFmtId="1" fontId="61" fillId="0" borderId="1" xfId="0" applyNumberFormat="1" applyFont="1" applyFill="1" applyBorder="1"/>
    <xf numFmtId="0" fontId="35" fillId="0" borderId="32" xfId="3" applyFont="1" applyFill="1" applyBorder="1" applyAlignment="1">
      <alignment horizontal="center" vertical="center"/>
    </xf>
    <xf numFmtId="0" fontId="35" fillId="0" borderId="25" xfId="3" applyFont="1" applyFill="1" applyBorder="1" applyAlignment="1">
      <alignment horizontal="center" vertical="center"/>
    </xf>
    <xf numFmtId="2" fontId="34" fillId="0" borderId="25" xfId="3" applyNumberFormat="1" applyFont="1" applyFill="1" applyBorder="1" applyAlignment="1">
      <alignment horizontal="center" vertical="center"/>
    </xf>
    <xf numFmtId="0" fontId="36" fillId="0" borderId="25" xfId="4" applyFont="1" applyFill="1" applyBorder="1" applyAlignment="1">
      <alignment horizontal="center" vertical="center"/>
    </xf>
    <xf numFmtId="1" fontId="35" fillId="0" borderId="25" xfId="5" applyNumberFormat="1" applyFont="1" applyFill="1" applyBorder="1" applyAlignment="1">
      <alignment horizontal="center" vertical="center"/>
    </xf>
    <xf numFmtId="1" fontId="35" fillId="0" borderId="25" xfId="3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1" fontId="35" fillId="0" borderId="30" xfId="5" applyNumberFormat="1" applyFont="1" applyFill="1" applyBorder="1" applyAlignment="1" applyProtection="1">
      <alignment horizontal="center" vertical="center"/>
    </xf>
    <xf numFmtId="0" fontId="35" fillId="10" borderId="32" xfId="3" applyFont="1" applyFill="1" applyBorder="1" applyAlignment="1">
      <alignment horizontal="center" vertical="center"/>
    </xf>
    <xf numFmtId="2" fontId="34" fillId="10" borderId="25" xfId="3" applyNumberFormat="1" applyFont="1" applyFill="1" applyBorder="1" applyAlignment="1">
      <alignment horizontal="center" vertical="center"/>
    </xf>
    <xf numFmtId="0" fontId="36" fillId="10" borderId="25" xfId="4" applyFont="1" applyFill="1" applyBorder="1" applyAlignment="1">
      <alignment horizontal="center" vertical="center"/>
    </xf>
    <xf numFmtId="1" fontId="35" fillId="10" borderId="25" xfId="5" applyNumberFormat="1" applyFont="1" applyFill="1" applyBorder="1" applyAlignment="1">
      <alignment horizontal="center" vertical="center"/>
    </xf>
    <xf numFmtId="1" fontId="35" fillId="10" borderId="25" xfId="3" applyNumberFormat="1" applyFont="1" applyFill="1" applyBorder="1" applyAlignment="1">
      <alignment horizontal="center" vertical="center"/>
    </xf>
    <xf numFmtId="0" fontId="62" fillId="10" borderId="0" xfId="0" applyFont="1" applyFill="1" applyBorder="1" applyAlignment="1">
      <alignment horizontal="center" vertical="center"/>
    </xf>
    <xf numFmtId="1" fontId="35" fillId="10" borderId="30" xfId="5" applyNumberFormat="1" applyFont="1" applyFill="1" applyBorder="1" applyAlignment="1" applyProtection="1">
      <alignment horizontal="center" vertical="center"/>
    </xf>
    <xf numFmtId="1" fontId="61" fillId="0" borderId="1" xfId="0" applyNumberFormat="1" applyFont="1" applyFill="1" applyBorder="1" applyAlignment="1">
      <alignment horizontal="center"/>
    </xf>
    <xf numFmtId="0" fontId="62" fillId="0" borderId="1" xfId="0" applyFont="1" applyFill="1" applyBorder="1"/>
    <xf numFmtId="0" fontId="35" fillId="10" borderId="24" xfId="3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61" fillId="0" borderId="4" xfId="0" applyFont="1" applyFill="1" applyBorder="1"/>
    <xf numFmtId="0" fontId="62" fillId="0" borderId="4" xfId="0" applyFont="1" applyFill="1" applyBorder="1" applyAlignment="1">
      <alignment horizontal="center"/>
    </xf>
    <xf numFmtId="0" fontId="35" fillId="10" borderId="0" xfId="3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/>
    </xf>
    <xf numFmtId="0" fontId="34" fillId="0" borderId="1" xfId="0" applyFont="1" applyFill="1" applyBorder="1"/>
    <xf numFmtId="1" fontId="62" fillId="0" borderId="0" xfId="0" applyNumberFormat="1" applyFont="1" applyFill="1" applyAlignment="1">
      <alignment horizontal="center"/>
    </xf>
    <xf numFmtId="1" fontId="62" fillId="0" borderId="0" xfId="0" applyNumberFormat="1" applyFont="1" applyFill="1"/>
    <xf numFmtId="1" fontId="34" fillId="2" borderId="1" xfId="3" applyNumberFormat="1" applyFont="1" applyFill="1" applyBorder="1" applyAlignment="1">
      <alignment horizontal="center"/>
    </xf>
    <xf numFmtId="0" fontId="60" fillId="0" borderId="1" xfId="0" applyFont="1" applyBorder="1"/>
    <xf numFmtId="9" fontId="60" fillId="0" borderId="1" xfId="0" applyNumberFormat="1" applyFont="1" applyBorder="1"/>
    <xf numFmtId="1" fontId="60" fillId="0" borderId="1" xfId="0" applyNumberFormat="1" applyFont="1" applyBorder="1"/>
    <xf numFmtId="0" fontId="0" fillId="0" borderId="0" xfId="0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3" fillId="15" borderId="1" xfId="3" applyFont="1" applyFill="1" applyBorder="1" applyAlignment="1"/>
    <xf numFmtId="0" fontId="69" fillId="0" borderId="0" xfId="0" applyFont="1"/>
    <xf numFmtId="2" fontId="70" fillId="8" borderId="1" xfId="3" applyNumberFormat="1" applyFont="1" applyFill="1" applyBorder="1" applyAlignment="1">
      <alignment horizontal="center"/>
    </xf>
    <xf numFmtId="0" fontId="73" fillId="0" borderId="0" xfId="0" applyFont="1"/>
    <xf numFmtId="0" fontId="71" fillId="0" borderId="0" xfId="0" applyFont="1"/>
    <xf numFmtId="0" fontId="63" fillId="15" borderId="1" xfId="3" applyFont="1" applyFill="1" applyBorder="1" applyAlignment="1">
      <alignment horizontal="center" vertical="center"/>
    </xf>
    <xf numFmtId="0" fontId="63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64" fillId="9" borderId="1" xfId="3" applyFont="1" applyFill="1" applyBorder="1" applyAlignment="1">
      <alignment horizontal="center" vertical="center"/>
    </xf>
    <xf numFmtId="10" fontId="64" fillId="9" borderId="1" xfId="3" applyNumberFormat="1" applyFont="1" applyFill="1" applyBorder="1" applyAlignment="1">
      <alignment horizontal="center"/>
    </xf>
    <xf numFmtId="1" fontId="64" fillId="9" borderId="1" xfId="3" applyNumberFormat="1" applyFont="1" applyFill="1" applyBorder="1" applyAlignment="1">
      <alignment horizontal="center"/>
    </xf>
    <xf numFmtId="2" fontId="64" fillId="9" borderId="1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center"/>
    </xf>
    <xf numFmtId="0" fontId="72" fillId="0" borderId="0" xfId="0" applyFont="1"/>
    <xf numFmtId="2" fontId="70" fillId="2" borderId="1" xfId="3" applyNumberFormat="1" applyFont="1" applyFill="1" applyBorder="1" applyAlignment="1">
      <alignment horizontal="center" vertical="center"/>
    </xf>
    <xf numFmtId="164" fontId="70" fillId="8" borderId="1" xfId="3" applyNumberFormat="1" applyFont="1" applyFill="1" applyBorder="1" applyAlignment="1">
      <alignment horizontal="center" wrapText="1" shrinkToFit="1"/>
    </xf>
    <xf numFmtId="2" fontId="70" fillId="8" borderId="1" xfId="3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 vertical="center"/>
    </xf>
    <xf numFmtId="0" fontId="70" fillId="2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1" fontId="70" fillId="2" borderId="7" xfId="5" applyNumberFormat="1" applyFont="1" applyFill="1" applyBorder="1" applyAlignment="1">
      <alignment horizontal="center" vertical="center"/>
    </xf>
    <xf numFmtId="1" fontId="70" fillId="2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2" fontId="70" fillId="12" borderId="1" xfId="3" applyNumberFormat="1" applyFont="1" applyFill="1" applyBorder="1" applyAlignment="1">
      <alignment horizontal="center"/>
    </xf>
    <xf numFmtId="1" fontId="75" fillId="15" borderId="1" xfId="3" applyNumberFormat="1" applyFont="1" applyFill="1" applyBorder="1" applyAlignment="1">
      <alignment horizontal="center"/>
    </xf>
    <xf numFmtId="0" fontId="70" fillId="0" borderId="1" xfId="4" applyFont="1" applyBorder="1"/>
    <xf numFmtId="0" fontId="77" fillId="8" borderId="1" xfId="3" applyFont="1" applyFill="1" applyBorder="1" applyAlignment="1">
      <alignment horizontal="center"/>
    </xf>
    <xf numFmtId="164" fontId="77" fillId="8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0" fontId="77" fillId="2" borderId="1" xfId="4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2" fontId="79" fillId="8" borderId="1" xfId="3" applyNumberFormat="1" applyFont="1" applyFill="1" applyBorder="1" applyAlignment="1">
      <alignment horizontal="center"/>
    </xf>
    <xf numFmtId="164" fontId="75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70" fillId="8" borderId="1" xfId="9" applyNumberFormat="1" applyFont="1" applyFill="1" applyBorder="1" applyAlignment="1">
      <alignment horizontal="center"/>
    </xf>
    <xf numFmtId="168" fontId="75" fillId="8" borderId="1" xfId="5" applyNumberFormat="1" applyFont="1" applyFill="1" applyBorder="1" applyAlignment="1" applyProtection="1">
      <alignment horizontal="center" vertical="center"/>
    </xf>
    <xf numFmtId="164" fontId="78" fillId="8" borderId="1" xfId="5" applyNumberFormat="1" applyFont="1" applyFill="1" applyBorder="1" applyAlignment="1" applyProtection="1">
      <alignment horizontal="center"/>
    </xf>
    <xf numFmtId="1" fontId="79" fillId="0" borderId="1" xfId="4" applyNumberFormat="1" applyFont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1" fontId="79" fillId="8" borderId="1" xfId="3" applyNumberFormat="1" applyFont="1" applyFill="1" applyBorder="1" applyAlignment="1">
      <alignment horizontal="center" vertical="center"/>
    </xf>
    <xf numFmtId="0" fontId="77" fillId="2" borderId="1" xfId="3" applyFont="1" applyFill="1" applyBorder="1" applyAlignment="1">
      <alignment horizontal="center"/>
    </xf>
    <xf numFmtId="169" fontId="77" fillId="8" borderId="1" xfId="5" applyNumberFormat="1" applyFont="1" applyFill="1" applyBorder="1" applyAlignment="1" applyProtection="1">
      <alignment horizontal="center" vertical="center"/>
    </xf>
    <xf numFmtId="1" fontId="77" fillId="2" borderId="1" xfId="3" applyNumberFormat="1" applyFont="1" applyFill="1" applyBorder="1" applyAlignment="1">
      <alignment horizontal="center" vertical="top"/>
    </xf>
    <xf numFmtId="0" fontId="70" fillId="0" borderId="1" xfId="4" applyFont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0" fontId="70" fillId="15" borderId="1" xfId="3" applyFont="1" applyFill="1" applyBorder="1" applyAlignment="1"/>
    <xf numFmtId="1" fontId="70" fillId="2" borderId="1" xfId="3" applyNumberFormat="1" applyFont="1" applyFill="1" applyBorder="1" applyAlignment="1">
      <alignment horizontal="center" vertical="center"/>
    </xf>
    <xf numFmtId="164" fontId="70" fillId="2" borderId="1" xfId="5" applyNumberFormat="1" applyFont="1" applyFill="1" applyBorder="1" applyAlignment="1" applyProtection="1">
      <alignment horizontal="center" vertical="center"/>
    </xf>
    <xf numFmtId="164" fontId="70" fillId="8" borderId="1" xfId="5" applyNumberFormat="1" applyFont="1" applyFill="1" applyBorder="1" applyAlignment="1" applyProtection="1">
      <alignment horizontal="center" vertical="top"/>
    </xf>
    <xf numFmtId="0" fontId="70" fillId="2" borderId="1" xfId="4" applyFont="1" applyFill="1" applyBorder="1" applyAlignment="1">
      <alignment horizontal="left"/>
    </xf>
    <xf numFmtId="0" fontId="70" fillId="2" borderId="1" xfId="4" applyFont="1" applyFill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6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1" fontId="75" fillId="2" borderId="1" xfId="3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right" wrapText="1"/>
    </xf>
    <xf numFmtId="2" fontId="70" fillId="10" borderId="25" xfId="3" applyNumberFormat="1" applyFont="1" applyFill="1" applyBorder="1" applyAlignment="1">
      <alignment horizontal="center" vertical="center"/>
    </xf>
    <xf numFmtId="0" fontId="76" fillId="10" borderId="25" xfId="4" applyFont="1" applyFill="1" applyBorder="1" applyAlignment="1">
      <alignment horizontal="center" vertical="center"/>
    </xf>
    <xf numFmtId="1" fontId="70" fillId="10" borderId="25" xfId="5" applyNumberFormat="1" applyFont="1" applyFill="1" applyBorder="1" applyAlignment="1">
      <alignment horizontal="center" vertical="center"/>
    </xf>
    <xf numFmtId="1" fontId="70" fillId="10" borderId="25" xfId="3" applyNumberFormat="1" applyFont="1" applyFill="1" applyBorder="1" applyAlignment="1">
      <alignment horizontal="center" vertical="center"/>
    </xf>
    <xf numFmtId="0" fontId="75" fillId="10" borderId="0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1" fontId="75" fillId="0" borderId="1" xfId="0" applyNumberFormat="1" applyFont="1" applyBorder="1" applyAlignment="1">
      <alignment horizontal="center"/>
    </xf>
    <xf numFmtId="0" fontId="75" fillId="0" borderId="1" xfId="0" applyFont="1" applyFill="1" applyBorder="1" applyAlignment="1">
      <alignment horizontal="center"/>
    </xf>
    <xf numFmtId="0" fontId="75" fillId="0" borderId="1" xfId="0" applyFont="1" applyFill="1" applyBorder="1"/>
    <xf numFmtId="1" fontId="75" fillId="0" borderId="1" xfId="0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 applyProtection="1">
      <alignment horizontal="center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1" fontId="70" fillId="15" borderId="1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75" fillId="0" borderId="1" xfId="0" applyFont="1" applyBorder="1"/>
    <xf numFmtId="9" fontId="70" fillId="8" borderId="1" xfId="6" applyNumberFormat="1" applyFont="1" applyFill="1" applyBorder="1" applyAlignment="1">
      <alignment horizontal="center"/>
    </xf>
    <xf numFmtId="165" fontId="70" fillId="0" borderId="1" xfId="6" applyNumberFormat="1" applyFont="1" applyFill="1" applyBorder="1" applyAlignment="1"/>
    <xf numFmtId="1" fontId="70" fillId="8" borderId="1" xfId="5" applyNumberFormat="1" applyFont="1" applyFill="1" applyBorder="1" applyAlignment="1">
      <alignment horizontal="right"/>
    </xf>
    <xf numFmtId="0" fontId="80" fillId="0" borderId="0" xfId="0" applyFont="1"/>
    <xf numFmtId="1" fontId="80" fillId="0" borderId="0" xfId="0" applyNumberFormat="1" applyFont="1" applyAlignment="1">
      <alignment horizontal="center"/>
    </xf>
    <xf numFmtId="1" fontId="80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70" fillId="8" borderId="15" xfId="3" applyNumberFormat="1" applyFont="1" applyFill="1" applyBorder="1" applyAlignment="1">
      <alignment horizontal="center" wrapText="1" shrinkToFit="1"/>
    </xf>
    <xf numFmtId="0" fontId="70" fillId="15" borderId="15" xfId="3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1" fontId="70" fillId="2" borderId="15" xfId="5" applyNumberFormat="1" applyFont="1" applyFill="1" applyBorder="1" applyAlignment="1" applyProtection="1">
      <alignment horizontal="center"/>
    </xf>
    <xf numFmtId="1" fontId="70" fillId="15" borderId="15" xfId="3" applyNumberFormat="1" applyFont="1" applyFill="1" applyBorder="1" applyAlignment="1">
      <alignment horizontal="center" vertical="center"/>
    </xf>
    <xf numFmtId="0" fontId="70" fillId="15" borderId="15" xfId="3" applyFont="1" applyFill="1" applyBorder="1" applyAlignment="1"/>
    <xf numFmtId="0" fontId="70" fillId="2" borderId="15" xfId="4" applyFont="1" applyFill="1" applyBorder="1" applyAlignment="1"/>
    <xf numFmtId="1" fontId="70" fillId="10" borderId="31" xfId="5" applyNumberFormat="1" applyFont="1" applyFill="1" applyBorder="1" applyAlignment="1" applyProtection="1">
      <alignment horizontal="center" vertical="center"/>
    </xf>
    <xf numFmtId="1" fontId="75" fillId="0" borderId="15" xfId="0" applyNumberFormat="1" applyFont="1" applyBorder="1" applyAlignment="1">
      <alignment horizontal="center"/>
    </xf>
    <xf numFmtId="1" fontId="75" fillId="0" borderId="15" xfId="0" applyNumberFormat="1" applyFont="1" applyFill="1" applyBorder="1" applyAlignment="1">
      <alignment horizontal="center"/>
    </xf>
    <xf numFmtId="0" fontId="75" fillId="0" borderId="0" xfId="0" applyFont="1" applyBorder="1"/>
    <xf numFmtId="1" fontId="75" fillId="0" borderId="0" xfId="0" applyNumberFormat="1" applyFont="1" applyBorder="1" applyAlignment="1">
      <alignment horizontal="center"/>
    </xf>
    <xf numFmtId="1" fontId="75" fillId="0" borderId="35" xfId="0" applyNumberFormat="1" applyFont="1" applyBorder="1"/>
    <xf numFmtId="0" fontId="75" fillId="15" borderId="15" xfId="3" applyFont="1" applyFill="1" applyBorder="1" applyAlignment="1">
      <alignment horizontal="center"/>
    </xf>
    <xf numFmtId="1" fontId="70" fillId="15" borderId="15" xfId="5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9" fontId="70" fillId="8" borderId="7" xfId="6" applyNumberFormat="1" applyFont="1" applyFill="1" applyBorder="1" applyAlignment="1">
      <alignment horizontal="center"/>
    </xf>
    <xf numFmtId="1" fontId="70" fillId="8" borderId="7" xfId="3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right"/>
    </xf>
    <xf numFmtId="1" fontId="70" fillId="8" borderId="23" xfId="5" applyNumberFormat="1" applyFont="1" applyFill="1" applyBorder="1" applyAlignment="1" applyProtection="1">
      <alignment horizontal="center"/>
    </xf>
    <xf numFmtId="9" fontId="64" fillId="9" borderId="21" xfId="3" applyNumberFormat="1" applyFont="1" applyFill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7" fillId="16" borderId="1" xfId="0" applyFont="1" applyFill="1" applyBorder="1"/>
    <xf numFmtId="0" fontId="69" fillId="0" borderId="0" xfId="0" applyFont="1" applyBorder="1"/>
    <xf numFmtId="0" fontId="72" fillId="0" borderId="1" xfId="0" applyFont="1" applyFill="1" applyBorder="1" applyAlignment="1">
      <alignment horizontal="left"/>
    </xf>
    <xf numFmtId="166" fontId="64" fillId="9" borderId="21" xfId="3" applyNumberFormat="1" applyFont="1" applyFill="1" applyBorder="1" applyAlignment="1">
      <alignment horizontal="left"/>
    </xf>
    <xf numFmtId="0" fontId="64" fillId="9" borderId="21" xfId="3" applyFont="1" applyFill="1" applyBorder="1"/>
    <xf numFmtId="0" fontId="64" fillId="8" borderId="21" xfId="3" applyFont="1" applyFill="1" applyBorder="1" applyAlignment="1">
      <alignment horizontal="center" vertical="center"/>
    </xf>
    <xf numFmtId="0" fontId="64" fillId="8" borderId="2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center"/>
    </xf>
    <xf numFmtId="0" fontId="64" fillId="8" borderId="28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167" fontId="64" fillId="8" borderId="21" xfId="3" applyNumberFormat="1" applyFont="1" applyFill="1" applyBorder="1" applyAlignment="1">
      <alignment vertical="center"/>
    </xf>
    <xf numFmtId="167" fontId="63" fillId="8" borderId="1" xfId="3" applyNumberFormat="1" applyFont="1" applyFill="1" applyBorder="1" applyAlignment="1">
      <alignment vertical="center"/>
    </xf>
    <xf numFmtId="0" fontId="64" fillId="16" borderId="21" xfId="3" applyFont="1" applyFill="1" applyBorder="1" applyAlignment="1">
      <alignment horizontal="center"/>
    </xf>
    <xf numFmtId="0" fontId="63" fillId="16" borderId="1" xfId="3" applyFont="1" applyFill="1" applyBorder="1" applyAlignment="1">
      <alignment horizontal="center"/>
    </xf>
    <xf numFmtId="0" fontId="64" fillId="2" borderId="21" xfId="3" applyFont="1" applyFill="1" applyBorder="1" applyAlignment="1">
      <alignment horizontal="left" vertical="center"/>
    </xf>
    <xf numFmtId="0" fontId="63" fillId="2" borderId="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/>
    </xf>
    <xf numFmtId="0" fontId="64" fillId="16" borderId="21" xfId="3" applyFont="1" applyFill="1" applyBorder="1" applyAlignment="1">
      <alignment horizontal="center" vertical="center"/>
    </xf>
    <xf numFmtId="0" fontId="63" fillId="16" borderId="1" xfId="3" applyFont="1" applyFill="1" applyBorder="1" applyAlignment="1">
      <alignment horizontal="center" vertical="center"/>
    </xf>
    <xf numFmtId="0" fontId="74" fillId="2" borderId="16" xfId="3" applyFont="1" applyFill="1" applyBorder="1" applyAlignment="1">
      <alignment horizontal="center"/>
    </xf>
    <xf numFmtId="0" fontId="74" fillId="2" borderId="3" xfId="3" applyFont="1" applyFill="1" applyBorder="1" applyAlignment="1">
      <alignment horizontal="center"/>
    </xf>
    <xf numFmtId="0" fontId="74" fillId="2" borderId="4" xfId="3" applyFont="1" applyFill="1" applyBorder="1" applyAlignment="1">
      <alignment horizontal="center"/>
    </xf>
    <xf numFmtId="0" fontId="74" fillId="16" borderId="16" xfId="3" applyFont="1" applyFill="1" applyBorder="1" applyAlignment="1">
      <alignment horizontal="center"/>
    </xf>
    <xf numFmtId="0" fontId="74" fillId="16" borderId="3" xfId="3" applyFont="1" applyFill="1" applyBorder="1" applyAlignment="1">
      <alignment horizontal="center"/>
    </xf>
    <xf numFmtId="0" fontId="74" fillId="16" borderId="4" xfId="3" applyFont="1" applyFill="1" applyBorder="1" applyAlignment="1">
      <alignment horizontal="center"/>
    </xf>
    <xf numFmtId="0" fontId="64" fillId="15" borderId="21" xfId="3" applyFont="1" applyFill="1" applyBorder="1" applyAlignment="1">
      <alignment horizontal="left"/>
    </xf>
    <xf numFmtId="2" fontId="64" fillId="8" borderId="21" xfId="3" applyNumberFormat="1" applyFont="1" applyFill="1" applyBorder="1" applyAlignment="1">
      <alignment horizontal="left" vertical="center"/>
    </xf>
    <xf numFmtId="2" fontId="63" fillId="8" borderId="1" xfId="3" applyNumberFormat="1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justify"/>
    </xf>
    <xf numFmtId="0" fontId="64" fillId="15" borderId="21" xfId="3" applyFont="1" applyFill="1" applyBorder="1" applyAlignment="1"/>
    <xf numFmtId="0" fontId="64" fillId="0" borderId="21" xfId="4" applyFont="1" applyBorder="1" applyAlignment="1">
      <alignment vertical="center"/>
    </xf>
    <xf numFmtId="0" fontId="63" fillId="0" borderId="1" xfId="4" applyFont="1" applyBorder="1" applyAlignment="1">
      <alignment vertical="center"/>
    </xf>
    <xf numFmtId="0" fontId="66" fillId="16" borderId="21" xfId="4" applyFont="1" applyFill="1" applyBorder="1"/>
    <xf numFmtId="0" fontId="64" fillId="15" borderId="21" xfId="3" applyFont="1" applyFill="1" applyBorder="1" applyAlignment="1">
      <alignment horizontal="center"/>
    </xf>
    <xf numFmtId="0" fontId="64" fillId="10" borderId="33" xfId="3" applyFont="1" applyFill="1" applyBorder="1" applyAlignment="1">
      <alignment horizontal="center" vertical="center"/>
    </xf>
    <xf numFmtId="0" fontId="64" fillId="10" borderId="0" xfId="3" applyFont="1" applyFill="1" applyBorder="1" applyAlignment="1">
      <alignment horizontal="center" vertical="center"/>
    </xf>
    <xf numFmtId="0" fontId="64" fillId="0" borderId="21" xfId="4" applyFont="1" applyBorder="1"/>
    <xf numFmtId="0" fontId="64" fillId="15" borderId="21" xfId="3" applyFont="1" applyFill="1" applyBorder="1" applyAlignment="1">
      <alignment horizontal="center" vertic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/>
    <xf numFmtId="1" fontId="64" fillId="9" borderId="15" xfId="3" applyNumberFormat="1" applyFont="1" applyFill="1" applyBorder="1" applyAlignment="1">
      <alignment horizontal="center" vertical="center"/>
    </xf>
    <xf numFmtId="0" fontId="64" fillId="9" borderId="1" xfId="3" applyFont="1" applyFill="1" applyBorder="1" applyAlignment="1">
      <alignment horizontal="left"/>
    </xf>
    <xf numFmtId="1" fontId="64" fillId="9" borderId="15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left"/>
    </xf>
    <xf numFmtId="0" fontId="70" fillId="8" borderId="8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 vertical="center"/>
    </xf>
    <xf numFmtId="0" fontId="70" fillId="10" borderId="32" xfId="3" applyFont="1" applyFill="1" applyBorder="1" applyAlignment="1">
      <alignment horizontal="center" vertical="center"/>
    </xf>
    <xf numFmtId="0" fontId="75" fillId="0" borderId="4" xfId="0" applyFont="1" applyBorder="1" applyAlignment="1">
      <alignment horizontal="center"/>
    </xf>
    <xf numFmtId="0" fontId="80" fillId="0" borderId="4" xfId="0" applyFont="1" applyFill="1" applyBorder="1"/>
    <xf numFmtId="0" fontId="75" fillId="0" borderId="4" xfId="0" applyFont="1" applyFill="1" applyBorder="1" applyAlignment="1">
      <alignment horizontal="center"/>
    </xf>
    <xf numFmtId="0" fontId="70" fillId="8" borderId="7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/>
    </xf>
    <xf numFmtId="0" fontId="70" fillId="0" borderId="1" xfId="3" applyFont="1" applyFill="1" applyBorder="1" applyAlignment="1">
      <alignment horizontal="center"/>
    </xf>
    <xf numFmtId="1" fontId="84" fillId="12" borderId="0" xfId="0" applyNumberFormat="1" applyFont="1" applyFill="1"/>
    <xf numFmtId="1" fontId="84" fillId="0" borderId="0" xfId="0" applyNumberFormat="1" applyFont="1"/>
    <xf numFmtId="0" fontId="69" fillId="9" borderId="1" xfId="3" applyFont="1" applyFill="1" applyBorder="1" applyAlignment="1">
      <alignment horizontal="center" vertical="center"/>
    </xf>
    <xf numFmtId="2" fontId="69" fillId="9" borderId="1" xfId="3" applyNumberFormat="1" applyFont="1" applyFill="1" applyBorder="1" applyAlignment="1">
      <alignment horizontal="center"/>
    </xf>
    <xf numFmtId="2" fontId="75" fillId="2" borderId="1" xfId="3" applyNumberFormat="1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2" fontId="75" fillId="8" borderId="8" xfId="3" applyNumberFormat="1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5" fillId="2" borderId="1" xfId="4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2" fontId="75" fillId="8" borderId="1" xfId="9" applyNumberFormat="1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 vertical="center"/>
    </xf>
    <xf numFmtId="0" fontId="75" fillId="8" borderId="1" xfId="3" applyFont="1" applyFill="1" applyBorder="1" applyAlignment="1">
      <alignment horizontal="center" vertical="center"/>
    </xf>
    <xf numFmtId="0" fontId="75" fillId="0" borderId="1" xfId="4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vertical="center"/>
    </xf>
    <xf numFmtId="1" fontId="75" fillId="2" borderId="1" xfId="3" applyNumberFormat="1" applyFont="1" applyFill="1" applyBorder="1" applyAlignment="1">
      <alignment horizontal="center" vertical="center"/>
    </xf>
    <xf numFmtId="0" fontId="75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0" borderId="1" xfId="3" applyFont="1" applyFill="1" applyBorder="1" applyAlignment="1">
      <alignment horizontal="center"/>
    </xf>
    <xf numFmtId="0" fontId="75" fillId="10" borderId="25" xfId="4" applyFont="1" applyFill="1" applyBorder="1" applyAlignment="1">
      <alignment horizontal="center" vertical="center"/>
    </xf>
    <xf numFmtId="0" fontId="75" fillId="12" borderId="1" xfId="4" applyFont="1" applyFill="1" applyBorder="1" applyAlignment="1">
      <alignment horizontal="center"/>
    </xf>
    <xf numFmtId="2" fontId="75" fillId="8" borderId="7" xfId="3" applyNumberFormat="1" applyFont="1" applyFill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10" borderId="25" xfId="4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 applyBorder="1"/>
    <xf numFmtId="0" fontId="85" fillId="0" borderId="0" xfId="0" applyFont="1"/>
    <xf numFmtId="0" fontId="70" fillId="0" borderId="0" xfId="0" applyFont="1"/>
    <xf numFmtId="1" fontId="86" fillId="20" borderId="1" xfId="5" applyNumberFormat="1" applyFont="1" applyFill="1" applyBorder="1" applyAlignment="1">
      <alignment horizontal="center" vertical="center"/>
    </xf>
    <xf numFmtId="0" fontId="82" fillId="21" borderId="2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left"/>
    </xf>
    <xf numFmtId="0" fontId="86" fillId="21" borderId="1" xfId="3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/>
    </xf>
    <xf numFmtId="1" fontId="86" fillId="21" borderId="1" xfId="5" applyNumberFormat="1" applyFont="1" applyFill="1" applyBorder="1" applyAlignment="1">
      <alignment horizontal="center" vertical="center"/>
    </xf>
    <xf numFmtId="1" fontId="86" fillId="21" borderId="1" xfId="3" applyNumberFormat="1" applyFont="1" applyFill="1" applyBorder="1" applyAlignment="1">
      <alignment horizontal="center"/>
    </xf>
    <xf numFmtId="0" fontId="86" fillId="21" borderId="1" xfId="3" applyNumberFormat="1" applyFont="1" applyFill="1" applyBorder="1" applyAlignment="1">
      <alignment horizontal="center"/>
    </xf>
    <xf numFmtId="1" fontId="86" fillId="21" borderId="15" xfId="5" applyNumberFormat="1" applyFont="1" applyFill="1" applyBorder="1" applyAlignment="1" applyProtection="1">
      <alignment horizontal="center"/>
    </xf>
    <xf numFmtId="0" fontId="82" fillId="21" borderId="21" xfId="3" applyFont="1" applyFill="1" applyBorder="1" applyAlignment="1">
      <alignment horizontal="left" vertical="center"/>
    </xf>
    <xf numFmtId="0" fontId="81" fillId="21" borderId="1" xfId="3" applyFont="1" applyFill="1" applyBorder="1" applyAlignment="1">
      <alignment horizontal="left" vertical="center"/>
    </xf>
    <xf numFmtId="2" fontId="86" fillId="21" borderId="1" xfId="3" applyNumberFormat="1" applyFont="1" applyFill="1" applyBorder="1" applyAlignment="1">
      <alignment horizontal="center"/>
    </xf>
    <xf numFmtId="0" fontId="69" fillId="8" borderId="21" xfId="3" applyFont="1" applyFill="1" applyBorder="1" applyAlignment="1">
      <alignment horizontal="left" vertical="center"/>
    </xf>
    <xf numFmtId="0" fontId="71" fillId="8" borderId="1" xfId="3" applyFont="1" applyFill="1" applyBorder="1" applyAlignment="1">
      <alignment horizontal="left" vertical="center"/>
    </xf>
    <xf numFmtId="1" fontId="75" fillId="20" borderId="1" xfId="5" applyNumberFormat="1" applyFont="1" applyFill="1" applyBorder="1" applyAlignment="1">
      <alignment horizontal="center" vertical="center"/>
    </xf>
    <xf numFmtId="1" fontId="75" fillId="8" borderId="1" xfId="3" applyNumberFormat="1" applyFont="1" applyFill="1" applyBorder="1" applyAlignment="1">
      <alignment horizontal="center"/>
    </xf>
    <xf numFmtId="0" fontId="75" fillId="2" borderId="1" xfId="3" applyNumberFormat="1" applyFont="1" applyFill="1" applyBorder="1" applyAlignment="1">
      <alignment horizontal="center"/>
    </xf>
    <xf numFmtId="1" fontId="75" fillId="8" borderId="15" xfId="5" applyNumberFormat="1" applyFont="1" applyFill="1" applyBorder="1" applyAlignment="1" applyProtection="1">
      <alignment horizontal="center"/>
    </xf>
    <xf numFmtId="0" fontId="69" fillId="8" borderId="28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3" xfId="3" applyFont="1" applyFill="1" applyBorder="1" applyAlignment="1">
      <alignment horizontal="left" vertical="center"/>
    </xf>
    <xf numFmtId="0" fontId="75" fillId="8" borderId="8" xfId="3" applyFont="1" applyFill="1" applyBorder="1" applyAlignment="1">
      <alignment horizontal="center"/>
    </xf>
    <xf numFmtId="1" fontId="75" fillId="2" borderId="8" xfId="3" applyNumberFormat="1" applyFont="1" applyFill="1" applyBorder="1" applyAlignment="1">
      <alignment horizontal="center"/>
    </xf>
    <xf numFmtId="167" fontId="69" fillId="8" borderId="21" xfId="3" applyNumberFormat="1" applyFont="1" applyFill="1" applyBorder="1" applyAlignment="1">
      <alignment vertical="center"/>
    </xf>
    <xf numFmtId="167" fontId="71" fillId="8" borderId="1" xfId="3" applyNumberFormat="1" applyFont="1" applyFill="1" applyBorder="1" applyAlignment="1">
      <alignment vertical="center"/>
    </xf>
    <xf numFmtId="1" fontId="75" fillId="2" borderId="1" xfId="5" applyNumberFormat="1" applyFont="1" applyFill="1" applyBorder="1" applyAlignment="1">
      <alignment horizontal="center" vertical="center"/>
    </xf>
    <xf numFmtId="1" fontId="75" fillId="12" borderId="1" xfId="3" applyNumberFormat="1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0" fontId="69" fillId="16" borderId="21" xfId="3" applyFont="1" applyFill="1" applyBorder="1" applyAlignment="1">
      <alignment horizontal="center"/>
    </xf>
    <xf numFmtId="0" fontId="71" fillId="16" borderId="1" xfId="3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75" fillId="2" borderId="1" xfId="3" applyNumberFormat="1" applyFont="1" applyFill="1" applyBorder="1" applyAlignment="1">
      <alignment horizontal="center"/>
    </xf>
    <xf numFmtId="0" fontId="75" fillId="0" borderId="1" xfId="4" applyFont="1" applyBorder="1"/>
    <xf numFmtId="164" fontId="75" fillId="20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 applyProtection="1">
      <alignment horizontal="center"/>
    </xf>
    <xf numFmtId="1" fontId="70" fillId="8" borderId="1" xfId="9" applyNumberFormat="1" applyFont="1" applyFill="1" applyBorder="1" applyAlignment="1">
      <alignment horizontal="center"/>
    </xf>
    <xf numFmtId="0" fontId="70" fillId="21" borderId="1" xfId="4" applyFont="1" applyFill="1" applyBorder="1" applyAlignment="1">
      <alignment horizontal="center"/>
    </xf>
    <xf numFmtId="0" fontId="76" fillId="12" borderId="1" xfId="4" applyFont="1" applyFill="1" applyBorder="1" applyAlignment="1">
      <alignment horizontal="center"/>
    </xf>
    <xf numFmtId="1" fontId="75" fillId="2" borderId="8" xfId="5" applyNumberFormat="1" applyFont="1" applyFill="1" applyBorder="1" applyAlignment="1">
      <alignment horizontal="center" vertical="center"/>
    </xf>
    <xf numFmtId="171" fontId="51" fillId="0" borderId="0" xfId="0" applyNumberFormat="1" applyFont="1"/>
    <xf numFmtId="1" fontId="84" fillId="0" borderId="5" xfId="0" applyNumberFormat="1" applyFont="1" applyBorder="1"/>
    <xf numFmtId="0" fontId="78" fillId="0" borderId="1" xfId="4" applyFont="1" applyFill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1" fontId="70" fillId="0" borderId="15" xfId="5" applyNumberFormat="1" applyFont="1" applyFill="1" applyBorder="1" applyAlignment="1" applyProtection="1">
      <alignment horizontal="center"/>
    </xf>
    <xf numFmtId="172" fontId="51" fillId="0" borderId="0" xfId="0" applyNumberFormat="1" applyFont="1"/>
    <xf numFmtId="0" fontId="70" fillId="12" borderId="1" xfId="3" applyFont="1" applyFill="1" applyBorder="1" applyAlignment="1">
      <alignment horizontal="center"/>
    </xf>
    <xf numFmtId="0" fontId="38" fillId="0" borderId="0" xfId="0" applyFont="1" applyFill="1"/>
    <xf numFmtId="172" fontId="51" fillId="0" borderId="0" xfId="0" applyNumberFormat="1" applyFont="1" applyFill="1"/>
    <xf numFmtId="171" fontId="51" fillId="0" borderId="0" xfId="0" applyNumberFormat="1" applyFont="1" applyFill="1"/>
    <xf numFmtId="1" fontId="51" fillId="0" borderId="0" xfId="0" applyNumberFormat="1" applyFont="1" applyFill="1"/>
    <xf numFmtId="1" fontId="84" fillId="0" borderId="0" xfId="0" applyNumberFormat="1" applyFont="1" applyFill="1"/>
    <xf numFmtId="1" fontId="84" fillId="0" borderId="5" xfId="0" applyNumberFormat="1" applyFont="1" applyFill="1" applyBorder="1"/>
    <xf numFmtId="0" fontId="87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1" fontId="87" fillId="0" borderId="0" xfId="0" applyNumberFormat="1" applyFont="1" applyFill="1" applyAlignment="1">
      <alignment horizontal="center"/>
    </xf>
    <xf numFmtId="1" fontId="89" fillId="0" borderId="0" xfId="0" applyNumberFormat="1" applyFont="1" applyFill="1" applyAlignment="1">
      <alignment horizontal="center"/>
    </xf>
    <xf numFmtId="1" fontId="89" fillId="0" borderId="5" xfId="0" applyNumberFormat="1" applyFont="1" applyFill="1" applyBorder="1" applyAlignment="1">
      <alignment horizontal="center"/>
    </xf>
    <xf numFmtId="1" fontId="51" fillId="12" borderId="0" xfId="0" applyNumberFormat="1" applyFont="1" applyFill="1"/>
    <xf numFmtId="1" fontId="87" fillId="12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51" fillId="0" borderId="0" xfId="0" applyNumberFormat="1" applyFont="1" applyAlignment="1">
      <alignment horizontal="center"/>
    </xf>
    <xf numFmtId="173" fontId="51" fillId="12" borderId="0" xfId="0" applyNumberFormat="1" applyFont="1" applyFill="1" applyAlignment="1">
      <alignment horizontal="center"/>
    </xf>
    <xf numFmtId="173" fontId="51" fillId="0" borderId="0" xfId="0" applyNumberFormat="1" applyFont="1" applyFill="1" applyAlignment="1">
      <alignment horizontal="center"/>
    </xf>
    <xf numFmtId="172" fontId="51" fillId="12" borderId="0" xfId="0" applyNumberFormat="1" applyFont="1" applyFill="1"/>
    <xf numFmtId="172" fontId="87" fillId="12" borderId="0" xfId="0" applyNumberFormat="1" applyFont="1" applyFill="1" applyAlignment="1">
      <alignment horizontal="center"/>
    </xf>
    <xf numFmtId="0" fontId="66" fillId="0" borderId="21" xfId="4" applyFont="1" applyFill="1" applyBorder="1"/>
    <xf numFmtId="0" fontId="67" fillId="0" borderId="1" xfId="0" applyFont="1" applyFill="1" applyBorder="1"/>
    <xf numFmtId="0" fontId="70" fillId="0" borderId="1" xfId="4" applyFont="1" applyFill="1" applyBorder="1"/>
    <xf numFmtId="164" fontId="52" fillId="0" borderId="0" xfId="5" applyNumberFormat="1" applyFont="1" applyFill="1" applyBorder="1" applyAlignment="1" applyProtection="1">
      <alignment horizontal="center"/>
    </xf>
    <xf numFmtId="0" fontId="53" fillId="0" borderId="0" xfId="0" applyFont="1" applyFill="1" applyBorder="1"/>
    <xf numFmtId="0" fontId="53" fillId="0" borderId="0" xfId="0" applyFont="1" applyFill="1"/>
    <xf numFmtId="1" fontId="64" fillId="9" borderId="1" xfId="3" applyNumberFormat="1" applyFont="1" applyFill="1" applyBorder="1" applyAlignment="1">
      <alignment horizontal="center" vertical="center"/>
    </xf>
    <xf numFmtId="1" fontId="70" fillId="8" borderId="8" xfId="3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1" fontId="70" fillId="21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 vertical="center"/>
    </xf>
    <xf numFmtId="1" fontId="70" fillId="0" borderId="1" xfId="4" applyNumberFormat="1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vertical="center"/>
    </xf>
    <xf numFmtId="1" fontId="70" fillId="0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/>
    <xf numFmtId="1" fontId="70" fillId="2" borderId="1" xfId="4" applyNumberFormat="1" applyFont="1" applyFill="1" applyBorder="1" applyAlignment="1">
      <alignment horizontal="center" wrapText="1"/>
    </xf>
    <xf numFmtId="1" fontId="70" fillId="0" borderId="1" xfId="4" applyNumberFormat="1" applyFont="1" applyFill="1" applyBorder="1" applyAlignment="1">
      <alignment horizontal="center" wrapText="1"/>
    </xf>
    <xf numFmtId="1" fontId="70" fillId="0" borderId="1" xfId="4" applyNumberFormat="1" applyFont="1" applyBorder="1" applyAlignment="1">
      <alignment horizontal="center" wrapText="1"/>
    </xf>
    <xf numFmtId="1" fontId="75" fillId="0" borderId="1" xfId="3" applyNumberFormat="1" applyFont="1" applyFill="1" applyBorder="1" applyAlignment="1">
      <alignment horizontal="center"/>
    </xf>
    <xf numFmtId="1" fontId="70" fillId="10" borderId="25" xfId="4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/>
    </xf>
    <xf numFmtId="1" fontId="70" fillId="0" borderId="0" xfId="0" applyNumberFormat="1" applyFont="1" applyBorder="1"/>
    <xf numFmtId="1" fontId="70" fillId="12" borderId="1" xfId="4" applyNumberFormat="1" applyFont="1" applyFill="1" applyBorder="1" applyAlignment="1">
      <alignment horizontal="center"/>
    </xf>
    <xf numFmtId="1" fontId="85" fillId="0" borderId="0" xfId="0" applyNumberFormat="1" applyFont="1"/>
    <xf numFmtId="1" fontId="70" fillId="0" borderId="0" xfId="0" applyNumberFormat="1" applyFont="1"/>
    <xf numFmtId="1" fontId="86" fillId="21" borderId="1" xfId="4" applyNumberFormat="1" applyFont="1" applyFill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0" borderId="1" xfId="4" applyNumberFormat="1" applyFont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6" fillId="2" borderId="1" xfId="4" applyNumberFormat="1" applyFont="1" applyFill="1" applyBorder="1" applyAlignment="1">
      <alignment horizontal="center" wrapText="1"/>
    </xf>
    <xf numFmtId="1" fontId="76" fillId="2" borderId="1" xfId="4" applyNumberFormat="1" applyFont="1" applyFill="1" applyBorder="1" applyAlignment="1">
      <alignment horizontal="center"/>
    </xf>
    <xf numFmtId="1" fontId="76" fillId="10" borderId="25" xfId="4" applyNumberFormat="1" applyFont="1" applyFill="1" applyBorder="1" applyAlignment="1">
      <alignment horizontal="center" vertical="center"/>
    </xf>
    <xf numFmtId="1" fontId="75" fillId="0" borderId="0" xfId="0" applyNumberFormat="1" applyFont="1" applyBorder="1"/>
    <xf numFmtId="1" fontId="76" fillId="0" borderId="1" xfId="4" applyNumberFormat="1" applyFont="1" applyFill="1" applyBorder="1" applyAlignment="1">
      <alignment horizontal="center"/>
    </xf>
    <xf numFmtId="1" fontId="76" fillId="12" borderId="1" xfId="4" applyNumberFormat="1" applyFont="1" applyFill="1" applyBorder="1" applyAlignment="1">
      <alignment horizontal="center"/>
    </xf>
    <xf numFmtId="0" fontId="91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90" fillId="0" borderId="0" xfId="16" applyAlignment="1" applyProtection="1"/>
    <xf numFmtId="1" fontId="14" fillId="0" borderId="0" xfId="2" applyNumberFormat="1" applyAlignment="1" applyProtection="1"/>
    <xf numFmtId="1" fontId="70" fillId="12" borderId="1" xfId="5" applyNumberFormat="1" applyFont="1" applyFill="1" applyBorder="1" applyAlignment="1">
      <alignment horizontal="center" vertical="center"/>
    </xf>
    <xf numFmtId="1" fontId="70" fillId="12" borderId="15" xfId="5" applyNumberFormat="1" applyFont="1" applyFill="1" applyBorder="1" applyAlignment="1" applyProtection="1">
      <alignment horizontal="center"/>
    </xf>
    <xf numFmtId="0" fontId="51" fillId="12" borderId="0" xfId="0" applyFont="1" applyFill="1"/>
    <xf numFmtId="1" fontId="53" fillId="0" borderId="0" xfId="0" applyNumberFormat="1" applyFont="1"/>
    <xf numFmtId="1" fontId="53" fillId="0" borderId="0" xfId="0" applyNumberFormat="1" applyFont="1" applyFill="1"/>
    <xf numFmtId="1" fontId="61" fillId="0" borderId="0" xfId="0" applyNumberFormat="1" applyFont="1" applyFill="1"/>
    <xf numFmtId="1" fontId="78" fillId="12" borderId="1" xfId="5" applyNumberFormat="1" applyFont="1" applyFill="1" applyBorder="1" applyAlignment="1">
      <alignment horizontal="center" vertical="center"/>
    </xf>
    <xf numFmtId="0" fontId="75" fillId="0" borderId="4" xfId="0" applyFont="1" applyFill="1" applyBorder="1"/>
    <xf numFmtId="1" fontId="93" fillId="0" borderId="1" xfId="0" applyNumberFormat="1" applyFont="1" applyFill="1" applyBorder="1" applyAlignment="1">
      <alignment horizontal="center" wrapText="1"/>
    </xf>
    <xf numFmtId="0" fontId="76" fillId="12" borderId="1" xfId="4" applyFont="1" applyFill="1" applyBorder="1" applyAlignment="1">
      <alignment horizontal="center" wrapText="1"/>
    </xf>
    <xf numFmtId="0" fontId="70" fillId="12" borderId="1" xfId="4" applyFont="1" applyFill="1" applyBorder="1" applyAlignment="1">
      <alignment horizontal="center" wrapText="1"/>
    </xf>
    <xf numFmtId="0" fontId="70" fillId="12" borderId="1" xfId="0" applyFont="1" applyFill="1" applyBorder="1" applyAlignment="1">
      <alignment horizontal="center"/>
    </xf>
    <xf numFmtId="0" fontId="69" fillId="0" borderId="1" xfId="0" applyFont="1" applyBorder="1"/>
    <xf numFmtId="0" fontId="71" fillId="0" borderId="1" xfId="0" applyFont="1" applyBorder="1"/>
    <xf numFmtId="0" fontId="64" fillId="0" borderId="1" xfId="4" applyFont="1" applyBorder="1" applyAlignment="1">
      <alignment vertical="center"/>
    </xf>
    <xf numFmtId="0" fontId="81" fillId="2" borderId="1" xfId="3" applyFont="1" applyFill="1" applyBorder="1" applyAlignment="1">
      <alignment horizontal="left"/>
    </xf>
    <xf numFmtId="0" fontId="86" fillId="2" borderId="1" xfId="3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82" fillId="2" borderId="21" xfId="3" applyFont="1" applyFill="1" applyBorder="1" applyAlignment="1">
      <alignment horizontal="left" vertical="center"/>
    </xf>
    <xf numFmtId="0" fontId="81" fillId="2" borderId="1" xfId="3" applyFont="1" applyFill="1" applyBorder="1" applyAlignment="1">
      <alignment horizontal="left" vertical="center"/>
    </xf>
    <xf numFmtId="0" fontId="64" fillId="2" borderId="21" xfId="3" applyFont="1" applyFill="1" applyBorder="1" applyAlignment="1">
      <alignment horizontal="left"/>
    </xf>
    <xf numFmtId="0" fontId="63" fillId="2" borderId="1" xfId="3" applyFont="1" applyFill="1" applyBorder="1" applyAlignment="1">
      <alignment horizontal="left"/>
    </xf>
    <xf numFmtId="0" fontId="69" fillId="2" borderId="1" xfId="0" applyFont="1" applyFill="1" applyBorder="1"/>
    <xf numFmtId="0" fontId="71" fillId="2" borderId="1" xfId="0" applyFont="1" applyFill="1" applyBorder="1"/>
    <xf numFmtId="0" fontId="64" fillId="2" borderId="1" xfId="4" applyFont="1" applyFill="1" applyBorder="1" applyAlignment="1">
      <alignment vertical="center"/>
    </xf>
    <xf numFmtId="0" fontId="63" fillId="2" borderId="1" xfId="4" applyFont="1" applyFill="1" applyBorder="1" applyAlignment="1">
      <alignment vertical="center"/>
    </xf>
    <xf numFmtId="0" fontId="69" fillId="2" borderId="0" xfId="0" applyFont="1" applyFill="1"/>
    <xf numFmtId="0" fontId="71" fillId="2" borderId="0" xfId="0" applyFont="1" applyFill="1"/>
    <xf numFmtId="0" fontId="75" fillId="2" borderId="0" xfId="0" applyFont="1" applyFill="1"/>
    <xf numFmtId="0" fontId="70" fillId="2" borderId="0" xfId="0" applyFont="1" applyFill="1"/>
    <xf numFmtId="1" fontId="75" fillId="2" borderId="0" xfId="0" applyNumberFormat="1" applyFont="1" applyFill="1"/>
    <xf numFmtId="0" fontId="70" fillId="2" borderId="1" xfId="0" applyFont="1" applyFill="1" applyBorder="1" applyAlignment="1">
      <alignment horizontal="center"/>
    </xf>
    <xf numFmtId="0" fontId="62" fillId="0" borderId="25" xfId="0" applyFont="1" applyFill="1" applyBorder="1" applyAlignment="1">
      <alignment horizontal="center"/>
    </xf>
    <xf numFmtId="1" fontId="51" fillId="0" borderId="0" xfId="0" applyNumberFormat="1" applyFont="1" applyBorder="1"/>
    <xf numFmtId="0" fontId="95" fillId="0" borderId="0" xfId="0" applyFont="1"/>
    <xf numFmtId="166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center"/>
    </xf>
    <xf numFmtId="9" fontId="96" fillId="9" borderId="1" xfId="4" applyNumberFormat="1" applyFont="1" applyFill="1" applyBorder="1"/>
    <xf numFmtId="0" fontId="96" fillId="9" borderId="1" xfId="3" applyFont="1" applyFill="1" applyBorder="1" applyAlignment="1">
      <alignment horizontal="center" vertical="center"/>
    </xf>
    <xf numFmtId="1" fontId="96" fillId="9" borderId="15" xfId="3" applyNumberFormat="1" applyFont="1" applyFill="1" applyBorder="1" applyAlignment="1">
      <alignment horizontal="center" vertical="center"/>
    </xf>
    <xf numFmtId="9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left"/>
    </xf>
    <xf numFmtId="0" fontId="96" fillId="9" borderId="1" xfId="3" applyFont="1" applyFill="1" applyBorder="1" applyAlignment="1"/>
    <xf numFmtId="10" fontId="96" fillId="9" borderId="1" xfId="3" applyNumberFormat="1" applyFont="1" applyFill="1" applyBorder="1" applyAlignment="1">
      <alignment horizontal="center"/>
    </xf>
    <xf numFmtId="1" fontId="96" fillId="9" borderId="1" xfId="3" applyNumberFormat="1" applyFont="1" applyFill="1" applyBorder="1" applyAlignment="1">
      <alignment horizontal="center"/>
    </xf>
    <xf numFmtId="1" fontId="96" fillId="9" borderId="15" xfId="3" applyNumberFormat="1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0" borderId="0" xfId="0" applyFont="1" applyBorder="1"/>
    <xf numFmtId="0" fontId="96" fillId="9" borderId="21" xfId="3" applyFont="1" applyFill="1" applyBorder="1"/>
    <xf numFmtId="9" fontId="96" fillId="9" borderId="1" xfId="3" applyNumberFormat="1" applyFont="1" applyFill="1" applyBorder="1" applyAlignment="1">
      <alignment horizontal="left"/>
    </xf>
    <xf numFmtId="2" fontId="96" fillId="9" borderId="1" xfId="3" applyNumberFormat="1" applyFont="1" applyFill="1" applyBorder="1" applyAlignment="1">
      <alignment horizontal="center"/>
    </xf>
    <xf numFmtId="9" fontId="96" fillId="9" borderId="1" xfId="3" applyNumberFormat="1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0" fontId="96" fillId="8" borderId="21" xfId="3" applyFont="1" applyFill="1" applyBorder="1" applyAlignment="1">
      <alignment horizontal="center" vertical="center"/>
    </xf>
    <xf numFmtId="0" fontId="96" fillId="8" borderId="1" xfId="3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 vertical="center"/>
    </xf>
    <xf numFmtId="164" fontId="96" fillId="8" borderId="1" xfId="3" applyNumberFormat="1" applyFont="1" applyFill="1" applyBorder="1" applyAlignment="1">
      <alignment horizontal="center" wrapText="1" shrinkToFit="1"/>
    </xf>
    <xf numFmtId="2" fontId="96" fillId="8" borderId="1" xfId="3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 vertical="center"/>
    </xf>
    <xf numFmtId="164" fontId="96" fillId="8" borderId="15" xfId="3" applyNumberFormat="1" applyFont="1" applyFill="1" applyBorder="1" applyAlignment="1">
      <alignment horizontal="center" wrapText="1" shrinkToFit="1"/>
    </xf>
    <xf numFmtId="164" fontId="98" fillId="2" borderId="0" xfId="3" applyNumberFormat="1" applyFont="1" applyFill="1" applyBorder="1" applyAlignment="1">
      <alignment horizontal="center" vertical="center" wrapText="1" shrinkToFit="1"/>
    </xf>
    <xf numFmtId="0" fontId="96" fillId="15" borderId="1" xfId="3" applyFont="1" applyFill="1" applyBorder="1" applyAlignment="1">
      <alignment horizontal="center" vertical="center"/>
    </xf>
    <xf numFmtId="0" fontId="96" fillId="15" borderId="1" xfId="3" applyFont="1" applyFill="1" applyBorder="1" applyAlignment="1">
      <alignment horizontal="center"/>
    </xf>
    <xf numFmtId="0" fontId="96" fillId="15" borderId="15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 vertical="center"/>
    </xf>
    <xf numFmtId="0" fontId="96" fillId="8" borderId="2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1" fontId="96" fillId="2" borderId="1" xfId="5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/>
    </xf>
    <xf numFmtId="0" fontId="96" fillId="2" borderId="1" xfId="3" applyNumberFormat="1" applyFont="1" applyFill="1" applyBorder="1" applyAlignment="1">
      <alignment horizontal="center"/>
    </xf>
    <xf numFmtId="1" fontId="96" fillId="8" borderId="15" xfId="5" applyNumberFormat="1" applyFont="1" applyFill="1" applyBorder="1" applyAlignment="1" applyProtection="1">
      <alignment horizontal="center"/>
    </xf>
    <xf numFmtId="2" fontId="100" fillId="8" borderId="11" xfId="3" applyNumberFormat="1" applyFont="1" applyFill="1" applyBorder="1" applyAlignment="1">
      <alignment horizontal="center"/>
    </xf>
    <xf numFmtId="1" fontId="95" fillId="0" borderId="0" xfId="0" applyNumberFormat="1" applyFont="1"/>
    <xf numFmtId="0" fontId="96" fillId="8" borderId="28" xfId="3" applyFont="1" applyFill="1" applyBorder="1" applyAlignment="1">
      <alignment horizontal="left" vertical="center"/>
    </xf>
    <xf numFmtId="0" fontId="96" fillId="8" borderId="5" xfId="3" applyFont="1" applyFill="1" applyBorder="1" applyAlignment="1">
      <alignment horizontal="left" vertical="center"/>
    </xf>
    <xf numFmtId="0" fontId="96" fillId="8" borderId="13" xfId="3" applyFont="1" applyFill="1" applyBorder="1" applyAlignment="1">
      <alignment horizontal="left" vertical="center"/>
    </xf>
    <xf numFmtId="0" fontId="96" fillId="8" borderId="8" xfId="3" applyFont="1" applyFill="1" applyBorder="1" applyAlignment="1">
      <alignment horizontal="center"/>
    </xf>
    <xf numFmtId="2" fontId="96" fillId="8" borderId="8" xfId="3" applyNumberFormat="1" applyFont="1" applyFill="1" applyBorder="1" applyAlignment="1">
      <alignment horizontal="center"/>
    </xf>
    <xf numFmtId="1" fontId="96" fillId="2" borderId="7" xfId="5" applyNumberFormat="1" applyFont="1" applyFill="1" applyBorder="1" applyAlignment="1">
      <alignment horizontal="center" vertical="center"/>
    </xf>
    <xf numFmtId="1" fontId="96" fillId="2" borderId="8" xfId="3" applyNumberFormat="1" applyFont="1" applyFill="1" applyBorder="1" applyAlignment="1">
      <alignment horizontal="center"/>
    </xf>
    <xf numFmtId="2" fontId="100" fillId="8" borderId="1" xfId="3" applyNumberFormat="1" applyFont="1" applyFill="1" applyBorder="1" applyAlignment="1">
      <alignment horizontal="center"/>
    </xf>
    <xf numFmtId="2" fontId="95" fillId="0" borderId="0" xfId="0" applyNumberFormat="1" applyFont="1"/>
    <xf numFmtId="167" fontId="96" fillId="8" borderId="21" xfId="3" applyNumberFormat="1" applyFont="1" applyFill="1" applyBorder="1" applyAlignment="1">
      <alignment vertical="center"/>
    </xf>
    <xf numFmtId="167" fontId="96" fillId="8" borderId="1" xfId="3" applyNumberFormat="1" applyFont="1" applyFill="1" applyBorder="1" applyAlignment="1">
      <alignment vertical="center"/>
    </xf>
    <xf numFmtId="0" fontId="96" fillId="0" borderId="1" xfId="4" applyFont="1" applyBorder="1" applyAlignment="1">
      <alignment horizontal="center"/>
    </xf>
    <xf numFmtId="1" fontId="96" fillId="12" borderId="1" xfId="3" applyNumberFormat="1" applyFont="1" applyFill="1" applyBorder="1" applyAlignment="1">
      <alignment horizontal="center"/>
    </xf>
    <xf numFmtId="1" fontId="98" fillId="2" borderId="0" xfId="5" applyNumberFormat="1" applyFont="1" applyFill="1" applyBorder="1" applyAlignment="1" applyProtection="1">
      <alignment horizontal="center"/>
    </xf>
    <xf numFmtId="2" fontId="96" fillId="8" borderId="1" xfId="3" applyNumberFormat="1" applyFont="1" applyFill="1" applyBorder="1" applyAlignment="1">
      <alignment horizontal="right"/>
    </xf>
    <xf numFmtId="0" fontId="96" fillId="16" borderId="21" xfId="3" applyFont="1" applyFill="1" applyBorder="1" applyAlignment="1">
      <alignment horizontal="center"/>
    </xf>
    <xf numFmtId="0" fontId="96" fillId="16" borderId="1" xfId="3" applyFont="1" applyFill="1" applyBorder="1" applyAlignment="1">
      <alignment horizontal="center"/>
    </xf>
    <xf numFmtId="1" fontId="96" fillId="8" borderId="1" xfId="5" applyNumberFormat="1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/>
    </xf>
    <xf numFmtId="0" fontId="96" fillId="8" borderId="21" xfId="3" applyFont="1" applyFill="1" applyBorder="1" applyAlignment="1">
      <alignment horizontal="left"/>
    </xf>
    <xf numFmtId="0" fontId="96" fillId="8" borderId="1" xfId="3" applyFont="1" applyFill="1" applyBorder="1" applyAlignment="1">
      <alignment horizontal="left"/>
    </xf>
    <xf numFmtId="0" fontId="102" fillId="0" borderId="1" xfId="4" applyFont="1" applyBorder="1" applyAlignment="1">
      <alignment horizontal="center"/>
    </xf>
    <xf numFmtId="0" fontId="96" fillId="2" borderId="2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center"/>
    </xf>
    <xf numFmtId="0" fontId="96" fillId="2" borderId="1" xfId="4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2" fontId="96" fillId="12" borderId="1" xfId="3" applyNumberFormat="1" applyFont="1" applyFill="1" applyBorder="1" applyAlignment="1">
      <alignment horizontal="center"/>
    </xf>
    <xf numFmtId="1" fontId="96" fillId="2" borderId="15" xfId="5" applyNumberFormat="1" applyFont="1" applyFill="1" applyBorder="1" applyAlignment="1" applyProtection="1">
      <alignment horizontal="center"/>
    </xf>
    <xf numFmtId="1" fontId="101" fillId="15" borderId="1" xfId="3" applyNumberFormat="1" applyFont="1" applyFill="1" applyBorder="1" applyAlignment="1">
      <alignment horizontal="center"/>
    </xf>
    <xf numFmtId="0" fontId="96" fillId="0" borderId="1" xfId="4" applyFont="1" applyBorder="1"/>
    <xf numFmtId="0" fontId="103" fillId="8" borderId="1" xfId="3" applyFont="1" applyFill="1" applyBorder="1" applyAlignment="1">
      <alignment horizontal="center"/>
    </xf>
    <xf numFmtId="164" fontId="103" fillId="8" borderId="1" xfId="5" applyNumberFormat="1" applyFont="1" applyFill="1" applyBorder="1" applyAlignment="1">
      <alignment horizontal="center" vertical="center"/>
    </xf>
    <xf numFmtId="1" fontId="96" fillId="12" borderId="1" xfId="5" applyNumberFormat="1" applyFont="1" applyFill="1" applyBorder="1" applyAlignment="1" applyProtection="1">
      <alignment horizontal="center"/>
    </xf>
    <xf numFmtId="0" fontId="96" fillId="16" borderId="21" xfId="3" applyFont="1" applyFill="1" applyBorder="1" applyAlignment="1">
      <alignment horizontal="center" vertical="center"/>
    </xf>
    <xf numFmtId="0" fontId="96" fillId="16" borderId="1" xfId="3" applyFont="1" applyFill="1" applyBorder="1" applyAlignment="1">
      <alignment horizontal="center" vertical="center"/>
    </xf>
    <xf numFmtId="0" fontId="103" fillId="2" borderId="1" xfId="4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 vertical="center"/>
    </xf>
    <xf numFmtId="1" fontId="96" fillId="15" borderId="1" xfId="3" applyNumberFormat="1" applyFont="1" applyFill="1" applyBorder="1" applyAlignment="1">
      <alignment horizontal="center" vertical="center"/>
    </xf>
    <xf numFmtId="0" fontId="104" fillId="15" borderId="1" xfId="3" applyFont="1" applyFill="1" applyBorder="1" applyAlignment="1">
      <alignment horizontal="center" vertical="center"/>
    </xf>
    <xf numFmtId="1" fontId="96" fillId="15" borderId="15" xfId="3" applyNumberFormat="1" applyFont="1" applyFill="1" applyBorder="1" applyAlignment="1">
      <alignment horizontal="center" vertical="center"/>
    </xf>
    <xf numFmtId="0" fontId="105" fillId="0" borderId="0" xfId="0" applyFont="1" applyBorder="1"/>
    <xf numFmtId="0" fontId="105" fillId="0" borderId="0" xfId="0" applyFont="1"/>
    <xf numFmtId="0" fontId="106" fillId="2" borderId="16" xfId="3" applyFont="1" applyFill="1" applyBorder="1" applyAlignment="1">
      <alignment horizontal="center"/>
    </xf>
    <xf numFmtId="0" fontId="106" fillId="2" borderId="3" xfId="3" applyFont="1" applyFill="1" applyBorder="1" applyAlignment="1">
      <alignment horizontal="center"/>
    </xf>
    <xf numFmtId="0" fontId="106" fillId="2" borderId="4" xfId="3" applyFont="1" applyFill="1" applyBorder="1" applyAlignment="1">
      <alignment horizontal="center"/>
    </xf>
    <xf numFmtId="44" fontId="106" fillId="8" borderId="1" xfId="8" applyFont="1" applyFill="1" applyBorder="1" applyAlignment="1">
      <alignment horizontal="center"/>
    </xf>
    <xf numFmtId="2" fontId="106" fillId="8" borderId="1" xfId="3" applyNumberFormat="1" applyFont="1" applyFill="1" applyBorder="1" applyAlignment="1">
      <alignment horizontal="center"/>
    </xf>
    <xf numFmtId="164" fontId="101" fillId="8" borderId="1" xfId="3" applyNumberFormat="1" applyFont="1" applyFill="1" applyBorder="1" applyAlignment="1">
      <alignment horizontal="center"/>
    </xf>
    <xf numFmtId="1" fontId="104" fillId="8" borderId="1" xfId="3" applyNumberFormat="1" applyFont="1" applyFill="1" applyBorder="1" applyAlignment="1">
      <alignment horizontal="center"/>
    </xf>
    <xf numFmtId="0" fontId="106" fillId="8" borderId="1" xfId="3" applyFont="1" applyFill="1" applyBorder="1" applyAlignment="1">
      <alignment horizontal="center"/>
    </xf>
    <xf numFmtId="1" fontId="106" fillId="8" borderId="1" xfId="5" applyNumberFormat="1" applyFont="1" applyFill="1" applyBorder="1" applyAlignment="1">
      <alignment horizontal="center" vertical="center"/>
    </xf>
    <xf numFmtId="2" fontId="96" fillId="8" borderId="1" xfId="9" applyNumberFormat="1" applyFont="1" applyFill="1" applyBorder="1" applyAlignment="1">
      <alignment horizontal="center"/>
    </xf>
    <xf numFmtId="168" fontId="101" fillId="8" borderId="1" xfId="5" applyNumberFormat="1" applyFont="1" applyFill="1" applyBorder="1" applyAlignment="1" applyProtection="1">
      <alignment horizontal="center" vertical="center"/>
    </xf>
    <xf numFmtId="164" fontId="104" fillId="8" borderId="1" xfId="5" applyNumberFormat="1" applyFont="1" applyFill="1" applyBorder="1" applyAlignment="1" applyProtection="1">
      <alignment horizontal="center"/>
    </xf>
    <xf numFmtId="2" fontId="104" fillId="8" borderId="1" xfId="3" applyNumberFormat="1" applyFont="1" applyFill="1" applyBorder="1" applyAlignment="1">
      <alignment horizontal="right"/>
    </xf>
    <xf numFmtId="0" fontId="106" fillId="16" borderId="16" xfId="3" applyFont="1" applyFill="1" applyBorder="1" applyAlignment="1">
      <alignment horizontal="center"/>
    </xf>
    <xf numFmtId="0" fontId="106" fillId="16" borderId="3" xfId="3" applyFont="1" applyFill="1" applyBorder="1" applyAlignment="1">
      <alignment horizontal="center"/>
    </xf>
    <xf numFmtId="0" fontId="106" fillId="16" borderId="4" xfId="3" applyFont="1" applyFill="1" applyBorder="1" applyAlignment="1">
      <alignment horizontal="center"/>
    </xf>
    <xf numFmtId="0" fontId="103" fillId="2" borderId="1" xfId="3" applyFont="1" applyFill="1" applyBorder="1" applyAlignment="1">
      <alignment horizontal="center"/>
    </xf>
    <xf numFmtId="169" fontId="103" fillId="8" borderId="1" xfId="5" applyNumberFormat="1" applyFont="1" applyFill="1" applyBorder="1" applyAlignment="1" applyProtection="1">
      <alignment horizontal="center" vertical="center"/>
    </xf>
    <xf numFmtId="1" fontId="103" fillId="2" borderId="1" xfId="3" applyNumberFormat="1" applyFont="1" applyFill="1" applyBorder="1" applyAlignment="1">
      <alignment horizontal="center" vertical="top"/>
    </xf>
    <xf numFmtId="0" fontId="96" fillId="15" borderId="21" xfId="3" applyFont="1" applyFill="1" applyBorder="1" applyAlignment="1">
      <alignment horizontal="left"/>
    </xf>
    <xf numFmtId="0" fontId="96" fillId="15" borderId="1" xfId="3" applyFont="1" applyFill="1" applyBorder="1" applyAlignment="1">
      <alignment horizontal="left"/>
    </xf>
    <xf numFmtId="0" fontId="96" fillId="0" borderId="1" xfId="4" applyFont="1" applyBorder="1" applyAlignment="1">
      <alignment horizontal="center" vertical="center"/>
    </xf>
    <xf numFmtId="2" fontId="96" fillId="8" borderId="21" xfId="3" applyNumberFormat="1" applyFont="1" applyFill="1" applyBorder="1" applyAlignment="1">
      <alignment horizontal="left" vertical="center"/>
    </xf>
    <xf numFmtId="2" fontId="96" fillId="8" borderId="1" xfId="3" applyNumberFormat="1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justify"/>
    </xf>
    <xf numFmtId="0" fontId="96" fillId="15" borderId="21" xfId="3" applyFont="1" applyFill="1" applyBorder="1" applyAlignment="1"/>
    <xf numFmtId="0" fontId="96" fillId="15" borderId="1" xfId="3" applyFont="1" applyFill="1" applyBorder="1" applyAlignment="1"/>
    <xf numFmtId="0" fontId="96" fillId="15" borderId="1" xfId="3" applyFont="1" applyFill="1" applyBorder="1" applyAlignment="1">
      <alignment vertical="center"/>
    </xf>
    <xf numFmtId="0" fontId="96" fillId="15" borderId="15" xfId="3" applyFont="1" applyFill="1" applyBorder="1" applyAlignment="1"/>
    <xf numFmtId="0" fontId="96" fillId="0" borderId="21" xfId="4" applyFont="1" applyBorder="1" applyAlignment="1">
      <alignment vertical="center"/>
    </xf>
    <xf numFmtId="0" fontId="96" fillId="0" borderId="1" xfId="4" applyFont="1" applyBorder="1" applyAlignment="1">
      <alignment vertical="center"/>
    </xf>
    <xf numFmtId="1" fontId="96" fillId="2" borderId="1" xfId="3" applyNumberFormat="1" applyFont="1" applyFill="1" applyBorder="1" applyAlignment="1">
      <alignment horizontal="center" vertical="center"/>
    </xf>
    <xf numFmtId="164" fontId="96" fillId="2" borderId="1" xfId="5" applyNumberFormat="1" applyFont="1" applyFill="1" applyBorder="1" applyAlignment="1" applyProtection="1">
      <alignment horizontal="center" vertical="center"/>
    </xf>
    <xf numFmtId="164" fontId="96" fillId="8" borderId="1" xfId="5" applyNumberFormat="1" applyFont="1" applyFill="1" applyBorder="1" applyAlignment="1" applyProtection="1">
      <alignment horizontal="center" vertical="top"/>
    </xf>
    <xf numFmtId="2" fontId="98" fillId="2" borderId="0" xfId="5" applyNumberFormat="1" applyFont="1" applyFill="1" applyBorder="1" applyAlignment="1" applyProtection="1">
      <alignment horizontal="center"/>
    </xf>
    <xf numFmtId="165" fontId="98" fillId="2" borderId="0" xfId="6" applyNumberFormat="1" applyFont="1" applyFill="1" applyBorder="1" applyAlignment="1">
      <alignment horizontal="center"/>
    </xf>
    <xf numFmtId="0" fontId="96" fillId="2" borderId="1" xfId="4" applyFont="1" applyFill="1" applyBorder="1" applyAlignment="1">
      <alignment horizontal="left"/>
    </xf>
    <xf numFmtId="0" fontId="96" fillId="2" borderId="1" xfId="4" applyFont="1" applyFill="1" applyBorder="1" applyAlignment="1"/>
    <xf numFmtId="0" fontId="96" fillId="2" borderId="15" xfId="4" applyFont="1" applyFill="1" applyBorder="1" applyAlignment="1"/>
    <xf numFmtId="0" fontId="102" fillId="2" borderId="1" xfId="4" applyFont="1" applyFill="1" applyBorder="1" applyAlignment="1">
      <alignment horizontal="center" wrapText="1"/>
    </xf>
    <xf numFmtId="0" fontId="102" fillId="0" borderId="1" xfId="4" applyFont="1" applyFill="1" applyBorder="1" applyAlignment="1">
      <alignment horizontal="center" wrapText="1"/>
    </xf>
    <xf numFmtId="0" fontId="102" fillId="0" borderId="1" xfId="4" applyFont="1" applyBorder="1" applyAlignment="1">
      <alignment horizontal="center" wrapText="1"/>
    </xf>
    <xf numFmtId="0" fontId="96" fillId="0" borderId="21" xfId="4" applyFont="1" applyBorder="1" applyAlignment="1">
      <alignment horizontal="left"/>
    </xf>
    <xf numFmtId="0" fontId="102" fillId="2" borderId="1" xfId="4" applyFont="1" applyFill="1" applyBorder="1" applyAlignment="1">
      <alignment horizontal="center"/>
    </xf>
    <xf numFmtId="0" fontId="96" fillId="2" borderId="1" xfId="3" applyFont="1" applyFill="1" applyBorder="1" applyAlignment="1">
      <alignment horizontal="center" vertical="center"/>
    </xf>
    <xf numFmtId="0" fontId="102" fillId="0" borderId="21" xfId="4" applyFont="1" applyBorder="1" applyAlignment="1">
      <alignment horizontal="left"/>
    </xf>
    <xf numFmtId="0" fontId="102" fillId="0" borderId="1" xfId="4" applyFont="1" applyBorder="1" applyAlignment="1">
      <alignment horizontal="left"/>
    </xf>
    <xf numFmtId="0" fontId="96" fillId="0" borderId="1" xfId="3" applyFont="1" applyFill="1" applyBorder="1" applyAlignment="1">
      <alignment horizontal="center"/>
    </xf>
    <xf numFmtId="164" fontId="98" fillId="2" borderId="0" xfId="5" applyNumberFormat="1" applyFont="1" applyFill="1" applyBorder="1" applyAlignment="1" applyProtection="1">
      <alignment horizontal="center"/>
    </xf>
    <xf numFmtId="0" fontId="104" fillId="16" borderId="21" xfId="4" applyFont="1" applyFill="1" applyBorder="1"/>
    <xf numFmtId="0" fontId="104" fillId="16" borderId="1" xfId="0" applyFont="1" applyFill="1" applyBorder="1"/>
    <xf numFmtId="0" fontId="100" fillId="0" borderId="0" xfId="0" applyFont="1" applyBorder="1"/>
    <xf numFmtId="0" fontId="100" fillId="0" borderId="0" xfId="0" applyFont="1"/>
    <xf numFmtId="0" fontId="104" fillId="0" borderId="21" xfId="4" applyFont="1" applyFill="1" applyBorder="1"/>
    <xf numFmtId="0" fontId="104" fillId="0" borderId="1" xfId="0" applyFont="1" applyFill="1" applyBorder="1"/>
    <xf numFmtId="0" fontId="96" fillId="0" borderId="1" xfId="4" applyFont="1" applyFill="1" applyBorder="1"/>
    <xf numFmtId="0" fontId="101" fillId="0" borderId="1" xfId="3" applyFont="1" applyFill="1" applyBorder="1" applyAlignment="1">
      <alignment horizontal="center"/>
    </xf>
    <xf numFmtId="1" fontId="96" fillId="0" borderId="1" xfId="3" applyNumberFormat="1" applyFont="1" applyFill="1" applyBorder="1" applyAlignment="1">
      <alignment horizontal="center"/>
    </xf>
    <xf numFmtId="1" fontId="96" fillId="0" borderId="1" xfId="5" applyNumberFormat="1" applyFont="1" applyFill="1" applyBorder="1" applyAlignment="1">
      <alignment horizontal="center" vertical="center"/>
    </xf>
    <xf numFmtId="1" fontId="96" fillId="0" borderId="15" xfId="5" applyNumberFormat="1" applyFont="1" applyFill="1" applyBorder="1" applyAlignment="1" applyProtection="1">
      <alignment horizontal="center"/>
    </xf>
    <xf numFmtId="164" fontId="98" fillId="0" borderId="0" xfId="5" applyNumberFormat="1" applyFont="1" applyFill="1" applyBorder="1" applyAlignment="1" applyProtection="1">
      <alignment horizontal="center"/>
    </xf>
    <xf numFmtId="0" fontId="100" fillId="0" borderId="0" xfId="0" applyFont="1" applyFill="1" applyBorder="1"/>
    <xf numFmtId="0" fontId="100" fillId="0" borderId="0" xfId="0" applyFont="1" applyFill="1"/>
    <xf numFmtId="0" fontId="96" fillId="15" borderId="21" xfId="3" applyFont="1" applyFill="1" applyBorder="1" applyAlignment="1">
      <alignment horizontal="center"/>
    </xf>
    <xf numFmtId="164" fontId="98" fillId="2" borderId="0" xfId="3" applyNumberFormat="1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43" fontId="96" fillId="8" borderId="1" xfId="7" applyFont="1" applyFill="1" applyBorder="1" applyAlignment="1">
      <alignment horizontal="right" wrapText="1"/>
    </xf>
    <xf numFmtId="0" fontId="96" fillId="10" borderId="33" xfId="3" applyFont="1" applyFill="1" applyBorder="1" applyAlignment="1">
      <alignment horizontal="center" vertical="center"/>
    </xf>
    <xf numFmtId="0" fontId="96" fillId="10" borderId="0" xfId="3" applyFont="1" applyFill="1" applyBorder="1" applyAlignment="1">
      <alignment horizontal="center" vertical="center"/>
    </xf>
    <xf numFmtId="0" fontId="96" fillId="10" borderId="32" xfId="3" applyFont="1" applyFill="1" applyBorder="1" applyAlignment="1">
      <alignment horizontal="center" vertical="center"/>
    </xf>
    <xf numFmtId="2" fontId="96" fillId="10" borderId="25" xfId="3" applyNumberFormat="1" applyFont="1" applyFill="1" applyBorder="1" applyAlignment="1">
      <alignment horizontal="center" vertical="center"/>
    </xf>
    <xf numFmtId="0" fontId="102" fillId="10" borderId="25" xfId="4" applyFont="1" applyFill="1" applyBorder="1" applyAlignment="1">
      <alignment horizontal="center" vertical="center"/>
    </xf>
    <xf numFmtId="1" fontId="96" fillId="10" borderId="25" xfId="5" applyNumberFormat="1" applyFont="1" applyFill="1" applyBorder="1" applyAlignment="1">
      <alignment horizontal="center" vertical="center"/>
    </xf>
    <xf numFmtId="1" fontId="96" fillId="10" borderId="25" xfId="3" applyNumberFormat="1" applyFont="1" applyFill="1" applyBorder="1" applyAlignment="1">
      <alignment horizontal="center" vertical="center"/>
    </xf>
    <xf numFmtId="0" fontId="101" fillId="10" borderId="0" xfId="0" applyFont="1" applyFill="1" applyBorder="1" applyAlignment="1">
      <alignment horizontal="center" vertical="center"/>
    </xf>
    <xf numFmtId="1" fontId="96" fillId="10" borderId="31" xfId="5" applyNumberFormat="1" applyFont="1" applyFill="1" applyBorder="1" applyAlignment="1" applyProtection="1">
      <alignment horizontal="center" vertical="center"/>
    </xf>
    <xf numFmtId="0" fontId="101" fillId="0" borderId="0" xfId="0" applyFont="1" applyBorder="1"/>
    <xf numFmtId="0" fontId="101" fillId="0" borderId="4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1" fontId="101" fillId="0" borderId="1" xfId="0" applyNumberFormat="1" applyFont="1" applyBorder="1" applyAlignment="1">
      <alignment horizontal="center"/>
    </xf>
    <xf numFmtId="1" fontId="101" fillId="0" borderId="15" xfId="0" applyNumberFormat="1" applyFont="1" applyBorder="1" applyAlignment="1">
      <alignment horizontal="center"/>
    </xf>
    <xf numFmtId="0" fontId="101" fillId="0" borderId="1" xfId="0" applyFont="1" applyBorder="1" applyAlignment="1">
      <alignment horizontal="left"/>
    </xf>
    <xf numFmtId="0" fontId="101" fillId="0" borderId="1" xfId="0" applyFont="1" applyFill="1" applyBorder="1" applyAlignment="1">
      <alignment horizontal="center"/>
    </xf>
    <xf numFmtId="0" fontId="92" fillId="0" borderId="1" xfId="0" applyFont="1" applyFill="1" applyBorder="1" applyAlignment="1">
      <alignment horizontal="left"/>
    </xf>
    <xf numFmtId="0" fontId="92" fillId="0" borderId="4" xfId="0" applyFont="1" applyFill="1" applyBorder="1"/>
    <xf numFmtId="0" fontId="105" fillId="0" borderId="0" xfId="0" applyFont="1" applyFill="1"/>
    <xf numFmtId="0" fontId="101" fillId="0" borderId="1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center"/>
    </xf>
    <xf numFmtId="0" fontId="101" fillId="0" borderId="1" xfId="0" applyFont="1" applyFill="1" applyBorder="1"/>
    <xf numFmtId="1" fontId="101" fillId="0" borderId="1" xfId="0" applyNumberFormat="1" applyFont="1" applyFill="1" applyBorder="1" applyAlignment="1">
      <alignment horizontal="center"/>
    </xf>
    <xf numFmtId="1" fontId="101" fillId="0" borderId="15" xfId="0" applyNumberFormat="1" applyFont="1" applyFill="1" applyBorder="1" applyAlignment="1">
      <alignment horizontal="center"/>
    </xf>
    <xf numFmtId="1" fontId="101" fillId="0" borderId="0" xfId="0" applyNumberFormat="1" applyFont="1" applyBorder="1" applyAlignment="1">
      <alignment horizontal="center"/>
    </xf>
    <xf numFmtId="1" fontId="101" fillId="0" borderId="35" xfId="0" applyNumberFormat="1" applyFont="1" applyBorder="1"/>
    <xf numFmtId="0" fontId="101" fillId="15" borderId="15" xfId="3" applyFont="1" applyFill="1" applyBorder="1" applyAlignment="1">
      <alignment horizontal="center"/>
    </xf>
    <xf numFmtId="0" fontId="96" fillId="12" borderId="1" xfId="4" applyFont="1" applyFill="1" applyBorder="1" applyAlignment="1">
      <alignment horizontal="center"/>
    </xf>
    <xf numFmtId="0" fontId="96" fillId="0" borderId="21" xfId="4" applyFont="1" applyBorder="1"/>
    <xf numFmtId="0" fontId="96" fillId="15" borderId="21" xfId="3" applyFont="1" applyFill="1" applyBorder="1" applyAlignment="1">
      <alignment horizontal="center" vertical="center"/>
    </xf>
    <xf numFmtId="1" fontId="96" fillId="15" borderId="1" xfId="5" applyNumberFormat="1" applyFont="1" applyFill="1" applyBorder="1" applyAlignment="1">
      <alignment horizontal="center"/>
    </xf>
    <xf numFmtId="1" fontId="96" fillId="15" borderId="15" xfId="5" applyNumberFormat="1" applyFont="1" applyFill="1" applyBorder="1" applyAlignment="1">
      <alignment horizontal="center"/>
    </xf>
    <xf numFmtId="0" fontId="102" fillId="0" borderId="1" xfId="4" applyFont="1" applyFill="1" applyBorder="1" applyAlignment="1">
      <alignment horizontal="center"/>
    </xf>
    <xf numFmtId="0" fontId="101" fillId="0" borderId="1" xfId="0" applyFont="1" applyBorder="1"/>
    <xf numFmtId="9" fontId="96" fillId="8" borderId="1" xfId="6" applyNumberFormat="1" applyFont="1" applyFill="1" applyBorder="1" applyAlignment="1">
      <alignment horizontal="center"/>
    </xf>
    <xf numFmtId="165" fontId="96" fillId="0" borderId="1" xfId="6" applyNumberFormat="1" applyFont="1" applyFill="1" applyBorder="1" applyAlignment="1"/>
    <xf numFmtId="1" fontId="96" fillId="8" borderId="1" xfId="5" applyNumberFormat="1" applyFont="1" applyFill="1" applyBorder="1" applyAlignment="1">
      <alignment horizontal="right"/>
    </xf>
    <xf numFmtId="0" fontId="108" fillId="0" borderId="0" xfId="4" applyFont="1"/>
    <xf numFmtId="0" fontId="96" fillId="8" borderId="7" xfId="3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center"/>
    </xf>
    <xf numFmtId="9" fontId="96" fillId="8" borderId="7" xfId="6" applyNumberFormat="1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right"/>
    </xf>
    <xf numFmtId="1" fontId="96" fillId="8" borderId="23" xfId="5" applyNumberFormat="1" applyFont="1" applyFill="1" applyBorder="1" applyAlignment="1" applyProtection="1">
      <alignment horizontal="center"/>
    </xf>
    <xf numFmtId="0" fontId="92" fillId="0" borderId="0" xfId="0" applyFont="1"/>
    <xf numFmtId="1" fontId="92" fillId="0" borderId="0" xfId="0" applyNumberFormat="1" applyFont="1" applyAlignment="1">
      <alignment horizontal="center"/>
    </xf>
    <xf numFmtId="1" fontId="92" fillId="0" borderId="0" xfId="0" applyNumberFormat="1" applyFont="1"/>
    <xf numFmtId="0" fontId="101" fillId="0" borderId="0" xfId="0" applyFont="1"/>
    <xf numFmtId="1" fontId="101" fillId="0" borderId="0" xfId="0" applyNumberFormat="1" applyFont="1" applyAlignment="1">
      <alignment horizontal="center"/>
    </xf>
    <xf numFmtId="1" fontId="101" fillId="0" borderId="0" xfId="0" applyNumberFormat="1" applyFont="1"/>
    <xf numFmtId="0" fontId="95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1" fontId="95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1" fontId="100" fillId="0" borderId="0" xfId="0" applyNumberFormat="1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12" borderId="1" xfId="5" applyNumberFormat="1" applyFont="1" applyFill="1" applyBorder="1" applyAlignment="1">
      <alignment horizontal="center" vertical="center"/>
    </xf>
    <xf numFmtId="174" fontId="100" fillId="0" borderId="0" xfId="0" applyNumberFormat="1" applyFont="1" applyFill="1" applyAlignment="1">
      <alignment horizontal="center" vertical="center"/>
    </xf>
    <xf numFmtId="171" fontId="95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9" fontId="96" fillId="9" borderId="1" xfId="4" applyNumberFormat="1" applyFont="1" applyFill="1" applyBorder="1" applyAlignment="1">
      <alignment horizontal="center"/>
    </xf>
    <xf numFmtId="164" fontId="77" fillId="12" borderId="1" xfId="5" applyNumberFormat="1" applyFont="1" applyFill="1" applyBorder="1" applyAlignment="1">
      <alignment horizontal="center" vertical="center"/>
    </xf>
    <xf numFmtId="2" fontId="75" fillId="8" borderId="0" xfId="3" applyNumberFormat="1" applyFont="1" applyFill="1" applyBorder="1" applyAlignment="1">
      <alignment horizontal="center"/>
    </xf>
    <xf numFmtId="2" fontId="51" fillId="0" borderId="0" xfId="0" applyNumberFormat="1" applyFont="1" applyBorder="1"/>
    <xf numFmtId="168" fontId="75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0" fillId="12" borderId="1" xfId="0" applyFont="1" applyFill="1" applyBorder="1"/>
    <xf numFmtId="1" fontId="84" fillId="0" borderId="0" xfId="0" applyNumberFormat="1" applyFont="1" applyBorder="1"/>
    <xf numFmtId="1" fontId="70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10" fillId="9" borderId="1" xfId="3" applyNumberFormat="1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 vertical="center"/>
    </xf>
    <xf numFmtId="164" fontId="77" fillId="2" borderId="1" xfId="5" applyNumberFormat="1" applyFont="1" applyFill="1" applyBorder="1" applyAlignment="1">
      <alignment horizontal="center" vertical="center"/>
    </xf>
    <xf numFmtId="1" fontId="86" fillId="2" borderId="1" xfId="5" applyNumberFormat="1" applyFont="1" applyFill="1" applyBorder="1" applyAlignment="1">
      <alignment horizontal="center" vertical="center"/>
    </xf>
    <xf numFmtId="0" fontId="111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16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11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12" fillId="0" borderId="1" xfId="0" applyNumberFormat="1" applyFont="1" applyFill="1" applyBorder="1" applyAlignment="1">
      <alignment horizontal="center" wrapText="1"/>
    </xf>
    <xf numFmtId="1" fontId="111" fillId="0" borderId="0" xfId="0" applyNumberFormat="1" applyFont="1"/>
    <xf numFmtId="1" fontId="111" fillId="0" borderId="0" xfId="0" applyNumberFormat="1" applyFont="1" applyFill="1"/>
    <xf numFmtId="0" fontId="75" fillId="2" borderId="1" xfId="0" applyFont="1" applyFill="1" applyBorder="1" applyAlignment="1">
      <alignment horizontal="center"/>
    </xf>
    <xf numFmtId="164" fontId="75" fillId="12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wrapText="1"/>
    </xf>
    <xf numFmtId="1" fontId="112" fillId="0" borderId="1" xfId="0" applyNumberFormat="1" applyFont="1" applyBorder="1" applyAlignment="1">
      <alignment horizontal="center" wrapText="1"/>
    </xf>
    <xf numFmtId="1" fontId="86" fillId="2" borderId="1" xfId="3" applyNumberFormat="1" applyFont="1" applyFill="1" applyBorder="1" applyAlignment="1">
      <alignment horizontal="center"/>
    </xf>
    <xf numFmtId="1" fontId="86" fillId="2" borderId="15" xfId="5" applyNumberFormat="1" applyFont="1" applyFill="1" applyBorder="1" applyAlignment="1" applyProtection="1">
      <alignment horizontal="center"/>
    </xf>
    <xf numFmtId="169" fontId="77" fillId="8" borderId="1" xfId="5" applyNumberFormat="1" applyFont="1" applyFill="1" applyBorder="1" applyAlignment="1" applyProtection="1">
      <alignment vertical="center"/>
    </xf>
    <xf numFmtId="1" fontId="70" fillId="22" borderId="1" xfId="5" applyNumberFormat="1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 vertical="center"/>
    </xf>
    <xf numFmtId="0" fontId="70" fillId="10" borderId="1" xfId="4" applyFont="1" applyFill="1" applyBorder="1" applyAlignment="1">
      <alignment horizontal="center"/>
    </xf>
    <xf numFmtId="1" fontId="70" fillId="10" borderId="1" xfId="5" applyNumberFormat="1" applyFont="1" applyFill="1" applyBorder="1" applyAlignment="1">
      <alignment horizontal="center" vertical="center"/>
    </xf>
    <xf numFmtId="1" fontId="70" fillId="17" borderId="1" xfId="5" applyNumberFormat="1" applyFont="1" applyFill="1" applyBorder="1" applyAlignment="1">
      <alignment horizontal="center" vertical="center"/>
    </xf>
    <xf numFmtId="0" fontId="76" fillId="10" borderId="1" xfId="4" applyFont="1" applyFill="1" applyBorder="1" applyAlignment="1">
      <alignment horizontal="center"/>
    </xf>
    <xf numFmtId="0" fontId="76" fillId="22" borderId="1" xfId="4" applyFont="1" applyFill="1" applyBorder="1" applyAlignment="1">
      <alignment horizontal="center"/>
    </xf>
    <xf numFmtId="0" fontId="70" fillId="22" borderId="1" xfId="4" applyFont="1" applyFill="1" applyBorder="1" applyAlignment="1">
      <alignment horizontal="center"/>
    </xf>
    <xf numFmtId="0" fontId="70" fillId="17" borderId="1" xfId="4" applyFont="1" applyFill="1" applyBorder="1" applyAlignment="1">
      <alignment horizontal="center"/>
    </xf>
    <xf numFmtId="0" fontId="63" fillId="2" borderId="1" xfId="3" applyFont="1" applyFill="1" applyBorder="1" applyAlignment="1">
      <alignment horizontal="left" vertical="justify"/>
    </xf>
    <xf numFmtId="0" fontId="70" fillId="12" borderId="1" xfId="3" applyNumberFormat="1" applyFont="1" applyFill="1" applyBorder="1" applyAlignment="1">
      <alignment horizontal="center"/>
    </xf>
    <xf numFmtId="1" fontId="93" fillId="2" borderId="1" xfId="0" applyNumberFormat="1" applyFont="1" applyFill="1" applyBorder="1" applyAlignment="1">
      <alignment horizontal="center" wrapText="1"/>
    </xf>
    <xf numFmtId="1" fontId="93" fillId="12" borderId="1" xfId="0" applyNumberFormat="1" applyFont="1" applyFill="1" applyBorder="1" applyAlignment="1">
      <alignment horizontal="center" wrapText="1"/>
    </xf>
    <xf numFmtId="0" fontId="60" fillId="0" borderId="1" xfId="0" applyFont="1" applyFill="1" applyBorder="1" applyAlignment="1">
      <alignment vertical="center" wrapText="1"/>
    </xf>
    <xf numFmtId="0" fontId="60" fillId="0" borderId="1" xfId="0" applyFont="1" applyFill="1" applyBorder="1"/>
    <xf numFmtId="0" fontId="64" fillId="0" borderId="21" xfId="3" applyFont="1" applyFill="1" applyBorder="1" applyAlignment="1">
      <alignment horizontal="left"/>
    </xf>
    <xf numFmtId="0" fontId="64" fillId="0" borderId="1" xfId="3" applyFont="1" applyFill="1" applyBorder="1" applyAlignment="1">
      <alignment horizontal="left"/>
    </xf>
    <xf numFmtId="2" fontId="70" fillId="0" borderId="1" xfId="3" applyNumberFormat="1" applyFont="1" applyFill="1" applyBorder="1" applyAlignment="1">
      <alignment horizontal="right"/>
    </xf>
    <xf numFmtId="1" fontId="113" fillId="0" borderId="0" xfId="0" applyNumberFormat="1" applyFont="1"/>
    <xf numFmtId="1" fontId="114" fillId="0" borderId="0" xfId="0" applyNumberFormat="1" applyFont="1"/>
    <xf numFmtId="49" fontId="101" fillId="0" borderId="0" xfId="0" applyNumberFormat="1" applyFont="1"/>
    <xf numFmtId="1" fontId="115" fillId="0" borderId="1" xfId="0" applyNumberFormat="1" applyFont="1" applyFill="1" applyBorder="1" applyAlignment="1">
      <alignment horizontal="center" wrapText="1"/>
    </xf>
    <xf numFmtId="170" fontId="100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11" fillId="15" borderId="0" xfId="0" applyFont="1" applyFill="1"/>
    <xf numFmtId="1" fontId="111" fillId="15" borderId="0" xfId="0" applyNumberFormat="1" applyFont="1" applyFill="1"/>
    <xf numFmtId="16" fontId="16" fillId="0" borderId="25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11" fillId="0" borderId="0" xfId="0" applyFont="1" applyBorder="1"/>
    <xf numFmtId="0" fontId="117" fillId="0" borderId="1" xfId="0" applyFont="1" applyBorder="1"/>
    <xf numFmtId="0" fontId="111" fillId="0" borderId="1" xfId="0" applyFont="1" applyBorder="1"/>
    <xf numFmtId="0" fontId="111" fillId="22" borderId="1" xfId="0" applyFont="1" applyFill="1" applyBorder="1"/>
    <xf numFmtId="0" fontId="116" fillId="0" borderId="1" xfId="0" applyFont="1" applyBorder="1"/>
    <xf numFmtId="1" fontId="118" fillId="21" borderId="1" xfId="3" applyNumberFormat="1" applyFont="1" applyFill="1" applyBorder="1" applyAlignment="1">
      <alignment horizontal="center"/>
    </xf>
    <xf numFmtId="0" fontId="118" fillId="21" borderId="1" xfId="3" applyNumberFormat="1" applyFont="1" applyFill="1" applyBorder="1" applyAlignment="1">
      <alignment horizontal="center"/>
    </xf>
    <xf numFmtId="1" fontId="118" fillId="21" borderId="15" xfId="5" applyNumberFormat="1" applyFont="1" applyFill="1" applyBorder="1" applyAlignment="1" applyProtection="1">
      <alignment horizontal="center"/>
    </xf>
    <xf numFmtId="2" fontId="118" fillId="21" borderId="1" xfId="3" applyNumberFormat="1" applyFont="1" applyFill="1" applyBorder="1" applyAlignment="1">
      <alignment horizontal="center"/>
    </xf>
    <xf numFmtId="1" fontId="118" fillId="8" borderId="1" xfId="3" applyNumberFormat="1" applyFont="1" applyFill="1" applyBorder="1" applyAlignment="1">
      <alignment horizontal="center"/>
    </xf>
    <xf numFmtId="2" fontId="118" fillId="2" borderId="1" xfId="3" applyNumberFormat="1" applyFont="1" applyFill="1" applyBorder="1" applyAlignment="1">
      <alignment horizontal="center"/>
    </xf>
    <xf numFmtId="1" fontId="118" fillId="8" borderId="15" xfId="5" applyNumberFormat="1" applyFont="1" applyFill="1" applyBorder="1" applyAlignment="1" applyProtection="1">
      <alignment horizontal="center"/>
    </xf>
    <xf numFmtId="0" fontId="118" fillId="15" borderId="1" xfId="3" applyFont="1" applyFill="1" applyBorder="1" applyAlignment="1">
      <alignment horizontal="center"/>
    </xf>
    <xf numFmtId="0" fontId="118" fillId="15" borderId="15" xfId="3" applyFont="1" applyFill="1" applyBorder="1" applyAlignment="1">
      <alignment horizontal="center"/>
    </xf>
    <xf numFmtId="0" fontId="118" fillId="2" borderId="1" xfId="3" applyNumberFormat="1" applyFont="1" applyFill="1" applyBorder="1" applyAlignment="1">
      <alignment horizontal="center"/>
    </xf>
    <xf numFmtId="0" fontId="118" fillId="8" borderId="1" xfId="3" applyFont="1" applyFill="1" applyBorder="1" applyAlignment="1">
      <alignment horizontal="center"/>
    </xf>
    <xf numFmtId="1" fontId="118" fillId="15" borderId="1" xfId="3" applyNumberFormat="1" applyFont="1" applyFill="1" applyBorder="1" applyAlignment="1">
      <alignment horizontal="center"/>
    </xf>
    <xf numFmtId="0" fontId="118" fillId="21" borderId="1" xfId="3" applyFont="1" applyFill="1" applyBorder="1" applyAlignment="1">
      <alignment horizontal="center"/>
    </xf>
    <xf numFmtId="1" fontId="118" fillId="21" borderId="1" xfId="4" applyNumberFormat="1" applyFont="1" applyFill="1" applyBorder="1" applyAlignment="1">
      <alignment horizontal="center"/>
    </xf>
    <xf numFmtId="0" fontId="119" fillId="0" borderId="0" xfId="2" applyFont="1" applyAlignment="1" applyProtection="1"/>
    <xf numFmtId="2" fontId="119" fillId="0" borderId="0" xfId="2" applyNumberFormat="1" applyFont="1" applyAlignment="1" applyProtection="1"/>
    <xf numFmtId="0" fontId="64" fillId="0" borderId="21" xfId="3" applyFont="1" applyFill="1" applyBorder="1" applyAlignment="1">
      <alignment horizontal="left" vertical="center"/>
    </xf>
    <xf numFmtId="0" fontId="63" fillId="0" borderId="1" xfId="3" applyFont="1" applyFill="1" applyBorder="1" applyAlignment="1">
      <alignment horizontal="left" vertical="justify"/>
    </xf>
    <xf numFmtId="1" fontId="52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63" fillId="0" borderId="1" xfId="3" applyFont="1" applyFill="1" applyBorder="1" applyAlignment="1">
      <alignment horizontal="left" vertical="center"/>
    </xf>
    <xf numFmtId="1" fontId="70" fillId="0" borderId="1" xfId="3" applyNumberFormat="1" applyFont="1" applyFill="1" applyBorder="1" applyAlignment="1">
      <alignment horizontal="center" vertical="center"/>
    </xf>
    <xf numFmtId="2" fontId="64" fillId="0" borderId="21" xfId="3" applyNumberFormat="1" applyFont="1" applyFill="1" applyBorder="1" applyAlignment="1">
      <alignment horizontal="left" vertical="center"/>
    </xf>
    <xf numFmtId="2" fontId="63" fillId="0" borderId="1" xfId="3" applyNumberFormat="1" applyFont="1" applyFill="1" applyBorder="1" applyAlignment="1">
      <alignment horizontal="left" vertical="center"/>
    </xf>
    <xf numFmtId="0" fontId="52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11" fillId="17" borderId="5" xfId="0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6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20" fillId="0" borderId="36" xfId="17" applyFont="1" applyBorder="1" applyAlignment="1">
      <alignment horizontal="center"/>
    </xf>
    <xf numFmtId="0" fontId="121" fillId="0" borderId="36" xfId="17" applyFont="1" applyBorder="1" applyAlignment="1">
      <alignment horizontal="center"/>
    </xf>
    <xf numFmtId="1" fontId="121" fillId="0" borderId="36" xfId="17" applyNumberFormat="1" applyFont="1" applyBorder="1" applyAlignment="1">
      <alignment horizontal="center"/>
    </xf>
    <xf numFmtId="1" fontId="120" fillId="0" borderId="36" xfId="17" applyNumberFormat="1" applyFont="1" applyBorder="1" applyAlignment="1">
      <alignment horizontal="center" wrapText="1"/>
    </xf>
    <xf numFmtId="0" fontId="120" fillId="0" borderId="36" xfId="17" applyFont="1" applyBorder="1" applyAlignment="1">
      <alignment horizontal="center" wrapText="1"/>
    </xf>
    <xf numFmtId="0" fontId="120" fillId="0" borderId="0" xfId="17" applyFont="1" applyAlignment="1">
      <alignment wrapText="1"/>
    </xf>
    <xf numFmtId="0" fontId="120" fillId="0" borderId="0" xfId="17" applyFont="1"/>
    <xf numFmtId="0" fontId="16" fillId="0" borderId="0" xfId="17" applyFont="1" applyAlignment="1">
      <alignment horizontal="center"/>
    </xf>
    <xf numFmtId="0" fontId="93" fillId="0" borderId="0" xfId="17" applyFont="1" applyAlignment="1">
      <alignment horizontal="center"/>
    </xf>
    <xf numFmtId="1" fontId="93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24" fillId="21" borderId="1" xfId="3" applyFont="1" applyFill="1" applyBorder="1" applyAlignment="1">
      <alignment horizontal="center"/>
    </xf>
    <xf numFmtId="0" fontId="124" fillId="21" borderId="1" xfId="4" applyFont="1" applyFill="1" applyBorder="1" applyAlignment="1">
      <alignment horizontal="center"/>
    </xf>
    <xf numFmtId="1" fontId="54" fillId="2" borderId="0" xfId="5" applyNumberFormat="1" applyFont="1" applyFill="1" applyBorder="1" applyAlignment="1" applyProtection="1">
      <alignment horizontal="center"/>
    </xf>
    <xf numFmtId="0" fontId="125" fillId="0" borderId="0" xfId="0" applyFont="1" applyBorder="1"/>
    <xf numFmtId="0" fontId="125" fillId="0" borderId="0" xfId="0" applyFont="1"/>
    <xf numFmtId="1" fontId="125" fillId="0" borderId="0" xfId="0" applyNumberFormat="1" applyFont="1"/>
    <xf numFmtId="0" fontId="122" fillId="21" borderId="21" xfId="3" applyFont="1" applyFill="1" applyBorder="1" applyAlignment="1">
      <alignment horizontal="left" vertical="center"/>
    </xf>
    <xf numFmtId="0" fontId="123" fillId="21" borderId="1" xfId="3" applyFont="1" applyFill="1" applyBorder="1" applyAlignment="1">
      <alignment horizontal="left" vertical="center"/>
    </xf>
    <xf numFmtId="1" fontId="126" fillId="21" borderId="1" xfId="3" applyNumberFormat="1" applyFont="1" applyFill="1" applyBorder="1" applyAlignment="1">
      <alignment horizontal="center"/>
    </xf>
    <xf numFmtId="0" fontId="126" fillId="21" borderId="1" xfId="3" applyNumberFormat="1" applyFont="1" applyFill="1" applyBorder="1" applyAlignment="1">
      <alignment horizontal="center"/>
    </xf>
    <xf numFmtId="1" fontId="126" fillId="21" borderId="15" xfId="5" applyNumberFormat="1" applyFont="1" applyFill="1" applyBorder="1" applyAlignment="1" applyProtection="1">
      <alignment horizontal="center"/>
    </xf>
    <xf numFmtId="1" fontId="126" fillId="21" borderId="1" xfId="5" applyNumberFormat="1" applyFont="1" applyFill="1" applyBorder="1" applyAlignment="1">
      <alignment horizontal="center" vertical="center"/>
    </xf>
    <xf numFmtId="2" fontId="126" fillId="21" borderId="1" xfId="3" applyNumberFormat="1" applyFont="1" applyFill="1" applyBorder="1" applyAlignment="1">
      <alignment horizontal="center"/>
    </xf>
    <xf numFmtId="0" fontId="69" fillId="21" borderId="2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left"/>
    </xf>
    <xf numFmtId="0" fontId="75" fillId="21" borderId="1" xfId="3" applyFont="1" applyFill="1" applyBorder="1" applyAlignment="1">
      <alignment horizontal="center"/>
    </xf>
    <xf numFmtId="0" fontId="51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2" fontId="52" fillId="12" borderId="0" xfId="5" applyNumberFormat="1" applyFont="1" applyFill="1" applyBorder="1" applyAlignment="1" applyProtection="1">
      <alignment horizontal="center"/>
    </xf>
    <xf numFmtId="0" fontId="51" fillId="12" borderId="0" xfId="0" applyFont="1" applyFill="1" applyBorder="1"/>
    <xf numFmtId="0" fontId="64" fillId="15" borderId="15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 vertical="center"/>
    </xf>
    <xf numFmtId="0" fontId="34" fillId="2" borderId="1" xfId="4" applyFont="1" applyFill="1" applyBorder="1" applyAlignment="1">
      <alignment horizontal="center" vertical="center"/>
    </xf>
    <xf numFmtId="0" fontId="102" fillId="12" borderId="1" xfId="4" applyFont="1" applyFill="1" applyBorder="1" applyAlignment="1">
      <alignment horizontal="center" wrapText="1"/>
    </xf>
    <xf numFmtId="1" fontId="70" fillId="2" borderId="1" xfId="4" applyNumberFormat="1" applyFont="1" applyFill="1" applyBorder="1" applyAlignment="1">
      <alignment horizontal="center" vertical="center"/>
    </xf>
    <xf numFmtId="1" fontId="120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7" fillId="0" borderId="1" xfId="0" applyNumberFormat="1" applyFont="1" applyBorder="1" applyAlignment="1">
      <alignment horizontal="center"/>
    </xf>
    <xf numFmtId="0" fontId="64" fillId="2" borderId="1" xfId="3" applyFont="1" applyFill="1" applyBorder="1" applyAlignment="1">
      <alignment horizontal="left"/>
    </xf>
    <xf numFmtId="2" fontId="70" fillId="2" borderId="1" xfId="3" applyNumberFormat="1" applyFont="1" applyFill="1" applyBorder="1" applyAlignment="1">
      <alignment horizontal="right"/>
    </xf>
    <xf numFmtId="0" fontId="118" fillId="0" borderId="1" xfId="4" applyFont="1" applyBorder="1" applyAlignment="1">
      <alignment horizontal="center" vertical="center"/>
    </xf>
    <xf numFmtId="2" fontId="118" fillId="8" borderId="1" xfId="3" applyNumberFormat="1" applyFont="1" applyFill="1" applyBorder="1" applyAlignment="1">
      <alignment horizontal="center" vertical="center"/>
    </xf>
    <xf numFmtId="0" fontId="118" fillId="8" borderId="1" xfId="3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horizontal="center" vertical="center"/>
    </xf>
    <xf numFmtId="0" fontId="118" fillId="0" borderId="1" xfId="4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vertical="center"/>
    </xf>
    <xf numFmtId="1" fontId="118" fillId="2" borderId="1" xfId="3" applyNumberFormat="1" applyFont="1" applyFill="1" applyBorder="1" applyAlignment="1">
      <alignment horizontal="center" vertical="center"/>
    </xf>
    <xf numFmtId="0" fontId="118" fillId="0" borderId="1" xfId="4" applyFont="1" applyBorder="1" applyAlignment="1">
      <alignment horizontal="center"/>
    </xf>
    <xf numFmtId="0" fontId="118" fillId="0" borderId="1" xfId="4" applyFont="1" applyFill="1" applyBorder="1" applyAlignment="1">
      <alignment horizontal="center"/>
    </xf>
    <xf numFmtId="0" fontId="118" fillId="2" borderId="1" xfId="4" applyFont="1" applyFill="1" applyBorder="1" applyAlignment="1"/>
    <xf numFmtId="2" fontId="118" fillId="8" borderId="1" xfId="3" applyNumberFormat="1" applyFont="1" applyFill="1" applyBorder="1" applyAlignment="1">
      <alignment horizontal="center"/>
    </xf>
    <xf numFmtId="2" fontId="118" fillId="8" borderId="8" xfId="3" applyNumberFormat="1" applyFont="1" applyFill="1" applyBorder="1" applyAlignment="1">
      <alignment horizontal="center"/>
    </xf>
    <xf numFmtId="0" fontId="118" fillId="23" borderId="1" xfId="4" applyFont="1" applyFill="1" applyBorder="1" applyAlignment="1">
      <alignment horizontal="center" vertical="center"/>
    </xf>
    <xf numFmtId="0" fontId="82" fillId="2" borderId="21" xfId="3" applyFont="1" applyFill="1" applyBorder="1" applyAlignment="1">
      <alignment horizontal="left"/>
    </xf>
    <xf numFmtId="0" fontId="118" fillId="2" borderId="1" xfId="4" applyFont="1" applyFill="1" applyBorder="1" applyAlignment="1">
      <alignment horizontal="center"/>
    </xf>
    <xf numFmtId="1" fontId="118" fillId="2" borderId="1" xfId="5" applyNumberFormat="1" applyFont="1" applyFill="1" applyBorder="1" applyAlignment="1">
      <alignment horizontal="center" vertical="center"/>
    </xf>
    <xf numFmtId="1" fontId="118" fillId="2" borderId="1" xfId="3" applyNumberFormat="1" applyFont="1" applyFill="1" applyBorder="1" applyAlignment="1">
      <alignment horizontal="center"/>
    </xf>
    <xf numFmtId="1" fontId="118" fillId="2" borderId="15" xfId="5" applyNumberFormat="1" applyFont="1" applyFill="1" applyBorder="1" applyAlignment="1" applyProtection="1">
      <alignment horizontal="center"/>
    </xf>
    <xf numFmtId="0" fontId="118" fillId="2" borderId="1" xfId="3" applyFont="1" applyFill="1" applyBorder="1" applyAlignment="1">
      <alignment horizontal="center"/>
    </xf>
    <xf numFmtId="164" fontId="118" fillId="2" borderId="1" xfId="5" applyNumberFormat="1" applyFont="1" applyFill="1" applyBorder="1" applyAlignment="1">
      <alignment horizontal="center" vertical="center"/>
    </xf>
    <xf numFmtId="0" fontId="118" fillId="2" borderId="1" xfId="4" applyFont="1" applyFill="1" applyBorder="1" applyAlignment="1">
      <alignment horizontal="center" wrapText="1"/>
    </xf>
    <xf numFmtId="0" fontId="118" fillId="0" borderId="1" xfId="4" applyFont="1" applyFill="1" applyBorder="1" applyAlignment="1">
      <alignment horizontal="center" wrapText="1"/>
    </xf>
    <xf numFmtId="0" fontId="118" fillId="0" borderId="1" xfId="4" applyFont="1" applyBorder="1" applyAlignment="1">
      <alignment horizontal="center" wrapText="1"/>
    </xf>
    <xf numFmtId="0" fontId="118" fillId="0" borderId="1" xfId="3" applyFont="1" applyFill="1" applyBorder="1" applyAlignment="1">
      <alignment horizontal="center"/>
    </xf>
    <xf numFmtId="0" fontId="118" fillId="10" borderId="25" xfId="4" applyFont="1" applyFill="1" applyBorder="1" applyAlignment="1">
      <alignment horizontal="center" vertical="center"/>
    </xf>
    <xf numFmtId="0" fontId="118" fillId="0" borderId="1" xfId="0" applyFont="1" applyBorder="1" applyAlignment="1">
      <alignment horizontal="center"/>
    </xf>
    <xf numFmtId="0" fontId="118" fillId="0" borderId="1" xfId="0" applyFont="1" applyFill="1" applyBorder="1" applyAlignment="1">
      <alignment horizontal="center"/>
    </xf>
    <xf numFmtId="1" fontId="118" fillId="0" borderId="1" xfId="0" applyNumberFormat="1" applyFont="1" applyFill="1" applyBorder="1" applyAlignment="1">
      <alignment horizontal="center"/>
    </xf>
    <xf numFmtId="0" fontId="118" fillId="0" borderId="0" xfId="0" applyFont="1" applyBorder="1"/>
    <xf numFmtId="0" fontId="118" fillId="12" borderId="1" xfId="4" applyFont="1" applyFill="1" applyBorder="1" applyAlignment="1">
      <alignment horizontal="center"/>
    </xf>
    <xf numFmtId="2" fontId="118" fillId="8" borderId="7" xfId="3" applyNumberFormat="1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111" fillId="16" borderId="5" xfId="0" applyFont="1" applyFill="1" applyBorder="1" applyAlignment="1">
      <alignment horizontal="center"/>
    </xf>
    <xf numFmtId="0" fontId="111" fillId="17" borderId="5" xfId="0" applyFont="1" applyFill="1" applyBorder="1" applyAlignment="1">
      <alignment horizontal="center"/>
    </xf>
    <xf numFmtId="0" fontId="111" fillId="19" borderId="5" xfId="0" applyFont="1" applyFill="1" applyBorder="1" applyAlignment="1">
      <alignment horizontal="center"/>
    </xf>
    <xf numFmtId="0" fontId="63" fillId="15" borderId="16" xfId="3" applyFont="1" applyFill="1" applyBorder="1" applyAlignment="1">
      <alignment horizontal="left"/>
    </xf>
    <xf numFmtId="0" fontId="63" fillId="15" borderId="3" xfId="3" applyFont="1" applyFill="1" applyBorder="1" applyAlignment="1">
      <alignment horizontal="left"/>
    </xf>
    <xf numFmtId="0" fontId="63" fillId="15" borderId="4" xfId="3" applyFont="1" applyFill="1" applyBorder="1" applyAlignment="1">
      <alignment horizontal="left"/>
    </xf>
    <xf numFmtId="0" fontId="63" fillId="16" borderId="16" xfId="3" applyFont="1" applyFill="1" applyBorder="1" applyAlignment="1">
      <alignment horizontal="left"/>
    </xf>
    <xf numFmtId="0" fontId="63" fillId="16" borderId="3" xfId="3" applyFont="1" applyFill="1" applyBorder="1" applyAlignment="1">
      <alignment horizontal="left"/>
    </xf>
    <xf numFmtId="0" fontId="63" fillId="16" borderId="4" xfId="3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28" xfId="0" applyFont="1" applyFill="1" applyBorder="1" applyAlignment="1">
      <alignment horizontal="center"/>
    </xf>
    <xf numFmtId="0" fontId="64" fillId="17" borderId="5" xfId="0" applyFont="1" applyFill="1" applyBorder="1" applyAlignment="1">
      <alignment horizontal="center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83" fillId="8" borderId="19" xfId="3" applyFont="1" applyFill="1" applyBorder="1" applyAlignment="1">
      <alignment horizontal="center"/>
    </xf>
    <xf numFmtId="0" fontId="83" fillId="8" borderId="14" xfId="3" applyFont="1" applyFill="1" applyBorder="1" applyAlignment="1">
      <alignment horizontal="center"/>
    </xf>
    <xf numFmtId="0" fontId="83" fillId="8" borderId="20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81" fillId="15" borderId="16" xfId="3" applyFont="1" applyFill="1" applyBorder="1" applyAlignment="1">
      <alignment horizontal="center"/>
    </xf>
    <xf numFmtId="0" fontId="81" fillId="15" borderId="3" xfId="3" applyFont="1" applyFill="1" applyBorder="1" applyAlignment="1">
      <alignment horizontal="center"/>
    </xf>
    <xf numFmtId="0" fontId="81" fillId="15" borderId="4" xfId="3" applyFont="1" applyFill="1" applyBorder="1" applyAlignment="1">
      <alignment horizontal="center"/>
    </xf>
    <xf numFmtId="0" fontId="64" fillId="9" borderId="2" xfId="3" applyFont="1" applyFill="1" applyBorder="1" applyAlignment="1">
      <alignment horizontal="center"/>
    </xf>
    <xf numFmtId="0" fontId="64" fillId="9" borderId="4" xfId="3" applyFont="1" applyFill="1" applyBorder="1" applyAlignment="1">
      <alignment horizontal="center"/>
    </xf>
    <xf numFmtId="0" fontId="82" fillId="15" borderId="16" xfId="3" applyFont="1" applyFill="1" applyBorder="1" applyAlignment="1">
      <alignment horizontal="center" vertical="center"/>
    </xf>
    <xf numFmtId="0" fontId="82" fillId="15" borderId="3" xfId="3" applyFont="1" applyFill="1" applyBorder="1" applyAlignment="1">
      <alignment horizontal="center" vertical="center"/>
    </xf>
    <xf numFmtId="0" fontId="82" fillId="15" borderId="4" xfId="3" applyFont="1" applyFill="1" applyBorder="1" applyAlignment="1">
      <alignment horizontal="center" vertical="center"/>
    </xf>
    <xf numFmtId="0" fontId="52" fillId="2" borderId="16" xfId="3" applyFont="1" applyFill="1" applyBorder="1" applyAlignment="1">
      <alignment horizontal="center" vertical="justify"/>
    </xf>
    <xf numFmtId="0" fontId="52" fillId="2" borderId="3" xfId="3" applyFont="1" applyFill="1" applyBorder="1" applyAlignment="1">
      <alignment horizontal="center" vertical="justify"/>
    </xf>
    <xf numFmtId="0" fontId="52" fillId="2" borderId="29" xfId="3" applyFont="1" applyFill="1" applyBorder="1" applyAlignment="1">
      <alignment horizontal="center" vertical="justify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8" borderId="27" xfId="3" applyFont="1" applyFill="1" applyBorder="1" applyAlignment="1">
      <alignment horizontal="left"/>
    </xf>
    <xf numFmtId="0" fontId="64" fillId="8" borderId="10" xfId="3" applyFont="1" applyFill="1" applyBorder="1" applyAlignment="1">
      <alignment horizontal="left"/>
    </xf>
    <xf numFmtId="0" fontId="64" fillId="8" borderId="11" xfId="3" applyFont="1" applyFill="1" applyBorder="1" applyAlignment="1">
      <alignment horizontal="left"/>
    </xf>
    <xf numFmtId="0" fontId="63" fillId="15" borderId="16" xfId="3" applyFont="1" applyFill="1" applyBorder="1" applyAlignment="1">
      <alignment horizontal="center"/>
    </xf>
    <xf numFmtId="0" fontId="63" fillId="15" borderId="4" xfId="3" applyFont="1" applyFill="1" applyBorder="1" applyAlignment="1">
      <alignment horizontal="center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69" fillId="0" borderId="16" xfId="0" applyFont="1" applyFill="1" applyBorder="1" applyAlignment="1">
      <alignment horizontal="left"/>
    </xf>
    <xf numFmtId="0" fontId="69" fillId="0" borderId="4" xfId="0" applyFont="1" applyFill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57" fillId="15" borderId="16" xfId="4" applyFont="1" applyFill="1" applyBorder="1" applyAlignment="1">
      <alignment horizontal="left"/>
    </xf>
    <xf numFmtId="0" fontId="57" fillId="15" borderId="3" xfId="4" applyFont="1" applyFill="1" applyBorder="1" applyAlignment="1">
      <alignment horizontal="left"/>
    </xf>
    <xf numFmtId="0" fontId="57" fillId="15" borderId="29" xfId="4" applyFont="1" applyFill="1" applyBorder="1" applyAlignment="1">
      <alignment horizontal="left"/>
    </xf>
    <xf numFmtId="0" fontId="68" fillId="0" borderId="16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109" fillId="0" borderId="2" xfId="0" applyFont="1" applyBorder="1" applyAlignment="1">
      <alignment horizontal="center"/>
    </xf>
    <xf numFmtId="0" fontId="109" fillId="0" borderId="3" xfId="0" applyFont="1" applyBorder="1" applyAlignment="1">
      <alignment horizontal="center"/>
    </xf>
    <xf numFmtId="0" fontId="109" fillId="0" borderId="4" xfId="0" applyFont="1" applyBorder="1" applyAlignment="1">
      <alignment horizontal="center"/>
    </xf>
    <xf numFmtId="0" fontId="69" fillId="8" borderId="16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4" fillId="2" borderId="1" xfId="4" applyFont="1" applyFill="1" applyBorder="1" applyAlignment="1">
      <alignment horizontal="left"/>
    </xf>
    <xf numFmtId="0" fontId="68" fillId="2" borderId="16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2" borderId="16" xfId="4" applyFont="1" applyFill="1" applyBorder="1" applyAlignment="1">
      <alignment horizontal="left"/>
    </xf>
    <xf numFmtId="0" fontId="68" fillId="12" borderId="3" xfId="4" applyFont="1" applyFill="1" applyBorder="1" applyAlignment="1">
      <alignment horizontal="left"/>
    </xf>
    <xf numFmtId="0" fontId="68" fillId="12" borderId="4" xfId="4" applyFont="1" applyFill="1" applyBorder="1" applyAlignment="1">
      <alignment horizontal="left"/>
    </xf>
    <xf numFmtId="0" fontId="37" fillId="8" borderId="5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center" vertical="justify"/>
    </xf>
    <xf numFmtId="0" fontId="35" fillId="2" borderId="3" xfId="3" applyFont="1" applyFill="1" applyBorder="1" applyAlignment="1">
      <alignment horizontal="center" vertical="justify"/>
    </xf>
    <xf numFmtId="0" fontId="35" fillId="2" borderId="4" xfId="3" applyFont="1" applyFill="1" applyBorder="1" applyAlignment="1">
      <alignment horizontal="center" vertical="justify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9" fillId="0" borderId="2" xfId="4" applyFont="1" applyBorder="1" applyAlignment="1">
      <alignment horizontal="left"/>
    </xf>
    <xf numFmtId="0" fontId="49" fillId="0" borderId="3" xfId="4" applyFont="1" applyBorder="1" applyAlignment="1">
      <alignment horizontal="left"/>
    </xf>
    <xf numFmtId="0" fontId="49" fillId="0" borderId="4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4" fillId="17" borderId="6" xfId="0" applyFont="1" applyFill="1" applyBorder="1" applyAlignment="1">
      <alignment horizontal="center"/>
    </xf>
    <xf numFmtId="0" fontId="34" fillId="17" borderId="0" xfId="0" applyFont="1" applyFill="1" applyBorder="1" applyAlignment="1">
      <alignment horizontal="center"/>
    </xf>
    <xf numFmtId="0" fontId="61" fillId="0" borderId="1" xfId="0" applyFont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1" fillId="17" borderId="1" xfId="0" applyFont="1" applyFill="1" applyBorder="1" applyAlignment="1">
      <alignment horizontal="left"/>
    </xf>
    <xf numFmtId="0" fontId="62" fillId="18" borderId="1" xfId="0" applyFont="1" applyFill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96" fillId="0" borderId="16" xfId="4" applyFont="1" applyBorder="1" applyAlignment="1">
      <alignment horizontal="left"/>
    </xf>
    <xf numFmtId="0" fontId="96" fillId="0" borderId="3" xfId="4" applyFont="1" applyBorder="1" applyAlignment="1">
      <alignment horizontal="left"/>
    </xf>
    <xf numFmtId="0" fontId="96" fillId="0" borderId="4" xfId="4" applyFont="1" applyBorder="1" applyAlignment="1">
      <alignment horizontal="left"/>
    </xf>
    <xf numFmtId="0" fontId="96" fillId="8" borderId="16" xfId="3" applyFont="1" applyFill="1" applyBorder="1" applyAlignment="1">
      <alignment horizontal="left"/>
    </xf>
    <xf numFmtId="0" fontId="96" fillId="8" borderId="3" xfId="3" applyFont="1" applyFill="1" applyBorder="1" applyAlignment="1">
      <alignment horizontal="left"/>
    </xf>
    <xf numFmtId="0" fontId="96" fillId="8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3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8" fillId="2" borderId="16" xfId="3" applyFont="1" applyFill="1" applyBorder="1" applyAlignment="1">
      <alignment horizontal="center" vertical="justify"/>
    </xf>
    <xf numFmtId="0" fontId="98" fillId="2" borderId="3" xfId="3" applyFont="1" applyFill="1" applyBorder="1" applyAlignment="1">
      <alignment horizontal="center" vertical="justify"/>
    </xf>
    <xf numFmtId="0" fontId="98" fillId="2" borderId="29" xfId="3" applyFont="1" applyFill="1" applyBorder="1" applyAlignment="1">
      <alignment horizontal="center" vertical="justify"/>
    </xf>
    <xf numFmtId="0" fontId="99" fillId="15" borderId="16" xfId="3" applyFont="1" applyFill="1" applyBorder="1" applyAlignment="1">
      <alignment horizontal="center" vertical="center"/>
    </xf>
    <xf numFmtId="0" fontId="99" fillId="15" borderId="3" xfId="3" applyFont="1" applyFill="1" applyBorder="1" applyAlignment="1">
      <alignment horizontal="center" vertical="center"/>
    </xf>
    <xf numFmtId="0" fontId="99" fillId="15" borderId="4" xfId="3" applyFont="1" applyFill="1" applyBorder="1" applyAlignment="1">
      <alignment horizontal="center" vertical="center"/>
    </xf>
    <xf numFmtId="0" fontId="94" fillId="8" borderId="19" xfId="3" applyFont="1" applyFill="1" applyBorder="1" applyAlignment="1">
      <alignment horizontal="center"/>
    </xf>
    <xf numFmtId="0" fontId="94" fillId="8" borderId="14" xfId="3" applyFont="1" applyFill="1" applyBorder="1" applyAlignment="1">
      <alignment horizontal="center"/>
    </xf>
    <xf numFmtId="0" fontId="94" fillId="8" borderId="20" xfId="3" applyFont="1" applyFill="1" applyBorder="1" applyAlignment="1">
      <alignment horizontal="center"/>
    </xf>
    <xf numFmtId="0" fontId="96" fillId="9" borderId="2" xfId="3" applyFont="1" applyFill="1" applyBorder="1" applyAlignment="1">
      <alignment horizontal="center"/>
    </xf>
    <xf numFmtId="0" fontId="96" fillId="9" borderId="4" xfId="3" applyFont="1" applyFill="1" applyBorder="1" applyAlignment="1">
      <alignment horizontal="center"/>
    </xf>
    <xf numFmtId="0" fontId="107" fillId="15" borderId="16" xfId="4" applyFont="1" applyFill="1" applyBorder="1" applyAlignment="1">
      <alignment horizontal="left"/>
    </xf>
    <xf numFmtId="0" fontId="107" fillId="15" borderId="3" xfId="4" applyFont="1" applyFill="1" applyBorder="1" applyAlignment="1">
      <alignment horizontal="left"/>
    </xf>
    <xf numFmtId="0" fontId="107" fillId="15" borderId="29" xfId="4" applyFont="1" applyFill="1" applyBorder="1" applyAlignment="1">
      <alignment horizontal="left"/>
    </xf>
    <xf numFmtId="0" fontId="96" fillId="2" borderId="16" xfId="4" applyFont="1" applyFill="1" applyBorder="1" applyAlignment="1">
      <alignment horizontal="left"/>
    </xf>
    <xf numFmtId="0" fontId="96" fillId="2" borderId="3" xfId="4" applyFont="1" applyFill="1" applyBorder="1" applyAlignment="1">
      <alignment horizontal="left"/>
    </xf>
    <xf numFmtId="0" fontId="96" fillId="2" borderId="4" xfId="4" applyFont="1" applyFill="1" applyBorder="1" applyAlignment="1">
      <alignment horizontal="left"/>
    </xf>
    <xf numFmtId="0" fontId="102" fillId="0" borderId="16" xfId="4" applyFont="1" applyBorder="1" applyAlignment="1">
      <alignment horizontal="left"/>
    </xf>
    <xf numFmtId="0" fontId="102" fillId="0" borderId="3" xfId="4" applyFont="1" applyBorder="1" applyAlignment="1">
      <alignment horizontal="left"/>
    </xf>
    <xf numFmtId="0" fontId="102" fillId="0" borderId="4" xfId="4" applyFont="1" applyBorder="1" applyAlignment="1">
      <alignment horizontal="left"/>
    </xf>
    <xf numFmtId="0" fontId="96" fillId="16" borderId="16" xfId="3" applyFont="1" applyFill="1" applyBorder="1" applyAlignment="1">
      <alignment horizontal="left"/>
    </xf>
    <xf numFmtId="0" fontId="96" fillId="16" borderId="3" xfId="3" applyFont="1" applyFill="1" applyBorder="1" applyAlignment="1">
      <alignment horizontal="left"/>
    </xf>
    <xf numFmtId="0" fontId="96" fillId="16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left"/>
    </xf>
    <xf numFmtId="0" fontId="96" fillId="15" borderId="3" xfId="3" applyFont="1" applyFill="1" applyBorder="1" applyAlignment="1">
      <alignment horizontal="left"/>
    </xf>
    <xf numFmtId="0" fontId="96" fillId="15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6" fillId="17" borderId="28" xfId="0" applyFont="1" applyFill="1" applyBorder="1" applyAlignment="1">
      <alignment horizontal="center"/>
    </xf>
    <xf numFmtId="0" fontId="96" fillId="17" borderId="5" xfId="0" applyFont="1" applyFill="1" applyBorder="1" applyAlignment="1">
      <alignment horizontal="center"/>
    </xf>
    <xf numFmtId="0" fontId="92" fillId="0" borderId="16" xfId="0" applyFont="1" applyBorder="1" applyAlignment="1">
      <alignment horizontal="left"/>
    </xf>
    <xf numFmtId="0" fontId="92" fillId="0" borderId="4" xfId="0" applyFont="1" applyBorder="1" applyAlignment="1">
      <alignment horizontal="left"/>
    </xf>
    <xf numFmtId="0" fontId="92" fillId="0" borderId="3" xfId="0" applyFont="1" applyBorder="1" applyAlignment="1">
      <alignment horizontal="left"/>
    </xf>
    <xf numFmtId="0" fontId="92" fillId="18" borderId="16" xfId="0" applyFont="1" applyFill="1" applyBorder="1" applyAlignment="1">
      <alignment horizontal="left"/>
    </xf>
    <xf numFmtId="0" fontId="92" fillId="18" borderId="4" xfId="0" applyFont="1" applyFill="1" applyBorder="1" applyAlignment="1">
      <alignment horizontal="left"/>
    </xf>
    <xf numFmtId="0" fontId="92" fillId="17" borderId="16" xfId="0" applyFont="1" applyFill="1" applyBorder="1" applyAlignment="1">
      <alignment horizontal="left"/>
    </xf>
    <xf numFmtId="0" fontId="92" fillId="17" borderId="4" xfId="0" applyFont="1" applyFill="1" applyBorder="1" applyAlignment="1">
      <alignment horizontal="left"/>
    </xf>
    <xf numFmtId="0" fontId="96" fillId="8" borderId="27" xfId="3" applyFont="1" applyFill="1" applyBorder="1" applyAlignment="1">
      <alignment horizontal="left"/>
    </xf>
    <xf numFmtId="0" fontId="96" fillId="8" borderId="10" xfId="3" applyFont="1" applyFill="1" applyBorder="1" applyAlignment="1">
      <alignment horizontal="left"/>
    </xf>
    <xf numFmtId="0" fontId="96" fillId="8" borderId="11" xfId="3" applyFont="1" applyFill="1" applyBorder="1" applyAlignment="1">
      <alignment horizontal="left"/>
    </xf>
    <xf numFmtId="0" fontId="101" fillId="18" borderId="16" xfId="0" applyFont="1" applyFill="1" applyBorder="1" applyAlignment="1">
      <alignment horizontal="left"/>
    </xf>
    <xf numFmtId="0" fontId="101" fillId="18" borderId="4" xfId="0" applyFont="1" applyFill="1" applyBorder="1" applyAlignment="1">
      <alignment horizontal="left"/>
    </xf>
    <xf numFmtId="0" fontId="101" fillId="0" borderId="16" xfId="0" applyFont="1" applyBorder="1" applyAlignment="1">
      <alignment horizontal="left"/>
    </xf>
    <xf numFmtId="0" fontId="101" fillId="0" borderId="4" xfId="0" applyFont="1" applyBorder="1" applyAlignment="1">
      <alignment horizontal="left"/>
    </xf>
    <xf numFmtId="0" fontId="101" fillId="0" borderId="16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left"/>
    </xf>
    <xf numFmtId="0" fontId="96" fillId="0" borderId="1" xfId="4" applyFont="1" applyBorder="1" applyAlignment="1">
      <alignment horizontal="left"/>
    </xf>
    <xf numFmtId="0" fontId="64" fillId="8" borderId="22" xfId="3" applyFont="1" applyFill="1" applyBorder="1" applyAlignment="1">
      <alignment horizontal="left"/>
    </xf>
    <xf numFmtId="0" fontId="64" fillId="8" borderId="7" xfId="3" applyFont="1" applyFill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left"/>
    </xf>
    <xf numFmtId="0" fontId="63" fillId="16" borderId="1" xfId="3" applyFont="1" applyFill="1" applyBorder="1" applyAlignment="1">
      <alignment horizontal="left"/>
    </xf>
    <xf numFmtId="0" fontId="63" fillId="15" borderId="2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21" xfId="3" applyFont="1" applyFill="1" applyBorder="1" applyAlignment="1">
      <alignment horizontal="center"/>
    </xf>
    <xf numFmtId="0" fontId="63" fillId="15" borderId="1" xfId="3" applyFont="1" applyFill="1" applyBorder="1" applyAlignment="1">
      <alignment horizontal="center"/>
    </xf>
    <xf numFmtId="0" fontId="64" fillId="17" borderId="34" xfId="0" applyFont="1" applyFill="1" applyBorder="1" applyAlignment="1">
      <alignment horizontal="center"/>
    </xf>
    <xf numFmtId="0" fontId="64" fillId="17" borderId="0" xfId="0" applyFont="1" applyFill="1" applyBorder="1" applyAlignment="1">
      <alignment horizontal="center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57" fillId="15" borderId="21" xfId="4" applyFont="1" applyFill="1" applyBorder="1" applyAlignment="1">
      <alignment horizontal="left"/>
    </xf>
    <xf numFmtId="0" fontId="57" fillId="15" borderId="1" xfId="4" applyFont="1" applyFill="1" applyBorder="1" applyAlignment="1">
      <alignment horizontal="left"/>
    </xf>
    <xf numFmtId="0" fontId="57" fillId="15" borderId="15" xfId="4" applyFont="1" applyFill="1" applyBorder="1" applyAlignment="1">
      <alignment horizontal="left"/>
    </xf>
    <xf numFmtId="0" fontId="81" fillId="15" borderId="21" xfId="3" applyFont="1" applyFill="1" applyBorder="1" applyAlignment="1">
      <alignment horizontal="center"/>
    </xf>
    <xf numFmtId="0" fontId="81" fillId="15" borderId="1" xfId="3" applyFont="1" applyFill="1" applyBorder="1" applyAlignment="1">
      <alignment horizontal="center"/>
    </xf>
    <xf numFmtId="0" fontId="52" fillId="2" borderId="21" xfId="3" applyFont="1" applyFill="1" applyBorder="1" applyAlignment="1">
      <alignment horizontal="center" vertical="justify"/>
    </xf>
    <xf numFmtId="0" fontId="52" fillId="2" borderId="1" xfId="3" applyFont="1" applyFill="1" applyBorder="1" applyAlignment="1">
      <alignment horizontal="center" vertical="justify"/>
    </xf>
    <xf numFmtId="0" fontId="52" fillId="2" borderId="15" xfId="3" applyFont="1" applyFill="1" applyBorder="1" applyAlignment="1">
      <alignment horizontal="center" vertical="justify"/>
    </xf>
    <xf numFmtId="0" fontId="64" fillId="2" borderId="21" xfId="4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81" fillId="15" borderId="21" xfId="3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17" borderId="21" xfId="0" applyFont="1" applyFill="1" applyBorder="1" applyAlignment="1">
      <alignment horizontal="left"/>
    </xf>
    <xf numFmtId="0" fontId="72" fillId="17" borderId="1" xfId="0" applyFont="1" applyFill="1" applyBorder="1" applyAlignment="1">
      <alignment horizontal="left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69" fillId="0" borderId="21" xfId="0" applyFont="1" applyFill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20" fillId="0" borderId="5" xfId="18" applyFont="1" applyBorder="1"/>
    <xf numFmtId="0" fontId="120" fillId="0" borderId="0" xfId="18" applyFont="1"/>
    <xf numFmtId="0" fontId="1" fillId="0" borderId="0" xfId="18" applyAlignment="1">
      <alignment horizontal="center"/>
    </xf>
    <xf numFmtId="1" fontId="1" fillId="0" borderId="0" xfId="18" applyNumberFormat="1" applyAlignment="1">
      <alignment horizontal="center"/>
    </xf>
    <xf numFmtId="0" fontId="1" fillId="0" borderId="0" xfId="18"/>
    <xf numFmtId="0" fontId="121" fillId="0" borderId="5" xfId="18" applyFont="1" applyBorder="1" applyAlignment="1">
      <alignment horizontal="center"/>
    </xf>
    <xf numFmtId="0" fontId="90" fillId="0" borderId="0" xfId="18" applyFont="1" applyAlignment="1">
      <alignment horizontal="center"/>
    </xf>
    <xf numFmtId="1" fontId="128" fillId="0" borderId="5" xfId="18" applyNumberFormat="1" applyFont="1" applyBorder="1" applyAlignment="1">
      <alignment horizontal="center" wrapText="1"/>
    </xf>
    <xf numFmtId="1" fontId="129" fillId="0" borderId="0" xfId="18" applyNumberFormat="1" applyFont="1" applyAlignment="1">
      <alignment horizontal="center"/>
    </xf>
    <xf numFmtId="1" fontId="130" fillId="0" borderId="5" xfId="18" applyNumberFormat="1" applyFont="1" applyBorder="1" applyAlignment="1">
      <alignment horizontal="center" wrapText="1"/>
    </xf>
    <xf numFmtId="0" fontId="130" fillId="0" borderId="5" xfId="18" applyFont="1" applyBorder="1" applyAlignment="1">
      <alignment horizontal="center" wrapText="1"/>
    </xf>
    <xf numFmtId="1" fontId="131" fillId="0" borderId="0" xfId="18" applyNumberFormat="1" applyFont="1" applyAlignment="1">
      <alignment horizontal="center"/>
    </xf>
    <xf numFmtId="1" fontId="133" fillId="0" borderId="5" xfId="18" applyNumberFormat="1" applyFont="1" applyBorder="1" applyAlignment="1">
      <alignment horizontal="center" wrapText="1"/>
    </xf>
    <xf numFmtId="1" fontId="134" fillId="0" borderId="0" xfId="18" applyNumberFormat="1" applyFont="1" applyAlignment="1">
      <alignment horizont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5" xfId="18" xr:uid="{6B8F9BD5-3F44-4DFB-8B75-22A15CCCCE09}"/>
    <cellStyle name="Percent 2" xfId="6" xr:uid="{00000000-0005-0000-0000-000010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24</c:v>
                </c:pt>
                <c:pt idx="20">
                  <c:v>24</c:v>
                </c:pt>
                <c:pt idx="21">
                  <c:v>-333.38999999999942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1077632"/>
        <c:axId val="171079168"/>
      </c:lineChart>
      <c:catAx>
        <c:axId val="17107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79168"/>
        <c:crosses val="autoZero"/>
        <c:auto val="1"/>
        <c:lblAlgn val="ctr"/>
        <c:lblOffset val="100"/>
        <c:noMultiLvlLbl val="0"/>
      </c:catAx>
      <c:valAx>
        <c:axId val="17107916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107763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16.749999999996362</c:v>
                </c:pt>
                <c:pt idx="20">
                  <c:v>12.059999999990396</c:v>
                </c:pt>
                <c:pt idx="21">
                  <c:v>-306.12999999999374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-7.0199999999931606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1100032"/>
        <c:axId val="171101568"/>
      </c:lineChart>
      <c:catAx>
        <c:axId val="17110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1568"/>
        <c:crosses val="autoZero"/>
        <c:auto val="1"/>
        <c:lblAlgn val="ctr"/>
        <c:lblOffset val="100"/>
        <c:noMultiLvlLbl val="0"/>
      </c:catAx>
      <c:valAx>
        <c:axId val="17110156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0003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1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191</c:v>
                </c:pt>
                <c:pt idx="20">
                  <c:v>231</c:v>
                </c:pt>
                <c:pt idx="21">
                  <c:v>-1395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4720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70426752"/>
        <c:axId val="170428288"/>
      </c:lineChart>
      <c:catAx>
        <c:axId val="17042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28288"/>
        <c:crosses val="autoZero"/>
        <c:auto val="1"/>
        <c:lblAlgn val="ctr"/>
        <c:lblOffset val="100"/>
        <c:noMultiLvlLbl val="0"/>
      </c:catAx>
      <c:valAx>
        <c:axId val="17042828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2675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44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1086</c:v>
                </c:pt>
                <c:pt idx="20">
                  <c:v>940</c:v>
                </c:pt>
                <c:pt idx="21">
                  <c:v>-26134.060000000056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87456"/>
        <c:axId val="171588992"/>
      </c:lineChart>
      <c:catAx>
        <c:axId val="17158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88992"/>
        <c:crosses val="autoZero"/>
        <c:auto val="1"/>
        <c:lblAlgn val="ctr"/>
        <c:lblOffset val="100"/>
        <c:noMultiLvlLbl val="0"/>
      </c:catAx>
      <c:valAx>
        <c:axId val="17158899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8745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533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4389</c:v>
                </c:pt>
                <c:pt idx="20">
                  <c:v>4214</c:v>
                </c:pt>
                <c:pt idx="21">
                  <c:v>851000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0</c:v>
                </c:pt>
                <c:pt idx="21">
                  <c:v>-65305.710000000021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71647744"/>
        <c:axId val="171649280"/>
      </c:lineChart>
      <c:catAx>
        <c:axId val="17164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49280"/>
        <c:crosses val="autoZero"/>
        <c:auto val="1"/>
        <c:lblAlgn val="ctr"/>
        <c:lblOffset val="100"/>
        <c:noMultiLvlLbl val="0"/>
      </c:catAx>
      <c:valAx>
        <c:axId val="171649280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4774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2854</c:v>
                </c:pt>
                <c:pt idx="20">
                  <c:v>3035</c:v>
                </c:pt>
                <c:pt idx="21">
                  <c:v>-42318.329999999958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98816"/>
        <c:axId val="171700608"/>
      </c:lineChart>
      <c:catAx>
        <c:axId val="17169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0608"/>
        <c:crosses val="autoZero"/>
        <c:auto val="1"/>
        <c:lblAlgn val="ctr"/>
        <c:lblOffset val="100"/>
        <c:noMultiLvlLbl val="0"/>
      </c:catAx>
      <c:valAx>
        <c:axId val="17170060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98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0.8</c:v>
                </c:pt>
                <c:pt idx="19">
                  <c:v>0.8</c:v>
                </c:pt>
                <c:pt idx="20">
                  <c:v>0.98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1.532025806451613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31552"/>
        <c:axId val="170633088"/>
      </c:lineChart>
      <c:catAx>
        <c:axId val="17063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33088"/>
        <c:crosses val="autoZero"/>
        <c:auto val="1"/>
        <c:lblAlgn val="ctr"/>
        <c:lblOffset val="100"/>
        <c:noMultiLvlLbl val="0"/>
      </c:catAx>
      <c:valAx>
        <c:axId val="1706330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0631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9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9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9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19799</c:v>
                </c:pt>
                <c:pt idx="20">
                  <c:v>20106</c:v>
                </c:pt>
                <c:pt idx="21">
                  <c:v>-580711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1788544"/>
        <c:axId val="171798528"/>
      </c:lineChart>
      <c:catAx>
        <c:axId val="17178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98528"/>
        <c:crosses val="autoZero"/>
        <c:auto val="1"/>
        <c:lblAlgn val="ctr"/>
        <c:lblOffset val="100"/>
        <c:noMultiLvlLbl val="0"/>
      </c:catAx>
      <c:valAx>
        <c:axId val="17179852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8854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8.6199999999998909</c:v>
                </c:pt>
                <c:pt idx="20">
                  <c:v>8.1500000000000909</c:v>
                </c:pt>
                <c:pt idx="21">
                  <c:v>-239.46000000000004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34752"/>
        <c:axId val="171709568"/>
      </c:lineChart>
      <c:catAx>
        <c:axId val="17183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9568"/>
        <c:crosses val="autoZero"/>
        <c:auto val="1"/>
        <c:lblAlgn val="ctr"/>
        <c:lblOffset val="100"/>
        <c:noMultiLvlLbl val="0"/>
      </c:catAx>
      <c:valAx>
        <c:axId val="17170956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34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36636E-2"/>
          <c:w val="0.84489954093856046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300</c:v>
                </c:pt>
                <c:pt idx="17">
                  <c:v>283</c:v>
                </c:pt>
                <c:pt idx="18">
                  <c:v>-8228.9200000000419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667</c:v>
                </c:pt>
                <c:pt idx="17">
                  <c:v>545</c:v>
                </c:pt>
                <c:pt idx="18">
                  <c:v>-14538.490000000005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86</c:v>
                </c:pt>
                <c:pt idx="17">
                  <c:v>80</c:v>
                </c:pt>
                <c:pt idx="18">
                  <c:v>-2240.9500000000116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34080"/>
        <c:axId val="172344064"/>
      </c:lineChart>
      <c:catAx>
        <c:axId val="1723340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2344064"/>
        <c:crosses val="autoZero"/>
        <c:auto val="1"/>
        <c:lblAlgn val="ctr"/>
        <c:lblOffset val="100"/>
        <c:noMultiLvlLbl val="0"/>
      </c:catAx>
      <c:valAx>
        <c:axId val="1723440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23340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546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5429888"/>
        <c:axId val="17113907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40608"/>
        <c:axId val="171142144"/>
      </c:lineChart>
      <c:catAx>
        <c:axId val="17542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39072"/>
        <c:crosses val="autoZero"/>
        <c:auto val="1"/>
        <c:lblAlgn val="ctr"/>
        <c:lblOffset val="100"/>
        <c:noMultiLvlLbl val="0"/>
      </c:catAx>
      <c:valAx>
        <c:axId val="17113907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29888"/>
        <c:crosses val="autoZero"/>
        <c:crossBetween val="between"/>
        <c:minorUnit val="50"/>
      </c:valAx>
      <c:catAx>
        <c:axId val="171140608"/>
        <c:scaling>
          <c:orientation val="minMax"/>
        </c:scaling>
        <c:delete val="1"/>
        <c:axPos val="b"/>
        <c:majorTickMark val="out"/>
        <c:minorTickMark val="none"/>
        <c:tickLblPos val="none"/>
        <c:crossAx val="171142144"/>
        <c:crosses val="autoZero"/>
        <c:auto val="1"/>
        <c:lblAlgn val="ctr"/>
        <c:lblOffset val="100"/>
        <c:noMultiLvlLbl val="0"/>
      </c:catAx>
      <c:valAx>
        <c:axId val="171142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4060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9008"/>
        <c:axId val="176030464"/>
      </c:lineChart>
      <c:catAx>
        <c:axId val="17117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30464"/>
        <c:crosses val="autoZero"/>
        <c:auto val="1"/>
        <c:lblAlgn val="ctr"/>
        <c:lblOffset val="100"/>
        <c:noMultiLvlLbl val="0"/>
      </c:catAx>
      <c:valAx>
        <c:axId val="17603046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790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6063616"/>
        <c:axId val="176065152"/>
      </c:lineChart>
      <c:catAx>
        <c:axId val="17606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65152"/>
        <c:crosses val="autoZero"/>
        <c:auto val="1"/>
        <c:lblAlgn val="ctr"/>
        <c:lblOffset val="100"/>
        <c:noMultiLvlLbl val="0"/>
      </c:catAx>
      <c:valAx>
        <c:axId val="17606515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636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74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12704"/>
        <c:axId val="17631424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15776"/>
        <c:axId val="176317568"/>
      </c:lineChart>
      <c:catAx>
        <c:axId val="17631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14240"/>
        <c:crosses val="autoZero"/>
        <c:auto val="1"/>
        <c:lblAlgn val="ctr"/>
        <c:lblOffset val="100"/>
        <c:noMultiLvlLbl val="0"/>
      </c:catAx>
      <c:valAx>
        <c:axId val="17631424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12704"/>
        <c:crosses val="autoZero"/>
        <c:crossBetween val="between"/>
      </c:valAx>
      <c:catAx>
        <c:axId val="1763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76317568"/>
        <c:crosses val="autoZero"/>
        <c:auto val="1"/>
        <c:lblAlgn val="ctr"/>
        <c:lblOffset val="100"/>
        <c:noMultiLvlLbl val="0"/>
      </c:catAx>
      <c:valAx>
        <c:axId val="1763175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21280"/>
        <c:axId val="17672716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28704"/>
        <c:axId val="176730496"/>
      </c:lineChart>
      <c:catAx>
        <c:axId val="17672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27168"/>
        <c:crosses val="autoZero"/>
        <c:auto val="1"/>
        <c:lblAlgn val="ctr"/>
        <c:lblOffset val="100"/>
        <c:noMultiLvlLbl val="0"/>
      </c:catAx>
      <c:valAx>
        <c:axId val="17672716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21280"/>
        <c:crosses val="autoZero"/>
        <c:crossBetween val="between"/>
        <c:majorUnit val="2"/>
      </c:valAx>
      <c:catAx>
        <c:axId val="176728704"/>
        <c:scaling>
          <c:orientation val="minMax"/>
        </c:scaling>
        <c:delete val="1"/>
        <c:axPos val="b"/>
        <c:majorTickMark val="out"/>
        <c:minorTickMark val="none"/>
        <c:tickLblPos val="none"/>
        <c:crossAx val="176730496"/>
        <c:crosses val="autoZero"/>
        <c:auto val="1"/>
        <c:lblAlgn val="ctr"/>
        <c:lblOffset val="100"/>
        <c:noMultiLvlLbl val="0"/>
      </c:catAx>
      <c:valAx>
        <c:axId val="1767304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2870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D7" sqref="D7"/>
    </sheetView>
  </sheetViews>
  <sheetFormatPr defaultColWidth="9" defaultRowHeight="15" x14ac:dyDescent="0.25"/>
  <cols>
    <col min="1" max="1" width="9.6640625" style="1255" customWidth="1"/>
    <col min="2" max="3" width="9" style="1249"/>
    <col min="4" max="4" width="10.44140625" style="1250" customWidth="1"/>
    <col min="5" max="5" width="9.77734375" style="1251" customWidth="1"/>
    <col min="6" max="6" width="9.77734375" style="1255" customWidth="1"/>
    <col min="7" max="10" width="9" style="1255"/>
    <col min="11" max="12" width="9" style="1251"/>
    <col min="13" max="13" width="0" style="1254" hidden="1" customWidth="1"/>
    <col min="14" max="256" width="9" style="1254"/>
    <col min="257" max="257" width="9.6640625" style="1254" customWidth="1"/>
    <col min="258" max="259" width="9" style="1254"/>
    <col min="260" max="260" width="10.44140625" style="1254" customWidth="1"/>
    <col min="261" max="262" width="9.77734375" style="1254" customWidth="1"/>
    <col min="263" max="268" width="9" style="1254"/>
    <col min="269" max="269" width="0" style="1254" hidden="1" customWidth="1"/>
    <col min="270" max="512" width="9" style="1254"/>
    <col min="513" max="513" width="9.6640625" style="1254" customWidth="1"/>
    <col min="514" max="515" width="9" style="1254"/>
    <col min="516" max="516" width="10.44140625" style="1254" customWidth="1"/>
    <col min="517" max="518" width="9.77734375" style="1254" customWidth="1"/>
    <col min="519" max="524" width="9" style="1254"/>
    <col min="525" max="525" width="0" style="1254" hidden="1" customWidth="1"/>
    <col min="526" max="768" width="9" style="1254"/>
    <col min="769" max="769" width="9.6640625" style="1254" customWidth="1"/>
    <col min="770" max="771" width="9" style="1254"/>
    <col min="772" max="772" width="10.44140625" style="1254" customWidth="1"/>
    <col min="773" max="774" width="9.77734375" style="1254" customWidth="1"/>
    <col min="775" max="780" width="9" style="1254"/>
    <col min="781" max="781" width="0" style="1254" hidden="1" customWidth="1"/>
    <col min="782" max="1024" width="9" style="1254"/>
    <col min="1025" max="1025" width="9.6640625" style="1254" customWidth="1"/>
    <col min="1026" max="1027" width="9" style="1254"/>
    <col min="1028" max="1028" width="10.44140625" style="1254" customWidth="1"/>
    <col min="1029" max="1030" width="9.77734375" style="1254" customWidth="1"/>
    <col min="1031" max="1036" width="9" style="1254"/>
    <col min="1037" max="1037" width="0" style="1254" hidden="1" customWidth="1"/>
    <col min="1038" max="1280" width="9" style="1254"/>
    <col min="1281" max="1281" width="9.6640625" style="1254" customWidth="1"/>
    <col min="1282" max="1283" width="9" style="1254"/>
    <col min="1284" max="1284" width="10.44140625" style="1254" customWidth="1"/>
    <col min="1285" max="1286" width="9.77734375" style="1254" customWidth="1"/>
    <col min="1287" max="1292" width="9" style="1254"/>
    <col min="1293" max="1293" width="0" style="1254" hidden="1" customWidth="1"/>
    <col min="1294" max="1536" width="9" style="1254"/>
    <col min="1537" max="1537" width="9.6640625" style="1254" customWidth="1"/>
    <col min="1538" max="1539" width="9" style="1254"/>
    <col min="1540" max="1540" width="10.44140625" style="1254" customWidth="1"/>
    <col min="1541" max="1542" width="9.77734375" style="1254" customWidth="1"/>
    <col min="1543" max="1548" width="9" style="1254"/>
    <col min="1549" max="1549" width="0" style="1254" hidden="1" customWidth="1"/>
    <col min="1550" max="1792" width="9" style="1254"/>
    <col min="1793" max="1793" width="9.6640625" style="1254" customWidth="1"/>
    <col min="1794" max="1795" width="9" style="1254"/>
    <col min="1796" max="1796" width="10.44140625" style="1254" customWidth="1"/>
    <col min="1797" max="1798" width="9.77734375" style="1254" customWidth="1"/>
    <col min="1799" max="1804" width="9" style="1254"/>
    <col min="1805" max="1805" width="0" style="1254" hidden="1" customWidth="1"/>
    <col min="1806" max="2048" width="9" style="1254"/>
    <col min="2049" max="2049" width="9.6640625" style="1254" customWidth="1"/>
    <col min="2050" max="2051" width="9" style="1254"/>
    <col min="2052" max="2052" width="10.44140625" style="1254" customWidth="1"/>
    <col min="2053" max="2054" width="9.77734375" style="1254" customWidth="1"/>
    <col min="2055" max="2060" width="9" style="1254"/>
    <col min="2061" max="2061" width="0" style="1254" hidden="1" customWidth="1"/>
    <col min="2062" max="2304" width="9" style="1254"/>
    <col min="2305" max="2305" width="9.6640625" style="1254" customWidth="1"/>
    <col min="2306" max="2307" width="9" style="1254"/>
    <col min="2308" max="2308" width="10.44140625" style="1254" customWidth="1"/>
    <col min="2309" max="2310" width="9.77734375" style="1254" customWidth="1"/>
    <col min="2311" max="2316" width="9" style="1254"/>
    <col min="2317" max="2317" width="0" style="1254" hidden="1" customWidth="1"/>
    <col min="2318" max="2560" width="9" style="1254"/>
    <col min="2561" max="2561" width="9.6640625" style="1254" customWidth="1"/>
    <col min="2562" max="2563" width="9" style="1254"/>
    <col min="2564" max="2564" width="10.44140625" style="1254" customWidth="1"/>
    <col min="2565" max="2566" width="9.77734375" style="1254" customWidth="1"/>
    <col min="2567" max="2572" width="9" style="1254"/>
    <col min="2573" max="2573" width="0" style="1254" hidden="1" customWidth="1"/>
    <col min="2574" max="2816" width="9" style="1254"/>
    <col min="2817" max="2817" width="9.6640625" style="1254" customWidth="1"/>
    <col min="2818" max="2819" width="9" style="1254"/>
    <col min="2820" max="2820" width="10.44140625" style="1254" customWidth="1"/>
    <col min="2821" max="2822" width="9.77734375" style="1254" customWidth="1"/>
    <col min="2823" max="2828" width="9" style="1254"/>
    <col min="2829" max="2829" width="0" style="1254" hidden="1" customWidth="1"/>
    <col min="2830" max="3072" width="9" style="1254"/>
    <col min="3073" max="3073" width="9.6640625" style="1254" customWidth="1"/>
    <col min="3074" max="3075" width="9" style="1254"/>
    <col min="3076" max="3076" width="10.44140625" style="1254" customWidth="1"/>
    <col min="3077" max="3078" width="9.77734375" style="1254" customWidth="1"/>
    <col min="3079" max="3084" width="9" style="1254"/>
    <col min="3085" max="3085" width="0" style="1254" hidden="1" customWidth="1"/>
    <col min="3086" max="3328" width="9" style="1254"/>
    <col min="3329" max="3329" width="9.6640625" style="1254" customWidth="1"/>
    <col min="3330" max="3331" width="9" style="1254"/>
    <col min="3332" max="3332" width="10.44140625" style="1254" customWidth="1"/>
    <col min="3333" max="3334" width="9.77734375" style="1254" customWidth="1"/>
    <col min="3335" max="3340" width="9" style="1254"/>
    <col min="3341" max="3341" width="0" style="1254" hidden="1" customWidth="1"/>
    <col min="3342" max="3584" width="9" style="1254"/>
    <col min="3585" max="3585" width="9.6640625" style="1254" customWidth="1"/>
    <col min="3586" max="3587" width="9" style="1254"/>
    <col min="3588" max="3588" width="10.44140625" style="1254" customWidth="1"/>
    <col min="3589" max="3590" width="9.77734375" style="1254" customWidth="1"/>
    <col min="3591" max="3596" width="9" style="1254"/>
    <col min="3597" max="3597" width="0" style="1254" hidden="1" customWidth="1"/>
    <col min="3598" max="3840" width="9" style="1254"/>
    <col min="3841" max="3841" width="9.6640625" style="1254" customWidth="1"/>
    <col min="3842" max="3843" width="9" style="1254"/>
    <col min="3844" max="3844" width="10.44140625" style="1254" customWidth="1"/>
    <col min="3845" max="3846" width="9.77734375" style="1254" customWidth="1"/>
    <col min="3847" max="3852" width="9" style="1254"/>
    <col min="3853" max="3853" width="0" style="1254" hidden="1" customWidth="1"/>
    <col min="3854" max="4096" width="9" style="1254"/>
    <col min="4097" max="4097" width="9.6640625" style="1254" customWidth="1"/>
    <col min="4098" max="4099" width="9" style="1254"/>
    <col min="4100" max="4100" width="10.44140625" style="1254" customWidth="1"/>
    <col min="4101" max="4102" width="9.77734375" style="1254" customWidth="1"/>
    <col min="4103" max="4108" width="9" style="1254"/>
    <col min="4109" max="4109" width="0" style="1254" hidden="1" customWidth="1"/>
    <col min="4110" max="4352" width="9" style="1254"/>
    <col min="4353" max="4353" width="9.6640625" style="1254" customWidth="1"/>
    <col min="4354" max="4355" width="9" style="1254"/>
    <col min="4356" max="4356" width="10.44140625" style="1254" customWidth="1"/>
    <col min="4357" max="4358" width="9.77734375" style="1254" customWidth="1"/>
    <col min="4359" max="4364" width="9" style="1254"/>
    <col min="4365" max="4365" width="0" style="1254" hidden="1" customWidth="1"/>
    <col min="4366" max="4608" width="9" style="1254"/>
    <col min="4609" max="4609" width="9.6640625" style="1254" customWidth="1"/>
    <col min="4610" max="4611" width="9" style="1254"/>
    <col min="4612" max="4612" width="10.44140625" style="1254" customWidth="1"/>
    <col min="4613" max="4614" width="9.77734375" style="1254" customWidth="1"/>
    <col min="4615" max="4620" width="9" style="1254"/>
    <col min="4621" max="4621" width="0" style="1254" hidden="1" customWidth="1"/>
    <col min="4622" max="4864" width="9" style="1254"/>
    <col min="4865" max="4865" width="9.6640625" style="1254" customWidth="1"/>
    <col min="4866" max="4867" width="9" style="1254"/>
    <col min="4868" max="4868" width="10.44140625" style="1254" customWidth="1"/>
    <col min="4869" max="4870" width="9.77734375" style="1254" customWidth="1"/>
    <col min="4871" max="4876" width="9" style="1254"/>
    <col min="4877" max="4877" width="0" style="1254" hidden="1" customWidth="1"/>
    <col min="4878" max="5120" width="9" style="1254"/>
    <col min="5121" max="5121" width="9.6640625" style="1254" customWidth="1"/>
    <col min="5122" max="5123" width="9" style="1254"/>
    <col min="5124" max="5124" width="10.44140625" style="1254" customWidth="1"/>
    <col min="5125" max="5126" width="9.77734375" style="1254" customWidth="1"/>
    <col min="5127" max="5132" width="9" style="1254"/>
    <col min="5133" max="5133" width="0" style="1254" hidden="1" customWidth="1"/>
    <col min="5134" max="5376" width="9" style="1254"/>
    <col min="5377" max="5377" width="9.6640625" style="1254" customWidth="1"/>
    <col min="5378" max="5379" width="9" style="1254"/>
    <col min="5380" max="5380" width="10.44140625" style="1254" customWidth="1"/>
    <col min="5381" max="5382" width="9.77734375" style="1254" customWidth="1"/>
    <col min="5383" max="5388" width="9" style="1254"/>
    <col min="5389" max="5389" width="0" style="1254" hidden="1" customWidth="1"/>
    <col min="5390" max="5632" width="9" style="1254"/>
    <col min="5633" max="5633" width="9.6640625" style="1254" customWidth="1"/>
    <col min="5634" max="5635" width="9" style="1254"/>
    <col min="5636" max="5636" width="10.44140625" style="1254" customWidth="1"/>
    <col min="5637" max="5638" width="9.77734375" style="1254" customWidth="1"/>
    <col min="5639" max="5644" width="9" style="1254"/>
    <col min="5645" max="5645" width="0" style="1254" hidden="1" customWidth="1"/>
    <col min="5646" max="5888" width="9" style="1254"/>
    <col min="5889" max="5889" width="9.6640625" style="1254" customWidth="1"/>
    <col min="5890" max="5891" width="9" style="1254"/>
    <col min="5892" max="5892" width="10.44140625" style="1254" customWidth="1"/>
    <col min="5893" max="5894" width="9.77734375" style="1254" customWidth="1"/>
    <col min="5895" max="5900" width="9" style="1254"/>
    <col min="5901" max="5901" width="0" style="1254" hidden="1" customWidth="1"/>
    <col min="5902" max="6144" width="9" style="1254"/>
    <col min="6145" max="6145" width="9.6640625" style="1254" customWidth="1"/>
    <col min="6146" max="6147" width="9" style="1254"/>
    <col min="6148" max="6148" width="10.44140625" style="1254" customWidth="1"/>
    <col min="6149" max="6150" width="9.77734375" style="1254" customWidth="1"/>
    <col min="6151" max="6156" width="9" style="1254"/>
    <col min="6157" max="6157" width="0" style="1254" hidden="1" customWidth="1"/>
    <col min="6158" max="6400" width="9" style="1254"/>
    <col min="6401" max="6401" width="9.6640625" style="1254" customWidth="1"/>
    <col min="6402" max="6403" width="9" style="1254"/>
    <col min="6404" max="6404" width="10.44140625" style="1254" customWidth="1"/>
    <col min="6405" max="6406" width="9.77734375" style="1254" customWidth="1"/>
    <col min="6407" max="6412" width="9" style="1254"/>
    <col min="6413" max="6413" width="0" style="1254" hidden="1" customWidth="1"/>
    <col min="6414" max="6656" width="9" style="1254"/>
    <col min="6657" max="6657" width="9.6640625" style="1254" customWidth="1"/>
    <col min="6658" max="6659" width="9" style="1254"/>
    <col min="6660" max="6660" width="10.44140625" style="1254" customWidth="1"/>
    <col min="6661" max="6662" width="9.77734375" style="1254" customWidth="1"/>
    <col min="6663" max="6668" width="9" style="1254"/>
    <col min="6669" max="6669" width="0" style="1254" hidden="1" customWidth="1"/>
    <col min="6670" max="6912" width="9" style="1254"/>
    <col min="6913" max="6913" width="9.6640625" style="1254" customWidth="1"/>
    <col min="6914" max="6915" width="9" style="1254"/>
    <col min="6916" max="6916" width="10.44140625" style="1254" customWidth="1"/>
    <col min="6917" max="6918" width="9.77734375" style="1254" customWidth="1"/>
    <col min="6919" max="6924" width="9" style="1254"/>
    <col min="6925" max="6925" width="0" style="1254" hidden="1" customWidth="1"/>
    <col min="6926" max="7168" width="9" style="1254"/>
    <col min="7169" max="7169" width="9.6640625" style="1254" customWidth="1"/>
    <col min="7170" max="7171" width="9" style="1254"/>
    <col min="7172" max="7172" width="10.44140625" style="1254" customWidth="1"/>
    <col min="7173" max="7174" width="9.77734375" style="1254" customWidth="1"/>
    <col min="7175" max="7180" width="9" style="1254"/>
    <col min="7181" max="7181" width="0" style="1254" hidden="1" customWidth="1"/>
    <col min="7182" max="7424" width="9" style="1254"/>
    <col min="7425" max="7425" width="9.6640625" style="1254" customWidth="1"/>
    <col min="7426" max="7427" width="9" style="1254"/>
    <col min="7428" max="7428" width="10.44140625" style="1254" customWidth="1"/>
    <col min="7429" max="7430" width="9.77734375" style="1254" customWidth="1"/>
    <col min="7431" max="7436" width="9" style="1254"/>
    <col min="7437" max="7437" width="0" style="1254" hidden="1" customWidth="1"/>
    <col min="7438" max="7680" width="9" style="1254"/>
    <col min="7681" max="7681" width="9.6640625" style="1254" customWidth="1"/>
    <col min="7682" max="7683" width="9" style="1254"/>
    <col min="7684" max="7684" width="10.44140625" style="1254" customWidth="1"/>
    <col min="7685" max="7686" width="9.77734375" style="1254" customWidth="1"/>
    <col min="7687" max="7692" width="9" style="1254"/>
    <col min="7693" max="7693" width="0" style="1254" hidden="1" customWidth="1"/>
    <col min="7694" max="7936" width="9" style="1254"/>
    <col min="7937" max="7937" width="9.6640625" style="1254" customWidth="1"/>
    <col min="7938" max="7939" width="9" style="1254"/>
    <col min="7940" max="7940" width="10.44140625" style="1254" customWidth="1"/>
    <col min="7941" max="7942" width="9.77734375" style="1254" customWidth="1"/>
    <col min="7943" max="7948" width="9" style="1254"/>
    <col min="7949" max="7949" width="0" style="1254" hidden="1" customWidth="1"/>
    <col min="7950" max="8192" width="9" style="1254"/>
    <col min="8193" max="8193" width="9.6640625" style="1254" customWidth="1"/>
    <col min="8194" max="8195" width="9" style="1254"/>
    <col min="8196" max="8196" width="10.44140625" style="1254" customWidth="1"/>
    <col min="8197" max="8198" width="9.77734375" style="1254" customWidth="1"/>
    <col min="8199" max="8204" width="9" style="1254"/>
    <col min="8205" max="8205" width="0" style="1254" hidden="1" customWidth="1"/>
    <col min="8206" max="8448" width="9" style="1254"/>
    <col min="8449" max="8449" width="9.6640625" style="1254" customWidth="1"/>
    <col min="8450" max="8451" width="9" style="1254"/>
    <col min="8452" max="8452" width="10.44140625" style="1254" customWidth="1"/>
    <col min="8453" max="8454" width="9.77734375" style="1254" customWidth="1"/>
    <col min="8455" max="8460" width="9" style="1254"/>
    <col min="8461" max="8461" width="0" style="1254" hidden="1" customWidth="1"/>
    <col min="8462" max="8704" width="9" style="1254"/>
    <col min="8705" max="8705" width="9.6640625" style="1254" customWidth="1"/>
    <col min="8706" max="8707" width="9" style="1254"/>
    <col min="8708" max="8708" width="10.44140625" style="1254" customWidth="1"/>
    <col min="8709" max="8710" width="9.77734375" style="1254" customWidth="1"/>
    <col min="8711" max="8716" width="9" style="1254"/>
    <col min="8717" max="8717" width="0" style="1254" hidden="1" customWidth="1"/>
    <col min="8718" max="8960" width="9" style="1254"/>
    <col min="8961" max="8961" width="9.6640625" style="1254" customWidth="1"/>
    <col min="8962" max="8963" width="9" style="1254"/>
    <col min="8964" max="8964" width="10.44140625" style="1254" customWidth="1"/>
    <col min="8965" max="8966" width="9.77734375" style="1254" customWidth="1"/>
    <col min="8967" max="8972" width="9" style="1254"/>
    <col min="8973" max="8973" width="0" style="1254" hidden="1" customWidth="1"/>
    <col min="8974" max="9216" width="9" style="1254"/>
    <col min="9217" max="9217" width="9.6640625" style="1254" customWidth="1"/>
    <col min="9218" max="9219" width="9" style="1254"/>
    <col min="9220" max="9220" width="10.44140625" style="1254" customWidth="1"/>
    <col min="9221" max="9222" width="9.77734375" style="1254" customWidth="1"/>
    <col min="9223" max="9228" width="9" style="1254"/>
    <col min="9229" max="9229" width="0" style="1254" hidden="1" customWidth="1"/>
    <col min="9230" max="9472" width="9" style="1254"/>
    <col min="9473" max="9473" width="9.6640625" style="1254" customWidth="1"/>
    <col min="9474" max="9475" width="9" style="1254"/>
    <col min="9476" max="9476" width="10.44140625" style="1254" customWidth="1"/>
    <col min="9477" max="9478" width="9.77734375" style="1254" customWidth="1"/>
    <col min="9479" max="9484" width="9" style="1254"/>
    <col min="9485" max="9485" width="0" style="1254" hidden="1" customWidth="1"/>
    <col min="9486" max="9728" width="9" style="1254"/>
    <col min="9729" max="9729" width="9.6640625" style="1254" customWidth="1"/>
    <col min="9730" max="9731" width="9" style="1254"/>
    <col min="9732" max="9732" width="10.44140625" style="1254" customWidth="1"/>
    <col min="9733" max="9734" width="9.77734375" style="1254" customWidth="1"/>
    <col min="9735" max="9740" width="9" style="1254"/>
    <col min="9741" max="9741" width="0" style="1254" hidden="1" customWidth="1"/>
    <col min="9742" max="9984" width="9" style="1254"/>
    <col min="9985" max="9985" width="9.6640625" style="1254" customWidth="1"/>
    <col min="9986" max="9987" width="9" style="1254"/>
    <col min="9988" max="9988" width="10.44140625" style="1254" customWidth="1"/>
    <col min="9989" max="9990" width="9.77734375" style="1254" customWidth="1"/>
    <col min="9991" max="9996" width="9" style="1254"/>
    <col min="9997" max="9997" width="0" style="1254" hidden="1" customWidth="1"/>
    <col min="9998" max="10240" width="9" style="1254"/>
    <col min="10241" max="10241" width="9.6640625" style="1254" customWidth="1"/>
    <col min="10242" max="10243" width="9" style="1254"/>
    <col min="10244" max="10244" width="10.44140625" style="1254" customWidth="1"/>
    <col min="10245" max="10246" width="9.77734375" style="1254" customWidth="1"/>
    <col min="10247" max="10252" width="9" style="1254"/>
    <col min="10253" max="10253" width="0" style="1254" hidden="1" customWidth="1"/>
    <col min="10254" max="10496" width="9" style="1254"/>
    <col min="10497" max="10497" width="9.6640625" style="1254" customWidth="1"/>
    <col min="10498" max="10499" width="9" style="1254"/>
    <col min="10500" max="10500" width="10.44140625" style="1254" customWidth="1"/>
    <col min="10501" max="10502" width="9.77734375" style="1254" customWidth="1"/>
    <col min="10503" max="10508" width="9" style="1254"/>
    <col min="10509" max="10509" width="0" style="1254" hidden="1" customWidth="1"/>
    <col min="10510" max="10752" width="9" style="1254"/>
    <col min="10753" max="10753" width="9.6640625" style="1254" customWidth="1"/>
    <col min="10754" max="10755" width="9" style="1254"/>
    <col min="10756" max="10756" width="10.44140625" style="1254" customWidth="1"/>
    <col min="10757" max="10758" width="9.77734375" style="1254" customWidth="1"/>
    <col min="10759" max="10764" width="9" style="1254"/>
    <col min="10765" max="10765" width="0" style="1254" hidden="1" customWidth="1"/>
    <col min="10766" max="11008" width="9" style="1254"/>
    <col min="11009" max="11009" width="9.6640625" style="1254" customWidth="1"/>
    <col min="11010" max="11011" width="9" style="1254"/>
    <col min="11012" max="11012" width="10.44140625" style="1254" customWidth="1"/>
    <col min="11013" max="11014" width="9.77734375" style="1254" customWidth="1"/>
    <col min="11015" max="11020" width="9" style="1254"/>
    <col min="11021" max="11021" width="0" style="1254" hidden="1" customWidth="1"/>
    <col min="11022" max="11264" width="9" style="1254"/>
    <col min="11265" max="11265" width="9.6640625" style="1254" customWidth="1"/>
    <col min="11266" max="11267" width="9" style="1254"/>
    <col min="11268" max="11268" width="10.44140625" style="1254" customWidth="1"/>
    <col min="11269" max="11270" width="9.77734375" style="1254" customWidth="1"/>
    <col min="11271" max="11276" width="9" style="1254"/>
    <col min="11277" max="11277" width="0" style="1254" hidden="1" customWidth="1"/>
    <col min="11278" max="11520" width="9" style="1254"/>
    <col min="11521" max="11521" width="9.6640625" style="1254" customWidth="1"/>
    <col min="11522" max="11523" width="9" style="1254"/>
    <col min="11524" max="11524" width="10.44140625" style="1254" customWidth="1"/>
    <col min="11525" max="11526" width="9.77734375" style="1254" customWidth="1"/>
    <col min="11527" max="11532" width="9" style="1254"/>
    <col min="11533" max="11533" width="0" style="1254" hidden="1" customWidth="1"/>
    <col min="11534" max="11776" width="9" style="1254"/>
    <col min="11777" max="11777" width="9.6640625" style="1254" customWidth="1"/>
    <col min="11778" max="11779" width="9" style="1254"/>
    <col min="11780" max="11780" width="10.44140625" style="1254" customWidth="1"/>
    <col min="11781" max="11782" width="9.77734375" style="1254" customWidth="1"/>
    <col min="11783" max="11788" width="9" style="1254"/>
    <col min="11789" max="11789" width="0" style="1254" hidden="1" customWidth="1"/>
    <col min="11790" max="12032" width="9" style="1254"/>
    <col min="12033" max="12033" width="9.6640625" style="1254" customWidth="1"/>
    <col min="12034" max="12035" width="9" style="1254"/>
    <col min="12036" max="12036" width="10.44140625" style="1254" customWidth="1"/>
    <col min="12037" max="12038" width="9.77734375" style="1254" customWidth="1"/>
    <col min="12039" max="12044" width="9" style="1254"/>
    <col min="12045" max="12045" width="0" style="1254" hidden="1" customWidth="1"/>
    <col min="12046" max="12288" width="9" style="1254"/>
    <col min="12289" max="12289" width="9.6640625" style="1254" customWidth="1"/>
    <col min="12290" max="12291" width="9" style="1254"/>
    <col min="12292" max="12292" width="10.44140625" style="1254" customWidth="1"/>
    <col min="12293" max="12294" width="9.77734375" style="1254" customWidth="1"/>
    <col min="12295" max="12300" width="9" style="1254"/>
    <col min="12301" max="12301" width="0" style="1254" hidden="1" customWidth="1"/>
    <col min="12302" max="12544" width="9" style="1254"/>
    <col min="12545" max="12545" width="9.6640625" style="1254" customWidth="1"/>
    <col min="12546" max="12547" width="9" style="1254"/>
    <col min="12548" max="12548" width="10.44140625" style="1254" customWidth="1"/>
    <col min="12549" max="12550" width="9.77734375" style="1254" customWidth="1"/>
    <col min="12551" max="12556" width="9" style="1254"/>
    <col min="12557" max="12557" width="0" style="1254" hidden="1" customWidth="1"/>
    <col min="12558" max="12800" width="9" style="1254"/>
    <col min="12801" max="12801" width="9.6640625" style="1254" customWidth="1"/>
    <col min="12802" max="12803" width="9" style="1254"/>
    <col min="12804" max="12804" width="10.44140625" style="1254" customWidth="1"/>
    <col min="12805" max="12806" width="9.77734375" style="1254" customWidth="1"/>
    <col min="12807" max="12812" width="9" style="1254"/>
    <col min="12813" max="12813" width="0" style="1254" hidden="1" customWidth="1"/>
    <col min="12814" max="13056" width="9" style="1254"/>
    <col min="13057" max="13057" width="9.6640625" style="1254" customWidth="1"/>
    <col min="13058" max="13059" width="9" style="1254"/>
    <col min="13060" max="13060" width="10.44140625" style="1254" customWidth="1"/>
    <col min="13061" max="13062" width="9.77734375" style="1254" customWidth="1"/>
    <col min="13063" max="13068" width="9" style="1254"/>
    <col min="13069" max="13069" width="0" style="1254" hidden="1" customWidth="1"/>
    <col min="13070" max="13312" width="9" style="1254"/>
    <col min="13313" max="13313" width="9.6640625" style="1254" customWidth="1"/>
    <col min="13314" max="13315" width="9" style="1254"/>
    <col min="13316" max="13316" width="10.44140625" style="1254" customWidth="1"/>
    <col min="13317" max="13318" width="9.77734375" style="1254" customWidth="1"/>
    <col min="13319" max="13324" width="9" style="1254"/>
    <col min="13325" max="13325" width="0" style="1254" hidden="1" customWidth="1"/>
    <col min="13326" max="13568" width="9" style="1254"/>
    <col min="13569" max="13569" width="9.6640625" style="1254" customWidth="1"/>
    <col min="13570" max="13571" width="9" style="1254"/>
    <col min="13572" max="13572" width="10.44140625" style="1254" customWidth="1"/>
    <col min="13573" max="13574" width="9.77734375" style="1254" customWidth="1"/>
    <col min="13575" max="13580" width="9" style="1254"/>
    <col min="13581" max="13581" width="0" style="1254" hidden="1" customWidth="1"/>
    <col min="13582" max="13824" width="9" style="1254"/>
    <col min="13825" max="13825" width="9.6640625" style="1254" customWidth="1"/>
    <col min="13826" max="13827" width="9" style="1254"/>
    <col min="13828" max="13828" width="10.44140625" style="1254" customWidth="1"/>
    <col min="13829" max="13830" width="9.77734375" style="1254" customWidth="1"/>
    <col min="13831" max="13836" width="9" style="1254"/>
    <col min="13837" max="13837" width="0" style="1254" hidden="1" customWidth="1"/>
    <col min="13838" max="14080" width="9" style="1254"/>
    <col min="14081" max="14081" width="9.6640625" style="1254" customWidth="1"/>
    <col min="14082" max="14083" width="9" style="1254"/>
    <col min="14084" max="14084" width="10.44140625" style="1254" customWidth="1"/>
    <col min="14085" max="14086" width="9.77734375" style="1254" customWidth="1"/>
    <col min="14087" max="14092" width="9" style="1254"/>
    <col min="14093" max="14093" width="0" style="1254" hidden="1" customWidth="1"/>
    <col min="14094" max="14336" width="9" style="1254"/>
    <col min="14337" max="14337" width="9.6640625" style="1254" customWidth="1"/>
    <col min="14338" max="14339" width="9" style="1254"/>
    <col min="14340" max="14340" width="10.44140625" style="1254" customWidth="1"/>
    <col min="14341" max="14342" width="9.77734375" style="1254" customWidth="1"/>
    <col min="14343" max="14348" width="9" style="1254"/>
    <col min="14349" max="14349" width="0" style="1254" hidden="1" customWidth="1"/>
    <col min="14350" max="14592" width="9" style="1254"/>
    <col min="14593" max="14593" width="9.6640625" style="1254" customWidth="1"/>
    <col min="14594" max="14595" width="9" style="1254"/>
    <col min="14596" max="14596" width="10.44140625" style="1254" customWidth="1"/>
    <col min="14597" max="14598" width="9.77734375" style="1254" customWidth="1"/>
    <col min="14599" max="14604" width="9" style="1254"/>
    <col min="14605" max="14605" width="0" style="1254" hidden="1" customWidth="1"/>
    <col min="14606" max="14848" width="9" style="1254"/>
    <col min="14849" max="14849" width="9.6640625" style="1254" customWidth="1"/>
    <col min="14850" max="14851" width="9" style="1254"/>
    <col min="14852" max="14852" width="10.44140625" style="1254" customWidth="1"/>
    <col min="14853" max="14854" width="9.77734375" style="1254" customWidth="1"/>
    <col min="14855" max="14860" width="9" style="1254"/>
    <col min="14861" max="14861" width="0" style="1254" hidden="1" customWidth="1"/>
    <col min="14862" max="15104" width="9" style="1254"/>
    <col min="15105" max="15105" width="9.6640625" style="1254" customWidth="1"/>
    <col min="15106" max="15107" width="9" style="1254"/>
    <col min="15108" max="15108" width="10.44140625" style="1254" customWidth="1"/>
    <col min="15109" max="15110" width="9.77734375" style="1254" customWidth="1"/>
    <col min="15111" max="15116" width="9" style="1254"/>
    <col min="15117" max="15117" width="0" style="1254" hidden="1" customWidth="1"/>
    <col min="15118" max="15360" width="9" style="1254"/>
    <col min="15361" max="15361" width="9.6640625" style="1254" customWidth="1"/>
    <col min="15362" max="15363" width="9" style="1254"/>
    <col min="15364" max="15364" width="10.44140625" style="1254" customWidth="1"/>
    <col min="15365" max="15366" width="9.77734375" style="1254" customWidth="1"/>
    <col min="15367" max="15372" width="9" style="1254"/>
    <col min="15373" max="15373" width="0" style="1254" hidden="1" customWidth="1"/>
    <col min="15374" max="15616" width="9" style="1254"/>
    <col min="15617" max="15617" width="9.6640625" style="1254" customWidth="1"/>
    <col min="15618" max="15619" width="9" style="1254"/>
    <col min="15620" max="15620" width="10.44140625" style="1254" customWidth="1"/>
    <col min="15621" max="15622" width="9.77734375" style="1254" customWidth="1"/>
    <col min="15623" max="15628" width="9" style="1254"/>
    <col min="15629" max="15629" width="0" style="1254" hidden="1" customWidth="1"/>
    <col min="15630" max="15872" width="9" style="1254"/>
    <col min="15873" max="15873" width="9.6640625" style="1254" customWidth="1"/>
    <col min="15874" max="15875" width="9" style="1254"/>
    <col min="15876" max="15876" width="10.44140625" style="1254" customWidth="1"/>
    <col min="15877" max="15878" width="9.77734375" style="1254" customWidth="1"/>
    <col min="15879" max="15884" width="9" style="1254"/>
    <col min="15885" max="15885" width="0" style="1254" hidden="1" customWidth="1"/>
    <col min="15886" max="16128" width="9" style="1254"/>
    <col min="16129" max="16129" width="9.6640625" style="1254" customWidth="1"/>
    <col min="16130" max="16131" width="9" style="1254"/>
    <col min="16132" max="16132" width="10.44140625" style="1254" customWidth="1"/>
    <col min="16133" max="16134" width="9.77734375" style="1254" customWidth="1"/>
    <col min="16135" max="16140" width="9" style="1254"/>
    <col min="16141" max="16141" width="0" style="1254" hidden="1" customWidth="1"/>
    <col min="16142" max="16384" width="9" style="1254"/>
  </cols>
  <sheetData>
    <row r="1" spans="1:13" s="1247" customFormat="1" ht="60.75" thickBot="1" x14ac:dyDescent="0.3">
      <c r="A1" s="1241" t="s">
        <v>306</v>
      </c>
      <c r="B1" s="1242" t="s">
        <v>307</v>
      </c>
      <c r="C1" s="1242" t="s">
        <v>308</v>
      </c>
      <c r="D1" s="1243" t="s">
        <v>309</v>
      </c>
      <c r="E1" s="1244" t="s">
        <v>310</v>
      </c>
      <c r="F1" s="1245" t="s">
        <v>311</v>
      </c>
      <c r="G1" s="1244" t="s">
        <v>318</v>
      </c>
      <c r="H1" s="1245" t="s">
        <v>319</v>
      </c>
      <c r="I1" s="1245" t="s">
        <v>312</v>
      </c>
      <c r="J1" s="1245" t="s">
        <v>313</v>
      </c>
      <c r="K1" s="1244" t="s">
        <v>314</v>
      </c>
      <c r="L1" s="1244" t="s">
        <v>315</v>
      </c>
      <c r="M1" s="1246" t="s">
        <v>316</v>
      </c>
    </row>
    <row r="2" spans="1:13" x14ac:dyDescent="0.25">
      <c r="A2" s="1248" t="s">
        <v>317</v>
      </c>
      <c r="B2" s="1249">
        <v>1</v>
      </c>
      <c r="C2" s="1249">
        <v>2</v>
      </c>
      <c r="D2" s="1250">
        <v>2021</v>
      </c>
      <c r="E2" s="1251">
        <f>'Daily HLP'!I4</f>
        <v>19291</v>
      </c>
      <c r="F2" s="1252">
        <f>'Daily HLP'!J4</f>
        <v>9</v>
      </c>
      <c r="G2" s="1252">
        <f>'Daily HLP'!M4</f>
        <v>797.95000000018626</v>
      </c>
      <c r="H2" s="1252">
        <v>44</v>
      </c>
      <c r="I2" s="1252">
        <f>'Daily HLP'!P4</f>
        <v>171</v>
      </c>
      <c r="J2" s="1252">
        <v>100</v>
      </c>
      <c r="K2" s="1328">
        <f>Occupancy!G2</f>
        <v>91</v>
      </c>
      <c r="L2" s="1251">
        <v>327</v>
      </c>
      <c r="M2" s="1253" t="e">
        <f>E2*F2+G2*H2+#REF!*#REF!+I2*J2</f>
        <v>#REF!</v>
      </c>
    </row>
    <row r="3" spans="1:13" x14ac:dyDescent="0.25">
      <c r="A3" s="1248" t="s">
        <v>317</v>
      </c>
      <c r="B3" s="1249">
        <f>B2+1</f>
        <v>2</v>
      </c>
      <c r="C3" s="1249">
        <v>2</v>
      </c>
      <c r="D3" s="1250">
        <v>2021</v>
      </c>
      <c r="E3" s="1251">
        <f>'Daily HLP'!I5</f>
        <v>19381</v>
      </c>
      <c r="F3" s="1252">
        <f>F2</f>
        <v>9</v>
      </c>
      <c r="G3" s="1252">
        <f>'Daily HLP'!M5</f>
        <v>860.89999999990687</v>
      </c>
      <c r="H3" s="1252">
        <v>44</v>
      </c>
      <c r="I3" s="1252">
        <f>'Daily HLP'!P5</f>
        <v>171</v>
      </c>
      <c r="J3" s="1252">
        <v>100</v>
      </c>
      <c r="K3" s="1328">
        <f>Occupancy!G3</f>
        <v>120</v>
      </c>
      <c r="L3" s="1251">
        <v>310</v>
      </c>
      <c r="M3" s="1253" t="e">
        <f>E3*F3+G3*H3+#REF!*#REF!+I3*J3</f>
        <v>#REF!</v>
      </c>
    </row>
    <row r="4" spans="1:13" x14ac:dyDescent="0.25">
      <c r="A4" s="1248" t="s">
        <v>317</v>
      </c>
      <c r="B4" s="1249">
        <f t="shared" ref="B4:B31" si="0">B3+1</f>
        <v>3</v>
      </c>
      <c r="C4" s="1249">
        <v>2</v>
      </c>
      <c r="D4" s="1250">
        <v>2021</v>
      </c>
      <c r="E4" s="1251">
        <f>'Daily HLP'!I6</f>
        <v>19375</v>
      </c>
      <c r="F4" s="1252">
        <f t="shared" ref="F4:F31" si="1">F3</f>
        <v>9</v>
      </c>
      <c r="G4" s="1252">
        <f>'Daily HLP'!M6</f>
        <v>873</v>
      </c>
      <c r="H4" s="1252">
        <v>44</v>
      </c>
      <c r="I4" s="1252">
        <f>'Daily HLP'!P6</f>
        <v>161</v>
      </c>
      <c r="J4" s="1252">
        <v>100</v>
      </c>
      <c r="K4" s="1328">
        <f>Occupancy!G4</f>
        <v>112</v>
      </c>
      <c r="L4" s="1251">
        <v>386</v>
      </c>
      <c r="M4" s="1253" t="e">
        <f>E4*F4+G4*H4+#REF!*#REF!+I4*J4</f>
        <v>#REF!</v>
      </c>
    </row>
    <row r="5" spans="1:13" x14ac:dyDescent="0.25">
      <c r="A5" s="1248" t="s">
        <v>317</v>
      </c>
      <c r="B5" s="1249">
        <f t="shared" si="0"/>
        <v>4</v>
      </c>
      <c r="C5" s="1249">
        <v>2</v>
      </c>
      <c r="D5" s="1250">
        <v>2021</v>
      </c>
      <c r="E5" s="1251">
        <f>'Daily HLP'!I7</f>
        <v>18251</v>
      </c>
      <c r="F5" s="1252">
        <f t="shared" si="1"/>
        <v>9</v>
      </c>
      <c r="G5" s="1252">
        <f>'Daily HLP'!M7</f>
        <v>796</v>
      </c>
      <c r="H5" s="1252">
        <v>44</v>
      </c>
      <c r="I5" s="1252">
        <f>'Daily HLP'!P7</f>
        <v>150</v>
      </c>
      <c r="J5" s="1252">
        <v>100</v>
      </c>
      <c r="K5" s="1328">
        <f>Occupancy!G5</f>
        <v>112</v>
      </c>
      <c r="L5" s="1251">
        <v>558</v>
      </c>
      <c r="M5" s="1253" t="e">
        <f>E5*F5+G5*H5+#REF!*#REF!+I5*J5</f>
        <v>#REF!</v>
      </c>
    </row>
    <row r="6" spans="1:13" x14ac:dyDescent="0.25">
      <c r="A6" s="1248" t="s">
        <v>317</v>
      </c>
      <c r="B6" s="1249">
        <f t="shared" si="0"/>
        <v>5</v>
      </c>
      <c r="C6" s="1249">
        <v>2</v>
      </c>
      <c r="D6" s="1250">
        <v>2021</v>
      </c>
      <c r="E6" s="1251">
        <f>'Daily HLP'!I8</f>
        <v>18524</v>
      </c>
      <c r="F6" s="1252">
        <f t="shared" si="1"/>
        <v>9</v>
      </c>
      <c r="G6" s="1252">
        <f>'Daily HLP'!M8</f>
        <v>778</v>
      </c>
      <c r="H6" s="1252">
        <v>44</v>
      </c>
      <c r="I6" s="1252">
        <f>'Daily HLP'!P8</f>
        <v>181</v>
      </c>
      <c r="J6" s="1252">
        <v>100</v>
      </c>
      <c r="K6" s="1328">
        <f>Occupancy!G6</f>
        <v>105</v>
      </c>
      <c r="L6" s="1251">
        <v>416</v>
      </c>
      <c r="M6" s="1253" t="e">
        <f>E6*F6+G6*H6+#REF!*#REF!+I6*J6</f>
        <v>#REF!</v>
      </c>
    </row>
    <row r="7" spans="1:13" x14ac:dyDescent="0.25">
      <c r="A7" s="1248" t="s">
        <v>317</v>
      </c>
      <c r="B7" s="1249">
        <f t="shared" si="0"/>
        <v>6</v>
      </c>
      <c r="C7" s="1249">
        <v>2</v>
      </c>
      <c r="D7" s="1250">
        <v>2021</v>
      </c>
      <c r="E7" s="1251">
        <f>'Daily HLP'!I9</f>
        <v>19190</v>
      </c>
      <c r="F7" s="1252">
        <f t="shared" si="1"/>
        <v>9</v>
      </c>
      <c r="G7" s="1252">
        <f>'Daily HLP'!M9</f>
        <v>814</v>
      </c>
      <c r="H7" s="1252">
        <v>44</v>
      </c>
      <c r="I7" s="1252">
        <f>'Daily HLP'!P9</f>
        <v>271</v>
      </c>
      <c r="J7" s="1252">
        <v>100</v>
      </c>
      <c r="K7" s="1328">
        <f>Occupancy!G7</f>
        <v>150</v>
      </c>
      <c r="L7" s="1251">
        <v>582</v>
      </c>
      <c r="M7" s="1253" t="e">
        <f>E7*F7+G7*H7+#REF!*#REF!+I7*J7</f>
        <v>#REF!</v>
      </c>
    </row>
    <row r="8" spans="1:13" x14ac:dyDescent="0.25">
      <c r="A8" s="1248" t="s">
        <v>317</v>
      </c>
      <c r="B8" s="1249">
        <f t="shared" si="0"/>
        <v>7</v>
      </c>
      <c r="C8" s="1249">
        <v>2</v>
      </c>
      <c r="D8" s="1250">
        <v>2021</v>
      </c>
      <c r="E8" s="1251">
        <f>'Daily HLP'!I10</f>
        <v>18255</v>
      </c>
      <c r="F8" s="1252">
        <f t="shared" si="1"/>
        <v>9</v>
      </c>
      <c r="G8" s="1252">
        <f>'Daily HLP'!M10</f>
        <v>844.44999999995343</v>
      </c>
      <c r="H8" s="1252">
        <v>44</v>
      </c>
      <c r="I8" s="1252">
        <f>'Daily HLP'!P10</f>
        <v>212</v>
      </c>
      <c r="J8" s="1252">
        <v>100</v>
      </c>
      <c r="K8" s="1328">
        <f>Occupancy!G8</f>
        <v>107</v>
      </c>
      <c r="L8" s="1251">
        <v>437</v>
      </c>
      <c r="M8" s="1253" t="e">
        <f>E8*F8+G8*H8+#REF!*#REF!+I8*J8</f>
        <v>#REF!</v>
      </c>
    </row>
    <row r="9" spans="1:13" x14ac:dyDescent="0.25">
      <c r="A9" s="1248" t="s">
        <v>317</v>
      </c>
      <c r="B9" s="1249">
        <f t="shared" si="0"/>
        <v>8</v>
      </c>
      <c r="C9" s="1249">
        <v>2</v>
      </c>
      <c r="D9" s="1250">
        <v>2021</v>
      </c>
      <c r="E9" s="1251">
        <f>'Daily HLP'!I11</f>
        <v>15387</v>
      </c>
      <c r="F9" s="1252">
        <f t="shared" si="1"/>
        <v>9</v>
      </c>
      <c r="G9" s="1252">
        <f>'Daily HLP'!M11</f>
        <v>816.28000000002794</v>
      </c>
      <c r="H9" s="1252">
        <v>44</v>
      </c>
      <c r="I9" s="1252">
        <f>'Daily HLP'!P11</f>
        <v>211</v>
      </c>
      <c r="J9" s="1252">
        <v>100</v>
      </c>
      <c r="K9" s="1328">
        <f>Occupancy!G9</f>
        <v>120</v>
      </c>
      <c r="L9" s="1251">
        <v>355</v>
      </c>
      <c r="M9" s="1253" t="e">
        <f>E9*F9+G9*H9+#REF!*#REF!+I9*J9</f>
        <v>#REF!</v>
      </c>
    </row>
    <row r="10" spans="1:13" x14ac:dyDescent="0.25">
      <c r="A10" s="1248" t="s">
        <v>317</v>
      </c>
      <c r="B10" s="1249">
        <f t="shared" si="0"/>
        <v>9</v>
      </c>
      <c r="C10" s="1249">
        <v>2</v>
      </c>
      <c r="D10" s="1250">
        <v>2021</v>
      </c>
      <c r="E10" s="1251">
        <f>'Daily HLP'!I12</f>
        <v>18397</v>
      </c>
      <c r="F10" s="1252">
        <f t="shared" si="1"/>
        <v>9</v>
      </c>
      <c r="G10" s="1252">
        <f>'Daily HLP'!M12</f>
        <v>637.05000000004657</v>
      </c>
      <c r="H10" s="1252">
        <v>44</v>
      </c>
      <c r="I10" s="1252">
        <f>'Daily HLP'!P12</f>
        <v>192</v>
      </c>
      <c r="J10" s="1252">
        <v>100</v>
      </c>
      <c r="K10" s="1328">
        <f>Occupancy!G10</f>
        <v>125</v>
      </c>
      <c r="L10" s="1251">
        <v>382</v>
      </c>
      <c r="M10" s="1253" t="e">
        <f>E10*F10+G10*H10+#REF!*#REF!+I10*J10</f>
        <v>#REF!</v>
      </c>
    </row>
    <row r="11" spans="1:13" x14ac:dyDescent="0.25">
      <c r="A11" s="1248" t="s">
        <v>317</v>
      </c>
      <c r="B11" s="1249">
        <f t="shared" si="0"/>
        <v>10</v>
      </c>
      <c r="C11" s="1249">
        <v>2</v>
      </c>
      <c r="D11" s="1250">
        <v>2021</v>
      </c>
      <c r="E11" s="1251">
        <f>'Daily HLP'!I13</f>
        <v>18869</v>
      </c>
      <c r="F11" s="1252">
        <f t="shared" si="1"/>
        <v>9</v>
      </c>
      <c r="G11" s="1252">
        <f>'Daily HLP'!M13</f>
        <v>899.0999999998603</v>
      </c>
      <c r="H11" s="1252">
        <v>44</v>
      </c>
      <c r="I11" s="1252">
        <f>'Daily HLP'!P13</f>
        <v>250</v>
      </c>
      <c r="J11" s="1252">
        <v>100</v>
      </c>
      <c r="K11" s="1328">
        <f>Occupancy!G11</f>
        <v>142</v>
      </c>
      <c r="L11" s="1251">
        <v>434</v>
      </c>
      <c r="M11" s="1253" t="e">
        <f>E11*F11+G11*H11+#REF!*#REF!+I11*J11</f>
        <v>#REF!</v>
      </c>
    </row>
    <row r="12" spans="1:13" x14ac:dyDescent="0.25">
      <c r="A12" s="1248" t="s">
        <v>317</v>
      </c>
      <c r="B12" s="1249">
        <f t="shared" si="0"/>
        <v>11</v>
      </c>
      <c r="C12" s="1249">
        <v>2</v>
      </c>
      <c r="D12" s="1250">
        <v>2021</v>
      </c>
      <c r="E12" s="1251">
        <f>'Daily HLP'!I14</f>
        <v>18625</v>
      </c>
      <c r="F12" s="1252">
        <f t="shared" si="1"/>
        <v>9</v>
      </c>
      <c r="G12" s="1252">
        <f>'Daily HLP'!M14</f>
        <v>887.12000000011176</v>
      </c>
      <c r="H12" s="1252">
        <v>44</v>
      </c>
      <c r="I12" s="1252">
        <f>'Daily HLP'!P14</f>
        <v>211</v>
      </c>
      <c r="J12" s="1252">
        <v>100</v>
      </c>
      <c r="K12" s="1328">
        <f>Occupancy!G12</f>
        <v>122</v>
      </c>
      <c r="L12" s="1251">
        <v>309</v>
      </c>
      <c r="M12" s="1253" t="e">
        <f>E12*F12+G12*H12+#REF!*#REF!+I12*J12</f>
        <v>#REF!</v>
      </c>
    </row>
    <row r="13" spans="1:13" x14ac:dyDescent="0.25">
      <c r="A13" s="1248" t="s">
        <v>317</v>
      </c>
      <c r="B13" s="1249">
        <f t="shared" si="0"/>
        <v>12</v>
      </c>
      <c r="C13" s="1249">
        <v>2</v>
      </c>
      <c r="D13" s="1250">
        <v>2021</v>
      </c>
      <c r="E13" s="1251">
        <f>'Daily HLP'!I15</f>
        <v>19448</v>
      </c>
      <c r="F13" s="1252">
        <f t="shared" si="1"/>
        <v>9</v>
      </c>
      <c r="G13" s="1252">
        <f>'Daily HLP'!M15</f>
        <v>914.91800000006333</v>
      </c>
      <c r="H13" s="1252">
        <v>44</v>
      </c>
      <c r="I13" s="1252">
        <f>'Daily HLP'!P15</f>
        <v>211</v>
      </c>
      <c r="J13" s="1252">
        <v>100</v>
      </c>
      <c r="K13" s="1328">
        <f>Occupancy!G13</f>
        <v>131</v>
      </c>
      <c r="L13" s="1251">
        <v>505</v>
      </c>
      <c r="M13" s="1253" t="e">
        <f>E13*F13+G13*H13+#REF!*#REF!+I13*J13</f>
        <v>#REF!</v>
      </c>
    </row>
    <row r="14" spans="1:13" x14ac:dyDescent="0.25">
      <c r="A14" s="1248" t="s">
        <v>317</v>
      </c>
      <c r="B14" s="1249">
        <f t="shared" si="0"/>
        <v>13</v>
      </c>
      <c r="C14" s="1249">
        <v>2</v>
      </c>
      <c r="D14" s="1250">
        <v>2021</v>
      </c>
      <c r="E14" s="1251">
        <f>'Daily HLP'!I16</f>
        <v>20224</v>
      </c>
      <c r="F14" s="1252">
        <f t="shared" si="1"/>
        <v>9</v>
      </c>
      <c r="G14" s="1252">
        <f>'Daily HLP'!M16</f>
        <v>1043.6699999999255</v>
      </c>
      <c r="H14" s="1252">
        <v>44</v>
      </c>
      <c r="I14" s="1252">
        <f>'Daily HLP'!P16</f>
        <v>272</v>
      </c>
      <c r="J14" s="1252">
        <v>100</v>
      </c>
      <c r="K14" s="1328">
        <f>Occupancy!G14</f>
        <v>195</v>
      </c>
      <c r="L14" s="1251">
        <v>581</v>
      </c>
      <c r="M14" s="1253" t="e">
        <f>E14*F14+G14*H14+#REF!*#REF!+I14*J14</f>
        <v>#REF!</v>
      </c>
    </row>
    <row r="15" spans="1:13" x14ac:dyDescent="0.25">
      <c r="A15" s="1248" t="s">
        <v>317</v>
      </c>
      <c r="B15" s="1249">
        <f t="shared" si="0"/>
        <v>14</v>
      </c>
      <c r="C15" s="1249">
        <v>2</v>
      </c>
      <c r="D15" s="1250">
        <v>2021</v>
      </c>
      <c r="E15" s="1251">
        <f>'Daily HLP'!I17</f>
        <v>22577</v>
      </c>
      <c r="F15" s="1252">
        <f t="shared" si="1"/>
        <v>9</v>
      </c>
      <c r="G15" s="1252">
        <f>'Daily HLP'!M17</f>
        <v>1135.4930000000168</v>
      </c>
      <c r="H15" s="1252">
        <v>44</v>
      </c>
      <c r="I15" s="1252">
        <f>'Daily HLP'!P17</f>
        <v>241</v>
      </c>
      <c r="J15" s="1252">
        <v>100</v>
      </c>
      <c r="K15" s="1328">
        <f>Occupancy!G15</f>
        <v>192</v>
      </c>
      <c r="L15" s="1251">
        <v>1020</v>
      </c>
      <c r="M15" s="1253" t="e">
        <f>E15*F15+G15*H15+#REF!*#REF!+I15*J15</f>
        <v>#REF!</v>
      </c>
    </row>
    <row r="16" spans="1:13" x14ac:dyDescent="0.25">
      <c r="A16" s="1248" t="s">
        <v>317</v>
      </c>
      <c r="B16" s="1249">
        <f t="shared" si="0"/>
        <v>15</v>
      </c>
      <c r="C16" s="1249">
        <v>2</v>
      </c>
      <c r="D16" s="1250">
        <v>2021</v>
      </c>
      <c r="E16" s="1251">
        <f>'Daily HLP'!I18</f>
        <v>23207</v>
      </c>
      <c r="F16" s="1252">
        <f t="shared" si="1"/>
        <v>9</v>
      </c>
      <c r="G16" s="1252">
        <f>'Daily HLP'!M18</f>
        <v>1235.2890000001062</v>
      </c>
      <c r="H16" s="1252">
        <v>44</v>
      </c>
      <c r="I16" s="1252">
        <f>'Daily HLP'!P18</f>
        <v>372</v>
      </c>
      <c r="J16" s="1252">
        <v>100</v>
      </c>
      <c r="K16" s="1328">
        <f>Occupancy!G16</f>
        <v>126</v>
      </c>
      <c r="L16" s="1251">
        <v>916</v>
      </c>
      <c r="M16" s="1253" t="e">
        <f>E16*F16+G16*H16+#REF!*#REF!+I16*J16</f>
        <v>#REF!</v>
      </c>
    </row>
    <row r="17" spans="1:13" x14ac:dyDescent="0.25">
      <c r="A17" s="1248" t="s">
        <v>317</v>
      </c>
      <c r="B17" s="1249">
        <f t="shared" si="0"/>
        <v>16</v>
      </c>
      <c r="C17" s="1249">
        <v>2</v>
      </c>
      <c r="D17" s="1250">
        <v>2021</v>
      </c>
      <c r="E17" s="1251">
        <f>'Daily HLP'!I19</f>
        <v>20975</v>
      </c>
      <c r="F17" s="1252">
        <f t="shared" si="1"/>
        <v>9</v>
      </c>
      <c r="G17" s="1252">
        <f>'Daily HLP'!M19</f>
        <v>1012.5699999998324</v>
      </c>
      <c r="H17" s="1252">
        <v>44</v>
      </c>
      <c r="I17" s="1252">
        <f>'Daily HLP'!P19</f>
        <v>250</v>
      </c>
      <c r="J17" s="1252">
        <v>100</v>
      </c>
      <c r="K17" s="1328">
        <f>Occupancy!G17</f>
        <v>120</v>
      </c>
      <c r="L17" s="1251">
        <v>797</v>
      </c>
      <c r="M17" s="1253" t="e">
        <f>E17*F17+G17*H17+#REF!*#REF!+I17*J17</f>
        <v>#REF!</v>
      </c>
    </row>
    <row r="18" spans="1:13" x14ac:dyDescent="0.25">
      <c r="A18" s="1248" t="s">
        <v>317</v>
      </c>
      <c r="B18" s="1249">
        <f t="shared" si="0"/>
        <v>17</v>
      </c>
      <c r="C18" s="1249">
        <v>2</v>
      </c>
      <c r="D18" s="1250">
        <v>2021</v>
      </c>
      <c r="E18" s="1251">
        <f>'Daily HLP'!I20</f>
        <v>19571</v>
      </c>
      <c r="F18" s="1252">
        <f t="shared" si="1"/>
        <v>9</v>
      </c>
      <c r="G18" s="1252">
        <f>'Daily HLP'!M20</f>
        <v>930.51000000000931</v>
      </c>
      <c r="H18" s="1252">
        <v>44</v>
      </c>
      <c r="I18" s="1252">
        <f>'Daily HLP'!P20</f>
        <v>191</v>
      </c>
      <c r="J18" s="1252">
        <v>100</v>
      </c>
      <c r="K18" s="1328">
        <f>Occupancy!G18</f>
        <v>91</v>
      </c>
      <c r="L18" s="1251">
        <v>395</v>
      </c>
      <c r="M18" s="1253" t="e">
        <f>E18*F18+G18*H18+#REF!*#REF!+I18*J18</f>
        <v>#REF!</v>
      </c>
    </row>
    <row r="19" spans="1:13" x14ac:dyDescent="0.25">
      <c r="A19" s="1248" t="s">
        <v>317</v>
      </c>
      <c r="B19" s="1249">
        <f t="shared" si="0"/>
        <v>18</v>
      </c>
      <c r="C19" s="1249">
        <v>2</v>
      </c>
      <c r="D19" s="1250">
        <v>2021</v>
      </c>
      <c r="E19" s="1251">
        <f>'Daily HLP'!I21</f>
        <v>20195</v>
      </c>
      <c r="F19" s="1252">
        <f t="shared" si="1"/>
        <v>9</v>
      </c>
      <c r="G19" s="1252">
        <f>'Daily HLP'!M21</f>
        <v>840.14000000013039</v>
      </c>
      <c r="H19" s="1252">
        <v>44</v>
      </c>
      <c r="I19" s="1252">
        <f>'Daily HLP'!P21</f>
        <v>167</v>
      </c>
      <c r="J19" s="1252">
        <v>100</v>
      </c>
      <c r="K19" s="1328">
        <f>Occupancy!G19</f>
        <v>91</v>
      </c>
      <c r="L19" s="1251">
        <v>404</v>
      </c>
      <c r="M19" s="1253" t="e">
        <f>E19*F19+G19*H19+#REF!*#REF!+I19*J19</f>
        <v>#REF!</v>
      </c>
    </row>
    <row r="20" spans="1:13" x14ac:dyDescent="0.25">
      <c r="A20" s="1248" t="s">
        <v>317</v>
      </c>
      <c r="B20" s="1249">
        <f t="shared" si="0"/>
        <v>19</v>
      </c>
      <c r="C20" s="1249">
        <v>2</v>
      </c>
      <c r="D20" s="1250">
        <v>2021</v>
      </c>
      <c r="E20" s="1251">
        <f>'Daily HLP'!I22</f>
        <v>19578</v>
      </c>
      <c r="F20" s="1252">
        <f t="shared" si="1"/>
        <v>9</v>
      </c>
      <c r="G20" s="1252">
        <f>'Daily HLP'!M22</f>
        <v>881.40999999991618</v>
      </c>
      <c r="H20" s="1252">
        <v>44</v>
      </c>
      <c r="I20" s="1252">
        <f>'Daily HLP'!P22</f>
        <v>190</v>
      </c>
      <c r="J20" s="1252">
        <v>100</v>
      </c>
      <c r="K20" s="1328">
        <f>Occupancy!G20</f>
        <v>163</v>
      </c>
      <c r="L20" s="1251">
        <v>459</v>
      </c>
      <c r="M20" s="1253" t="e">
        <f>E20*F20+G20*H20+#REF!*#REF!+I20*J20</f>
        <v>#REF!</v>
      </c>
    </row>
    <row r="21" spans="1:13" x14ac:dyDescent="0.25">
      <c r="A21" s="1248" t="s">
        <v>317</v>
      </c>
      <c r="B21" s="1249">
        <f t="shared" si="0"/>
        <v>20</v>
      </c>
      <c r="C21" s="1249">
        <v>2</v>
      </c>
      <c r="D21" s="1250">
        <v>2021</v>
      </c>
      <c r="E21" s="1251">
        <f>'Daily HLP'!I23</f>
        <v>19799</v>
      </c>
      <c r="F21" s="1252">
        <f t="shared" si="1"/>
        <v>9</v>
      </c>
      <c r="G21" s="1252">
        <f>'Daily HLP'!M23</f>
        <v>1086</v>
      </c>
      <c r="H21" s="1252">
        <v>44</v>
      </c>
      <c r="I21" s="1252">
        <f>'Daily HLP'!P23</f>
        <v>191</v>
      </c>
      <c r="J21" s="1252">
        <v>100</v>
      </c>
      <c r="K21" s="1328">
        <f>Occupancy!G21</f>
        <v>197</v>
      </c>
      <c r="L21" s="1251">
        <f>Occupancy!F21</f>
        <v>537</v>
      </c>
      <c r="M21" s="1253" t="e">
        <f>E21*F21+G21*H21+#REF!*#REF!+I21*J21</f>
        <v>#REF!</v>
      </c>
    </row>
    <row r="22" spans="1:13" x14ac:dyDescent="0.25">
      <c r="A22" s="1248" t="s">
        <v>317</v>
      </c>
      <c r="B22" s="1249">
        <f t="shared" si="0"/>
        <v>21</v>
      </c>
      <c r="C22" s="1249">
        <v>2</v>
      </c>
      <c r="D22" s="1250">
        <v>2021</v>
      </c>
      <c r="E22" s="1251">
        <f>'Daily HLP'!I24</f>
        <v>20106</v>
      </c>
      <c r="F22" s="1252">
        <f t="shared" si="1"/>
        <v>9</v>
      </c>
      <c r="G22" s="1252">
        <f>'Daily HLP'!M24</f>
        <v>940</v>
      </c>
      <c r="H22" s="1252">
        <v>44</v>
      </c>
      <c r="I22" s="1252">
        <f>'Daily HLP'!P24</f>
        <v>231</v>
      </c>
      <c r="J22" s="1252">
        <v>100</v>
      </c>
      <c r="K22" s="1328">
        <f>Occupancy!G22</f>
        <v>99</v>
      </c>
      <c r="L22" s="1251">
        <f>Occupancy!F22</f>
        <v>561</v>
      </c>
      <c r="M22" s="1253" t="e">
        <f>E22*F22+G22*H22+#REF!*#REF!+I22*J22</f>
        <v>#REF!</v>
      </c>
    </row>
    <row r="23" spans="1:13" x14ac:dyDescent="0.25">
      <c r="A23" s="1248" t="s">
        <v>317</v>
      </c>
      <c r="B23" s="1249">
        <f t="shared" si="0"/>
        <v>22</v>
      </c>
      <c r="C23" s="1249">
        <v>2</v>
      </c>
      <c r="D23" s="1250">
        <v>2021</v>
      </c>
      <c r="E23" s="1251">
        <f>'Daily HLP'!I25</f>
        <v>-580711</v>
      </c>
      <c r="F23" s="1252">
        <f t="shared" si="1"/>
        <v>9</v>
      </c>
      <c r="G23" s="1252">
        <f>'Daily HLP'!M25</f>
        <v>-26134.060000000056</v>
      </c>
      <c r="H23" s="1252">
        <v>44</v>
      </c>
      <c r="I23" s="1252">
        <f>'Daily HLP'!P25</f>
        <v>-1395</v>
      </c>
      <c r="J23" s="1252">
        <v>100</v>
      </c>
      <c r="K23" s="1328">
        <f>Occupancy!G23</f>
        <v>0</v>
      </c>
      <c r="L23" s="1251">
        <f>Occupancy!F23</f>
        <v>0</v>
      </c>
      <c r="M23" s="1253" t="e">
        <f>E23*F23+G23*H23+#REF!*#REF!+I23*J23</f>
        <v>#REF!</v>
      </c>
    </row>
    <row r="24" spans="1:13" x14ac:dyDescent="0.25">
      <c r="A24" s="1248" t="s">
        <v>317</v>
      </c>
      <c r="B24" s="1249">
        <f t="shared" si="0"/>
        <v>23</v>
      </c>
      <c r="C24" s="1249">
        <v>2</v>
      </c>
      <c r="D24" s="1250">
        <v>2021</v>
      </c>
      <c r="E24" s="1251">
        <f>'Daily HLP'!I26</f>
        <v>19709</v>
      </c>
      <c r="F24" s="1252">
        <f t="shared" si="1"/>
        <v>9</v>
      </c>
      <c r="G24" s="1252">
        <f>'Daily HLP'!M26</f>
        <v>934.93999999994412</v>
      </c>
      <c r="H24" s="1252">
        <v>44</v>
      </c>
      <c r="I24" s="1252">
        <f>'Daily HLP'!P26</f>
        <v>203</v>
      </c>
      <c r="J24" s="1252">
        <v>100</v>
      </c>
      <c r="K24" s="1328">
        <f>Occupancy!G24</f>
        <v>0</v>
      </c>
      <c r="L24" s="1251">
        <f>Occupancy!F24</f>
        <v>0</v>
      </c>
      <c r="M24" s="1253" t="e">
        <f>E24*F24+G24*H24+#REF!*#REF!+I24*J24</f>
        <v>#REF!</v>
      </c>
    </row>
    <row r="25" spans="1:13" x14ac:dyDescent="0.25">
      <c r="A25" s="1248" t="s">
        <v>317</v>
      </c>
      <c r="B25" s="1249">
        <f t="shared" si="0"/>
        <v>24</v>
      </c>
      <c r="C25" s="1249">
        <v>2</v>
      </c>
      <c r="D25" s="1250">
        <v>2021</v>
      </c>
      <c r="E25" s="1251">
        <f>'Daily HLP'!I27</f>
        <v>19391</v>
      </c>
      <c r="F25" s="1252">
        <f t="shared" si="1"/>
        <v>9</v>
      </c>
      <c r="G25" s="1252">
        <f>'Daily HLP'!M27</f>
        <v>748.12000000011176</v>
      </c>
      <c r="H25" s="1252">
        <v>44</v>
      </c>
      <c r="I25" s="1252">
        <f>'Daily HLP'!P27</f>
        <v>190</v>
      </c>
      <c r="J25" s="1252">
        <v>100</v>
      </c>
      <c r="K25" s="1328">
        <f>Occupancy!G25</f>
        <v>0</v>
      </c>
      <c r="L25" s="1251">
        <f>Occupancy!F25</f>
        <v>0</v>
      </c>
      <c r="M25" s="1253" t="e">
        <f>E25*F25+G25*H25+#REF!*#REF!+I25*J25</f>
        <v>#REF!</v>
      </c>
    </row>
    <row r="26" spans="1:13" x14ac:dyDescent="0.25">
      <c r="A26" s="1248" t="s">
        <v>317</v>
      </c>
      <c r="B26" s="1249">
        <f>B25+1</f>
        <v>25</v>
      </c>
      <c r="C26" s="1249">
        <v>2</v>
      </c>
      <c r="D26" s="1250">
        <v>2021</v>
      </c>
      <c r="E26" s="1251">
        <f>'Daily HLP'!I28</f>
        <v>19169</v>
      </c>
      <c r="F26" s="1252">
        <f t="shared" si="1"/>
        <v>9</v>
      </c>
      <c r="G26" s="1252">
        <f>'Daily HLP'!M28</f>
        <v>930.86000000010245</v>
      </c>
      <c r="H26" s="1252">
        <v>44</v>
      </c>
      <c r="I26" s="1252">
        <f>'Daily HLP'!P28</f>
        <v>183</v>
      </c>
      <c r="J26" s="1252">
        <v>100</v>
      </c>
      <c r="K26" s="1328">
        <f>Occupancy!G26</f>
        <v>0</v>
      </c>
      <c r="L26" s="1251">
        <f>Occupancy!F26</f>
        <v>0</v>
      </c>
      <c r="M26" s="1253" t="e">
        <f>E26*F26+G26*H26+#REF!*#REF!+I26*J26</f>
        <v>#REF!</v>
      </c>
    </row>
    <row r="27" spans="1:13" x14ac:dyDescent="0.25">
      <c r="A27" s="1248" t="s">
        <v>317</v>
      </c>
      <c r="B27" s="1249">
        <f t="shared" si="0"/>
        <v>26</v>
      </c>
      <c r="C27" s="1249">
        <v>2</v>
      </c>
      <c r="D27" s="1250">
        <v>2021</v>
      </c>
      <c r="E27" s="1251">
        <f>'Daily HLP'!I29</f>
        <v>18998</v>
      </c>
      <c r="F27" s="1252">
        <f t="shared" si="1"/>
        <v>9</v>
      </c>
      <c r="G27" s="1252">
        <f>'Daily HLP'!M29</f>
        <v>855.13999999989755</v>
      </c>
      <c r="H27" s="1252">
        <v>44</v>
      </c>
      <c r="I27" s="1252">
        <f>'Daily HLP'!P29</f>
        <v>189</v>
      </c>
      <c r="J27" s="1252">
        <v>100</v>
      </c>
      <c r="K27" s="1328">
        <f>Occupancy!G27</f>
        <v>0</v>
      </c>
      <c r="L27" s="1251">
        <f>Occupancy!F27</f>
        <v>0</v>
      </c>
      <c r="M27" s="1253" t="e">
        <f>E27*F27+G27*H27+#REF!*#REF!+I27*J27</f>
        <v>#REF!</v>
      </c>
    </row>
    <row r="28" spans="1:13" x14ac:dyDescent="0.25">
      <c r="A28" s="1248" t="s">
        <v>317</v>
      </c>
      <c r="B28" s="1249">
        <f t="shared" si="0"/>
        <v>27</v>
      </c>
      <c r="C28" s="1249">
        <v>2</v>
      </c>
      <c r="D28" s="1250">
        <v>2021</v>
      </c>
      <c r="E28" s="1251">
        <f>'Daily HLP'!I30</f>
        <v>18736</v>
      </c>
      <c r="F28" s="1252">
        <f t="shared" si="1"/>
        <v>9</v>
      </c>
      <c r="G28" s="1252">
        <f>'Daily HLP'!M30</f>
        <v>843.93999999994412</v>
      </c>
      <c r="H28" s="1252">
        <v>44</v>
      </c>
      <c r="I28" s="1252">
        <f>'Daily HLP'!P30</f>
        <v>174</v>
      </c>
      <c r="J28" s="1252">
        <v>100</v>
      </c>
      <c r="K28" s="1328">
        <f>Occupancy!G28</f>
        <v>0</v>
      </c>
      <c r="L28" s="1251">
        <f>Occupancy!F28</f>
        <v>0</v>
      </c>
      <c r="M28" s="1253" t="e">
        <f>E28*F28+G28*H28+#REF!*#REF!+I28*J28</f>
        <v>#REF!</v>
      </c>
    </row>
    <row r="29" spans="1:13" x14ac:dyDescent="0.25">
      <c r="A29" s="1248" t="s">
        <v>317</v>
      </c>
      <c r="B29" s="1249">
        <f t="shared" si="0"/>
        <v>28</v>
      </c>
      <c r="C29" s="1249">
        <v>2</v>
      </c>
      <c r="D29" s="1250">
        <v>2021</v>
      </c>
      <c r="E29" s="1251">
        <f>'Daily HLP'!I31</f>
        <v>19357</v>
      </c>
      <c r="F29" s="1252">
        <f t="shared" si="1"/>
        <v>9</v>
      </c>
      <c r="G29" s="1252">
        <f>'Daily HLP'!M31</f>
        <v>434.06000000005588</v>
      </c>
      <c r="H29" s="1252">
        <v>44</v>
      </c>
      <c r="I29" s="1252">
        <f>'Daily HLP'!P31</f>
        <v>173</v>
      </c>
      <c r="J29" s="1252">
        <v>100</v>
      </c>
      <c r="K29" s="1328">
        <f>Occupancy!G29</f>
        <v>0</v>
      </c>
      <c r="L29" s="1251">
        <f>Occupancy!F29</f>
        <v>0</v>
      </c>
      <c r="M29" s="1253" t="e">
        <f>E29*F29+G29*H29+#REF!*#REF!+I29*J29</f>
        <v>#REF!</v>
      </c>
    </row>
    <row r="30" spans="1:13" x14ac:dyDescent="0.25">
      <c r="A30" s="1248" t="s">
        <v>317</v>
      </c>
      <c r="B30" s="1249">
        <f t="shared" si="0"/>
        <v>29</v>
      </c>
      <c r="C30" s="1249">
        <v>2</v>
      </c>
      <c r="D30" s="1250">
        <v>2021</v>
      </c>
      <c r="E30" s="1251">
        <f>'Daily HLP'!I32</f>
        <v>18748</v>
      </c>
      <c r="F30" s="1252">
        <f t="shared" si="1"/>
        <v>9</v>
      </c>
      <c r="G30" s="1252">
        <f>'Daily HLP'!M32</f>
        <v>826.96999999997206</v>
      </c>
      <c r="H30" s="1252">
        <v>44</v>
      </c>
      <c r="I30" s="1252">
        <f>'Daily HLP'!P32</f>
        <v>151</v>
      </c>
      <c r="J30" s="1252">
        <v>100</v>
      </c>
      <c r="K30" s="1328">
        <f>Occupancy!G30</f>
        <v>0</v>
      </c>
      <c r="L30" s="1251">
        <f>Occupancy!F30</f>
        <v>0</v>
      </c>
      <c r="M30" s="1253" t="e">
        <f>E30*F30+G30*H30+#REF!*#REF!+I30*J30</f>
        <v>#REF!</v>
      </c>
    </row>
    <row r="31" spans="1:13" x14ac:dyDescent="0.25">
      <c r="A31" s="1248" t="s">
        <v>317</v>
      </c>
      <c r="B31" s="1249">
        <f t="shared" si="0"/>
        <v>30</v>
      </c>
      <c r="C31" s="1249">
        <v>2</v>
      </c>
      <c r="D31" s="1250">
        <v>2021</v>
      </c>
      <c r="E31" s="1251">
        <f>'Daily HLP'!I33</f>
        <v>18917</v>
      </c>
      <c r="F31" s="1252">
        <f t="shared" si="1"/>
        <v>9</v>
      </c>
      <c r="G31" s="1252">
        <f>'Daily HLP'!M33</f>
        <v>667.76000000000931</v>
      </c>
      <c r="H31" s="1252">
        <v>44</v>
      </c>
      <c r="I31" s="1252">
        <f>'Daily HLP'!P33</f>
        <v>171</v>
      </c>
      <c r="J31" s="1252">
        <v>100</v>
      </c>
      <c r="K31" s="1328">
        <f>Occupancy!G31</f>
        <v>0</v>
      </c>
      <c r="L31" s="1251">
        <f>Occupancy!F31</f>
        <v>0</v>
      </c>
      <c r="M31" s="1253" t="e">
        <f>E31*F31+G31*H31+#REF!*#REF!+I31*J31</f>
        <v>#REF!</v>
      </c>
    </row>
    <row r="32" spans="1:13" s="1251" customFormat="1" x14ac:dyDescent="0.25">
      <c r="A32" s="1255"/>
      <c r="B32" s="1249"/>
      <c r="C32" s="1249"/>
      <c r="D32" s="1250"/>
      <c r="F32" s="1252"/>
      <c r="G32" s="1252"/>
      <c r="H32" s="1252"/>
      <c r="I32" s="1252"/>
      <c r="J32" s="1252"/>
      <c r="M32" s="1254"/>
    </row>
    <row r="33" spans="1:13" s="1251" customFormat="1" x14ac:dyDescent="0.25">
      <c r="A33" s="1255"/>
      <c r="B33" s="1249"/>
      <c r="C33" s="1249"/>
      <c r="D33" s="1250"/>
      <c r="F33" s="1252"/>
      <c r="G33" s="1252"/>
      <c r="H33" s="1252"/>
      <c r="I33" s="1252"/>
      <c r="J33" s="1252"/>
      <c r="M33" s="1254"/>
    </row>
    <row r="34" spans="1:13" s="1251" customFormat="1" x14ac:dyDescent="0.25">
      <c r="A34" s="1255"/>
      <c r="B34" s="1249"/>
      <c r="C34" s="1249"/>
      <c r="D34" s="1250"/>
      <c r="F34" s="1252"/>
      <c r="G34" s="1252"/>
      <c r="H34" s="1252"/>
      <c r="I34" s="1252"/>
      <c r="J34" s="1252"/>
      <c r="M34" s="1254"/>
    </row>
    <row r="35" spans="1:13" s="1251" customFormat="1" x14ac:dyDescent="0.25">
      <c r="A35" s="1255"/>
      <c r="B35" s="1249"/>
      <c r="C35" s="1249"/>
      <c r="D35" s="1250"/>
      <c r="F35" s="1252"/>
      <c r="G35" s="1252"/>
      <c r="H35" s="1252"/>
      <c r="I35" s="1252"/>
      <c r="J35" s="1252"/>
      <c r="M35" s="1254"/>
    </row>
    <row r="36" spans="1:13" s="1251" customFormat="1" x14ac:dyDescent="0.25">
      <c r="A36" s="1255"/>
      <c r="B36" s="1249"/>
      <c r="C36" s="1249"/>
      <c r="D36" s="1250"/>
      <c r="F36" s="1252"/>
      <c r="G36" s="1252"/>
      <c r="H36" s="1252"/>
      <c r="I36" s="1252"/>
      <c r="J36" s="1252"/>
      <c r="M36" s="1254"/>
    </row>
    <row r="37" spans="1:13" s="1251" customFormat="1" x14ac:dyDescent="0.25">
      <c r="A37" s="1255"/>
      <c r="B37" s="1249"/>
      <c r="C37" s="1249"/>
      <c r="D37" s="1250"/>
      <c r="F37" s="1252"/>
      <c r="G37" s="1252"/>
      <c r="H37" s="1252"/>
      <c r="I37" s="1252"/>
      <c r="J37" s="1252"/>
      <c r="M37" s="1254"/>
    </row>
    <row r="38" spans="1:13" s="1251" customFormat="1" x14ac:dyDescent="0.25">
      <c r="A38" s="1255"/>
      <c r="B38" s="1249"/>
      <c r="C38" s="1249"/>
      <c r="D38" s="1250"/>
      <c r="F38" s="1252"/>
      <c r="G38" s="1252"/>
      <c r="H38" s="1252"/>
      <c r="I38" s="1252"/>
      <c r="J38" s="1252"/>
      <c r="M38" s="125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043-51F9-4523-8334-3BD0813A8A2F}">
  <sheetPr>
    <tabColor rgb="FF0070C0"/>
  </sheetPr>
  <dimension ref="A1:BV3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8" sqref="I8"/>
    </sheetView>
  </sheetViews>
  <sheetFormatPr defaultColWidth="9" defaultRowHeight="15" x14ac:dyDescent="0.25"/>
  <cols>
    <col min="1" max="1" width="20.109375" style="1638" customWidth="1"/>
    <col min="2" max="3" width="9" style="1639" customWidth="1"/>
    <col min="4" max="4" width="10.44140625" style="1639" customWidth="1"/>
    <col min="5" max="29" width="9.77734375" style="1640" customWidth="1"/>
    <col min="30" max="30" width="9" style="1640"/>
    <col min="31" max="31" width="9" style="1639"/>
    <col min="32" max="32" width="9" style="1640"/>
    <col min="33" max="16384" width="9" style="1641"/>
  </cols>
  <sheetData>
    <row r="1" spans="1:74" s="1638" customFormat="1" ht="60" customHeight="1" x14ac:dyDescent="0.25">
      <c r="A1" s="1637" t="s">
        <v>306</v>
      </c>
      <c r="B1" s="1642" t="s">
        <v>307</v>
      </c>
      <c r="C1" s="1642" t="s">
        <v>308</v>
      </c>
      <c r="D1" s="1642" t="s">
        <v>309</v>
      </c>
      <c r="E1" s="1646" t="s">
        <v>175</v>
      </c>
      <c r="F1" s="1646" t="s">
        <v>176</v>
      </c>
      <c r="G1" s="1646" t="s">
        <v>177</v>
      </c>
      <c r="H1" s="1646" t="s">
        <v>178</v>
      </c>
      <c r="I1" s="1646" t="s">
        <v>179</v>
      </c>
      <c r="J1" s="1646" t="s">
        <v>180</v>
      </c>
      <c r="K1" s="1646" t="s">
        <v>360</v>
      </c>
      <c r="L1" s="1646" t="s">
        <v>361</v>
      </c>
      <c r="M1" s="1646" t="s">
        <v>183</v>
      </c>
      <c r="N1" s="1646" t="s">
        <v>184</v>
      </c>
      <c r="O1" s="1646" t="s">
        <v>185</v>
      </c>
      <c r="P1" s="1646" t="s">
        <v>186</v>
      </c>
      <c r="Q1" s="1646" t="s">
        <v>348</v>
      </c>
      <c r="R1" s="1646" t="s">
        <v>349</v>
      </c>
      <c r="S1" s="1646" t="s">
        <v>350</v>
      </c>
      <c r="T1" s="1646" t="s">
        <v>351</v>
      </c>
      <c r="U1" s="1646" t="s">
        <v>352</v>
      </c>
      <c r="V1" s="1646" t="s">
        <v>191</v>
      </c>
      <c r="W1" s="1646" t="s">
        <v>192</v>
      </c>
      <c r="X1" s="1646" t="s">
        <v>193</v>
      </c>
      <c r="Y1" s="1646" t="s">
        <v>183</v>
      </c>
      <c r="Z1" s="1646" t="s">
        <v>195</v>
      </c>
      <c r="AA1" s="1646" t="s">
        <v>106</v>
      </c>
      <c r="AB1" s="1646" t="s">
        <v>353</v>
      </c>
      <c r="AC1" s="1646" t="s">
        <v>107</v>
      </c>
      <c r="AD1" s="1646" t="s">
        <v>108</v>
      </c>
      <c r="AE1" s="1647" t="s">
        <v>354</v>
      </c>
      <c r="AF1" s="1646" t="s">
        <v>110</v>
      </c>
      <c r="AG1" s="1646" t="s">
        <v>111</v>
      </c>
      <c r="AH1" s="1646" t="s">
        <v>112</v>
      </c>
      <c r="AI1" s="1646" t="s">
        <v>355</v>
      </c>
      <c r="AJ1" s="1646" t="s">
        <v>202</v>
      </c>
      <c r="AK1" s="1646" t="s">
        <v>203</v>
      </c>
      <c r="AL1" s="1646" t="s">
        <v>204</v>
      </c>
      <c r="AM1" s="1646" t="s">
        <v>205</v>
      </c>
      <c r="AN1" s="1646" t="s">
        <v>206</v>
      </c>
      <c r="AO1" s="1646" t="s">
        <v>207</v>
      </c>
      <c r="AP1" s="1646" t="s">
        <v>208</v>
      </c>
      <c r="AQ1" s="1646" t="s">
        <v>97</v>
      </c>
      <c r="AR1" s="1646" t="s">
        <v>209</v>
      </c>
      <c r="AS1" s="1646" t="s">
        <v>210</v>
      </c>
      <c r="AT1" s="1646" t="s">
        <v>356</v>
      </c>
      <c r="AU1" s="1646" t="s">
        <v>211</v>
      </c>
      <c r="AV1" s="1646" t="s">
        <v>212</v>
      </c>
      <c r="AW1" s="1644" t="s">
        <v>357</v>
      </c>
      <c r="AX1" s="1644" t="s">
        <v>218</v>
      </c>
      <c r="AY1" s="1644" t="s">
        <v>220</v>
      </c>
      <c r="AZ1" s="1644" t="s">
        <v>221</v>
      </c>
      <c r="BA1" s="1644" t="s">
        <v>222</v>
      </c>
      <c r="BB1" s="1644" t="s">
        <v>223</v>
      </c>
      <c r="BC1" s="1644" t="s">
        <v>224</v>
      </c>
      <c r="BD1" s="1644" t="s">
        <v>225</v>
      </c>
      <c r="BE1" s="1644" t="s">
        <v>230</v>
      </c>
      <c r="BF1" s="1644" t="s">
        <v>77</v>
      </c>
      <c r="BG1" s="1644" t="s">
        <v>78</v>
      </c>
      <c r="BH1" s="1644" t="s">
        <v>231</v>
      </c>
      <c r="BI1" s="1644" t="s">
        <v>232</v>
      </c>
      <c r="BJ1" s="1644" t="s">
        <v>233</v>
      </c>
      <c r="BK1" s="1644" t="s">
        <v>235</v>
      </c>
      <c r="BL1" s="1644" t="s">
        <v>236</v>
      </c>
      <c r="BM1" s="1644" t="s">
        <v>237</v>
      </c>
      <c r="BN1" s="1644" t="s">
        <v>238</v>
      </c>
      <c r="BO1" s="1644" t="s">
        <v>358</v>
      </c>
      <c r="BP1" s="1644" t="s">
        <v>359</v>
      </c>
      <c r="BQ1" s="1649" t="s">
        <v>242</v>
      </c>
      <c r="BR1" s="1649" t="s">
        <v>243</v>
      </c>
      <c r="BS1" s="1649" t="s">
        <v>244</v>
      </c>
      <c r="BT1" s="1649" t="s">
        <v>245</v>
      </c>
      <c r="BU1" s="1649" t="s">
        <v>246</v>
      </c>
      <c r="BV1" s="1649" t="s">
        <v>247</v>
      </c>
    </row>
    <row r="2" spans="1:74" ht="15" customHeight="1" x14ac:dyDescent="0.25">
      <c r="A2" s="1248" t="s">
        <v>317</v>
      </c>
      <c r="B2" s="1643">
        <v>1</v>
      </c>
      <c r="C2" s="1643">
        <v>2</v>
      </c>
      <c r="D2" s="1643">
        <v>2021</v>
      </c>
      <c r="E2" s="1648">
        <f>'1'!$H$35</f>
        <v>0</v>
      </c>
      <c r="F2" s="1648">
        <f>'1'!$H$36</f>
        <v>555.20000000001164</v>
      </c>
      <c r="G2" s="1648">
        <f>'1'!$H$37</f>
        <v>0</v>
      </c>
      <c r="H2" s="1648">
        <f>'1'!$H$38</f>
        <v>0</v>
      </c>
      <c r="I2" s="1648">
        <f>'1'!$H$39</f>
        <v>0</v>
      </c>
      <c r="J2" s="1648">
        <f>'1'!$H$40</f>
        <v>0</v>
      </c>
      <c r="K2" s="1648">
        <f>'1'!$H$41</f>
        <v>4365.9900000000052</v>
      </c>
      <c r="L2" s="1648">
        <f>'1'!$H$42</f>
        <v>0</v>
      </c>
      <c r="M2" s="1648">
        <f>'1'!$H$43</f>
        <v>2272.9599999999627</v>
      </c>
      <c r="N2" s="1648">
        <f>'1'!$H$44</f>
        <v>0</v>
      </c>
      <c r="O2" s="1648">
        <f>'1'!$H$45</f>
        <v>0</v>
      </c>
      <c r="P2" s="1648">
        <f>'1'!$H$46</f>
        <v>0</v>
      </c>
      <c r="Q2" s="1648">
        <f>'1'!$H$49</f>
        <v>2996.0400000000081</v>
      </c>
      <c r="R2" s="1648">
        <f>'1'!$H$50</f>
        <v>1021.359999999986</v>
      </c>
      <c r="S2" s="1648">
        <f>'1'!$H$51</f>
        <v>1437.8300000000017</v>
      </c>
      <c r="T2" s="1648">
        <f>'1'!$H$52</f>
        <v>2015.0400000000373</v>
      </c>
      <c r="U2" s="1648">
        <f>'1'!$H$53</f>
        <v>4103.7600000000093</v>
      </c>
      <c r="V2" s="1648">
        <f>'1'!$H$54</f>
        <v>40.319999999999709</v>
      </c>
      <c r="W2" s="1648">
        <f>'1'!$H$55</f>
        <v>0</v>
      </c>
      <c r="X2" s="1648">
        <f>'1'!$H$56</f>
        <v>0.52000000001862645</v>
      </c>
      <c r="Y2" s="1648">
        <f>'1'!$H$57</f>
        <v>0</v>
      </c>
      <c r="Z2" s="1648">
        <f>'1'!$H$58</f>
        <v>174.52000000000044</v>
      </c>
      <c r="AA2" s="1648">
        <f>'1'!$H$62</f>
        <v>0</v>
      </c>
      <c r="AB2" s="1648">
        <f>'1'!$H$63</f>
        <v>14.460000000000036</v>
      </c>
      <c r="AC2" s="1648">
        <f>'1'!$H$64</f>
        <v>445.6299999999901</v>
      </c>
      <c r="AD2" s="1648">
        <f>'1'!$H$65</f>
        <v>382.89999999999418</v>
      </c>
      <c r="AE2" s="1648">
        <f>'1'!$H$66</f>
        <v>390.09000000000015</v>
      </c>
      <c r="AF2" s="1648">
        <f>'1'!$H$67</f>
        <v>657.86000000001513</v>
      </c>
      <c r="AG2" s="1648">
        <f>'1'!$H$68</f>
        <v>327.79000000000087</v>
      </c>
      <c r="AH2" s="1648">
        <f>'1'!$H$69</f>
        <v>319.90000000000146</v>
      </c>
      <c r="AI2" s="1648">
        <f>'1'!$H$70</f>
        <v>0</v>
      </c>
      <c r="AJ2" s="1648">
        <f>'1'!$H$72</f>
        <v>84</v>
      </c>
      <c r="AK2" s="1648">
        <f>'1'!$H$73</f>
        <v>0</v>
      </c>
      <c r="AL2" s="1648">
        <f>'1'!$H$74</f>
        <v>23</v>
      </c>
      <c r="AM2" s="1648">
        <f>'1'!$H$75</f>
        <v>183</v>
      </c>
      <c r="AN2" s="1648">
        <f>'1'!$H$76</f>
        <v>74</v>
      </c>
      <c r="AO2" s="1648">
        <f>'1'!$H$77</f>
        <v>48</v>
      </c>
      <c r="AP2" s="1648">
        <f>'1'!$H$78</f>
        <v>334</v>
      </c>
      <c r="AQ2" s="1648">
        <f>'1'!$H$79</f>
        <v>205</v>
      </c>
      <c r="AR2" s="1648">
        <f>'1'!$H$80</f>
        <v>308</v>
      </c>
      <c r="AS2" s="1648">
        <f>'1'!$H$81</f>
        <v>76</v>
      </c>
      <c r="AT2" s="1648">
        <f>'1'!$H$82</f>
        <v>45</v>
      </c>
      <c r="AU2" s="1648">
        <f>'1'!$H$83</f>
        <v>433</v>
      </c>
      <c r="AV2" s="1648">
        <f>'1'!$H$84</f>
        <v>521</v>
      </c>
      <c r="AW2" s="1645">
        <f>'1'!$H$92</f>
        <v>87</v>
      </c>
      <c r="AX2" s="1645">
        <f>'1'!$H$93</f>
        <v>200</v>
      </c>
      <c r="AY2" s="1645">
        <f>'1'!$H$95</f>
        <v>72</v>
      </c>
      <c r="AZ2" s="1645">
        <f>'1'!$H$96</f>
        <v>23</v>
      </c>
      <c r="BA2" s="1645">
        <f>'1'!$H$97</f>
        <v>18</v>
      </c>
      <c r="BB2" s="1645">
        <f>'1'!$H$98</f>
        <v>83</v>
      </c>
      <c r="BC2" s="1645">
        <f>'1'!$H$99</f>
        <v>13</v>
      </c>
      <c r="BD2" s="1645">
        <f>'1'!$H$100</f>
        <v>6</v>
      </c>
      <c r="BE2" s="1645">
        <f>'1'!$H$104</f>
        <v>0</v>
      </c>
      <c r="BF2" s="1645">
        <f>'1'!$H$105</f>
        <v>8</v>
      </c>
      <c r="BG2" s="1645">
        <f>'1'!$H$106</f>
        <v>7</v>
      </c>
      <c r="BH2" s="1645">
        <f>'1'!$H$109</f>
        <v>41</v>
      </c>
      <c r="BI2" s="1645">
        <f>'1'!$H$110</f>
        <v>79</v>
      </c>
      <c r="BJ2" s="1645">
        <f>'1'!$H$111</f>
        <v>0</v>
      </c>
      <c r="BK2" s="1645">
        <f>'1'!$H$114</f>
        <v>16</v>
      </c>
      <c r="BL2" s="1645">
        <f>'1'!$H$115</f>
        <v>5</v>
      </c>
      <c r="BM2" s="1645">
        <f>'1'!$H$116</f>
        <v>0</v>
      </c>
      <c r="BN2" s="1645">
        <f>'1'!$H$118</f>
        <v>138</v>
      </c>
      <c r="BO2" s="1645">
        <f>'1'!$H$119</f>
        <v>132</v>
      </c>
      <c r="BP2" s="1645">
        <f>'1'!$H$120</f>
        <v>120</v>
      </c>
      <c r="BQ2" s="1650">
        <f>'1'!$H$123</f>
        <v>270.38000000000466</v>
      </c>
      <c r="BR2" s="1650">
        <f>'1'!$H$124</f>
        <v>0</v>
      </c>
      <c r="BS2" s="1650">
        <f>'1'!$H$125</f>
        <v>59</v>
      </c>
      <c r="BT2" s="1650">
        <f>'1'!$H$126</f>
        <v>28.200000000004366</v>
      </c>
      <c r="BU2" s="1650">
        <f>'1'!$H$127</f>
        <v>0</v>
      </c>
      <c r="BV2" s="1650">
        <f>'1'!$H$128</f>
        <v>440.37000000017724</v>
      </c>
    </row>
    <row r="3" spans="1:74" x14ac:dyDescent="0.25">
      <c r="A3" s="1248" t="s">
        <v>317</v>
      </c>
      <c r="B3" s="1643">
        <f>B2+1</f>
        <v>2</v>
      </c>
      <c r="C3" s="1643">
        <v>2</v>
      </c>
      <c r="D3" s="1643">
        <v>2021</v>
      </c>
      <c r="E3" s="1648">
        <f>'2'!$H$35</f>
        <v>0</v>
      </c>
      <c r="F3" s="1648">
        <f>'2'!$H$36</f>
        <v>1176.5499999999884</v>
      </c>
      <c r="G3" s="1648">
        <f>'2'!$H$37</f>
        <v>0</v>
      </c>
      <c r="H3" s="1648">
        <f>'2'!$H$38</f>
        <v>0</v>
      </c>
      <c r="I3" s="1648">
        <f>'2'!$H$39</f>
        <v>0</v>
      </c>
      <c r="J3" s="1648">
        <f>'2'!$H$40</f>
        <v>0</v>
      </c>
      <c r="K3" s="1648">
        <f>'2'!$H$41</f>
        <v>8536.4800000000032</v>
      </c>
      <c r="L3" s="1648">
        <f>'2'!$H$42</f>
        <v>8.999999999650754E-2</v>
      </c>
      <c r="M3" s="1648">
        <f>'2'!$H$43</f>
        <v>4533.0899999999674</v>
      </c>
      <c r="N3" s="1648">
        <f>'2'!$H$44</f>
        <v>0</v>
      </c>
      <c r="O3" s="1648">
        <f>'2'!$H$45</f>
        <v>-0.48000000000001819</v>
      </c>
      <c r="P3" s="1648">
        <f>'2'!$H$46</f>
        <v>-0.49000000000000909</v>
      </c>
      <c r="Q3" s="1648">
        <f>'2'!$H$49</f>
        <v>6054.9500000000116</v>
      </c>
      <c r="R3" s="1648">
        <f>'2'!$H$50</f>
        <v>2057.6900000000023</v>
      </c>
      <c r="S3" s="1648">
        <f>'2'!$H$51</f>
        <v>2879.2599999999948</v>
      </c>
      <c r="T3" s="1648">
        <f>'2'!$H$52</f>
        <v>4037.3300000000163</v>
      </c>
      <c r="U3" s="1648">
        <f>'2'!$H$53</f>
        <v>8262.7299999999814</v>
      </c>
      <c r="V3" s="1648">
        <f>'2'!$H$54</f>
        <v>79.359999999999673</v>
      </c>
      <c r="W3" s="1648">
        <f>'2'!$H$55</f>
        <v>0</v>
      </c>
      <c r="X3" s="1648">
        <f>'2'!$H$56</f>
        <v>2.5200000000186265</v>
      </c>
      <c r="Y3" s="1648">
        <f>'2'!$H$57</f>
        <v>0</v>
      </c>
      <c r="Z3" s="1648">
        <f>'2'!$H$58</f>
        <v>328.09000000000015</v>
      </c>
      <c r="AA3" s="1648">
        <f>'2'!$H$62</f>
        <v>0</v>
      </c>
      <c r="AB3" s="1648">
        <f>'2'!$H$63</f>
        <v>29.470000000000027</v>
      </c>
      <c r="AC3" s="1648">
        <f>'2'!$H$64</f>
        <v>881.5399999999936</v>
      </c>
      <c r="AD3" s="1648">
        <f>'2'!$H$65</f>
        <v>760.88999999999942</v>
      </c>
      <c r="AE3" s="1648">
        <f>'2'!$H$66</f>
        <v>794.26000000000022</v>
      </c>
      <c r="AF3" s="1648">
        <f>'2'!$H$67</f>
        <v>1328.4700000000012</v>
      </c>
      <c r="AG3" s="1648">
        <f>'2'!$H$68</f>
        <v>669.13999999999942</v>
      </c>
      <c r="AH3" s="1648">
        <f>'2'!$H$69</f>
        <v>630.29000000000087</v>
      </c>
      <c r="AI3" s="1648">
        <f>'2'!$H$70</f>
        <v>0</v>
      </c>
      <c r="AJ3" s="1648">
        <f>'2'!$H$72</f>
        <v>168</v>
      </c>
      <c r="AK3" s="1648">
        <f>'2'!$H$73</f>
        <v>0</v>
      </c>
      <c r="AL3" s="1648">
        <f>'2'!$H$74</f>
        <v>50</v>
      </c>
      <c r="AM3" s="1648">
        <f>'2'!$H$75</f>
        <v>367</v>
      </c>
      <c r="AN3" s="1648">
        <f>'2'!$H$76</f>
        <v>147</v>
      </c>
      <c r="AO3" s="1648">
        <f>'2'!$H$77</f>
        <v>107</v>
      </c>
      <c r="AP3" s="1648">
        <f>'2'!$H$78</f>
        <v>714</v>
      </c>
      <c r="AQ3" s="1648">
        <f>'2'!$H$79</f>
        <v>401</v>
      </c>
      <c r="AR3" s="1648">
        <f>'2'!$H$80</f>
        <v>626</v>
      </c>
      <c r="AS3" s="1648">
        <f>'2'!$H$81</f>
        <v>178</v>
      </c>
      <c r="AT3" s="1648">
        <f>'2'!$H$82</f>
        <v>100</v>
      </c>
      <c r="AU3" s="1648">
        <f>'2'!$H$83</f>
        <v>861</v>
      </c>
      <c r="AV3" s="1648">
        <f>'2'!$H$84</f>
        <v>1055</v>
      </c>
      <c r="AW3" s="1645">
        <f>'2'!$H$92</f>
        <v>162</v>
      </c>
      <c r="AX3" s="1645">
        <f>'2'!$H$93</f>
        <v>351</v>
      </c>
      <c r="AY3" s="1645">
        <f>'2'!$H$95</f>
        <v>142</v>
      </c>
      <c r="AZ3" s="1645">
        <f>'2'!$H$96</f>
        <v>53</v>
      </c>
      <c r="BA3" s="1645">
        <f>'2'!$H$97</f>
        <v>34</v>
      </c>
      <c r="BB3" s="1645">
        <f>'2'!$H$98</f>
        <v>150</v>
      </c>
      <c r="BC3" s="1645">
        <f>'2'!$H$99</f>
        <v>21</v>
      </c>
      <c r="BD3" s="1645">
        <f>'2'!$H$100</f>
        <v>11</v>
      </c>
      <c r="BE3" s="1645">
        <f>'2'!$H$104</f>
        <v>0</v>
      </c>
      <c r="BF3" s="1645">
        <f>'2'!$H$105</f>
        <v>16</v>
      </c>
      <c r="BG3" s="1645">
        <f>'2'!$H$106</f>
        <v>12</v>
      </c>
      <c r="BH3" s="1645">
        <f>'2'!$H$109</f>
        <v>102</v>
      </c>
      <c r="BI3" s="1645">
        <f>'2'!$H$110</f>
        <v>118</v>
      </c>
      <c r="BJ3" s="1645">
        <f>'2'!$H$111</f>
        <v>16</v>
      </c>
      <c r="BK3" s="1645">
        <f>'2'!$H$114</f>
        <v>27</v>
      </c>
      <c r="BL3" s="1645">
        <f>'2'!$H$115</f>
        <v>8</v>
      </c>
      <c r="BM3" s="1645">
        <f>'2'!$H$116</f>
        <v>0</v>
      </c>
      <c r="BN3" s="1645">
        <f>'2'!$H$118</f>
        <v>264</v>
      </c>
      <c r="BO3" s="1645">
        <f>'2'!$H$119</f>
        <v>261</v>
      </c>
      <c r="BP3" s="1645">
        <f>'2'!$H$120</f>
        <v>236</v>
      </c>
      <c r="BQ3" s="1650">
        <f>'2'!$H$123</f>
        <v>528.59999999997672</v>
      </c>
      <c r="BR3" s="1650">
        <f>'2'!$H$124</f>
        <v>0</v>
      </c>
      <c r="BS3" s="1650">
        <f>'2'!$H$125</f>
        <v>121</v>
      </c>
      <c r="BT3" s="1650">
        <f>'2'!$H$126</f>
        <v>80.30000000000291</v>
      </c>
      <c r="BU3" s="1650">
        <f>'2'!$H$127</f>
        <v>3</v>
      </c>
      <c r="BV3" s="1650">
        <f>'2'!$H$128</f>
        <v>925.9500000001135</v>
      </c>
    </row>
    <row r="4" spans="1:74" x14ac:dyDescent="0.25">
      <c r="A4" s="1248" t="s">
        <v>317</v>
      </c>
      <c r="B4" s="1643">
        <f t="shared" ref="B4:B30" si="0">B3+1</f>
        <v>3</v>
      </c>
      <c r="C4" s="1643">
        <v>2</v>
      </c>
      <c r="D4" s="1643">
        <v>2021</v>
      </c>
      <c r="E4" s="1648">
        <f>'3'!$H$35</f>
        <v>2568.3299999999581</v>
      </c>
      <c r="F4" s="1648">
        <f>'3'!$H$36</f>
        <v>1960.5499999999884</v>
      </c>
      <c r="G4" s="1648">
        <f>'3'!$H$37</f>
        <v>0</v>
      </c>
      <c r="H4" s="1648">
        <f>'3'!$H$38</f>
        <v>0</v>
      </c>
      <c r="I4" s="1648">
        <f>'3'!$H$39</f>
        <v>0</v>
      </c>
      <c r="J4" s="1648">
        <f>'3'!$H$40</f>
        <v>0</v>
      </c>
      <c r="K4" s="1648">
        <f>'3'!$H$41</f>
        <v>12547.480000000003</v>
      </c>
      <c r="L4" s="1648">
        <f>'3'!$H$42</f>
        <v>8.999999999650754E-2</v>
      </c>
      <c r="M4" s="1648">
        <f>'3'!$H$43</f>
        <v>6826.0899999999674</v>
      </c>
      <c r="N4" s="1648">
        <f>'3'!$H$44</f>
        <v>0</v>
      </c>
      <c r="O4" s="1648">
        <f>'3'!$H$45</f>
        <v>-0.48000000000001819</v>
      </c>
      <c r="P4" s="1648">
        <f>'3'!$H$46</f>
        <v>-0.49000000000000909</v>
      </c>
      <c r="Q4" s="1648">
        <f>'3'!$H$49</f>
        <v>6068.9500000000116</v>
      </c>
      <c r="R4" s="1648">
        <f>'3'!$H$50</f>
        <v>3443.6900000000023</v>
      </c>
      <c r="S4" s="1648">
        <f>'3'!$H$51</f>
        <v>4411.2599999999948</v>
      </c>
      <c r="T4" s="1648">
        <f>'3'!$H$52</f>
        <v>5986.3300000000163</v>
      </c>
      <c r="U4" s="1648">
        <f>'3'!$H$53</f>
        <v>12531.729999999981</v>
      </c>
      <c r="V4" s="1648">
        <f>'3'!$H$54</f>
        <v>94.359999999999673</v>
      </c>
      <c r="W4" s="1648">
        <f>'3'!$H$55</f>
        <v>0</v>
      </c>
      <c r="X4" s="1648">
        <f>'3'!$H$56</f>
        <v>2.5200000000186265</v>
      </c>
      <c r="Y4" s="1648">
        <f>'3'!$H$57</f>
        <v>0</v>
      </c>
      <c r="Z4" s="1648">
        <f>'3'!$H$58</f>
        <v>498.09000000000015</v>
      </c>
      <c r="AA4" s="1648">
        <f>'3'!$H$62</f>
        <v>0</v>
      </c>
      <c r="AB4" s="1648">
        <f>'3'!$H$63</f>
        <v>44.470000000000027</v>
      </c>
      <c r="AC4" s="1648">
        <f>'3'!$H$64</f>
        <v>1299.5399999999936</v>
      </c>
      <c r="AD4" s="1648">
        <f>'3'!$H$65</f>
        <v>1134.8899999999994</v>
      </c>
      <c r="AE4" s="1648">
        <f>'3'!$H$66</f>
        <v>1213.2600000000002</v>
      </c>
      <c r="AF4" s="1648">
        <f>'3'!$H$67</f>
        <v>2053.4700000000012</v>
      </c>
      <c r="AG4" s="1648">
        <f>'3'!$H$68</f>
        <v>1000.1399999999994</v>
      </c>
      <c r="AH4" s="1648">
        <f>'3'!$H$69</f>
        <v>943.29000000000087</v>
      </c>
      <c r="AI4" s="1648">
        <f>'3'!$H$70</f>
        <v>0</v>
      </c>
      <c r="AJ4" s="1648">
        <f>'3'!$H$72</f>
        <v>256</v>
      </c>
      <c r="AK4" s="1648">
        <f>'3'!$H$73</f>
        <v>1</v>
      </c>
      <c r="AL4" s="1648">
        <f>'3'!$H$74</f>
        <v>74</v>
      </c>
      <c r="AM4" s="1648">
        <f>'3'!$H$75</f>
        <v>559</v>
      </c>
      <c r="AN4" s="1648">
        <f>'3'!$H$76</f>
        <v>236</v>
      </c>
      <c r="AO4" s="1648">
        <f>'3'!$H$77</f>
        <v>154</v>
      </c>
      <c r="AP4" s="1648">
        <f>'3'!$H$78</f>
        <v>1139</v>
      </c>
      <c r="AQ4" s="1648">
        <f>'3'!$H$79</f>
        <v>604</v>
      </c>
      <c r="AR4" s="1648">
        <f>'3'!$H$80</f>
        <v>953</v>
      </c>
      <c r="AS4" s="1648">
        <f>'3'!$H$81</f>
        <v>282</v>
      </c>
      <c r="AT4" s="1648">
        <f>'3'!$H$82</f>
        <v>141</v>
      </c>
      <c r="AU4" s="1648">
        <f>'3'!$H$83</f>
        <v>1255</v>
      </c>
      <c r="AV4" s="1648">
        <f>'3'!$H$84</f>
        <v>1512</v>
      </c>
      <c r="AW4" s="1645">
        <f>'3'!$H$92</f>
        <v>250</v>
      </c>
      <c r="AX4" s="1645">
        <f>'3'!$H$93</f>
        <v>501</v>
      </c>
      <c r="AY4" s="1645">
        <f>'3'!$H$95</f>
        <v>206</v>
      </c>
      <c r="AZ4" s="1645">
        <f>'3'!$H$96</f>
        <v>89</v>
      </c>
      <c r="BA4" s="1645">
        <f>'3'!$H$97</f>
        <v>65</v>
      </c>
      <c r="BB4" s="1645">
        <f>'3'!$H$98</f>
        <v>222</v>
      </c>
      <c r="BC4" s="1645">
        <f>'3'!$H$99</f>
        <v>31</v>
      </c>
      <c r="BD4" s="1645">
        <f>'3'!$H$100</f>
        <v>16</v>
      </c>
      <c r="BE4" s="1645">
        <f>'3'!$H$104</f>
        <v>0</v>
      </c>
      <c r="BF4" s="1645">
        <f>'3'!$H$105</f>
        <v>22</v>
      </c>
      <c r="BG4" s="1645">
        <f>'3'!$H$106</f>
        <v>17</v>
      </c>
      <c r="BH4" s="1645">
        <f>'3'!$H$109</f>
        <v>160</v>
      </c>
      <c r="BI4" s="1645">
        <f>'3'!$H$110</f>
        <v>211</v>
      </c>
      <c r="BJ4" s="1645">
        <f>'3'!$H$111</f>
        <v>16</v>
      </c>
      <c r="BK4" s="1645">
        <f>'3'!$H$114</f>
        <v>39</v>
      </c>
      <c r="BL4" s="1645">
        <f>'3'!$H$115</f>
        <v>14</v>
      </c>
      <c r="BM4" s="1645">
        <f>'3'!$H$116</f>
        <v>0</v>
      </c>
      <c r="BN4" s="1645">
        <f>'3'!$H$118</f>
        <v>403</v>
      </c>
      <c r="BO4" s="1645">
        <f>'3'!$H$119</f>
        <v>407</v>
      </c>
      <c r="BP4" s="1645">
        <f>'3'!$H$120</f>
        <v>387</v>
      </c>
      <c r="BQ4" s="1650">
        <f>'3'!$H$123</f>
        <v>793.59999999997672</v>
      </c>
      <c r="BR4" s="1650">
        <f>'3'!$H$124</f>
        <v>0</v>
      </c>
      <c r="BS4" s="1650">
        <f>'3'!$H$125</f>
        <v>204</v>
      </c>
      <c r="BT4" s="1650">
        <f>'3'!$H$126</f>
        <v>137.30000000000291</v>
      </c>
      <c r="BU4" s="1650">
        <f>'3'!$H$127</f>
        <v>7</v>
      </c>
      <c r="BV4" s="1650">
        <f>'3'!$H$128</f>
        <v>1389.9500000001135</v>
      </c>
    </row>
    <row r="5" spans="1:74" x14ac:dyDescent="0.25">
      <c r="A5" s="1248" t="s">
        <v>317</v>
      </c>
      <c r="B5" s="1643">
        <f t="shared" si="0"/>
        <v>4</v>
      </c>
      <c r="C5" s="1643">
        <v>2</v>
      </c>
      <c r="D5" s="1643">
        <v>2021</v>
      </c>
      <c r="E5" s="1648">
        <f>'4'!$H$35</f>
        <v>5175.3299999999581</v>
      </c>
      <c r="F5" s="1648">
        <f>'4'!$H$36</f>
        <v>2554.5499999999884</v>
      </c>
      <c r="G5" s="1648">
        <f>'4'!$H$37</f>
        <v>1302</v>
      </c>
      <c r="H5" s="1648">
        <f>'4'!$H$38</f>
        <v>806.12</v>
      </c>
      <c r="I5" s="1648">
        <f>'4'!$H$39</f>
        <v>3521</v>
      </c>
      <c r="J5" s="1648">
        <f>'4'!$H$40</f>
        <v>0</v>
      </c>
      <c r="K5" s="1648">
        <f>'4'!$H$41</f>
        <v>13992.480000000003</v>
      </c>
      <c r="L5" s="1648">
        <f>'4'!$H$42</f>
        <v>0</v>
      </c>
      <c r="M5" s="1648">
        <f>'4'!$H$43</f>
        <v>9077.0899999999674</v>
      </c>
      <c r="N5" s="1648">
        <f>'4'!$H$44</f>
        <v>0</v>
      </c>
      <c r="O5" s="1648">
        <f>'4'!$H$45</f>
        <v>-0.48000000000001819</v>
      </c>
      <c r="P5" s="1648">
        <f>'4'!$H$46</f>
        <v>-0.49000000000000909</v>
      </c>
      <c r="Q5" s="1648">
        <f>'4'!$H$49</f>
        <v>6068.9500000000116</v>
      </c>
      <c r="R5" s="1648">
        <f>'4'!$H$50</f>
        <v>4528.6900000000023</v>
      </c>
      <c r="S5" s="1648">
        <f>'4'!$H$51</f>
        <v>4618.2599999999948</v>
      </c>
      <c r="T5" s="1648">
        <f>'4'!$H$52</f>
        <v>7091.3300000000163</v>
      </c>
      <c r="U5" s="1648">
        <f>'4'!$H$53</f>
        <v>13158.729999999981</v>
      </c>
      <c r="V5" s="1648">
        <f>'4'!$H$54</f>
        <v>102.35999999999967</v>
      </c>
      <c r="W5" s="1648">
        <f>'4'!$H$55</f>
        <v>2283.4199999999983</v>
      </c>
      <c r="X5" s="1648">
        <f>'4'!$H$56</f>
        <v>7.0899999999674037</v>
      </c>
      <c r="Y5" s="1648">
        <f>'4'!$H$57</f>
        <v>0</v>
      </c>
      <c r="Z5" s="1648">
        <f>'4'!$H$58</f>
        <v>677.09000000000015</v>
      </c>
      <c r="AA5" s="1648">
        <f>'4'!$H$62</f>
        <v>-1.0000000002037268E-3</v>
      </c>
      <c r="AB5" s="1648">
        <f>'4'!$H$63</f>
        <v>58.470000000000027</v>
      </c>
      <c r="AC5" s="1648">
        <f>'4'!$H$64</f>
        <v>1718.5399999999936</v>
      </c>
      <c r="AD5" s="1648">
        <f>'4'!$H$65</f>
        <v>1505.8899999999994</v>
      </c>
      <c r="AE5" s="1648">
        <f>'4'!$H$66</f>
        <v>1609.2600000000002</v>
      </c>
      <c r="AF5" s="1648">
        <f>'4'!$H$67</f>
        <v>2754.4700000000012</v>
      </c>
      <c r="AG5" s="1648">
        <f>'4'!$H$68</f>
        <v>1343.1399999999994</v>
      </c>
      <c r="AH5" s="1648">
        <f>'4'!$H$69</f>
        <v>1239.2900000000009</v>
      </c>
      <c r="AI5" s="1648">
        <f>'4'!$H$70</f>
        <v>0</v>
      </c>
      <c r="AJ5" s="1648">
        <f>'4'!$H$72</f>
        <v>339</v>
      </c>
      <c r="AK5" s="1648">
        <f>'4'!$H$73</f>
        <v>1</v>
      </c>
      <c r="AL5" s="1648">
        <f>'4'!$H$74</f>
        <v>106</v>
      </c>
      <c r="AM5" s="1648">
        <f>'4'!$H$75</f>
        <v>732</v>
      </c>
      <c r="AN5" s="1648">
        <f>'4'!$H$76</f>
        <v>323</v>
      </c>
      <c r="AO5" s="1648">
        <f>'4'!$H$77</f>
        <v>225</v>
      </c>
      <c r="AP5" s="1648">
        <f>'4'!$H$78</f>
        <v>1571</v>
      </c>
      <c r="AQ5" s="1648">
        <f>'4'!$H$79</f>
        <v>797</v>
      </c>
      <c r="AR5" s="1648">
        <f>'4'!$H$80</f>
        <v>1263</v>
      </c>
      <c r="AS5" s="1648">
        <f>'4'!$H$81</f>
        <v>377</v>
      </c>
      <c r="AT5" s="1648">
        <f>'4'!$H$82</f>
        <v>169</v>
      </c>
      <c r="AU5" s="1648">
        <f>'4'!$H$83</f>
        <v>1673</v>
      </c>
      <c r="AV5" s="1648">
        <f>'4'!$H$84</f>
        <v>1986</v>
      </c>
      <c r="AW5" s="1645">
        <f>'4'!$H$92</f>
        <v>352</v>
      </c>
      <c r="AX5" s="1645">
        <f>'4'!$H$93</f>
        <v>641</v>
      </c>
      <c r="AY5" s="1645">
        <f>'4'!$H$95</f>
        <v>284</v>
      </c>
      <c r="AZ5" s="1645">
        <f>'4'!$H$96</f>
        <v>124</v>
      </c>
      <c r="BA5" s="1645">
        <f>'4'!$H$97</f>
        <v>110</v>
      </c>
      <c r="BB5" s="1645">
        <f>'4'!$H$98</f>
        <v>289</v>
      </c>
      <c r="BC5" s="1645">
        <f>'4'!$H$99</f>
        <v>41</v>
      </c>
      <c r="BD5" s="1645">
        <f>'4'!$H$100</f>
        <v>23</v>
      </c>
      <c r="BE5" s="1645">
        <f>'4'!$H$104</f>
        <v>0</v>
      </c>
      <c r="BF5" s="1645">
        <f>'4'!$H$105</f>
        <v>28</v>
      </c>
      <c r="BG5" s="1645">
        <f>'4'!$H$106</f>
        <v>23</v>
      </c>
      <c r="BH5" s="1645">
        <f>'4'!$H$109</f>
        <v>215</v>
      </c>
      <c r="BI5" s="1645">
        <f>'4'!$H$110</f>
        <v>258</v>
      </c>
      <c r="BJ5" s="1645">
        <f>'4'!$H$111</f>
        <v>30</v>
      </c>
      <c r="BK5" s="1645">
        <f>'4'!$H$114</f>
        <v>53</v>
      </c>
      <c r="BL5" s="1645">
        <f>'4'!$H$115</f>
        <v>21</v>
      </c>
      <c r="BM5" s="1645">
        <f>'4'!$H$116</f>
        <v>0</v>
      </c>
      <c r="BN5" s="1645">
        <f>'4'!$H$118</f>
        <v>555</v>
      </c>
      <c r="BO5" s="1645">
        <f>'4'!$H$119</f>
        <v>582</v>
      </c>
      <c r="BP5" s="1645">
        <f>'4'!$H$120</f>
        <v>503</v>
      </c>
      <c r="BQ5" s="1650">
        <f>'4'!$H$123</f>
        <v>1068.5999999999767</v>
      </c>
      <c r="BR5" s="1650">
        <f>'4'!$H$124</f>
        <v>0</v>
      </c>
      <c r="BS5" s="1650">
        <f>'4'!$H$125</f>
        <v>272</v>
      </c>
      <c r="BT5" s="1650">
        <f>'4'!$H$126</f>
        <v>169.30000000000291</v>
      </c>
      <c r="BU5" s="1650">
        <f>'4'!$H$127</f>
        <v>8</v>
      </c>
      <c r="BV5" s="1650">
        <f>'4'!$H$128</f>
        <v>1809.9500000001135</v>
      </c>
    </row>
    <row r="6" spans="1:74" x14ac:dyDescent="0.25">
      <c r="A6" s="1248" t="s">
        <v>317</v>
      </c>
      <c r="B6" s="1643">
        <f t="shared" si="0"/>
        <v>5</v>
      </c>
      <c r="C6" s="1643">
        <v>2</v>
      </c>
      <c r="D6" s="1643">
        <v>2021</v>
      </c>
      <c r="E6" s="1648">
        <f>'5'!$H$35</f>
        <v>5175.3299999999581</v>
      </c>
      <c r="F6" s="1648">
        <f>'5'!$H$36</f>
        <v>3118.5499999999884</v>
      </c>
      <c r="G6" s="1648">
        <f>'5'!$H$37</f>
        <v>1472</v>
      </c>
      <c r="H6" s="1648">
        <f>'5'!$H$38</f>
        <v>806.12</v>
      </c>
      <c r="I6" s="1648">
        <f>'5'!$H$39</f>
        <v>4103</v>
      </c>
      <c r="J6" s="1648">
        <f>'5'!$H$40</f>
        <v>0</v>
      </c>
      <c r="K6" s="1648">
        <f>'5'!$H$41</f>
        <v>13993.480000000003</v>
      </c>
      <c r="L6" s="1648">
        <f>'5'!$H$42</f>
        <v>0</v>
      </c>
      <c r="M6" s="1648">
        <f>'5'!$H$43</f>
        <v>9409.0899999999674</v>
      </c>
      <c r="N6" s="1648">
        <f>'5'!$H$44</f>
        <v>0</v>
      </c>
      <c r="O6" s="1648">
        <f>'5'!$H$45</f>
        <v>-0.48000000000001819</v>
      </c>
      <c r="P6" s="1648">
        <f>'5'!$H$46</f>
        <v>-0.49000000000000909</v>
      </c>
      <c r="Q6" s="1648">
        <f>'5'!$H$49</f>
        <v>8717.9500000000116</v>
      </c>
      <c r="R6" s="1648">
        <f>'5'!$H$50</f>
        <v>5633.6900000000023</v>
      </c>
      <c r="S6" s="1648">
        <f>'5'!$H$51</f>
        <v>5906.2599999999948</v>
      </c>
      <c r="T6" s="1648">
        <f>'5'!$H$52</f>
        <v>9166.3300000000163</v>
      </c>
      <c r="U6" s="1648">
        <f>'5'!$H$53</f>
        <v>16804.729999999981</v>
      </c>
      <c r="V6" s="1648">
        <f>'5'!$H$54</f>
        <v>177.35999999999967</v>
      </c>
      <c r="W6" s="1648">
        <f>'5'!$H$55</f>
        <v>5934.4199999999983</v>
      </c>
      <c r="X6" s="1648">
        <f>'5'!$H$56</f>
        <v>7.0899999999674037</v>
      </c>
      <c r="Y6" s="1648">
        <f>'5'!$H$57</f>
        <v>1933</v>
      </c>
      <c r="Z6" s="1648">
        <f>'5'!$H$58</f>
        <v>820.09000000000015</v>
      </c>
      <c r="AA6" s="1648">
        <f>'5'!$H$62</f>
        <v>-0.1889999999984866</v>
      </c>
      <c r="AB6" s="1648">
        <f>'5'!$H$63</f>
        <v>73.470000000000027</v>
      </c>
      <c r="AC6" s="1648">
        <f>'5'!$H$64</f>
        <v>2170.5399999999936</v>
      </c>
      <c r="AD6" s="1648">
        <f>'5'!$H$65</f>
        <v>1875.8899999999994</v>
      </c>
      <c r="AE6" s="1648">
        <f>'5'!$H$66</f>
        <v>1997.2600000000002</v>
      </c>
      <c r="AF6" s="1648">
        <f>'5'!$H$67</f>
        <v>3464.4700000000012</v>
      </c>
      <c r="AG6" s="1648">
        <f>'5'!$H$68</f>
        <v>1687.1399999999994</v>
      </c>
      <c r="AH6" s="1648">
        <f>'5'!$H$69</f>
        <v>1536.2900000000009</v>
      </c>
      <c r="AI6" s="1648">
        <f>'5'!$H$70</f>
        <v>0</v>
      </c>
      <c r="AJ6" s="1648">
        <f>'5'!$H$72</f>
        <v>409</v>
      </c>
      <c r="AK6" s="1648">
        <f>'5'!$H$73</f>
        <v>2</v>
      </c>
      <c r="AL6" s="1648">
        <f>'5'!$H$74</f>
        <v>134</v>
      </c>
      <c r="AM6" s="1648">
        <f>'5'!$H$75</f>
        <v>905</v>
      </c>
      <c r="AN6" s="1648">
        <f>'5'!$H$76</f>
        <v>407</v>
      </c>
      <c r="AO6" s="1648">
        <f>'5'!$H$77</f>
        <v>307</v>
      </c>
      <c r="AP6" s="1648">
        <f>'5'!$H$78</f>
        <v>1970</v>
      </c>
      <c r="AQ6" s="1648">
        <f>'5'!$H$79</f>
        <v>990</v>
      </c>
      <c r="AR6" s="1648">
        <f>'5'!$H$80</f>
        <v>1573</v>
      </c>
      <c r="AS6" s="1648">
        <f>'5'!$H$81</f>
        <v>477</v>
      </c>
      <c r="AT6" s="1648">
        <f>'5'!$H$82</f>
        <v>191</v>
      </c>
      <c r="AU6" s="1648">
        <f>'5'!$H$83</f>
        <v>2176</v>
      </c>
      <c r="AV6" s="1648">
        <f>'5'!$H$84</f>
        <v>2453</v>
      </c>
      <c r="AW6" s="1645">
        <f>'5'!$H$92</f>
        <v>462</v>
      </c>
      <c r="AX6" s="1645">
        <f>'5'!$H$93</f>
        <v>823</v>
      </c>
      <c r="AY6" s="1645">
        <f>'5'!$H$95</f>
        <v>339</v>
      </c>
      <c r="AZ6" s="1645">
        <f>'5'!$H$96</f>
        <v>147</v>
      </c>
      <c r="BA6" s="1645">
        <f>'5'!$H$97</f>
        <v>150</v>
      </c>
      <c r="BB6" s="1645">
        <f>'5'!$H$98</f>
        <v>329</v>
      </c>
      <c r="BC6" s="1645">
        <f>'5'!$H$99</f>
        <v>48</v>
      </c>
      <c r="BD6" s="1645">
        <f>'5'!$H$100</f>
        <v>29</v>
      </c>
      <c r="BE6" s="1645">
        <f>'5'!$H$104</f>
        <v>0</v>
      </c>
      <c r="BF6" s="1645">
        <f>'5'!$H$105</f>
        <v>42</v>
      </c>
      <c r="BG6" s="1645">
        <f>'5'!$H$106</f>
        <v>32</v>
      </c>
      <c r="BH6" s="1645">
        <f>'5'!$H$109</f>
        <v>330</v>
      </c>
      <c r="BI6" s="1645">
        <f>'5'!$H$110</f>
        <v>337</v>
      </c>
      <c r="BJ6" s="1645">
        <f>'5'!$H$111</f>
        <v>30</v>
      </c>
      <c r="BK6" s="1645">
        <f>'5'!$H$114</f>
        <v>74</v>
      </c>
      <c r="BL6" s="1645">
        <f>'5'!$H$115</f>
        <v>32</v>
      </c>
      <c r="BM6" s="1645">
        <f>'5'!$H$116</f>
        <v>0</v>
      </c>
      <c r="BN6" s="1645">
        <f>'5'!$H$118</f>
        <v>706</v>
      </c>
      <c r="BO6" s="1645">
        <f>'5'!$H$119</f>
        <v>713</v>
      </c>
      <c r="BP6" s="1645">
        <f>'5'!$H$120</f>
        <v>697</v>
      </c>
      <c r="BQ6" s="1650">
        <f>'5'!$H$123</f>
        <v>1337.5999999999767</v>
      </c>
      <c r="BR6" s="1650">
        <f>'5'!$H$124</f>
        <v>0</v>
      </c>
      <c r="BS6" s="1650">
        <f>'5'!$H$125</f>
        <v>349</v>
      </c>
      <c r="BT6" s="1650">
        <f>'5'!$H$126</f>
        <v>199.30000000000291</v>
      </c>
      <c r="BU6" s="1650">
        <f>'5'!$H$127</f>
        <v>13</v>
      </c>
      <c r="BV6" s="1650">
        <f>'5'!$H$128</f>
        <v>2206.9500000001135</v>
      </c>
    </row>
    <row r="7" spans="1:74" x14ac:dyDescent="0.25">
      <c r="A7" s="1248" t="s">
        <v>317</v>
      </c>
      <c r="B7" s="1643">
        <f t="shared" si="0"/>
        <v>6</v>
      </c>
      <c r="C7" s="1643">
        <v>2</v>
      </c>
      <c r="D7" s="1643">
        <v>2021</v>
      </c>
      <c r="E7" s="1648">
        <f>'6'!$H$35</f>
        <v>5175.3299999999581</v>
      </c>
      <c r="F7" s="1648">
        <f>'6'!$H$36</f>
        <v>3847.5499999999884</v>
      </c>
      <c r="G7" s="1648">
        <f>'6'!$H$37</f>
        <v>1472</v>
      </c>
      <c r="H7" s="1648">
        <f>'6'!$H$38</f>
        <v>806.12</v>
      </c>
      <c r="I7" s="1648">
        <f>'6'!$H$39</f>
        <v>4103</v>
      </c>
      <c r="J7" s="1648">
        <f>'6'!$H$40</f>
        <v>0</v>
      </c>
      <c r="K7" s="1648">
        <f>'6'!$H$41</f>
        <v>13993.480000000003</v>
      </c>
      <c r="L7" s="1648">
        <f>'6'!$H$42</f>
        <v>0</v>
      </c>
      <c r="M7" s="1648">
        <f>'6'!$H$43</f>
        <v>9409.0899999999674</v>
      </c>
      <c r="N7" s="1648">
        <f>'6'!$H$44</f>
        <v>0</v>
      </c>
      <c r="O7" s="1648">
        <f>'6'!$H$45</f>
        <v>-0.48000000000001819</v>
      </c>
      <c r="P7" s="1648">
        <f>'6'!$H$46</f>
        <v>-0.49000000000000909</v>
      </c>
      <c r="Q7" s="1648">
        <f>'6'!$H$49</f>
        <v>11365.950000000012</v>
      </c>
      <c r="R7" s="1648">
        <f>'6'!$H$50</f>
        <v>7113.6900000000023</v>
      </c>
      <c r="S7" s="1648">
        <f>'6'!$H$51</f>
        <v>7415.2599999999948</v>
      </c>
      <c r="T7" s="1648">
        <f>'6'!$H$52</f>
        <v>11166.330000000016</v>
      </c>
      <c r="U7" s="1648">
        <f>'6'!$H$53</f>
        <v>20957.729999999981</v>
      </c>
      <c r="V7" s="1648">
        <f>'6'!$H$54</f>
        <v>247.35999999999967</v>
      </c>
      <c r="W7" s="1648">
        <f>'6'!$H$55</f>
        <v>9839.4199999999983</v>
      </c>
      <c r="X7" s="1648">
        <f>'6'!$H$56</f>
        <v>7.0899999999674037</v>
      </c>
      <c r="Y7" s="1648">
        <f>'6'!$H$57</f>
        <v>4215</v>
      </c>
      <c r="Z7" s="1648">
        <f>'6'!$H$58</f>
        <v>978.09000000000015</v>
      </c>
      <c r="AA7" s="1648">
        <f>'6'!$H$62</f>
        <v>-0.1889999999984866</v>
      </c>
      <c r="AB7" s="1648">
        <f>'6'!$H$63</f>
        <v>87.470000000000027</v>
      </c>
      <c r="AC7" s="1648">
        <f>'6'!$H$64</f>
        <v>2575.5399999999936</v>
      </c>
      <c r="AD7" s="1648">
        <f>'6'!$H$65</f>
        <v>2242.8899999999994</v>
      </c>
      <c r="AE7" s="1648">
        <f>'6'!$H$66</f>
        <v>2390.2600000000002</v>
      </c>
      <c r="AF7" s="1648">
        <f>'6'!$H$67</f>
        <v>4179.4700000000012</v>
      </c>
      <c r="AG7" s="1648">
        <f>'6'!$H$68</f>
        <v>2042.1399999999994</v>
      </c>
      <c r="AH7" s="1648">
        <f>'6'!$H$69</f>
        <v>1816.2900000000009</v>
      </c>
      <c r="AI7" s="1648">
        <f>'6'!$H$70</f>
        <v>0</v>
      </c>
      <c r="AJ7" s="1648">
        <f>'6'!$H$72</f>
        <v>476</v>
      </c>
      <c r="AK7" s="1648">
        <f>'6'!$H$73</f>
        <v>2</v>
      </c>
      <c r="AL7" s="1648">
        <f>'6'!$H$74</f>
        <v>164</v>
      </c>
      <c r="AM7" s="1648">
        <f>'6'!$H$75</f>
        <v>1076</v>
      </c>
      <c r="AN7" s="1648">
        <f>'6'!$H$76</f>
        <v>488</v>
      </c>
      <c r="AO7" s="1648">
        <f>'6'!$H$77</f>
        <v>371</v>
      </c>
      <c r="AP7" s="1648">
        <f>'6'!$H$78</f>
        <v>2438</v>
      </c>
      <c r="AQ7" s="1648">
        <f>'6'!$H$79</f>
        <v>1193</v>
      </c>
      <c r="AR7" s="1648">
        <f>'6'!$H$80</f>
        <v>1881</v>
      </c>
      <c r="AS7" s="1648">
        <f>'6'!$H$81</f>
        <v>581</v>
      </c>
      <c r="AT7" s="1648">
        <f>'6'!$H$82</f>
        <v>212</v>
      </c>
      <c r="AU7" s="1648">
        <f>'6'!$H$83</f>
        <v>2661</v>
      </c>
      <c r="AV7" s="1648">
        <f>'6'!$H$84</f>
        <v>2930</v>
      </c>
      <c r="AW7" s="1645">
        <f>'6'!$H$92</f>
        <v>551</v>
      </c>
      <c r="AX7" s="1645">
        <f>'6'!$H$93</f>
        <v>924</v>
      </c>
      <c r="AY7" s="1645">
        <f>'6'!$H$95</f>
        <v>400</v>
      </c>
      <c r="AZ7" s="1645">
        <f>'6'!$H$96</f>
        <v>181</v>
      </c>
      <c r="BA7" s="1645">
        <f>'6'!$H$97</f>
        <v>181</v>
      </c>
      <c r="BB7" s="1645">
        <f>'6'!$H$98</f>
        <v>401</v>
      </c>
      <c r="BC7" s="1645">
        <f>'6'!$H$99</f>
        <v>57</v>
      </c>
      <c r="BD7" s="1645">
        <f>'6'!$H$100</f>
        <v>38</v>
      </c>
      <c r="BE7" s="1645">
        <f>'6'!$H$104</f>
        <v>0</v>
      </c>
      <c r="BF7" s="1645">
        <f>'6'!$H$105</f>
        <v>48</v>
      </c>
      <c r="BG7" s="1645">
        <f>'6'!$H$106</f>
        <v>38</v>
      </c>
      <c r="BH7" s="1645">
        <f>'6'!$H$109</f>
        <v>370</v>
      </c>
      <c r="BI7" s="1645">
        <f>'6'!$H$110</f>
        <v>382</v>
      </c>
      <c r="BJ7" s="1645">
        <f>'6'!$H$111</f>
        <v>62</v>
      </c>
      <c r="BK7" s="1645">
        <f>'6'!$H$114</f>
        <v>85</v>
      </c>
      <c r="BL7" s="1645">
        <f>'6'!$H$115</f>
        <v>38</v>
      </c>
      <c r="BM7" s="1645">
        <f>'6'!$H$116</f>
        <v>0</v>
      </c>
      <c r="BN7" s="1645">
        <f>'6'!$H$118</f>
        <v>846</v>
      </c>
      <c r="BO7" s="1645">
        <f>'6'!$H$119</f>
        <v>857</v>
      </c>
      <c r="BP7" s="1645">
        <f>'6'!$H$120</f>
        <v>814</v>
      </c>
      <c r="BQ7" s="1650">
        <f>'6'!$H$123</f>
        <v>1625.5999999999767</v>
      </c>
      <c r="BR7" s="1650">
        <f>'6'!$H$124</f>
        <v>0</v>
      </c>
      <c r="BS7" s="1650">
        <f>'6'!$H$125</f>
        <v>412</v>
      </c>
      <c r="BT7" s="1650">
        <f>'6'!$H$126</f>
        <v>242.30000000000291</v>
      </c>
      <c r="BU7" s="1650">
        <f>'6'!$H$127</f>
        <v>16</v>
      </c>
      <c r="BV7" s="1650">
        <f>'6'!$H$128</f>
        <v>2623.9500000001135</v>
      </c>
    </row>
    <row r="8" spans="1:74" x14ac:dyDescent="0.25">
      <c r="A8" s="1248" t="s">
        <v>317</v>
      </c>
      <c r="B8" s="1643">
        <f t="shared" si="0"/>
        <v>7</v>
      </c>
      <c r="C8" s="1643">
        <v>2</v>
      </c>
      <c r="D8" s="1643">
        <v>2021</v>
      </c>
      <c r="E8" s="1648">
        <f>'7'!$H$35</f>
        <v>5175.3299999999581</v>
      </c>
      <c r="F8" s="1648">
        <f>'7'!$H$36</f>
        <v>4425.359999999986</v>
      </c>
      <c r="G8" s="1648">
        <f>'7'!$H$37</f>
        <v>1472</v>
      </c>
      <c r="H8" s="1648">
        <f>'7'!$H$38</f>
        <v>806.12</v>
      </c>
      <c r="I8" s="1648">
        <f>'7'!$H$39</f>
        <v>4103</v>
      </c>
      <c r="J8" s="1648">
        <f>'7'!$H$40</f>
        <v>0</v>
      </c>
      <c r="K8" s="1648">
        <f>'7'!$H$41</f>
        <v>13993.480000000003</v>
      </c>
      <c r="L8" s="1648">
        <f>'7'!$H$42</f>
        <v>0</v>
      </c>
      <c r="M8" s="1648">
        <f>'7'!$H$43</f>
        <v>9409.0899999999674</v>
      </c>
      <c r="N8" s="1648">
        <f>'7'!$H$44</f>
        <v>0</v>
      </c>
      <c r="O8" s="1648">
        <f>'7'!$H$45</f>
        <v>-0.48000000000001819</v>
      </c>
      <c r="P8" s="1648">
        <f>'7'!$H$46</f>
        <v>-0.49000000000000909</v>
      </c>
      <c r="Q8" s="1648">
        <f>'7'!$H$49</f>
        <v>13865.620000000024</v>
      </c>
      <c r="R8" s="1648">
        <f>'7'!$H$50</f>
        <v>8222.6900000000023</v>
      </c>
      <c r="S8" s="1648">
        <f>'7'!$H$51</f>
        <v>8842.2599999999948</v>
      </c>
      <c r="T8" s="1648">
        <f>'7'!$H$52</f>
        <v>13284.330000000016</v>
      </c>
      <c r="U8" s="1648">
        <f>'7'!$H$53</f>
        <v>25133.729999999981</v>
      </c>
      <c r="V8" s="1648">
        <f>'7'!$H$54</f>
        <v>318.35999999999967</v>
      </c>
      <c r="W8" s="1648">
        <f>'7'!$H$55</f>
        <v>13335.400000000001</v>
      </c>
      <c r="X8" s="1648">
        <f>'7'!$H$56</f>
        <v>7.0899999999674037</v>
      </c>
      <c r="Y8" s="1648">
        <f>'7'!$H$57</f>
        <v>6534</v>
      </c>
      <c r="Z8" s="1648">
        <f>'7'!$H$58</f>
        <v>1147.0900000000001</v>
      </c>
      <c r="AA8" s="1648">
        <f>'7'!$H$62</f>
        <v>-0.1889999999984866</v>
      </c>
      <c r="AB8" s="1648">
        <f>'7'!$H$63</f>
        <v>101.47000000000003</v>
      </c>
      <c r="AC8" s="1648">
        <f>'7'!$H$64</f>
        <v>2950.1399999999994</v>
      </c>
      <c r="AD8" s="1648">
        <f>'7'!$H$65</f>
        <v>2621.5599999999977</v>
      </c>
      <c r="AE8" s="1648">
        <f>'7'!$H$66</f>
        <v>2799.26</v>
      </c>
      <c r="AF8" s="1648">
        <f>'7'!$H$67</f>
        <v>4907.4599999999919</v>
      </c>
      <c r="AG8" s="1648">
        <f>'7'!$H$68</f>
        <v>2372.1399999999994</v>
      </c>
      <c r="AH8" s="1648">
        <f>'7'!$H$69</f>
        <v>2126.2900000000009</v>
      </c>
      <c r="AI8" s="1648">
        <f>'7'!$H$70</f>
        <v>0</v>
      </c>
      <c r="AJ8" s="1648">
        <f>'7'!$H$72</f>
        <v>558</v>
      </c>
      <c r="AK8" s="1648">
        <f>'7'!$H$73</f>
        <v>2</v>
      </c>
      <c r="AL8" s="1648">
        <f>'7'!$H$74</f>
        <v>188</v>
      </c>
      <c r="AM8" s="1648">
        <f>'7'!$H$75</f>
        <v>1255</v>
      </c>
      <c r="AN8" s="1648">
        <f>'7'!$H$76</f>
        <v>575</v>
      </c>
      <c r="AO8" s="1648">
        <f>'7'!$H$77</f>
        <v>422</v>
      </c>
      <c r="AP8" s="1648">
        <f>'7'!$H$78</f>
        <v>2896</v>
      </c>
      <c r="AQ8" s="1648">
        <f>'7'!$H$79</f>
        <v>1387</v>
      </c>
      <c r="AR8" s="1648">
        <f>'7'!$H$80</f>
        <v>2198</v>
      </c>
      <c r="AS8" s="1648">
        <f>'7'!$H$81</f>
        <v>684</v>
      </c>
      <c r="AT8" s="1648">
        <f>'7'!$H$82</f>
        <v>238</v>
      </c>
      <c r="AU8" s="1648">
        <f>'7'!$H$83</f>
        <v>3142</v>
      </c>
      <c r="AV8" s="1648">
        <f>'7'!$H$84</f>
        <v>3396</v>
      </c>
      <c r="AW8" s="1645">
        <f>'7'!$H$92</f>
        <v>655</v>
      </c>
      <c r="AX8" s="1645">
        <f>'7'!$H$93</f>
        <v>1131</v>
      </c>
      <c r="AY8" s="1645">
        <f>'7'!$H$95</f>
        <v>457</v>
      </c>
      <c r="AZ8" s="1645">
        <f>'7'!$H$96</f>
        <v>224</v>
      </c>
      <c r="BA8" s="1645">
        <f>'7'!$H$97</f>
        <v>204</v>
      </c>
      <c r="BB8" s="1645">
        <f>'7'!$H$98</f>
        <v>459</v>
      </c>
      <c r="BC8" s="1645">
        <f>'7'!$H$99</f>
        <v>71</v>
      </c>
      <c r="BD8" s="1645">
        <f>'7'!$H$100</f>
        <v>46</v>
      </c>
      <c r="BE8" s="1645">
        <f>'7'!$H$104</f>
        <v>0</v>
      </c>
      <c r="BF8" s="1645">
        <f>'7'!$H$105</f>
        <v>54</v>
      </c>
      <c r="BG8" s="1645">
        <f>'7'!$H$106</f>
        <v>42</v>
      </c>
      <c r="BH8" s="1645">
        <f>'7'!$H$109</f>
        <v>409</v>
      </c>
      <c r="BI8" s="1645">
        <f>'7'!$H$110</f>
        <v>483</v>
      </c>
      <c r="BJ8" s="1645">
        <f>'7'!$H$111</f>
        <v>62</v>
      </c>
      <c r="BK8" s="1645">
        <f>'7'!$H$114</f>
        <v>101</v>
      </c>
      <c r="BL8" s="1645">
        <f>'7'!$H$115</f>
        <v>45</v>
      </c>
      <c r="BM8" s="1645">
        <f>'7'!$H$116</f>
        <v>0</v>
      </c>
      <c r="BN8" s="1645">
        <f>'7'!$H$118</f>
        <v>1002</v>
      </c>
      <c r="BO8" s="1645">
        <f>'7'!$H$119</f>
        <v>1002</v>
      </c>
      <c r="BP8" s="1645">
        <f>'7'!$H$120</f>
        <v>954</v>
      </c>
      <c r="BQ8" s="1650">
        <f>'7'!$H$123</f>
        <v>1921.5999999999767</v>
      </c>
      <c r="BR8" s="1650">
        <f>'7'!$H$124</f>
        <v>1.3999999999941792</v>
      </c>
      <c r="BS8" s="1650">
        <f>'7'!$H$125</f>
        <v>472.97000000000116</v>
      </c>
      <c r="BT8" s="1650">
        <f>'7'!$H$126</f>
        <v>282.30000000000291</v>
      </c>
      <c r="BU8" s="1650">
        <f>'7'!$H$127</f>
        <v>18</v>
      </c>
      <c r="BV8" s="1650">
        <f>'7'!$H$128</f>
        <v>3068.0300000000716</v>
      </c>
    </row>
    <row r="9" spans="1:74" x14ac:dyDescent="0.25">
      <c r="A9" s="1248" t="s">
        <v>317</v>
      </c>
      <c r="B9" s="1643">
        <f t="shared" si="0"/>
        <v>8</v>
      </c>
      <c r="C9" s="1643">
        <v>2</v>
      </c>
      <c r="D9" s="1643">
        <v>2021</v>
      </c>
      <c r="E9" s="1648">
        <f>'8'!$H$35</f>
        <v>6726.2399999999907</v>
      </c>
      <c r="F9" s="1648">
        <f>'8'!$H$36</f>
        <v>5053.9599999999627</v>
      </c>
      <c r="G9" s="1648">
        <f>'8'!$H$37</f>
        <v>2139.27</v>
      </c>
      <c r="H9" s="1648">
        <f>'8'!$H$38</f>
        <v>2026.04</v>
      </c>
      <c r="I9" s="1648">
        <f>'8'!$H$39</f>
        <v>5850.78</v>
      </c>
      <c r="J9" s="1648">
        <f>'8'!$H$40</f>
        <v>0</v>
      </c>
      <c r="K9" s="1648">
        <f>'8'!$H$41</f>
        <v>14637.350000000006</v>
      </c>
      <c r="L9" s="1648">
        <f>'8'!$H$42</f>
        <v>0</v>
      </c>
      <c r="M9" s="1648">
        <f>'8'!$H$43</f>
        <v>10571.760000000009</v>
      </c>
      <c r="N9" s="1648">
        <f>'8'!$H$44</f>
        <v>0</v>
      </c>
      <c r="O9" s="1648">
        <f>'8'!$H$45</f>
        <v>-0.48000000000001819</v>
      </c>
      <c r="P9" s="1648">
        <f>'8'!$H$46</f>
        <v>-0.49000000000000909</v>
      </c>
      <c r="Q9" s="1648">
        <f>'8'!$H$49</f>
        <v>14832.950000000012</v>
      </c>
      <c r="R9" s="1648">
        <f>'8'!$H$50</f>
        <v>9303.6900000000023</v>
      </c>
      <c r="S9" s="1648">
        <f>'8'!$H$51</f>
        <v>9951.179999999993</v>
      </c>
      <c r="T9" s="1648">
        <f>'8'!$H$52</f>
        <v>14104.040000000037</v>
      </c>
      <c r="U9" s="1648">
        <f>'8'!$H$53</f>
        <v>27556.239999999991</v>
      </c>
      <c r="V9" s="1648">
        <f>'8'!$H$54</f>
        <v>378.35999999999967</v>
      </c>
      <c r="W9" s="1648">
        <f>'8'!$H$55</f>
        <v>16549.419999999998</v>
      </c>
      <c r="X9" s="1648">
        <f>'8'!$H$56</f>
        <v>7.0899999999674037</v>
      </c>
      <c r="Y9" s="1648">
        <f>'8'!$H$57</f>
        <v>7711</v>
      </c>
      <c r="Z9" s="1648">
        <f>'8'!$H$58</f>
        <v>1348.6500000000015</v>
      </c>
      <c r="AA9" s="1648">
        <f>'8'!$H$62</f>
        <v>-0.1889999999984866</v>
      </c>
      <c r="AB9" s="1648">
        <f>'8'!$H$63</f>
        <v>115.47000000000003</v>
      </c>
      <c r="AC9" s="1648">
        <f>'8'!$H$64</f>
        <v>3368.5399999999936</v>
      </c>
      <c r="AD9" s="1648">
        <f>'8'!$H$65</f>
        <v>3010.4600000000064</v>
      </c>
      <c r="AE9" s="1648">
        <f>'8'!$H$66</f>
        <v>3192.26</v>
      </c>
      <c r="AF9" s="1648">
        <f>'8'!$H$67</f>
        <v>5605</v>
      </c>
      <c r="AG9" s="1648">
        <f>'8'!$H$68</f>
        <v>2716.1399999999994</v>
      </c>
      <c r="AH9" s="1648">
        <f>'8'!$H$69</f>
        <v>2410.2900000000009</v>
      </c>
      <c r="AI9" s="1648">
        <f>'8'!$H$70</f>
        <v>0</v>
      </c>
      <c r="AJ9" s="1648">
        <f>'8'!$H$72</f>
        <v>625</v>
      </c>
      <c r="AK9" s="1648">
        <f>'8'!$H$73</f>
        <v>2</v>
      </c>
      <c r="AL9" s="1648">
        <f>'8'!$H$74</f>
        <v>211</v>
      </c>
      <c r="AM9" s="1648">
        <f>'8'!$H$75</f>
        <v>1433</v>
      </c>
      <c r="AN9" s="1648">
        <f>'8'!$H$76</f>
        <v>670</v>
      </c>
      <c r="AO9" s="1648">
        <f>'8'!$H$77</f>
        <v>471</v>
      </c>
      <c r="AP9" s="1648">
        <f>'8'!$H$78</f>
        <v>3309</v>
      </c>
      <c r="AQ9" s="1648">
        <f>'8'!$H$79</f>
        <v>1557</v>
      </c>
      <c r="AR9" s="1648">
        <f>'8'!$H$80</f>
        <v>2462.960000000021</v>
      </c>
      <c r="AS9" s="1648">
        <f>'8'!$H$81</f>
        <v>773</v>
      </c>
      <c r="AT9" s="1648">
        <f>'8'!$H$82</f>
        <v>262.80000000000291</v>
      </c>
      <c r="AU9" s="1648">
        <f>'8'!$H$83</f>
        <v>3626</v>
      </c>
      <c r="AV9" s="1648">
        <f>'8'!$H$84</f>
        <v>3872</v>
      </c>
      <c r="AW9" s="1645">
        <f>'8'!$H$92</f>
        <v>750</v>
      </c>
      <c r="AX9" s="1645">
        <f>'8'!$H$93</f>
        <v>1338</v>
      </c>
      <c r="AY9" s="1645">
        <f>'8'!$H$95</f>
        <v>528</v>
      </c>
      <c r="AZ9" s="1645">
        <f>'8'!$H$96</f>
        <v>275</v>
      </c>
      <c r="BA9" s="1645">
        <f>'8'!$H$97</f>
        <v>224</v>
      </c>
      <c r="BB9" s="1645">
        <f>'8'!$H$98</f>
        <v>537</v>
      </c>
      <c r="BC9" s="1645">
        <f>'8'!$H$99</f>
        <v>83</v>
      </c>
      <c r="BD9" s="1645">
        <f>'8'!$H$100</f>
        <v>54</v>
      </c>
      <c r="BE9" s="1645">
        <f>'8'!$H$104</f>
        <v>0</v>
      </c>
      <c r="BF9" s="1645">
        <f>'8'!$H$105</f>
        <v>63</v>
      </c>
      <c r="BG9" s="1645">
        <f>'8'!$H$106</f>
        <v>47</v>
      </c>
      <c r="BH9" s="1645">
        <f>'8'!$H$109</f>
        <v>483</v>
      </c>
      <c r="BI9" s="1645">
        <f>'8'!$H$110</f>
        <v>526</v>
      </c>
      <c r="BJ9" s="1645">
        <f>'8'!$H$111</f>
        <v>62</v>
      </c>
      <c r="BK9" s="1645">
        <f>'8'!$H$114</f>
        <v>117</v>
      </c>
      <c r="BL9" s="1645">
        <f>'8'!$H$115</f>
        <v>52</v>
      </c>
      <c r="BM9" s="1645">
        <f>'8'!$H$116</f>
        <v>0</v>
      </c>
      <c r="BN9" s="1645">
        <f>'8'!$H$118</f>
        <v>1148</v>
      </c>
      <c r="BO9" s="1645">
        <f>'8'!$H$119</f>
        <v>1164</v>
      </c>
      <c r="BP9" s="1645">
        <f>'8'!$H$120</f>
        <v>1071</v>
      </c>
      <c r="BQ9" s="1650">
        <f>'8'!$H$123</f>
        <v>2196.5799999999581</v>
      </c>
      <c r="BR9" s="1650">
        <f>'8'!$H$124</f>
        <v>1.3999999999941792</v>
      </c>
      <c r="BS9" s="1650">
        <f>'8'!$H$125</f>
        <v>529.72000000000116</v>
      </c>
      <c r="BT9" s="1650">
        <f>'8'!$H$126</f>
        <v>314.60000000000582</v>
      </c>
      <c r="BU9" s="1650">
        <f>'8'!$H$127</f>
        <v>20</v>
      </c>
      <c r="BV9" s="1650">
        <f>'8'!$H$128</f>
        <v>0</v>
      </c>
    </row>
    <row r="10" spans="1:74" x14ac:dyDescent="0.25">
      <c r="A10" s="1248" t="s">
        <v>317</v>
      </c>
      <c r="B10" s="1643">
        <f t="shared" si="0"/>
        <v>9</v>
      </c>
      <c r="C10" s="1643">
        <v>2</v>
      </c>
      <c r="D10" s="1643">
        <v>2021</v>
      </c>
      <c r="E10" s="1648">
        <f>'9'!$H$35</f>
        <v>9240.1599999999162</v>
      </c>
      <c r="F10" s="1648">
        <f>'9'!$H$36</f>
        <v>5699.359999999986</v>
      </c>
      <c r="G10" s="1648">
        <f>'9'!$H$37</f>
        <v>3572.52</v>
      </c>
      <c r="H10" s="1648">
        <f>'9'!$H$38</f>
        <v>3922.58</v>
      </c>
      <c r="I10" s="1648">
        <f>'9'!$H$39</f>
        <v>9967</v>
      </c>
      <c r="J10" s="1648">
        <f>'9'!$H$40</f>
        <v>0</v>
      </c>
      <c r="K10" s="1648">
        <f>'9'!$H$41</f>
        <v>14637.350000000006</v>
      </c>
      <c r="L10" s="1648">
        <f>'9'!$H$42</f>
        <v>0</v>
      </c>
      <c r="M10" s="1648">
        <f>'9'!$H$43</f>
        <v>13111.089999999967</v>
      </c>
      <c r="N10" s="1648">
        <f>'9'!$H$44</f>
        <v>0</v>
      </c>
      <c r="O10" s="1648">
        <f>'9'!$H$45</f>
        <v>-0.48000000000001819</v>
      </c>
      <c r="P10" s="1648">
        <f>'9'!$H$46</f>
        <v>-0.49000000000000909</v>
      </c>
      <c r="Q10" s="1648">
        <f>'9'!$H$49</f>
        <v>14832.950000000012</v>
      </c>
      <c r="R10" s="1648">
        <f>'9'!$H$50</f>
        <v>10476.690000000002</v>
      </c>
      <c r="S10" s="1648">
        <f>'9'!$H$51</f>
        <v>9951.179999999993</v>
      </c>
      <c r="T10" s="1648">
        <f>'9'!$H$52</f>
        <v>14104.040000000037</v>
      </c>
      <c r="U10" s="1648">
        <f>'9'!$H$53</f>
        <v>27556.239999999991</v>
      </c>
      <c r="V10" s="1648">
        <f>'9'!$H$54</f>
        <v>448.19999999999982</v>
      </c>
      <c r="W10" s="1648">
        <f>'9'!$H$55</f>
        <v>20085.419999999998</v>
      </c>
      <c r="X10" s="1648">
        <f>'9'!$H$56</f>
        <v>7.0899999999674037</v>
      </c>
      <c r="Y10" s="1648">
        <f>'9'!$H$57</f>
        <v>7711</v>
      </c>
      <c r="Z10" s="1648">
        <f>'9'!$H$58</f>
        <v>1448.880000000001</v>
      </c>
      <c r="AA10" s="1648">
        <f>'9'!$H$62</f>
        <v>-0.1889999999984866</v>
      </c>
      <c r="AB10" s="1648">
        <f>'9'!$H$63</f>
        <v>128.72000000000003</v>
      </c>
      <c r="AC10" s="1648">
        <f>'9'!$H$64</f>
        <v>3774.5399999999936</v>
      </c>
      <c r="AD10" s="1648">
        <f>'9'!$H$65</f>
        <v>3387.7700000000041</v>
      </c>
      <c r="AE10" s="1648">
        <f>'9'!$H$66</f>
        <v>3570.26</v>
      </c>
      <c r="AF10" s="1648">
        <f>'9'!$H$67</f>
        <v>6298.4700000000012</v>
      </c>
      <c r="AG10" s="1648">
        <f>'9'!$H$68</f>
        <v>3059.1399999999994</v>
      </c>
      <c r="AH10" s="1648">
        <f>'9'!$H$69</f>
        <v>2686.2900000000009</v>
      </c>
      <c r="AI10" s="1648">
        <f>'9'!$H$70</f>
        <v>0</v>
      </c>
      <c r="AJ10" s="1648">
        <f>'9'!$H$72</f>
        <v>675</v>
      </c>
      <c r="AK10" s="1648">
        <f>'9'!$H$73</f>
        <v>2</v>
      </c>
      <c r="AL10" s="1648">
        <f>'9'!$H$74</f>
        <v>235</v>
      </c>
      <c r="AM10" s="1648">
        <f>'9'!$H$75</f>
        <v>1608</v>
      </c>
      <c r="AN10" s="1648">
        <f>'9'!$H$76</f>
        <v>813</v>
      </c>
      <c r="AO10" s="1648">
        <f>'9'!$H$77</f>
        <v>515</v>
      </c>
      <c r="AP10" s="1648">
        <f>'9'!$H$78</f>
        <v>3721</v>
      </c>
      <c r="AQ10" s="1648">
        <f>'9'!$H$79</f>
        <v>1747</v>
      </c>
      <c r="AR10" s="1648">
        <f>'9'!$H$80</f>
        <v>2749</v>
      </c>
      <c r="AS10" s="1648">
        <f>'9'!$H$81</f>
        <v>875.92000000004191</v>
      </c>
      <c r="AT10" s="1648">
        <f>'9'!$H$82</f>
        <v>294.82000000000698</v>
      </c>
      <c r="AU10" s="1648">
        <f>'9'!$H$83</f>
        <v>4039</v>
      </c>
      <c r="AV10" s="1648">
        <f>'9'!$H$84</f>
        <v>4354</v>
      </c>
      <c r="AW10" s="1645">
        <f>'9'!$H$92</f>
        <v>854</v>
      </c>
      <c r="AX10" s="1645">
        <f>'9'!$H$93</f>
        <v>1444</v>
      </c>
      <c r="AY10" s="1645">
        <f>'9'!$H$95</f>
        <v>590</v>
      </c>
      <c r="AZ10" s="1645">
        <f>'9'!$H$96</f>
        <v>315</v>
      </c>
      <c r="BA10" s="1645">
        <f>'9'!$H$97</f>
        <v>253</v>
      </c>
      <c r="BB10" s="1645">
        <f>'9'!$H$98</f>
        <v>604</v>
      </c>
      <c r="BC10" s="1645">
        <f>'9'!$H$99</f>
        <v>96</v>
      </c>
      <c r="BD10" s="1645">
        <f>'9'!$H$100</f>
        <v>63</v>
      </c>
      <c r="BE10" s="1645">
        <f>'9'!$H$104</f>
        <v>0</v>
      </c>
      <c r="BF10" s="1645">
        <f>'9'!$H$105</f>
        <v>63</v>
      </c>
      <c r="BG10" s="1645">
        <f>'9'!$H$106</f>
        <v>51</v>
      </c>
      <c r="BH10" s="1645">
        <f>'9'!$H$109</f>
        <v>536</v>
      </c>
      <c r="BI10" s="1645">
        <f>'9'!$H$110</f>
        <v>589</v>
      </c>
      <c r="BJ10" s="1645">
        <f>'9'!$H$111</f>
        <v>99</v>
      </c>
      <c r="BK10" s="1645">
        <f>'9'!$H$114</f>
        <v>132</v>
      </c>
      <c r="BL10" s="1645">
        <f>'9'!$H$115</f>
        <v>59</v>
      </c>
      <c r="BM10" s="1645">
        <f>'9'!$H$116</f>
        <v>0</v>
      </c>
      <c r="BN10" s="1645">
        <f>'9'!$H$118</f>
        <v>1304</v>
      </c>
      <c r="BO10" s="1645">
        <f>'9'!$H$119</f>
        <v>1317</v>
      </c>
      <c r="BP10" s="1645">
        <f>'9'!$H$120</f>
        <v>1224</v>
      </c>
      <c r="BQ10" s="1650">
        <f>'9'!$H$123</f>
        <v>2506.5999999999767</v>
      </c>
      <c r="BR10" s="1650">
        <f>'9'!$H$124</f>
        <v>1.3999999999941792</v>
      </c>
      <c r="BS10" s="1650">
        <f>'9'!$H$125</f>
        <v>577.57999999998719</v>
      </c>
      <c r="BT10" s="1650">
        <f>'9'!$H$126</f>
        <v>346.30000000000291</v>
      </c>
      <c r="BU10" s="1650">
        <f>'9'!$H$127</f>
        <v>21.799999999999272</v>
      </c>
      <c r="BV10" s="1650">
        <f>'9'!$H$128</f>
        <v>0</v>
      </c>
    </row>
    <row r="11" spans="1:74" x14ac:dyDescent="0.25">
      <c r="A11" s="1248" t="s">
        <v>317</v>
      </c>
      <c r="B11" s="1643">
        <f t="shared" si="0"/>
        <v>10</v>
      </c>
      <c r="C11" s="1643">
        <v>2</v>
      </c>
      <c r="D11" s="1643">
        <v>2021</v>
      </c>
      <c r="E11" s="1648">
        <f>'10'!$H$35</f>
        <v>11901.329999999958</v>
      </c>
      <c r="F11" s="1648">
        <f>'10'!$H$36</f>
        <v>6313.4400000000023</v>
      </c>
      <c r="G11" s="1648">
        <f>'10'!$H$37</f>
        <v>5027.49</v>
      </c>
      <c r="H11" s="1648">
        <f>'10'!$H$38</f>
        <v>5824.12</v>
      </c>
      <c r="I11" s="1648">
        <f>'10'!$H$39</f>
        <v>14156.47</v>
      </c>
      <c r="J11" s="1648">
        <f>'10'!$H$40</f>
        <v>0</v>
      </c>
      <c r="K11" s="1648">
        <f>'10'!$H$41</f>
        <v>14637.350000000006</v>
      </c>
      <c r="L11" s="1648">
        <f>'10'!$H$42</f>
        <v>0</v>
      </c>
      <c r="M11" s="1648">
        <f>'10'!$H$43</f>
        <v>15659.089999999967</v>
      </c>
      <c r="N11" s="1648">
        <f>'10'!$H$44</f>
        <v>0</v>
      </c>
      <c r="O11" s="1648">
        <f>'10'!$H$45</f>
        <v>-0.48000000000001819</v>
      </c>
      <c r="P11" s="1648">
        <f>'10'!$H$46</f>
        <v>-0.49000000000000909</v>
      </c>
      <c r="Q11" s="1648">
        <f>'10'!$H$49</f>
        <v>14832.950000000012</v>
      </c>
      <c r="R11" s="1648">
        <f>'10'!$H$50</f>
        <v>11519.690000000002</v>
      </c>
      <c r="S11" s="1648">
        <f>'10'!$H$51</f>
        <v>9951.179999999993</v>
      </c>
      <c r="T11" s="1648">
        <f>'10'!$H$52</f>
        <v>14104.040000000037</v>
      </c>
      <c r="U11" s="1648">
        <f>'10'!$H$53</f>
        <v>27556.239999999991</v>
      </c>
      <c r="V11" s="1648">
        <f>'10'!$H$54</f>
        <v>520.35999999999967</v>
      </c>
      <c r="W11" s="1648">
        <f>'10'!$H$55</f>
        <v>23952.82</v>
      </c>
      <c r="X11" s="1648">
        <f>'10'!$H$56</f>
        <v>7.0899999999674037</v>
      </c>
      <c r="Y11" s="1648">
        <f>'10'!$H$57</f>
        <v>7711</v>
      </c>
      <c r="Z11" s="1648">
        <f>'10'!$H$58</f>
        <v>1646.5099999999984</v>
      </c>
      <c r="AA11" s="1648">
        <f>'10'!$H$62</f>
        <v>-0.1889999999984866</v>
      </c>
      <c r="AB11" s="1648">
        <f>'10'!$H$63</f>
        <v>141.17000000000007</v>
      </c>
      <c r="AC11" s="1648">
        <f>'10'!$H$64</f>
        <v>4215.25</v>
      </c>
      <c r="AD11" s="1648">
        <f>'10'!$H$65</f>
        <v>3761.8899999999994</v>
      </c>
      <c r="AE11" s="1648">
        <f>'10'!$H$66</f>
        <v>3944.26</v>
      </c>
      <c r="AF11" s="1648">
        <f>'10'!$H$67</f>
        <v>7023.4700000000012</v>
      </c>
      <c r="AG11" s="1648">
        <f>'10'!$H$68</f>
        <v>3404.1399999999994</v>
      </c>
      <c r="AH11" s="1648">
        <f>'10'!$H$69</f>
        <v>2982.0900000000038</v>
      </c>
      <c r="AI11" s="1648">
        <f>'10'!$H$70</f>
        <v>0</v>
      </c>
      <c r="AJ11" s="1648">
        <f>'10'!$H$72</f>
        <v>719</v>
      </c>
      <c r="AK11" s="1648">
        <f>'10'!$H$73</f>
        <v>2</v>
      </c>
      <c r="AL11" s="1648">
        <f>'10'!$H$74</f>
        <v>250.21</v>
      </c>
      <c r="AM11" s="1648">
        <f>'10'!$H$75</f>
        <v>1791.85</v>
      </c>
      <c r="AN11" s="1648">
        <f>'10'!$H$76</f>
        <v>893.05</v>
      </c>
      <c r="AO11" s="1648">
        <f>'10'!$H$77</f>
        <v>563</v>
      </c>
      <c r="AP11" s="1648">
        <f>'10'!$H$78</f>
        <v>4154</v>
      </c>
      <c r="AQ11" s="1648">
        <f>'10'!$H$79</f>
        <v>1932</v>
      </c>
      <c r="AR11" s="1648">
        <f>'10'!$H$80</f>
        <v>3033.7600000000093</v>
      </c>
      <c r="AS11" s="1648">
        <f>'10'!$H$81</f>
        <v>979</v>
      </c>
      <c r="AT11" s="1648">
        <f>'10'!$H$82</f>
        <v>319.97999999999593</v>
      </c>
      <c r="AU11" s="1648">
        <f>'10'!$H$83</f>
        <v>4301</v>
      </c>
      <c r="AV11" s="1648">
        <f>'10'!$H$84</f>
        <v>4850</v>
      </c>
      <c r="AW11" s="1645">
        <f>'10'!$H$92</f>
        <v>991</v>
      </c>
      <c r="AX11" s="1645">
        <f>'10'!$H$93</f>
        <v>1599</v>
      </c>
      <c r="AY11" s="1645">
        <f>'10'!$H$95</f>
        <v>667</v>
      </c>
      <c r="AZ11" s="1645">
        <f>'10'!$H$96</f>
        <v>355</v>
      </c>
      <c r="BA11" s="1645">
        <f>'10'!$H$97</f>
        <v>299</v>
      </c>
      <c r="BB11" s="1645">
        <f>'10'!$H$98</f>
        <v>684</v>
      </c>
      <c r="BC11" s="1645">
        <f>'10'!$H$99</f>
        <v>108</v>
      </c>
      <c r="BD11" s="1645">
        <f>'10'!$H$100</f>
        <v>75</v>
      </c>
      <c r="BE11" s="1645">
        <f>'10'!$H$104</f>
        <v>0</v>
      </c>
      <c r="BF11" s="1645">
        <f>'10'!$H$105</f>
        <v>75</v>
      </c>
      <c r="BG11" s="1645">
        <f>'10'!$H$106</f>
        <v>54</v>
      </c>
      <c r="BH11" s="1645">
        <f>'10'!$H$109</f>
        <v>597</v>
      </c>
      <c r="BI11" s="1645">
        <f>'10'!$H$110</f>
        <v>653</v>
      </c>
      <c r="BJ11" s="1645">
        <f>'10'!$H$111</f>
        <v>105</v>
      </c>
      <c r="BK11" s="1645">
        <f>'10'!$H$114</f>
        <v>146</v>
      </c>
      <c r="BL11" s="1645">
        <f>'10'!$H$115</f>
        <v>72</v>
      </c>
      <c r="BM11" s="1645">
        <f>'10'!$H$116</f>
        <v>0</v>
      </c>
      <c r="BN11" s="1645">
        <f>'10'!$H$118</f>
        <v>1491</v>
      </c>
      <c r="BO11" s="1645">
        <f>'10'!$H$119</f>
        <v>1504</v>
      </c>
      <c r="BP11" s="1645">
        <f>'10'!$H$120</f>
        <v>1355</v>
      </c>
      <c r="BQ11" s="1650">
        <f>'10'!$H$123</f>
        <v>2792.5999999999767</v>
      </c>
      <c r="BR11" s="1650">
        <f>'10'!$H$124</f>
        <v>1.3999999999941792</v>
      </c>
      <c r="BS11" s="1650">
        <f>'10'!$H$125</f>
        <v>655.83999999999651</v>
      </c>
      <c r="BT11" s="1650">
        <f>'10'!$H$126</f>
        <v>378.30000000000291</v>
      </c>
      <c r="BU11" s="1650">
        <f>'10'!$H$127</f>
        <v>23</v>
      </c>
      <c r="BV11" s="1650">
        <f>'10'!$H$128</f>
        <v>0</v>
      </c>
    </row>
    <row r="12" spans="1:74" x14ac:dyDescent="0.25">
      <c r="A12" s="1248" t="s">
        <v>317</v>
      </c>
      <c r="B12" s="1643">
        <f t="shared" si="0"/>
        <v>11</v>
      </c>
      <c r="C12" s="1643">
        <v>2</v>
      </c>
      <c r="D12" s="1643">
        <v>2021</v>
      </c>
      <c r="E12" s="1648">
        <f>'11'!$H$35</f>
        <v>14259.329999999958</v>
      </c>
      <c r="F12" s="1648">
        <f>'11'!$H$36</f>
        <v>7010.5499999999884</v>
      </c>
      <c r="G12" s="1648">
        <f>'11'!$H$37</f>
        <v>6499.81</v>
      </c>
      <c r="H12" s="1648">
        <f>'11'!$H$38</f>
        <v>7655.12</v>
      </c>
      <c r="I12" s="1648">
        <f>'11'!$H$39</f>
        <v>18260</v>
      </c>
      <c r="J12" s="1648">
        <f>'11'!$H$40</f>
        <v>0</v>
      </c>
      <c r="K12" s="1648">
        <f>'11'!$H$41</f>
        <v>14637.350000000006</v>
      </c>
      <c r="L12" s="1648">
        <f>'11'!$H$42</f>
        <v>0</v>
      </c>
      <c r="M12" s="1648">
        <f>'11'!$H$43</f>
        <v>18202.089999999967</v>
      </c>
      <c r="N12" s="1648">
        <f>'11'!$H$44</f>
        <v>0</v>
      </c>
      <c r="O12" s="1648">
        <f>'11'!$H$45</f>
        <v>-0.48000000000001819</v>
      </c>
      <c r="P12" s="1648">
        <f>'11'!$H$46</f>
        <v>0</v>
      </c>
      <c r="Q12" s="1648">
        <f>'11'!$H$49</f>
        <v>14832.950000000012</v>
      </c>
      <c r="R12" s="1648">
        <f>'11'!$H$50</f>
        <v>11515.400000000023</v>
      </c>
      <c r="S12" s="1648">
        <f>'11'!$H$51</f>
        <v>9951.179999999993</v>
      </c>
      <c r="T12" s="1648">
        <f>'11'!$H$52</f>
        <v>14104.040000000037</v>
      </c>
      <c r="U12" s="1648">
        <f>'11'!$H$53</f>
        <v>27556.239999999991</v>
      </c>
      <c r="V12" s="1648">
        <f>'11'!$H$54</f>
        <v>518.90999999999985</v>
      </c>
      <c r="W12" s="1648">
        <f>'11'!$H$55</f>
        <v>24137.019999999997</v>
      </c>
      <c r="X12" s="1648">
        <f>'11'!$H$56</f>
        <v>7.0899999999674037</v>
      </c>
      <c r="Y12" s="1648">
        <f>'11'!$H$57</f>
        <v>7711</v>
      </c>
      <c r="Z12" s="1648">
        <f>'11'!$H$58</f>
        <v>1616.4600000000028</v>
      </c>
      <c r="AA12" s="1648">
        <f>'11'!$H$62</f>
        <v>-0.1889999999984866</v>
      </c>
      <c r="AB12" s="1648">
        <f>'11'!$H$63</f>
        <v>153.47000000000003</v>
      </c>
      <c r="AC12" s="1648">
        <f>'11'!$H$64</f>
        <v>4609.5399999999936</v>
      </c>
      <c r="AD12" s="1648">
        <f>'11'!$H$65</f>
        <v>4131.8899999999994</v>
      </c>
      <c r="AE12" s="1648">
        <f>'11'!$H$66</f>
        <v>4325.26</v>
      </c>
      <c r="AF12" s="1648">
        <f>'11'!$H$67</f>
        <v>7731.4700000000012</v>
      </c>
      <c r="AG12" s="1648">
        <f>'11'!$H$68</f>
        <v>3726.1399999999994</v>
      </c>
      <c r="AH12" s="1648">
        <f>'11'!$H$69</f>
        <v>3294.2900000000009</v>
      </c>
      <c r="AI12" s="1648">
        <f>'11'!$H$70</f>
        <v>0</v>
      </c>
      <c r="AJ12" s="1648">
        <f>'11'!$H$72</f>
        <v>769</v>
      </c>
      <c r="AK12" s="1648">
        <f>'11'!$H$73</f>
        <v>3</v>
      </c>
      <c r="AL12" s="1648">
        <f>'11'!$H$74</f>
        <v>265.33</v>
      </c>
      <c r="AM12" s="1648">
        <f>'11'!$H$75</f>
        <v>1963.33</v>
      </c>
      <c r="AN12" s="1648">
        <f>'11'!$H$76</f>
        <v>953.71999999999991</v>
      </c>
      <c r="AO12" s="1648">
        <f>'11'!$H$77</f>
        <v>621</v>
      </c>
      <c r="AP12" s="1648">
        <f>'11'!$H$78</f>
        <v>4588</v>
      </c>
      <c r="AQ12" s="1648">
        <f>'11'!$H$79</f>
        <v>2118</v>
      </c>
      <c r="AR12" s="1648">
        <f>'11'!$H$80</f>
        <v>3351.9199999999837</v>
      </c>
      <c r="AS12" s="1648">
        <f>'11'!$H$81</f>
        <v>1101.5200000000186</v>
      </c>
      <c r="AT12" s="1648">
        <f>'11'!$H$82</f>
        <v>343.4600000000064</v>
      </c>
      <c r="AU12" s="1648">
        <f>'11'!$H$83</f>
        <v>4607</v>
      </c>
      <c r="AV12" s="1648">
        <f>'11'!$H$84</f>
        <v>5297</v>
      </c>
      <c r="AW12" s="1645">
        <f>'11'!$H$92</f>
        <v>1092</v>
      </c>
      <c r="AX12" s="1645">
        <f>'11'!$H$93</f>
        <v>1733</v>
      </c>
      <c r="AY12" s="1645">
        <f>'11'!$H$95</f>
        <v>738</v>
      </c>
      <c r="AZ12" s="1645">
        <f>'11'!$H$96</f>
        <v>404</v>
      </c>
      <c r="BA12" s="1645">
        <f>'11'!$H$97</f>
        <v>322</v>
      </c>
      <c r="BB12" s="1645">
        <f>'11'!$H$98</f>
        <v>759</v>
      </c>
      <c r="BC12" s="1645">
        <f>'11'!$H$99</f>
        <v>118</v>
      </c>
      <c r="BD12" s="1645">
        <f>'11'!$H$100</f>
        <v>84</v>
      </c>
      <c r="BE12" s="1645">
        <f>'11'!$H$104</f>
        <v>74</v>
      </c>
      <c r="BF12" s="1645">
        <f>'11'!$H$105</f>
        <v>55</v>
      </c>
      <c r="BG12" s="1645">
        <f>'11'!$H$106</f>
        <v>340</v>
      </c>
      <c r="BH12" s="1645">
        <f>'11'!$H$109</f>
        <v>181</v>
      </c>
      <c r="BI12" s="1645">
        <f>'11'!$H$110</f>
        <v>144</v>
      </c>
      <c r="BJ12" s="1645">
        <f>'11'!$H$111</f>
        <v>445</v>
      </c>
      <c r="BK12" s="1645">
        <f>'11'!$H$114</f>
        <v>12</v>
      </c>
      <c r="BL12" s="1645">
        <f>'11'!$H$115</f>
        <v>90</v>
      </c>
      <c r="BM12" s="1645">
        <f>'11'!$H$116</f>
        <v>200</v>
      </c>
      <c r="BN12" s="1645">
        <f>'11'!$H$118</f>
        <v>175</v>
      </c>
      <c r="BO12" s="1645">
        <f>'11'!$H$119</f>
        <v>245</v>
      </c>
      <c r="BP12" s="1645">
        <f>'11'!$H$120</f>
        <v>222</v>
      </c>
      <c r="BQ12" s="1650">
        <f>'11'!$H$123</f>
        <v>3095.4599999999627</v>
      </c>
      <c r="BR12" s="1650">
        <f>'11'!$H$124</f>
        <v>1.3999999999941792</v>
      </c>
      <c r="BS12" s="1650">
        <f>'11'!$H$125</f>
        <v>720.85999999998603</v>
      </c>
      <c r="BT12" s="1650">
        <f>'11'!$H$126</f>
        <v>417.10000000000582</v>
      </c>
      <c r="BU12" s="1650">
        <f>'11'!$H$127</f>
        <v>23</v>
      </c>
      <c r="BV12" s="1650">
        <f>'11'!$H$128</f>
        <v>0</v>
      </c>
    </row>
    <row r="13" spans="1:74" x14ac:dyDescent="0.25">
      <c r="A13" s="1248" t="s">
        <v>317</v>
      </c>
      <c r="B13" s="1643">
        <f t="shared" si="0"/>
        <v>12</v>
      </c>
      <c r="C13" s="1643">
        <v>2</v>
      </c>
      <c r="D13" s="1643">
        <v>2021</v>
      </c>
      <c r="E13" s="1648">
        <f>'12'!$H$35</f>
        <v>16666.279999999912</v>
      </c>
      <c r="F13" s="1648">
        <f>'12'!$H$36</f>
        <v>7622.2999999999884</v>
      </c>
      <c r="G13" s="1648">
        <f>'12'!$H$37</f>
        <v>8004.01</v>
      </c>
      <c r="H13" s="1648">
        <f>'12'!$H$38</f>
        <v>9646.0600000000013</v>
      </c>
      <c r="I13" s="1648">
        <f>'12'!$H$39</f>
        <v>22323.9</v>
      </c>
      <c r="J13" s="1648">
        <f>'12'!$H$40</f>
        <v>-0.06</v>
      </c>
      <c r="K13" s="1648">
        <f>'12'!$H$41</f>
        <v>14637.350000000006</v>
      </c>
      <c r="L13" s="1648">
        <f>'12'!$H$42</f>
        <v>9.900000000197906E-2</v>
      </c>
      <c r="M13" s="1648">
        <f>'12'!$H$43</f>
        <v>20602.119999999995</v>
      </c>
      <c r="N13" s="1648">
        <f>'12'!$H$44</f>
        <v>0</v>
      </c>
      <c r="O13" s="1648">
        <f>'12'!$H$45</f>
        <v>-0.48000000000001819</v>
      </c>
      <c r="P13" s="1648">
        <f>'12'!$H$46</f>
        <v>0</v>
      </c>
      <c r="Q13" s="1648">
        <f>'12'!$H$49</f>
        <v>14833.080000000016</v>
      </c>
      <c r="R13" s="1648">
        <f>'12'!$H$50</f>
        <v>12561.440000000002</v>
      </c>
      <c r="S13" s="1648">
        <f>'12'!$H$51</f>
        <v>9951.179999999993</v>
      </c>
      <c r="T13" s="1648">
        <f>'12'!$H$52</f>
        <v>14104.040000000037</v>
      </c>
      <c r="U13" s="1648">
        <f>'12'!$H$53</f>
        <v>27556.239999999991</v>
      </c>
      <c r="V13" s="1648">
        <f>'12'!$H$54</f>
        <v>589.23999999999978</v>
      </c>
      <c r="W13" s="1648">
        <f>'12'!$H$55</f>
        <v>29022.495000000003</v>
      </c>
      <c r="X13" s="1648">
        <f>'12'!$H$56</f>
        <v>7.0899999999674037</v>
      </c>
      <c r="Y13" s="1648">
        <f>'12'!$H$57</f>
        <v>7711</v>
      </c>
      <c r="Z13" s="1648">
        <f>'12'!$H$58</f>
        <v>1796.5400000000045</v>
      </c>
      <c r="AA13" s="1648">
        <f>'12'!$H$62</f>
        <v>-0.1889999999984866</v>
      </c>
      <c r="AB13" s="1648">
        <f>'12'!$H$63</f>
        <v>161.33999999999992</v>
      </c>
      <c r="AC13" s="1648">
        <f>'12'!$H$64</f>
        <v>5034.1299999999901</v>
      </c>
      <c r="AD13" s="1648">
        <f>'12'!$H$65</f>
        <v>4508.0899999999965</v>
      </c>
      <c r="AE13" s="1648">
        <f>'12'!$H$66</f>
        <v>4684.4050000000007</v>
      </c>
      <c r="AF13" s="1648">
        <f>'12'!$H$67</f>
        <v>8397.179999999993</v>
      </c>
      <c r="AG13" s="1648">
        <f>'12'!$H$68</f>
        <v>4076</v>
      </c>
      <c r="AH13" s="1648">
        <f>'12'!$H$69</f>
        <v>3600.8400000000038</v>
      </c>
      <c r="AI13" s="1648">
        <f>'12'!$H$70</f>
        <v>0</v>
      </c>
      <c r="AJ13" s="1648">
        <f>'12'!$H$72</f>
        <v>869</v>
      </c>
      <c r="AK13" s="1648">
        <f>'12'!$H$73</f>
        <v>6</v>
      </c>
      <c r="AL13" s="1648">
        <f>'12'!$H$74</f>
        <v>280.11</v>
      </c>
      <c r="AM13" s="1648">
        <f>'12'!$H$75</f>
        <v>2145.7799999999997</v>
      </c>
      <c r="AN13" s="1648">
        <f>'12'!$H$76</f>
        <v>1034.9299999999998</v>
      </c>
      <c r="AO13" s="1648">
        <f>'12'!$H$77</f>
        <v>675</v>
      </c>
      <c r="AP13" s="1648">
        <f>'12'!$H$78</f>
        <v>4956</v>
      </c>
      <c r="AQ13" s="1648">
        <f>'12'!$H$79</f>
        <v>2292</v>
      </c>
      <c r="AR13" s="1648">
        <f>'12'!$H$80</f>
        <v>3647.4400000000023</v>
      </c>
      <c r="AS13" s="1648">
        <f>'12'!$H$81</f>
        <v>1205.4399999999441</v>
      </c>
      <c r="AT13" s="1648">
        <f>'12'!$H$82</f>
        <v>366.69000000000233</v>
      </c>
      <c r="AU13" s="1648">
        <f>'12'!$H$83</f>
        <v>4910</v>
      </c>
      <c r="AV13" s="1648">
        <f>'12'!$H$84</f>
        <v>5645</v>
      </c>
      <c r="AW13" s="1645">
        <f>'12'!$H$92</f>
        <v>1221</v>
      </c>
      <c r="AX13" s="1645">
        <f>'12'!$H$93</f>
        <v>1850</v>
      </c>
      <c r="AY13" s="1645">
        <f>'12'!$H$95</f>
        <v>824</v>
      </c>
      <c r="AZ13" s="1645">
        <f>'12'!$H$96</f>
        <v>442</v>
      </c>
      <c r="BA13" s="1645">
        <f>'12'!$H$97</f>
        <v>349</v>
      </c>
      <c r="BB13" s="1645">
        <f>'12'!$H$98</f>
        <v>842</v>
      </c>
      <c r="BC13" s="1645">
        <f>'12'!$H$99</f>
        <v>128</v>
      </c>
      <c r="BD13" s="1645">
        <f>'12'!$H$100</f>
        <v>91</v>
      </c>
      <c r="BE13" s="1645">
        <f>'12'!$H$104</f>
        <v>74</v>
      </c>
      <c r="BF13" s="1645">
        <f>'12'!$H$105</f>
        <v>57</v>
      </c>
      <c r="BG13" s="1645">
        <f>'12'!$H$106</f>
        <v>346</v>
      </c>
      <c r="BH13" s="1645">
        <f>'12'!$H$109</f>
        <v>140</v>
      </c>
      <c r="BI13" s="1645">
        <f>'12'!$H$110</f>
        <v>104</v>
      </c>
      <c r="BJ13" s="1645">
        <f>'12'!$H$111</f>
        <v>433</v>
      </c>
      <c r="BK13" s="1645">
        <f>'12'!$H$114</f>
        <v>14</v>
      </c>
      <c r="BL13" s="1645">
        <f>'12'!$H$115</f>
        <v>95</v>
      </c>
      <c r="BM13" s="1645">
        <f>'12'!$H$116</f>
        <v>200</v>
      </c>
      <c r="BN13" s="1645">
        <f>'12'!$H$118</f>
        <v>203</v>
      </c>
      <c r="BO13" s="1645">
        <f>'12'!$H$119</f>
        <v>251</v>
      </c>
      <c r="BP13" s="1645">
        <f>'12'!$H$120</f>
        <v>129</v>
      </c>
      <c r="BQ13" s="1650">
        <f>'12'!$H$123</f>
        <v>3369.4799999999814</v>
      </c>
      <c r="BR13" s="1650">
        <f>'12'!$H$124</f>
        <v>1.3999999999941792</v>
      </c>
      <c r="BS13" s="1650">
        <f>'12'!$H$125</f>
        <v>799</v>
      </c>
      <c r="BT13" s="1650">
        <f>'12'!$H$126</f>
        <v>454.80000000000291</v>
      </c>
      <c r="BU13" s="1650">
        <f>'12'!$H$127</f>
        <v>26.399999999999636</v>
      </c>
      <c r="BV13" s="1650">
        <f>'12'!$H$128</f>
        <v>5267.6880000001784</v>
      </c>
    </row>
    <row r="14" spans="1:74" x14ac:dyDescent="0.25">
      <c r="A14" s="1248" t="s">
        <v>317</v>
      </c>
      <c r="B14" s="1643">
        <f t="shared" si="0"/>
        <v>13</v>
      </c>
      <c r="C14" s="1643">
        <v>2</v>
      </c>
      <c r="D14" s="1643">
        <v>2021</v>
      </c>
      <c r="E14" s="1648">
        <f>'13'!$H$35</f>
        <v>19370</v>
      </c>
      <c r="F14" s="1648">
        <f>'13'!$H$36</f>
        <v>8307.8800000000047</v>
      </c>
      <c r="G14" s="1648">
        <f>'13'!$H$37</f>
        <v>9603.93</v>
      </c>
      <c r="H14" s="1648">
        <f>'13'!$H$38</f>
        <v>11965.980000000001</v>
      </c>
      <c r="I14" s="1648">
        <f>'13'!$H$39</f>
        <v>26707.7</v>
      </c>
      <c r="J14" s="1648">
        <f>'13'!$H$40</f>
        <v>-0.06</v>
      </c>
      <c r="K14" s="1648">
        <f>'13'!$H$41</f>
        <v>14637.350000000006</v>
      </c>
      <c r="L14" s="1648">
        <f>'13'!$H$42</f>
        <v>9.900000000197906E-2</v>
      </c>
      <c r="M14" s="1648">
        <f>'13'!$H$43</f>
        <v>22977.279999999912</v>
      </c>
      <c r="N14" s="1648">
        <f>'13'!$H$44</f>
        <v>0</v>
      </c>
      <c r="O14" s="1648">
        <f>'13'!$H$45</f>
        <v>-0.48000000000001819</v>
      </c>
      <c r="P14" s="1648">
        <f>'13'!$H$46</f>
        <v>0</v>
      </c>
      <c r="Q14" s="1648">
        <f>'13'!$H$49</f>
        <v>14833.080000000016</v>
      </c>
      <c r="R14" s="1648">
        <f>'13'!$H$50</f>
        <v>13693.599999999977</v>
      </c>
      <c r="S14" s="1648">
        <f>'13'!$H$51</f>
        <v>9951.179999999993</v>
      </c>
      <c r="T14" s="1648">
        <f>'13'!$H$52</f>
        <v>14104.040000000037</v>
      </c>
      <c r="U14" s="1648">
        <f>'13'!$H$53</f>
        <v>27556.239999999991</v>
      </c>
      <c r="V14" s="1648">
        <f>'13'!$H$54</f>
        <v>660.67999999999938</v>
      </c>
      <c r="W14" s="1648">
        <f>'13'!$H$55</f>
        <v>33434.954999999994</v>
      </c>
      <c r="X14" s="1648">
        <f>'13'!$H$56</f>
        <v>7.0899999999674037</v>
      </c>
      <c r="Y14" s="1648">
        <f>'13'!$H$57</f>
        <v>7711.33</v>
      </c>
      <c r="Z14" s="1648">
        <f>'13'!$H$58</f>
        <v>1990.4300000000039</v>
      </c>
      <c r="AA14" s="1648">
        <f>'13'!$H$62</f>
        <v>-8.9999999981955625E-3</v>
      </c>
      <c r="AB14" s="1648">
        <f>'13'!$H$63</f>
        <v>174.72000000000003</v>
      </c>
      <c r="AC14" s="1648">
        <f>'13'!$H$64</f>
        <v>5434.9799999999959</v>
      </c>
      <c r="AD14" s="1648">
        <f>'13'!$H$65</f>
        <v>4900.7299999999959</v>
      </c>
      <c r="AE14" s="1648">
        <f>'13'!$H$66</f>
        <v>5084.3629999999994</v>
      </c>
      <c r="AF14" s="1648">
        <f>'13'!$H$67</f>
        <v>9111.7999999999884</v>
      </c>
      <c r="AG14" s="1648">
        <f>'13'!$H$68</f>
        <v>4442.9100000000035</v>
      </c>
      <c r="AH14" s="1648">
        <f>'13'!$H$69</f>
        <v>3920.3300000000017</v>
      </c>
      <c r="AI14" s="1648">
        <f>'13'!$H$70</f>
        <v>0</v>
      </c>
      <c r="AJ14" s="1648">
        <f>'13'!$H$72</f>
        <v>956</v>
      </c>
      <c r="AK14" s="1648">
        <f>'13'!$H$73</f>
        <v>9</v>
      </c>
      <c r="AL14" s="1648">
        <f>'13'!$H$74</f>
        <v>304.04500000000002</v>
      </c>
      <c r="AM14" s="1648">
        <f>'13'!$H$75</f>
        <v>2336.08</v>
      </c>
      <c r="AN14" s="1648">
        <f>'13'!$H$76</f>
        <v>1116.0299999999997</v>
      </c>
      <c r="AO14" s="1648">
        <f>'13'!$H$77</f>
        <v>730</v>
      </c>
      <c r="AP14" s="1648">
        <f>'13'!$H$78</f>
        <v>5372</v>
      </c>
      <c r="AQ14" s="1648">
        <f>'13'!$H$79</f>
        <v>2507</v>
      </c>
      <c r="AR14" s="1648">
        <f>'13'!$H$80</f>
        <v>3961.679999999993</v>
      </c>
      <c r="AS14" s="1648">
        <f>'13'!$H$81</f>
        <v>1333.1199999999953</v>
      </c>
      <c r="AT14" s="1648">
        <f>'13'!$H$82</f>
        <v>394.02000000000407</v>
      </c>
      <c r="AU14" s="1648">
        <f>'13'!$H$83</f>
        <v>5471</v>
      </c>
      <c r="AV14" s="1648">
        <f>'13'!$H$84</f>
        <v>6157</v>
      </c>
      <c r="AW14" s="1645">
        <f>'13'!$H$92</f>
        <v>1370</v>
      </c>
      <c r="AX14" s="1645">
        <f>'13'!$H$93</f>
        <v>2099</v>
      </c>
      <c r="AY14" s="1645">
        <f>'13'!$H$95</f>
        <v>912</v>
      </c>
      <c r="AZ14" s="1645">
        <f>'13'!$H$96</f>
        <v>485</v>
      </c>
      <c r="BA14" s="1645">
        <f>'13'!$H$97</f>
        <v>395</v>
      </c>
      <c r="BB14" s="1645">
        <f>'13'!$H$98</f>
        <v>905</v>
      </c>
      <c r="BC14" s="1645">
        <f>'13'!$H$99</f>
        <v>144</v>
      </c>
      <c r="BD14" s="1645">
        <f>'13'!$H$100</f>
        <v>105</v>
      </c>
      <c r="BE14" s="1645">
        <f>'13'!$H$104</f>
        <v>74</v>
      </c>
      <c r="BF14" s="1645">
        <f>'13'!$H$105</f>
        <v>59</v>
      </c>
      <c r="BG14" s="1645">
        <f>'13'!$H$106</f>
        <v>340</v>
      </c>
      <c r="BH14" s="1645">
        <f>'13'!$H$109</f>
        <v>136</v>
      </c>
      <c r="BI14" s="1645">
        <f>'13'!$H$110</f>
        <v>131</v>
      </c>
      <c r="BJ14" s="1645">
        <f>'13'!$H$111</f>
        <v>446</v>
      </c>
      <c r="BK14" s="1645">
        <f>'13'!$H$114</f>
        <v>20</v>
      </c>
      <c r="BL14" s="1645">
        <f>'13'!$H$115</f>
        <v>93</v>
      </c>
      <c r="BM14" s="1645">
        <f>'13'!$H$116</f>
        <v>200</v>
      </c>
      <c r="BN14" s="1645">
        <f>'13'!$H$118</f>
        <v>224</v>
      </c>
      <c r="BO14" s="1645">
        <f>'13'!$H$119</f>
        <v>290</v>
      </c>
      <c r="BP14" s="1645">
        <f>'13'!$H$120</f>
        <v>165</v>
      </c>
      <c r="BQ14" s="1650">
        <f>'13'!$H$123</f>
        <v>3663</v>
      </c>
      <c r="BR14" s="1650">
        <f>'13'!$H$124</f>
        <v>1.3999999999941792</v>
      </c>
      <c r="BS14" s="1650">
        <f>'13'!$H$125</f>
        <v>898.25</v>
      </c>
      <c r="BT14" s="1650">
        <f>'13'!$H$126</f>
        <v>503.60000000000582</v>
      </c>
      <c r="BU14" s="1650">
        <f>'13'!$H$127</f>
        <v>31.299999999999272</v>
      </c>
      <c r="BV14" s="1650">
        <f>'13'!$H$128</f>
        <v>0</v>
      </c>
    </row>
    <row r="15" spans="1:74" x14ac:dyDescent="0.25">
      <c r="A15" s="1248" t="s">
        <v>317</v>
      </c>
      <c r="B15" s="1643">
        <f t="shared" si="0"/>
        <v>14</v>
      </c>
      <c r="C15" s="1643">
        <v>2</v>
      </c>
      <c r="D15" s="1643">
        <v>2021</v>
      </c>
      <c r="E15" s="1648">
        <f>'14'!$H$35</f>
        <v>22338.199999999953</v>
      </c>
      <c r="F15" s="1648">
        <f>'14'!$H$36</f>
        <v>9172.5</v>
      </c>
      <c r="G15" s="1648">
        <f>'14'!$H$37</f>
        <v>11184.16</v>
      </c>
      <c r="H15" s="1648">
        <f>'14'!$H$38</f>
        <v>14407.04</v>
      </c>
      <c r="I15" s="1648">
        <f>'14'!$H$39</f>
        <v>31362.84</v>
      </c>
      <c r="J15" s="1648">
        <f>'14'!$H$40</f>
        <v>-0.06</v>
      </c>
      <c r="K15" s="1648">
        <f>'14'!$H$41</f>
        <v>14637.350000000006</v>
      </c>
      <c r="L15" s="1648">
        <f>'14'!$H$42</f>
        <v>9.900000000197906E-2</v>
      </c>
      <c r="M15" s="1648">
        <f>'14'!$H$43</f>
        <v>25337.359999999986</v>
      </c>
      <c r="N15" s="1648">
        <f>'14'!$H$44</f>
        <v>0</v>
      </c>
      <c r="O15" s="1648">
        <f>'14'!$H$45</f>
        <v>-0.48000000000001819</v>
      </c>
      <c r="P15" s="1648">
        <f>'14'!$H$46</f>
        <v>0</v>
      </c>
      <c r="Q15" s="1648">
        <f>'14'!$H$49</f>
        <v>14833.080000000016</v>
      </c>
      <c r="R15" s="1648">
        <f>'14'!$H$50</f>
        <v>15062.880000000005</v>
      </c>
      <c r="S15" s="1648">
        <f>'14'!$H$51</f>
        <v>9951.179999999993</v>
      </c>
      <c r="T15" s="1648">
        <f>'14'!$H$52</f>
        <v>14104.040000000037</v>
      </c>
      <c r="U15" s="1648">
        <f>'14'!$H$53</f>
        <v>27556.239999999991</v>
      </c>
      <c r="V15" s="1648">
        <f>'14'!$H$54</f>
        <v>732.04</v>
      </c>
      <c r="W15" s="1648">
        <f>'14'!$H$55</f>
        <v>39073.71</v>
      </c>
      <c r="X15" s="1648">
        <f>'14'!$H$56</f>
        <v>7.0899999999674037</v>
      </c>
      <c r="Y15" s="1648">
        <f>'14'!$H$57</f>
        <v>7711.33</v>
      </c>
      <c r="Z15" s="1648">
        <f>'14'!$H$58</f>
        <v>2215.7999999999993</v>
      </c>
      <c r="AA15" s="1648">
        <f>'14'!$H$62</f>
        <v>-8.9999999981955625E-3</v>
      </c>
      <c r="AB15" s="1648">
        <f>'14'!$H$63</f>
        <v>187.95000000000005</v>
      </c>
      <c r="AC15" s="1648">
        <f>'14'!$H$64</f>
        <v>5826.2399999999907</v>
      </c>
      <c r="AD15" s="1648">
        <f>'14'!$H$65</f>
        <v>5304.8199999999924</v>
      </c>
      <c r="AE15" s="1648">
        <f>'14'!$H$66</f>
        <v>5487.1999999999989</v>
      </c>
      <c r="AF15" s="1648">
        <f>'14'!$H$67</f>
        <v>9850.1600000000035</v>
      </c>
      <c r="AG15" s="1648">
        <f>'14'!$H$68</f>
        <v>4800.676999999996</v>
      </c>
      <c r="AH15" s="1648">
        <f>'14'!$H$69</f>
        <v>4232.68</v>
      </c>
      <c r="AI15" s="1648">
        <f>'14'!$H$70</f>
        <v>0</v>
      </c>
      <c r="AJ15" s="1648">
        <f>'14'!$H$72</f>
        <v>972</v>
      </c>
      <c r="AK15" s="1648">
        <f>'14'!$H$73</f>
        <v>957</v>
      </c>
      <c r="AL15" s="1648">
        <f>'14'!$H$74</f>
        <v>365.54</v>
      </c>
      <c r="AM15" s="1648">
        <f>'14'!$H$75</f>
        <v>2543.7600000000002</v>
      </c>
      <c r="AN15" s="1648">
        <f>'14'!$H$76</f>
        <v>2426.59</v>
      </c>
      <c r="AO15" s="1648">
        <f>'14'!$H$77</f>
        <v>784</v>
      </c>
      <c r="AP15" s="1648">
        <f>'14'!$H$78</f>
        <v>5826</v>
      </c>
      <c r="AQ15" s="1648">
        <f>'14'!$H$79</f>
        <v>5564</v>
      </c>
      <c r="AR15" s="1648">
        <f>'14'!$H$80</f>
        <v>2893.8800000000047</v>
      </c>
      <c r="AS15" s="1648">
        <f>'14'!$H$81</f>
        <v>1468.3199999999488</v>
      </c>
      <c r="AT15" s="1648">
        <f>'14'!$H$82</f>
        <v>420.94999999999709</v>
      </c>
      <c r="AU15" s="1648">
        <f>'14'!$H$83</f>
        <v>5961</v>
      </c>
      <c r="AV15" s="1648">
        <f>'14'!$H$84</f>
        <v>6655</v>
      </c>
      <c r="AW15" s="1645">
        <f>'14'!$H$92</f>
        <v>1536</v>
      </c>
      <c r="AX15" s="1645">
        <f>'14'!$H$93</f>
        <v>2273</v>
      </c>
      <c r="AY15" s="1645">
        <f>'14'!$H$95</f>
        <v>1033</v>
      </c>
      <c r="AZ15" s="1645">
        <f>'14'!$H$96</f>
        <v>532</v>
      </c>
      <c r="BA15" s="1645">
        <f>'14'!$H$97</f>
        <v>441</v>
      </c>
      <c r="BB15" s="1645">
        <f>'14'!$H$98</f>
        <v>976</v>
      </c>
      <c r="BC15" s="1645">
        <f>'14'!$H$99</f>
        <v>163</v>
      </c>
      <c r="BD15" s="1645">
        <f>'14'!$H$100</f>
        <v>129</v>
      </c>
      <c r="BE15" s="1645">
        <f>'14'!$H$104</f>
        <v>161</v>
      </c>
      <c r="BF15" s="1645">
        <f>'14'!$H$105</f>
        <v>59</v>
      </c>
      <c r="BG15" s="1645">
        <f>'14'!$H$106</f>
        <v>339</v>
      </c>
      <c r="BH15" s="1645">
        <f>'14'!$H$109</f>
        <v>136</v>
      </c>
      <c r="BI15" s="1645">
        <f>'14'!$H$110</f>
        <v>87</v>
      </c>
      <c r="BJ15" s="1645">
        <f>'14'!$H$111</f>
        <v>433</v>
      </c>
      <c r="BK15" s="1645">
        <f>'14'!$H$114</f>
        <v>22</v>
      </c>
      <c r="BL15" s="1645">
        <f>'14'!$H$115</f>
        <v>107</v>
      </c>
      <c r="BM15" s="1645">
        <f>'14'!$H$116</f>
        <v>200</v>
      </c>
      <c r="BN15" s="1645">
        <f>'14'!$H$118</f>
        <v>240</v>
      </c>
      <c r="BO15" s="1645">
        <f>'14'!$H$119</f>
        <v>340</v>
      </c>
      <c r="BP15" s="1645">
        <f>'14'!$H$120</f>
        <v>108</v>
      </c>
      <c r="BQ15" s="1650">
        <f>'14'!$H$123</f>
        <v>3970.5300000000279</v>
      </c>
      <c r="BR15" s="1650">
        <f>'14'!$H$124</f>
        <v>1.3999999999941792</v>
      </c>
      <c r="BS15" s="1650">
        <f>'14'!$H$125</f>
        <v>1010.5899999999965</v>
      </c>
      <c r="BT15" s="1650">
        <f>'14'!$H$126</f>
        <v>555.70000000000437</v>
      </c>
      <c r="BU15" s="1650">
        <f>'14'!$H$127</f>
        <v>39.799999999999272</v>
      </c>
      <c r="BV15" s="1650">
        <f>'14'!$H$128</f>
        <v>0</v>
      </c>
    </row>
    <row r="16" spans="1:74" x14ac:dyDescent="0.25">
      <c r="A16" s="1248" t="s">
        <v>317</v>
      </c>
      <c r="B16" s="1643">
        <f t="shared" si="0"/>
        <v>15</v>
      </c>
      <c r="C16" s="1643">
        <v>2</v>
      </c>
      <c r="D16" s="1643">
        <v>2021</v>
      </c>
      <c r="E16" s="1648">
        <f>'15'!$H$35</f>
        <v>25257.959999999963</v>
      </c>
      <c r="F16" s="1648">
        <f>'15'!$H$36</f>
        <v>10114.01999999996</v>
      </c>
      <c r="G16" s="1648">
        <f>'15'!$H$37</f>
        <v>12764.25</v>
      </c>
      <c r="H16" s="1648">
        <f>'15'!$H$38</f>
        <v>16875.940000000002</v>
      </c>
      <c r="I16" s="1648">
        <f>'15'!$H$39</f>
        <v>36017.43</v>
      </c>
      <c r="J16" s="1648">
        <f>'15'!$H$40</f>
        <v>-0.06</v>
      </c>
      <c r="K16" s="1648">
        <f>'15'!$H$41</f>
        <v>14637.350000000006</v>
      </c>
      <c r="L16" s="1648">
        <f>'15'!$H$42</f>
        <v>0</v>
      </c>
      <c r="M16" s="1648">
        <f>'15'!$H$43</f>
        <v>27683.520000000019</v>
      </c>
      <c r="N16" s="1648">
        <f>'15'!$H$44</f>
        <v>0</v>
      </c>
      <c r="O16" s="1648">
        <f>'15'!$H$45</f>
        <v>-0.48000000000001819</v>
      </c>
      <c r="P16" s="1648">
        <f>'15'!$H$46</f>
        <v>0</v>
      </c>
      <c r="Q16" s="1648">
        <f>'15'!$H$49</f>
        <v>14833.080000000016</v>
      </c>
      <c r="R16" s="1648">
        <f>'15'!$H$50</f>
        <v>17052.880000000005</v>
      </c>
      <c r="S16" s="1648">
        <f>'15'!$H$51</f>
        <v>9951.179999999993</v>
      </c>
      <c r="T16" s="1648">
        <f>'15'!$H$52</f>
        <v>14104.040000000037</v>
      </c>
      <c r="U16" s="1648">
        <f>'15'!$H$53</f>
        <v>27556.239999999991</v>
      </c>
      <c r="V16" s="1648">
        <f>'15'!$H$54</f>
        <v>801.01999999999953</v>
      </c>
      <c r="W16" s="1648">
        <f>'15'!$H$55</f>
        <v>44606.029999999992</v>
      </c>
      <c r="X16" s="1648">
        <f>'15'!$H$56</f>
        <v>57.839999999967404</v>
      </c>
      <c r="Y16" s="1648">
        <f>'15'!$H$57</f>
        <v>7711.33</v>
      </c>
      <c r="Z16" s="1648">
        <f>'15'!$H$58</f>
        <v>2502.130000000001</v>
      </c>
      <c r="AA16" s="1648">
        <f>'15'!$H$62</f>
        <v>-8.9999999981955625E-3</v>
      </c>
      <c r="AB16" s="1648">
        <f>'15'!$H$63</f>
        <v>200.17000000000007</v>
      </c>
      <c r="AC16" s="1648">
        <f>'15'!$H$64</f>
        <v>6253.1199999999953</v>
      </c>
      <c r="AD16" s="1648">
        <f>'15'!$H$65</f>
        <v>5709.2400000000052</v>
      </c>
      <c r="AE16" s="1648">
        <f>'15'!$H$66</f>
        <v>5887.8900000000012</v>
      </c>
      <c r="AF16" s="1648">
        <f>'15'!$H$67</f>
        <v>10564.640000000014</v>
      </c>
      <c r="AG16" s="1648">
        <f>'15'!$H$68</f>
        <v>5138.5200000000041</v>
      </c>
      <c r="AH16" s="1648">
        <f>'15'!$H$69</f>
        <v>4538.5</v>
      </c>
      <c r="AI16" s="1648">
        <f>'15'!$H$70</f>
        <v>0</v>
      </c>
      <c r="AJ16" s="1648">
        <f>'15'!$H$72</f>
        <v>1065</v>
      </c>
      <c r="AK16" s="1648">
        <f>'15'!$H$73</f>
        <v>958</v>
      </c>
      <c r="AL16" s="1648">
        <f>'15'!$H$74</f>
        <v>428.92</v>
      </c>
      <c r="AM16" s="1648">
        <f>'15'!$H$75</f>
        <v>2753.1200000000003</v>
      </c>
      <c r="AN16" s="1648">
        <f>'15'!$H$76</f>
        <v>2505.6000000000004</v>
      </c>
      <c r="AO16" s="1648">
        <f>'15'!$H$77</f>
        <v>838</v>
      </c>
      <c r="AP16" s="1648">
        <f>'15'!$H$78</f>
        <v>6227</v>
      </c>
      <c r="AQ16" s="1648">
        <f>'15'!$H$79</f>
        <v>5775</v>
      </c>
      <c r="AR16" s="1648">
        <f>'15'!$H$80</f>
        <v>3306.8400000000256</v>
      </c>
      <c r="AS16" s="1648">
        <f>'15'!$H$81</f>
        <v>1608.0400000000373</v>
      </c>
      <c r="AT16" s="1648">
        <f>'15'!$H$82</f>
        <v>449.00999999999476</v>
      </c>
      <c r="AU16" s="1648">
        <f>'15'!$H$83</f>
        <v>6499</v>
      </c>
      <c r="AV16" s="1648">
        <f>'15'!$H$84</f>
        <v>7191</v>
      </c>
      <c r="AW16" s="1645">
        <f>'15'!$H$92</f>
        <v>1728</v>
      </c>
      <c r="AX16" s="1645">
        <f>'15'!$H$93</f>
        <v>2467</v>
      </c>
      <c r="AY16" s="1645">
        <f>'15'!$H$95</f>
        <v>1164</v>
      </c>
      <c r="AZ16" s="1645">
        <f>'15'!$H$96</f>
        <v>557</v>
      </c>
      <c r="BA16" s="1645">
        <f>'15'!$H$97</f>
        <v>476</v>
      </c>
      <c r="BB16" s="1645">
        <f>'15'!$H$98</f>
        <v>1052</v>
      </c>
      <c r="BC16" s="1645">
        <f>'15'!$H$99</f>
        <v>193</v>
      </c>
      <c r="BD16" s="1645">
        <f>'15'!$H$100</f>
        <v>152</v>
      </c>
      <c r="BE16" s="1645">
        <f>'15'!$H$104</f>
        <v>74</v>
      </c>
      <c r="BF16" s="1645">
        <f>'15'!$H$105</f>
        <v>65</v>
      </c>
      <c r="BG16" s="1645">
        <f>'15'!$H$106</f>
        <v>345</v>
      </c>
      <c r="BH16" s="1645">
        <f>'15'!$H$109</f>
        <v>159</v>
      </c>
      <c r="BI16" s="1645">
        <f>'15'!$H$110</f>
        <v>131</v>
      </c>
      <c r="BJ16" s="1645">
        <f>'15'!$H$111</f>
        <v>446</v>
      </c>
      <c r="BK16" s="1645">
        <f>'15'!$H$114</f>
        <v>35</v>
      </c>
      <c r="BL16" s="1645">
        <f>'15'!$H$115</f>
        <v>100</v>
      </c>
      <c r="BM16" s="1645">
        <f>'15'!$H$116</f>
        <v>200</v>
      </c>
      <c r="BN16" s="1645">
        <f>'15'!$H$118</f>
        <v>267</v>
      </c>
      <c r="BO16" s="1645">
        <f>'15'!$H$119</f>
        <v>327</v>
      </c>
      <c r="BP16" s="1645">
        <f>'15'!$H$120</f>
        <v>188</v>
      </c>
      <c r="BQ16" s="1650">
        <f>'15'!$H$123</f>
        <v>4246.9399999999441</v>
      </c>
      <c r="BR16" s="1650">
        <f>'15'!$H$124</f>
        <v>1.3999999999941792</v>
      </c>
      <c r="BS16" s="1650">
        <f>'15'!$H$125</f>
        <v>1145.9400000000023</v>
      </c>
      <c r="BT16" s="1650">
        <f>'15'!$H$126</f>
        <v>597.20000000000437</v>
      </c>
      <c r="BU16" s="1650">
        <f>'15'!$H$127</f>
        <v>45.299999999999272</v>
      </c>
      <c r="BV16" s="1650">
        <f>'15'!$H$128</f>
        <v>0</v>
      </c>
    </row>
    <row r="17" spans="1:74" x14ac:dyDescent="0.25">
      <c r="A17" s="1248" t="s">
        <v>317</v>
      </c>
      <c r="B17" s="1643">
        <f t="shared" si="0"/>
        <v>16</v>
      </c>
      <c r="C17" s="1643">
        <v>2</v>
      </c>
      <c r="D17" s="1643">
        <v>2021</v>
      </c>
      <c r="E17" s="1648">
        <f>'16'!$H$35</f>
        <v>28296.479999999981</v>
      </c>
      <c r="F17" s="1648">
        <f>'16'!$H$36</f>
        <v>11071.299999999988</v>
      </c>
      <c r="G17" s="1648">
        <f>'16'!$H$37</f>
        <v>14281.36</v>
      </c>
      <c r="H17" s="1648">
        <f>'16'!$H$38</f>
        <v>19109.590000000004</v>
      </c>
      <c r="I17" s="1648">
        <f>'16'!$H$39</f>
        <v>40245.550000000003</v>
      </c>
      <c r="J17" s="1648">
        <f>'16'!$H$40</f>
        <v>-0.06</v>
      </c>
      <c r="K17" s="1648">
        <f>'16'!$H$41</f>
        <v>14637.350000000006</v>
      </c>
      <c r="L17" s="1648">
        <f>'16'!$H$42</f>
        <v>0</v>
      </c>
      <c r="M17" s="1648">
        <f>'16'!$H$43</f>
        <v>30044.880000000005</v>
      </c>
      <c r="N17" s="1648">
        <f>'16'!$H$44</f>
        <v>0</v>
      </c>
      <c r="O17" s="1648">
        <f>'16'!$H$45</f>
        <v>-0.48000000000001819</v>
      </c>
      <c r="P17" s="1648">
        <f>'16'!$H$46</f>
        <v>0</v>
      </c>
      <c r="Q17" s="1648">
        <f>'16'!$H$49</f>
        <v>14833.080000000016</v>
      </c>
      <c r="R17" s="1648">
        <f>'16'!$H$50</f>
        <v>18307.880000000005</v>
      </c>
      <c r="S17" s="1648">
        <f>'16'!$H$51</f>
        <v>9951.179999999993</v>
      </c>
      <c r="T17" s="1648">
        <f>'16'!$H$52</f>
        <v>14104.040000000037</v>
      </c>
      <c r="U17" s="1648">
        <f>'16'!$H$53</f>
        <v>27556.239999999991</v>
      </c>
      <c r="V17" s="1648">
        <f>'16'!$H$54</f>
        <v>870.80000000000018</v>
      </c>
      <c r="W17" s="1648">
        <f>'16'!$H$55</f>
        <v>49308.689999999995</v>
      </c>
      <c r="X17" s="1648">
        <f>'16'!$H$56</f>
        <v>64.199999999953434</v>
      </c>
      <c r="Y17" s="1648">
        <f>'16'!$H$57</f>
        <v>7711.33</v>
      </c>
      <c r="Z17" s="1648">
        <f>'16'!$H$58</f>
        <v>2712.66</v>
      </c>
      <c r="AA17" s="1648">
        <f>'16'!$H$62</f>
        <v>-8.9999999981955625E-3</v>
      </c>
      <c r="AB17" s="1648">
        <f>'16'!$H$63</f>
        <v>212.10000000000014</v>
      </c>
      <c r="AC17" s="1648">
        <f>'16'!$H$64</f>
        <v>6685.3899999999994</v>
      </c>
      <c r="AD17" s="1648">
        <f>'16'!$H$65</f>
        <v>6110.8099999999977</v>
      </c>
      <c r="AE17" s="1648">
        <f>'16'!$H$66</f>
        <v>6297.65</v>
      </c>
      <c r="AF17" s="1648">
        <f>'16'!$H$67</f>
        <v>11242.720000000001</v>
      </c>
      <c r="AG17" s="1648">
        <f>'16'!$H$68</f>
        <v>5453.3199999999924</v>
      </c>
      <c r="AH17" s="1648">
        <f>'16'!$H$69</f>
        <v>4840.8499999999985</v>
      </c>
      <c r="AI17" s="1648">
        <f>'16'!$H$70</f>
        <v>0</v>
      </c>
      <c r="AJ17" s="1648">
        <f>'16'!$H$72</f>
        <v>1161</v>
      </c>
      <c r="AK17" s="1648">
        <f>'16'!$H$73</f>
        <v>959</v>
      </c>
      <c r="AL17" s="1648">
        <f>'16'!$H$74</f>
        <v>478.44000000000005</v>
      </c>
      <c r="AM17" s="1648">
        <f>'16'!$H$75</f>
        <v>2955.7300000000005</v>
      </c>
      <c r="AN17" s="1648">
        <f>'16'!$H$76</f>
        <v>2578.2000000000003</v>
      </c>
      <c r="AO17" s="1648">
        <f>'16'!$H$77</f>
        <v>892</v>
      </c>
      <c r="AP17" s="1648">
        <f>'16'!$H$78</f>
        <v>6610</v>
      </c>
      <c r="AQ17" s="1648">
        <f>'16'!$H$79</f>
        <v>5987</v>
      </c>
      <c r="AR17" s="1648">
        <f>'16'!$H$80</f>
        <v>3698.320000000007</v>
      </c>
      <c r="AS17" s="1648">
        <f>'16'!$H$81</f>
        <v>1729</v>
      </c>
      <c r="AT17" s="1648">
        <f>'16'!$H$82</f>
        <v>475.44000000000233</v>
      </c>
      <c r="AU17" s="1648">
        <f>'16'!$H$83</f>
        <v>6996</v>
      </c>
      <c r="AV17" s="1648">
        <f>'16'!$H$84</f>
        <v>7850</v>
      </c>
      <c r="AW17" s="1645">
        <f>'16'!$H$92</f>
        <v>1860</v>
      </c>
      <c r="AX17" s="1645">
        <f>'16'!$H$93</f>
        <v>2621</v>
      </c>
      <c r="AY17" s="1645">
        <f>'16'!$H$95</f>
        <v>1261</v>
      </c>
      <c r="AZ17" s="1645">
        <f>'16'!$H$96</f>
        <v>575</v>
      </c>
      <c r="BA17" s="1645">
        <f>'16'!$H$97</f>
        <v>500</v>
      </c>
      <c r="BB17" s="1645">
        <f>'16'!$H$98</f>
        <v>1108</v>
      </c>
      <c r="BC17" s="1645">
        <f>'16'!$H$99</f>
        <v>210</v>
      </c>
      <c r="BD17" s="1645">
        <f>'16'!$H$100</f>
        <v>158</v>
      </c>
      <c r="BE17" s="1645">
        <f>'16'!$H$104</f>
        <v>74</v>
      </c>
      <c r="BF17" s="1645">
        <f>'16'!$H$105</f>
        <v>60</v>
      </c>
      <c r="BG17" s="1645">
        <f>'16'!$H$106</f>
        <v>340</v>
      </c>
      <c r="BH17" s="1645">
        <f>'16'!$H$109</f>
        <v>136</v>
      </c>
      <c r="BI17" s="1645">
        <f>'16'!$H$110</f>
        <v>103</v>
      </c>
      <c r="BJ17" s="1645">
        <f>'16'!$H$111</f>
        <v>433</v>
      </c>
      <c r="BK17" s="1645">
        <f>'16'!$H$114</f>
        <v>21</v>
      </c>
      <c r="BL17" s="1645">
        <f>'16'!$H$115</f>
        <v>100</v>
      </c>
      <c r="BM17" s="1645">
        <f>'16'!$H$116</f>
        <v>200</v>
      </c>
      <c r="BN17" s="1645">
        <f>'16'!$H$118</f>
        <v>205</v>
      </c>
      <c r="BO17" s="1645">
        <f>'16'!$H$119</f>
        <v>245</v>
      </c>
      <c r="BP17" s="1645">
        <f>'16'!$H$120</f>
        <v>124</v>
      </c>
      <c r="BQ17" s="1650">
        <f>'16'!$H$123</f>
        <v>4521.3800000000047</v>
      </c>
      <c r="BR17" s="1650">
        <f>'16'!$H$124</f>
        <v>1.3999999999941792</v>
      </c>
      <c r="BS17" s="1650">
        <f>'16'!$H$125</f>
        <v>1233.8800000000047</v>
      </c>
      <c r="BT17" s="1650">
        <f>'16'!$H$126</f>
        <v>622</v>
      </c>
      <c r="BU17" s="1650">
        <f>'16'!$H$127</f>
        <v>47.399999999999636</v>
      </c>
      <c r="BV17" s="1650">
        <f>'16'!$H$128</f>
        <v>623.2899999997735</v>
      </c>
    </row>
    <row r="18" spans="1:74" x14ac:dyDescent="0.25">
      <c r="A18" s="1248" t="s">
        <v>317</v>
      </c>
      <c r="B18" s="1643">
        <f t="shared" si="0"/>
        <v>17</v>
      </c>
      <c r="C18" s="1643">
        <v>2</v>
      </c>
      <c r="D18" s="1643">
        <v>2021</v>
      </c>
      <c r="E18" s="1648">
        <f>'17'!$H$35</f>
        <v>31008.119999999995</v>
      </c>
      <c r="F18" s="1648">
        <f>'17'!$H$36</f>
        <v>11734.299999999988</v>
      </c>
      <c r="G18" s="1648">
        <f>'17'!$H$37</f>
        <v>15757.98</v>
      </c>
      <c r="H18" s="1648">
        <f>'17'!$H$38</f>
        <v>21110.980000000003</v>
      </c>
      <c r="I18" s="1648">
        <f>'17'!$H$39</f>
        <v>44433.18</v>
      </c>
      <c r="J18" s="1648">
        <f>'17'!$H$40</f>
        <v>-0.06</v>
      </c>
      <c r="K18" s="1648">
        <f>'17'!$H$41</f>
        <v>17238.370000000003</v>
      </c>
      <c r="L18" s="1648">
        <f>'17'!$H$42</f>
        <v>0</v>
      </c>
      <c r="M18" s="1648">
        <f>'17'!$H$43</f>
        <v>32379.679999999935</v>
      </c>
      <c r="N18" s="1648">
        <f>'17'!$H$44</f>
        <v>0</v>
      </c>
      <c r="O18" s="1648">
        <f>'17'!$H$45</f>
        <v>-0.48000000000001819</v>
      </c>
      <c r="P18" s="1648">
        <f>'17'!$H$46</f>
        <v>0</v>
      </c>
      <c r="Q18" s="1648">
        <f>'17'!$H$49</f>
        <v>14833.080000000016</v>
      </c>
      <c r="R18" s="1648">
        <f>'17'!$H$50</f>
        <v>19373.159999999974</v>
      </c>
      <c r="S18" s="1648">
        <f>'17'!$H$51</f>
        <v>9951.179999999993</v>
      </c>
      <c r="T18" s="1648">
        <f>'17'!$H$52</f>
        <v>14104.040000000037</v>
      </c>
      <c r="U18" s="1648">
        <f>'17'!$H$53</f>
        <v>27556.239999999991</v>
      </c>
      <c r="V18" s="1648">
        <f>'17'!$H$54</f>
        <v>940.56999999999971</v>
      </c>
      <c r="W18" s="1648">
        <f>'17'!$H$55</f>
        <v>51230.439999999995</v>
      </c>
      <c r="X18" s="1648">
        <f>'17'!$H$56</f>
        <v>70.599999999976717</v>
      </c>
      <c r="Y18" s="1648">
        <f>'17'!$H$57</f>
        <v>7711.33</v>
      </c>
      <c r="Z18" s="1648">
        <f>'17'!$H$58</f>
        <v>2913.7700000000004</v>
      </c>
      <c r="AA18" s="1648">
        <f>'17'!$H$62</f>
        <v>-8.9999999981955625E-3</v>
      </c>
      <c r="AB18" s="1648">
        <f>'17'!$H$63</f>
        <v>225.81999999999994</v>
      </c>
      <c r="AC18" s="1648">
        <f>'17'!$H$64</f>
        <v>7115.3199999999924</v>
      </c>
      <c r="AD18" s="1648">
        <f>'17'!$H$65</f>
        <v>6514.6999999999971</v>
      </c>
      <c r="AE18" s="1648">
        <f>'17'!$H$66</f>
        <v>6692.6</v>
      </c>
      <c r="AF18" s="1648">
        <f>'17'!$H$67</f>
        <v>11921.360000000015</v>
      </c>
      <c r="AG18" s="1648">
        <f>'17'!$H$68</f>
        <v>5792.3099999999977</v>
      </c>
      <c r="AH18" s="1648">
        <f>'17'!$H$69</f>
        <v>5148.5400000000009</v>
      </c>
      <c r="AI18" s="1648">
        <f>'17'!$H$70</f>
        <v>0</v>
      </c>
      <c r="AJ18" s="1648">
        <f>'17'!$H$72</f>
        <v>1232</v>
      </c>
      <c r="AK18" s="1648">
        <f>'17'!$H$73</f>
        <v>959</v>
      </c>
      <c r="AL18" s="1648">
        <f>'17'!$H$74</f>
        <v>530.86</v>
      </c>
      <c r="AM18" s="1648">
        <f>'17'!$H$75</f>
        <v>3145.9500000000007</v>
      </c>
      <c r="AN18" s="1648">
        <f>'17'!$H$76</f>
        <v>2655.7000000000003</v>
      </c>
      <c r="AO18" s="1648">
        <f>'17'!$H$77</f>
        <v>946</v>
      </c>
      <c r="AP18" s="1648">
        <f>'17'!$H$78</f>
        <v>6972</v>
      </c>
      <c r="AQ18" s="1648">
        <f>'17'!$H$79</f>
        <v>6179</v>
      </c>
      <c r="AR18" s="1648">
        <f>'17'!$H$80</f>
        <v>4040.2800000000279</v>
      </c>
      <c r="AS18" s="1648">
        <f>'17'!$H$81</f>
        <v>1820.1600000000326</v>
      </c>
      <c r="AT18" s="1648">
        <f>'17'!$H$82</f>
        <v>504.32000000000698</v>
      </c>
      <c r="AU18" s="1648">
        <f>'17'!$H$83</f>
        <v>7446</v>
      </c>
      <c r="AV18" s="1648">
        <f>'17'!$H$84</f>
        <v>8332</v>
      </c>
      <c r="AW18" s="1645">
        <f>'17'!$H$92</f>
        <v>1944</v>
      </c>
      <c r="AX18" s="1645">
        <f>'17'!$H$93</f>
        <v>2755</v>
      </c>
      <c r="AY18" s="1645">
        <f>'17'!$H$95</f>
        <v>1333</v>
      </c>
      <c r="AZ18" s="1645">
        <f>'17'!$H$96</f>
        <v>590</v>
      </c>
      <c r="BA18" s="1645">
        <f>'17'!$H$97</f>
        <v>520</v>
      </c>
      <c r="BB18" s="1645">
        <f>'17'!$H$98</f>
        <v>1143</v>
      </c>
      <c r="BC18" s="1645">
        <f>'17'!$H$99</f>
        <v>224</v>
      </c>
      <c r="BD18" s="1645">
        <f>'17'!$H$100</f>
        <v>164</v>
      </c>
      <c r="BE18" s="1645">
        <f>'17'!$H$104</f>
        <v>74</v>
      </c>
      <c r="BF18" s="1645">
        <f>'17'!$H$105</f>
        <v>57</v>
      </c>
      <c r="BG18" s="1645">
        <f>'17'!$H$106</f>
        <v>339</v>
      </c>
      <c r="BH18" s="1645">
        <f>'17'!$H$109</f>
        <v>116</v>
      </c>
      <c r="BI18" s="1645">
        <f>'17'!$H$110</f>
        <v>82</v>
      </c>
      <c r="BJ18" s="1645">
        <f>'17'!$H$111</f>
        <v>455</v>
      </c>
      <c r="BK18" s="1645">
        <f>'17'!$H$114</f>
        <v>17</v>
      </c>
      <c r="BL18" s="1645">
        <f>'17'!$H$115</f>
        <v>93</v>
      </c>
      <c r="BM18" s="1645">
        <f>'17'!$H$116</f>
        <v>200</v>
      </c>
      <c r="BN18" s="1645">
        <f>'17'!$H$118</f>
        <v>158</v>
      </c>
      <c r="BO18" s="1645">
        <f>'17'!$H$119</f>
        <v>210</v>
      </c>
      <c r="BP18" s="1645">
        <f>'17'!$H$120</f>
        <v>105</v>
      </c>
      <c r="BQ18" s="1650">
        <f>'17'!$H$123</f>
        <v>4780.5300000000279</v>
      </c>
      <c r="BR18" s="1650">
        <f>'17'!$H$124</f>
        <v>1.3999999999941792</v>
      </c>
      <c r="BS18" s="1650">
        <f>'17'!$H$125</f>
        <v>1301.4800000000105</v>
      </c>
      <c r="BT18" s="1650">
        <f>'17'!$H$126</f>
        <v>638.10000000000582</v>
      </c>
      <c r="BU18" s="1650">
        <f>'17'!$H$127</f>
        <v>52.100000000000364</v>
      </c>
      <c r="BV18" s="1650">
        <f>'17'!$H$128</f>
        <v>1206.2499999997472</v>
      </c>
    </row>
    <row r="19" spans="1:74" x14ac:dyDescent="0.25">
      <c r="A19" s="1248" t="s">
        <v>317</v>
      </c>
      <c r="B19" s="1643">
        <f t="shared" si="0"/>
        <v>18</v>
      </c>
      <c r="C19" s="1643">
        <v>2</v>
      </c>
      <c r="D19" s="1643">
        <v>2021</v>
      </c>
      <c r="E19" s="1648">
        <f>'18'!$H$35</f>
        <v>33748.279999999912</v>
      </c>
      <c r="F19" s="1648">
        <f>'18'!$H$36</f>
        <v>12618.099999999977</v>
      </c>
      <c r="G19" s="1648">
        <f>'18'!$H$37</f>
        <v>17226.91</v>
      </c>
      <c r="H19" s="1648">
        <f>'18'!$H$38</f>
        <v>23161.520000000004</v>
      </c>
      <c r="I19" s="1648">
        <f>'18'!$H$39</f>
        <v>48714.36</v>
      </c>
      <c r="J19" s="1648">
        <f>'18'!$H$40</f>
        <v>-0.06</v>
      </c>
      <c r="K19" s="1648">
        <f>'18'!$H$41</f>
        <v>19259.850000000006</v>
      </c>
      <c r="L19" s="1648">
        <f>'18'!$H$42</f>
        <v>202.84999999999854</v>
      </c>
      <c r="M19" s="1648">
        <f>'18'!$H$43</f>
        <v>34713.839999999967</v>
      </c>
      <c r="N19" s="1648">
        <f>'18'!$H$44</f>
        <v>0</v>
      </c>
      <c r="O19" s="1648">
        <f>'18'!$H$45</f>
        <v>-0.48000000000001819</v>
      </c>
      <c r="P19" s="1648">
        <f>'18'!$H$46</f>
        <v>-5.0000000000011369E-2</v>
      </c>
      <c r="Q19" s="1648">
        <f>'18'!$H$49</f>
        <v>14833.080000000016</v>
      </c>
      <c r="R19" s="1648">
        <f>'18'!$H$50</f>
        <v>20501.72000000003</v>
      </c>
      <c r="S19" s="1648">
        <f>'18'!$H$51</f>
        <v>9951.179999999993</v>
      </c>
      <c r="T19" s="1648">
        <f>'18'!$H$52</f>
        <v>14104.040000000037</v>
      </c>
      <c r="U19" s="1648">
        <f>'18'!$H$53</f>
        <v>27556.239999999991</v>
      </c>
      <c r="V19" s="1648">
        <f>'18'!$H$54</f>
        <v>1010.5999999999995</v>
      </c>
      <c r="W19" s="1648">
        <f>'18'!$H$55</f>
        <v>51282.419999999991</v>
      </c>
      <c r="X19" s="1648">
        <f>'18'!$H$56</f>
        <v>2381.1599999999162</v>
      </c>
      <c r="Y19" s="1648">
        <f>'18'!$H$57</f>
        <v>7711.33</v>
      </c>
      <c r="Z19" s="1648">
        <f>'18'!$H$58</f>
        <v>3128.1500000000051</v>
      </c>
      <c r="AA19" s="1648">
        <f>'18'!$H$62</f>
        <v>-8.9999999981955625E-3</v>
      </c>
      <c r="AB19" s="1648">
        <f>'18'!$H$63</f>
        <v>239.19000000000005</v>
      </c>
      <c r="AC19" s="1648">
        <f>'18'!$H$64</f>
        <v>7544.5199999999895</v>
      </c>
      <c r="AD19" s="1648">
        <f>'18'!$H$65</f>
        <v>6911.9900000000052</v>
      </c>
      <c r="AE19" s="1648">
        <f>'18'!$H$66</f>
        <v>7091.5399999999991</v>
      </c>
      <c r="AF19" s="1648">
        <f>'18'!$H$67</f>
        <v>12586.470000000001</v>
      </c>
      <c r="AG19" s="1648">
        <f>'18'!$H$68</f>
        <v>6182.4400000000023</v>
      </c>
      <c r="AH19" s="1648">
        <f>'18'!$H$69</f>
        <v>5464.5599999999977</v>
      </c>
      <c r="AI19" s="1648">
        <f>'18'!$H$70</f>
        <v>0</v>
      </c>
      <c r="AJ19" s="1648">
        <f>'18'!$H$72</f>
        <v>1297</v>
      </c>
      <c r="AK19" s="1648">
        <f>'18'!$H$73</f>
        <v>959</v>
      </c>
      <c r="AL19" s="1648">
        <f>'18'!$H$74</f>
        <v>582.88</v>
      </c>
      <c r="AM19" s="1648">
        <f>'18'!$H$75</f>
        <v>3346.0100000000007</v>
      </c>
      <c r="AN19" s="1648">
        <f>'18'!$H$76</f>
        <v>2743.1400000000003</v>
      </c>
      <c r="AO19" s="1648">
        <f>'18'!$H$77</f>
        <v>997</v>
      </c>
      <c r="AP19" s="1648">
        <f>'18'!$H$78</f>
        <v>7342</v>
      </c>
      <c r="AQ19" s="1648">
        <f>'18'!$H$79</f>
        <v>6355</v>
      </c>
      <c r="AR19" s="1648">
        <f>'18'!$H$80</f>
        <v>4377.320000000007</v>
      </c>
      <c r="AS19" s="1648">
        <f>'18'!$H$81</f>
        <v>1915</v>
      </c>
      <c r="AT19" s="1648">
        <f>'18'!$H$82</f>
        <v>525</v>
      </c>
      <c r="AU19" s="1648">
        <f>'18'!$H$83</f>
        <v>7945</v>
      </c>
      <c r="AV19" s="1648">
        <f>'18'!$H$84</f>
        <v>8814</v>
      </c>
      <c r="AW19" s="1645">
        <f>'18'!$H$92</f>
        <v>2025</v>
      </c>
      <c r="AX19" s="1645">
        <f>'18'!$H$93</f>
        <v>2892</v>
      </c>
      <c r="AY19" s="1645">
        <f>'18'!$H$95</f>
        <v>1407</v>
      </c>
      <c r="AZ19" s="1645">
        <f>'18'!$H$96</f>
        <v>606</v>
      </c>
      <c r="BA19" s="1645">
        <f>'18'!$H$97</f>
        <v>537</v>
      </c>
      <c r="BB19" s="1645">
        <f>'18'!$H$98</f>
        <v>1221</v>
      </c>
      <c r="BC19" s="1645">
        <f>'18'!$H$99</f>
        <v>246</v>
      </c>
      <c r="BD19" s="1645">
        <f>'18'!$H$100</f>
        <v>169</v>
      </c>
      <c r="BE19" s="1645">
        <f>'18'!$H$104</f>
        <v>74</v>
      </c>
      <c r="BF19" s="1645">
        <f>'18'!$H$105</f>
        <v>56</v>
      </c>
      <c r="BG19" s="1645">
        <f>'18'!$H$106</f>
        <v>344</v>
      </c>
      <c r="BH19" s="1645">
        <f>'18'!$H$109</f>
        <v>136</v>
      </c>
      <c r="BI19" s="1645">
        <f>'18'!$H$110</f>
        <v>137</v>
      </c>
      <c r="BJ19" s="1645">
        <f>'18'!$H$111</f>
        <v>440</v>
      </c>
      <c r="BK19" s="1645">
        <f>'18'!$H$114</f>
        <v>25</v>
      </c>
      <c r="BL19" s="1645">
        <f>'18'!$H$115</f>
        <v>92</v>
      </c>
      <c r="BM19" s="1645">
        <f>'18'!$H$116</f>
        <v>200</v>
      </c>
      <c r="BN19" s="1645">
        <f>'18'!$H$118</f>
        <v>151</v>
      </c>
      <c r="BO19" s="1645">
        <f>'18'!$H$119</f>
        <v>217</v>
      </c>
      <c r="BP19" s="1645">
        <f>'18'!$H$120</f>
        <v>165</v>
      </c>
      <c r="BQ19" s="1650">
        <f>'18'!$H$123</f>
        <v>5040.9399999999441</v>
      </c>
      <c r="BR19" s="1650">
        <f>'18'!$H$124</f>
        <v>1.3999999999941792</v>
      </c>
      <c r="BS19" s="1650">
        <f>'18'!$H$125</f>
        <v>1378.75</v>
      </c>
      <c r="BT19" s="1650">
        <f>'18'!$H$126</f>
        <v>663.80000000000291</v>
      </c>
      <c r="BU19" s="1650">
        <f>'18'!$H$127</f>
        <v>53.200000000000728</v>
      </c>
      <c r="BV19" s="1650">
        <f>'18'!$H$128</f>
        <v>1681.9099999999744</v>
      </c>
    </row>
    <row r="20" spans="1:74" x14ac:dyDescent="0.25">
      <c r="A20" s="1248" t="s">
        <v>317</v>
      </c>
      <c r="B20" s="1643">
        <f t="shared" si="0"/>
        <v>19</v>
      </c>
      <c r="C20" s="1643">
        <v>2</v>
      </c>
      <c r="D20" s="1643">
        <v>2021</v>
      </c>
      <c r="E20" s="1648">
        <f>'19'!$H$35</f>
        <v>36429.329999999958</v>
      </c>
      <c r="F20" s="1648">
        <f>'19'!$H$36</f>
        <v>13282.549999999988</v>
      </c>
      <c r="G20" s="1648">
        <f>'19'!$H$37</f>
        <v>18705</v>
      </c>
      <c r="H20" s="1648">
        <f>'19'!$H$38</f>
        <v>25078.120000000003</v>
      </c>
      <c r="I20" s="1648">
        <f>'19'!$H$39</f>
        <v>52877</v>
      </c>
      <c r="J20" s="1648">
        <f>'19'!$H$40</f>
        <v>-0.06</v>
      </c>
      <c r="K20" s="1648">
        <f>'19'!$H$41</f>
        <v>19259.480000000003</v>
      </c>
      <c r="L20" s="1648">
        <f>'19'!$H$42</f>
        <v>203</v>
      </c>
      <c r="M20" s="1648">
        <f>'19'!$H$43</f>
        <v>37023.089999999967</v>
      </c>
      <c r="N20" s="1648">
        <f>'19'!$H$44</f>
        <v>0</v>
      </c>
      <c r="O20" s="1648">
        <f>'19'!$H$45</f>
        <v>-0.48000000000001819</v>
      </c>
      <c r="P20" s="1648">
        <f>'19'!$H$46</f>
        <v>-5.0000000000011369E-2</v>
      </c>
      <c r="Q20" s="1648">
        <f>'19'!$H$49</f>
        <v>14832.950000000012</v>
      </c>
      <c r="R20" s="1648">
        <f>'19'!$H$50</f>
        <v>21937.690000000002</v>
      </c>
      <c r="S20" s="1648">
        <f>'19'!$H$51</f>
        <v>9951.2599999999948</v>
      </c>
      <c r="T20" s="1648">
        <f>'19'!$H$52</f>
        <v>14104.330000000016</v>
      </c>
      <c r="U20" s="1648">
        <f>'19'!$H$53</f>
        <v>27556.729999999981</v>
      </c>
      <c r="V20" s="1648">
        <f>'19'!$H$54</f>
        <v>1079.1999999999998</v>
      </c>
      <c r="W20" s="1648">
        <f>'19'!$H$55</f>
        <v>51282.02</v>
      </c>
      <c r="X20" s="1648">
        <f>'19'!$H$56</f>
        <v>6515.0899999999674</v>
      </c>
      <c r="Y20" s="1648">
        <f>'19'!$H$57</f>
        <v>7711</v>
      </c>
      <c r="Z20" s="1648">
        <f>'19'!$H$58</f>
        <v>3347.4600000000028</v>
      </c>
      <c r="AA20" s="1648">
        <f>'19'!$H$62</f>
        <v>1.1000000002240995E-2</v>
      </c>
      <c r="AB20" s="1648">
        <f>'19'!$H$63</f>
        <v>252.47000000000003</v>
      </c>
      <c r="AC20" s="1648">
        <f>'19'!$H$64</f>
        <v>7956.5399999999936</v>
      </c>
      <c r="AD20" s="1648">
        <f>'19'!$H$65</f>
        <v>7314.8899999999994</v>
      </c>
      <c r="AE20" s="1648">
        <f>'19'!$H$66</f>
        <v>7497.26</v>
      </c>
      <c r="AF20" s="1648">
        <f>'19'!$H$67</f>
        <v>13225.470000000001</v>
      </c>
      <c r="AG20" s="1648">
        <f>'19'!$H$68</f>
        <v>6525.1399999999994</v>
      </c>
      <c r="AH20" s="1648">
        <f>'19'!$H$69</f>
        <v>5776.2900000000009</v>
      </c>
      <c r="AI20" s="1648">
        <f>'19'!$H$70</f>
        <v>0</v>
      </c>
      <c r="AJ20" s="1648">
        <f>'19'!$H$72</f>
        <v>1368</v>
      </c>
      <c r="AK20" s="1648">
        <f>'19'!$H$73</f>
        <v>959</v>
      </c>
      <c r="AL20" s="1648">
        <f>'19'!$H$74</f>
        <v>612.1</v>
      </c>
      <c r="AM20" s="1648">
        <f>'19'!$H$75</f>
        <v>3506.4000000000005</v>
      </c>
      <c r="AN20" s="1648">
        <f>'19'!$H$76</f>
        <v>2812.2000000000003</v>
      </c>
      <c r="AO20" s="1648">
        <f>'19'!$H$77</f>
        <v>1049</v>
      </c>
      <c r="AP20" s="1648">
        <f>'19'!$H$78</f>
        <v>7675</v>
      </c>
      <c r="AQ20" s="1648">
        <f>'19'!$H$79</f>
        <v>6533</v>
      </c>
      <c r="AR20" s="1648">
        <f>'19'!$H$80</f>
        <v>4721.320000000007</v>
      </c>
      <c r="AS20" s="1648">
        <f>'19'!$H$81</f>
        <v>2023</v>
      </c>
      <c r="AT20" s="1648">
        <f>'19'!$H$82</f>
        <v>550</v>
      </c>
      <c r="AU20" s="1648">
        <f>'19'!$H$83</f>
        <v>8300</v>
      </c>
      <c r="AV20" s="1648">
        <f>'19'!$H$84</f>
        <v>9313</v>
      </c>
      <c r="AW20" s="1645">
        <f>'19'!$H$92</f>
        <v>2120</v>
      </c>
      <c r="AX20" s="1645">
        <f>'19'!$H$93</f>
        <v>3034</v>
      </c>
      <c r="AY20" s="1645">
        <f>'19'!$H$95</f>
        <v>1486</v>
      </c>
      <c r="AZ20" s="1645">
        <f>'19'!$H$96</f>
        <v>615</v>
      </c>
      <c r="BA20" s="1645">
        <f>'19'!$H$97</f>
        <v>561</v>
      </c>
      <c r="BB20" s="1645">
        <f>'19'!$H$98</f>
        <v>1284</v>
      </c>
      <c r="BC20" s="1645">
        <f>'19'!$H$99</f>
        <v>269</v>
      </c>
      <c r="BD20" s="1645">
        <f>'19'!$H$100</f>
        <v>175</v>
      </c>
      <c r="BE20" s="1645">
        <f>'19'!$H$104</f>
        <v>74</v>
      </c>
      <c r="BF20" s="1645">
        <f>'19'!$H$105</f>
        <v>63</v>
      </c>
      <c r="BG20" s="1645">
        <f>'19'!$H$106</f>
        <v>350</v>
      </c>
      <c r="BH20" s="1645">
        <f>'19'!$H$109</f>
        <v>176</v>
      </c>
      <c r="BI20" s="1645">
        <f>'19'!$H$110</f>
        <v>168</v>
      </c>
      <c r="BJ20" s="1645">
        <f>'19'!$H$111</f>
        <v>440</v>
      </c>
      <c r="BK20" s="1645">
        <f>'19'!$H$114</f>
        <v>51</v>
      </c>
      <c r="BL20" s="1645">
        <f>'19'!$H$115</f>
        <v>94</v>
      </c>
      <c r="BM20" s="1645">
        <f>'19'!$H$116</f>
        <v>200</v>
      </c>
      <c r="BN20" s="1645">
        <f>'19'!$H$118</f>
        <v>296</v>
      </c>
      <c r="BO20" s="1645">
        <f>'19'!$H$119</f>
        <v>358</v>
      </c>
      <c r="BP20" s="1645">
        <f>'19'!$H$120</f>
        <v>236</v>
      </c>
      <c r="BQ20" s="1650">
        <f>'19'!$H$123</f>
        <v>5282.5999999999767</v>
      </c>
      <c r="BR20" s="1650">
        <f>'19'!$H$124</f>
        <v>1</v>
      </c>
      <c r="BS20" s="1650">
        <f>'19'!$H$125</f>
        <v>1468</v>
      </c>
      <c r="BT20" s="1650">
        <f>'19'!$H$126</f>
        <v>687.30000000000291</v>
      </c>
      <c r="BU20" s="1650">
        <f>'19'!$H$127</f>
        <v>55</v>
      </c>
      <c r="BV20" s="1650">
        <f>'19'!$H$128</f>
        <v>2207.5099999998529</v>
      </c>
    </row>
    <row r="21" spans="1:74" x14ac:dyDescent="0.25">
      <c r="A21" s="1248" t="s">
        <v>317</v>
      </c>
      <c r="B21" s="1643">
        <f t="shared" si="0"/>
        <v>20</v>
      </c>
      <c r="C21" s="1643">
        <v>2</v>
      </c>
      <c r="D21" s="1643">
        <v>2021</v>
      </c>
      <c r="E21" s="1648">
        <f>'20'!$H$35</f>
        <v>39283.329999999958</v>
      </c>
      <c r="F21" s="1648">
        <f>'20'!$H$36</f>
        <v>13907.549999999988</v>
      </c>
      <c r="G21" s="1648">
        <f>'20'!$H$37</f>
        <v>20216</v>
      </c>
      <c r="H21" s="1648">
        <f>'20'!$H$38</f>
        <v>27043.120000000003</v>
      </c>
      <c r="I21" s="1648">
        <f>'20'!$H$39</f>
        <v>57266</v>
      </c>
      <c r="J21" s="1648">
        <f>'20'!$H$40</f>
        <v>-0.06</v>
      </c>
      <c r="K21" s="1648">
        <f>'20'!$H$41</f>
        <v>19259.480000000003</v>
      </c>
      <c r="L21" s="1648">
        <f>'20'!$H$42</f>
        <v>203</v>
      </c>
      <c r="M21" s="1648">
        <f>'20'!$H$43</f>
        <v>39325.089999999967</v>
      </c>
      <c r="N21" s="1648">
        <f>'20'!$H$44</f>
        <v>0</v>
      </c>
      <c r="O21" s="1648">
        <f>'20'!$H$45</f>
        <v>-0.48000000000001819</v>
      </c>
      <c r="P21" s="1648">
        <f>'20'!$H$46</f>
        <v>-5.0000000000011369E-2</v>
      </c>
      <c r="Q21" s="1648">
        <f>'20'!$H$49</f>
        <v>14832.950000000012</v>
      </c>
      <c r="R21" s="1648">
        <f>'20'!$H$50</f>
        <v>23093.690000000002</v>
      </c>
      <c r="S21" s="1648">
        <f>'20'!$H$51</f>
        <v>9951.2599999999948</v>
      </c>
      <c r="T21" s="1648">
        <f>'20'!$H$52</f>
        <v>14104.330000000016</v>
      </c>
      <c r="U21" s="1648">
        <f>'20'!$H$53</f>
        <v>27556.729999999981</v>
      </c>
      <c r="V21" s="1648">
        <f>'20'!$H$54</f>
        <v>1149.1999999999998</v>
      </c>
      <c r="W21" s="1648">
        <f>'20'!$H$55</f>
        <v>51282.02</v>
      </c>
      <c r="X21" s="1648">
        <f>'20'!$H$56</f>
        <v>10566.089999999967</v>
      </c>
      <c r="Y21" s="1648">
        <f>'20'!$H$57</f>
        <v>7711</v>
      </c>
      <c r="Z21" s="1648">
        <f>'20'!$H$58</f>
        <v>3598.4600000000028</v>
      </c>
      <c r="AA21" s="1648">
        <f>'20'!$H$62</f>
        <v>1.1000000002240995E-2</v>
      </c>
      <c r="AB21" s="1648">
        <f>'20'!$H$63</f>
        <v>264.47000000000003</v>
      </c>
      <c r="AC21" s="1648">
        <f>'20'!$H$64</f>
        <v>8356.5399999999936</v>
      </c>
      <c r="AD21" s="1648">
        <f>'20'!$H$65</f>
        <v>7718.8899999999994</v>
      </c>
      <c r="AE21" s="1648">
        <f>'20'!$H$66</f>
        <v>7908.26</v>
      </c>
      <c r="AF21" s="1648">
        <f>'20'!$H$67</f>
        <v>13920.470000000001</v>
      </c>
      <c r="AG21" s="1648">
        <f>'20'!$H$68</f>
        <v>7875.1399999999994</v>
      </c>
      <c r="AH21" s="1648">
        <f>'20'!$H$69</f>
        <v>6094.2900000000009</v>
      </c>
      <c r="AI21" s="1648">
        <f>'20'!$H$70</f>
        <v>0</v>
      </c>
      <c r="AJ21" s="1648">
        <f>'20'!$H$72</f>
        <v>1434</v>
      </c>
      <c r="AK21" s="1648">
        <f>'20'!$H$73</f>
        <v>960</v>
      </c>
      <c r="AL21" s="1648">
        <f>'20'!$H$74</f>
        <v>632.1</v>
      </c>
      <c r="AM21" s="1648">
        <f>'20'!$H$75</f>
        <v>3684.4000000000005</v>
      </c>
      <c r="AN21" s="1648">
        <f>'20'!$H$76</f>
        <v>2890.2000000000003</v>
      </c>
      <c r="AO21" s="1648">
        <f>'20'!$H$77</f>
        <v>1097</v>
      </c>
      <c r="AP21" s="1648">
        <f>'20'!$H$78</f>
        <v>8077</v>
      </c>
      <c r="AQ21" s="1648">
        <f>'20'!$H$79</f>
        <v>6724</v>
      </c>
      <c r="AR21" s="1648">
        <f>'20'!$H$80</f>
        <v>5077.320000000007</v>
      </c>
      <c r="AS21" s="1648">
        <f>'20'!$H$81</f>
        <v>2113</v>
      </c>
      <c r="AT21" s="1648">
        <f>'20'!$H$82</f>
        <v>576</v>
      </c>
      <c r="AU21" s="1648">
        <f>'20'!$H$83</f>
        <v>8699</v>
      </c>
      <c r="AV21" s="1648">
        <f>'20'!$H$84</f>
        <v>9875</v>
      </c>
      <c r="AW21" s="1645">
        <f>'20'!$H$92</f>
        <v>2227</v>
      </c>
      <c r="AX21" s="1645">
        <f>'20'!$H$93</f>
        <v>3167</v>
      </c>
      <c r="AY21" s="1645">
        <f>'20'!$H$95</f>
        <v>1572</v>
      </c>
      <c r="AZ21" s="1645">
        <f>'20'!$H$96</f>
        <v>637</v>
      </c>
      <c r="BA21" s="1645">
        <f>'20'!$H$97</f>
        <v>593</v>
      </c>
      <c r="BB21" s="1645">
        <f>'20'!$H$98</f>
        <v>1352</v>
      </c>
      <c r="BC21" s="1645">
        <f>'20'!$H$99</f>
        <v>290</v>
      </c>
      <c r="BD21" s="1645">
        <f>'20'!$H$100</f>
        <v>183</v>
      </c>
      <c r="BE21" s="1645">
        <f>'20'!$H$104</f>
        <v>74</v>
      </c>
      <c r="BF21" s="1645">
        <f>'20'!$H$105</f>
        <v>76</v>
      </c>
      <c r="BG21" s="1645">
        <f>'20'!$H$106</f>
        <v>358</v>
      </c>
      <c r="BH21" s="1645">
        <f>'20'!$H$109</f>
        <v>235</v>
      </c>
      <c r="BI21" s="1645">
        <f>'20'!$H$110</f>
        <v>243</v>
      </c>
      <c r="BJ21" s="1645">
        <f>'20'!$H$111</f>
        <v>460</v>
      </c>
      <c r="BK21" s="1645">
        <f>'20'!$H$114</f>
        <v>77</v>
      </c>
      <c r="BL21" s="1645">
        <f>'20'!$H$115</f>
        <v>102</v>
      </c>
      <c r="BM21" s="1645">
        <f>'20'!$H$116</f>
        <v>200</v>
      </c>
      <c r="BN21" s="1645">
        <f>'20'!$H$118</f>
        <v>454</v>
      </c>
      <c r="BO21" s="1645">
        <f>'20'!$H$119</f>
        <v>527</v>
      </c>
      <c r="BP21" s="1645">
        <f>'20'!$H$120</f>
        <v>390</v>
      </c>
      <c r="BQ21" s="1650">
        <f>'20'!$H$123</f>
        <v>5582.5999999999767</v>
      </c>
      <c r="BR21" s="1650">
        <f>'20'!$H$124</f>
        <v>1</v>
      </c>
      <c r="BS21" s="1650">
        <f>'20'!$H$125</f>
        <v>1554</v>
      </c>
      <c r="BT21" s="1650">
        <f>'20'!$H$126</f>
        <v>717.30000000000291</v>
      </c>
      <c r="BU21" s="1650">
        <f>'20'!$H$127</f>
        <v>58</v>
      </c>
      <c r="BV21" s="1650">
        <f>'20'!$H$128</f>
        <v>2874.5099999998529</v>
      </c>
    </row>
    <row r="22" spans="1:74" x14ac:dyDescent="0.25">
      <c r="A22" s="1248" t="s">
        <v>317</v>
      </c>
      <c r="B22" s="1643">
        <f t="shared" si="0"/>
        <v>21</v>
      </c>
      <c r="C22" s="1643">
        <v>2</v>
      </c>
      <c r="D22" s="1643">
        <v>2021</v>
      </c>
      <c r="E22" s="1648">
        <f>'21'!$H$35</f>
        <v>42318.329999999958</v>
      </c>
      <c r="F22" s="1648">
        <f>'21'!$H$36</f>
        <v>14683.549999999988</v>
      </c>
      <c r="G22" s="1648">
        <f>'21'!$H$37</f>
        <v>21738</v>
      </c>
      <c r="H22" s="1648">
        <f>'21'!$H$38</f>
        <v>29069.120000000003</v>
      </c>
      <c r="I22" s="1648">
        <f>'21'!$H$39</f>
        <v>61480</v>
      </c>
      <c r="J22" s="1648">
        <f>'21'!$H$40</f>
        <v>-0.06</v>
      </c>
      <c r="K22" s="1648">
        <f>'21'!$H$41</f>
        <v>19259.480000000003</v>
      </c>
      <c r="L22" s="1648">
        <f>'21'!$H$42</f>
        <v>203</v>
      </c>
      <c r="M22" s="1648">
        <f>'21'!$H$43</f>
        <v>41679.089999999967</v>
      </c>
      <c r="N22" s="1648">
        <f>'21'!$H$44</f>
        <v>0</v>
      </c>
      <c r="O22" s="1648">
        <f>'21'!$H$45</f>
        <v>-0.48000000000001819</v>
      </c>
      <c r="P22" s="1648">
        <f>'21'!$H$46</f>
        <v>-5.0000000000011369E-2</v>
      </c>
      <c r="Q22" s="1648">
        <f>'21'!$H$49</f>
        <v>14832.950000000012</v>
      </c>
      <c r="R22" s="1648">
        <f>'21'!$H$50</f>
        <v>24204.690000000002</v>
      </c>
      <c r="S22" s="1648">
        <f>'21'!$H$51</f>
        <v>9951.2599999999948</v>
      </c>
      <c r="T22" s="1648">
        <f>'21'!$H$52</f>
        <v>14104.330000000016</v>
      </c>
      <c r="U22" s="1648">
        <f>'21'!$H$53</f>
        <v>27556.729999999981</v>
      </c>
      <c r="V22" s="1648">
        <f>'21'!$H$54</f>
        <v>1218.1999999999998</v>
      </c>
      <c r="W22" s="1648">
        <f>'21'!$H$55</f>
        <v>51282.02</v>
      </c>
      <c r="X22" s="1648">
        <f>'21'!$H$56</f>
        <v>14920.089999999967</v>
      </c>
      <c r="Y22" s="1648">
        <f>'21'!$H$57</f>
        <v>7711</v>
      </c>
      <c r="Z22" s="1648">
        <f>'21'!$H$58</f>
        <v>3786.4600000000028</v>
      </c>
      <c r="AA22" s="1648">
        <f>'21'!$H$62</f>
        <v>1.1000000002240995E-2</v>
      </c>
      <c r="AB22" s="1648">
        <f>'21'!$H$63</f>
        <v>278.47000000000003</v>
      </c>
      <c r="AC22" s="1648">
        <f>'21'!$H$64</f>
        <v>8754.5399999999936</v>
      </c>
      <c r="AD22" s="1648">
        <f>'21'!$H$65</f>
        <v>8118.8899999999994</v>
      </c>
      <c r="AE22" s="1648">
        <f>'21'!$H$66</f>
        <v>8280.26</v>
      </c>
      <c r="AF22" s="1648">
        <f>'21'!$H$67</f>
        <v>14636.470000000001</v>
      </c>
      <c r="AG22" s="1648">
        <f>'21'!$H$68</f>
        <v>8185.1399999999994</v>
      </c>
      <c r="AH22" s="1648">
        <f>'21'!$H$69</f>
        <v>6433.2900000000009</v>
      </c>
      <c r="AI22" s="1648">
        <f>'21'!$H$70</f>
        <v>0</v>
      </c>
      <c r="AJ22" s="1648">
        <f>'21'!$H$72</f>
        <v>1456</v>
      </c>
      <c r="AK22" s="1648">
        <f>'21'!$H$73</f>
        <v>982</v>
      </c>
      <c r="AL22" s="1648">
        <f>'21'!$H$74</f>
        <v>667.1</v>
      </c>
      <c r="AM22" s="1648">
        <f>'21'!$H$75</f>
        <v>3859.4000000000005</v>
      </c>
      <c r="AN22" s="1648">
        <f>'21'!$H$76</f>
        <v>2966.2000000000003</v>
      </c>
      <c r="AO22" s="1648">
        <f>'21'!$H$77</f>
        <v>1147</v>
      </c>
      <c r="AP22" s="1648">
        <f>'21'!$H$78</f>
        <v>8531</v>
      </c>
      <c r="AQ22" s="1648">
        <f>'21'!$H$79</f>
        <v>6896</v>
      </c>
      <c r="AR22" s="1648">
        <f>'21'!$H$80</f>
        <v>5463.320000000007</v>
      </c>
      <c r="AS22" s="1648">
        <f>'21'!$H$81</f>
        <v>2223</v>
      </c>
      <c r="AT22" s="1648">
        <f>'21'!$H$82</f>
        <v>598</v>
      </c>
      <c r="AU22" s="1648">
        <f>'21'!$H$83</f>
        <v>9128</v>
      </c>
      <c r="AV22" s="1648">
        <f>'21'!$H$84</f>
        <v>10443</v>
      </c>
      <c r="AW22" s="1645">
        <f>'21'!$H$92</f>
        <v>2349</v>
      </c>
      <c r="AX22" s="1645">
        <f>'21'!$H$93</f>
        <v>3277</v>
      </c>
      <c r="AY22" s="1645">
        <f>'21'!$H$95</f>
        <v>1644</v>
      </c>
      <c r="AZ22" s="1645">
        <f>'21'!$H$96</f>
        <v>664</v>
      </c>
      <c r="BA22" s="1645">
        <f>'21'!$H$97</f>
        <v>628</v>
      </c>
      <c r="BB22" s="1645">
        <f>'21'!$H$98</f>
        <v>1439</v>
      </c>
      <c r="BC22" s="1645">
        <f>'21'!$H$99</f>
        <v>305</v>
      </c>
      <c r="BD22" s="1645">
        <f>'21'!$H$100</f>
        <v>195</v>
      </c>
      <c r="BE22" s="1645">
        <f>'21'!$H$104</f>
        <v>74</v>
      </c>
      <c r="BF22" s="1645">
        <f>'21'!$H$105</f>
        <v>83</v>
      </c>
      <c r="BG22" s="1645">
        <f>'21'!$H$106</f>
        <v>364</v>
      </c>
      <c r="BH22" s="1645">
        <f>'21'!$H$109</f>
        <v>295</v>
      </c>
      <c r="BI22" s="1645">
        <f>'21'!$H$110</f>
        <v>343</v>
      </c>
      <c r="BJ22" s="1645">
        <f>'21'!$H$111</f>
        <v>466</v>
      </c>
      <c r="BK22" s="1645">
        <f>'21'!$H$114</f>
        <v>94</v>
      </c>
      <c r="BL22" s="1645">
        <f>'21'!$H$115</f>
        <v>111</v>
      </c>
      <c r="BM22" s="1645">
        <f>'21'!$H$116</f>
        <v>200</v>
      </c>
      <c r="BN22" s="1645">
        <f>'21'!$H$118</f>
        <v>627</v>
      </c>
      <c r="BO22" s="1645">
        <f>'21'!$H$119</f>
        <v>688</v>
      </c>
      <c r="BP22" s="1645">
        <f>'21'!$H$120</f>
        <v>556</v>
      </c>
      <c r="BQ22" s="1650">
        <f>'21'!$H$123</f>
        <v>5865.5999999999767</v>
      </c>
      <c r="BR22" s="1650">
        <f>'21'!$H$124</f>
        <v>1</v>
      </c>
      <c r="BS22" s="1650">
        <f>'21'!$H$125</f>
        <v>1634</v>
      </c>
      <c r="BT22" s="1650">
        <f>'21'!$H$126</f>
        <v>747.30000000000291</v>
      </c>
      <c r="BU22" s="1650">
        <f>'21'!$H$127</f>
        <v>60</v>
      </c>
      <c r="BV22" s="1650">
        <f>'21'!$H$128</f>
        <v>3419.5099999998529</v>
      </c>
    </row>
    <row r="23" spans="1:74" x14ac:dyDescent="0.25">
      <c r="A23" s="1248" t="s">
        <v>317</v>
      </c>
      <c r="B23" s="1643">
        <f t="shared" si="0"/>
        <v>22</v>
      </c>
      <c r="C23" s="1643">
        <v>2</v>
      </c>
      <c r="D23" s="1643">
        <v>2021</v>
      </c>
      <c r="E23" s="1648">
        <f>'22'!$H$35</f>
        <v>0</v>
      </c>
      <c r="F23" s="1648">
        <f>'22'!$H$36</f>
        <v>-6151.6600000000326</v>
      </c>
      <c r="G23" s="1648">
        <f>'22'!$H$37</f>
        <v>415066</v>
      </c>
      <c r="H23" s="1648">
        <f>'22'!$H$38</f>
        <v>150616.5</v>
      </c>
      <c r="I23" s="1648">
        <f>'22'!$H$39</f>
        <v>912480</v>
      </c>
      <c r="J23" s="1648">
        <f>'22'!$H$40</f>
        <v>-0.06</v>
      </c>
      <c r="K23" s="1648">
        <f>'22'!$H$41</f>
        <v>-34165.979999999996</v>
      </c>
      <c r="L23" s="1648">
        <f>'22'!$H$42</f>
        <v>8.999999999650754E-2</v>
      </c>
      <c r="M23" s="1648">
        <f>'22'!$H$43</f>
        <v>-20942.800000000047</v>
      </c>
      <c r="N23" s="1648">
        <f>'22'!$H$44</f>
        <v>0</v>
      </c>
      <c r="O23" s="1648">
        <f>'22'!$H$45</f>
        <v>-0.48000000000001819</v>
      </c>
      <c r="P23" s="1648">
        <f>'22'!$H$46</f>
        <v>-0.49000000000000909</v>
      </c>
      <c r="Q23" s="1648">
        <f>'22'!$H$49</f>
        <v>-27932.049999999988</v>
      </c>
      <c r="R23" s="1648">
        <f>'22'!$H$50</f>
        <v>-10804.960000000021</v>
      </c>
      <c r="S23" s="1648">
        <f>'22'!$H$51</f>
        <v>-13376.770000000004</v>
      </c>
      <c r="T23" s="1648">
        <f>'22'!$H$52</f>
        <v>-16970.119999999995</v>
      </c>
      <c r="U23" s="1648">
        <f>'22'!$H$53</f>
        <v>-37748.98000000004</v>
      </c>
      <c r="V23" s="1648">
        <f>'22'!$H$54</f>
        <v>-529.09000000000015</v>
      </c>
      <c r="W23" s="1648">
        <f>'22'!$H$55</f>
        <v>-3867.4000000000015</v>
      </c>
      <c r="X23" s="1648">
        <f>'22'!$H$56</f>
        <v>-2.2800000000279397</v>
      </c>
      <c r="Y23" s="1648">
        <f>'22'!$H$57</f>
        <v>0</v>
      </c>
      <c r="Z23" s="1648">
        <f>'22'!$H$58</f>
        <v>-1657.2599999999984</v>
      </c>
      <c r="AA23" s="1648">
        <f>'22'!$H$62</f>
        <v>1.1000000002240995E-2</v>
      </c>
      <c r="AB23" s="1648">
        <f>'22'!$H$63</f>
        <v>-95.539999999999964</v>
      </c>
      <c r="AC23" s="1648">
        <f>'22'!$H$64</f>
        <v>-3809.5800000000017</v>
      </c>
      <c r="AD23" s="1648">
        <f>'22'!$H$65</f>
        <v>-3634.4900000000052</v>
      </c>
      <c r="AE23" s="1648">
        <f>'22'!$H$66</f>
        <v>-3676.9599999999991</v>
      </c>
      <c r="AF23" s="1648">
        <f>'22'!$H$67</f>
        <v>-5948.5299999999988</v>
      </c>
      <c r="AG23" s="1648">
        <f>'22'!$H$68</f>
        <v>-2912.3000000000029</v>
      </c>
      <c r="AH23" s="1648">
        <f>'22'!$H$69</f>
        <v>-2776.5699999999997</v>
      </c>
      <c r="AI23" s="1648">
        <f>'22'!$H$70</f>
        <v>0</v>
      </c>
      <c r="AJ23" s="1648">
        <f>'22'!$H$72</f>
        <v>-725</v>
      </c>
      <c r="AK23" s="1648">
        <f>'22'!$H$73</f>
        <v>930</v>
      </c>
      <c r="AL23" s="1648">
        <f>'22'!$H$74</f>
        <v>882300.1</v>
      </c>
      <c r="AM23" s="1648">
        <f>'22'!$H$75</f>
        <v>737283.4</v>
      </c>
      <c r="AN23" s="1648">
        <f>'22'!$H$76</f>
        <v>688306.2</v>
      </c>
      <c r="AO23" s="1648">
        <f>'22'!$H$77</f>
        <v>-483</v>
      </c>
      <c r="AP23" s="1648">
        <f>'22'!$H$78</f>
        <v>-3331</v>
      </c>
      <c r="AQ23" s="1648">
        <f>'22'!$H$79</f>
        <v>1168</v>
      </c>
      <c r="AR23" s="1648">
        <f>'22'!$H$80</f>
        <v>-4260.679999999993</v>
      </c>
      <c r="AS23" s="1648">
        <f>'22'!$H$81</f>
        <v>-975</v>
      </c>
      <c r="AT23" s="1648">
        <f>'22'!$H$82</f>
        <v>-424</v>
      </c>
      <c r="AU23" s="1648">
        <f>'22'!$H$83</f>
        <v>-2601</v>
      </c>
      <c r="AV23" s="1648">
        <f>'22'!$H$84</f>
        <v>-4756</v>
      </c>
      <c r="AW23" s="1645">
        <f>'22'!$H$92</f>
        <v>-791</v>
      </c>
      <c r="AX23" s="1645">
        <f>'22'!$H$93</f>
        <v>-1243</v>
      </c>
      <c r="AY23" s="1645">
        <f>'22'!$H$95</f>
        <v>-591</v>
      </c>
      <c r="AZ23" s="1645">
        <f>'22'!$H$96</f>
        <v>-221</v>
      </c>
      <c r="BA23" s="1645">
        <f>'22'!$H$97</f>
        <v>-204</v>
      </c>
      <c r="BB23" s="1645">
        <f>'22'!$H$98</f>
        <v>-533</v>
      </c>
      <c r="BC23" s="1645">
        <f>'22'!$H$99</f>
        <v>-170</v>
      </c>
      <c r="BD23" s="1645">
        <f>'22'!$H$100</f>
        <v>-72</v>
      </c>
      <c r="BE23" s="1645">
        <f>'22'!$H$104</f>
        <v>-13</v>
      </c>
      <c r="BF23" s="1645">
        <f>'22'!$H$105</f>
        <v>-202</v>
      </c>
      <c r="BG23" s="1645">
        <f>'22'!$H$106</f>
        <v>161</v>
      </c>
      <c r="BH23" s="1645">
        <f>'22'!$H$109</f>
        <v>-1623</v>
      </c>
      <c r="BI23" s="1645">
        <f>'22'!$H$110</f>
        <v>-1822</v>
      </c>
      <c r="BJ23" s="1645">
        <f>'22'!$H$111</f>
        <v>189</v>
      </c>
      <c r="BK23" s="1645">
        <f>'22'!$H$114</f>
        <v>-566</v>
      </c>
      <c r="BL23" s="1645">
        <f>'22'!$H$115</f>
        <v>-136</v>
      </c>
      <c r="BM23" s="1645">
        <f>'22'!$H$116</f>
        <v>200</v>
      </c>
      <c r="BN23" s="1645">
        <f>'22'!$H$118</f>
        <v>-4632</v>
      </c>
      <c r="BO23" s="1645">
        <f>'22'!$H$119</f>
        <v>-4611</v>
      </c>
      <c r="BP23" s="1645">
        <f>'22'!$H$120</f>
        <v>-3804</v>
      </c>
      <c r="BQ23" s="1650">
        <f>'22'!$H$123</f>
        <v>-2363.3200000000652</v>
      </c>
      <c r="BR23" s="1650">
        <f>'22'!$H$124</f>
        <v>0.30000000000291038</v>
      </c>
      <c r="BS23" s="1650">
        <f>'22'!$H$125</f>
        <v>-606.95000000001164</v>
      </c>
      <c r="BT23" s="1650">
        <f>'22'!$H$126</f>
        <v>-286.69999999999709</v>
      </c>
      <c r="BU23" s="1650">
        <f>'22'!$H$127</f>
        <v>-31</v>
      </c>
      <c r="BV23" s="1650">
        <f>'22'!$H$128</f>
        <v>-11118.980000000152</v>
      </c>
    </row>
    <row r="24" spans="1:74" x14ac:dyDescent="0.25">
      <c r="A24" s="1248" t="s">
        <v>317</v>
      </c>
      <c r="B24" s="1643">
        <f t="shared" si="0"/>
        <v>23</v>
      </c>
      <c r="C24" s="1643">
        <v>2</v>
      </c>
      <c r="D24" s="1643">
        <v>2021</v>
      </c>
      <c r="E24" s="1648">
        <f>'23'!$H$35</f>
        <v>0</v>
      </c>
      <c r="F24" s="1648">
        <f>'23'!$H$36</f>
        <v>-5497.4400000000023</v>
      </c>
      <c r="G24" s="1648">
        <f>'23'!$H$37</f>
        <v>415066</v>
      </c>
      <c r="H24" s="1648">
        <f>'23'!$H$38</f>
        <v>150616.5</v>
      </c>
      <c r="I24" s="1648">
        <f>'23'!$H$39</f>
        <v>912480</v>
      </c>
      <c r="J24" s="1648">
        <f>'23'!$H$40</f>
        <v>-0.06</v>
      </c>
      <c r="K24" s="1648">
        <f>'23'!$H$41</f>
        <v>-29819.839999999997</v>
      </c>
      <c r="L24" s="1648">
        <f>'23'!$H$42</f>
        <v>8.999999999650754E-2</v>
      </c>
      <c r="M24" s="1648">
        <f>'23'!$H$43</f>
        <v>-18579.280000000028</v>
      </c>
      <c r="N24" s="1648">
        <f>'23'!$H$44</f>
        <v>0</v>
      </c>
      <c r="O24" s="1648">
        <f>'23'!$H$45</f>
        <v>-0.48000000000001819</v>
      </c>
      <c r="P24" s="1648">
        <f>'23'!$H$46</f>
        <v>-0.49000000000000909</v>
      </c>
      <c r="Q24" s="1648">
        <f>'23'!$H$49</f>
        <v>-24893.479999999981</v>
      </c>
      <c r="R24" s="1648">
        <f>'23'!$H$50</f>
        <v>-9756.5999999999767</v>
      </c>
      <c r="S24" s="1648">
        <f>'23'!$H$51</f>
        <v>-11914.100000000006</v>
      </c>
      <c r="T24" s="1648">
        <f>'23'!$H$52</f>
        <v>-15026.079999999958</v>
      </c>
      <c r="U24" s="1648">
        <f>'23'!$H$53</f>
        <v>-33486.22000000003</v>
      </c>
      <c r="V24" s="1648">
        <f>'23'!$H$54</f>
        <v>-461.97000000000025</v>
      </c>
      <c r="W24" s="1648">
        <f>'23'!$H$55</f>
        <v>-3867.4000000000015</v>
      </c>
      <c r="X24" s="1648">
        <f>'23'!$H$56</f>
        <v>-1.7600000000093132</v>
      </c>
      <c r="Y24" s="1648">
        <f>'23'!$H$57</f>
        <v>0</v>
      </c>
      <c r="Z24" s="1648">
        <f>'23'!$H$58</f>
        <v>-1452.4799999999959</v>
      </c>
      <c r="AA24" s="1648">
        <f>'23'!$H$62</f>
        <v>-0.1889999999984866</v>
      </c>
      <c r="AB24" s="1648">
        <f>'23'!$H$63</f>
        <v>-87.099999999999909</v>
      </c>
      <c r="AC24" s="1648">
        <f>'23'!$H$64</f>
        <v>-3382.3600000000006</v>
      </c>
      <c r="AD24" s="1648">
        <f>'23'!$H$65</f>
        <v>-3221.0599999999977</v>
      </c>
      <c r="AE24" s="1648">
        <f>'23'!$H$66</f>
        <v>-3334.9300000000003</v>
      </c>
      <c r="AF24" s="1648">
        <f>'23'!$H$67</f>
        <v>-5322.0799999999872</v>
      </c>
      <c r="AG24" s="1648">
        <f>'23'!$H$68</f>
        <v>-2596.5500000000029</v>
      </c>
      <c r="AH24" s="1648">
        <f>'23'!$H$69</f>
        <v>-2474.4400000000023</v>
      </c>
      <c r="AI24" s="1648">
        <f>'23'!$H$70</f>
        <v>0</v>
      </c>
      <c r="AJ24" s="1648">
        <f>'23'!$H$72</f>
        <v>-685</v>
      </c>
      <c r="AK24" s="1648">
        <f>'23'!$H$73</f>
        <v>943</v>
      </c>
      <c r="AL24" s="1648">
        <f>'23'!$H$74</f>
        <v>882339.1</v>
      </c>
      <c r="AM24" s="1648">
        <f>'23'!$H$75</f>
        <v>737504.4</v>
      </c>
      <c r="AN24" s="1648">
        <f>'23'!$H$76</f>
        <v>688386.2</v>
      </c>
      <c r="AO24" s="1648">
        <f>'23'!$H$77</f>
        <v>-428</v>
      </c>
      <c r="AP24" s="1648">
        <f>'23'!$H$78</f>
        <v>-2992</v>
      </c>
      <c r="AQ24" s="1648">
        <f>'23'!$H$79</f>
        <v>1361</v>
      </c>
      <c r="AR24" s="1648">
        <f>'23'!$H$80</f>
        <v>-3941.679999999993</v>
      </c>
      <c r="AS24" s="1648">
        <f>'23'!$H$81</f>
        <v>-892</v>
      </c>
      <c r="AT24" s="1648">
        <f>'23'!$H$82</f>
        <v>-366</v>
      </c>
      <c r="AU24" s="1648">
        <f>'23'!$H$83</f>
        <v>-2373</v>
      </c>
      <c r="AV24" s="1648">
        <f>'23'!$H$84</f>
        <v>-4204</v>
      </c>
      <c r="AW24" s="1645">
        <f>'23'!$H$92</f>
        <v>-688</v>
      </c>
      <c r="AX24" s="1645">
        <f>'23'!$H$93</f>
        <v>-1123</v>
      </c>
      <c r="AY24" s="1645">
        <f>'23'!$H$95</f>
        <v>-516</v>
      </c>
      <c r="AZ24" s="1645">
        <f>'23'!$H$96</f>
        <v>-203</v>
      </c>
      <c r="BA24" s="1645">
        <f>'23'!$H$97</f>
        <v>-178</v>
      </c>
      <c r="BB24" s="1645">
        <f>'23'!$H$98</f>
        <v>-477</v>
      </c>
      <c r="BC24" s="1645">
        <f>'23'!$H$99</f>
        <v>-160</v>
      </c>
      <c r="BD24" s="1645">
        <f>'23'!$H$100</f>
        <v>-59</v>
      </c>
      <c r="BE24" s="1645">
        <f>'23'!$H$104</f>
        <v>74</v>
      </c>
      <c r="BF24" s="1645">
        <f>'23'!$H$105</f>
        <v>54</v>
      </c>
      <c r="BG24" s="1645">
        <f>'23'!$H$106</f>
        <v>342</v>
      </c>
      <c r="BH24" s="1645">
        <f>'23'!$H$109</f>
        <v>121</v>
      </c>
      <c r="BI24" s="1645">
        <f>'23'!$H$110</f>
        <v>86</v>
      </c>
      <c r="BJ24" s="1645">
        <f>'23'!$H$111</f>
        <v>446</v>
      </c>
      <c r="BK24" s="1645">
        <f>'23'!$H$114</f>
        <v>12</v>
      </c>
      <c r="BL24" s="1645">
        <f>'23'!$H$115</f>
        <v>99</v>
      </c>
      <c r="BM24" s="1645">
        <f>'23'!$H$116</f>
        <v>200</v>
      </c>
      <c r="BN24" s="1645">
        <f>'23'!$H$118</f>
        <v>169</v>
      </c>
      <c r="BO24" s="1645">
        <f>'23'!$H$119</f>
        <v>225</v>
      </c>
      <c r="BP24" s="1645">
        <f>'23'!$H$120</f>
        <v>105</v>
      </c>
      <c r="BQ24" s="1650">
        <f>'23'!$H$123</f>
        <v>-2117.4600000000792</v>
      </c>
      <c r="BR24" s="1650">
        <f>'23'!$H$124</f>
        <v>0.30000000000291038</v>
      </c>
      <c r="BS24" s="1650">
        <f>'23'!$H$125</f>
        <v>-523.51999999998952</v>
      </c>
      <c r="BT24" s="1650">
        <f>'23'!$H$126</f>
        <v>-246.29999999999563</v>
      </c>
      <c r="BU24" s="1650">
        <f>'23'!$H$127</f>
        <v>-26.899999999999636</v>
      </c>
      <c r="BV24" s="1650">
        <f>'23'!$H$128</f>
        <v>-10557.830000000218</v>
      </c>
    </row>
    <row r="25" spans="1:74" x14ac:dyDescent="0.25">
      <c r="A25" s="1248" t="s">
        <v>317</v>
      </c>
      <c r="B25" s="1643">
        <f t="shared" si="0"/>
        <v>24</v>
      </c>
      <c r="C25" s="1643">
        <v>2</v>
      </c>
      <c r="D25" s="1643">
        <v>2021</v>
      </c>
      <c r="E25" s="1648">
        <f>'24'!$H$35</f>
        <v>0</v>
      </c>
      <c r="F25" s="1648">
        <f>'24'!$H$36</f>
        <v>-4771.5400000000373</v>
      </c>
      <c r="G25" s="1648">
        <f>'24'!$H$37</f>
        <v>415066</v>
      </c>
      <c r="H25" s="1648">
        <f>'24'!$H$38</f>
        <v>150616.5</v>
      </c>
      <c r="I25" s="1648">
        <f>'24'!$H$39</f>
        <v>912480</v>
      </c>
      <c r="J25" s="1648">
        <f>'24'!$H$40</f>
        <v>-0.06</v>
      </c>
      <c r="K25" s="1648">
        <f>'24'!$H$41</f>
        <v>-25598.519999999997</v>
      </c>
      <c r="L25" s="1648">
        <f>'24'!$H$42</f>
        <v>0</v>
      </c>
      <c r="M25" s="1648">
        <f>'24'!$H$43</f>
        <v>-16200.910000000033</v>
      </c>
      <c r="N25" s="1648">
        <f>'24'!$H$44</f>
        <v>0</v>
      </c>
      <c r="O25" s="1648">
        <f>'24'!$H$45</f>
        <v>-0.48000000000001819</v>
      </c>
      <c r="P25" s="1648">
        <f>'24'!$H$46</f>
        <v>-0.49000000000000909</v>
      </c>
      <c r="Q25" s="1648">
        <f>'24'!$H$49</f>
        <v>-21818.049999999988</v>
      </c>
      <c r="R25" s="1648">
        <f>'24'!$H$50</f>
        <v>-8757.5999999999767</v>
      </c>
      <c r="S25" s="1648">
        <f>'24'!$H$51</f>
        <v>-10435.740000000005</v>
      </c>
      <c r="T25" s="1648">
        <f>'24'!$H$52</f>
        <v>-13192.159999999974</v>
      </c>
      <c r="U25" s="1648">
        <f>'24'!$H$53</f>
        <v>-29282.270000000019</v>
      </c>
      <c r="V25" s="1648">
        <f>'24'!$H$54</f>
        <v>-414.80000000000018</v>
      </c>
      <c r="W25" s="1648">
        <f>'24'!$H$55</f>
        <v>-3867.4000000000015</v>
      </c>
      <c r="X25" s="1648">
        <f>'24'!$H$56</f>
        <v>-1.7600000000093132</v>
      </c>
      <c r="Y25" s="1648">
        <f>'24'!$H$57</f>
        <v>0</v>
      </c>
      <c r="Z25" s="1648">
        <f>'24'!$H$58</f>
        <v>-1329.5399999999972</v>
      </c>
      <c r="AA25" s="1648">
        <f>'24'!$H$62</f>
        <v>-8.9999999981955625E-3</v>
      </c>
      <c r="AB25" s="1648">
        <f>'24'!$H$63</f>
        <v>-78.529999999999973</v>
      </c>
      <c r="AC25" s="1648">
        <f>'24'!$H$64</f>
        <v>-2978.4600000000064</v>
      </c>
      <c r="AD25" s="1648">
        <f>'24'!$H$65</f>
        <v>-2781.1100000000006</v>
      </c>
      <c r="AE25" s="1648">
        <f>'24'!$H$66</f>
        <v>-2937.74</v>
      </c>
      <c r="AF25" s="1648">
        <f>'24'!$H$67</f>
        <v>-4701.5299999999988</v>
      </c>
      <c r="AG25" s="1648">
        <f>'24'!$H$68</f>
        <v>-2245.8600000000006</v>
      </c>
      <c r="AH25" s="1648">
        <f>'24'!$H$69</f>
        <v>-2174.7099999999991</v>
      </c>
      <c r="AI25" s="1648">
        <f>'24'!$H$70</f>
        <v>0</v>
      </c>
      <c r="AJ25" s="1648">
        <f>'24'!$H$72</f>
        <v>-635</v>
      </c>
      <c r="AK25" s="1648">
        <f>'24'!$H$73</f>
        <v>945</v>
      </c>
      <c r="AL25" s="1648">
        <f>'24'!$H$74</f>
        <v>882377.1</v>
      </c>
      <c r="AM25" s="1648">
        <f>'24'!$H$75</f>
        <v>737689.4</v>
      </c>
      <c r="AN25" s="1648">
        <f>'24'!$H$76</f>
        <v>688468.2</v>
      </c>
      <c r="AO25" s="1648">
        <f>'24'!$H$77</f>
        <v>-373</v>
      </c>
      <c r="AP25" s="1648">
        <f>'24'!$H$78</f>
        <v>-2659</v>
      </c>
      <c r="AQ25" s="1648">
        <f>'24'!$H$79</f>
        <v>1537</v>
      </c>
      <c r="AR25" s="1648">
        <f>'24'!$H$80</f>
        <v>-3624.679999999993</v>
      </c>
      <c r="AS25" s="1648">
        <f>'24'!$H$81</f>
        <v>-796</v>
      </c>
      <c r="AT25" s="1648">
        <f>'24'!$H$82</f>
        <v>-329</v>
      </c>
      <c r="AU25" s="1648">
        <f>'24'!$H$83</f>
        <v>-2140</v>
      </c>
      <c r="AV25" s="1648">
        <f>'24'!$H$84</f>
        <v>-3680</v>
      </c>
      <c r="AW25" s="1645">
        <f>'24'!$H$92</f>
        <v>-585</v>
      </c>
      <c r="AX25" s="1645">
        <f>'24'!$H$93</f>
        <v>-974</v>
      </c>
      <c r="AY25" s="1645">
        <f>'24'!$H$95</f>
        <v>-445</v>
      </c>
      <c r="AZ25" s="1645">
        <f>'24'!$H$96</f>
        <v>-178</v>
      </c>
      <c r="BA25" s="1645">
        <f>'24'!$H$97</f>
        <v>-145</v>
      </c>
      <c r="BB25" s="1645">
        <f>'24'!$H$98</f>
        <v>-432</v>
      </c>
      <c r="BC25" s="1645">
        <f>'24'!$H$99</f>
        <v>-148</v>
      </c>
      <c r="BD25" s="1645">
        <f>'24'!$H$100</f>
        <v>-50</v>
      </c>
      <c r="BE25" s="1645">
        <f>'24'!$H$104</f>
        <v>74</v>
      </c>
      <c r="BF25" s="1645">
        <f>'24'!$H$105</f>
        <v>54</v>
      </c>
      <c r="BG25" s="1645">
        <f>'24'!$H$106</f>
        <v>339</v>
      </c>
      <c r="BH25" s="1645">
        <f>'24'!$H$109</f>
        <v>137</v>
      </c>
      <c r="BI25" s="1645">
        <f>'24'!$H$110</f>
        <v>80</v>
      </c>
      <c r="BJ25" s="1645">
        <f>'24'!$H$111</f>
        <v>433</v>
      </c>
      <c r="BK25" s="1645">
        <f>'24'!$H$114</f>
        <v>15</v>
      </c>
      <c r="BL25" s="1645">
        <f>'24'!$H$115</f>
        <v>95</v>
      </c>
      <c r="BM25" s="1645">
        <f>'24'!$H$116</f>
        <v>200</v>
      </c>
      <c r="BN25" s="1645">
        <f>'24'!$H$118</f>
        <v>176</v>
      </c>
      <c r="BO25" s="1645">
        <f>'24'!$H$119</f>
        <v>233</v>
      </c>
      <c r="BP25" s="1645">
        <f>'24'!$H$120</f>
        <v>102</v>
      </c>
      <c r="BQ25" s="1650">
        <f>'24'!$H$123</f>
        <v>-1848.4000000000233</v>
      </c>
      <c r="BR25" s="1650">
        <f>'24'!$H$124</f>
        <v>0</v>
      </c>
      <c r="BS25" s="1650">
        <f>'24'!$H$125</f>
        <v>-458.63000000000466</v>
      </c>
      <c r="BT25" s="1650">
        <f>'24'!$H$126</f>
        <v>-211.69999999999709</v>
      </c>
      <c r="BU25" s="1650">
        <f>'24'!$H$127</f>
        <v>-23</v>
      </c>
      <c r="BV25" s="1650">
        <f>'24'!$H$128</f>
        <v>-10181.860000000142</v>
      </c>
    </row>
    <row r="26" spans="1:74" x14ac:dyDescent="0.25">
      <c r="A26" s="1248" t="s">
        <v>317</v>
      </c>
      <c r="B26" s="1643">
        <f>B25+1</f>
        <v>25</v>
      </c>
      <c r="C26" s="1643">
        <v>2</v>
      </c>
      <c r="D26" s="1643">
        <v>2021</v>
      </c>
      <c r="E26" s="1648">
        <f>'25'!$H$35</f>
        <v>0</v>
      </c>
      <c r="F26" s="1648">
        <f>'25'!$H$36</f>
        <v>-3815.4500000000116</v>
      </c>
      <c r="G26" s="1648">
        <f>'25'!$H$37</f>
        <v>415066</v>
      </c>
      <c r="H26" s="1648">
        <f>'25'!$H$38</f>
        <v>150616.5</v>
      </c>
      <c r="I26" s="1648">
        <f>'25'!$H$39</f>
        <v>912480</v>
      </c>
      <c r="J26" s="1648">
        <f>'25'!$H$40</f>
        <v>-0.06</v>
      </c>
      <c r="K26" s="1648">
        <f>'25'!$H$41</f>
        <v>-22083.409999999996</v>
      </c>
      <c r="L26" s="1648">
        <f>'25'!$H$42</f>
        <v>0</v>
      </c>
      <c r="M26" s="1648">
        <f>'25'!$H$43</f>
        <v>-13947.599999999977</v>
      </c>
      <c r="N26" s="1648">
        <f>'25'!$H$44</f>
        <v>0</v>
      </c>
      <c r="O26" s="1648">
        <f>'25'!$H$45</f>
        <v>-0.48000000000001819</v>
      </c>
      <c r="P26" s="1648">
        <f>'25'!$H$46</f>
        <v>-0.49000000000000909</v>
      </c>
      <c r="Q26" s="1648">
        <f>'25'!$H$49</f>
        <v>-18630.440000000002</v>
      </c>
      <c r="R26" s="1648">
        <f>'25'!$H$50</f>
        <v>-7715.640000000014</v>
      </c>
      <c r="S26" s="1648">
        <f>'25'!$H$51</f>
        <v>-8931.86</v>
      </c>
      <c r="T26" s="1648">
        <f>'25'!$H$52</f>
        <v>-11367.159999999974</v>
      </c>
      <c r="U26" s="1648">
        <f>'25'!$H$53</f>
        <v>-24956.270000000019</v>
      </c>
      <c r="V26" s="1648">
        <f>'25'!$H$54</f>
        <v>-364.80000000000018</v>
      </c>
      <c r="W26" s="1648">
        <f>'25'!$H$55</f>
        <v>-3867.4000000000015</v>
      </c>
      <c r="X26" s="1648">
        <f>'25'!$H$56</f>
        <v>-1.7600000000093132</v>
      </c>
      <c r="Y26" s="1648">
        <f>'25'!$H$57</f>
        <v>0</v>
      </c>
      <c r="Z26" s="1648">
        <f>'25'!$H$58</f>
        <v>-1150.3999999999978</v>
      </c>
      <c r="AA26" s="1648">
        <f>'25'!$H$62</f>
        <v>-8.9999999981955625E-3</v>
      </c>
      <c r="AB26" s="1648">
        <f>'25'!$H$63</f>
        <v>-68.220000000000027</v>
      </c>
      <c r="AC26" s="1648">
        <f>'25'!$H$64</f>
        <v>-2555.4600000000064</v>
      </c>
      <c r="AD26" s="1648">
        <f>'25'!$H$65</f>
        <v>-2365.1100000000006</v>
      </c>
      <c r="AE26" s="1648">
        <f>'25'!$H$66</f>
        <v>-2503.0499999999993</v>
      </c>
      <c r="AF26" s="1648">
        <f>'25'!$H$67</f>
        <v>-4029.5299999999988</v>
      </c>
      <c r="AG26" s="1648">
        <f>'25'!$H$68</f>
        <v>-1895.010000000002</v>
      </c>
      <c r="AH26" s="1648">
        <f>'25'!$H$69</f>
        <v>-1870.7099999999991</v>
      </c>
      <c r="AI26" s="1648">
        <f>'25'!$H$70</f>
        <v>0</v>
      </c>
      <c r="AJ26" s="1648">
        <f>'25'!$H$72</f>
        <v>-587</v>
      </c>
      <c r="AK26" s="1648">
        <f>'25'!$H$73</f>
        <v>945</v>
      </c>
      <c r="AL26" s="1648">
        <f>'25'!$H$74</f>
        <v>882410.1</v>
      </c>
      <c r="AM26" s="1648">
        <f>'25'!$H$75</f>
        <v>737889.4</v>
      </c>
      <c r="AN26" s="1648">
        <f>'25'!$H$76</f>
        <v>688563.19999999995</v>
      </c>
      <c r="AO26" s="1648">
        <f>'25'!$H$77</f>
        <v>-312</v>
      </c>
      <c r="AP26" s="1648">
        <f>'25'!$H$78</f>
        <v>-2314</v>
      </c>
      <c r="AQ26" s="1648">
        <f>'25'!$H$79</f>
        <v>1733</v>
      </c>
      <c r="AR26" s="1648">
        <f>'25'!$H$80</f>
        <v>-3296.1199999999953</v>
      </c>
      <c r="AS26" s="1648">
        <f>'25'!$H$81</f>
        <v>-643.43999999994412</v>
      </c>
      <c r="AT26" s="1648">
        <f>'25'!$H$82</f>
        <v>-271</v>
      </c>
      <c r="AU26" s="1648">
        <f>'25'!$H$83</f>
        <v>-1900</v>
      </c>
      <c r="AV26" s="1648">
        <f>'25'!$H$84</f>
        <v>-3164</v>
      </c>
      <c r="AW26" s="1645">
        <f>'25'!$H$92</f>
        <v>-489</v>
      </c>
      <c r="AX26" s="1645">
        <f>'25'!$H$93</f>
        <v>-813</v>
      </c>
      <c r="AY26" s="1645">
        <f>'25'!$H$95</f>
        <v>-362</v>
      </c>
      <c r="AZ26" s="1645">
        <f>'25'!$H$96</f>
        <v>-154</v>
      </c>
      <c r="BA26" s="1645">
        <f>'25'!$H$97</f>
        <v>-120</v>
      </c>
      <c r="BB26" s="1645">
        <f>'25'!$H$98</f>
        <v>-382</v>
      </c>
      <c r="BC26" s="1645">
        <f>'25'!$H$99</f>
        <v>-131</v>
      </c>
      <c r="BD26" s="1645">
        <f>'25'!$H$100</f>
        <v>-42</v>
      </c>
      <c r="BE26" s="1645">
        <f>'25'!$H$104</f>
        <v>74</v>
      </c>
      <c r="BF26" s="1645">
        <f>'25'!$H$105</f>
        <v>62</v>
      </c>
      <c r="BG26" s="1645">
        <f>'25'!$H$106</f>
        <v>341</v>
      </c>
      <c r="BH26" s="1645">
        <f>'25'!$H$109</f>
        <v>117</v>
      </c>
      <c r="BI26" s="1645">
        <f>'25'!$H$110</f>
        <v>105</v>
      </c>
      <c r="BJ26" s="1645">
        <f>'25'!$H$111</f>
        <v>447</v>
      </c>
      <c r="BK26" s="1645">
        <f>'25'!$H$114</f>
        <v>20</v>
      </c>
      <c r="BL26" s="1645">
        <f>'25'!$H$115</f>
        <v>93</v>
      </c>
      <c r="BM26" s="1645">
        <f>'25'!$H$116</f>
        <v>200</v>
      </c>
      <c r="BN26" s="1645">
        <f>'25'!$H$118</f>
        <v>172</v>
      </c>
      <c r="BO26" s="1645">
        <f>'25'!$H$119</f>
        <v>240</v>
      </c>
      <c r="BP26" s="1645">
        <f>'25'!$H$120</f>
        <v>121</v>
      </c>
      <c r="BQ26" s="1650">
        <f>'25'!$H$123</f>
        <v>-1579.1900000000605</v>
      </c>
      <c r="BR26" s="1650">
        <f>'25'!$H$124</f>
        <v>0</v>
      </c>
      <c r="BS26" s="1650">
        <f>'25'!$H$125</f>
        <v>-369</v>
      </c>
      <c r="BT26" s="1650">
        <f>'25'!$H$126</f>
        <v>-177.69999999999709</v>
      </c>
      <c r="BU26" s="1650">
        <f>'25'!$H$127</f>
        <v>-19.399999999999636</v>
      </c>
      <c r="BV26" s="1650">
        <f>'25'!$H$128</f>
        <v>-9647.4400000000078</v>
      </c>
    </row>
    <row r="27" spans="1:74" x14ac:dyDescent="0.25">
      <c r="A27" s="1248" t="s">
        <v>317</v>
      </c>
      <c r="B27" s="1643">
        <f t="shared" si="0"/>
        <v>26</v>
      </c>
      <c r="C27" s="1643">
        <v>2</v>
      </c>
      <c r="D27" s="1643">
        <v>2021</v>
      </c>
      <c r="E27" s="1648">
        <f>'26'!$H$35</f>
        <v>0</v>
      </c>
      <c r="F27" s="1648">
        <f>'26'!$H$36</f>
        <v>-3067.4500000000116</v>
      </c>
      <c r="G27" s="1648">
        <f>'26'!$H$37</f>
        <v>415066</v>
      </c>
      <c r="H27" s="1648">
        <f>'26'!$H$38</f>
        <v>150616.12</v>
      </c>
      <c r="I27" s="1648">
        <f>'26'!$H$39</f>
        <v>912480</v>
      </c>
      <c r="J27" s="1648">
        <f>'26'!$H$40</f>
        <v>-0.06</v>
      </c>
      <c r="K27" s="1648">
        <f>'26'!$H$41</f>
        <v>-18323.029999999995</v>
      </c>
      <c r="L27" s="1648">
        <f>'26'!$H$42</f>
        <v>0</v>
      </c>
      <c r="M27" s="1648">
        <f>'26'!$H$43</f>
        <v>-11619.060000000056</v>
      </c>
      <c r="N27" s="1648">
        <f>'26'!$H$44</f>
        <v>0</v>
      </c>
      <c r="O27" s="1648">
        <f>'26'!$H$45</f>
        <v>-0.48000000000001819</v>
      </c>
      <c r="P27" s="1648">
        <f>'26'!$H$46</f>
        <v>-0.49000000000000909</v>
      </c>
      <c r="Q27" s="1648">
        <f>'26'!$H$49</f>
        <v>-15432.049999999988</v>
      </c>
      <c r="R27" s="1648">
        <f>'26'!$H$50</f>
        <v>-6777.5999999999767</v>
      </c>
      <c r="S27" s="1648">
        <f>'26'!$H$51</f>
        <v>-7509.7400000000052</v>
      </c>
      <c r="T27" s="1648">
        <f>'26'!$H$52</f>
        <v>-9460.039999999979</v>
      </c>
      <c r="U27" s="1648">
        <f>'26'!$H$53</f>
        <v>-20804.420000000042</v>
      </c>
      <c r="V27" s="1648">
        <f>'26'!$H$54</f>
        <v>-318.80000000000018</v>
      </c>
      <c r="W27" s="1648">
        <f>'26'!$H$55</f>
        <v>-3867.4000000000015</v>
      </c>
      <c r="X27" s="1648">
        <f>'26'!$H$56</f>
        <v>-1.7600000000093132</v>
      </c>
      <c r="Y27" s="1648">
        <f>'26'!$H$57</f>
        <v>0</v>
      </c>
      <c r="Z27" s="1648">
        <f>'26'!$H$58</f>
        <v>-964.15999999999622</v>
      </c>
      <c r="AA27" s="1648">
        <f>'26'!$H$62</f>
        <v>-8.9999999981955625E-3</v>
      </c>
      <c r="AB27" s="1648">
        <f>'26'!$H$63</f>
        <v>-58.819999999999936</v>
      </c>
      <c r="AC27" s="1648">
        <f>'26'!$H$64</f>
        <v>-2166.4600000000064</v>
      </c>
      <c r="AD27" s="1648">
        <f>'26'!$H$65</f>
        <v>-1953.3500000000058</v>
      </c>
      <c r="AE27" s="1648">
        <f>'26'!$H$66</f>
        <v>-2089.2399999999998</v>
      </c>
      <c r="AF27" s="1648">
        <f>'26'!$H$67</f>
        <v>-3361.8399999999965</v>
      </c>
      <c r="AG27" s="1648">
        <f>'26'!$H$68</f>
        <v>-1575.9199999999983</v>
      </c>
      <c r="AH27" s="1648">
        <f>'26'!$H$69</f>
        <v>-1558.7099999999991</v>
      </c>
      <c r="AI27" s="1648">
        <f>'26'!$H$70</f>
        <v>0</v>
      </c>
      <c r="AJ27" s="1648">
        <f>'26'!$H$72</f>
        <v>-504</v>
      </c>
      <c r="AK27" s="1648">
        <f>'26'!$H$73</f>
        <v>946</v>
      </c>
      <c r="AL27" s="1648">
        <f>'26'!$H$74</f>
        <v>882441.1</v>
      </c>
      <c r="AM27" s="1648">
        <f>'26'!$H$75</f>
        <v>738087.4</v>
      </c>
      <c r="AN27" s="1648">
        <f>'26'!$H$76</f>
        <v>688642.2</v>
      </c>
      <c r="AO27" s="1648">
        <f>'26'!$H$77</f>
        <v>-261</v>
      </c>
      <c r="AP27" s="1648">
        <f>'26'!$H$78</f>
        <v>-1943</v>
      </c>
      <c r="AQ27" s="1648">
        <f>'26'!$H$79</f>
        <v>1928</v>
      </c>
      <c r="AR27" s="1648">
        <f>'26'!$H$80</f>
        <v>-3017.7999999999884</v>
      </c>
      <c r="AS27" s="1648">
        <f>'26'!$H$81</f>
        <v>-513.35999999998603</v>
      </c>
      <c r="AT27" s="1648">
        <f>'26'!$H$82</f>
        <v>-215.41000000000349</v>
      </c>
      <c r="AU27" s="1648">
        <f>'26'!$H$83</f>
        <v>-1674</v>
      </c>
      <c r="AV27" s="1648">
        <f>'26'!$H$84</f>
        <v>-2636</v>
      </c>
      <c r="AW27" s="1645">
        <f>'26'!$H$92</f>
        <v>-381</v>
      </c>
      <c r="AX27" s="1645">
        <f>'26'!$H$93</f>
        <v>-708</v>
      </c>
      <c r="AY27" s="1645">
        <f>'26'!$H$95</f>
        <v>-302</v>
      </c>
      <c r="AZ27" s="1645">
        <f>'26'!$H$96</f>
        <v>-135</v>
      </c>
      <c r="BA27" s="1645">
        <f>'26'!$H$97</f>
        <v>-95</v>
      </c>
      <c r="BB27" s="1645">
        <f>'26'!$H$98</f>
        <v>-320</v>
      </c>
      <c r="BC27" s="1645">
        <f>'26'!$H$99</f>
        <v>-92</v>
      </c>
      <c r="BD27" s="1645">
        <f>'26'!$H$100</f>
        <v>-32</v>
      </c>
      <c r="BE27" s="1645">
        <f>'26'!$H$104</f>
        <v>74</v>
      </c>
      <c r="BF27" s="1645">
        <f>'26'!$H$105</f>
        <v>55</v>
      </c>
      <c r="BG27" s="1645">
        <f>'26'!$H$106</f>
        <v>337</v>
      </c>
      <c r="BH27" s="1645">
        <f>'26'!$H$109</f>
        <v>118</v>
      </c>
      <c r="BI27" s="1645">
        <f>'26'!$H$110</f>
        <v>105</v>
      </c>
      <c r="BJ27" s="1645">
        <f>'26'!$H$111</f>
        <v>433</v>
      </c>
      <c r="BK27" s="1645">
        <f>'26'!$H$114</f>
        <v>44</v>
      </c>
      <c r="BL27" s="1645">
        <f>'26'!$H$115</f>
        <v>97</v>
      </c>
      <c r="BM27" s="1645">
        <f>'26'!$H$116</f>
        <v>200</v>
      </c>
      <c r="BN27" s="1645">
        <f>'26'!$H$118</f>
        <v>180</v>
      </c>
      <c r="BO27" s="1645">
        <f>'26'!$H$119</f>
        <v>236</v>
      </c>
      <c r="BP27" s="1645">
        <f>'26'!$H$120</f>
        <v>108</v>
      </c>
      <c r="BQ27" s="1650">
        <f>'26'!$H$123</f>
        <v>-1313.0500000000466</v>
      </c>
      <c r="BR27" s="1650">
        <f>'26'!$H$124</f>
        <v>0</v>
      </c>
      <c r="BS27" s="1650">
        <f>'26'!$H$125</f>
        <v>-298.44000000000233</v>
      </c>
      <c r="BT27" s="1650">
        <f>'26'!$H$126</f>
        <v>-144.69999999999709</v>
      </c>
      <c r="BU27" s="1650">
        <f>'26'!$H$127</f>
        <v>-16</v>
      </c>
      <c r="BV27" s="1650">
        <f>'26'!$H$128</f>
        <v>-9165.4000000001215</v>
      </c>
    </row>
    <row r="28" spans="1:74" x14ac:dyDescent="0.25">
      <c r="A28" s="1248" t="s">
        <v>317</v>
      </c>
      <c r="B28" s="1643">
        <f t="shared" si="0"/>
        <v>27</v>
      </c>
      <c r="C28" s="1643">
        <v>2</v>
      </c>
      <c r="D28" s="1643">
        <v>2021</v>
      </c>
      <c r="E28" s="1648">
        <f>'27'!$H$35</f>
        <v>0</v>
      </c>
      <c r="F28" s="1648">
        <f>'27'!$H$36</f>
        <v>-2440.7200000000303</v>
      </c>
      <c r="G28" s="1648">
        <f>'27'!$H$37</f>
        <v>415066</v>
      </c>
      <c r="H28" s="1648">
        <f>'27'!$H$38</f>
        <v>150616.12</v>
      </c>
      <c r="I28" s="1648">
        <f>'27'!$H$39</f>
        <v>912480</v>
      </c>
      <c r="J28" s="1648">
        <f>'27'!$H$40</f>
        <v>-0.06</v>
      </c>
      <c r="K28" s="1648">
        <f>'27'!$H$41</f>
        <v>-14659.519999999997</v>
      </c>
      <c r="L28" s="1648">
        <f>'27'!$H$42</f>
        <v>0</v>
      </c>
      <c r="M28" s="1648">
        <f>'27'!$H$43</f>
        <v>-9298.9600000000792</v>
      </c>
      <c r="N28" s="1648">
        <f>'27'!$H$44</f>
        <v>0</v>
      </c>
      <c r="O28" s="1648">
        <f>'27'!$H$45</f>
        <v>-0.48000000000001819</v>
      </c>
      <c r="P28" s="1648">
        <f>'27'!$H$46</f>
        <v>-0.49000000000000909</v>
      </c>
      <c r="Q28" s="1648">
        <f>'27'!$H$49</f>
        <v>-12244.599999999977</v>
      </c>
      <c r="R28" s="1648">
        <f>'27'!$H$50</f>
        <v>-5750.3099999999977</v>
      </c>
      <c r="S28" s="1648">
        <f>'27'!$H$51</f>
        <v>-6073.2000000000116</v>
      </c>
      <c r="T28" s="1648">
        <f>'27'!$H$52</f>
        <v>-7695.8800000000047</v>
      </c>
      <c r="U28" s="1648">
        <f>'27'!$H$53</f>
        <v>-16724.270000000019</v>
      </c>
      <c r="V28" s="1648">
        <f>'27'!$H$54</f>
        <v>-262.25</v>
      </c>
      <c r="W28" s="1648">
        <f>'27'!$H$55</f>
        <v>-3867.4000000000015</v>
      </c>
      <c r="X28" s="1648">
        <f>'27'!$H$56</f>
        <v>-1.7600000000093132</v>
      </c>
      <c r="Y28" s="1648">
        <f>'27'!$H$57</f>
        <v>0</v>
      </c>
      <c r="Z28" s="1648">
        <f>'27'!$H$58</f>
        <v>-691.53999999999724</v>
      </c>
      <c r="AA28" s="1648">
        <f>'27'!$H$62</f>
        <v>-8.9999999981955625E-3</v>
      </c>
      <c r="AB28" s="1648">
        <f>'27'!$H$63</f>
        <v>-49.529999999999973</v>
      </c>
      <c r="AC28" s="1648">
        <f>'27'!$H$64</f>
        <v>-1730.6700000000128</v>
      </c>
      <c r="AD28" s="1648">
        <f>'27'!$H$65</f>
        <v>-1558.1100000000006</v>
      </c>
      <c r="AE28" s="1648">
        <f>'27'!$H$66</f>
        <v>-1672.1299999999992</v>
      </c>
      <c r="AF28" s="1648">
        <f>'27'!$H$67</f>
        <v>-2729.5299999999988</v>
      </c>
      <c r="AG28" s="1648">
        <f>'27'!$H$68</f>
        <v>-1269.8600000000006</v>
      </c>
      <c r="AH28" s="1648">
        <f>'27'!$H$69</f>
        <v>-1250.9000000000015</v>
      </c>
      <c r="AI28" s="1648">
        <f>'27'!$H$70</f>
        <v>0</v>
      </c>
      <c r="AJ28" s="1648">
        <f>'27'!$H$72</f>
        <v>-413</v>
      </c>
      <c r="AK28" s="1648">
        <f>'27'!$H$73</f>
        <v>946</v>
      </c>
      <c r="AL28" s="1648">
        <f>'27'!$H$74</f>
        <v>882472.1</v>
      </c>
      <c r="AM28" s="1648">
        <f>'27'!$H$75</f>
        <v>738273.4</v>
      </c>
      <c r="AN28" s="1648">
        <f>'27'!$H$76</f>
        <v>688718.2</v>
      </c>
      <c r="AO28" s="1648">
        <f>'27'!$H$77</f>
        <v>-209</v>
      </c>
      <c r="AP28" s="1648">
        <f>'27'!$H$78</f>
        <v>-1605</v>
      </c>
      <c r="AQ28" s="1648">
        <f>'27'!$H$79</f>
        <v>2122</v>
      </c>
      <c r="AR28" s="1648">
        <f>'27'!$H$80</f>
        <v>-2729.679999999993</v>
      </c>
      <c r="AS28" s="1648">
        <f>'27'!$H$81</f>
        <v>-406</v>
      </c>
      <c r="AT28" s="1648">
        <f>'27'!$H$82</f>
        <v>-168.27999999999884</v>
      </c>
      <c r="AU28" s="1648">
        <f>'27'!$H$83</f>
        <v>-1467</v>
      </c>
      <c r="AV28" s="1648">
        <f>'27'!$H$84</f>
        <v>-2080</v>
      </c>
      <c r="AW28" s="1645">
        <f>'27'!$H$92</f>
        <v>-291</v>
      </c>
      <c r="AX28" s="1645">
        <f>'27'!$H$93</f>
        <v>-595</v>
      </c>
      <c r="AY28" s="1645">
        <f>'27'!$H$95</f>
        <v>-231</v>
      </c>
      <c r="AZ28" s="1645">
        <f>'27'!$H$96</f>
        <v>-120</v>
      </c>
      <c r="BA28" s="1645">
        <f>'27'!$H$97</f>
        <v>-82</v>
      </c>
      <c r="BB28" s="1645">
        <f>'27'!$H$98</f>
        <v>-256</v>
      </c>
      <c r="BC28" s="1645">
        <f>'27'!$H$99</f>
        <v>-60</v>
      </c>
      <c r="BD28" s="1645">
        <f>'27'!$H$100</f>
        <v>-27</v>
      </c>
      <c r="BE28" s="1645">
        <f>'27'!$H$104</f>
        <v>74</v>
      </c>
      <c r="BF28" s="1645">
        <f>'27'!$H$105</f>
        <v>60</v>
      </c>
      <c r="BG28" s="1645">
        <f>'27'!$H$106</f>
        <v>341</v>
      </c>
      <c r="BH28" s="1645">
        <f>'27'!$H$109</f>
        <v>118</v>
      </c>
      <c r="BI28" s="1645">
        <f>'27'!$H$110</f>
        <v>104</v>
      </c>
      <c r="BJ28" s="1645">
        <f>'27'!$H$111</f>
        <v>438</v>
      </c>
      <c r="BK28" s="1645">
        <f>'27'!$H$114</f>
        <v>37</v>
      </c>
      <c r="BL28" s="1645">
        <f>'27'!$H$115</f>
        <v>92</v>
      </c>
      <c r="BM28" s="1645">
        <f>'27'!$H$116</f>
        <v>200</v>
      </c>
      <c r="BN28" s="1645">
        <f>'27'!$H$118</f>
        <v>167</v>
      </c>
      <c r="BO28" s="1645">
        <f>'27'!$H$119</f>
        <v>219</v>
      </c>
      <c r="BP28" s="1645">
        <f>'27'!$H$120</f>
        <v>112</v>
      </c>
      <c r="BQ28" s="1650">
        <f>'27'!$H$123</f>
        <v>-1062.4400000000605</v>
      </c>
      <c r="BR28" s="1650">
        <f>'27'!$H$124</f>
        <v>0</v>
      </c>
      <c r="BS28" s="1650">
        <f>'27'!$H$125</f>
        <v>-238</v>
      </c>
      <c r="BT28" s="1650">
        <f>'27'!$H$126</f>
        <v>-123.69999999999709</v>
      </c>
      <c r="BU28" s="1650">
        <f>'27'!$H$127</f>
        <v>-13</v>
      </c>
      <c r="BV28" s="1650">
        <f>'27'!$H$128</f>
        <v>-8656.5100000001657</v>
      </c>
    </row>
    <row r="29" spans="1:74" x14ac:dyDescent="0.25">
      <c r="A29" s="1248" t="s">
        <v>317</v>
      </c>
      <c r="B29" s="1643">
        <f t="shared" si="0"/>
        <v>28</v>
      </c>
      <c r="C29" s="1643">
        <v>2</v>
      </c>
      <c r="D29" s="1643">
        <v>2021</v>
      </c>
      <c r="E29" s="1648">
        <f>'28'!$H$35</f>
        <v>0.32999999995809048</v>
      </c>
      <c r="F29" s="1648">
        <f>'28'!$H$36</f>
        <v>-1705.4500000000116</v>
      </c>
      <c r="G29" s="1648">
        <f>'28'!$H$37</f>
        <v>415066</v>
      </c>
      <c r="H29" s="1648">
        <f>'28'!$H$38</f>
        <v>150616.12</v>
      </c>
      <c r="I29" s="1648">
        <f>'28'!$H$39</f>
        <v>912480</v>
      </c>
      <c r="J29" s="1648">
        <f>'28'!$H$40</f>
        <v>-0.06</v>
      </c>
      <c r="K29" s="1648">
        <f>'28'!$H$41</f>
        <v>-10824.96</v>
      </c>
      <c r="L29" s="1648">
        <f>'28'!$H$42</f>
        <v>0</v>
      </c>
      <c r="M29" s="1648">
        <f>'28'!$H$43</f>
        <v>-6975.9100000000326</v>
      </c>
      <c r="N29" s="1648">
        <f>'28'!$H$44</f>
        <v>0</v>
      </c>
      <c r="O29" s="1648">
        <f>'28'!$H$45</f>
        <v>-0.48000000000001819</v>
      </c>
      <c r="P29" s="1648">
        <f>'28'!$H$46</f>
        <v>-0.49000000000000909</v>
      </c>
      <c r="Q29" s="1648">
        <f>'28'!$H$49</f>
        <v>-8972.0499999999884</v>
      </c>
      <c r="R29" s="1648">
        <f>'28'!$H$50</f>
        <v>-4288.3099999999977</v>
      </c>
      <c r="S29" s="1648">
        <f>'28'!$H$51</f>
        <v>-4627.7400000000052</v>
      </c>
      <c r="T29" s="1648">
        <f>'28'!$H$52</f>
        <v>-5961.6699999999837</v>
      </c>
      <c r="U29" s="1648">
        <f>'28'!$H$53</f>
        <v>-12551.270000000019</v>
      </c>
      <c r="V29" s="1648">
        <f>'28'!$H$54</f>
        <v>-211.80000000000018</v>
      </c>
      <c r="W29" s="1648">
        <f>'28'!$H$55</f>
        <v>-3866.9800000000032</v>
      </c>
      <c r="X29" s="1648">
        <f>'28'!$H$56</f>
        <v>-1.9100000000325963</v>
      </c>
      <c r="Y29" s="1648">
        <f>'28'!$H$57</f>
        <v>0</v>
      </c>
      <c r="Z29" s="1648">
        <f>'28'!$H$58</f>
        <v>-691.53999999999724</v>
      </c>
      <c r="AA29" s="1648">
        <f>'28'!$H$62</f>
        <v>-1.9999999967694748E-3</v>
      </c>
      <c r="AB29" s="1648">
        <f>'28'!$H$63</f>
        <v>-38.869999999999891</v>
      </c>
      <c r="AC29" s="1648">
        <f>'28'!$H$64</f>
        <v>-1267.4600000000064</v>
      </c>
      <c r="AD29" s="1648">
        <f>'28'!$H$65</f>
        <v>-1166.9300000000076</v>
      </c>
      <c r="AE29" s="1648">
        <f>'28'!$H$66</f>
        <v>-1255.7399999999998</v>
      </c>
      <c r="AF29" s="1648">
        <f>'28'!$H$67</f>
        <v>-2081.5299999999988</v>
      </c>
      <c r="AG29" s="1648">
        <f>'28'!$H$68</f>
        <v>-941.86000000000058</v>
      </c>
      <c r="AH29" s="1648">
        <f>'28'!$H$69</f>
        <v>-945.70999999999913</v>
      </c>
      <c r="AI29" s="1648">
        <f>'28'!$H$70</f>
        <v>0</v>
      </c>
      <c r="AJ29" s="1648">
        <f>'28'!$H$72</f>
        <v>-344</v>
      </c>
      <c r="AK29" s="1648">
        <f>'28'!$H$73</f>
        <v>946</v>
      </c>
      <c r="AL29" s="1648">
        <f>'28'!$H$74</f>
        <v>882503.1</v>
      </c>
      <c r="AM29" s="1648">
        <f>'28'!$H$75</f>
        <v>738463.4</v>
      </c>
      <c r="AN29" s="1648">
        <f>'28'!$H$76</f>
        <v>688792.2</v>
      </c>
      <c r="AO29" s="1648">
        <f>'28'!$H$77</f>
        <v>-155</v>
      </c>
      <c r="AP29" s="1648">
        <f>'28'!$H$78</f>
        <v>-1247</v>
      </c>
      <c r="AQ29" s="1648">
        <f>'28'!$H$79</f>
        <v>2298</v>
      </c>
      <c r="AR29" s="1648">
        <f>'28'!$H$80</f>
        <v>-2394.679999999993</v>
      </c>
      <c r="AS29" s="1648">
        <f>'28'!$H$81</f>
        <v>-301</v>
      </c>
      <c r="AT29" s="1648">
        <f>'28'!$H$82</f>
        <v>-159.63000000000466</v>
      </c>
      <c r="AU29" s="1648">
        <f>'28'!$H$83</f>
        <v>-1174</v>
      </c>
      <c r="AV29" s="1648">
        <f>'28'!$H$84</f>
        <v>-1540</v>
      </c>
      <c r="AW29" s="1645">
        <f>'28'!$H$92</f>
        <v>-234</v>
      </c>
      <c r="AX29" s="1645">
        <f>'28'!$H$93</f>
        <v>-495</v>
      </c>
      <c r="AY29" s="1645">
        <f>'28'!$H$95</f>
        <v>-188</v>
      </c>
      <c r="AZ29" s="1645">
        <f>'28'!$H$96</f>
        <v>-97</v>
      </c>
      <c r="BA29" s="1645">
        <f>'28'!$H$97</f>
        <v>-71</v>
      </c>
      <c r="BB29" s="1645">
        <f>'28'!$H$98</f>
        <v>-197</v>
      </c>
      <c r="BC29" s="1645">
        <f>'28'!$H$99</f>
        <v>-38</v>
      </c>
      <c r="BD29" s="1645">
        <f>'28'!$H$100</f>
        <v>-19</v>
      </c>
      <c r="BE29" s="1645">
        <f>'28'!$H$104</f>
        <v>74</v>
      </c>
      <c r="BF29" s="1645">
        <f>'28'!$H$105</f>
        <v>48</v>
      </c>
      <c r="BG29" s="1645">
        <f>'28'!$H$106</f>
        <v>334</v>
      </c>
      <c r="BH29" s="1645">
        <f>'28'!$H$109</f>
        <v>139</v>
      </c>
      <c r="BI29" s="1645">
        <f>'28'!$H$110</f>
        <v>93</v>
      </c>
      <c r="BJ29" s="1645">
        <f>'28'!$H$111</f>
        <v>433</v>
      </c>
      <c r="BK29" s="1645">
        <f>'28'!$H$114</f>
        <v>25</v>
      </c>
      <c r="BL29" s="1645">
        <f>'28'!$H$115</f>
        <v>94</v>
      </c>
      <c r="BM29" s="1645">
        <f>'28'!$H$116</f>
        <v>200</v>
      </c>
      <c r="BN29" s="1645">
        <f>'28'!$H$118</f>
        <v>133</v>
      </c>
      <c r="BO29" s="1645">
        <f>'28'!$H$119</f>
        <v>190</v>
      </c>
      <c r="BP29" s="1645">
        <f>'28'!$H$120</f>
        <v>117</v>
      </c>
      <c r="BQ29" s="1650">
        <f>'28'!$H$123</f>
        <v>-795.40000000002328</v>
      </c>
      <c r="BR29" s="1650">
        <f>'28'!$H$124</f>
        <v>0</v>
      </c>
      <c r="BS29" s="1650">
        <f>'28'!$H$125</f>
        <v>-179</v>
      </c>
      <c r="BT29" s="1650">
        <f>'28'!$H$126</f>
        <v>-103.69999999999709</v>
      </c>
      <c r="BU29" s="1650">
        <f>'28'!$H$127</f>
        <v>-11</v>
      </c>
      <c r="BV29" s="1650">
        <f>'28'!$H$128</f>
        <v>0</v>
      </c>
    </row>
    <row r="30" spans="1:74" x14ac:dyDescent="0.25">
      <c r="A30" s="1248" t="s">
        <v>317</v>
      </c>
      <c r="B30" s="1643">
        <f t="shared" si="0"/>
        <v>29</v>
      </c>
      <c r="C30" s="1643">
        <v>2</v>
      </c>
      <c r="D30" s="1643">
        <v>2021</v>
      </c>
      <c r="E30" s="1648">
        <f>'29'!$H$35</f>
        <v>0.32999999995809048</v>
      </c>
      <c r="F30" s="1648">
        <f>'29'!$H$36</f>
        <v>-1118.7200000000303</v>
      </c>
      <c r="G30" s="1648">
        <f>'29'!$H$37</f>
        <v>415066</v>
      </c>
      <c r="H30" s="1648">
        <f>'29'!$H$38</f>
        <v>150616.12</v>
      </c>
      <c r="I30" s="1648">
        <f>'29'!$H$39</f>
        <v>912480</v>
      </c>
      <c r="J30" s="1648">
        <f>'29'!$H$40</f>
        <v>-0.06</v>
      </c>
      <c r="K30" s="1648">
        <f>'29'!$H$41</f>
        <v>-7402.5199999999968</v>
      </c>
      <c r="L30" s="1648">
        <f>'29'!$H$42</f>
        <v>0</v>
      </c>
      <c r="M30" s="1648">
        <f>'29'!$H$43</f>
        <v>-4649.2800000000279</v>
      </c>
      <c r="N30" s="1648">
        <f>'29'!$H$44</f>
        <v>0</v>
      </c>
      <c r="O30" s="1648">
        <f>'29'!$H$45</f>
        <v>0</v>
      </c>
      <c r="P30" s="1648">
        <f>'29'!$H$46</f>
        <v>0</v>
      </c>
      <c r="Q30" s="1648">
        <f>'29'!$H$49</f>
        <v>-5913.5</v>
      </c>
      <c r="R30" s="1648">
        <f>'29'!$H$50</f>
        <v>-3179.3400000000256</v>
      </c>
      <c r="S30" s="1648">
        <f>'29'!$H$51</f>
        <v>-3064.7400000000052</v>
      </c>
      <c r="T30" s="1648">
        <f>'29'!$H$52</f>
        <v>-4006.6699999999837</v>
      </c>
      <c r="U30" s="1648">
        <f>'29'!$H$53</f>
        <v>-8365.3000000000466</v>
      </c>
      <c r="V30" s="1648">
        <f>'29'!$H$54</f>
        <v>-160</v>
      </c>
      <c r="W30" s="1648">
        <f>'29'!$H$55</f>
        <v>-3866.9800000000032</v>
      </c>
      <c r="X30" s="1648">
        <f>'29'!$H$56</f>
        <v>-1.9100000000325963</v>
      </c>
      <c r="Y30" s="1648">
        <f>'29'!$H$57</f>
        <v>0</v>
      </c>
      <c r="Z30" s="1648">
        <f>'29'!$H$58</f>
        <v>-515.14999999999782</v>
      </c>
      <c r="AA30" s="1648">
        <f>'29'!$H$62</f>
        <v>-8.9999999981955625E-3</v>
      </c>
      <c r="AB30" s="1648">
        <f>'29'!$H$63</f>
        <v>-26.639999999999873</v>
      </c>
      <c r="AC30" s="1648">
        <f>'29'!$H$64</f>
        <v>-822.06000000001222</v>
      </c>
      <c r="AD30" s="1648">
        <f>'29'!$H$65</f>
        <v>-784.4600000000064</v>
      </c>
      <c r="AE30" s="1648">
        <f>'29'!$H$66</f>
        <v>-838.89999999999964</v>
      </c>
      <c r="AF30" s="1648">
        <f>'29'!$H$67</f>
        <v>-1405.1600000000035</v>
      </c>
      <c r="AG30" s="1648">
        <f>'29'!$H$68</f>
        <v>-612.06999999999971</v>
      </c>
      <c r="AH30" s="1648">
        <f>'29'!$H$69</f>
        <v>-630.70999999999913</v>
      </c>
      <c r="AI30" s="1648">
        <f>'29'!$H$70</f>
        <v>0</v>
      </c>
      <c r="AJ30" s="1648">
        <f>'29'!$H$72</f>
        <v>-272</v>
      </c>
      <c r="AK30" s="1648">
        <f>'29'!$H$73</f>
        <v>947</v>
      </c>
      <c r="AL30" s="1648">
        <f>'29'!$H$74</f>
        <v>882532.1</v>
      </c>
      <c r="AM30" s="1648">
        <f>'29'!$H$75</f>
        <v>738656.4</v>
      </c>
      <c r="AN30" s="1648">
        <f>'29'!$H$76</f>
        <v>688867.2</v>
      </c>
      <c r="AO30" s="1648">
        <f>'29'!$H$77</f>
        <v>-105</v>
      </c>
      <c r="AP30" s="1648">
        <f>'29'!$H$78</f>
        <v>-848</v>
      </c>
      <c r="AQ30" s="1648">
        <f>'29'!$H$79</f>
        <v>2497</v>
      </c>
      <c r="AR30" s="1648">
        <f>'29'!$H$80</f>
        <v>-2078.679999999993</v>
      </c>
      <c r="AS30" s="1648">
        <f>'29'!$H$81</f>
        <v>-207</v>
      </c>
      <c r="AT30" s="1648">
        <f>'29'!$H$82</f>
        <v>-100.4600000000064</v>
      </c>
      <c r="AU30" s="1648">
        <f>'29'!$H$83</f>
        <v>-789</v>
      </c>
      <c r="AV30" s="1648">
        <f>'29'!$H$84</f>
        <v>-993</v>
      </c>
      <c r="AW30" s="1645">
        <f>'29'!$H$92</f>
        <v>-165</v>
      </c>
      <c r="AX30" s="1645">
        <f>'29'!$H$93</f>
        <v>-312</v>
      </c>
      <c r="AY30" s="1645">
        <f>'29'!$H$95</f>
        <v>-123</v>
      </c>
      <c r="AZ30" s="1645">
        <f>'29'!$H$96</f>
        <v>-64</v>
      </c>
      <c r="BA30" s="1645">
        <f>'29'!$H$97</f>
        <v>-52</v>
      </c>
      <c r="BB30" s="1645">
        <f>'29'!$H$98</f>
        <v>-132</v>
      </c>
      <c r="BC30" s="1645">
        <f>'29'!$H$99</f>
        <v>-28</v>
      </c>
      <c r="BD30" s="1645">
        <f>'29'!$H$100</f>
        <v>-12</v>
      </c>
      <c r="BE30" s="1645">
        <f>'29'!$H$104</f>
        <v>74</v>
      </c>
      <c r="BF30" s="1645">
        <f>'29'!$H$105</f>
        <v>58</v>
      </c>
      <c r="BG30" s="1645">
        <f>'29'!$H$106</f>
        <v>338</v>
      </c>
      <c r="BH30" s="1645">
        <f>'29'!$H$109</f>
        <v>119</v>
      </c>
      <c r="BI30" s="1645">
        <f>'29'!$H$110</f>
        <v>80</v>
      </c>
      <c r="BJ30" s="1645">
        <f>'29'!$H$111</f>
        <v>433</v>
      </c>
      <c r="BK30" s="1645">
        <f>'29'!$H$114</f>
        <v>13</v>
      </c>
      <c r="BL30" s="1645">
        <f>'29'!$H$115</f>
        <v>92</v>
      </c>
      <c r="BM30" s="1645">
        <f>'29'!$H$116</f>
        <v>200</v>
      </c>
      <c r="BN30" s="1645">
        <f>'29'!$H$118</f>
        <v>143</v>
      </c>
      <c r="BO30" s="1645">
        <f>'29'!$H$119</f>
        <v>217</v>
      </c>
      <c r="BP30" s="1645">
        <f>'29'!$H$120</f>
        <v>84</v>
      </c>
      <c r="BQ30" s="1650">
        <f>'29'!$H$123</f>
        <v>-552.4100000000326</v>
      </c>
      <c r="BR30" s="1650">
        <f>'29'!$H$124</f>
        <v>0</v>
      </c>
      <c r="BS30" s="1650">
        <f>'29'!$H$125</f>
        <v>-108.23000000001048</v>
      </c>
      <c r="BT30" s="1650">
        <f>'29'!$H$126</f>
        <v>-71.69999999999709</v>
      </c>
      <c r="BU30" s="1650">
        <f>'29'!$H$127</f>
        <v>-9</v>
      </c>
      <c r="BV30" s="1650">
        <f>'29'!$H$128</f>
        <v>0</v>
      </c>
    </row>
  </sheetData>
  <phoneticPr fontId="13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  <c r="P1" s="1365"/>
      <c r="Q1" s="1365"/>
      <c r="R1" s="1365"/>
      <c r="S1" s="1365"/>
      <c r="T1" s="1365"/>
      <c r="U1" s="1365"/>
      <c r="V1" s="1365"/>
      <c r="W1" s="1365"/>
      <c r="X1" s="1365"/>
      <c r="Y1" s="1365"/>
      <c r="Z1" s="1365"/>
      <c r="AA1" s="1365"/>
      <c r="AB1" s="1365"/>
      <c r="AC1" s="1365"/>
      <c r="AD1" s="1365"/>
      <c r="AE1" s="1365"/>
      <c r="AF1" s="1365"/>
      <c r="AG1" s="1365"/>
      <c r="AH1" s="1365"/>
      <c r="AI1" s="1365"/>
      <c r="AJ1" s="1365"/>
      <c r="AK1" s="1365"/>
      <c r="AL1" s="1365"/>
      <c r="AM1" s="1365"/>
      <c r="AN1" s="1365"/>
      <c r="AO1" s="1365"/>
      <c r="AP1" s="1365"/>
      <c r="AQ1" s="1365"/>
      <c r="AR1" s="1365"/>
      <c r="AS1" s="1365"/>
      <c r="AT1" s="1365"/>
      <c r="AU1" s="1365"/>
      <c r="AV1" s="1365"/>
      <c r="AW1" s="1365"/>
      <c r="AX1" s="1365"/>
      <c r="AY1" s="1365"/>
      <c r="AZ1" s="1365"/>
      <c r="BA1" s="1365"/>
      <c r="BB1" s="1365"/>
      <c r="BC1" s="1365"/>
      <c r="BD1" s="1365"/>
      <c r="BE1" s="1365"/>
      <c r="BF1" s="1365"/>
      <c r="BG1" s="1365"/>
      <c r="BH1" s="1365"/>
      <c r="BI1" s="1365"/>
      <c r="BJ1" s="1365"/>
      <c r="BK1" s="1365"/>
      <c r="BL1" s="1365"/>
      <c r="BM1" s="1365"/>
      <c r="BN1" s="1365"/>
      <c r="BO1" s="1365"/>
    </row>
    <row r="2" spans="1:70" ht="28.5" customHeight="1" x14ac:dyDescent="0.25">
      <c r="A2" s="1" t="s">
        <v>0</v>
      </c>
      <c r="B2" s="1" t="s">
        <v>0</v>
      </c>
      <c r="C2" s="1203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66" t="s">
        <v>6</v>
      </c>
      <c r="J2" s="1366"/>
      <c r="K2" s="1366"/>
      <c r="L2" s="237"/>
      <c r="M2" s="1367" t="s">
        <v>7</v>
      </c>
      <c r="N2" s="1367"/>
      <c r="O2" s="1367"/>
      <c r="P2" s="1368" t="s">
        <v>8</v>
      </c>
      <c r="Q2" s="1368"/>
      <c r="R2" s="1368"/>
      <c r="S2" s="237" t="s">
        <v>9</v>
      </c>
      <c r="T2" s="1369" t="s">
        <v>10</v>
      </c>
      <c r="U2" s="1369"/>
      <c r="V2" s="1369"/>
      <c r="W2" s="1370" t="s">
        <v>11</v>
      </c>
      <c r="X2" s="1371"/>
      <c r="Y2" s="1372"/>
      <c r="Z2" s="1202"/>
      <c r="AA2" s="1373" t="s">
        <v>12</v>
      </c>
      <c r="AB2" s="1373"/>
      <c r="AC2" s="1373"/>
      <c r="AD2" s="1373"/>
      <c r="AE2" s="1203"/>
      <c r="AF2" s="1203" t="s">
        <v>13</v>
      </c>
      <c r="AG2" s="1203" t="s">
        <v>14</v>
      </c>
      <c r="AH2" s="1373" t="s">
        <v>15</v>
      </c>
      <c r="AI2" s="1373"/>
      <c r="AJ2" s="1373"/>
      <c r="AK2" s="1203" t="s">
        <v>16</v>
      </c>
      <c r="AL2" s="1373" t="s">
        <v>17</v>
      </c>
      <c r="AM2" s="1373"/>
      <c r="AN2" s="1373"/>
      <c r="AO2" s="1203" t="s">
        <v>18</v>
      </c>
      <c r="AP2" s="5" t="s">
        <v>19</v>
      </c>
      <c r="AQ2" s="1374" t="s">
        <v>20</v>
      </c>
      <c r="AR2" s="1375"/>
      <c r="AS2" s="1375"/>
      <c r="AT2" s="1375"/>
      <c r="AU2" s="1375"/>
      <c r="AV2" s="1375"/>
      <c r="AW2" s="1375"/>
      <c r="AX2" s="1375"/>
      <c r="AY2" s="1375"/>
      <c r="AZ2" s="1376"/>
      <c r="BA2" s="1374" t="s">
        <v>21</v>
      </c>
      <c r="BB2" s="1375"/>
      <c r="BC2" s="1375"/>
      <c r="BD2" s="1375"/>
      <c r="BE2" s="1375"/>
      <c r="BF2" s="1375"/>
      <c r="BG2" s="1375"/>
      <c r="BH2" s="1375"/>
      <c r="BI2" s="1375"/>
      <c r="BJ2" s="477"/>
      <c r="BK2" s="457"/>
      <c r="BL2" s="232"/>
      <c r="BM2" s="232"/>
      <c r="BN2" s="232"/>
      <c r="BO2" s="1203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 x14ac:dyDescent="0.25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 x14ac:dyDescent="0.25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 x14ac:dyDescent="0.25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 x14ac:dyDescent="0.25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 x14ac:dyDescent="0.25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 x14ac:dyDescent="0.25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 x14ac:dyDescent="0.25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 x14ac:dyDescent="0.25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 x14ac:dyDescent="0.25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 x14ac:dyDescent="0.25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 x14ac:dyDescent="0.25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 x14ac:dyDescent="0.25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 x14ac:dyDescent="0.25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 x14ac:dyDescent="0.25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 x14ac:dyDescent="0.25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 x14ac:dyDescent="0.25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 x14ac:dyDescent="0.25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 x14ac:dyDescent="0.25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 x14ac:dyDescent="0.25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0.8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117.57425742574254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 x14ac:dyDescent="0.25">
      <c r="A23" s="16">
        <v>20</v>
      </c>
      <c r="B23" s="26">
        <v>20</v>
      </c>
      <c r="C23" s="26"/>
      <c r="D23" s="19">
        <f>'20'!D3</f>
        <v>28</v>
      </c>
      <c r="E23" s="256">
        <f>'20'!D4</f>
        <v>0.72</v>
      </c>
      <c r="F23" s="256">
        <f>'20'!D2</f>
        <v>0.8</v>
      </c>
      <c r="G23" s="19">
        <f>'20'!G8</f>
        <v>19871</v>
      </c>
      <c r="H23" s="19">
        <f>'20'!G8</f>
        <v>19871</v>
      </c>
      <c r="I23" s="19">
        <f>'20'!G7</f>
        <v>19799</v>
      </c>
      <c r="J23" s="19">
        <v>10</v>
      </c>
      <c r="K23" s="242">
        <f t="shared" si="3"/>
        <v>198710</v>
      </c>
      <c r="L23" s="238">
        <f t="shared" si="4"/>
        <v>98.014851485148512</v>
      </c>
      <c r="M23" s="19">
        <f>'20'!G15</f>
        <v>1086</v>
      </c>
      <c r="N23" s="19">
        <v>35</v>
      </c>
      <c r="O23" s="234">
        <f t="shared" si="5"/>
        <v>38010</v>
      </c>
      <c r="P23" s="19">
        <f>'20'!G20</f>
        <v>191</v>
      </c>
      <c r="Q23" s="19">
        <v>134</v>
      </c>
      <c r="R23" s="239">
        <f t="shared" si="0"/>
        <v>25594</v>
      </c>
      <c r="S23" s="240">
        <f t="shared" si="1"/>
        <v>118.19306930693067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86</v>
      </c>
      <c r="X23" s="22">
        <f>'20'!G96</f>
        <v>22</v>
      </c>
      <c r="Y23" s="22">
        <f>'20'!G97</f>
        <v>32</v>
      </c>
      <c r="Z23" s="22">
        <f t="shared" si="7"/>
        <v>140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</v>
      </c>
      <c r="AE23" s="19">
        <f t="shared" si="8"/>
        <v>24</v>
      </c>
      <c r="AF23" s="23">
        <f t="shared" si="2"/>
        <v>4051</v>
      </c>
      <c r="AG23" s="23">
        <f t="shared" si="9"/>
        <v>168.79166666666666</v>
      </c>
      <c r="AH23" s="19">
        <f>'20'!G136</f>
        <v>10.880000000001019</v>
      </c>
      <c r="AI23" s="19">
        <f>'20'!G137</f>
        <v>0</v>
      </c>
      <c r="AJ23" s="19">
        <f>'20'!G138</f>
        <v>5.8699999999953434</v>
      </c>
      <c r="AK23" s="19">
        <f t="shared" si="10"/>
        <v>16.749999999996362</v>
      </c>
      <c r="AL23" s="19">
        <f>'20'!G139</f>
        <v>8.6199999999998909</v>
      </c>
      <c r="AM23" s="19">
        <f>'20'!G140</f>
        <v>0</v>
      </c>
      <c r="AN23" s="19"/>
      <c r="AO23" s="19">
        <f t="shared" si="11"/>
        <v>8.6199999999998909</v>
      </c>
      <c r="AP23" s="258">
        <f>'20'!G123</f>
        <v>300</v>
      </c>
      <c r="AQ23" s="261">
        <f>'20'!G35</f>
        <v>2854</v>
      </c>
      <c r="AR23" s="19">
        <f>'20'!G37</f>
        <v>1511</v>
      </c>
      <c r="AS23" s="19">
        <f>'20'!G38</f>
        <v>1965</v>
      </c>
      <c r="AT23" s="19">
        <f>'20'!G39</f>
        <v>4389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2302</v>
      </c>
      <c r="AY23" s="23">
        <f>'20'!G44</f>
        <v>0</v>
      </c>
      <c r="AZ23" s="262">
        <f>'20'!G36</f>
        <v>625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70</v>
      </c>
      <c r="BF23" s="19">
        <f>'20'!G55</f>
        <v>0</v>
      </c>
      <c r="BG23" s="19">
        <f>'20'!G56</f>
        <v>4051</v>
      </c>
      <c r="BH23" s="19">
        <f>'20'!G57</f>
        <v>0</v>
      </c>
      <c r="BI23" s="262">
        <f>'20'!G50</f>
        <v>1156</v>
      </c>
      <c r="BJ23" s="401">
        <f t="shared" si="12"/>
        <v>4051</v>
      </c>
      <c r="BK23" s="401">
        <f>'20'!G84</f>
        <v>562</v>
      </c>
      <c r="BL23" s="23">
        <f t="shared" si="13"/>
        <v>46.502348603464817</v>
      </c>
      <c r="BM23" s="23">
        <f t="shared" si="14"/>
        <v>22.167786251830901</v>
      </c>
      <c r="BN23" s="24">
        <f t="shared" si="15"/>
        <v>9.9247436739229256E-2</v>
      </c>
      <c r="BO23" s="25">
        <f t="shared" si="16"/>
        <v>262314</v>
      </c>
      <c r="BP23" s="213">
        <f t="shared" si="17"/>
        <v>6915</v>
      </c>
      <c r="BQ23">
        <f t="shared" si="18"/>
        <v>1.0290178571428572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0.98</v>
      </c>
      <c r="G24" s="19">
        <f>'21'!G8</f>
        <v>20194</v>
      </c>
      <c r="H24" s="19">
        <f>'21'!G8</f>
        <v>20194</v>
      </c>
      <c r="I24" s="19">
        <f>'21'!G7</f>
        <v>20106</v>
      </c>
      <c r="J24" s="19">
        <v>10</v>
      </c>
      <c r="K24" s="242">
        <f t="shared" si="3"/>
        <v>201940</v>
      </c>
      <c r="L24" s="238">
        <f t="shared" si="4"/>
        <v>99.534653465346537</v>
      </c>
      <c r="M24" s="19">
        <f>'21'!G15</f>
        <v>940</v>
      </c>
      <c r="N24" s="19">
        <v>35</v>
      </c>
      <c r="O24" s="234">
        <f t="shared" si="5"/>
        <v>32900</v>
      </c>
      <c r="P24" s="19">
        <f>'21'!G20</f>
        <v>231</v>
      </c>
      <c r="Q24" s="19">
        <v>134</v>
      </c>
      <c r="R24" s="239">
        <f t="shared" si="0"/>
        <v>30954</v>
      </c>
      <c r="S24" s="240">
        <f t="shared" si="1"/>
        <v>116.69024045261669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27</v>
      </c>
      <c r="Y24" s="22">
        <f>'21'!G97</f>
        <v>35</v>
      </c>
      <c r="Z24" s="22">
        <f t="shared" si="7"/>
        <v>134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4354</v>
      </c>
      <c r="AG24" s="23">
        <f t="shared" si="9"/>
        <v>181.41666666666666</v>
      </c>
      <c r="AH24" s="19">
        <f>'21'!G136</f>
        <v>8.4599999999991269</v>
      </c>
      <c r="AI24" s="19">
        <f>'21'!G137</f>
        <v>0</v>
      </c>
      <c r="AJ24" s="19">
        <f>'21'!G138</f>
        <v>3.5999999999912689</v>
      </c>
      <c r="AK24" s="19">
        <f t="shared" si="10"/>
        <v>12.059999999990396</v>
      </c>
      <c r="AL24" s="19">
        <f>'21'!G139</f>
        <v>8.1500000000000909</v>
      </c>
      <c r="AM24" s="19">
        <f>'21'!G140</f>
        <v>0</v>
      </c>
      <c r="AN24" s="19"/>
      <c r="AO24" s="19">
        <f t="shared" si="11"/>
        <v>8.1500000000000909</v>
      </c>
      <c r="AP24" s="258">
        <f>'21'!G123</f>
        <v>283</v>
      </c>
      <c r="AQ24" s="261">
        <f>'21'!G35</f>
        <v>3035</v>
      </c>
      <c r="AR24" s="19">
        <f>'21'!G37</f>
        <v>1522</v>
      </c>
      <c r="AS24" s="19">
        <f>'21'!G38</f>
        <v>2026</v>
      </c>
      <c r="AT24" s="19">
        <f>'21'!G39</f>
        <v>4214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2354</v>
      </c>
      <c r="AY24" s="23">
        <f>'21'!G44</f>
        <v>0</v>
      </c>
      <c r="AZ24" s="262">
        <f>'21'!G36</f>
        <v>776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69</v>
      </c>
      <c r="BF24" s="19">
        <f>'21'!G55</f>
        <v>0</v>
      </c>
      <c r="BG24" s="19">
        <f>'21'!G56</f>
        <v>4354</v>
      </c>
      <c r="BH24" s="19">
        <f>'21'!G57</f>
        <v>0</v>
      </c>
      <c r="BI24" s="262">
        <f>'21'!G50</f>
        <v>1111</v>
      </c>
      <c r="BJ24" s="401">
        <f t="shared" si="12"/>
        <v>4354</v>
      </c>
      <c r="BK24" s="401">
        <f>'21'!G84</f>
        <v>568</v>
      </c>
      <c r="BL24" s="23">
        <f t="shared" si="13"/>
        <v>48.458171690042775</v>
      </c>
      <c r="BM24" s="23">
        <f t="shared" si="14"/>
        <v>20.958917735999204</v>
      </c>
      <c r="BN24" s="24">
        <f t="shared" si="15"/>
        <v>0.10076594051526908</v>
      </c>
      <c r="BO24" s="25">
        <f t="shared" si="16"/>
        <v>265794</v>
      </c>
      <c r="BP24" s="213">
        <f t="shared" si="17"/>
        <v>7276</v>
      </c>
      <c r="BQ24">
        <f t="shared" si="18"/>
        <v>1.0827380952380952</v>
      </c>
    </row>
    <row r="25" spans="1:69" x14ac:dyDescent="0.25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-584920</v>
      </c>
      <c r="H25" s="19">
        <f>'22'!G8</f>
        <v>-584920</v>
      </c>
      <c r="I25" s="19">
        <f>'22'!G7</f>
        <v>-580711</v>
      </c>
      <c r="J25" s="19">
        <v>10</v>
      </c>
      <c r="K25" s="242">
        <f t="shared" si="3"/>
        <v>-5849200</v>
      </c>
      <c r="L25" s="238">
        <f t="shared" si="4"/>
        <v>-2874.8069306930693</v>
      </c>
      <c r="M25" s="19">
        <f>'22'!G15</f>
        <v>-26134.060000000056</v>
      </c>
      <c r="N25" s="19">
        <v>35</v>
      </c>
      <c r="O25" s="234">
        <f t="shared" si="5"/>
        <v>-914692.10000000196</v>
      </c>
      <c r="P25" s="19">
        <f>'22'!G20</f>
        <v>-1395</v>
      </c>
      <c r="Q25" s="19">
        <v>134</v>
      </c>
      <c r="R25" s="239">
        <f t="shared" si="0"/>
        <v>-186930</v>
      </c>
      <c r="S25" s="240">
        <f t="shared" si="1"/>
        <v>-1381.1881188118812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-2235</v>
      </c>
      <c r="X25" s="22">
        <f>'22'!G96</f>
        <v>-885</v>
      </c>
      <c r="Y25" s="22">
        <f>'22'!G97</f>
        <v>-832</v>
      </c>
      <c r="Z25" s="22">
        <f t="shared" si="7"/>
        <v>-3952</v>
      </c>
      <c r="AA25" s="19">
        <f>'22'!G132</f>
        <v>59.57999999999447</v>
      </c>
      <c r="AB25" s="19">
        <f>'22'!G133</f>
        <v>-0.5</v>
      </c>
      <c r="AC25" s="19">
        <f>'22'!G134</f>
        <v>-309.46999999999389</v>
      </c>
      <c r="AD25" s="19">
        <f>'22'!G135</f>
        <v>-83</v>
      </c>
      <c r="AE25" s="19">
        <f t="shared" si="8"/>
        <v>-333.38999999999942</v>
      </c>
      <c r="AF25" s="23">
        <f t="shared" si="2"/>
        <v>-123700.16</v>
      </c>
      <c r="AG25" s="23">
        <f t="shared" si="9"/>
        <v>371.03740364138162</v>
      </c>
      <c r="AH25" s="19">
        <f>'22'!G136</f>
        <v>-227.13000000000102</v>
      </c>
      <c r="AI25" s="19">
        <f>'22'!G137</f>
        <v>-16.620000000002619</v>
      </c>
      <c r="AJ25" s="19">
        <f>'22'!G138</f>
        <v>-62.379999999990105</v>
      </c>
      <c r="AK25" s="19">
        <f t="shared" si="10"/>
        <v>-306.12999999999374</v>
      </c>
      <c r="AL25" s="19">
        <f>'22'!G139</f>
        <v>-239.46000000000004</v>
      </c>
      <c r="AM25" s="19">
        <f>'22'!G140</f>
        <v>0</v>
      </c>
      <c r="AN25" s="19"/>
      <c r="AO25" s="19">
        <f t="shared" si="11"/>
        <v>-239.46000000000004</v>
      </c>
      <c r="AP25" s="258">
        <f>'22'!G123</f>
        <v>-8228.9200000000419</v>
      </c>
      <c r="AQ25" s="261">
        <f>'22'!G35</f>
        <v>-42318.329999999958</v>
      </c>
      <c r="AR25" s="19">
        <f>'22'!G37</f>
        <v>393328</v>
      </c>
      <c r="AS25" s="19">
        <f>'22'!G38</f>
        <v>121547.38</v>
      </c>
      <c r="AT25" s="19">
        <f>'22'!G39</f>
        <v>851000</v>
      </c>
      <c r="AU25" s="19">
        <f>'22'!G40</f>
        <v>0</v>
      </c>
      <c r="AV25" s="19">
        <f>'22'!G41</f>
        <v>-53425.46</v>
      </c>
      <c r="AW25" s="19">
        <f>'22'!G42</f>
        <v>-202.91000000000349</v>
      </c>
      <c r="AX25" s="19">
        <f>'22'!G43</f>
        <v>-62621.890000000014</v>
      </c>
      <c r="AY25" s="23">
        <f>'22'!G44</f>
        <v>0</v>
      </c>
      <c r="AZ25" s="262">
        <f>'22'!G36</f>
        <v>-20835.210000000021</v>
      </c>
      <c r="BA25" s="261">
        <f>'22'!G49</f>
        <v>-42765</v>
      </c>
      <c r="BB25" s="19">
        <f>'22'!G51</f>
        <v>-23328.03</v>
      </c>
      <c r="BC25" s="19">
        <f>'22'!G52</f>
        <v>-31074.450000000012</v>
      </c>
      <c r="BD25" s="19">
        <f>'22'!G53</f>
        <v>-65305.710000000021</v>
      </c>
      <c r="BE25" s="19">
        <f>'22'!G54</f>
        <v>-1747.29</v>
      </c>
      <c r="BF25" s="19">
        <f>'22'!G55</f>
        <v>-55149.42</v>
      </c>
      <c r="BG25" s="19">
        <f>'22'!G56</f>
        <v>-14922.369999999995</v>
      </c>
      <c r="BH25" s="19">
        <f>'22'!G57</f>
        <v>-7711</v>
      </c>
      <c r="BI25" s="262">
        <f>'22'!G50</f>
        <v>-35009.650000000023</v>
      </c>
      <c r="BJ25" s="401">
        <f t="shared" si="12"/>
        <v>-123700.16</v>
      </c>
      <c r="BK25" s="401">
        <f>'22'!G84</f>
        <v>-15199</v>
      </c>
      <c r="BL25" s="23">
        <f t="shared" si="13"/>
        <v>48.064593231400814</v>
      </c>
      <c r="BM25" s="23">
        <f t="shared" si="14"/>
        <v>-135.29867524465701</v>
      </c>
      <c r="BN25" s="24">
        <f t="shared" si="15"/>
        <v>-0.1557968249266847</v>
      </c>
      <c r="BO25" s="25">
        <f t="shared" si="16"/>
        <v>-6950822.1000000015</v>
      </c>
      <c r="BP25" s="213">
        <f t="shared" si="17"/>
        <v>-209232.05</v>
      </c>
      <c r="BQ25">
        <f t="shared" si="18"/>
        <v>2.2413909278279873</v>
      </c>
    </row>
    <row r="26" spans="1:69" x14ac:dyDescent="0.25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 x14ac:dyDescent="0.25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 x14ac:dyDescent="0.25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 x14ac:dyDescent="0.25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 x14ac:dyDescent="0.25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 x14ac:dyDescent="0.25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 x14ac:dyDescent="0.25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 x14ac:dyDescent="0.25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 x14ac:dyDescent="0.25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>
        <f>'[1]31'!G8</f>
        <v>19595</v>
      </c>
      <c r="I34" s="19">
        <f>'[1]31'!G7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401">
        <f t="shared" si="12"/>
        <v>4263.2099999999919</v>
      </c>
      <c r="BK34" s="401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 x14ac:dyDescent="0.25">
      <c r="A35" s="16" t="s">
        <v>213</v>
      </c>
      <c r="B35" s="30"/>
      <c r="C35" s="31"/>
      <c r="D35" s="32">
        <f>AVERAGE(D4:D34)</f>
        <v>24.258064516129032</v>
      </c>
      <c r="E35" s="33"/>
      <c r="F35" s="415">
        <f>AVERAGE(F4:F34)</f>
        <v>1.532025806451613</v>
      </c>
      <c r="G35" s="34">
        <f>SUM(G4:G34)</f>
        <v>942</v>
      </c>
      <c r="H35" s="34">
        <f t="shared" ref="H35:BO35" si="20">SUM(H4:H34)</f>
        <v>942</v>
      </c>
      <c r="I35" s="34">
        <f t="shared" si="20"/>
        <v>937</v>
      </c>
      <c r="J35" s="34">
        <f t="shared" si="20"/>
        <v>309</v>
      </c>
      <c r="K35" s="34">
        <f t="shared" si="20"/>
        <v>-10054</v>
      </c>
      <c r="L35" s="34">
        <f t="shared" si="20"/>
        <v>4.6386138613860624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4720</v>
      </c>
      <c r="Q35" s="34">
        <f t="shared" si="20"/>
        <v>4154</v>
      </c>
      <c r="R35" s="34">
        <f t="shared" si="20"/>
        <v>632480</v>
      </c>
      <c r="S35" s="34">
        <f t="shared" si="20"/>
        <v>3931.0617495050296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628.14999999994325</v>
      </c>
      <c r="AG35" s="34">
        <f t="shared" si="20"/>
        <v>5555.8832756427901</v>
      </c>
      <c r="AH35" s="34">
        <f t="shared" si="20"/>
        <v>-5.0399999999972351</v>
      </c>
      <c r="AI35" s="34">
        <f t="shared" si="20"/>
        <v>0</v>
      </c>
      <c r="AJ35" s="34">
        <f t="shared" si="20"/>
        <v>-1.9799999999959255</v>
      </c>
      <c r="AK35" s="34">
        <f t="shared" si="20"/>
        <v>-7.0199999999931606</v>
      </c>
      <c r="AL35" s="34">
        <f t="shared" si="20"/>
        <v>-9.0799999999999272</v>
      </c>
      <c r="AM35" s="34">
        <f t="shared" si="20"/>
        <v>7.9200000000000728</v>
      </c>
      <c r="AN35" s="34">
        <f t="shared" si="20"/>
        <v>0</v>
      </c>
      <c r="AO35" s="34">
        <f t="shared" si="20"/>
        <v>-1.1599999999998545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-3633.5699999999997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-3964.3300000000454</v>
      </c>
      <c r="BE35" s="34">
        <f t="shared" si="20"/>
        <v>-10.680000000000291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628.14999999994325</v>
      </c>
      <c r="BK35" s="34">
        <f t="shared" si="20"/>
        <v>-155</v>
      </c>
      <c r="BL35" s="34">
        <f t="shared" si="20"/>
        <v>1474.3000495035144</v>
      </c>
      <c r="BM35" s="34">
        <f t="shared" si="20"/>
        <v>499.72276227067618</v>
      </c>
      <c r="BN35" s="34">
        <f t="shared" si="20"/>
        <v>2.8474577211330852</v>
      </c>
      <c r="BO35" s="34">
        <f t="shared" si="20"/>
        <v>783149.05000000936</v>
      </c>
      <c r="BP35" s="213">
        <f t="shared" si="17"/>
        <v>133.47000000002299</v>
      </c>
      <c r="BQ35">
        <f t="shared" si="18"/>
        <v>1.2351105649288999E-3</v>
      </c>
    </row>
    <row r="36" spans="1:69" x14ac:dyDescent="0.25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 x14ac:dyDescent="0.25">
      <c r="F37" s="213">
        <f>AVERAGE(F4:F35)</f>
        <v>1.532025806451613</v>
      </c>
      <c r="G37" s="213"/>
      <c r="H37" s="213"/>
      <c r="I37" s="213">
        <f>AVERAGE(I4:I35)</f>
        <v>58.5625</v>
      </c>
    </row>
    <row r="38" spans="1:69" x14ac:dyDescent="0.25">
      <c r="B38" s="36" t="s">
        <v>68</v>
      </c>
      <c r="F38" s="414">
        <f>AVERAGE(F4:F35)</f>
        <v>1.532025806451613</v>
      </c>
      <c r="G38" s="414"/>
      <c r="H38" s="414"/>
    </row>
    <row r="41" spans="1:69" x14ac:dyDescent="0.25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1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opLeftCell="A7" workbookViewId="0">
      <selection activeCell="G21" sqref="G21:G22"/>
    </sheetView>
  </sheetViews>
  <sheetFormatPr defaultRowHeight="15.75" x14ac:dyDescent="0.25"/>
  <cols>
    <col min="2" max="2" width="9.109375" style="1251" customWidth="1"/>
    <col min="3" max="3" width="7.44140625" style="1251" customWidth="1"/>
    <col min="4" max="4" width="7.5546875" style="1251" customWidth="1"/>
    <col min="5" max="5" width="7.88671875" style="1251" customWidth="1"/>
    <col min="6" max="6" width="10.6640625" style="1251" customWidth="1"/>
  </cols>
  <sheetData>
    <row r="1" spans="1:7" ht="47.25" x14ac:dyDescent="0.25">
      <c r="A1" s="1112"/>
      <c r="B1" s="1325" t="s">
        <v>323</v>
      </c>
      <c r="C1" s="1325" t="s">
        <v>321</v>
      </c>
      <c r="D1" s="1325" t="s">
        <v>322</v>
      </c>
      <c r="E1" s="1325" t="s">
        <v>325</v>
      </c>
      <c r="F1" s="1325" t="s">
        <v>324</v>
      </c>
      <c r="G1" s="1364" t="s">
        <v>342</v>
      </c>
    </row>
    <row r="2" spans="1:7" x14ac:dyDescent="0.25">
      <c r="A2" s="1112">
        <v>1</v>
      </c>
      <c r="B2" s="1326"/>
      <c r="C2" s="1327">
        <v>71</v>
      </c>
      <c r="D2" s="1327">
        <v>20</v>
      </c>
      <c r="E2" s="1327">
        <f>SUM(C2:D2)/202%</f>
        <v>45.049504950495049</v>
      </c>
      <c r="F2" s="1363">
        <v>327</v>
      </c>
      <c r="G2" s="1113">
        <f>C2+D2</f>
        <v>91</v>
      </c>
    </row>
    <row r="3" spans="1:7" x14ac:dyDescent="0.25">
      <c r="A3" s="1112">
        <v>2</v>
      </c>
      <c r="B3" s="1326"/>
      <c r="C3" s="1327">
        <v>98</v>
      </c>
      <c r="D3" s="1327">
        <v>22</v>
      </c>
      <c r="E3" s="1327">
        <f t="shared" ref="E3:E5" si="0">SUM(C3:D3)/202%</f>
        <v>59.405940594059409</v>
      </c>
      <c r="F3" s="1363">
        <v>310</v>
      </c>
      <c r="G3" s="1113">
        <f t="shared" ref="G3:G30" si="1">C3+D3</f>
        <v>120</v>
      </c>
    </row>
    <row r="4" spans="1:7" x14ac:dyDescent="0.25">
      <c r="A4" s="1112">
        <v>3</v>
      </c>
      <c r="B4" s="1326"/>
      <c r="C4" s="1327">
        <v>92</v>
      </c>
      <c r="D4" s="1327">
        <v>20</v>
      </c>
      <c r="E4" s="1327">
        <f t="shared" si="0"/>
        <v>55.445544554455445</v>
      </c>
      <c r="F4" s="1363">
        <v>386</v>
      </c>
      <c r="G4" s="1113">
        <f t="shared" si="1"/>
        <v>112</v>
      </c>
    </row>
    <row r="5" spans="1:7" x14ac:dyDescent="0.25">
      <c r="A5" s="1112">
        <v>4</v>
      </c>
      <c r="B5" s="1326"/>
      <c r="C5" s="1327">
        <v>92</v>
      </c>
      <c r="D5" s="1327">
        <v>20</v>
      </c>
      <c r="E5" s="1327">
        <f t="shared" si="0"/>
        <v>55.445544554455445</v>
      </c>
      <c r="F5" s="1363">
        <v>558</v>
      </c>
      <c r="G5" s="1113">
        <f t="shared" si="1"/>
        <v>112</v>
      </c>
    </row>
    <row r="6" spans="1:7" x14ac:dyDescent="0.25">
      <c r="A6" s="1112">
        <v>5</v>
      </c>
      <c r="B6" s="1326"/>
      <c r="C6" s="1327">
        <v>85</v>
      </c>
      <c r="D6" s="1327">
        <v>20</v>
      </c>
      <c r="E6" s="1327">
        <f t="shared" ref="E6:E30" si="2">SUM(C6:D6)/202%</f>
        <v>51.980198019801982</v>
      </c>
      <c r="F6" s="1363">
        <v>416</v>
      </c>
      <c r="G6" s="1113">
        <f t="shared" si="1"/>
        <v>105</v>
      </c>
    </row>
    <row r="7" spans="1:7" x14ac:dyDescent="0.25">
      <c r="A7" s="1112">
        <v>6</v>
      </c>
      <c r="B7" s="1326"/>
      <c r="C7" s="1327">
        <v>133</v>
      </c>
      <c r="D7" s="1327">
        <v>17</v>
      </c>
      <c r="E7" s="1327">
        <f t="shared" si="2"/>
        <v>74.257425742574256</v>
      </c>
      <c r="F7" s="1363">
        <v>582</v>
      </c>
      <c r="G7" s="1113">
        <f t="shared" si="1"/>
        <v>150</v>
      </c>
    </row>
    <row r="8" spans="1:7" x14ac:dyDescent="0.25">
      <c r="A8" s="1112">
        <v>7</v>
      </c>
      <c r="B8" s="1326"/>
      <c r="C8" s="1327">
        <v>90</v>
      </c>
      <c r="D8" s="1327">
        <v>17</v>
      </c>
      <c r="E8" s="1327">
        <f t="shared" si="2"/>
        <v>52.970297029702969</v>
      </c>
      <c r="F8" s="1363">
        <v>437</v>
      </c>
      <c r="G8" s="1113">
        <f t="shared" si="1"/>
        <v>107</v>
      </c>
    </row>
    <row r="9" spans="1:7" x14ac:dyDescent="0.25">
      <c r="A9" s="1112">
        <v>8</v>
      </c>
      <c r="B9" s="1326"/>
      <c r="C9" s="1327">
        <v>102</v>
      </c>
      <c r="D9" s="1327">
        <v>18</v>
      </c>
      <c r="E9" s="1327">
        <f t="shared" si="2"/>
        <v>59.405940594059409</v>
      </c>
      <c r="F9" s="1363">
        <v>355</v>
      </c>
      <c r="G9" s="1113">
        <f t="shared" si="1"/>
        <v>120</v>
      </c>
    </row>
    <row r="10" spans="1:7" x14ac:dyDescent="0.25">
      <c r="A10" s="1112">
        <v>9</v>
      </c>
      <c r="B10" s="1326"/>
      <c r="C10" s="1327">
        <v>108</v>
      </c>
      <c r="D10" s="1327">
        <v>17</v>
      </c>
      <c r="E10" s="1327">
        <f t="shared" si="2"/>
        <v>61.881188118811878</v>
      </c>
      <c r="F10" s="1363">
        <v>382</v>
      </c>
      <c r="G10" s="1113">
        <f t="shared" si="1"/>
        <v>125</v>
      </c>
    </row>
    <row r="11" spans="1:7" x14ac:dyDescent="0.25">
      <c r="A11" s="1112">
        <v>10</v>
      </c>
      <c r="B11" s="1326"/>
      <c r="C11" s="1327">
        <v>127</v>
      </c>
      <c r="D11" s="1327">
        <v>15</v>
      </c>
      <c r="E11" s="1327">
        <f t="shared" si="2"/>
        <v>70.297029702970292</v>
      </c>
      <c r="F11" s="1363">
        <v>434</v>
      </c>
      <c r="G11" s="1113">
        <f t="shared" si="1"/>
        <v>142</v>
      </c>
    </row>
    <row r="12" spans="1:7" x14ac:dyDescent="0.25">
      <c r="A12" s="1112">
        <v>11</v>
      </c>
      <c r="B12" s="1326"/>
      <c r="C12" s="1327">
        <v>114</v>
      </c>
      <c r="D12" s="1327">
        <v>8</v>
      </c>
      <c r="E12" s="1327">
        <f t="shared" si="2"/>
        <v>60.396039603960396</v>
      </c>
      <c r="F12" s="1363">
        <v>309</v>
      </c>
      <c r="G12" s="1113">
        <f t="shared" si="1"/>
        <v>122</v>
      </c>
    </row>
    <row r="13" spans="1:7" x14ac:dyDescent="0.25">
      <c r="A13" s="1112">
        <v>12</v>
      </c>
      <c r="B13" s="1326"/>
      <c r="C13" s="1327">
        <v>129</v>
      </c>
      <c r="D13" s="1327">
        <v>2</v>
      </c>
      <c r="E13" s="1327">
        <f t="shared" si="2"/>
        <v>64.851485148514854</v>
      </c>
      <c r="F13" s="1327">
        <v>505</v>
      </c>
      <c r="G13" s="1113">
        <f t="shared" si="1"/>
        <v>131</v>
      </c>
    </row>
    <row r="14" spans="1:7" x14ac:dyDescent="0.25">
      <c r="A14" s="1112">
        <v>13</v>
      </c>
      <c r="B14" s="1326"/>
      <c r="C14" s="1327">
        <v>195</v>
      </c>
      <c r="D14" s="1327">
        <v>0</v>
      </c>
      <c r="E14" s="1327">
        <f t="shared" si="2"/>
        <v>96.534653465346537</v>
      </c>
      <c r="F14" s="1327">
        <v>581</v>
      </c>
      <c r="G14" s="1113">
        <f t="shared" si="1"/>
        <v>195</v>
      </c>
    </row>
    <row r="15" spans="1:7" x14ac:dyDescent="0.25">
      <c r="A15" s="1112">
        <v>14</v>
      </c>
      <c r="B15" s="1326"/>
      <c r="C15" s="1327">
        <v>192</v>
      </c>
      <c r="D15" s="1327">
        <v>0</v>
      </c>
      <c r="E15" s="1327">
        <f t="shared" si="2"/>
        <v>95.049504950495049</v>
      </c>
      <c r="F15" s="1327">
        <v>1020</v>
      </c>
      <c r="G15" s="1113">
        <f t="shared" si="1"/>
        <v>192</v>
      </c>
    </row>
    <row r="16" spans="1:7" x14ac:dyDescent="0.25">
      <c r="A16" s="1112">
        <v>15</v>
      </c>
      <c r="B16" s="1326"/>
      <c r="C16" s="1327">
        <v>124</v>
      </c>
      <c r="D16" s="1327">
        <v>2</v>
      </c>
      <c r="E16" s="1327">
        <f t="shared" si="2"/>
        <v>62.376237623762378</v>
      </c>
      <c r="F16" s="1327">
        <v>916</v>
      </c>
      <c r="G16" s="1113">
        <f t="shared" si="1"/>
        <v>126</v>
      </c>
    </row>
    <row r="17" spans="1:7" x14ac:dyDescent="0.25">
      <c r="A17" s="1112">
        <v>16</v>
      </c>
      <c r="B17" s="1326"/>
      <c r="C17" s="1327">
        <v>118</v>
      </c>
      <c r="D17" s="1327">
        <v>2</v>
      </c>
      <c r="E17" s="1327">
        <f t="shared" si="2"/>
        <v>59.405940594059409</v>
      </c>
      <c r="F17" s="1327">
        <v>797</v>
      </c>
      <c r="G17" s="1113">
        <f t="shared" si="1"/>
        <v>120</v>
      </c>
    </row>
    <row r="18" spans="1:7" x14ac:dyDescent="0.25">
      <c r="A18" s="1112">
        <v>17</v>
      </c>
      <c r="B18" s="1326"/>
      <c r="C18" s="1327">
        <v>89</v>
      </c>
      <c r="D18" s="1327">
        <v>2</v>
      </c>
      <c r="E18" s="1327">
        <f t="shared" si="2"/>
        <v>45.049504950495049</v>
      </c>
      <c r="F18" s="1327">
        <v>395</v>
      </c>
      <c r="G18" s="1113">
        <f t="shared" si="1"/>
        <v>91</v>
      </c>
    </row>
    <row r="19" spans="1:7" x14ac:dyDescent="0.25">
      <c r="A19" s="1112">
        <v>18</v>
      </c>
      <c r="B19" s="1326"/>
      <c r="C19" s="1251">
        <v>91</v>
      </c>
      <c r="D19" s="1251">
        <v>0</v>
      </c>
      <c r="E19" s="1327">
        <f t="shared" si="2"/>
        <v>45.049504950495049</v>
      </c>
      <c r="F19" s="1251">
        <v>404</v>
      </c>
      <c r="G19" s="1113">
        <f t="shared" si="1"/>
        <v>91</v>
      </c>
    </row>
    <row r="20" spans="1:7" x14ac:dyDescent="0.25">
      <c r="A20" s="1112">
        <v>19</v>
      </c>
      <c r="B20" s="1326"/>
      <c r="C20" s="1327">
        <v>163</v>
      </c>
      <c r="D20" s="1327">
        <v>0</v>
      </c>
      <c r="E20" s="1327">
        <f t="shared" si="2"/>
        <v>80.693069306930695</v>
      </c>
      <c r="F20" s="1327">
        <v>459</v>
      </c>
      <c r="G20" s="1113">
        <f t="shared" si="1"/>
        <v>163</v>
      </c>
    </row>
    <row r="21" spans="1:7" x14ac:dyDescent="0.25">
      <c r="A21" s="1112">
        <v>20</v>
      </c>
      <c r="B21" s="1326"/>
      <c r="C21" s="1327">
        <v>195</v>
      </c>
      <c r="D21" s="1327">
        <v>2</v>
      </c>
      <c r="E21" s="1327">
        <f t="shared" si="2"/>
        <v>97.524752475247524</v>
      </c>
      <c r="F21" s="1327">
        <v>537</v>
      </c>
      <c r="G21" s="1113">
        <f t="shared" si="1"/>
        <v>197</v>
      </c>
    </row>
    <row r="22" spans="1:7" x14ac:dyDescent="0.25">
      <c r="A22" s="1112">
        <v>21</v>
      </c>
      <c r="B22" s="1326"/>
      <c r="C22" s="1327">
        <v>97</v>
      </c>
      <c r="D22" s="1327">
        <v>2</v>
      </c>
      <c r="E22" s="1327">
        <f t="shared" si="2"/>
        <v>49.009900990099013</v>
      </c>
      <c r="F22" s="1327">
        <v>561</v>
      </c>
      <c r="G22" s="1113">
        <f t="shared" si="1"/>
        <v>99</v>
      </c>
    </row>
    <row r="23" spans="1:7" x14ac:dyDescent="0.25">
      <c r="A23" s="1112">
        <v>22</v>
      </c>
      <c r="B23" s="1326"/>
      <c r="C23" s="1327"/>
      <c r="D23" s="1327"/>
      <c r="E23" s="1327">
        <f t="shared" si="2"/>
        <v>0</v>
      </c>
      <c r="F23" s="1327"/>
      <c r="G23" s="1113">
        <f t="shared" si="1"/>
        <v>0</v>
      </c>
    </row>
    <row r="24" spans="1:7" x14ac:dyDescent="0.25">
      <c r="A24" s="1112">
        <v>23</v>
      </c>
      <c r="B24" s="1326"/>
      <c r="C24" s="1327"/>
      <c r="D24" s="1327"/>
      <c r="E24" s="1327">
        <f t="shared" si="2"/>
        <v>0</v>
      </c>
      <c r="F24" s="1327"/>
      <c r="G24" s="1113">
        <f t="shared" si="1"/>
        <v>0</v>
      </c>
    </row>
    <row r="25" spans="1:7" x14ac:dyDescent="0.25">
      <c r="A25" s="1112">
        <v>24</v>
      </c>
      <c r="B25" s="1326"/>
      <c r="C25" s="1327"/>
      <c r="D25" s="1327"/>
      <c r="E25" s="1327">
        <f t="shared" si="2"/>
        <v>0</v>
      </c>
      <c r="F25" s="1327"/>
      <c r="G25" s="1113">
        <f t="shared" si="1"/>
        <v>0</v>
      </c>
    </row>
    <row r="26" spans="1:7" x14ac:dyDescent="0.25">
      <c r="A26" s="1112">
        <v>25</v>
      </c>
      <c r="B26" s="1326"/>
      <c r="C26" s="1327"/>
      <c r="D26" s="1327"/>
      <c r="E26" s="1327">
        <f t="shared" si="2"/>
        <v>0</v>
      </c>
      <c r="F26" s="1327"/>
      <c r="G26" s="1113">
        <f t="shared" si="1"/>
        <v>0</v>
      </c>
    </row>
    <row r="27" spans="1:7" x14ac:dyDescent="0.25">
      <c r="A27" s="1112">
        <v>26</v>
      </c>
      <c r="B27" s="1326"/>
      <c r="C27" s="1327"/>
      <c r="D27" s="1327"/>
      <c r="E27" s="1327">
        <f t="shared" si="2"/>
        <v>0</v>
      </c>
      <c r="F27" s="1327"/>
      <c r="G27" s="1113">
        <f t="shared" si="1"/>
        <v>0</v>
      </c>
    </row>
    <row r="28" spans="1:7" x14ac:dyDescent="0.25">
      <c r="A28" s="1112">
        <v>27</v>
      </c>
      <c r="B28" s="1326"/>
      <c r="C28" s="1327"/>
      <c r="D28" s="1327"/>
      <c r="E28" s="1327">
        <f t="shared" si="2"/>
        <v>0</v>
      </c>
      <c r="F28" s="1327"/>
      <c r="G28" s="1113">
        <f t="shared" si="1"/>
        <v>0</v>
      </c>
    </row>
    <row r="29" spans="1:7" x14ac:dyDescent="0.25">
      <c r="A29" s="1112">
        <v>28</v>
      </c>
      <c r="B29" s="1326"/>
      <c r="C29" s="1327"/>
      <c r="D29" s="1327"/>
      <c r="E29" s="1327">
        <f t="shared" si="2"/>
        <v>0</v>
      </c>
      <c r="F29" s="1327"/>
      <c r="G29" s="1113">
        <f t="shared" si="1"/>
        <v>0</v>
      </c>
    </row>
    <row r="30" spans="1:7" x14ac:dyDescent="0.25">
      <c r="A30" s="1112">
        <v>29</v>
      </c>
      <c r="B30" s="1326"/>
      <c r="C30" s="1327"/>
      <c r="D30" s="1327"/>
      <c r="E30" s="1327">
        <f t="shared" si="2"/>
        <v>0</v>
      </c>
      <c r="F30" s="1327"/>
      <c r="G30" s="1113">
        <f t="shared" si="1"/>
        <v>0</v>
      </c>
    </row>
    <row r="31" spans="1:7" x14ac:dyDescent="0.25">
      <c r="A31" s="1112">
        <v>30</v>
      </c>
      <c r="B31" s="1327"/>
      <c r="C31" s="1327"/>
      <c r="D31" s="1327"/>
      <c r="E31" s="1327"/>
      <c r="F31" s="1327"/>
      <c r="G31" s="1112"/>
    </row>
    <row r="32" spans="1:7" x14ac:dyDescent="0.25">
      <c r="A32" s="1112">
        <v>31</v>
      </c>
      <c r="B32" s="1327"/>
      <c r="C32" s="1327"/>
      <c r="D32" s="1327"/>
      <c r="E32" s="1327"/>
      <c r="F32" s="1327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AI30"/>
  <sheetViews>
    <sheetView zoomScale="90" zoomScaleNormal="90" workbookViewId="0">
      <selection activeCell="Q28" sqref="Q28"/>
    </sheetView>
  </sheetViews>
  <sheetFormatPr defaultRowHeight="15.75" x14ac:dyDescent="0.2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 x14ac:dyDescent="0.25">
      <c r="B3" s="1156"/>
      <c r="C3" s="1157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7">
        <v>15</v>
      </c>
      <c r="S3" s="1157">
        <v>16</v>
      </c>
      <c r="T3" s="1157">
        <v>17</v>
      </c>
      <c r="U3" s="1157">
        <v>18</v>
      </c>
      <c r="V3" s="1157">
        <v>19</v>
      </c>
      <c r="W3" s="1157">
        <v>20</v>
      </c>
      <c r="X3" s="1157">
        <v>21</v>
      </c>
      <c r="Y3" s="1157">
        <v>22</v>
      </c>
      <c r="Z3" s="1157">
        <v>23</v>
      </c>
      <c r="AA3" s="1157">
        <v>24</v>
      </c>
      <c r="AB3" s="1157">
        <v>25</v>
      </c>
      <c r="AC3" s="1157">
        <v>26</v>
      </c>
      <c r="AD3" s="1157">
        <v>27</v>
      </c>
      <c r="AE3" s="1157">
        <v>28</v>
      </c>
      <c r="AF3" s="1157">
        <v>29</v>
      </c>
      <c r="AG3" s="1157">
        <v>30</v>
      </c>
      <c r="AH3" s="1157">
        <v>31</v>
      </c>
      <c r="AI3" s="1157"/>
    </row>
    <row r="4" spans="2:35" x14ac:dyDescent="0.25">
      <c r="B4" s="528"/>
      <c r="C4" s="524" t="s">
        <v>69</v>
      </c>
      <c r="D4" s="525">
        <f>'[2]1'!F3</f>
        <v>0.5</v>
      </c>
      <c r="E4" s="525">
        <f>'[2]2'!F3</f>
        <v>0.1</v>
      </c>
      <c r="F4" s="525">
        <f>'[2]3'!F3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 x14ac:dyDescent="0.2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180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 x14ac:dyDescent="0.2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51</v>
      </c>
      <c r="X6" s="526">
        <f>'21'!G19</f>
        <v>51</v>
      </c>
      <c r="Y6" s="526">
        <f>'22'!G19</f>
        <v>-1515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 x14ac:dyDescent="0.2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107</v>
      </c>
      <c r="X7" s="526">
        <f>'21'!G92</f>
        <v>122</v>
      </c>
      <c r="Y7" s="526">
        <f>'22'!G92</f>
        <v>-3140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 x14ac:dyDescent="0.25">
      <c r="B8" s="1377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86</v>
      </c>
      <c r="X8" s="526">
        <f>'21'!G95</f>
        <v>72</v>
      </c>
      <c r="Y8" s="526">
        <f>'22'!G95</f>
        <v>-2235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 x14ac:dyDescent="0.25">
      <c r="B9" s="1377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22</v>
      </c>
      <c r="X9" s="526">
        <f>'21'!G96</f>
        <v>27</v>
      </c>
      <c r="Y9" s="526">
        <f>'22'!G96</f>
        <v>-885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 x14ac:dyDescent="0.25">
      <c r="B10" s="1377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32</v>
      </c>
      <c r="X10" s="526">
        <f>'21'!G97</f>
        <v>35</v>
      </c>
      <c r="Y10" s="526">
        <f>'22'!G97</f>
        <v>-832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 x14ac:dyDescent="0.2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 x14ac:dyDescent="0.25">
      <c r="B12" s="1377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68</v>
      </c>
      <c r="X12" s="526">
        <f>'21'!G98</f>
        <v>87</v>
      </c>
      <c r="Y12" s="526">
        <f>'22'!G98</f>
        <v>-1972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 x14ac:dyDescent="0.25">
      <c r="B13" s="1377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26</v>
      </c>
      <c r="X13" s="526">
        <f>'21'!G114</f>
        <v>17</v>
      </c>
      <c r="Y13" s="526">
        <f>'22'!G114</f>
        <v>-566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 x14ac:dyDescent="0.25">
      <c r="B14" s="1377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8</v>
      </c>
      <c r="X14" s="526">
        <f>'21'!G115</f>
        <v>9</v>
      </c>
      <c r="Y14" s="526">
        <f>'22'!G115</f>
        <v>-223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 x14ac:dyDescent="0.2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 x14ac:dyDescent="0.25">
      <c r="B16" s="1377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-87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 x14ac:dyDescent="0.25">
      <c r="B17" s="1377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13</v>
      </c>
      <c r="X17" s="526">
        <f>'21'!G105</f>
        <v>7</v>
      </c>
      <c r="Y17" s="526">
        <f>'22'!G105</f>
        <v>-250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 x14ac:dyDescent="0.25">
      <c r="B18" s="1377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8</v>
      </c>
      <c r="X18" s="526">
        <f>'21'!G106</f>
        <v>6</v>
      </c>
      <c r="Y18" s="526">
        <f>'22'!G106</f>
        <v>-173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 x14ac:dyDescent="0.2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 x14ac:dyDescent="0.25">
      <c r="B20" s="1377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59</v>
      </c>
      <c r="X20" s="526">
        <f>'21'!G109</f>
        <v>60</v>
      </c>
      <c r="Y20" s="526">
        <f>'22'!G109</f>
        <v>-1699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 x14ac:dyDescent="0.25">
      <c r="B21" s="1377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75</v>
      </c>
      <c r="X21" s="526">
        <f>'21'!G110</f>
        <v>100</v>
      </c>
      <c r="Y21" s="526">
        <f>'22'!G110</f>
        <v>-1867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 x14ac:dyDescent="0.25">
      <c r="B22" s="1377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20</v>
      </c>
      <c r="X22" s="526">
        <f>'21'!G111</f>
        <v>6</v>
      </c>
      <c r="Y22" s="526">
        <f>'22'!G111</f>
        <v>-244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 x14ac:dyDescent="0.2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 x14ac:dyDescent="0.25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174</v>
      </c>
      <c r="X24" s="526">
        <f t="shared" si="0"/>
        <v>160</v>
      </c>
      <c r="Y24" s="526">
        <f t="shared" si="0"/>
        <v>-4741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 x14ac:dyDescent="0.2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 x14ac:dyDescent="0.25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147</v>
      </c>
      <c r="X26" s="526">
        <f t="shared" si="1"/>
        <v>153</v>
      </c>
      <c r="Y26" s="526">
        <f t="shared" si="1"/>
        <v>-3915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 x14ac:dyDescent="0.2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 x14ac:dyDescent="0.2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86</v>
      </c>
      <c r="X28" s="1113">
        <f t="shared" si="3"/>
        <v>72</v>
      </c>
      <c r="Y28" s="1113">
        <f t="shared" si="3"/>
        <v>-2235</v>
      </c>
      <c r="Z28" s="1113">
        <f t="shared" si="3"/>
        <v>75</v>
      </c>
      <c r="AA28" s="1113">
        <f t="shared" si="3"/>
        <v>71</v>
      </c>
      <c r="AB28" s="1113">
        <f t="shared" si="3"/>
        <v>83</v>
      </c>
      <c r="AC28" s="1113">
        <f t="shared" si="3"/>
        <v>60</v>
      </c>
      <c r="AD28" s="1113">
        <f t="shared" si="3"/>
        <v>71</v>
      </c>
      <c r="AE28" s="1113">
        <f t="shared" si="3"/>
        <v>43</v>
      </c>
      <c r="AF28" s="1113">
        <f t="shared" si="3"/>
        <v>65</v>
      </c>
      <c r="AG28" s="1113">
        <f t="shared" si="3"/>
        <v>54</v>
      </c>
      <c r="AH28" s="1113">
        <f t="shared" si="3"/>
        <v>69</v>
      </c>
      <c r="AI28" s="1112"/>
    </row>
    <row r="29" spans="2:35" x14ac:dyDescent="0.2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88</v>
      </c>
      <c r="X29" s="1113">
        <f t="shared" si="4"/>
        <v>88</v>
      </c>
      <c r="Y29" s="1113">
        <f t="shared" si="4"/>
        <v>-2506</v>
      </c>
      <c r="Z29" s="1113">
        <f t="shared" si="4"/>
        <v>68</v>
      </c>
      <c r="AA29" s="1113">
        <f t="shared" si="4"/>
        <v>81</v>
      </c>
      <c r="AB29" s="1113">
        <f t="shared" si="4"/>
        <v>75</v>
      </c>
      <c r="AC29" s="1113">
        <f t="shared" si="4"/>
        <v>98</v>
      </c>
      <c r="AD29" s="1113">
        <f t="shared" si="4"/>
        <v>70</v>
      </c>
      <c r="AE29" s="1113">
        <f t="shared" si="4"/>
        <v>66</v>
      </c>
      <c r="AF29" s="1113">
        <f t="shared" si="4"/>
        <v>70</v>
      </c>
      <c r="AG29" s="1113">
        <f t="shared" si="4"/>
        <v>80</v>
      </c>
      <c r="AH29" s="1113">
        <f t="shared" si="4"/>
        <v>81</v>
      </c>
      <c r="AI29" s="1112"/>
    </row>
    <row r="30" spans="2:35" x14ac:dyDescent="0.2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50.574712643678161</v>
      </c>
      <c r="X30" s="1112">
        <f t="shared" si="5"/>
        <v>55</v>
      </c>
      <c r="Y30" s="1112">
        <f t="shared" si="5"/>
        <v>52.85804682556423</v>
      </c>
      <c r="Z30" s="1112">
        <f t="shared" si="5"/>
        <v>47.552447552447553</v>
      </c>
      <c r="AA30" s="1112">
        <f t="shared" si="5"/>
        <v>53.289473684210527</v>
      </c>
      <c r="AB30" s="1112">
        <f t="shared" si="5"/>
        <v>47.468354430379748</v>
      </c>
      <c r="AC30" s="1112">
        <f t="shared" si="5"/>
        <v>62.025316455696199</v>
      </c>
      <c r="AD30" s="1112">
        <f t="shared" si="5"/>
        <v>49.645390070921991</v>
      </c>
      <c r="AE30" s="1112">
        <f t="shared" si="5"/>
        <v>60.550458715596328</v>
      </c>
      <c r="AF30" s="1112">
        <f t="shared" si="5"/>
        <v>51.851851851851848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O89"/>
  <sheetViews>
    <sheetView topLeftCell="R3" zoomScale="85" zoomScaleNormal="85" workbookViewId="0">
      <pane ySplit="1" topLeftCell="A4" activePane="bottomLeft" state="frozen"/>
      <selection activeCell="A3" sqref="A3"/>
      <selection pane="bottomLeft" activeCell="AA14" sqref="AA14"/>
    </sheetView>
  </sheetViews>
  <sheetFormatPr defaultRowHeight="15.75" x14ac:dyDescent="0.25"/>
  <cols>
    <col min="1" max="1" width="8.88671875" style="1123"/>
    <col min="2" max="20" width="7.33203125" style="1123" customWidth="1"/>
    <col min="21" max="39" width="7" style="1123" customWidth="1"/>
    <col min="40" max="16384" width="8.88671875" style="1123"/>
  </cols>
  <sheetData>
    <row r="2" spans="1:41" x14ac:dyDescent="0.25">
      <c r="B2" s="1380" t="s">
        <v>88</v>
      </c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79"/>
      <c r="AC2" s="1379"/>
      <c r="AD2" s="1379"/>
      <c r="AE2" s="1379"/>
      <c r="AF2" s="1379"/>
      <c r="AG2" s="1379"/>
      <c r="AH2" s="1379"/>
      <c r="AI2" s="1204"/>
      <c r="AJ2" s="1378" t="s">
        <v>89</v>
      </c>
      <c r="AK2" s="1378"/>
      <c r="AL2" s="1378"/>
      <c r="AM2" s="1378"/>
    </row>
    <row r="3" spans="1:41" ht="30" customHeight="1" x14ac:dyDescent="0.25">
      <c r="A3" s="1124"/>
      <c r="B3" s="1124" t="s">
        <v>90</v>
      </c>
      <c r="C3" s="1124" t="s">
        <v>91</v>
      </c>
      <c r="D3" s="1124" t="s">
        <v>92</v>
      </c>
      <c r="E3" s="1124" t="s">
        <v>93</v>
      </c>
      <c r="F3" s="1124" t="s">
        <v>94</v>
      </c>
      <c r="G3" s="1124" t="s">
        <v>95</v>
      </c>
      <c r="H3" s="1124" t="s">
        <v>96</v>
      </c>
      <c r="I3" s="1124" t="s">
        <v>97</v>
      </c>
      <c r="J3" s="1124" t="s">
        <v>98</v>
      </c>
      <c r="K3" s="1124" t="s">
        <v>99</v>
      </c>
      <c r="L3" s="1124" t="s">
        <v>100</v>
      </c>
      <c r="M3" s="1124" t="s">
        <v>77</v>
      </c>
      <c r="N3" s="1124" t="s">
        <v>101</v>
      </c>
      <c r="O3" s="1125" t="s">
        <v>102</v>
      </c>
      <c r="P3" s="1125" t="s">
        <v>103</v>
      </c>
      <c r="Q3" s="1125" t="s">
        <v>104</v>
      </c>
      <c r="R3" s="1125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24" t="s">
        <v>113</v>
      </c>
      <c r="AB3" s="1124" t="s">
        <v>114</v>
      </c>
      <c r="AC3" s="1124" t="s">
        <v>115</v>
      </c>
      <c r="AD3" s="1124" t="s">
        <v>116</v>
      </c>
      <c r="AE3" s="1124" t="s">
        <v>117</v>
      </c>
      <c r="AF3" s="1124" t="s">
        <v>118</v>
      </c>
      <c r="AG3" s="1124" t="s">
        <v>119</v>
      </c>
      <c r="AH3" s="1124" t="s">
        <v>120</v>
      </c>
      <c r="AI3" s="1124" t="s">
        <v>115</v>
      </c>
      <c r="AJ3" s="1124" t="s">
        <v>41</v>
      </c>
      <c r="AK3" s="1124" t="s">
        <v>42</v>
      </c>
      <c r="AL3" s="1124" t="s">
        <v>343</v>
      </c>
      <c r="AM3" s="1124" t="s">
        <v>121</v>
      </c>
    </row>
    <row r="4" spans="1:41" x14ac:dyDescent="0.25">
      <c r="A4" s="1126">
        <v>44044</v>
      </c>
      <c r="B4" s="1127">
        <f>'1'!G72</f>
        <v>84</v>
      </c>
      <c r="C4" s="1127">
        <f>'1'!$G$73</f>
        <v>0</v>
      </c>
      <c r="D4" s="1127">
        <f>'1'!$G$74</f>
        <v>23</v>
      </c>
      <c r="E4" s="1127">
        <f>'1'!$G$75</f>
        <v>183</v>
      </c>
      <c r="F4" s="1127">
        <f>'1'!$G$76</f>
        <v>74</v>
      </c>
      <c r="G4" s="1127">
        <f>'1'!$G$77</f>
        <v>48</v>
      </c>
      <c r="H4" s="1127">
        <f>'1'!$G$78</f>
        <v>334</v>
      </c>
      <c r="I4" s="1127">
        <f>'1'!$G$79</f>
        <v>205</v>
      </c>
      <c r="J4" s="1127">
        <f>'1'!$G$80</f>
        <v>308</v>
      </c>
      <c r="K4" s="1127">
        <f>'1'!$G$81</f>
        <v>76</v>
      </c>
      <c r="L4" s="1127">
        <f>'1'!$G$82</f>
        <v>45</v>
      </c>
      <c r="M4" s="1127">
        <f>'1'!$G$58</f>
        <v>174.52000000000044</v>
      </c>
      <c r="N4" s="1127">
        <f>'1'!$G$83</f>
        <v>433</v>
      </c>
      <c r="O4" s="1127">
        <f>'1'!G86</f>
        <v>124.35999999998603</v>
      </c>
      <c r="P4" s="1127">
        <f>'1'!G87</f>
        <v>31.399999999994179</v>
      </c>
      <c r="Q4" s="1127">
        <f>'1'!G88</f>
        <v>87</v>
      </c>
      <c r="R4" s="1127">
        <f>'1'!G89+'1'!G90</f>
        <v>75.900000000002819</v>
      </c>
      <c r="S4" s="1127">
        <f>'1'!$G$62</f>
        <v>0</v>
      </c>
      <c r="T4" s="1127">
        <f>'1'!$G$63</f>
        <v>14.460000000000036</v>
      </c>
      <c r="U4" s="1127">
        <f>'1'!$G$64</f>
        <v>445.6299999999901</v>
      </c>
      <c r="V4" s="1127">
        <f>'1'!$G$65</f>
        <v>382.89999999999418</v>
      </c>
      <c r="W4" s="1127">
        <f>'1'!$G$66</f>
        <v>390.09000000000015</v>
      </c>
      <c r="X4" s="1127">
        <f>'1'!$G$67</f>
        <v>657.86000000001513</v>
      </c>
      <c r="Y4" s="1127">
        <f>'1'!$G$68</f>
        <v>327.79000000000087</v>
      </c>
      <c r="Z4" s="1127">
        <f>'1'!$G$69</f>
        <v>319.90000000000146</v>
      </c>
      <c r="AA4" s="1127">
        <f>'1'!$G$84</f>
        <v>521</v>
      </c>
      <c r="AB4" s="1127">
        <f>'1'!$G$15</f>
        <v>797.95000000018626</v>
      </c>
      <c r="AC4" s="1127">
        <f>'1'!$G$123</f>
        <v>270.38000000000466</v>
      </c>
      <c r="AD4" s="1127">
        <f>'1'!$G$124</f>
        <v>0</v>
      </c>
      <c r="AE4" s="1127">
        <f>'1'!$G$125</f>
        <v>59</v>
      </c>
      <c r="AF4" s="1127">
        <f>'1'!$G$126</f>
        <v>28.200000000004366</v>
      </c>
      <c r="AG4" s="1127">
        <f>'1'!$G$127</f>
        <v>0</v>
      </c>
      <c r="AH4" s="1127">
        <f>AB4-SUM(AC4:AG4)</f>
        <v>440.37000000017724</v>
      </c>
      <c r="AI4" s="1127">
        <f>'1'!G140</f>
        <v>0</v>
      </c>
      <c r="AJ4" s="1127">
        <f>'1'!$G$136</f>
        <v>7.8899999999994179</v>
      </c>
      <c r="AK4" s="1127">
        <f>'1'!$G$137</f>
        <v>0.40000000000145519</v>
      </c>
      <c r="AL4" s="1127">
        <f>'1'!$G$138</f>
        <v>0</v>
      </c>
      <c r="AM4" s="1124">
        <f>SUM(AJ4:AL4)</f>
        <v>8.2900000000008731</v>
      </c>
    </row>
    <row r="5" spans="1:41" x14ac:dyDescent="0.25">
      <c r="A5" s="1126">
        <v>44045</v>
      </c>
      <c r="B5" s="1127">
        <f>'2'!G72</f>
        <v>84</v>
      </c>
      <c r="C5" s="1127">
        <f>'2'!$G$73</f>
        <v>0</v>
      </c>
      <c r="D5" s="1127">
        <f>'2'!$G$74</f>
        <v>27</v>
      </c>
      <c r="E5" s="1127">
        <f>'2'!$G$75</f>
        <v>184</v>
      </c>
      <c r="F5" s="1127">
        <f>'2'!$G$76</f>
        <v>73</v>
      </c>
      <c r="G5" s="1127">
        <f>'2'!$G$77</f>
        <v>59</v>
      </c>
      <c r="H5" s="1127">
        <f>'2'!$G$78</f>
        <v>380</v>
      </c>
      <c r="I5" s="1127">
        <f>'2'!$G$79</f>
        <v>196</v>
      </c>
      <c r="J5" s="1127">
        <f>'2'!$G$80</f>
        <v>318</v>
      </c>
      <c r="K5" s="1117">
        <f>'2'!$G$81</f>
        <v>102</v>
      </c>
      <c r="L5" s="1117">
        <f>'2'!$G$82</f>
        <v>55</v>
      </c>
      <c r="M5" s="1117">
        <f>'2'!$G$58</f>
        <v>153.56999999999971</v>
      </c>
      <c r="N5" s="1117">
        <f>'2'!$G$83</f>
        <v>428</v>
      </c>
      <c r="O5" s="1117">
        <f>'2'!G86</f>
        <v>141.64000000001397</v>
      </c>
      <c r="P5" s="1127">
        <f>'2'!G87</f>
        <v>34.30000000000291</v>
      </c>
      <c r="Q5" s="1127">
        <f>'2'!G88</f>
        <v>54</v>
      </c>
      <c r="R5" s="1127">
        <f>'2'!G89+'2'!G90</f>
        <v>95.19999999999709</v>
      </c>
      <c r="S5" s="1127">
        <f>'2'!$G$62</f>
        <v>0</v>
      </c>
      <c r="T5" s="1127">
        <f>'2'!$G$63</f>
        <v>15.009999999999991</v>
      </c>
      <c r="U5" s="1127">
        <f>'2'!$G$64</f>
        <v>435.91000000000349</v>
      </c>
      <c r="V5" s="1127">
        <f>'2'!$G$65</f>
        <v>377.99000000000524</v>
      </c>
      <c r="W5" s="1127">
        <f>'2'!$G$66</f>
        <v>404.17000000000007</v>
      </c>
      <c r="X5" s="1127">
        <f>'2'!$G$67</f>
        <v>670.60999999998603</v>
      </c>
      <c r="Y5" s="1127">
        <f>'2'!$G$68</f>
        <v>341.34999999999854</v>
      </c>
      <c r="Z5" s="1127">
        <f>'2'!$G$69</f>
        <v>310.38999999999942</v>
      </c>
      <c r="AA5" s="1127">
        <f>'2'!$G$84</f>
        <v>534</v>
      </c>
      <c r="AB5" s="1127">
        <f>'2'!$G$15</f>
        <v>860.89999999990687</v>
      </c>
      <c r="AC5" s="1127">
        <f>'2'!$G$123</f>
        <v>258.21999999997206</v>
      </c>
      <c r="AD5" s="1127">
        <f>'2'!$G$124</f>
        <v>0</v>
      </c>
      <c r="AE5" s="1127">
        <f>'2'!$G$125</f>
        <v>62</v>
      </c>
      <c r="AF5" s="1127">
        <f>'2'!$G$126</f>
        <v>52.099999999998545</v>
      </c>
      <c r="AG5" s="1127">
        <f>'2'!$G$127</f>
        <v>3</v>
      </c>
      <c r="AH5" s="1127">
        <f t="shared" ref="AH5:AH34" si="0">AB5-SUM(AC5:AG5)</f>
        <v>485.57999999993626</v>
      </c>
      <c r="AI5" s="1127">
        <f>'2'!$G$140</f>
        <v>0</v>
      </c>
      <c r="AJ5" s="1127">
        <f>'2'!$G$136</f>
        <v>8.7300000000032014</v>
      </c>
      <c r="AK5" s="1127">
        <f>'2'!$G$137</f>
        <v>0.18999999999869033</v>
      </c>
      <c r="AL5" s="1127">
        <f>'2'!$G$138</f>
        <v>0</v>
      </c>
      <c r="AM5" s="1124">
        <f t="shared" ref="AM5:AM34" si="1">SUM(AJ5:AL5)</f>
        <v>8.9200000000018917</v>
      </c>
    </row>
    <row r="6" spans="1:41" s="1130" customFormat="1" x14ac:dyDescent="0.25">
      <c r="A6" s="1128">
        <v>44046</v>
      </c>
      <c r="B6" s="1117">
        <f>'3'!G72</f>
        <v>88</v>
      </c>
      <c r="C6" s="1117">
        <f>'3'!$G$73</f>
        <v>1</v>
      </c>
      <c r="D6" s="1117">
        <f>'3'!$G$74</f>
        <v>24</v>
      </c>
      <c r="E6" s="1117">
        <f>'3'!$G$75</f>
        <v>192</v>
      </c>
      <c r="F6" s="1117">
        <f>'3'!$G$76</f>
        <v>89</v>
      </c>
      <c r="G6" s="1117">
        <f>'3'!$G$77</f>
        <v>47</v>
      </c>
      <c r="H6" s="1117">
        <f>'3'!$G$78</f>
        <v>425</v>
      </c>
      <c r="I6" s="1117">
        <f>'3'!$G$79</f>
        <v>203</v>
      </c>
      <c r="J6" s="1117">
        <f>'3'!$G$80</f>
        <v>327</v>
      </c>
      <c r="K6" s="1117">
        <f>'3'!$G$81</f>
        <v>104</v>
      </c>
      <c r="L6" s="1117">
        <f>'3'!$G$82</f>
        <v>41</v>
      </c>
      <c r="M6" s="1117">
        <f>'3'!$G$58</f>
        <v>170</v>
      </c>
      <c r="N6" s="1117">
        <f>'3'!$G$83</f>
        <v>394</v>
      </c>
      <c r="O6" s="1127">
        <f>'3'!G86</f>
        <v>146</v>
      </c>
      <c r="P6" s="1127">
        <f>'1'!G87</f>
        <v>31.399999999994179</v>
      </c>
      <c r="Q6" s="1127">
        <f>'3'!G88</f>
        <v>63</v>
      </c>
      <c r="R6" s="1127">
        <f>'3'!G89+'3'!G90</f>
        <v>66</v>
      </c>
      <c r="S6" s="1117">
        <f>'3'!$G$62</f>
        <v>0</v>
      </c>
      <c r="T6" s="1117">
        <f>'3'!$G$63</f>
        <v>15</v>
      </c>
      <c r="U6" s="1117">
        <f>'3'!$G$64</f>
        <v>418</v>
      </c>
      <c r="V6" s="1117">
        <f>'3'!$G$65</f>
        <v>374</v>
      </c>
      <c r="W6" s="1117">
        <f>'3'!$G$66</f>
        <v>419</v>
      </c>
      <c r="X6" s="864">
        <f>'3'!$G$67</f>
        <v>725</v>
      </c>
      <c r="Y6" s="864">
        <f>'3'!$G$68</f>
        <v>331</v>
      </c>
      <c r="Z6" s="1117">
        <f>'3'!$G$69</f>
        <v>313</v>
      </c>
      <c r="AA6" s="1117">
        <f>'3'!$G$84</f>
        <v>457</v>
      </c>
      <c r="AB6" s="1117">
        <f>'3'!$G$15</f>
        <v>873</v>
      </c>
      <c r="AC6" s="1117">
        <f>'3'!$G$123</f>
        <v>265</v>
      </c>
      <c r="AD6" s="1117">
        <f>'3'!$G$124</f>
        <v>0</v>
      </c>
      <c r="AE6" s="1117">
        <f>'3'!$G$125</f>
        <v>83</v>
      </c>
      <c r="AF6" s="1117">
        <f>'3'!$G$126</f>
        <v>57</v>
      </c>
      <c r="AG6" s="1117">
        <f>'3'!$G$127</f>
        <v>4</v>
      </c>
      <c r="AH6" s="1117">
        <f t="shared" si="0"/>
        <v>464</v>
      </c>
      <c r="AI6" s="1117">
        <f>'3'!$G$140</f>
        <v>0</v>
      </c>
      <c r="AJ6" s="1117">
        <f>'3'!$G$136</f>
        <v>3.4199999999982538</v>
      </c>
      <c r="AK6" s="1117">
        <f>'3'!$G$137</f>
        <v>4.4700000000011642</v>
      </c>
      <c r="AL6" s="1117">
        <f>'3'!$G$138</f>
        <v>0</v>
      </c>
      <c r="AM6" s="1129">
        <f t="shared" si="1"/>
        <v>7.8899999999994179</v>
      </c>
    </row>
    <row r="7" spans="1:41" x14ac:dyDescent="0.25">
      <c r="A7" s="1126">
        <v>44047</v>
      </c>
      <c r="B7" s="1127">
        <f>'4'!G72</f>
        <v>83</v>
      </c>
      <c r="C7" s="1127">
        <f>'4'!$G$73</f>
        <v>0</v>
      </c>
      <c r="D7" s="1127">
        <f>'4'!$G$74</f>
        <v>32</v>
      </c>
      <c r="E7" s="1127">
        <f>'4'!$G$74</f>
        <v>32</v>
      </c>
      <c r="F7" s="1127">
        <f>'4'!$G$76</f>
        <v>87</v>
      </c>
      <c r="G7" s="1127">
        <f>'4'!$G$77</f>
        <v>71</v>
      </c>
      <c r="H7" s="1127">
        <f>'4'!$G$78</f>
        <v>432</v>
      </c>
      <c r="I7" s="1127">
        <f>'4'!$G$79</f>
        <v>193</v>
      </c>
      <c r="J7" s="1117">
        <f>'4'!$G$80</f>
        <v>310</v>
      </c>
      <c r="K7" s="1117">
        <f>'4'!$G$81</f>
        <v>95</v>
      </c>
      <c r="L7" s="1127">
        <f>'4'!$G$82</f>
        <v>28</v>
      </c>
      <c r="M7" s="1127">
        <f>'4'!$G$58</f>
        <v>179</v>
      </c>
      <c r="N7" s="1127">
        <f>'4'!$G$83</f>
        <v>418</v>
      </c>
      <c r="O7" s="1127">
        <f>'4'!G86</f>
        <v>133</v>
      </c>
      <c r="P7" s="1127">
        <f>'4'!G87</f>
        <v>29</v>
      </c>
      <c r="Q7" s="1127">
        <f>'4'!G88</f>
        <v>75</v>
      </c>
      <c r="R7" s="1127">
        <f>'4'!G89+'4'!G90</f>
        <v>83</v>
      </c>
      <c r="S7" s="1127">
        <f>'4'!$G$62</f>
        <v>-1.0000000002037268E-3</v>
      </c>
      <c r="T7" s="1127">
        <f>'4'!$G$63</f>
        <v>14</v>
      </c>
      <c r="U7" s="1127">
        <f>'4'!$G$64</f>
        <v>419</v>
      </c>
      <c r="V7" s="1127">
        <f>'4'!$G$65</f>
        <v>371</v>
      </c>
      <c r="W7" s="1127">
        <f>'4'!$G$66</f>
        <v>396</v>
      </c>
      <c r="X7" s="1127">
        <f>'4'!$G$67</f>
        <v>701</v>
      </c>
      <c r="Y7" s="1127">
        <f>'4'!$G$68</f>
        <v>343</v>
      </c>
      <c r="Z7" s="1127">
        <f>'4'!$G$69</f>
        <v>296</v>
      </c>
      <c r="AA7" s="1127">
        <f>'4'!$G$84</f>
        <v>474</v>
      </c>
      <c r="AB7" s="1127">
        <f>'4'!$G$15</f>
        <v>796</v>
      </c>
      <c r="AC7" s="1127">
        <f>'4'!$G$123</f>
        <v>275</v>
      </c>
      <c r="AD7" s="1127">
        <f>'4'!$G$124</f>
        <v>0</v>
      </c>
      <c r="AE7" s="1127">
        <f>'4'!$G$125</f>
        <v>68</v>
      </c>
      <c r="AF7" s="1127">
        <f>'4'!$G$126</f>
        <v>32</v>
      </c>
      <c r="AG7" s="1127">
        <f>'4'!$G$127</f>
        <v>1</v>
      </c>
      <c r="AH7" s="1127">
        <f t="shared" si="0"/>
        <v>420</v>
      </c>
      <c r="AI7" s="1127">
        <f>'4'!$G$140</f>
        <v>0</v>
      </c>
      <c r="AJ7" s="1127">
        <f>'4'!$G$136</f>
        <v>5.2299999999995634</v>
      </c>
      <c r="AK7" s="1127">
        <f>'4'!$G$137</f>
        <v>2.1699999999982538</v>
      </c>
      <c r="AL7" s="1127">
        <f>'4'!$G$138</f>
        <v>0</v>
      </c>
      <c r="AM7" s="1124">
        <f t="shared" si="1"/>
        <v>7.3999999999978172</v>
      </c>
    </row>
    <row r="8" spans="1:41" x14ac:dyDescent="0.25">
      <c r="A8" s="1126">
        <v>44048</v>
      </c>
      <c r="B8" s="1127">
        <f>'5'!G72</f>
        <v>70</v>
      </c>
      <c r="C8" s="1127">
        <f>'5'!$G$73</f>
        <v>1</v>
      </c>
      <c r="D8" s="1127">
        <f>'5'!$G$74</f>
        <v>28</v>
      </c>
      <c r="E8" s="1139">
        <f>'5'!$G$75</f>
        <v>173</v>
      </c>
      <c r="F8" s="1127">
        <f>'5'!$G$76</f>
        <v>84</v>
      </c>
      <c r="G8" s="1117">
        <f>'5'!$G$77</f>
        <v>82</v>
      </c>
      <c r="H8" s="1138">
        <f>'5'!$G$78</f>
        <v>399</v>
      </c>
      <c r="I8" s="1138">
        <f>'5'!$G$79</f>
        <v>193</v>
      </c>
      <c r="J8" s="1131">
        <f>'5'!$G$80</f>
        <v>310</v>
      </c>
      <c r="K8" s="1138">
        <f>'5'!$G$81</f>
        <v>100</v>
      </c>
      <c r="L8" s="1127">
        <f>'5'!$G$82</f>
        <v>22</v>
      </c>
      <c r="M8" s="1127">
        <f>'5'!$G$58</f>
        <v>143</v>
      </c>
      <c r="N8" s="1127">
        <f>'5'!$G$83</f>
        <v>503</v>
      </c>
      <c r="O8" s="1138">
        <f>'5'!G86</f>
        <v>112</v>
      </c>
      <c r="P8" s="1127">
        <f>'5'!G87</f>
        <v>33</v>
      </c>
      <c r="Q8" s="1127">
        <f>'5'!G88</f>
        <v>64</v>
      </c>
      <c r="R8" s="1127">
        <f>'5'!G89+'5'!G90</f>
        <v>104</v>
      </c>
      <c r="S8" s="1127">
        <f>'5'!$G$62</f>
        <v>-0.18799999999828287</v>
      </c>
      <c r="T8" s="1127">
        <f>'5'!$G$63</f>
        <v>15</v>
      </c>
      <c r="U8" s="1127">
        <f>'5'!$G$64</f>
        <v>452</v>
      </c>
      <c r="V8" s="1127">
        <f>'5'!$G$65</f>
        <v>370</v>
      </c>
      <c r="W8" s="1127">
        <f>'5'!$G$66</f>
        <v>388</v>
      </c>
      <c r="X8" s="1127">
        <f>'5'!$G$67</f>
        <v>710</v>
      </c>
      <c r="Y8" s="1127">
        <f>'5'!$G$68</f>
        <v>344</v>
      </c>
      <c r="Z8" s="1127">
        <f>'5'!$G$69</f>
        <v>297</v>
      </c>
      <c r="AA8" s="1127">
        <f>'5'!$G$84</f>
        <v>467</v>
      </c>
      <c r="AB8" s="1138">
        <f>'5'!$G$15</f>
        <v>778</v>
      </c>
      <c r="AC8" s="1127">
        <f>'5'!$G$123</f>
        <v>269</v>
      </c>
      <c r="AD8" s="1127">
        <f>'5'!$G$124</f>
        <v>0</v>
      </c>
      <c r="AE8" s="1127">
        <f>'5'!$G$125</f>
        <v>77</v>
      </c>
      <c r="AF8" s="1127">
        <f>'5'!$G$126</f>
        <v>30</v>
      </c>
      <c r="AG8" s="1127">
        <f>'5'!$G$127</f>
        <v>5</v>
      </c>
      <c r="AH8" s="1127">
        <f t="shared" si="0"/>
        <v>397</v>
      </c>
      <c r="AI8" s="1127">
        <f>'5'!$G$140</f>
        <v>0</v>
      </c>
      <c r="AJ8" s="1127">
        <f>'5'!$G$136</f>
        <v>5.9900000000016007</v>
      </c>
      <c r="AK8" s="1127">
        <f>'5'!$G$137</f>
        <v>0.61000000000058208</v>
      </c>
      <c r="AL8" s="1127">
        <f>'5'!$G$138</f>
        <v>0</v>
      </c>
      <c r="AM8" s="1124">
        <f t="shared" si="1"/>
        <v>6.6000000000021828</v>
      </c>
    </row>
    <row r="9" spans="1:41" x14ac:dyDescent="0.25">
      <c r="A9" s="1126">
        <v>44049</v>
      </c>
      <c r="B9" s="1127">
        <f>'6'!G72</f>
        <v>67</v>
      </c>
      <c r="C9" s="1127">
        <f>'6'!$G$73</f>
        <v>0</v>
      </c>
      <c r="D9" s="1127">
        <f>'6'!$G$74</f>
        <v>30</v>
      </c>
      <c r="E9" s="1127">
        <f>'6'!$G$75</f>
        <v>171</v>
      </c>
      <c r="F9" s="1127">
        <f>'6'!$G$76</f>
        <v>81</v>
      </c>
      <c r="G9" s="1127">
        <f>'6'!$G$77</f>
        <v>64</v>
      </c>
      <c r="H9" s="1117">
        <f>'6'!$G$78</f>
        <v>468</v>
      </c>
      <c r="I9" s="1117">
        <f>'6'!$G$79</f>
        <v>203</v>
      </c>
      <c r="J9" s="1117">
        <f>'6'!$G$80</f>
        <v>308</v>
      </c>
      <c r="K9" s="1117">
        <f>'6'!$G$81</f>
        <v>104</v>
      </c>
      <c r="L9" s="1117">
        <f>'6'!$G$82</f>
        <v>21</v>
      </c>
      <c r="M9" s="1117">
        <f>'6'!$G$58</f>
        <v>158</v>
      </c>
      <c r="N9" s="1117">
        <f>'6'!$G$83</f>
        <v>485</v>
      </c>
      <c r="O9" s="1117">
        <f>'6'!G86</f>
        <v>159</v>
      </c>
      <c r="P9" s="1117">
        <f>'6'!G87</f>
        <v>20</v>
      </c>
      <c r="Q9" s="1117">
        <f>'6'!G88</f>
        <v>63</v>
      </c>
      <c r="R9" s="1117">
        <f>'6'!G89+'6'!G90</f>
        <v>51</v>
      </c>
      <c r="S9" s="1127">
        <f>'6'!$G$62</f>
        <v>0</v>
      </c>
      <c r="T9" s="1127">
        <f>'6'!$G$63</f>
        <v>14</v>
      </c>
      <c r="U9" s="1127">
        <f>'6'!$G$64</f>
        <v>405</v>
      </c>
      <c r="V9" s="1127">
        <f>'6'!$G$65</f>
        <v>367</v>
      </c>
      <c r="W9" s="1127">
        <f>'6'!$G$66</f>
        <v>393</v>
      </c>
      <c r="X9" s="1127">
        <f>'6'!$G$67</f>
        <v>715</v>
      </c>
      <c r="Y9" s="1127">
        <f>'6'!$G$68</f>
        <v>355</v>
      </c>
      <c r="Z9" s="1127">
        <f>'6'!$G$69</f>
        <v>280</v>
      </c>
      <c r="AA9" s="1127">
        <f>'6'!$G$84</f>
        <v>477</v>
      </c>
      <c r="AB9" s="1127">
        <f>'6'!$G$15</f>
        <v>814</v>
      </c>
      <c r="AC9" s="1166">
        <f>'6'!$G$123</f>
        <v>288</v>
      </c>
      <c r="AD9" s="1127">
        <f>'6'!$G$124</f>
        <v>0</v>
      </c>
      <c r="AE9" s="1127">
        <f>'6'!$G$125</f>
        <v>63</v>
      </c>
      <c r="AF9" s="1127">
        <f>'6'!$G$126</f>
        <v>43</v>
      </c>
      <c r="AG9" s="1127">
        <f>'6'!$G$127</f>
        <v>3</v>
      </c>
      <c r="AH9" s="1127">
        <f t="shared" si="0"/>
        <v>417</v>
      </c>
      <c r="AI9" s="1127">
        <f>'6'!$G$140</f>
        <v>0</v>
      </c>
      <c r="AJ9" s="1127">
        <f>'6'!$G$136</f>
        <v>4.7999999999992724</v>
      </c>
      <c r="AK9" s="1127">
        <f>'6'!$G$137</f>
        <v>2.25</v>
      </c>
      <c r="AL9" s="1127">
        <f>'6'!$G$138</f>
        <v>0</v>
      </c>
      <c r="AM9" s="1124">
        <f t="shared" si="1"/>
        <v>7.0499999999992724</v>
      </c>
    </row>
    <row r="10" spans="1:41" x14ac:dyDescent="0.25">
      <c r="A10" s="1126">
        <v>44050</v>
      </c>
      <c r="B10" s="1127">
        <f>'7'!G72</f>
        <v>82</v>
      </c>
      <c r="C10" s="1127">
        <f>'7'!$G$73</f>
        <v>0</v>
      </c>
      <c r="D10" s="1127">
        <f>'7'!$G$74</f>
        <v>24</v>
      </c>
      <c r="E10" s="1127">
        <f>'7'!$G$75</f>
        <v>179</v>
      </c>
      <c r="F10" s="1127">
        <f>'7'!$G$76</f>
        <v>87</v>
      </c>
      <c r="G10" s="1127">
        <f>'7'!$G$77</f>
        <v>51</v>
      </c>
      <c r="H10" s="1117">
        <f>'7'!$G$78</f>
        <v>458</v>
      </c>
      <c r="I10" s="1117">
        <f>'7'!$G$79</f>
        <v>194</v>
      </c>
      <c r="J10" s="1117">
        <f>'7'!$G$80</f>
        <v>317</v>
      </c>
      <c r="K10" s="1117">
        <f>'7'!$G$81</f>
        <v>103</v>
      </c>
      <c r="L10" s="1117">
        <f>'7'!$G$82</f>
        <v>26</v>
      </c>
      <c r="M10" s="1117">
        <f>'7'!$G$58</f>
        <v>169</v>
      </c>
      <c r="N10" s="1131">
        <f>'7'!$G$83</f>
        <v>481</v>
      </c>
      <c r="O10" s="1154">
        <f>'7'!G86</f>
        <v>114</v>
      </c>
      <c r="P10" s="1117">
        <f>'7'!G87</f>
        <v>0.5</v>
      </c>
      <c r="Q10" s="1117">
        <f>'7'!G88</f>
        <v>30</v>
      </c>
      <c r="R10" s="1117">
        <f>'7'!G89+'7'!G90</f>
        <v>49</v>
      </c>
      <c r="S10" s="1127">
        <f>'7'!$G$62</f>
        <v>0</v>
      </c>
      <c r="T10" s="1127">
        <f>'7'!$G$63</f>
        <v>14</v>
      </c>
      <c r="U10" s="1127">
        <f>'7'!$G$64</f>
        <v>374.60000000000582</v>
      </c>
      <c r="V10" s="1127">
        <f>'7'!$G$65</f>
        <v>378.66999999999825</v>
      </c>
      <c r="W10" s="1127">
        <f>'7'!$G$66</f>
        <v>409</v>
      </c>
      <c r="X10" s="1127">
        <f>'7'!$G$67</f>
        <v>727.98999999999069</v>
      </c>
      <c r="Y10" s="1131">
        <f>'7'!$G$68</f>
        <v>330</v>
      </c>
      <c r="Z10" s="1127">
        <f>'7'!$G$69</f>
        <v>310</v>
      </c>
      <c r="AA10" s="1127">
        <f>'7'!$G$84</f>
        <v>466</v>
      </c>
      <c r="AB10" s="1127">
        <f>'7'!$G$15</f>
        <v>844.44999999995343</v>
      </c>
      <c r="AC10" s="1166">
        <f>'7'!$G$123</f>
        <v>296</v>
      </c>
      <c r="AD10" s="1127">
        <f>'7'!$G$124</f>
        <v>1.3999999999941792</v>
      </c>
      <c r="AE10" s="1127">
        <f>'7'!$G$125</f>
        <v>60.970000000001164</v>
      </c>
      <c r="AF10" s="1127">
        <f>'7'!$G$126</f>
        <v>40</v>
      </c>
      <c r="AG10" s="1127">
        <f>'7'!$G$127</f>
        <v>2</v>
      </c>
      <c r="AH10" s="1127">
        <f t="shared" si="0"/>
        <v>444.07999999995809</v>
      </c>
      <c r="AI10" s="1127">
        <f>'7'!$G$140</f>
        <v>0</v>
      </c>
      <c r="AJ10" s="1127">
        <f>'7'!$G$136</f>
        <v>7.9199999999982538</v>
      </c>
      <c r="AK10" s="1127">
        <f>'7'!$G$137</f>
        <v>-2.9999999998835847E-2</v>
      </c>
      <c r="AL10" s="1127">
        <f>'7'!$G$138</f>
        <v>0</v>
      </c>
      <c r="AM10" s="1124">
        <f t="shared" si="1"/>
        <v>7.8899999999994179</v>
      </c>
    </row>
    <row r="11" spans="1:41" x14ac:dyDescent="0.25">
      <c r="A11" s="1126">
        <v>44051</v>
      </c>
      <c r="B11" s="1127">
        <f>'8'!G72</f>
        <v>67</v>
      </c>
      <c r="C11" s="1127">
        <f>'8'!$G$73</f>
        <v>0</v>
      </c>
      <c r="D11" s="1127">
        <f>'8'!$G$74</f>
        <v>23</v>
      </c>
      <c r="E11" s="1127">
        <f>'8'!$G$75</f>
        <v>178</v>
      </c>
      <c r="F11" s="1127">
        <f>'8'!$G$76</f>
        <v>95</v>
      </c>
      <c r="G11" s="1127">
        <f>'8'!$G$77</f>
        <v>49</v>
      </c>
      <c r="H11" s="1117">
        <f>'8'!$G$78</f>
        <v>413</v>
      </c>
      <c r="I11" s="1117">
        <f>'8'!$G$79</f>
        <v>170</v>
      </c>
      <c r="J11" s="1117">
        <f>'8'!$G$80</f>
        <v>264.96000000002095</v>
      </c>
      <c r="K11" s="1117">
        <f>'8'!$G$81</f>
        <v>89</v>
      </c>
      <c r="L11" s="1117">
        <f>'8'!$G$82</f>
        <v>24.80000000000291</v>
      </c>
      <c r="M11" s="1117">
        <f>'8'!$G$58</f>
        <v>201.56000000000131</v>
      </c>
      <c r="N11" s="1117">
        <f>'8'!$G$83</f>
        <v>484</v>
      </c>
      <c r="O11" s="1117">
        <f>'8'!G86</f>
        <v>131</v>
      </c>
      <c r="P11" s="1117">
        <f>'8'!G87</f>
        <v>32</v>
      </c>
      <c r="Q11" s="1117">
        <f>'8'!G88</f>
        <v>65.559999999997672</v>
      </c>
      <c r="R11" s="1117">
        <f>'8'!G89+'8'!G90</f>
        <v>68.000000000002728</v>
      </c>
      <c r="S11" s="1127">
        <f>'8'!$G$62</f>
        <v>0</v>
      </c>
      <c r="T11" s="1127">
        <f>'8'!$G$63</f>
        <v>14</v>
      </c>
      <c r="U11" s="1127">
        <f>'8'!$G$64</f>
        <v>418.39999999999418</v>
      </c>
      <c r="V11" s="1127">
        <f>'8'!$G$65</f>
        <v>388.90000000000873</v>
      </c>
      <c r="W11" s="1127">
        <f>'8'!$G$66</f>
        <v>393</v>
      </c>
      <c r="X11" s="1127">
        <f>'8'!$G$67</f>
        <v>697.54000000000815</v>
      </c>
      <c r="Y11" s="1127">
        <f>'8'!$G$68</f>
        <v>344</v>
      </c>
      <c r="Z11" s="1127">
        <f>'8'!$G$69</f>
        <v>284</v>
      </c>
      <c r="AA11" s="1127">
        <f>'8'!$G$84</f>
        <v>476</v>
      </c>
      <c r="AB11" s="1127">
        <f>'8'!$G$15</f>
        <v>816.28000000002794</v>
      </c>
      <c r="AC11" s="1127">
        <f>'8'!$G$123</f>
        <v>274.97999999998137</v>
      </c>
      <c r="AD11" s="1127">
        <f>'8'!$G$124</f>
        <v>0</v>
      </c>
      <c r="AE11" s="1127">
        <f>'8'!$G$125</f>
        <v>56.75</v>
      </c>
      <c r="AF11" s="1127">
        <f>'8'!$G$126</f>
        <v>32.30000000000291</v>
      </c>
      <c r="AG11" s="1127">
        <f>'8'!$G$127</f>
        <v>2</v>
      </c>
      <c r="AH11" s="1127">
        <f t="shared" si="0"/>
        <v>450.25000000004366</v>
      </c>
      <c r="AI11" s="1127">
        <f>'8'!$G$140</f>
        <v>0</v>
      </c>
      <c r="AJ11" s="1127">
        <f>'8'!$G$136</f>
        <v>8.6300000000010186</v>
      </c>
      <c r="AK11" s="1127">
        <f>'8'!$G$137</f>
        <v>2.9999999998835847E-2</v>
      </c>
      <c r="AL11" s="1127">
        <f>'8'!$G$138</f>
        <v>0</v>
      </c>
      <c r="AM11" s="1124">
        <f t="shared" si="1"/>
        <v>8.6599999999998545</v>
      </c>
    </row>
    <row r="12" spans="1:41" x14ac:dyDescent="0.25">
      <c r="A12" s="1126">
        <v>44052</v>
      </c>
      <c r="B12" s="1127">
        <f>'9'!G72</f>
        <v>50</v>
      </c>
      <c r="C12" s="1127">
        <f>'9'!$G$73</f>
        <v>0</v>
      </c>
      <c r="D12" s="1127">
        <f>'9'!$G$74</f>
        <v>24</v>
      </c>
      <c r="E12" s="1127">
        <f>'9'!$G$75</f>
        <v>175</v>
      </c>
      <c r="F12" s="1127">
        <f>'9'!$G$76</f>
        <v>143</v>
      </c>
      <c r="G12" s="1127">
        <f>'9'!$G$77</f>
        <v>44</v>
      </c>
      <c r="H12" s="1117">
        <f>'9'!$G$78</f>
        <v>412</v>
      </c>
      <c r="I12" s="1117">
        <f>'9'!$G$79</f>
        <v>190</v>
      </c>
      <c r="J12" s="1117">
        <f>'9'!$G$80</f>
        <v>286.03999999997905</v>
      </c>
      <c r="K12" s="1117">
        <f>'9'!$G$81</f>
        <v>102.92000000004191</v>
      </c>
      <c r="L12" s="1117">
        <f>'9'!$G$82</f>
        <v>32.020000000004075</v>
      </c>
      <c r="M12" s="1117">
        <f>'9'!$G$58</f>
        <v>100.22999999999956</v>
      </c>
      <c r="N12" s="1117">
        <f>'9'!$G$83</f>
        <v>413</v>
      </c>
      <c r="O12" s="1117">
        <f>'9'!G86</f>
        <v>134.79999999998836</v>
      </c>
      <c r="P12" s="1117">
        <f>'9'!G87</f>
        <v>35.80000000000291</v>
      </c>
      <c r="Q12" s="1117">
        <f>'9'!G88</f>
        <v>50.440000000002328</v>
      </c>
      <c r="R12" s="1117">
        <f>'9'!G89+'9'!H90</f>
        <v>65</v>
      </c>
      <c r="S12" s="1127">
        <f>'9'!$G$62</f>
        <v>0</v>
      </c>
      <c r="T12" s="1127">
        <f>'9'!$G$63</f>
        <v>13.25</v>
      </c>
      <c r="U12" s="1127">
        <f>'9'!$G$64</f>
        <v>406</v>
      </c>
      <c r="V12" s="1138">
        <f>'9'!$G$65</f>
        <v>377.30999999999767</v>
      </c>
      <c r="W12" s="1138">
        <f>'9'!$G$66</f>
        <v>378</v>
      </c>
      <c r="X12" s="1127">
        <f>'9'!$G$67</f>
        <v>693.47000000000116</v>
      </c>
      <c r="Y12" s="1127">
        <f>'9'!$G$68</f>
        <v>343</v>
      </c>
      <c r="Z12" s="1127">
        <f>'9'!$G$69</f>
        <v>276</v>
      </c>
      <c r="AA12" s="1127">
        <f>'9'!$G$84</f>
        <v>482</v>
      </c>
      <c r="AB12" s="1127">
        <f>'9'!$G$15</f>
        <v>637.05000000004657</v>
      </c>
      <c r="AC12" s="1127">
        <f>'9'!$G$123</f>
        <v>310.02000000001863</v>
      </c>
      <c r="AD12" s="1127">
        <f>'9'!$G$124</f>
        <v>0</v>
      </c>
      <c r="AE12" s="1127">
        <f>'9'!$G$125</f>
        <v>47.85999999998603</v>
      </c>
      <c r="AF12" s="1127">
        <f>'9'!$G$126</f>
        <v>31.69999999999709</v>
      </c>
      <c r="AG12" s="1127">
        <f>'9'!$G$127</f>
        <v>1.7999999999992724</v>
      </c>
      <c r="AH12" s="1127">
        <f t="shared" si="0"/>
        <v>245.67000000004555</v>
      </c>
      <c r="AI12" s="1127">
        <f>'9'!$G$140</f>
        <v>0</v>
      </c>
      <c r="AJ12" s="1127">
        <f>'9'!$G$136</f>
        <v>0.25</v>
      </c>
      <c r="AK12" s="1127">
        <f>'9'!$G$137</f>
        <v>-2.9999999998835847E-2</v>
      </c>
      <c r="AL12" s="1127">
        <f>'9'!$G$138</f>
        <v>9.0800000000017462</v>
      </c>
      <c r="AM12" s="1124">
        <f t="shared" si="1"/>
        <v>9.3000000000029104</v>
      </c>
    </row>
    <row r="13" spans="1:41" x14ac:dyDescent="0.25">
      <c r="A13" s="1126">
        <v>44053</v>
      </c>
      <c r="B13" s="1127">
        <f>'10'!G72</f>
        <v>44</v>
      </c>
      <c r="C13" s="1127">
        <f>'10'!$G$73</f>
        <v>0</v>
      </c>
      <c r="D13" s="1127">
        <f>'10'!$G$74</f>
        <v>15.209999999999999</v>
      </c>
      <c r="E13" s="1127">
        <f>'10'!$G$75</f>
        <v>183.85</v>
      </c>
      <c r="F13" s="1127">
        <f>'10'!$G$76</f>
        <v>80.050000000000011</v>
      </c>
      <c r="G13" s="1127">
        <f>'10'!$G$77</f>
        <v>48</v>
      </c>
      <c r="H13" s="1117">
        <f>'10'!$G$78</f>
        <v>433</v>
      </c>
      <c r="I13" s="1117">
        <f>'10'!$G$79</f>
        <v>185</v>
      </c>
      <c r="J13" s="1132">
        <f>'10'!$G$80</f>
        <v>284.76000000000931</v>
      </c>
      <c r="K13" s="1132">
        <f>'10'!$G$81</f>
        <v>103.07999999995809</v>
      </c>
      <c r="L13" s="1117">
        <f>'10'!$G$82</f>
        <v>25.159999999988941</v>
      </c>
      <c r="M13" s="1117">
        <f>'10'!$G$58</f>
        <v>197.62999999999738</v>
      </c>
      <c r="N13" s="1117">
        <f>'10'!$G$83</f>
        <v>262</v>
      </c>
      <c r="O13" s="1117">
        <f>'10'!G86</f>
        <v>147.20000000001164</v>
      </c>
      <c r="P13" s="1117">
        <f>'10'!G87</f>
        <v>36.099999999991269</v>
      </c>
      <c r="Q13" s="1117">
        <f>'10'!G88</f>
        <v>83</v>
      </c>
      <c r="R13" s="1117">
        <f>'10'!G87+'10'!H90</f>
        <v>49.799999999991087</v>
      </c>
      <c r="S13" s="1127">
        <f>'10'!$G$62</f>
        <v>0</v>
      </c>
      <c r="T13" s="1127">
        <f>'10'!$G$63</f>
        <v>12.450000000000045</v>
      </c>
      <c r="U13" s="1127">
        <f>'10'!$G$64</f>
        <v>440.7100000000064</v>
      </c>
      <c r="V13" s="1127">
        <f>'10'!$G$65</f>
        <v>374.11999999999534</v>
      </c>
      <c r="W13" s="1127">
        <f>'10'!$G$66</f>
        <v>374</v>
      </c>
      <c r="X13" s="1127">
        <f>'10'!$G$67</f>
        <v>725</v>
      </c>
      <c r="Y13" s="1127">
        <f>'10'!$G$68</f>
        <v>345</v>
      </c>
      <c r="Z13" s="1127">
        <f>'10'!$G$69</f>
        <v>295.80000000000291</v>
      </c>
      <c r="AA13" s="1127">
        <f>'10'!$G$84</f>
        <v>496</v>
      </c>
      <c r="AB13" s="1127">
        <f>'10'!$G$15</f>
        <v>899.0999999998603</v>
      </c>
      <c r="AC13" s="1127">
        <f>'10'!$G$123</f>
        <v>286</v>
      </c>
      <c r="AD13" s="1127">
        <f>'10'!$G$124</f>
        <v>0</v>
      </c>
      <c r="AE13" s="1127">
        <f>'10'!$G$125</f>
        <v>78.260000000009313</v>
      </c>
      <c r="AF13" s="1127">
        <f>'10'!$G$126</f>
        <v>32</v>
      </c>
      <c r="AG13" s="1127">
        <f>'10'!$G$127</f>
        <v>1.2000000000007276</v>
      </c>
      <c r="AH13" s="1127">
        <f t="shared" si="0"/>
        <v>501.63999999985026</v>
      </c>
      <c r="AI13" s="1127">
        <f>'10'!$G$140</f>
        <v>0</v>
      </c>
      <c r="AJ13" s="1127">
        <f>'10'!$G$136</f>
        <v>8.6199999999989814</v>
      </c>
      <c r="AK13" s="1127">
        <f>'10'!$G$137</f>
        <v>0</v>
      </c>
      <c r="AL13" s="1127">
        <f>'10'!$G$138</f>
        <v>2.0299999999988358</v>
      </c>
      <c r="AM13" s="1124">
        <f t="shared" si="1"/>
        <v>10.649999999997817</v>
      </c>
    </row>
    <row r="14" spans="1:41" x14ac:dyDescent="0.25">
      <c r="A14" s="1126">
        <v>44054</v>
      </c>
      <c r="B14" s="1127">
        <f>'11'!G72</f>
        <v>50</v>
      </c>
      <c r="C14" s="1127">
        <f>'11'!$G$73</f>
        <v>1</v>
      </c>
      <c r="D14" s="1127">
        <f>'11'!$G$74</f>
        <v>15.119999999999997</v>
      </c>
      <c r="E14" s="1127">
        <f>'11'!$G$75</f>
        <v>171.48000000000002</v>
      </c>
      <c r="F14" s="1127">
        <f>'11'!$G$76</f>
        <v>60.669999999999987</v>
      </c>
      <c r="G14" s="1127">
        <f>'11'!$G$77</f>
        <v>58</v>
      </c>
      <c r="H14" s="1117">
        <f>'11'!$G$78</f>
        <v>434</v>
      </c>
      <c r="I14" s="1117">
        <f>'11'!$G$79</f>
        <v>186</v>
      </c>
      <c r="J14" s="1117">
        <f>'11'!$G$80</f>
        <v>318.15999999997439</v>
      </c>
      <c r="K14" s="1117">
        <f>'11'!$G$81</f>
        <v>122.52000000001863</v>
      </c>
      <c r="L14" s="1117">
        <f>'11'!$G$82</f>
        <v>23.480000000010477</v>
      </c>
      <c r="M14" s="1117">
        <f>'11'!$G$58</f>
        <v>167.58000000000175</v>
      </c>
      <c r="N14" s="1117">
        <f>'11'!$G$83</f>
        <v>306</v>
      </c>
      <c r="O14" s="1117">
        <f>'11'!G86</f>
        <v>114.88000000000466</v>
      </c>
      <c r="P14" s="1117">
        <f>'11'!G87</f>
        <v>30.900000000008731</v>
      </c>
      <c r="Q14" s="1117">
        <f>'11'!G88</f>
        <v>67.700000000011642</v>
      </c>
      <c r="R14" s="1117">
        <f>'11'!G87+'11'!H90</f>
        <v>34.600000000009004</v>
      </c>
      <c r="S14" s="1127">
        <f>'11'!$G$62</f>
        <v>0</v>
      </c>
      <c r="T14" s="1127">
        <f>'11'!$G$63</f>
        <v>12.299999999999955</v>
      </c>
      <c r="U14" s="1127">
        <f>'11'!$G$64</f>
        <v>394.2899999999936</v>
      </c>
      <c r="V14" s="1127">
        <f>'11'!$G$65</f>
        <v>370</v>
      </c>
      <c r="W14" s="1127">
        <f>'11'!$G$66</f>
        <v>381</v>
      </c>
      <c r="X14" s="1127">
        <f>'11'!$G$67</f>
        <v>708</v>
      </c>
      <c r="Y14" s="1127">
        <f>'11'!$G$68</f>
        <v>322</v>
      </c>
      <c r="Z14" s="1127">
        <f>'11'!$G$69</f>
        <v>312.19999999999709</v>
      </c>
      <c r="AA14" s="1127">
        <f>'11'!$G$84</f>
        <v>447</v>
      </c>
      <c r="AB14" s="1127">
        <f>'11'!$G$15</f>
        <v>887.12000000011176</v>
      </c>
      <c r="AC14" s="1127">
        <f>'11'!$G$123</f>
        <v>302.85999999998603</v>
      </c>
      <c r="AD14" s="1127">
        <f>'11'!$G$124</f>
        <v>0</v>
      </c>
      <c r="AE14" s="1127">
        <f>'11'!$G$125</f>
        <v>65.019999999989523</v>
      </c>
      <c r="AF14" s="1127">
        <f>'11'!$G$126</f>
        <v>38.80000000000291</v>
      </c>
      <c r="AG14" s="1127">
        <f>'11'!$G$127</f>
        <v>0</v>
      </c>
      <c r="AH14" s="1127">
        <f t="shared" si="0"/>
        <v>480.4400000001333</v>
      </c>
      <c r="AI14" s="1127">
        <f>'11'!$G$140</f>
        <v>0</v>
      </c>
      <c r="AJ14" s="1127">
        <f>'11'!$G$136</f>
        <v>7.8400000000001455</v>
      </c>
      <c r="AK14" s="1127">
        <f>'11'!$G$137</f>
        <v>0</v>
      </c>
      <c r="AL14" s="1127">
        <f>'11'!$G$138</f>
        <v>3</v>
      </c>
      <c r="AM14" s="1124">
        <f t="shared" si="1"/>
        <v>10.840000000000146</v>
      </c>
    </row>
    <row r="15" spans="1:41" x14ac:dyDescent="0.25">
      <c r="A15" s="1126">
        <v>44055</v>
      </c>
      <c r="B15" s="1127">
        <f>'12'!G72</f>
        <v>100</v>
      </c>
      <c r="C15" s="1127">
        <f>'12'!$G$73</f>
        <v>3</v>
      </c>
      <c r="D15" s="1127">
        <f>'12'!$G$74</f>
        <v>14.780000000000001</v>
      </c>
      <c r="E15" s="1127">
        <f>'12'!$G$75</f>
        <v>182.45</v>
      </c>
      <c r="F15" s="1127">
        <f>'12'!$G$76</f>
        <v>81.20999999999998</v>
      </c>
      <c r="G15" s="1127">
        <f>'12'!$G$77</f>
        <v>54</v>
      </c>
      <c r="H15" s="1117">
        <f>'12'!$G$78</f>
        <v>368</v>
      </c>
      <c r="I15" s="1117">
        <f>'12'!$G$79</f>
        <v>174</v>
      </c>
      <c r="J15" s="1117">
        <f>'12'!$G$80</f>
        <v>295.52000000001863</v>
      </c>
      <c r="K15" s="1117">
        <f>'12'!$G$81</f>
        <v>103.91999999992549</v>
      </c>
      <c r="L15" s="1117">
        <f>'12'!$G$82</f>
        <v>23.229999999995925</v>
      </c>
      <c r="M15" s="1117">
        <f>'12'!$G$58</f>
        <v>180.08000000000175</v>
      </c>
      <c r="N15" s="1117">
        <f>'12'!$G$83</f>
        <v>303</v>
      </c>
      <c r="O15" s="1117">
        <f>'12'!G86</f>
        <v>119.03999999997905</v>
      </c>
      <c r="P15" s="1117">
        <f>'12'!G87</f>
        <v>27.30000000000291</v>
      </c>
      <c r="Q15" s="1117">
        <f>'12'!G88</f>
        <v>75.459999999991851</v>
      </c>
      <c r="R15" s="1117">
        <f>'12'!G87+'12'!H90</f>
        <v>32.000000000002728</v>
      </c>
      <c r="S15" s="1127">
        <f>'12'!$G$62</f>
        <v>0</v>
      </c>
      <c r="T15" s="1127">
        <f>'12'!$G$63</f>
        <v>7.8699999999998909</v>
      </c>
      <c r="U15" s="1127">
        <f>'12'!$G$64</f>
        <v>424.58999999999651</v>
      </c>
      <c r="V15" s="1127">
        <f>'12'!$G$65</f>
        <v>376.19999999999709</v>
      </c>
      <c r="W15" s="1127">
        <f>'12'!$G$66</f>
        <v>359.14500000000044</v>
      </c>
      <c r="X15" s="1127">
        <f>'12'!$G$67</f>
        <v>665.70999999999185</v>
      </c>
      <c r="Y15" s="1127">
        <f>'12'!$G$68</f>
        <v>349.86000000000058</v>
      </c>
      <c r="Z15" s="1127">
        <f>'12'!$G$69</f>
        <v>306.55000000000291</v>
      </c>
      <c r="AA15" s="1127">
        <f>'12'!$G$84</f>
        <v>348</v>
      </c>
      <c r="AB15" s="1127">
        <f>'12'!$G$15</f>
        <v>914.91800000006333</v>
      </c>
      <c r="AC15" s="1166">
        <f>'12'!$G$123</f>
        <v>274.02000000001863</v>
      </c>
      <c r="AD15" s="1127">
        <f>'12'!$G$124</f>
        <v>0</v>
      </c>
      <c r="AE15" s="1155">
        <f>'12'!$G$125</f>
        <v>78.14000000001397</v>
      </c>
      <c r="AF15" s="1127">
        <f>'12'!$G$126</f>
        <v>37.69999999999709</v>
      </c>
      <c r="AG15" s="1127">
        <f>'12'!$G$127</f>
        <v>3.3999999999996362</v>
      </c>
      <c r="AH15" s="1127">
        <f t="shared" si="0"/>
        <v>521.65800000003401</v>
      </c>
      <c r="AI15" s="1127">
        <f>'12'!$G$140</f>
        <v>-0.47000000000025466</v>
      </c>
      <c r="AJ15" s="1127">
        <f>'12'!$G$136</f>
        <v>8.8600000000005821</v>
      </c>
      <c r="AK15" s="1127">
        <f>'12'!$G$137</f>
        <v>2.9999999998835847E-2</v>
      </c>
      <c r="AL15" s="1127">
        <f>'12'!$G$138</f>
        <v>5.5200000000040745</v>
      </c>
      <c r="AM15" s="1124">
        <f t="shared" si="1"/>
        <v>14.410000000003492</v>
      </c>
      <c r="AO15" s="1133">
        <f>AC15-AE15</f>
        <v>195.88000000000466</v>
      </c>
    </row>
    <row r="16" spans="1:41" x14ac:dyDescent="0.25">
      <c r="A16" s="1126">
        <v>44056</v>
      </c>
      <c r="B16" s="1127">
        <f>'13'!G72</f>
        <v>87</v>
      </c>
      <c r="C16" s="1127">
        <f>'13'!$G$73</f>
        <v>3</v>
      </c>
      <c r="D16" s="1127">
        <f>'13'!$G$74</f>
        <v>23.934999999999995</v>
      </c>
      <c r="E16" s="1127">
        <f>'13'!$G$75</f>
        <v>190.29999999999995</v>
      </c>
      <c r="F16" s="1127">
        <f>'13'!$G$76</f>
        <v>81.100000000000023</v>
      </c>
      <c r="G16" s="1127">
        <f>'13'!$G$77</f>
        <v>55</v>
      </c>
      <c r="H16" s="1117">
        <f>'13'!$G$78</f>
        <v>416</v>
      </c>
      <c r="I16" s="1117">
        <f>'13'!$G$79</f>
        <v>215</v>
      </c>
      <c r="J16" s="1117">
        <f>'13'!$G$80</f>
        <v>314.23999999999069</v>
      </c>
      <c r="K16" s="1117">
        <f>'13'!$G$81</f>
        <v>127.68000000005122</v>
      </c>
      <c r="L16" s="1117">
        <f>'13'!$G$82</f>
        <v>27.330000000001746</v>
      </c>
      <c r="M16" s="1117">
        <f>'13'!$G$58</f>
        <v>193.88999999999942</v>
      </c>
      <c r="N16" s="1117">
        <f>'13'!$G$83</f>
        <v>561</v>
      </c>
      <c r="O16" s="1117">
        <f>'13'!G86</f>
        <v>107.52000000001863</v>
      </c>
      <c r="P16" s="1117">
        <f>'13'!G87</f>
        <v>25.399999999994179</v>
      </c>
      <c r="Q16" s="1117">
        <f>'13'!G88</f>
        <v>75.829999999987194</v>
      </c>
      <c r="R16" s="1117">
        <f>'13'!G87+'13'!H90</f>
        <v>26.399999999994179</v>
      </c>
      <c r="S16" s="1127">
        <f>'13'!$G$62</f>
        <v>0.18000000000029104</v>
      </c>
      <c r="T16" s="1127">
        <f>'13'!$G$63</f>
        <v>13.380000000000109</v>
      </c>
      <c r="U16" s="1127">
        <f>'13'!$G$64</f>
        <v>400.85000000000582</v>
      </c>
      <c r="V16" s="1127">
        <f>'13'!$G$65</f>
        <v>392.63999999999942</v>
      </c>
      <c r="W16" s="1127">
        <f>'13'!$G$66</f>
        <v>399.95799999999872</v>
      </c>
      <c r="X16" s="1127">
        <f>'13'!$G$67</f>
        <v>714.61999999999534</v>
      </c>
      <c r="Y16" s="1127">
        <f>'13'!$G$68</f>
        <v>366.91000000000349</v>
      </c>
      <c r="Z16" s="1127">
        <f>'13'!$G$69</f>
        <v>319.48999999999796</v>
      </c>
      <c r="AA16" s="1127">
        <f>'13'!$G$84</f>
        <v>512</v>
      </c>
      <c r="AB16" s="1127">
        <f>'13'!$G$15</f>
        <v>1043.6699999999255</v>
      </c>
      <c r="AC16" s="1166">
        <f>'13'!$G$123</f>
        <v>293.52000000001863</v>
      </c>
      <c r="AD16" s="1127">
        <f>'13'!$G$124</f>
        <v>0</v>
      </c>
      <c r="AE16" s="1127">
        <f>'13'!$G$125</f>
        <v>99.25</v>
      </c>
      <c r="AF16" s="1127">
        <f>'13'!$G$126</f>
        <v>48.80000000000291</v>
      </c>
      <c r="AG16" s="1127">
        <f>'13'!$G$127</f>
        <v>4.8999999999996362</v>
      </c>
      <c r="AH16" s="1127">
        <f t="shared" si="0"/>
        <v>597.19999999990432</v>
      </c>
      <c r="AI16" s="1127">
        <f>'13'!$G$140</f>
        <v>0</v>
      </c>
      <c r="AJ16" s="1127">
        <f>'13'!$G$136</f>
        <v>9.2999999999992724</v>
      </c>
      <c r="AK16" s="1127">
        <f>'13'!$G$137</f>
        <v>0</v>
      </c>
      <c r="AL16" s="1127">
        <f>'13'!$G$138</f>
        <v>2.9700000000011642</v>
      </c>
      <c r="AM16" s="1124">
        <f t="shared" si="1"/>
        <v>12.270000000000437</v>
      </c>
      <c r="AO16" s="1133">
        <f t="shared" ref="AO16:AO34" si="2">AC16-AH16</f>
        <v>-303.67999999988569</v>
      </c>
    </row>
    <row r="17" spans="1:41" x14ac:dyDescent="0.25">
      <c r="A17" s="1126">
        <v>44057</v>
      </c>
      <c r="B17" s="1127">
        <f>'14'!G72</f>
        <v>103</v>
      </c>
      <c r="C17" s="1127">
        <f>'14'!$G$73</f>
        <v>1</v>
      </c>
      <c r="D17" s="1127">
        <f>'14'!$G$74</f>
        <v>61.495000000000005</v>
      </c>
      <c r="E17" s="1127">
        <f>'14'!$G$75</f>
        <v>207.68000000000006</v>
      </c>
      <c r="F17" s="1127">
        <f>'14'!$G$76</f>
        <v>90.509999999999991</v>
      </c>
      <c r="G17" s="1127">
        <f>'14'!$G$77</f>
        <v>54</v>
      </c>
      <c r="H17" s="1117">
        <f>'14'!$G$78</f>
        <v>454</v>
      </c>
      <c r="I17" s="1117">
        <f>'14'!$G$79</f>
        <v>192</v>
      </c>
      <c r="J17" s="1117">
        <f>'14'!$G$80</f>
        <v>386.88000000000466</v>
      </c>
      <c r="K17" s="1117">
        <f>'14'!$G$81</f>
        <v>135.19999999995343</v>
      </c>
      <c r="L17" s="1117">
        <f>'14'!$G$82</f>
        <v>26.929999999993015</v>
      </c>
      <c r="M17" s="1117">
        <f>'14'!$G$58</f>
        <v>225.36999999999534</v>
      </c>
      <c r="N17" s="1117">
        <f>'14'!$G$83</f>
        <v>490</v>
      </c>
      <c r="O17" s="1117">
        <f>'14'!G86</f>
        <v>22</v>
      </c>
      <c r="P17" s="1117">
        <f>'14'!G87</f>
        <v>10.5</v>
      </c>
      <c r="Q17" s="1117">
        <f>'14'!G88</f>
        <v>41.820000000006985</v>
      </c>
      <c r="R17" s="1117">
        <f>'14'!G87+'14'!H90</f>
        <v>11.5</v>
      </c>
      <c r="S17" s="1127">
        <f>'14'!$G$62</f>
        <v>0</v>
      </c>
      <c r="T17" s="1127">
        <f>'14'!$G$63</f>
        <v>13.230000000000018</v>
      </c>
      <c r="U17" s="1127">
        <f>'14'!$G$64</f>
        <v>391.25999999999476</v>
      </c>
      <c r="V17" s="1127">
        <f>'14'!$G$65</f>
        <v>404.08999999999651</v>
      </c>
      <c r="W17" s="1127">
        <f>'14'!$G$66</f>
        <v>402.83699999999953</v>
      </c>
      <c r="X17" s="1127">
        <f>'14'!$G$67</f>
        <v>738.36000000001513</v>
      </c>
      <c r="Y17" s="1127">
        <f>'14'!$G$68</f>
        <v>357.76699999999255</v>
      </c>
      <c r="Z17" s="1127">
        <f>'14'!$G$69</f>
        <v>312.34999999999854</v>
      </c>
      <c r="AA17" s="1127">
        <f>'14'!$G$84</f>
        <v>498</v>
      </c>
      <c r="AB17" s="1127">
        <f>'14'!$G$15</f>
        <v>1135.4930000000168</v>
      </c>
      <c r="AC17" s="1127">
        <f>'14'!$G$123</f>
        <v>307.53000000002794</v>
      </c>
      <c r="AD17" s="1127">
        <f>'14'!$G$124</f>
        <v>0</v>
      </c>
      <c r="AE17" s="1127">
        <f>'14'!$G$125</f>
        <v>112.33999999999651</v>
      </c>
      <c r="AF17" s="1127">
        <f>'14'!$G$126</f>
        <v>52.099999999998545</v>
      </c>
      <c r="AG17" s="1127">
        <f>'14'!$G$127</f>
        <v>8.5</v>
      </c>
      <c r="AH17" s="1127">
        <f t="shared" si="0"/>
        <v>655.02299999999377</v>
      </c>
      <c r="AI17" s="1127">
        <f>'14'!$G$140</f>
        <v>0</v>
      </c>
      <c r="AJ17" s="1127">
        <f>'14'!$G$136</f>
        <v>9.9700000000011642</v>
      </c>
      <c r="AK17" s="1127">
        <f>'14'!$G$137</f>
        <v>0</v>
      </c>
      <c r="AL17" s="1127">
        <f>'14'!$G$138</f>
        <v>7.4099999999889405</v>
      </c>
      <c r="AM17" s="1124">
        <f t="shared" si="1"/>
        <v>17.379999999990105</v>
      </c>
      <c r="AO17" s="1133">
        <f>AC17-AH17</f>
        <v>-347.49299999996583</v>
      </c>
    </row>
    <row r="18" spans="1:41" x14ac:dyDescent="0.25">
      <c r="A18" s="1126">
        <v>44058</v>
      </c>
      <c r="B18" s="1127">
        <f>'15'!G72</f>
        <v>93</v>
      </c>
      <c r="C18" s="1127">
        <f>'15'!$G$73</f>
        <v>1</v>
      </c>
      <c r="D18" s="1127">
        <f>'15'!$G$74</f>
        <v>63.379999999999995</v>
      </c>
      <c r="E18" s="1127">
        <f>'15'!$G$75</f>
        <v>209.36</v>
      </c>
      <c r="F18" s="1127">
        <f>'15'!$G$76</f>
        <v>79.009999999999991</v>
      </c>
      <c r="G18" s="1127">
        <f>'15'!$G$77</f>
        <v>54</v>
      </c>
      <c r="H18" s="1117">
        <f>'15'!$G$78</f>
        <v>401</v>
      </c>
      <c r="I18" s="1117">
        <f>'15'!$G$79</f>
        <v>211</v>
      </c>
      <c r="J18" s="1117">
        <f>'15'!$G$80</f>
        <v>412.96000000002095</v>
      </c>
      <c r="K18" s="1117">
        <f>'15'!$G$81</f>
        <v>139.72000000008848</v>
      </c>
      <c r="L18" s="1117">
        <f>'15'!$G$82</f>
        <v>28.059999999997672</v>
      </c>
      <c r="M18" s="1117">
        <f>'15'!$G$58</f>
        <v>286.33000000000175</v>
      </c>
      <c r="N18" s="1117">
        <f>'15'!$G$83</f>
        <v>538</v>
      </c>
      <c r="O18" s="1117">
        <f>'15'!G86</f>
        <v>104.40000000002328</v>
      </c>
      <c r="P18" s="1117">
        <f>'15'!G87</f>
        <v>34.30000000000291</v>
      </c>
      <c r="Q18" s="1117">
        <f>'15'!G88</f>
        <v>77.080000000016298</v>
      </c>
      <c r="R18" s="1117">
        <f>'15'!G87+'15'!H90</f>
        <v>38.30000000000291</v>
      </c>
      <c r="S18" s="1127">
        <f>'15'!$G$62</f>
        <v>0</v>
      </c>
      <c r="T18" s="1127">
        <f>'15'!$G$63</f>
        <v>12.220000000000027</v>
      </c>
      <c r="U18" s="1127">
        <f>'15'!$G$64</f>
        <v>426.88000000000466</v>
      </c>
      <c r="V18" s="1127">
        <f>'15'!$G$65</f>
        <v>404.42000000001281</v>
      </c>
      <c r="W18" s="1127">
        <f>'15'!$G$66</f>
        <v>400.69000000000233</v>
      </c>
      <c r="X18" s="1127">
        <f>'15'!$G$67</f>
        <v>714.48000000001048</v>
      </c>
      <c r="Y18" s="1127">
        <f>'15'!$G$68</f>
        <v>337.84300000000803</v>
      </c>
      <c r="Z18" s="1127">
        <f>'15'!$G$69</f>
        <v>305.81999999999971</v>
      </c>
      <c r="AA18" s="1127">
        <f>'15'!$G$84</f>
        <v>536</v>
      </c>
      <c r="AB18" s="1127">
        <f>'15'!$G$15</f>
        <v>1235.2890000001062</v>
      </c>
      <c r="AC18" s="1127">
        <f>'15'!$G$123</f>
        <v>276.40999999991618</v>
      </c>
      <c r="AD18" s="1127">
        <f>'15'!$G$124</f>
        <v>0</v>
      </c>
      <c r="AE18" s="1127">
        <f>'15'!$G$125</f>
        <v>135.35000000000582</v>
      </c>
      <c r="AF18" s="1127">
        <f>'15'!$G$126</f>
        <v>41.5</v>
      </c>
      <c r="AG18" s="1127">
        <f>'15'!$G$127</f>
        <v>5.5</v>
      </c>
      <c r="AH18" s="1127">
        <f t="shared" si="0"/>
        <v>776.52900000018417</v>
      </c>
      <c r="AI18" s="1127">
        <f>'15'!$G$140</f>
        <v>0</v>
      </c>
      <c r="AJ18" s="1127">
        <f>'15'!$G$136</f>
        <v>10.5</v>
      </c>
      <c r="AK18" s="1127">
        <f>'15'!$G$137</f>
        <v>4.2600000000020373</v>
      </c>
      <c r="AL18" s="1127">
        <f>'15'!$G$138</f>
        <v>0.69000000000232831</v>
      </c>
      <c r="AM18" s="1124">
        <f t="shared" si="1"/>
        <v>15.450000000004366</v>
      </c>
      <c r="AO18" s="1133">
        <f t="shared" si="2"/>
        <v>-500.11900000026799</v>
      </c>
    </row>
    <row r="19" spans="1:41" x14ac:dyDescent="0.25">
      <c r="A19" s="1126">
        <v>44059</v>
      </c>
      <c r="B19" s="1127">
        <f>'16'!G72</f>
        <v>96</v>
      </c>
      <c r="C19" s="1127">
        <f>'16'!$G$73</f>
        <v>1</v>
      </c>
      <c r="D19" s="1127">
        <f>'16'!$G$74</f>
        <v>49.52000000000001</v>
      </c>
      <c r="E19" s="1127">
        <f>'16'!$G$75</f>
        <v>202.6099999999999</v>
      </c>
      <c r="F19" s="1127">
        <f>'16'!$G$76</f>
        <v>72.600000000000023</v>
      </c>
      <c r="G19" s="1127">
        <f>'16'!$G$77</f>
        <v>54</v>
      </c>
      <c r="H19" s="1117">
        <f>'16'!$G$78</f>
        <v>383</v>
      </c>
      <c r="I19" s="1117">
        <f>'16'!$G$79</f>
        <v>212</v>
      </c>
      <c r="J19" s="1117">
        <f>'16'!$G$80</f>
        <v>391.47999999998137</v>
      </c>
      <c r="K19" s="1117">
        <f>'16'!$G$81</f>
        <v>120.95999999996275</v>
      </c>
      <c r="L19" s="1117">
        <f>'16'!$G$82</f>
        <v>26.430000000007567</v>
      </c>
      <c r="M19" s="1117">
        <f>'16'!$G$58</f>
        <v>210.52999999999884</v>
      </c>
      <c r="N19" s="1117">
        <f>'16'!$G$83</f>
        <v>497</v>
      </c>
      <c r="O19" s="1117">
        <f>'16'!G86</f>
        <v>108.19999999995343</v>
      </c>
      <c r="P19" s="1117">
        <f>'16'!G87</f>
        <v>20.19999999999709</v>
      </c>
      <c r="Q19" s="1117">
        <f>'16'!G88</f>
        <v>80.019999999989523</v>
      </c>
      <c r="R19" s="1117">
        <f>'16'!G87+'16'!H90</f>
        <v>24.999999999997272</v>
      </c>
      <c r="S19" s="1127">
        <f>'16'!$G$62</f>
        <v>0</v>
      </c>
      <c r="T19" s="1127">
        <f>'16'!$G$63</f>
        <v>11.930000000000064</v>
      </c>
      <c r="U19" s="1127">
        <f>'16'!$G$64</f>
        <v>432.27000000000407</v>
      </c>
      <c r="V19" s="1127">
        <f>'16'!$G$65</f>
        <v>401.56999999999243</v>
      </c>
      <c r="W19" s="1127">
        <f>'16'!$G$66</f>
        <v>409.7599999999984</v>
      </c>
      <c r="X19" s="1127">
        <f>'16'!$G$67</f>
        <v>678.07999999998719</v>
      </c>
      <c r="Y19" s="1127">
        <f>'16'!$G$68</f>
        <v>314.79999999998836</v>
      </c>
      <c r="Z19" s="1127">
        <f>'16'!$G$69</f>
        <v>302.34999999999854</v>
      </c>
      <c r="AA19" s="1127">
        <f>'16'!$G$84</f>
        <v>659</v>
      </c>
      <c r="AB19" s="1127">
        <f>'16'!$G$15</f>
        <v>1012.5699999998324</v>
      </c>
      <c r="AC19" s="1166">
        <f>'16'!$G$123</f>
        <v>274.44000000006054</v>
      </c>
      <c r="AD19" s="1127">
        <f>'16'!$G$124</f>
        <v>0</v>
      </c>
      <c r="AE19" s="1127">
        <f>'16'!$G$125</f>
        <v>87.940000000002328</v>
      </c>
      <c r="AF19" s="1127">
        <f>'16'!$G$126</f>
        <v>24.799999999995634</v>
      </c>
      <c r="AG19" s="1127">
        <f>'16'!$G$127</f>
        <v>2.1000000000003638</v>
      </c>
      <c r="AH19" s="1127">
        <f t="shared" si="0"/>
        <v>623.2899999997735</v>
      </c>
      <c r="AI19" s="1127">
        <f>'16'!$G$140</f>
        <v>0</v>
      </c>
      <c r="AJ19" s="1127">
        <f>'16'!$G$136</f>
        <v>10.340000000000146</v>
      </c>
      <c r="AK19" s="1127">
        <f>'16'!$G$137</f>
        <v>0</v>
      </c>
      <c r="AL19" s="1127">
        <f>'16'!$G$138</f>
        <v>4.5899999999965075</v>
      </c>
      <c r="AM19" s="1124">
        <f t="shared" si="1"/>
        <v>14.929999999996653</v>
      </c>
      <c r="AO19" s="1133">
        <f t="shared" si="2"/>
        <v>-348.84999999971296</v>
      </c>
    </row>
    <row r="20" spans="1:41" x14ac:dyDescent="0.25">
      <c r="A20" s="1126">
        <v>44060</v>
      </c>
      <c r="B20" s="1127">
        <f>'18'!G72</f>
        <v>65</v>
      </c>
      <c r="C20" s="1127">
        <f>'17'!$G$73</f>
        <v>0</v>
      </c>
      <c r="D20" s="1127">
        <f>'17'!$G$74</f>
        <v>52.419999999999987</v>
      </c>
      <c r="E20" s="1127">
        <f>'17'!$G$75</f>
        <v>190.22000000000003</v>
      </c>
      <c r="F20" s="1127">
        <f>'17'!$G$76</f>
        <v>77.5</v>
      </c>
      <c r="G20" s="1127">
        <f>'17'!$G$77</f>
        <v>54</v>
      </c>
      <c r="H20" s="1117">
        <f>'17'!$G$78</f>
        <v>362</v>
      </c>
      <c r="I20" s="1117">
        <f>'17'!$G$79</f>
        <v>192</v>
      </c>
      <c r="J20" s="1117">
        <f>'17'!$G$80</f>
        <v>341.96000000002095</v>
      </c>
      <c r="K20" s="1117">
        <f>'17'!$G$81</f>
        <v>91.160000000032596</v>
      </c>
      <c r="L20" s="1117">
        <f>'17'!$G$82</f>
        <v>28.880000000004657</v>
      </c>
      <c r="M20" s="1117">
        <f>'17'!$G$58</f>
        <v>201.11000000000058</v>
      </c>
      <c r="N20" s="1117">
        <f>'17'!$G$83</f>
        <v>450</v>
      </c>
      <c r="O20" s="1117">
        <f>'17'!G86</f>
        <v>58.960000000020955</v>
      </c>
      <c r="P20" s="1117">
        <f>'17'!G87</f>
        <v>30.69999999999709</v>
      </c>
      <c r="Q20" s="1117">
        <f>'17'!G88</f>
        <v>82.989999999990687</v>
      </c>
      <c r="R20" s="1117">
        <f>'17'!G87+'17'!H90</f>
        <v>34.19999999999709</v>
      </c>
      <c r="S20" s="1127">
        <f>'17'!$G$62</f>
        <v>0</v>
      </c>
      <c r="T20" s="1127">
        <f>'17'!$G$63</f>
        <v>13.7199999999998</v>
      </c>
      <c r="U20" s="1127">
        <f>'17'!$G$64</f>
        <v>429.92999999999302</v>
      </c>
      <c r="V20" s="1127">
        <f>'17'!$G$65</f>
        <v>403.88999999999942</v>
      </c>
      <c r="W20" s="1127">
        <f>'17'!$G$66</f>
        <v>394.95000000000073</v>
      </c>
      <c r="X20" s="1127">
        <f>'17'!$G$67</f>
        <v>678.64000000001397</v>
      </c>
      <c r="Y20" s="1127">
        <f>'17'!$G$68</f>
        <v>338.99000000000524</v>
      </c>
      <c r="Z20" s="1127">
        <f>'17'!$G$69</f>
        <v>307.69000000000233</v>
      </c>
      <c r="AA20" s="1127">
        <f>'17'!$G$84</f>
        <v>482</v>
      </c>
      <c r="AB20" s="1127">
        <f>'17'!$G$15</f>
        <v>930.51000000000931</v>
      </c>
      <c r="AC20" s="1127">
        <f>'17'!$G$123</f>
        <v>259.15000000002328</v>
      </c>
      <c r="AD20" s="1127">
        <f>'17'!$G$124</f>
        <v>0</v>
      </c>
      <c r="AE20" s="1127">
        <f>'17'!$G$125</f>
        <v>67.600000000005821</v>
      </c>
      <c r="AF20" s="1127">
        <f>'17'!$G$126</f>
        <v>16.100000000005821</v>
      </c>
      <c r="AG20" s="1127">
        <f>'17'!$G$127</f>
        <v>4.7000000000007276</v>
      </c>
      <c r="AH20" s="1127">
        <f t="shared" si="0"/>
        <v>582.95999999997366</v>
      </c>
      <c r="AI20" s="1127">
        <f>'17'!$G$140</f>
        <v>0</v>
      </c>
      <c r="AJ20" s="1127">
        <f>'17'!$G$136</f>
        <v>9.6500000000014552</v>
      </c>
      <c r="AK20" s="1127">
        <f>'17'!$G$137</f>
        <v>0</v>
      </c>
      <c r="AL20" s="1127">
        <f>'17'!$G$138</f>
        <v>4.3100000000122236</v>
      </c>
      <c r="AM20" s="1124">
        <f t="shared" si="1"/>
        <v>13.960000000013679</v>
      </c>
      <c r="AO20" s="1133">
        <f t="shared" si="2"/>
        <v>-323.80999999995038</v>
      </c>
    </row>
    <row r="21" spans="1:41" x14ac:dyDescent="0.25">
      <c r="A21" s="1126">
        <v>44061</v>
      </c>
      <c r="B21" s="1127">
        <f>'18'!G72</f>
        <v>65</v>
      </c>
      <c r="C21" s="1127">
        <f>'18'!$G$73</f>
        <v>0</v>
      </c>
      <c r="D21" s="1127">
        <f>'18'!$G$74</f>
        <v>52.019999999999982</v>
      </c>
      <c r="E21" s="1127">
        <f>'18'!$G$75</f>
        <v>200.05999999999995</v>
      </c>
      <c r="F21" s="1127">
        <f>'18'!$G$76</f>
        <v>87.440000000000055</v>
      </c>
      <c r="G21" s="1127">
        <f>'18'!$G$77</f>
        <v>51</v>
      </c>
      <c r="H21" s="1117">
        <f>'18'!$G$78</f>
        <v>370</v>
      </c>
      <c r="I21" s="1117">
        <f>'18'!$G$79</f>
        <v>176</v>
      </c>
      <c r="J21" s="1131">
        <f>'18'!$G$80</f>
        <v>337.03999999997905</v>
      </c>
      <c r="K21" s="1131">
        <f>'18'!$G$81</f>
        <v>94.839999999967404</v>
      </c>
      <c r="L21" s="1131">
        <f>'18'!$G$82</f>
        <v>20.679999999993015</v>
      </c>
      <c r="M21" s="1131">
        <f>'18'!$G$58</f>
        <v>214.38000000000466</v>
      </c>
      <c r="N21" s="1131">
        <f>'18'!$G$83</f>
        <v>499</v>
      </c>
      <c r="O21" s="1131">
        <f>'18'!G86</f>
        <v>129</v>
      </c>
      <c r="P21" s="1117">
        <f>'18'!G87</f>
        <v>30.30000000000291</v>
      </c>
      <c r="Q21" s="1117">
        <f>'18'!G88</f>
        <v>76.100000000005821</v>
      </c>
      <c r="R21" s="1117">
        <f>'18'!G87+'18'!H90</f>
        <v>34.100000000002638</v>
      </c>
      <c r="S21" s="1127">
        <f>'18'!$G$62</f>
        <v>0</v>
      </c>
      <c r="T21" s="1127">
        <f>'18'!$G$63</f>
        <v>13.370000000000118</v>
      </c>
      <c r="U21" s="1127">
        <f>'18'!$G$64</f>
        <v>429.19999999999709</v>
      </c>
      <c r="V21" s="1127">
        <f>'18'!$G$65</f>
        <v>397.29000000000815</v>
      </c>
      <c r="W21" s="1127">
        <f>'18'!$G$66</f>
        <v>398.93999999999869</v>
      </c>
      <c r="X21" s="1127">
        <f>'18'!$G$67</f>
        <v>665.10999999998603</v>
      </c>
      <c r="Y21" s="1127">
        <f>'18'!$G$68</f>
        <v>390.13000000000466</v>
      </c>
      <c r="Z21" s="1127">
        <f>'18'!$G$69</f>
        <v>316.0199999999968</v>
      </c>
      <c r="AA21" s="1127">
        <f>'18'!$G$84</f>
        <v>482</v>
      </c>
      <c r="AB21" s="1127">
        <f>'18'!$G$15</f>
        <v>840.14000000013039</v>
      </c>
      <c r="AC21" s="1127">
        <f>'18'!$G$123</f>
        <v>260.40999999991618</v>
      </c>
      <c r="AD21" s="1127">
        <f>'18'!$G$124</f>
        <v>0</v>
      </c>
      <c r="AE21" s="1127">
        <f>'18'!$G$125</f>
        <v>77.269999999989523</v>
      </c>
      <c r="AF21" s="1127">
        <f>'18'!$G$126</f>
        <v>25.69999999999709</v>
      </c>
      <c r="AG21" s="1127">
        <f>'18'!$G$127</f>
        <v>1.1000000000003638</v>
      </c>
      <c r="AH21" s="1127">
        <f t="shared" si="0"/>
        <v>475.66000000022723</v>
      </c>
      <c r="AI21" s="1127">
        <f>'18'!$G$140</f>
        <v>0</v>
      </c>
      <c r="AJ21" s="1127">
        <f>'18'!$G$136</f>
        <v>5.6599999999998545</v>
      </c>
      <c r="AK21" s="1127">
        <f>'18'!$G$137</f>
        <v>2.2700000000004366</v>
      </c>
      <c r="AL21" s="1127">
        <f>'18'!$G$138</f>
        <v>4.3799999999901047</v>
      </c>
      <c r="AM21" s="1124">
        <f t="shared" si="1"/>
        <v>12.309999999990396</v>
      </c>
      <c r="AO21" s="1133">
        <f t="shared" si="2"/>
        <v>-215.25000000031105</v>
      </c>
    </row>
    <row r="22" spans="1:41" s="1130" customFormat="1" x14ac:dyDescent="0.25">
      <c r="A22" s="1128">
        <v>44062</v>
      </c>
      <c r="B22" s="1117">
        <f>'19'!G72</f>
        <v>71</v>
      </c>
      <c r="C22" s="1117">
        <f>'19'!$G$73</f>
        <v>0</v>
      </c>
      <c r="D22" s="1117">
        <f>'19'!$G$74</f>
        <v>29.220000000000027</v>
      </c>
      <c r="E22" s="1117">
        <f>'19'!$G$75</f>
        <v>160.3900000000001</v>
      </c>
      <c r="F22" s="1117">
        <f>'19'!$G$76</f>
        <v>69.059999999999945</v>
      </c>
      <c r="G22" s="1117">
        <f>'19'!$G$77</f>
        <v>52</v>
      </c>
      <c r="H22" s="1117">
        <f>'19'!$G$78</f>
        <v>333</v>
      </c>
      <c r="I22" s="1117">
        <f>'19'!$G$79</f>
        <v>178</v>
      </c>
      <c r="J22" s="1117">
        <f>'19'!$G$80</f>
        <v>344</v>
      </c>
      <c r="K22" s="1117">
        <f>'19'!$G$81</f>
        <v>108</v>
      </c>
      <c r="L22" s="1117">
        <f>'19'!$G$82</f>
        <v>25</v>
      </c>
      <c r="M22" s="1117">
        <f>'19'!$G$58</f>
        <v>219.30999999999767</v>
      </c>
      <c r="N22" s="1117">
        <f>'19'!$G$83</f>
        <v>355</v>
      </c>
      <c r="O22" s="1117">
        <f>'19'!G86</f>
        <v>142</v>
      </c>
      <c r="P22" s="1117">
        <f>'19'!G87</f>
        <v>25</v>
      </c>
      <c r="Q22" s="1117">
        <f>'19'!G88</f>
        <v>93</v>
      </c>
      <c r="R22" s="1117">
        <f>'19'!G87+'19'!H90</f>
        <v>29.800000000000182</v>
      </c>
      <c r="S22" s="1117">
        <f>'19'!$G$62</f>
        <v>2.0000000000436557E-2</v>
      </c>
      <c r="T22" s="1117">
        <f>'19'!$G$63</f>
        <v>13.279999999999973</v>
      </c>
      <c r="U22" s="1117">
        <f>'19'!$G$64</f>
        <v>412.02000000000407</v>
      </c>
      <c r="V22" s="1117">
        <f>'19'!$G$65</f>
        <v>402.89999999999418</v>
      </c>
      <c r="W22" s="1117">
        <f>'19'!$G$66</f>
        <v>405.72000000000116</v>
      </c>
      <c r="X22" s="1117">
        <f>'19'!$G$67</f>
        <v>639</v>
      </c>
      <c r="Y22" s="1117">
        <f>'19'!$G$68</f>
        <v>342.69999999999709</v>
      </c>
      <c r="Z22" s="1117">
        <f>'19'!$G$69</f>
        <v>311.7300000000032</v>
      </c>
      <c r="AA22" s="1117">
        <f>'19'!$G$84</f>
        <v>499</v>
      </c>
      <c r="AB22" s="1117">
        <f>'19'!$G$15</f>
        <v>881.40999999991618</v>
      </c>
      <c r="AC22" s="1117">
        <f>'19'!$G$123</f>
        <v>241.6600000000326</v>
      </c>
      <c r="AD22" s="1117">
        <f>'19'!$G$124</f>
        <v>-0.39999999999417923</v>
      </c>
      <c r="AE22" s="1117">
        <f>'19'!$G$125</f>
        <v>89.25</v>
      </c>
      <c r="AF22" s="1117">
        <f>'19'!$G$126</f>
        <v>23.5</v>
      </c>
      <c r="AG22" s="1117">
        <f>'19'!$G$127</f>
        <v>1.7999999999992724</v>
      </c>
      <c r="AH22" s="1117">
        <f t="shared" si="0"/>
        <v>525.59999999987849</v>
      </c>
      <c r="AI22" s="1117">
        <f>'19'!$G$140</f>
        <v>0</v>
      </c>
      <c r="AJ22" s="1117">
        <f>'19'!$G$136</f>
        <v>8.0999999999985448</v>
      </c>
      <c r="AK22" s="1117">
        <f>'19'!$G$137</f>
        <v>0</v>
      </c>
      <c r="AL22" s="1117">
        <f>'19'!$G$138</f>
        <v>2.8400000000110595</v>
      </c>
      <c r="AM22" s="1129">
        <f t="shared" si="1"/>
        <v>10.940000000009604</v>
      </c>
      <c r="AO22" s="1134">
        <f t="shared" si="2"/>
        <v>-283.9399999998459</v>
      </c>
    </row>
    <row r="23" spans="1:41" x14ac:dyDescent="0.25">
      <c r="A23" s="1126">
        <v>44063</v>
      </c>
      <c r="B23" s="1127">
        <f>'20'!G72</f>
        <v>66</v>
      </c>
      <c r="C23" s="1127">
        <f>'20'!$G$73</f>
        <v>1</v>
      </c>
      <c r="D23" s="1127">
        <f>'20'!$G$74</f>
        <v>20</v>
      </c>
      <c r="E23" s="1127">
        <f>'20'!$G$75</f>
        <v>178</v>
      </c>
      <c r="F23" s="1127">
        <f>'20'!$G$76</f>
        <v>78</v>
      </c>
      <c r="G23" s="1127">
        <f>'20'!$G$77</f>
        <v>48</v>
      </c>
      <c r="H23" s="1117">
        <f>'20'!$G$78</f>
        <v>402</v>
      </c>
      <c r="I23" s="1117">
        <f>'20'!$G$79</f>
        <v>191</v>
      </c>
      <c r="J23" s="1117">
        <f>'20'!$G$80</f>
        <v>356</v>
      </c>
      <c r="K23" s="1117">
        <f>'20'!$G$81</f>
        <v>90</v>
      </c>
      <c r="L23" s="1117">
        <f>'20'!$G$82</f>
        <v>26</v>
      </c>
      <c r="M23" s="1117">
        <f>'20'!$G$58</f>
        <v>251</v>
      </c>
      <c r="N23" s="1117">
        <f>'20'!$G$83</f>
        <v>399</v>
      </c>
      <c r="O23" s="1117">
        <f>'20'!G86</f>
        <v>115</v>
      </c>
      <c r="P23" s="1117">
        <f>'20'!G87</f>
        <v>14</v>
      </c>
      <c r="Q23" s="1117">
        <f>'20'!G88</f>
        <v>67</v>
      </c>
      <c r="R23" s="1117">
        <f>'20'!G87+'20'!H90</f>
        <v>19.800000000000182</v>
      </c>
      <c r="S23" s="1127">
        <f>'20'!$G$62</f>
        <v>0</v>
      </c>
      <c r="T23" s="1127">
        <f>'20'!$G$63</f>
        <v>12</v>
      </c>
      <c r="U23" s="1127">
        <f>'20'!$G$64</f>
        <v>400</v>
      </c>
      <c r="V23" s="1127">
        <f>'20'!$G$65</f>
        <v>404</v>
      </c>
      <c r="W23" s="1127">
        <f>'20'!$G$66</f>
        <v>411</v>
      </c>
      <c r="X23" s="1127">
        <f>'20'!$G$67</f>
        <v>695</v>
      </c>
      <c r="Y23" s="1127">
        <f>'20'!$G$68</f>
        <v>1350</v>
      </c>
      <c r="Z23" s="1127">
        <f>'20'!$G$69</f>
        <v>318</v>
      </c>
      <c r="AA23" s="1127">
        <f>'20'!$G$84</f>
        <v>562</v>
      </c>
      <c r="AB23" s="1127">
        <f>'20'!$G$15</f>
        <v>1086</v>
      </c>
      <c r="AC23" s="1127">
        <f>'20'!$G$123</f>
        <v>300</v>
      </c>
      <c r="AD23" s="1127">
        <f>'20'!$G$124</f>
        <v>0</v>
      </c>
      <c r="AE23" s="1127">
        <f>'20'!$G$125</f>
        <v>86</v>
      </c>
      <c r="AF23" s="1127">
        <f>'20'!$G$126</f>
        <v>30</v>
      </c>
      <c r="AG23" s="1127">
        <f>'20'!$G$127</f>
        <v>3</v>
      </c>
      <c r="AH23" s="1127">
        <f t="shared" si="0"/>
        <v>667</v>
      </c>
      <c r="AI23" s="1127">
        <f>'20'!$G$140</f>
        <v>0</v>
      </c>
      <c r="AJ23" s="1127">
        <f>'20'!$G$136</f>
        <v>10.880000000001019</v>
      </c>
      <c r="AK23" s="1127">
        <f>'20'!$G$137</f>
        <v>0</v>
      </c>
      <c r="AL23" s="1127">
        <f>'20'!$G$138</f>
        <v>5.8699999999953434</v>
      </c>
      <c r="AM23" s="1124">
        <f t="shared" si="1"/>
        <v>16.749999999996362</v>
      </c>
      <c r="AO23" s="1133">
        <f t="shared" si="2"/>
        <v>-367</v>
      </c>
    </row>
    <row r="24" spans="1:41" x14ac:dyDescent="0.25">
      <c r="A24" s="1126">
        <v>44064</v>
      </c>
      <c r="B24" s="1127">
        <f>'21'!G72</f>
        <v>22</v>
      </c>
      <c r="C24" s="1127">
        <f>'21'!$G$73</f>
        <v>22</v>
      </c>
      <c r="D24" s="1127">
        <f>'21'!$G$74</f>
        <v>35</v>
      </c>
      <c r="E24" s="1127">
        <f>'21'!$G$75</f>
        <v>175</v>
      </c>
      <c r="F24" s="1127">
        <f>'21'!$G$76</f>
        <v>76</v>
      </c>
      <c r="G24" s="1127">
        <f>'21'!$G$77</f>
        <v>50</v>
      </c>
      <c r="H24" s="1117">
        <f>'21'!$G$78</f>
        <v>454</v>
      </c>
      <c r="I24" s="1117">
        <f>'21'!$G$79</f>
        <v>172</v>
      </c>
      <c r="J24" s="1117">
        <f>'21'!$G$80</f>
        <v>386</v>
      </c>
      <c r="K24" s="1117">
        <f>'21'!$G$81</f>
        <v>110</v>
      </c>
      <c r="L24" s="1117">
        <f>'21'!$G$82</f>
        <v>22</v>
      </c>
      <c r="M24" s="1117">
        <f>'21'!$G$58</f>
        <v>188</v>
      </c>
      <c r="N24" s="1117">
        <f>'21'!$G$83</f>
        <v>429</v>
      </c>
      <c r="O24" s="1117">
        <f>'21'!G86</f>
        <v>73</v>
      </c>
      <c r="P24" s="1117">
        <f>'21'!G87</f>
        <v>9</v>
      </c>
      <c r="Q24" s="1117">
        <f>'21'!G88</f>
        <v>35</v>
      </c>
      <c r="R24" s="1117">
        <f>'21'!G87+'21'!H90</f>
        <v>15.800000000000182</v>
      </c>
      <c r="S24" s="1127">
        <f>'21'!$G$62</f>
        <v>0</v>
      </c>
      <c r="T24" s="1127">
        <f>'21'!$G$63</f>
        <v>14</v>
      </c>
      <c r="U24" s="1127">
        <f>'21'!$G$64</f>
        <v>398</v>
      </c>
      <c r="V24" s="1127">
        <f>'21'!$G$65</f>
        <v>400</v>
      </c>
      <c r="W24" s="1127">
        <f>'21'!$G$66</f>
        <v>372</v>
      </c>
      <c r="X24" s="1127">
        <f>'21'!$G$67</f>
        <v>716</v>
      </c>
      <c r="Y24" s="1127">
        <f>'21'!$G$68</f>
        <v>310</v>
      </c>
      <c r="Z24" s="1127">
        <f>'21'!$G$69</f>
        <v>339</v>
      </c>
      <c r="AA24" s="1127">
        <f>'21'!$G$84</f>
        <v>568</v>
      </c>
      <c r="AB24" s="1127">
        <f>'21'!$G$15</f>
        <v>940</v>
      </c>
      <c r="AC24" s="1127">
        <f>'21'!$G$123</f>
        <v>283</v>
      </c>
      <c r="AD24" s="1127">
        <f>'21'!$G$124</f>
        <v>0</v>
      </c>
      <c r="AE24" s="1127">
        <f>'21'!$G$125</f>
        <v>80</v>
      </c>
      <c r="AF24" s="1127">
        <f>'21'!$G$126</f>
        <v>30</v>
      </c>
      <c r="AG24" s="1127">
        <f>'21'!$G$127</f>
        <v>2</v>
      </c>
      <c r="AH24" s="1127">
        <f t="shared" si="0"/>
        <v>545</v>
      </c>
      <c r="AI24" s="1127">
        <f>'21'!$G$140</f>
        <v>0</v>
      </c>
      <c r="AJ24" s="1127">
        <f>'21'!$G$136</f>
        <v>8.4599999999991269</v>
      </c>
      <c r="AK24" s="1127">
        <f>'21'!$G$137</f>
        <v>0</v>
      </c>
      <c r="AL24" s="1127">
        <f>'21'!$G$138</f>
        <v>3.5999999999912689</v>
      </c>
      <c r="AM24" s="1124">
        <f t="shared" si="1"/>
        <v>12.059999999990396</v>
      </c>
      <c r="AO24" s="1133">
        <f t="shared" si="2"/>
        <v>-262</v>
      </c>
    </row>
    <row r="25" spans="1:41" x14ac:dyDescent="0.25">
      <c r="A25" s="1126">
        <v>44065</v>
      </c>
      <c r="B25" s="1127">
        <f>'22'!G72</f>
        <v>-2181</v>
      </c>
      <c r="C25" s="1127">
        <f>'22'!$G$73</f>
        <v>-52</v>
      </c>
      <c r="D25" s="1127">
        <f>'22'!$G$74</f>
        <v>881633</v>
      </c>
      <c r="E25" s="1127">
        <f>'22'!$G$75</f>
        <v>733424</v>
      </c>
      <c r="F25" s="1127">
        <f>'22'!$G$76</f>
        <v>685340</v>
      </c>
      <c r="G25" s="1127">
        <f>'22'!$G$77</f>
        <v>-1630</v>
      </c>
      <c r="H25" s="1117">
        <f>'22'!$G$78</f>
        <v>-11862</v>
      </c>
      <c r="I25" s="1117">
        <f>'22'!$G$79</f>
        <v>-5728</v>
      </c>
      <c r="J25" s="1117">
        <f>'22'!$G$80</f>
        <v>-9724</v>
      </c>
      <c r="K25" s="1117">
        <f>'22'!$G$81</f>
        <v>-3198</v>
      </c>
      <c r="L25" s="1117">
        <f>'22'!$G$82</f>
        <v>-1022</v>
      </c>
      <c r="M25" s="1117">
        <f>'22'!$G$58</f>
        <v>-5443.7200000000012</v>
      </c>
      <c r="N25" s="1117">
        <f>'22'!$G$83</f>
        <v>-11729</v>
      </c>
      <c r="O25" s="1117">
        <f>'22'!G86</f>
        <v>-3194</v>
      </c>
      <c r="P25" s="1117">
        <f>'22'!G87</f>
        <v>-724.30000000000291</v>
      </c>
      <c r="Q25" s="1117">
        <f>'22'!G88</f>
        <v>-1971</v>
      </c>
      <c r="R25" s="1117">
        <f>'22'!G87+'22'!H90</f>
        <v>-816.30000000000291</v>
      </c>
      <c r="S25" s="1127">
        <f>'22'!$G$62</f>
        <v>0</v>
      </c>
      <c r="T25" s="1127">
        <f>'22'!$G$63</f>
        <v>-374.01</v>
      </c>
      <c r="U25" s="1127">
        <f>'22'!$G$64</f>
        <v>-12564.119999999995</v>
      </c>
      <c r="V25" s="1127">
        <f>'22'!$G$65</f>
        <v>-11753.380000000005</v>
      </c>
      <c r="W25" s="1127">
        <f>'22'!$G$66</f>
        <v>-11957.22</v>
      </c>
      <c r="X25" s="1127">
        <f>'22'!$G$67</f>
        <v>-20585</v>
      </c>
      <c r="Y25" s="1127">
        <f>'22'!$G$68</f>
        <v>-11097.440000000002</v>
      </c>
      <c r="Z25" s="1127">
        <f>'22'!$G$69</f>
        <v>-9209.86</v>
      </c>
      <c r="AA25" s="1127">
        <f>'22'!$G$84</f>
        <v>-15199</v>
      </c>
      <c r="AB25" s="1127">
        <f>'22'!$G$15</f>
        <v>-26134.060000000056</v>
      </c>
      <c r="AC25" s="1166">
        <f>'22'!$G$123</f>
        <v>-8228.9200000000419</v>
      </c>
      <c r="AD25" s="1127">
        <f>'22'!$G$124</f>
        <v>-0.69999999999708962</v>
      </c>
      <c r="AE25" s="1127">
        <f>'22'!$G$125</f>
        <v>-2240.9500000000116</v>
      </c>
      <c r="AF25" s="1127">
        <f>'22'!$G$126</f>
        <v>-1034</v>
      </c>
      <c r="AG25" s="1127">
        <f>'22'!$G$127</f>
        <v>-91</v>
      </c>
      <c r="AH25" s="1127">
        <f t="shared" si="0"/>
        <v>-14538.490000000005</v>
      </c>
      <c r="AI25" s="1127">
        <f>'22'!$G$140</f>
        <v>0</v>
      </c>
      <c r="AJ25" s="1127">
        <f>'22'!$G$136</f>
        <v>-227.13000000000102</v>
      </c>
      <c r="AK25" s="1127">
        <f>'22'!$G$137</f>
        <v>-16.620000000002619</v>
      </c>
      <c r="AL25" s="1127">
        <f>'22'!$G$138</f>
        <v>-62.379999999990105</v>
      </c>
      <c r="AM25" s="1124">
        <f t="shared" si="1"/>
        <v>-306.12999999999374</v>
      </c>
      <c r="AO25" s="1133">
        <f t="shared" si="2"/>
        <v>6309.5699999999633</v>
      </c>
    </row>
    <row r="26" spans="1:41" x14ac:dyDescent="0.25">
      <c r="A26" s="1126">
        <v>44066</v>
      </c>
      <c r="B26" s="1127">
        <f>'23'!G72</f>
        <v>40</v>
      </c>
      <c r="C26" s="1127">
        <f>'23'!G72</f>
        <v>40</v>
      </c>
      <c r="D26" s="1127">
        <f>'23'!$G$74</f>
        <v>39</v>
      </c>
      <c r="E26" s="1127">
        <f>'23'!$G$75</f>
        <v>221</v>
      </c>
      <c r="F26" s="1127">
        <f>'23'!$G$76</f>
        <v>80</v>
      </c>
      <c r="G26" s="1127">
        <f>'23'!$G$77</f>
        <v>55</v>
      </c>
      <c r="H26" s="1117">
        <f>'23'!$G$78</f>
        <v>339</v>
      </c>
      <c r="I26" s="1117">
        <f>'23'!$G$79</f>
        <v>193</v>
      </c>
      <c r="J26" s="1117">
        <f>'23'!$G$80</f>
        <v>319</v>
      </c>
      <c r="K26" s="1117">
        <f>'23'!$G$81</f>
        <v>83</v>
      </c>
      <c r="L26" s="1117">
        <f>'23'!$G$82</f>
        <v>58</v>
      </c>
      <c r="M26" s="1117">
        <f>'23'!$G$58</f>
        <v>204.78000000000247</v>
      </c>
      <c r="N26" s="1164">
        <f>'23'!$G$83</f>
        <v>228</v>
      </c>
      <c r="O26" s="1117">
        <f>'23'!$G$86</f>
        <v>70</v>
      </c>
      <c r="P26" s="1117">
        <f>'23'!G87</f>
        <v>9.6000000000058208</v>
      </c>
      <c r="Q26" s="1117">
        <f>'23'!G88</f>
        <v>50.60999999998603</v>
      </c>
      <c r="R26" s="1117">
        <f>'23'!G87+'23'!H90</f>
        <v>10.600000000005821</v>
      </c>
      <c r="S26" s="1127">
        <f>'23'!$G$62</f>
        <v>-0.2000000000007276</v>
      </c>
      <c r="T26" s="1127">
        <f>'23'!$G$63</f>
        <v>8.4400000000000546</v>
      </c>
      <c r="U26" s="1127">
        <f>'23'!$G$64</f>
        <v>427.22000000000116</v>
      </c>
      <c r="V26" s="1127">
        <f>'23'!$G$65</f>
        <v>413.43000000000757</v>
      </c>
      <c r="W26" s="1127">
        <f>'23'!$G$66</f>
        <v>342.02999999999884</v>
      </c>
      <c r="X26" s="1127">
        <f>'23'!$G$67</f>
        <v>626.45000000001164</v>
      </c>
      <c r="Y26" s="1127">
        <f>'23'!$G$68</f>
        <v>315.75</v>
      </c>
      <c r="Z26" s="1127">
        <f>'23'!$G$69</f>
        <v>302.12999999999738</v>
      </c>
      <c r="AA26" s="1127">
        <f>'23'!$G$84</f>
        <v>552</v>
      </c>
      <c r="AB26" s="1127">
        <f>'23'!$G$15</f>
        <v>934.93999999994412</v>
      </c>
      <c r="AC26" s="1127">
        <f>'23'!$G$123</f>
        <v>245.85999999998603</v>
      </c>
      <c r="AD26" s="1127">
        <f>'23'!$G$124</f>
        <v>0</v>
      </c>
      <c r="AE26" s="1127">
        <f>'23'!$G$125</f>
        <v>83.430000000022119</v>
      </c>
      <c r="AF26" s="1127">
        <f>'23'!$G$126</f>
        <v>40.400000000001455</v>
      </c>
      <c r="AG26" s="1127">
        <f>'23'!$G$127</f>
        <v>4.1000000000003638</v>
      </c>
      <c r="AH26" s="1127">
        <f t="shared" si="0"/>
        <v>561.14999999993415</v>
      </c>
      <c r="AI26" s="1127">
        <f>'23'!$G$140</f>
        <v>0</v>
      </c>
      <c r="AJ26" s="1127">
        <f>'23'!$G$136</f>
        <v>10.180000000000291</v>
      </c>
      <c r="AK26" s="1127">
        <f>'23'!$G$137</f>
        <v>0</v>
      </c>
      <c r="AL26" s="1127">
        <f>'23'!$G$138</f>
        <v>0</v>
      </c>
      <c r="AM26" s="1124">
        <f t="shared" si="1"/>
        <v>10.180000000000291</v>
      </c>
      <c r="AO26" s="1133">
        <f t="shared" si="2"/>
        <v>-315.28999999994812</v>
      </c>
    </row>
    <row r="27" spans="1:41" s="1167" customFormat="1" x14ac:dyDescent="0.25">
      <c r="A27" s="1128">
        <v>44067</v>
      </c>
      <c r="B27" s="1117">
        <f>'23'!G73</f>
        <v>13</v>
      </c>
      <c r="C27" s="1117">
        <f>'23'!G73</f>
        <v>13</v>
      </c>
      <c r="D27" s="1117">
        <f>'24'!$G$74</f>
        <v>38</v>
      </c>
      <c r="E27" s="1117">
        <f>'24'!$G$75</f>
        <v>185</v>
      </c>
      <c r="F27" s="1117">
        <f>'24'!$G$76</f>
        <v>82</v>
      </c>
      <c r="G27" s="1117">
        <f>'24'!$G$77</f>
        <v>55</v>
      </c>
      <c r="H27" s="1117">
        <f>'24'!$G$78</f>
        <v>333</v>
      </c>
      <c r="I27" s="1117">
        <f>'24'!$G$79</f>
        <v>176</v>
      </c>
      <c r="J27" s="1117">
        <f>'24'!$G$80</f>
        <v>317</v>
      </c>
      <c r="K27" s="1117">
        <f>'24'!$G$81</f>
        <v>96</v>
      </c>
      <c r="L27" s="1117">
        <f>'24'!$G$82</f>
        <v>37</v>
      </c>
      <c r="M27" s="1117">
        <f>'24'!$G$58</f>
        <v>122.93999999999869</v>
      </c>
      <c r="N27" s="1117">
        <f>'24'!$G$83</f>
        <v>233</v>
      </c>
      <c r="O27" s="1117">
        <f>'24'!G86</f>
        <v>42</v>
      </c>
      <c r="P27" s="1117">
        <f>'24'!G87</f>
        <v>6.6999999999970896</v>
      </c>
      <c r="Q27" s="1117">
        <f>'24'!G88</f>
        <v>35.39000000001397</v>
      </c>
      <c r="R27" s="1117">
        <f>'24'!G87+'24'!H90</f>
        <v>8.6999999999970896</v>
      </c>
      <c r="S27" s="1117">
        <f>'24'!$G$62</f>
        <v>0.18000000000029104</v>
      </c>
      <c r="T27" s="1117">
        <f>'24'!$G$63</f>
        <v>8.5699999999999363</v>
      </c>
      <c r="U27" s="1117">
        <f>'24'!$G$64</f>
        <v>403.89999999999418</v>
      </c>
      <c r="V27" s="1117">
        <f>'24'!$G$65</f>
        <v>439.94999999999709</v>
      </c>
      <c r="W27" s="1117">
        <f>'24'!$G$66</f>
        <v>397.19000000000051</v>
      </c>
      <c r="X27" s="1117">
        <f>'24'!$G$67</f>
        <v>620.54999999998836</v>
      </c>
      <c r="Y27" s="1117">
        <f>'24'!$G$68</f>
        <v>350.69000000000233</v>
      </c>
      <c r="Z27" s="1117">
        <f>'24'!$G$69</f>
        <v>299.7300000000032</v>
      </c>
      <c r="AA27" s="1117">
        <f>'24'!$G$84</f>
        <v>524</v>
      </c>
      <c r="AB27" s="1117">
        <f>'24'!$G$15</f>
        <v>748.12000000011176</v>
      </c>
      <c r="AC27" s="1166">
        <f>'24'!$G$123</f>
        <v>269.06000000005588</v>
      </c>
      <c r="AD27" s="1166">
        <f>'24'!$G$124</f>
        <v>-0.30000000000291038</v>
      </c>
      <c r="AE27" s="1166">
        <f>'24'!$G$125</f>
        <v>64.889999999984866</v>
      </c>
      <c r="AF27" s="1117">
        <f>'24'!$G$126</f>
        <v>34.599999999998545</v>
      </c>
      <c r="AG27" s="1117">
        <f>'24'!$G$127</f>
        <v>3.8999999999996362</v>
      </c>
      <c r="AH27" s="1166">
        <f>AB27-SUM(AC27:AG27)</f>
        <v>375.97000000007574</v>
      </c>
      <c r="AI27" s="1117">
        <f>'24'!$G$140</f>
        <v>0</v>
      </c>
      <c r="AJ27" s="1117">
        <f>'24'!$G$136</f>
        <v>6.8800000000010186</v>
      </c>
      <c r="AK27" s="1117">
        <f>'24'!$G$137</f>
        <v>0</v>
      </c>
      <c r="AL27" s="1117">
        <f>'24'!$G$138</f>
        <v>0</v>
      </c>
      <c r="AM27" s="1129">
        <f t="shared" si="1"/>
        <v>6.8800000000010186</v>
      </c>
      <c r="AO27" s="1168">
        <f t="shared" si="2"/>
        <v>-106.91000000001986</v>
      </c>
    </row>
    <row r="28" spans="1:41" x14ac:dyDescent="0.25">
      <c r="A28" s="1126">
        <v>44068</v>
      </c>
      <c r="B28" s="1127">
        <f>'25'!G72</f>
        <v>48</v>
      </c>
      <c r="C28" s="1127">
        <f>'25'!$G$73</f>
        <v>0</v>
      </c>
      <c r="D28" s="1127">
        <f>'25'!$G$74</f>
        <v>33</v>
      </c>
      <c r="E28" s="1127">
        <f>'25'!$G$75</f>
        <v>200</v>
      </c>
      <c r="F28" s="1127">
        <f>'25'!$G$76</f>
        <v>95</v>
      </c>
      <c r="G28" s="1127">
        <f>'25'!$G$77</f>
        <v>61</v>
      </c>
      <c r="H28" s="1117">
        <f>'25'!$G$78</f>
        <v>345</v>
      </c>
      <c r="I28" s="1117">
        <f>'25'!$G$79</f>
        <v>196</v>
      </c>
      <c r="J28" s="1117">
        <f>'25'!$G$80</f>
        <v>328.55999999999767</v>
      </c>
      <c r="K28" s="1117">
        <f>'25'!$G$81</f>
        <v>152.56000000005588</v>
      </c>
      <c r="L28" s="1117">
        <f>'25'!$G$82</f>
        <v>58</v>
      </c>
      <c r="M28" s="1117">
        <f>'25'!$G$58</f>
        <v>179.13999999999942</v>
      </c>
      <c r="N28" s="1117">
        <f>'25'!$G$83</f>
        <v>240</v>
      </c>
      <c r="O28" s="1117">
        <f>'25'!G86</f>
        <v>97.690000000002328</v>
      </c>
      <c r="P28" s="1117">
        <f>'25'!G87</f>
        <v>27.80000000000291</v>
      </c>
      <c r="Q28" s="1117">
        <f>'25'!G88</f>
        <v>51.760000000009313</v>
      </c>
      <c r="R28" s="1117">
        <f>'25'!G87+'25'!H90</f>
        <v>29.80000000000291</v>
      </c>
      <c r="S28" s="1127">
        <f>'25'!$G$62</f>
        <v>0</v>
      </c>
      <c r="T28" s="1127">
        <f>'25'!$G$63</f>
        <v>10.309999999999945</v>
      </c>
      <c r="U28" s="1127">
        <f>'25'!$G$64</f>
        <v>423</v>
      </c>
      <c r="V28" s="1127">
        <f>'25'!$G$65</f>
        <v>416</v>
      </c>
      <c r="W28" s="1127">
        <f>'25'!$G$66</f>
        <v>434.69000000000051</v>
      </c>
      <c r="X28" s="1127">
        <f>'25'!$G$67</f>
        <v>672</v>
      </c>
      <c r="Y28" s="1127">
        <f>'25'!$G$68</f>
        <v>350.84999999999854</v>
      </c>
      <c r="Z28" s="1127">
        <f>'25'!$G$69</f>
        <v>304</v>
      </c>
      <c r="AA28" s="1127">
        <f>'25'!$G$84</f>
        <v>516</v>
      </c>
      <c r="AB28" s="1127">
        <f>'25'!$G$15</f>
        <v>930.86000000010245</v>
      </c>
      <c r="AC28" s="1127">
        <f>'25'!$G$123</f>
        <v>269.20999999996275</v>
      </c>
      <c r="AD28" s="1127">
        <f>'25'!$G$124</f>
        <v>0</v>
      </c>
      <c r="AE28" s="1127">
        <f>'25'!$G$125</f>
        <v>89.630000000004657</v>
      </c>
      <c r="AF28" s="1127">
        <f>'25'!$G$126</f>
        <v>34</v>
      </c>
      <c r="AG28" s="1127">
        <f>'25'!$G$127</f>
        <v>3.6000000000003638</v>
      </c>
      <c r="AH28" s="1127">
        <f t="shared" si="0"/>
        <v>534.42000000013468</v>
      </c>
      <c r="AI28" s="1127">
        <f>'25'!$G$140</f>
        <v>0</v>
      </c>
      <c r="AJ28" s="1127">
        <f>'25'!$G$136</f>
        <v>8.7700000000004366</v>
      </c>
      <c r="AK28" s="1127">
        <f>'25'!$G$137</f>
        <v>0</v>
      </c>
      <c r="AL28" s="1127">
        <f>'25'!$G$138</f>
        <v>1.9799999999959255</v>
      </c>
      <c r="AM28" s="1124">
        <f t="shared" si="1"/>
        <v>10.749999999996362</v>
      </c>
      <c r="AO28" s="1133">
        <f t="shared" si="2"/>
        <v>-265.21000000017193</v>
      </c>
    </row>
    <row r="29" spans="1:41" x14ac:dyDescent="0.25">
      <c r="A29" s="1126">
        <v>44069</v>
      </c>
      <c r="B29" s="1127">
        <f>'26'!G72</f>
        <v>83</v>
      </c>
      <c r="C29" s="1127">
        <f>'26'!$G$73</f>
        <v>1</v>
      </c>
      <c r="D29" s="1127">
        <f>'26'!$G$74</f>
        <v>31</v>
      </c>
      <c r="E29" s="1127">
        <f>'26'!$G$75</f>
        <v>198</v>
      </c>
      <c r="F29" s="1127">
        <f>'26'!$G$76</f>
        <v>79</v>
      </c>
      <c r="G29" s="1127">
        <f>'26'!$G$77</f>
        <v>51</v>
      </c>
      <c r="H29" s="1117">
        <f>'26'!$G$78</f>
        <v>371</v>
      </c>
      <c r="I29" s="1117">
        <f>'26'!$G$79</f>
        <v>195</v>
      </c>
      <c r="J29" s="1117">
        <f>'26'!$G$80</f>
        <v>278.32000000000698</v>
      </c>
      <c r="K29" s="1117">
        <f>'26'!$G$81</f>
        <v>130.07999999995809</v>
      </c>
      <c r="L29" s="1117">
        <f>'26'!$G$82</f>
        <v>55.589999999996508</v>
      </c>
      <c r="M29" s="1117">
        <f>'26'!$G$58</f>
        <v>186.2400000000016</v>
      </c>
      <c r="N29" s="1117">
        <f>'26'!$G$83</f>
        <v>226</v>
      </c>
      <c r="O29" s="1117">
        <f>'26'!G86</f>
        <v>34.309999999997672</v>
      </c>
      <c r="P29" s="1117">
        <f>'26'!G87</f>
        <v>11</v>
      </c>
      <c r="Q29" s="1117">
        <f>'26'!G88</f>
        <v>35.239999999990687</v>
      </c>
      <c r="R29" s="1117">
        <f>'26'!G87+'26'!H90</f>
        <v>11.400000000000091</v>
      </c>
      <c r="S29" s="1127">
        <f>'26'!$G$62</f>
        <v>0</v>
      </c>
      <c r="T29" s="1127">
        <f>'26'!$G$63</f>
        <v>9.4000000000000909</v>
      </c>
      <c r="U29" s="1127">
        <f>'26'!$G$64</f>
        <v>389</v>
      </c>
      <c r="V29" s="1127">
        <f>'26'!$G$65</f>
        <v>411.75999999999476</v>
      </c>
      <c r="W29" s="1127">
        <f>'26'!$G$66</f>
        <v>413.80999999999949</v>
      </c>
      <c r="X29" s="1127">
        <f>'26'!$G$67</f>
        <v>667.69000000000233</v>
      </c>
      <c r="Y29" s="1127">
        <f>'26'!$G$68</f>
        <v>319.09000000000378</v>
      </c>
      <c r="Z29" s="1127">
        <f>'26'!$G$69</f>
        <v>312</v>
      </c>
      <c r="AA29" s="1127">
        <f>'26'!$G$84</f>
        <v>528</v>
      </c>
      <c r="AB29" s="1127">
        <f>'26'!$G$15</f>
        <v>855.13999999989755</v>
      </c>
      <c r="AC29" s="1127">
        <f>'26'!$G$123</f>
        <v>266.14000000001397</v>
      </c>
      <c r="AD29" s="1127">
        <f>'26'!$G$124</f>
        <v>0</v>
      </c>
      <c r="AE29" s="1127">
        <f>'26'!$G$125</f>
        <v>70.559999999997672</v>
      </c>
      <c r="AF29" s="1127">
        <f>'26'!$G$126</f>
        <v>33</v>
      </c>
      <c r="AG29" s="1127">
        <f>'26'!$G$127</f>
        <v>3.3999999999996362</v>
      </c>
      <c r="AH29" s="1127">
        <f t="shared" si="0"/>
        <v>482.03999999988628</v>
      </c>
      <c r="AI29" s="1127">
        <f>'26'!$G$140</f>
        <v>0</v>
      </c>
      <c r="AJ29" s="1127">
        <f>'26'!$G$136</f>
        <v>8.680000000000291</v>
      </c>
      <c r="AK29" s="1127">
        <f>'26'!$G$137</f>
        <v>0</v>
      </c>
      <c r="AL29" s="1127">
        <f>'26'!$G$138</f>
        <v>0</v>
      </c>
      <c r="AM29" s="1124">
        <f t="shared" si="1"/>
        <v>8.680000000000291</v>
      </c>
      <c r="AO29" s="1133">
        <f t="shared" si="2"/>
        <v>-215.89999999987231</v>
      </c>
    </row>
    <row r="30" spans="1:41" x14ac:dyDescent="0.25">
      <c r="A30" s="1126">
        <v>44070</v>
      </c>
      <c r="B30" s="1127">
        <f>'27'!G72</f>
        <v>91</v>
      </c>
      <c r="C30" s="1127">
        <f>'27'!$G$73</f>
        <v>0</v>
      </c>
      <c r="D30" s="1127">
        <f>'27'!$G$74</f>
        <v>31</v>
      </c>
      <c r="E30" s="1127">
        <f>'27'!$G$75</f>
        <v>186</v>
      </c>
      <c r="F30" s="1127">
        <f>'27'!$G$76</f>
        <v>76</v>
      </c>
      <c r="G30" s="1127">
        <f>'27'!$G$77</f>
        <v>52</v>
      </c>
      <c r="H30" s="1117">
        <f>'27'!$G$78</f>
        <v>338</v>
      </c>
      <c r="I30" s="1117">
        <f>'27'!$G$79</f>
        <v>194</v>
      </c>
      <c r="J30" s="1117">
        <f>'27'!$G$80</f>
        <v>288.11999999999534</v>
      </c>
      <c r="K30" s="1117">
        <f>'27'!$G$81</f>
        <v>107.35999999998603</v>
      </c>
      <c r="L30" s="1117">
        <f>'27'!$G$82</f>
        <v>47.130000000004657</v>
      </c>
      <c r="M30" s="1117">
        <f>'27'!$G$58</f>
        <v>272.61999999999898</v>
      </c>
      <c r="N30" s="1117">
        <f>'27'!$G$83</f>
        <v>207</v>
      </c>
      <c r="O30" s="1117">
        <f>'27'!G86</f>
        <v>102</v>
      </c>
      <c r="P30" s="1117">
        <f>'27'!G87</f>
        <v>29</v>
      </c>
      <c r="Q30" s="1117">
        <f>'27'!G88</f>
        <v>117</v>
      </c>
      <c r="R30" s="1117">
        <f>'27'!G87+'27'!H90</f>
        <v>33.599999999999909</v>
      </c>
      <c r="S30" s="1127">
        <f>'27'!$G$62</f>
        <v>0</v>
      </c>
      <c r="T30" s="1127">
        <f>'27'!$G$63</f>
        <v>9.2899999999999636</v>
      </c>
      <c r="U30" s="1127">
        <f>'27'!$G$64</f>
        <v>435.7899999999936</v>
      </c>
      <c r="V30" s="1127">
        <f>'27'!$G$65</f>
        <v>395.24000000000524</v>
      </c>
      <c r="W30" s="1127">
        <f>'27'!$G$66</f>
        <v>417.11000000000058</v>
      </c>
      <c r="X30" s="1127">
        <f>'27'!$G$67</f>
        <v>632.30999999999767</v>
      </c>
      <c r="Y30" s="1127">
        <f>'27'!$G$68</f>
        <v>306.05999999999767</v>
      </c>
      <c r="Z30" s="1127">
        <f>'27'!$G$69</f>
        <v>307.80999999999767</v>
      </c>
      <c r="AA30" s="1127">
        <f>'27'!$G$84</f>
        <v>556</v>
      </c>
      <c r="AB30" s="1127">
        <f>'27'!$G$15</f>
        <v>843.93999999994412</v>
      </c>
      <c r="AC30" s="1127">
        <f>'27'!$G$123</f>
        <v>250.60999999998603</v>
      </c>
      <c r="AD30" s="1127">
        <f>'27'!$G$124</f>
        <v>0</v>
      </c>
      <c r="AE30" s="1127">
        <f>'27'!$G$125</f>
        <v>60.440000000002328</v>
      </c>
      <c r="AF30" s="1127">
        <f>'27'!$G$126</f>
        <v>21</v>
      </c>
      <c r="AG30" s="1127">
        <f>'27'!$G$127</f>
        <v>3</v>
      </c>
      <c r="AH30" s="1127">
        <f t="shared" si="0"/>
        <v>508.88999999995576</v>
      </c>
      <c r="AI30" s="1127">
        <f>'27'!$G$140</f>
        <v>0</v>
      </c>
      <c r="AJ30" s="1127">
        <f>'27'!$G$136</f>
        <v>9.430000000000291</v>
      </c>
      <c r="AK30" s="1127">
        <f>'27'!$G$137</f>
        <v>0</v>
      </c>
      <c r="AL30" s="1127">
        <f>'27'!$G$138</f>
        <v>0</v>
      </c>
      <c r="AM30" s="1124">
        <f t="shared" si="1"/>
        <v>9.430000000000291</v>
      </c>
      <c r="AO30" s="1133">
        <f t="shared" si="2"/>
        <v>-258.27999999996973</v>
      </c>
    </row>
    <row r="31" spans="1:41" x14ac:dyDescent="0.25">
      <c r="A31" s="1126">
        <v>44071</v>
      </c>
      <c r="B31" s="1127">
        <f>'28'!G72</f>
        <v>69</v>
      </c>
      <c r="C31" s="1127">
        <f>'28'!$G$73</f>
        <v>0</v>
      </c>
      <c r="D31" s="1127">
        <f>'28'!$G$74</f>
        <v>31</v>
      </c>
      <c r="E31" s="1127">
        <f>'28'!$G$75</f>
        <v>190</v>
      </c>
      <c r="F31" s="1127">
        <f>'28'!$G$76</f>
        <v>74</v>
      </c>
      <c r="G31" s="1127">
        <f>'28'!$G$77</f>
        <v>54</v>
      </c>
      <c r="H31" s="1117">
        <f>'28'!$G$78</f>
        <v>358</v>
      </c>
      <c r="I31" s="1117">
        <f>'28'!$G$79</f>
        <v>176</v>
      </c>
      <c r="J31" s="1117">
        <f>'28'!$G$80</f>
        <v>335</v>
      </c>
      <c r="K31" s="1117">
        <f>'28'!$G$81</f>
        <v>105</v>
      </c>
      <c r="L31" s="1117">
        <f>'28'!$G$82</f>
        <v>8.6499999999941792</v>
      </c>
      <c r="M31" s="1117">
        <f>'28'!$G$58</f>
        <v>0</v>
      </c>
      <c r="N31" s="1117">
        <f>'28'!$G$83</f>
        <v>293</v>
      </c>
      <c r="O31" s="1117">
        <f>'28'!G86</f>
        <v>106</v>
      </c>
      <c r="P31" s="1117">
        <f>'28'!G87</f>
        <v>29.099999999991269</v>
      </c>
      <c r="Q31" s="1117">
        <f>'28'!G88</f>
        <v>38</v>
      </c>
      <c r="R31" s="1117">
        <f>'28'!G87+'28'!H90</f>
        <v>32.899999999991451</v>
      </c>
      <c r="S31" s="1127">
        <f>'28'!$G$62</f>
        <v>7.0000000014260877E-3</v>
      </c>
      <c r="T31" s="1127">
        <f>'28'!$G$63</f>
        <v>10.660000000000082</v>
      </c>
      <c r="U31" s="1127">
        <f>'28'!$G$64</f>
        <v>463.2100000000064</v>
      </c>
      <c r="V31" s="1127">
        <f>'28'!$G$65</f>
        <v>391.17999999999302</v>
      </c>
      <c r="W31" s="1127">
        <f>'28'!$G$66</f>
        <v>416.38999999999942</v>
      </c>
      <c r="X31" s="1127">
        <f>'28'!$G$67</f>
        <v>648</v>
      </c>
      <c r="Y31" s="1127">
        <f>'28'!$G$68</f>
        <v>328</v>
      </c>
      <c r="Z31" s="1127">
        <f>'28'!$G$69</f>
        <v>305.19000000000233</v>
      </c>
      <c r="AA31" s="1127">
        <f>'28'!$G$84</f>
        <v>540</v>
      </c>
      <c r="AB31" s="1127">
        <f>'28'!$G$15</f>
        <v>434.06000000005588</v>
      </c>
      <c r="AC31" s="1127">
        <f>'28'!$G$123</f>
        <v>267.04000000003725</v>
      </c>
      <c r="AD31" s="1127">
        <f>'28'!$G$124</f>
        <v>0</v>
      </c>
      <c r="AE31" s="1127">
        <f>'28'!$G$125</f>
        <v>59</v>
      </c>
      <c r="AF31" s="1127">
        <f>'28'!$G$126</f>
        <v>20</v>
      </c>
      <c r="AG31" s="1127">
        <f>'28'!$G$127</f>
        <v>2</v>
      </c>
      <c r="AH31" s="1127">
        <f t="shared" si="0"/>
        <v>86.020000000018626</v>
      </c>
      <c r="AI31" s="1127">
        <f>'28'!$G$140</f>
        <v>0.47000000000025466</v>
      </c>
      <c r="AJ31" s="1127">
        <f>'28'!$G$136</f>
        <v>-1.0000000002037268E-2</v>
      </c>
      <c r="AK31" s="1127">
        <f>'28'!$G$137</f>
        <v>0</v>
      </c>
      <c r="AL31" s="1127">
        <f>'28'!$G$138</f>
        <v>0</v>
      </c>
      <c r="AM31" s="1124">
        <f t="shared" si="1"/>
        <v>-1.0000000002037268E-2</v>
      </c>
      <c r="AO31" s="1133">
        <f t="shared" si="2"/>
        <v>181.02000000001863</v>
      </c>
    </row>
    <row r="32" spans="1:41" x14ac:dyDescent="0.25">
      <c r="A32" s="1126">
        <v>44072</v>
      </c>
      <c r="B32" s="1127">
        <f>'29'!G72</f>
        <v>72</v>
      </c>
      <c r="C32" s="1127">
        <f>'29'!$G$73</f>
        <v>1</v>
      </c>
      <c r="D32" s="1127">
        <f>'29'!$G$74</f>
        <v>29</v>
      </c>
      <c r="E32" s="1127">
        <f>'29'!$G$75</f>
        <v>193</v>
      </c>
      <c r="F32" s="1127">
        <f>'29'!$G$76</f>
        <v>75</v>
      </c>
      <c r="G32" s="1127">
        <f>'29'!$G$77</f>
        <v>50</v>
      </c>
      <c r="H32" s="1127">
        <f>'29'!$G$78</f>
        <v>399</v>
      </c>
      <c r="I32" s="1127">
        <f>'29'!$G$79</f>
        <v>199</v>
      </c>
      <c r="J32" s="1127">
        <f>'29'!$G$80</f>
        <v>316</v>
      </c>
      <c r="K32" s="1127">
        <f>'29'!$G$81</f>
        <v>94</v>
      </c>
      <c r="L32" s="1127">
        <f>'29'!$G$82</f>
        <v>59.169999999998254</v>
      </c>
      <c r="M32" s="1127">
        <f>'29'!$G$58</f>
        <v>176.38999999999942</v>
      </c>
      <c r="N32" s="1127">
        <f>'29'!$G$83</f>
        <v>385</v>
      </c>
      <c r="O32" s="1127">
        <f>'29'!G86</f>
        <v>87</v>
      </c>
      <c r="P32" s="1127">
        <f>'29'!G87</f>
        <v>35.100000000005821</v>
      </c>
      <c r="Q32" s="1127">
        <f>'29'!G88</f>
        <v>116.95000000001164</v>
      </c>
      <c r="R32" s="1127">
        <f>'29'!G87+'29'!H90</f>
        <v>39.20000000000573</v>
      </c>
      <c r="S32" s="1127">
        <f>'29'!$G$62</f>
        <v>-7.0000000014260877E-3</v>
      </c>
      <c r="T32" s="1127">
        <f>'29'!$G$63</f>
        <v>12.230000000000018</v>
      </c>
      <c r="U32" s="1127">
        <f>'29'!$G$64</f>
        <v>445.39999999999418</v>
      </c>
      <c r="V32" s="1127">
        <f>'29'!$G$65</f>
        <v>382.47000000000116</v>
      </c>
      <c r="W32" s="1127">
        <f>'29'!$G$66</f>
        <v>416.84000000000015</v>
      </c>
      <c r="X32" s="1127">
        <f>'29'!$G$67</f>
        <v>676.36999999999534</v>
      </c>
      <c r="Y32" s="1127">
        <f>'29'!$G$68</f>
        <v>329.79000000000087</v>
      </c>
      <c r="Z32" s="1127">
        <f>'29'!$G$69</f>
        <v>315</v>
      </c>
      <c r="AA32" s="1127">
        <f>'29'!$G$84</f>
        <v>547</v>
      </c>
      <c r="AB32" s="1127">
        <f>'29'!$G$15</f>
        <v>826.96999999997206</v>
      </c>
      <c r="AC32" s="1127">
        <f>'29'!$G$123</f>
        <v>242.98999999999069</v>
      </c>
      <c r="AD32" s="1127">
        <f>'29'!$G$124</f>
        <v>0</v>
      </c>
      <c r="AE32" s="1127">
        <f>'29'!$G$125</f>
        <v>70.769999999989523</v>
      </c>
      <c r="AF32" s="1127">
        <f>'29'!$G$126</f>
        <v>32</v>
      </c>
      <c r="AG32" s="1127">
        <f>'29'!$G$127</f>
        <v>2</v>
      </c>
      <c r="AH32" s="1127">
        <f t="shared" si="0"/>
        <v>479.20999999999185</v>
      </c>
      <c r="AI32" s="1127">
        <f>'29'!$G$140</f>
        <v>0</v>
      </c>
      <c r="AJ32" s="1127">
        <f>'29'!$G$136</f>
        <v>8.930000000000291</v>
      </c>
      <c r="AK32" s="1127">
        <f>'29'!$G$137</f>
        <v>0</v>
      </c>
      <c r="AL32" s="1127">
        <f>'29'!$G$138</f>
        <v>0</v>
      </c>
      <c r="AM32" s="1124">
        <f t="shared" si="1"/>
        <v>8.930000000000291</v>
      </c>
      <c r="AO32" s="1133">
        <f t="shared" si="2"/>
        <v>-236.22000000000116</v>
      </c>
    </row>
    <row r="33" spans="1:41" s="1130" customFormat="1" x14ac:dyDescent="0.25">
      <c r="A33" s="1126">
        <v>44073</v>
      </c>
      <c r="B33" s="1117">
        <f>'30'!G72</f>
        <v>84</v>
      </c>
      <c r="C33" s="1117">
        <f>'30'!$G$73</f>
        <v>0</v>
      </c>
      <c r="D33" s="1117">
        <f>'30'!$G$74</f>
        <v>33</v>
      </c>
      <c r="E33" s="1117">
        <f>'30'!$G$75</f>
        <v>182</v>
      </c>
      <c r="F33" s="1117">
        <f>'30'!$G$76</f>
        <v>70</v>
      </c>
      <c r="G33" s="1117">
        <f>'30'!$G$77</f>
        <v>44</v>
      </c>
      <c r="H33" s="1117">
        <f>'30'!$G$78</f>
        <v>376</v>
      </c>
      <c r="I33" s="1117">
        <f>'30'!$G$79</f>
        <v>179</v>
      </c>
      <c r="J33" s="1117">
        <f>'30'!$G$80</f>
        <v>291</v>
      </c>
      <c r="K33" s="1117">
        <f>'30'!$G$81</f>
        <v>94.520000000018626</v>
      </c>
      <c r="L33" s="1117">
        <f>'30'!$G$82</f>
        <v>48.370000000009895</v>
      </c>
      <c r="M33" s="1117">
        <f>'30'!$G$58</f>
        <v>107.85000000000218</v>
      </c>
      <c r="N33" s="1117">
        <f>'30'!$G$83</f>
        <v>374</v>
      </c>
      <c r="O33" s="1117">
        <f>'30'!G86</f>
        <v>145</v>
      </c>
      <c r="P33" s="1117">
        <f>'30'!G87</f>
        <v>21.5</v>
      </c>
      <c r="Q33" s="1117">
        <f>'30'!G88</f>
        <v>81.049999999988358</v>
      </c>
      <c r="R33" s="1117">
        <f>'30'!G87+'30'!H90</f>
        <v>23.599999999999909</v>
      </c>
      <c r="S33" s="1117">
        <f>'30'!$G$62</f>
        <v>0</v>
      </c>
      <c r="T33" s="1117">
        <f>'30'!$G$63</f>
        <v>12.759999999999991</v>
      </c>
      <c r="U33" s="1117">
        <f>'30'!$G$64</f>
        <v>401.60000000000582</v>
      </c>
      <c r="V33" s="1117">
        <f>'30'!$G$65</f>
        <v>389.35000000000582</v>
      </c>
      <c r="W33" s="1117">
        <f>'30'!$G$66</f>
        <v>423.15999999999985</v>
      </c>
      <c r="X33" s="1117">
        <f>'30'!$G$67</f>
        <v>677.63000000000466</v>
      </c>
      <c r="Y33" s="1117">
        <f>'30'!$G$68</f>
        <v>315.20999999999913</v>
      </c>
      <c r="Z33" s="1117">
        <f>'30'!$G$69</f>
        <v>314.55999999999767</v>
      </c>
      <c r="AA33" s="1117">
        <f>'30'!$G$84</f>
        <v>489</v>
      </c>
      <c r="AB33" s="1117">
        <f>'30'!$G$15</f>
        <v>667.76000000000931</v>
      </c>
      <c r="AC33" s="1117">
        <f>'30'!$G$123</f>
        <v>270.01000000000931</v>
      </c>
      <c r="AD33" s="1117">
        <f>'30'!$G$124</f>
        <v>0</v>
      </c>
      <c r="AE33" s="1117">
        <f>'30'!$G$125</f>
        <v>52.230000000010477</v>
      </c>
      <c r="AF33" s="1117">
        <f>'30'!$G$126</f>
        <v>31</v>
      </c>
      <c r="AG33" s="1117">
        <f>'30'!$G$127</f>
        <v>5</v>
      </c>
      <c r="AH33" s="1117">
        <f t="shared" si="0"/>
        <v>309.51999999998952</v>
      </c>
      <c r="AI33" s="1117">
        <f>'30'!$G$140</f>
        <v>0</v>
      </c>
      <c r="AJ33" s="1117">
        <f>'30'!$G$136</f>
        <v>3.75</v>
      </c>
      <c r="AK33" s="1117">
        <f>'30'!$G$137</f>
        <v>0</v>
      </c>
      <c r="AL33" s="1117">
        <f>'30'!$G$138</f>
        <v>4.1100000000005821</v>
      </c>
      <c r="AM33" s="1129">
        <f t="shared" si="1"/>
        <v>7.8600000000005821</v>
      </c>
      <c r="AO33" s="1134">
        <f t="shared" si="2"/>
        <v>-39.509999999980209</v>
      </c>
    </row>
    <row r="34" spans="1:41" x14ac:dyDescent="0.25">
      <c r="A34" s="1126">
        <v>44074</v>
      </c>
      <c r="B34" s="1127">
        <f>'31'!G72</f>
        <v>101</v>
      </c>
      <c r="C34" s="1127">
        <f>'31'!$G$73</f>
        <v>0</v>
      </c>
      <c r="D34" s="1127">
        <f>'31'!$G$74</f>
        <v>33</v>
      </c>
      <c r="E34" s="1127">
        <f>'31'!$G$74</f>
        <v>33</v>
      </c>
      <c r="F34" s="1127">
        <f>'31'!$G$76</f>
        <v>74</v>
      </c>
      <c r="G34" s="1117">
        <f>'31'!$G$77</f>
        <v>61</v>
      </c>
      <c r="H34" s="1117">
        <f>'31'!$G$78</f>
        <v>472</v>
      </c>
      <c r="I34" s="1117">
        <f>'31'!$G$79</f>
        <v>189</v>
      </c>
      <c r="J34" s="1117">
        <f>'31'!$G$80</f>
        <v>333</v>
      </c>
      <c r="K34" s="1117">
        <f>'31'!$G$81</f>
        <v>112.47999999998137</v>
      </c>
      <c r="L34" s="1117">
        <f>'31'!$G$82</f>
        <v>52.089999999996508</v>
      </c>
      <c r="M34" s="1117">
        <f>'31'!$G$58</f>
        <v>209.66999999999825</v>
      </c>
      <c r="N34" s="1117">
        <f>'31'!$G$83</f>
        <v>415</v>
      </c>
      <c r="O34" s="1117">
        <f>'31'!G86</f>
        <v>73</v>
      </c>
      <c r="P34" s="1117">
        <f>'31'!G88</f>
        <v>38</v>
      </c>
      <c r="Q34" s="1117">
        <f>'31'!G89</f>
        <v>64</v>
      </c>
      <c r="R34" s="1117">
        <f>'31'!G87+'31'!H90</f>
        <v>17.80000000000291</v>
      </c>
      <c r="S34" s="1127">
        <f>'31'!$G$62</f>
        <v>8.9999999981955625E-3</v>
      </c>
      <c r="T34" s="1127">
        <f>'31'!$G$63</f>
        <v>13.879999999999882</v>
      </c>
      <c r="U34" s="1127">
        <f>'31'!$G$64</f>
        <v>420.4600000000064</v>
      </c>
      <c r="V34" s="1127">
        <f>'31'!$G$65</f>
        <v>395.11000000000058</v>
      </c>
      <c r="W34" s="1127">
        <f>'31'!$G$66</f>
        <v>415.73999999999978</v>
      </c>
      <c r="X34" s="1127">
        <f>'31'!$G$67</f>
        <v>727.52999999999884</v>
      </c>
      <c r="Y34" s="1127">
        <f>'31'!$G$68</f>
        <v>296.86000000000058</v>
      </c>
      <c r="Z34" s="1127">
        <f>'31'!$G$69</f>
        <v>316.15000000000146</v>
      </c>
      <c r="AA34" s="1127">
        <f>'31'!$G$84</f>
        <v>504</v>
      </c>
      <c r="AB34" s="1127">
        <f>'31'!$G$15</f>
        <v>868.41999999992549</v>
      </c>
      <c r="AC34" s="1127">
        <f>'31'!$G$123</f>
        <v>282.40000000002328</v>
      </c>
      <c r="AD34" s="1127">
        <f>'31'!$G$124</f>
        <v>0</v>
      </c>
      <c r="AE34" s="1127">
        <f>'31'!$G$125</f>
        <v>56</v>
      </c>
      <c r="AF34" s="1127">
        <f>'31'!$G$126</f>
        <v>40.69999999999709</v>
      </c>
      <c r="AG34" s="1127">
        <f>'31'!$G$127</f>
        <v>4</v>
      </c>
      <c r="AH34" s="1127">
        <f t="shared" si="0"/>
        <v>485.31999999990512</v>
      </c>
      <c r="AI34" s="1127">
        <f>'31'!$G$140</f>
        <v>0</v>
      </c>
      <c r="AJ34" s="1127">
        <f>'31'!$G$136</f>
        <v>9.4799999999995634</v>
      </c>
      <c r="AK34" s="1127">
        <f>'31'!$G$137</f>
        <v>0</v>
      </c>
      <c r="AL34" s="1127">
        <f>'31'!$G$138</f>
        <v>0</v>
      </c>
      <c r="AM34" s="1124">
        <f t="shared" si="1"/>
        <v>9.4799999999995634</v>
      </c>
      <c r="AO34" s="1133">
        <f t="shared" si="2"/>
        <v>-202.91999999988184</v>
      </c>
    </row>
    <row r="35" spans="1:41" x14ac:dyDescent="0.25">
      <c r="A35" s="1169"/>
      <c r="G35" s="1130"/>
      <c r="H35" s="1130"/>
      <c r="I35" s="1130"/>
      <c r="J35" s="1130"/>
      <c r="K35" s="1130"/>
      <c r="L35" s="1130"/>
      <c r="M35" s="1130"/>
      <c r="N35" s="1130"/>
      <c r="O35" s="1130"/>
      <c r="P35" s="1130"/>
      <c r="Q35" s="1130"/>
      <c r="R35" s="1130"/>
    </row>
    <row r="36" spans="1:41" x14ac:dyDescent="0.25">
      <c r="A36" s="1170"/>
      <c r="AC36" s="1172" t="s">
        <v>122</v>
      </c>
      <c r="AD36" s="1173">
        <v>191</v>
      </c>
      <c r="AE36" s="1173"/>
      <c r="AF36" s="1173"/>
    </row>
    <row r="37" spans="1:41" x14ac:dyDescent="0.25">
      <c r="A37" s="1170"/>
      <c r="AC37" s="1173"/>
      <c r="AD37" s="1173">
        <v>88</v>
      </c>
      <c r="AE37" s="1173"/>
      <c r="AF37" s="1173"/>
    </row>
    <row r="38" spans="1:41" x14ac:dyDescent="0.25">
      <c r="A38" s="1170"/>
      <c r="AC38" s="1173"/>
      <c r="AD38" s="1174">
        <f>SUM(AD36:AD37)</f>
        <v>279</v>
      </c>
      <c r="AE38" s="1175" t="s">
        <v>123</v>
      </c>
      <c r="AF38" s="1175">
        <v>335</v>
      </c>
    </row>
    <row r="39" spans="1:41" x14ac:dyDescent="0.25">
      <c r="A39" s="1170"/>
      <c r="AC39" s="1173"/>
      <c r="AD39" s="1173"/>
      <c r="AE39" s="1173"/>
      <c r="AF39" s="1173"/>
    </row>
    <row r="40" spans="1:41" x14ac:dyDescent="0.25">
      <c r="A40" s="1170"/>
      <c r="B40" s="1133"/>
      <c r="C40" s="1133"/>
      <c r="D40" s="1133"/>
      <c r="E40" s="1133"/>
      <c r="F40" s="1133"/>
      <c r="G40" s="1133"/>
      <c r="H40" s="1133"/>
      <c r="I40" s="1133"/>
      <c r="J40" s="1133"/>
      <c r="K40" s="1133"/>
      <c r="L40" s="1133"/>
      <c r="M40" s="1133"/>
      <c r="N40" s="1133"/>
      <c r="O40" s="1133"/>
      <c r="P40" s="1133"/>
      <c r="Q40" s="1133"/>
      <c r="R40" s="1133"/>
      <c r="S40" s="1133"/>
      <c r="T40" s="1133"/>
      <c r="U40" s="1133"/>
      <c r="V40" s="1133"/>
      <c r="W40" s="1133"/>
      <c r="X40" s="1133"/>
      <c r="Y40" s="1133"/>
      <c r="Z40" s="1133"/>
      <c r="AB40" s="1133"/>
      <c r="AC40" s="1172" t="s">
        <v>124</v>
      </c>
      <c r="AD40" s="1174">
        <v>168</v>
      </c>
      <c r="AE40" s="1173"/>
      <c r="AF40" s="1173"/>
    </row>
    <row r="41" spans="1:41" x14ac:dyDescent="0.25">
      <c r="A41" s="1170"/>
      <c r="AC41" s="1173"/>
      <c r="AD41" s="1173"/>
      <c r="AE41" s="1175" t="s">
        <v>125</v>
      </c>
      <c r="AF41" s="1173"/>
    </row>
    <row r="42" spans="1:41" x14ac:dyDescent="0.25">
      <c r="A42" s="1170"/>
      <c r="AC42" s="1173" t="s">
        <v>126</v>
      </c>
      <c r="AD42" s="1173">
        <f>20*38.68</f>
        <v>773.6</v>
      </c>
      <c r="AE42" s="1173" t="s">
        <v>127</v>
      </c>
      <c r="AF42" s="1173"/>
    </row>
    <row r="43" spans="1:41" x14ac:dyDescent="0.25">
      <c r="A43" s="1170"/>
    </row>
    <row r="44" spans="1:41" x14ac:dyDescent="0.25">
      <c r="A44" s="1170"/>
    </row>
    <row r="45" spans="1:41" x14ac:dyDescent="0.25">
      <c r="A45" s="1170"/>
    </row>
    <row r="46" spans="1:41" x14ac:dyDescent="0.25">
      <c r="A46" s="1170"/>
    </row>
    <row r="47" spans="1:41" x14ac:dyDescent="0.25">
      <c r="A47" s="1170"/>
    </row>
    <row r="48" spans="1:41" x14ac:dyDescent="0.25">
      <c r="A48" s="1170"/>
    </row>
    <row r="49" spans="1:1" x14ac:dyDescent="0.25">
      <c r="A49" s="1170"/>
    </row>
    <row r="50" spans="1:1" x14ac:dyDescent="0.25">
      <c r="A50" s="1170"/>
    </row>
    <row r="51" spans="1:1" x14ac:dyDescent="0.25">
      <c r="A51" s="1170"/>
    </row>
    <row r="52" spans="1:1" x14ac:dyDescent="0.25">
      <c r="A52" s="1170"/>
    </row>
    <row r="53" spans="1:1" x14ac:dyDescent="0.25">
      <c r="A53" s="1170"/>
    </row>
    <row r="54" spans="1:1" x14ac:dyDescent="0.25">
      <c r="A54" s="1170"/>
    </row>
    <row r="55" spans="1:1" x14ac:dyDescent="0.25">
      <c r="A55" s="1170"/>
    </row>
    <row r="56" spans="1:1" x14ac:dyDescent="0.25">
      <c r="A56" s="1170"/>
    </row>
    <row r="57" spans="1:1" x14ac:dyDescent="0.25">
      <c r="A57" s="1170"/>
    </row>
    <row r="58" spans="1:1" x14ac:dyDescent="0.25">
      <c r="A58" s="1170"/>
    </row>
    <row r="59" spans="1:1" x14ac:dyDescent="0.25">
      <c r="A59" s="1170"/>
    </row>
    <row r="60" spans="1:1" x14ac:dyDescent="0.25">
      <c r="A60" s="1170"/>
    </row>
    <row r="61" spans="1:1" x14ac:dyDescent="0.25">
      <c r="A61" s="1170"/>
    </row>
    <row r="62" spans="1:1" x14ac:dyDescent="0.25">
      <c r="A62" s="1170"/>
    </row>
    <row r="63" spans="1:1" x14ac:dyDescent="0.25">
      <c r="A63" s="1170"/>
    </row>
    <row r="64" spans="1:1" x14ac:dyDescent="0.25">
      <c r="A64" s="1170"/>
    </row>
    <row r="65" spans="1:1" x14ac:dyDescent="0.25">
      <c r="A65" s="1170"/>
    </row>
    <row r="66" spans="1:1" x14ac:dyDescent="0.25">
      <c r="A66" s="1170"/>
    </row>
    <row r="67" spans="1:1" x14ac:dyDescent="0.25">
      <c r="A67" s="1170"/>
    </row>
    <row r="68" spans="1:1" x14ac:dyDescent="0.25">
      <c r="A68" s="1170"/>
    </row>
    <row r="69" spans="1:1" x14ac:dyDescent="0.25">
      <c r="A69" s="1170"/>
    </row>
    <row r="70" spans="1:1" x14ac:dyDescent="0.25">
      <c r="A70" s="1170"/>
    </row>
    <row r="71" spans="1:1" x14ac:dyDescent="0.25">
      <c r="A71" s="1170"/>
    </row>
    <row r="72" spans="1:1" x14ac:dyDescent="0.25">
      <c r="A72" s="1170"/>
    </row>
    <row r="73" spans="1:1" x14ac:dyDescent="0.25">
      <c r="A73" s="1170"/>
    </row>
    <row r="74" spans="1:1" x14ac:dyDescent="0.25">
      <c r="A74" s="1170"/>
    </row>
    <row r="75" spans="1:1" x14ac:dyDescent="0.25">
      <c r="A75" s="1170"/>
    </row>
    <row r="76" spans="1:1" x14ac:dyDescent="0.25">
      <c r="A76" s="1170"/>
    </row>
    <row r="77" spans="1:1" x14ac:dyDescent="0.25">
      <c r="A77" s="1170"/>
    </row>
    <row r="78" spans="1:1" x14ac:dyDescent="0.25">
      <c r="A78" s="1170"/>
    </row>
    <row r="79" spans="1:1" x14ac:dyDescent="0.25">
      <c r="A79" s="1170"/>
    </row>
    <row r="80" spans="1:1" x14ac:dyDescent="0.25">
      <c r="A80" s="1170"/>
    </row>
    <row r="81" spans="1:1" x14ac:dyDescent="0.25">
      <c r="A81" s="1170"/>
    </row>
    <row r="82" spans="1:1" x14ac:dyDescent="0.25">
      <c r="A82" s="1170"/>
    </row>
    <row r="83" spans="1:1" x14ac:dyDescent="0.25">
      <c r="A83" s="1170"/>
    </row>
    <row r="84" spans="1:1" x14ac:dyDescent="0.25">
      <c r="A84" s="1170"/>
    </row>
    <row r="85" spans="1:1" x14ac:dyDescent="0.25">
      <c r="A85" s="1170"/>
    </row>
    <row r="86" spans="1:1" x14ac:dyDescent="0.25">
      <c r="A86" s="1171"/>
    </row>
    <row r="87" spans="1:1" x14ac:dyDescent="0.25">
      <c r="A87" s="1171"/>
    </row>
    <row r="88" spans="1:1" x14ac:dyDescent="0.25">
      <c r="A88" s="1171"/>
    </row>
    <row r="89" spans="1:1" x14ac:dyDescent="0.25">
      <c r="A89" s="1171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72"/>
  <sheetViews>
    <sheetView view="pageBreakPreview" topLeftCell="A115" zoomScale="61" zoomScaleNormal="61" zoomScaleSheetLayoutView="61" zoomScalePageLayoutView="70" workbookViewId="0">
      <selection activeCell="A123" sqref="A123"/>
    </sheetView>
  </sheetViews>
  <sheetFormatPr defaultColWidth="22.33203125" defaultRowHeight="29.25" x14ac:dyDescent="0.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329</v>
      </c>
      <c r="B2" s="1118">
        <v>44228</v>
      </c>
      <c r="C2" s="1233" t="s">
        <v>69</v>
      </c>
      <c r="D2" s="688">
        <v>0.47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142</v>
      </c>
      <c r="B7" s="656"/>
      <c r="C7" s="656"/>
      <c r="D7" s="599" t="s">
        <v>143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 x14ac:dyDescent="0.45">
      <c r="A8" s="657" t="s">
        <v>144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 x14ac:dyDescent="0.4">
      <c r="A9" s="660" t="s">
        <v>145</v>
      </c>
      <c r="B9" s="661"/>
      <c r="C9" s="661"/>
      <c r="D9" s="599" t="s">
        <v>143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 x14ac:dyDescent="0.4">
      <c r="A10" s="655" t="s">
        <v>146</v>
      </c>
      <c r="B10" s="656"/>
      <c r="C10" s="656"/>
      <c r="D10" s="599" t="s">
        <v>143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 x14ac:dyDescent="0.4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 x14ac:dyDescent="0.4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1" t="s">
        <v>151</v>
      </c>
      <c r="B15" s="666"/>
      <c r="C15" s="666"/>
      <c r="D15" s="599" t="s">
        <v>152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390" t="s">
        <v>154</v>
      </c>
      <c r="B18" s="1391"/>
      <c r="C18" s="1392"/>
      <c r="D18" s="599" t="s">
        <v>155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 x14ac:dyDescent="0.5">
      <c r="A19" s="1390" t="s">
        <v>71</v>
      </c>
      <c r="B19" s="1391"/>
      <c r="C19" s="1392"/>
      <c r="D19" s="599" t="s">
        <v>155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 x14ac:dyDescent="0.5">
      <c r="A20" s="662" t="s">
        <v>156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 x14ac:dyDescent="0.5">
      <c r="A74" s="1419" t="s">
        <v>204</v>
      </c>
      <c r="B74" s="1420"/>
      <c r="C74" s="1421"/>
      <c r="D74" s="599" t="s">
        <v>198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 x14ac:dyDescent="0.5">
      <c r="A89" s="812" t="s">
        <v>214</v>
      </c>
      <c r="B89" s="813"/>
      <c r="C89" s="813"/>
      <c r="D89" s="814" t="s">
        <v>194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 x14ac:dyDescent="0.5">
      <c r="A94" s="1384" t="s">
        <v>219</v>
      </c>
      <c r="B94" s="1385"/>
      <c r="C94" s="1386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226</v>
      </c>
      <c r="J100" s="629">
        <f>H100/DAY(B2)</f>
        <v>6</v>
      </c>
      <c r="K100" s="411"/>
      <c r="L100" s="408"/>
      <c r="N100" s="413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395" t="s">
        <v>230</v>
      </c>
      <c r="B104" s="1396"/>
      <c r="C104" s="1229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 x14ac:dyDescent="0.5">
      <c r="A105" s="1395" t="s">
        <v>77</v>
      </c>
      <c r="B105" s="1396"/>
      <c r="C105" s="1229"/>
      <c r="D105" s="699" t="s">
        <v>155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 x14ac:dyDescent="0.5">
      <c r="A107" s="1398" t="s">
        <v>213</v>
      </c>
      <c r="B107" s="1399"/>
      <c r="C107" s="1229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 x14ac:dyDescent="0.5">
      <c r="A108" s="1400" t="s">
        <v>79</v>
      </c>
      <c r="B108" s="1401"/>
      <c r="C108" s="1229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 x14ac:dyDescent="0.5">
      <c r="A109" s="1395" t="s">
        <v>231</v>
      </c>
      <c r="B109" s="1396"/>
      <c r="C109" s="1229"/>
      <c r="D109" s="699" t="s">
        <v>155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 x14ac:dyDescent="0.5">
      <c r="A110" s="1395" t="s">
        <v>232</v>
      </c>
      <c r="B110" s="1396"/>
      <c r="C110" s="1229"/>
      <c r="D110" s="699" t="s">
        <v>155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 x14ac:dyDescent="0.5">
      <c r="A111" s="1395" t="s">
        <v>233</v>
      </c>
      <c r="B111" s="1396"/>
      <c r="C111" s="1229"/>
      <c r="D111" s="699" t="s">
        <v>155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 x14ac:dyDescent="0.5">
      <c r="A113" s="1400" t="s">
        <v>234</v>
      </c>
      <c r="B113" s="1401"/>
      <c r="C113" s="1229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395" t="s">
        <v>235</v>
      </c>
      <c r="B114" s="1396"/>
      <c r="C114" s="651"/>
      <c r="D114" s="699" t="s">
        <v>155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 x14ac:dyDescent="0.5">
      <c r="A115" s="1395" t="s">
        <v>236</v>
      </c>
      <c r="B115" s="1396"/>
      <c r="C115" s="651"/>
      <c r="D115" s="699" t="s">
        <v>155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 x14ac:dyDescent="0.5">
      <c r="A117" s="1398" t="s">
        <v>213</v>
      </c>
      <c r="B117" s="1399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 x14ac:dyDescent="0.5">
      <c r="A118" s="1429" t="s">
        <v>238</v>
      </c>
      <c r="B118" s="1430"/>
      <c r="C118" s="1228"/>
      <c r="D118" s="701" t="s">
        <v>155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 x14ac:dyDescent="0.5">
      <c r="A119" s="1429" t="s">
        <v>239</v>
      </c>
      <c r="B119" s="1430"/>
      <c r="C119" s="1228"/>
      <c r="D119" s="701" t="s">
        <v>155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 x14ac:dyDescent="0.5">
      <c r="A120" s="1429" t="s">
        <v>240</v>
      </c>
      <c r="B120" s="1430"/>
      <c r="C120" s="1228"/>
      <c r="D120" s="701" t="s">
        <v>155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 x14ac:dyDescent="0.5">
      <c r="A121" s="1431"/>
      <c r="B121" s="1432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 x14ac:dyDescent="0.5">
      <c r="A133" s="876" t="s">
        <v>253</v>
      </c>
      <c r="B133" s="1329"/>
      <c r="C133" s="1329"/>
      <c r="D133" s="600" t="s">
        <v>250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30"/>
      <c r="J133" s="630">
        <f>H133/DAY(B2)</f>
        <v>0</v>
      </c>
      <c r="N133" s="803"/>
      <c r="O133" s="413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274</v>
      </c>
      <c r="B160" s="869"/>
      <c r="C160" s="869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 x14ac:dyDescent="0.5">
      <c r="G172" s="616">
        <f>SUM(G160:G171)</f>
        <v>3416.0210000000034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6"/>
  <sheetViews>
    <sheetView view="pageBreakPreview" topLeftCell="A22" zoomScale="50" zoomScaleSheetLayoutView="50" workbookViewId="0">
      <selection activeCell="F28" sqref="F28"/>
    </sheetView>
  </sheetViews>
  <sheetFormatPr defaultColWidth="22.33203125" defaultRowHeight="29.25" x14ac:dyDescent="0.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304</v>
      </c>
      <c r="B2" s="1118">
        <v>44229</v>
      </c>
      <c r="C2" s="1233" t="s">
        <v>69</v>
      </c>
      <c r="D2" s="688">
        <v>0.48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142</v>
      </c>
      <c r="B7" s="656"/>
      <c r="C7" s="656"/>
      <c r="D7" s="599" t="s">
        <v>143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 x14ac:dyDescent="0.45">
      <c r="A8" s="657" t="s">
        <v>144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 x14ac:dyDescent="0.4">
      <c r="A9" s="660" t="s">
        <v>145</v>
      </c>
      <c r="B9" s="661"/>
      <c r="C9" s="661"/>
      <c r="D9" s="599" t="s">
        <v>143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 x14ac:dyDescent="0.4">
      <c r="A10" s="655" t="s">
        <v>146</v>
      </c>
      <c r="B10" s="656"/>
      <c r="C10" s="656"/>
      <c r="D10" s="599" t="s">
        <v>143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 x14ac:dyDescent="0.4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 x14ac:dyDescent="0.4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 x14ac:dyDescent="0.5">
      <c r="A15" s="1231" t="s">
        <v>151</v>
      </c>
      <c r="B15" s="666"/>
      <c r="C15" s="666"/>
      <c r="D15" s="599" t="s">
        <v>152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 x14ac:dyDescent="0.5">
      <c r="A18" s="1390" t="s">
        <v>154</v>
      </c>
      <c r="B18" s="1391"/>
      <c r="C18" s="1392"/>
      <c r="D18" s="599" t="s">
        <v>155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 x14ac:dyDescent="0.5">
      <c r="A19" s="1390" t="s">
        <v>71</v>
      </c>
      <c r="B19" s="1391"/>
      <c r="C19" s="1392"/>
      <c r="D19" s="599" t="s">
        <v>155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 x14ac:dyDescent="0.5">
      <c r="A20" s="662" t="s">
        <v>156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 x14ac:dyDescent="0.5">
      <c r="A74" s="1387" t="s">
        <v>204</v>
      </c>
      <c r="B74" s="1388"/>
      <c r="C74" s="1389"/>
      <c r="D74" s="599" t="s">
        <v>198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 x14ac:dyDescent="0.5">
      <c r="A94" s="1384" t="s">
        <v>219</v>
      </c>
      <c r="B94" s="1385"/>
      <c r="C94" s="1386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 x14ac:dyDescent="0.5">
      <c r="A104" s="1395" t="s">
        <v>230</v>
      </c>
      <c r="B104" s="1396"/>
      <c r="C104" s="1229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 x14ac:dyDescent="0.5">
      <c r="A105" s="1395" t="s">
        <v>77</v>
      </c>
      <c r="B105" s="1396"/>
      <c r="C105" s="1229"/>
      <c r="D105" s="699" t="s">
        <v>155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 x14ac:dyDescent="0.5">
      <c r="A107" s="1398" t="s">
        <v>213</v>
      </c>
      <c r="B107" s="1399"/>
      <c r="C107" s="1229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 x14ac:dyDescent="0.5">
      <c r="A108" s="1400" t="s">
        <v>79</v>
      </c>
      <c r="B108" s="1401"/>
      <c r="C108" s="1229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 x14ac:dyDescent="0.5">
      <c r="A109" s="1395" t="s">
        <v>231</v>
      </c>
      <c r="B109" s="1396"/>
      <c r="C109" s="1229"/>
      <c r="D109" s="699" t="s">
        <v>155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 x14ac:dyDescent="0.5">
      <c r="A110" s="1395" t="s">
        <v>232</v>
      </c>
      <c r="B110" s="1396"/>
      <c r="C110" s="1229"/>
      <c r="D110" s="699" t="s">
        <v>155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 x14ac:dyDescent="0.5">
      <c r="A111" s="1395" t="s">
        <v>233</v>
      </c>
      <c r="B111" s="1396"/>
      <c r="C111" s="1229"/>
      <c r="D111" s="699" t="s">
        <v>155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 x14ac:dyDescent="0.5">
      <c r="A113" s="1400" t="s">
        <v>234</v>
      </c>
      <c r="B113" s="1401"/>
      <c r="C113" s="1229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 x14ac:dyDescent="0.5">
      <c r="A114" s="1395" t="s">
        <v>235</v>
      </c>
      <c r="B114" s="1396"/>
      <c r="C114" s="651"/>
      <c r="D114" s="699" t="s">
        <v>155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 x14ac:dyDescent="0.5">
      <c r="A115" s="1395" t="s">
        <v>236</v>
      </c>
      <c r="B115" s="1396"/>
      <c r="C115" s="651"/>
      <c r="D115" s="699" t="s">
        <v>155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 x14ac:dyDescent="0.5">
      <c r="A133" s="1231" t="s">
        <v>253</v>
      </c>
      <c r="B133" s="1232"/>
      <c r="C133" s="1232"/>
      <c r="D133" s="599" t="s">
        <v>250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 x14ac:dyDescent="0.5">
      <c r="A158" s="868"/>
      <c r="B158" s="869"/>
      <c r="C158" s="869"/>
      <c r="D158" s="587"/>
      <c r="E158" s="531"/>
      <c r="F158" s="739"/>
      <c r="G158" s="549"/>
    </row>
    <row r="159" spans="1:15" x14ac:dyDescent="0.5">
      <c r="A159" s="868"/>
      <c r="B159" s="869"/>
      <c r="C159" s="869"/>
      <c r="D159" s="587"/>
      <c r="E159" s="531"/>
      <c r="F159" s="739"/>
      <c r="G159" s="549"/>
    </row>
    <row r="160" spans="1:15" x14ac:dyDescent="0.5">
      <c r="A160" s="868" t="s">
        <v>274</v>
      </c>
      <c r="B160" s="869"/>
      <c r="C160" s="869"/>
      <c r="D160" s="587" t="s">
        <v>198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739">
        <v>43149</v>
      </c>
      <c r="F161" s="739">
        <v>43557</v>
      </c>
      <c r="G161" s="549">
        <f t="shared" si="14"/>
        <v>408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739">
        <v>13016</v>
      </c>
      <c r="F162" s="739">
        <v>13216</v>
      </c>
      <c r="G162" s="549">
        <f t="shared" si="14"/>
        <v>200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739">
        <v>5010</v>
      </c>
      <c r="F163" s="739">
        <v>5034</v>
      </c>
      <c r="G163" s="549">
        <f t="shared" si="14"/>
        <v>24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 x14ac:dyDescent="0.5"/>
    <row r="173" spans="1:7" ht="18.75" customHeight="1" x14ac:dyDescent="0.5"/>
    <row r="174" spans="1:7" ht="18.75" customHeight="1" x14ac:dyDescent="0.5"/>
    <row r="175" spans="1:7" ht="18.75" customHeight="1" x14ac:dyDescent="0.5"/>
    <row r="176" spans="1:7" ht="18.75" customHeight="1" x14ac:dyDescent="0.5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0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334</v>
      </c>
      <c r="B2" s="1118">
        <v>44230</v>
      </c>
      <c r="C2" s="1233" t="s">
        <v>69</v>
      </c>
      <c r="D2" s="688">
        <v>0.35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142</v>
      </c>
      <c r="B7" s="758"/>
      <c r="C7" s="758"/>
      <c r="D7" s="715" t="s">
        <v>143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 x14ac:dyDescent="0.45">
      <c r="A8" s="763" t="s">
        <v>144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 x14ac:dyDescent="0.4">
      <c r="A9" s="768" t="s">
        <v>145</v>
      </c>
      <c r="B9" s="769"/>
      <c r="C9" s="769"/>
      <c r="D9" s="715" t="s">
        <v>143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 x14ac:dyDescent="0.4">
      <c r="A10" s="757" t="s">
        <v>146</v>
      </c>
      <c r="B10" s="758"/>
      <c r="C10" s="758"/>
      <c r="D10" s="715" t="s">
        <v>143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 x14ac:dyDescent="0.4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 x14ac:dyDescent="0.4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 x14ac:dyDescent="0.5">
      <c r="A15" s="876" t="s">
        <v>151</v>
      </c>
      <c r="B15" s="871"/>
      <c r="C15" s="871"/>
      <c r="D15" s="600" t="s">
        <v>152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 x14ac:dyDescent="0.4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 x14ac:dyDescent="0.5">
      <c r="A18" s="1443" t="s">
        <v>154</v>
      </c>
      <c r="B18" s="1444"/>
      <c r="C18" s="1445"/>
      <c r="D18" s="715" t="s">
        <v>155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 x14ac:dyDescent="0.5">
      <c r="A19" s="1443" t="s">
        <v>71</v>
      </c>
      <c r="B19" s="1444"/>
      <c r="C19" s="1445"/>
      <c r="D19" s="715" t="s">
        <v>155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 x14ac:dyDescent="0.5">
      <c r="A20" s="773" t="s">
        <v>156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 x14ac:dyDescent="0.5">
      <c r="A74" s="1387" t="s">
        <v>204</v>
      </c>
      <c r="B74" s="1388"/>
      <c r="C74" s="1389"/>
      <c r="D74" s="599" t="s">
        <v>198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 x14ac:dyDescent="0.5">
      <c r="A94" s="1384" t="s">
        <v>219</v>
      </c>
      <c r="B94" s="1385"/>
      <c r="C94" s="1386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 x14ac:dyDescent="0.5">
      <c r="A104" s="1431" t="s">
        <v>230</v>
      </c>
      <c r="B104" s="1432"/>
      <c r="C104" s="1229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 x14ac:dyDescent="0.5">
      <c r="A105" s="1431" t="s">
        <v>77</v>
      </c>
      <c r="B105" s="1432"/>
      <c r="C105" s="1229"/>
      <c r="D105" s="699" t="s">
        <v>155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 x14ac:dyDescent="0.5">
      <c r="A106" s="1431" t="s">
        <v>78</v>
      </c>
      <c r="B106" s="1448"/>
      <c r="C106" s="1432"/>
      <c r="D106" s="699" t="s">
        <v>155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 x14ac:dyDescent="0.5">
      <c r="A107" s="1427" t="s">
        <v>213</v>
      </c>
      <c r="B107" s="1428"/>
      <c r="C107" s="1229"/>
      <c r="D107" s="699"/>
      <c r="E107" s="608"/>
      <c r="F107" s="739" t="s">
        <v>280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 x14ac:dyDescent="0.5">
      <c r="A108" s="1446" t="s">
        <v>79</v>
      </c>
      <c r="B108" s="1447"/>
      <c r="C108" s="1229"/>
      <c r="D108" s="699" t="s">
        <v>155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 x14ac:dyDescent="0.5">
      <c r="A109" s="1431" t="s">
        <v>231</v>
      </c>
      <c r="B109" s="1432"/>
      <c r="C109" s="1229"/>
      <c r="D109" s="699" t="s">
        <v>155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 x14ac:dyDescent="0.5">
      <c r="A110" s="1431" t="s">
        <v>232</v>
      </c>
      <c r="B110" s="1432"/>
      <c r="C110" s="1229"/>
      <c r="D110" s="699" t="s">
        <v>155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 x14ac:dyDescent="0.5">
      <c r="A111" s="1431" t="s">
        <v>233</v>
      </c>
      <c r="B111" s="1432"/>
      <c r="C111" s="1229"/>
      <c r="D111" s="699" t="s">
        <v>155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 x14ac:dyDescent="0.5">
      <c r="A113" s="1446" t="s">
        <v>234</v>
      </c>
      <c r="B113" s="1447"/>
      <c r="C113" s="1229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 x14ac:dyDescent="0.5">
      <c r="A114" s="1431" t="s">
        <v>235</v>
      </c>
      <c r="B114" s="1432"/>
      <c r="C114" s="1228"/>
      <c r="D114" s="699" t="s">
        <v>155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 x14ac:dyDescent="0.5">
      <c r="A115" s="1431" t="s">
        <v>236</v>
      </c>
      <c r="B115" s="1432"/>
      <c r="C115" s="1228"/>
      <c r="D115" s="699" t="s">
        <v>155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 x14ac:dyDescent="0.5">
      <c r="A116" s="1431" t="s">
        <v>237</v>
      </c>
      <c r="B116" s="1432"/>
      <c r="C116" s="1228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 x14ac:dyDescent="0.5">
      <c r="A117" s="1427" t="s">
        <v>213</v>
      </c>
      <c r="B117" s="1428"/>
      <c r="C117" s="1228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 x14ac:dyDescent="0.5">
      <c r="A133" s="1231" t="s">
        <v>253</v>
      </c>
      <c r="B133" s="1232"/>
      <c r="C133" s="1232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 x14ac:dyDescent="0.5">
      <c r="O154" s="413"/>
    </row>
    <row r="157" spans="1:15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 x14ac:dyDescent="0.5">
      <c r="A158" s="868"/>
      <c r="B158" s="869"/>
      <c r="C158" s="869"/>
      <c r="D158" s="587"/>
      <c r="E158" s="531"/>
      <c r="F158" s="739"/>
      <c r="G158" s="549"/>
    </row>
    <row r="159" spans="1:15" x14ac:dyDescent="0.5">
      <c r="A159" s="868"/>
      <c r="B159" s="869"/>
      <c r="C159" s="869"/>
      <c r="D159" s="587"/>
      <c r="E159" s="531"/>
      <c r="F159" s="739"/>
      <c r="G159" s="549"/>
    </row>
    <row r="160" spans="1:15" x14ac:dyDescent="0.5">
      <c r="A160" s="868" t="s">
        <v>274</v>
      </c>
      <c r="B160" s="869"/>
      <c r="C160" s="869"/>
      <c r="D160" s="587" t="s">
        <v>198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739">
        <v>43557</v>
      </c>
      <c r="F161" s="739">
        <v>44054</v>
      </c>
      <c r="G161" s="549">
        <f t="shared" si="17"/>
        <v>497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739">
        <v>13216</v>
      </c>
      <c r="F162" s="739">
        <v>13431</v>
      </c>
      <c r="G162" s="549">
        <f t="shared" si="17"/>
        <v>215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739">
        <v>5034</v>
      </c>
      <c r="F163" s="739">
        <v>5050</v>
      </c>
      <c r="G163" s="549">
        <f t="shared" si="17"/>
        <v>16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 x14ac:dyDescent="0.5">
      <c r="A166" s="1439" t="s">
        <v>107</v>
      </c>
      <c r="B166" s="1439"/>
      <c r="C166" s="1439"/>
      <c r="D166" s="599" t="s">
        <v>198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 x14ac:dyDescent="0.5">
      <c r="A167" s="1439" t="s">
        <v>108</v>
      </c>
      <c r="B167" s="1439"/>
      <c r="C167" s="1439"/>
      <c r="D167" s="599" t="s">
        <v>198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 x14ac:dyDescent="0.5">
      <c r="A168" s="1439" t="s">
        <v>109</v>
      </c>
      <c r="B168" s="1439"/>
      <c r="C168" s="1439"/>
      <c r="D168" s="599" t="s">
        <v>198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 x14ac:dyDescent="0.5">
      <c r="A169" s="1439" t="s">
        <v>110</v>
      </c>
      <c r="B169" s="1439"/>
      <c r="C169" s="1439"/>
      <c r="D169" s="599" t="s">
        <v>198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 x14ac:dyDescent="0.5">
      <c r="A170" s="1439" t="s">
        <v>111</v>
      </c>
      <c r="B170" s="1439"/>
      <c r="C170" s="1439"/>
      <c r="D170" s="599" t="s">
        <v>198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 x14ac:dyDescent="0.5">
      <c r="A171" s="1439" t="s">
        <v>112</v>
      </c>
      <c r="B171" s="1439"/>
      <c r="C171" s="1439"/>
      <c r="D171" s="599" t="s">
        <v>198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 x14ac:dyDescent="0.5"/>
    <row r="184" ht="29.25" customHeight="1" x14ac:dyDescent="0.5"/>
    <row r="185" ht="29.25" customHeight="1" x14ac:dyDescent="0.5"/>
    <row r="186" ht="29.25" customHeight="1" x14ac:dyDescent="0.5"/>
    <row r="187" ht="29.25" customHeight="1" x14ac:dyDescent="0.5"/>
    <row r="188" ht="29.25" customHeight="1" x14ac:dyDescent="0.5"/>
    <row r="189" ht="29.25" customHeight="1" x14ac:dyDescent="0.5"/>
    <row r="190" ht="29.25" customHeight="1" x14ac:dyDescent="0.5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 x14ac:dyDescent="0.5">
      <c r="A2" s="652" t="s">
        <v>335</v>
      </c>
      <c r="B2" s="1118">
        <v>44231</v>
      </c>
      <c r="C2" s="1233" t="s">
        <v>69</v>
      </c>
      <c r="D2" s="688">
        <v>0.38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 x14ac:dyDescent="0.5">
      <c r="A3" s="647"/>
      <c r="B3" s="691"/>
      <c r="C3" s="1233" t="s">
        <v>131</v>
      </c>
      <c r="D3" s="689">
        <v>28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4" s="281" customFormat="1" ht="27" x14ac:dyDescent="0.5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 x14ac:dyDescent="0.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 x14ac:dyDescent="0.4">
      <c r="A6" s="1405" t="s">
        <v>141</v>
      </c>
      <c r="B6" s="1406"/>
      <c r="C6" s="1407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142</v>
      </c>
      <c r="B7" s="758"/>
      <c r="C7" s="758"/>
      <c r="D7" s="715" t="s">
        <v>143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 x14ac:dyDescent="0.45">
      <c r="A8" s="763" t="s">
        <v>144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7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 x14ac:dyDescent="0.4">
      <c r="A9" s="768" t="s">
        <v>145</v>
      </c>
      <c r="B9" s="769"/>
      <c r="C9" s="769"/>
      <c r="D9" s="715" t="s">
        <v>143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 x14ac:dyDescent="0.4">
      <c r="A10" s="757" t="s">
        <v>146</v>
      </c>
      <c r="B10" s="758"/>
      <c r="C10" s="758"/>
      <c r="D10" s="715" t="s">
        <v>143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 x14ac:dyDescent="0.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 x14ac:dyDescent="0.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 x14ac:dyDescent="0.5">
      <c r="A13" s="773" t="s">
        <v>149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 x14ac:dyDescent="0.5">
      <c r="A14" s="1408" t="s">
        <v>150</v>
      </c>
      <c r="B14" s="1409"/>
      <c r="C14" s="1410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 x14ac:dyDescent="0.5">
      <c r="A15" s="876" t="s">
        <v>151</v>
      </c>
      <c r="B15" s="871"/>
      <c r="C15" s="871"/>
      <c r="D15" s="600" t="s">
        <v>152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 x14ac:dyDescent="0.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 x14ac:dyDescent="0.5">
      <c r="A17" s="1408" t="s">
        <v>153</v>
      </c>
      <c r="B17" s="1409"/>
      <c r="C17" s="1410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 x14ac:dyDescent="0.5">
      <c r="A18" s="1443" t="s">
        <v>154</v>
      </c>
      <c r="B18" s="1444"/>
      <c r="C18" s="1445"/>
      <c r="D18" s="715" t="s">
        <v>155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 x14ac:dyDescent="0.5">
      <c r="A20" s="773" t="s">
        <v>156</v>
      </c>
      <c r="B20" s="774"/>
      <c r="C20" s="774"/>
      <c r="D20" s="715"/>
      <c r="E20" s="715"/>
      <c r="F20" s="715"/>
      <c r="G20" s="1136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 x14ac:dyDescent="0.5">
      <c r="A21" s="1408" t="s">
        <v>157</v>
      </c>
      <c r="B21" s="1409"/>
      <c r="C21" s="1410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 x14ac:dyDescent="0.5">
      <c r="A22" s="1231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 x14ac:dyDescent="0.5">
      <c r="A23" s="1231" t="s">
        <v>160</v>
      </c>
      <c r="B23" s="666"/>
      <c r="C23" s="666"/>
      <c r="D23" s="599" t="s">
        <v>159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 x14ac:dyDescent="0.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 x14ac:dyDescent="0.5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 x14ac:dyDescent="0.4">
      <c r="A37" s="655" t="s">
        <v>177</v>
      </c>
      <c r="B37" s="656"/>
      <c r="C37" s="656"/>
      <c r="D37" s="599" t="s">
        <v>143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 x14ac:dyDescent="0.4">
      <c r="A38" s="655" t="s">
        <v>178</v>
      </c>
      <c r="B38" s="656"/>
      <c r="C38" s="656"/>
      <c r="D38" s="599" t="s">
        <v>143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 x14ac:dyDescent="0.4">
      <c r="A39" s="655" t="s">
        <v>179</v>
      </c>
      <c r="B39" s="656"/>
      <c r="C39" s="656"/>
      <c r="D39" s="599" t="s">
        <v>143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 x14ac:dyDescent="0.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 x14ac:dyDescent="0.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 x14ac:dyDescent="0.5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 x14ac:dyDescent="0.5">
      <c r="A48" s="675" t="s">
        <v>188</v>
      </c>
      <c r="B48" s="1236"/>
      <c r="C48" s="1236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 x14ac:dyDescent="0.4">
      <c r="A56" s="655" t="s">
        <v>193</v>
      </c>
      <c r="B56" s="678"/>
      <c r="C56" s="678"/>
      <c r="D56" s="599" t="s">
        <v>194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 x14ac:dyDescent="0.5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196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 x14ac:dyDescent="0.5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 x14ac:dyDescent="0.5">
      <c r="A64" s="1387" t="s">
        <v>107</v>
      </c>
      <c r="B64" s="1388"/>
      <c r="C64" s="1389"/>
      <c r="D64" s="599" t="s">
        <v>198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 x14ac:dyDescent="0.5">
      <c r="A65" s="1387" t="s">
        <v>108</v>
      </c>
      <c r="B65" s="1388"/>
      <c r="C65" s="1389"/>
      <c r="D65" s="599" t="s">
        <v>198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 x14ac:dyDescent="0.5">
      <c r="A66" s="1387" t="s">
        <v>109</v>
      </c>
      <c r="B66" s="1388"/>
      <c r="C66" s="1389"/>
      <c r="D66" s="599" t="s">
        <v>198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 x14ac:dyDescent="0.5">
      <c r="A67" s="1387" t="s">
        <v>110</v>
      </c>
      <c r="B67" s="1388"/>
      <c r="C67" s="1389"/>
      <c r="D67" s="599" t="s">
        <v>198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 x14ac:dyDescent="0.5">
      <c r="A68" s="1387" t="s">
        <v>111</v>
      </c>
      <c r="B68" s="1388"/>
      <c r="C68" s="1389"/>
      <c r="D68" s="599" t="s">
        <v>198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 x14ac:dyDescent="0.5">
      <c r="A69" s="1387" t="s">
        <v>112</v>
      </c>
      <c r="B69" s="1388"/>
      <c r="C69" s="1389"/>
      <c r="D69" s="599" t="s">
        <v>198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 x14ac:dyDescent="0.5">
      <c r="A73" s="1387" t="s">
        <v>203</v>
      </c>
      <c r="B73" s="1388"/>
      <c r="C73" s="1389"/>
      <c r="D73" s="599" t="s">
        <v>198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 x14ac:dyDescent="0.5">
      <c r="A74" s="1387" t="s">
        <v>204</v>
      </c>
      <c r="B74" s="1388"/>
      <c r="C74" s="1389"/>
      <c r="D74" s="599" t="s">
        <v>198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 x14ac:dyDescent="0.5">
      <c r="A75" s="1436" t="s">
        <v>205</v>
      </c>
      <c r="B75" s="1437"/>
      <c r="C75" s="1438"/>
      <c r="D75" s="599" t="s">
        <v>198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 x14ac:dyDescent="0.5">
      <c r="A76" s="1436" t="s">
        <v>206</v>
      </c>
      <c r="B76" s="1437"/>
      <c r="C76" s="1438"/>
      <c r="D76" s="599" t="s">
        <v>198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 x14ac:dyDescent="0.5">
      <c r="A77" s="1387" t="s">
        <v>207</v>
      </c>
      <c r="B77" s="1388"/>
      <c r="C77" s="1389"/>
      <c r="D77" s="599" t="s">
        <v>198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 x14ac:dyDescent="0.5">
      <c r="A78" s="1234" t="s">
        <v>208</v>
      </c>
      <c r="B78" s="1205"/>
      <c r="C78" s="1205"/>
      <c r="D78" s="599" t="s">
        <v>198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 x14ac:dyDescent="0.5">
      <c r="A79" s="1436" t="s">
        <v>97</v>
      </c>
      <c r="B79" s="1437"/>
      <c r="C79" s="1438"/>
      <c r="D79" s="600" t="s">
        <v>198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 x14ac:dyDescent="0.5">
      <c r="A80" s="1436" t="s">
        <v>209</v>
      </c>
      <c r="B80" s="1437"/>
      <c r="C80" s="1438"/>
      <c r="D80" s="600" t="s">
        <v>198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 x14ac:dyDescent="0.5">
      <c r="A94" s="1384" t="s">
        <v>219</v>
      </c>
      <c r="B94" s="1385"/>
      <c r="C94" s="1386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 x14ac:dyDescent="0.5">
      <c r="A101" s="1384" t="s">
        <v>227</v>
      </c>
      <c r="B101" s="1385"/>
      <c r="C101" s="1386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 x14ac:dyDescent="0.35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 x14ac:dyDescent="0.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'3'!F106</f>
        <v>19097</v>
      </c>
      <c r="F106" s="1135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 x14ac:dyDescent="0.5">
      <c r="A107" s="1398" t="s">
        <v>213</v>
      </c>
      <c r="B107" s="1399"/>
      <c r="C107" s="1230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 x14ac:dyDescent="0.5">
      <c r="A112" s="1398" t="s">
        <v>121</v>
      </c>
      <c r="B112" s="1399"/>
      <c r="C112" s="1230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 x14ac:dyDescent="0.5">
      <c r="A113" s="1400" t="s">
        <v>234</v>
      </c>
      <c r="B113" s="1401"/>
      <c r="C113" s="1230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 x14ac:dyDescent="0.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 x14ac:dyDescent="0.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 x14ac:dyDescent="0.5">
      <c r="A141" s="1425" t="s">
        <v>261</v>
      </c>
      <c r="B141" s="1426"/>
      <c r="C141" s="1237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739">
        <v>44054</v>
      </c>
      <c r="F161" s="739">
        <v>44539</v>
      </c>
      <c r="G161" s="549">
        <f t="shared" si="16"/>
        <v>485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739">
        <v>13431</v>
      </c>
      <c r="F162" s="739">
        <v>13657</v>
      </c>
      <c r="G162" s="549">
        <f t="shared" si="16"/>
        <v>226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739">
        <v>5050</v>
      </c>
      <c r="F163" s="739">
        <v>5067</v>
      </c>
      <c r="G163" s="549">
        <f t="shared" si="16"/>
        <v>17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 x14ac:dyDescent="0.5">
      <c r="A166" s="1439" t="s">
        <v>107</v>
      </c>
      <c r="B166" s="1439"/>
      <c r="C166" s="1439"/>
      <c r="D166" s="599" t="s">
        <v>198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 x14ac:dyDescent="0.5">
      <c r="A167" s="1439" t="s">
        <v>108</v>
      </c>
      <c r="B167" s="1439"/>
      <c r="C167" s="1439"/>
      <c r="D167" s="599" t="s">
        <v>198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 x14ac:dyDescent="0.5">
      <c r="A168" s="1439" t="s">
        <v>109</v>
      </c>
      <c r="B168" s="1439"/>
      <c r="C168" s="1439"/>
      <c r="D168" s="599" t="s">
        <v>198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 x14ac:dyDescent="0.5">
      <c r="A169" s="1439" t="s">
        <v>110</v>
      </c>
      <c r="B169" s="1439"/>
      <c r="C169" s="1439"/>
      <c r="D169" s="599" t="s">
        <v>198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 x14ac:dyDescent="0.5">
      <c r="A170" s="1439" t="s">
        <v>111</v>
      </c>
      <c r="B170" s="1439"/>
      <c r="C170" s="1439"/>
      <c r="D170" s="599" t="s">
        <v>198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 x14ac:dyDescent="0.5"/>
    <row r="184" ht="18.75" customHeight="1" x14ac:dyDescent="0.5"/>
    <row r="185" ht="18.75" customHeight="1" x14ac:dyDescent="0.5"/>
    <row r="186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336</v>
      </c>
      <c r="B2" s="1118">
        <v>44201</v>
      </c>
      <c r="C2" s="1233" t="s">
        <v>69</v>
      </c>
      <c r="D2" s="688">
        <v>0.42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142</v>
      </c>
      <c r="B7" s="758"/>
      <c r="C7" s="758"/>
      <c r="D7" s="715" t="s">
        <v>143</v>
      </c>
      <c r="E7" s="710">
        <f>'4'!F7</f>
        <v>3964496</v>
      </c>
      <c r="F7" s="1341">
        <v>3983020</v>
      </c>
      <c r="G7" s="1346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 x14ac:dyDescent="0.45">
      <c r="A8" s="763" t="s">
        <v>144</v>
      </c>
      <c r="B8" s="764"/>
      <c r="C8" s="765"/>
      <c r="D8" s="766" t="s">
        <v>25</v>
      </c>
      <c r="E8" s="710">
        <f>'4'!F8</f>
        <v>3990282</v>
      </c>
      <c r="F8" s="1342">
        <v>4008878</v>
      </c>
      <c r="G8" s="1346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 x14ac:dyDescent="0.4">
      <c r="A9" s="768" t="s">
        <v>145</v>
      </c>
      <c r="B9" s="769"/>
      <c r="C9" s="769"/>
      <c r="D9" s="715" t="s">
        <v>143</v>
      </c>
      <c r="E9" s="712">
        <f>'4'!F9</f>
        <v>20960</v>
      </c>
      <c r="F9" s="1338">
        <v>22540</v>
      </c>
      <c r="G9" s="1346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 x14ac:dyDescent="0.4">
      <c r="A10" s="757" t="s">
        <v>146</v>
      </c>
      <c r="B10" s="758"/>
      <c r="C10" s="758"/>
      <c r="D10" s="715" t="s">
        <v>143</v>
      </c>
      <c r="E10" s="712">
        <f>'4'!F10</f>
        <v>1239081</v>
      </c>
      <c r="F10" s="1338">
        <v>1255235</v>
      </c>
      <c r="G10" s="1346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 x14ac:dyDescent="0.4">
      <c r="A11" s="757" t="s">
        <v>147</v>
      </c>
      <c r="B11" s="758"/>
      <c r="C11" s="758"/>
      <c r="D11" s="715" t="s">
        <v>143</v>
      </c>
      <c r="E11" s="710">
        <f>'4'!F11</f>
        <v>35540</v>
      </c>
      <c r="F11" s="1341">
        <v>35540</v>
      </c>
      <c r="G11" s="1346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 x14ac:dyDescent="0.4">
      <c r="A12" s="757" t="s">
        <v>148</v>
      </c>
      <c r="B12" s="758"/>
      <c r="C12" s="758"/>
      <c r="D12" s="715" t="s">
        <v>143</v>
      </c>
      <c r="E12" s="712">
        <f>'4'!F12</f>
        <v>38010</v>
      </c>
      <c r="F12" s="1338">
        <v>38010</v>
      </c>
      <c r="G12" s="1346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 x14ac:dyDescent="0.5">
      <c r="A13" s="773" t="s">
        <v>149</v>
      </c>
      <c r="B13" s="774"/>
      <c r="C13" s="774"/>
      <c r="D13" s="715"/>
      <c r="E13" s="710"/>
      <c r="F13" s="1341"/>
      <c r="G13" s="1346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1183"/>
      <c r="G14" s="1349"/>
      <c r="H14" s="548"/>
      <c r="I14" s="548"/>
      <c r="J14" s="628"/>
      <c r="K14" s="468"/>
      <c r="L14" s="408"/>
      <c r="N14" s="413">
        <v>432</v>
      </c>
      <c r="O14" s="413"/>
    </row>
    <row r="15" spans="1:15" x14ac:dyDescent="0.5">
      <c r="A15" s="1344" t="s">
        <v>151</v>
      </c>
      <c r="B15" s="871"/>
      <c r="C15" s="871"/>
      <c r="D15" s="872" t="s">
        <v>152</v>
      </c>
      <c r="E15" s="1345">
        <f>'4'!F15</f>
        <v>1597765</v>
      </c>
      <c r="F15" s="1345">
        <v>1598543</v>
      </c>
      <c r="G15" s="1346">
        <f t="shared" ref="G15" si="2">F15-E15</f>
        <v>778</v>
      </c>
      <c r="H15" s="1347">
        <f>G15+'4'!H15</f>
        <v>4105.8500000000931</v>
      </c>
      <c r="I15" s="1185">
        <v>800</v>
      </c>
      <c r="J15" s="1348">
        <f>H15/DAY(B2)</f>
        <v>821.1700000000186</v>
      </c>
      <c r="K15" s="467"/>
      <c r="L15" s="408"/>
      <c r="N15" s="413"/>
      <c r="O15" s="413"/>
    </row>
    <row r="16" spans="1:15" x14ac:dyDescent="0.4">
      <c r="A16" s="874"/>
      <c r="B16" s="875"/>
      <c r="C16" s="875"/>
      <c r="D16" s="872"/>
      <c r="E16" s="1345"/>
      <c r="F16" s="1345"/>
      <c r="G16" s="1346"/>
      <c r="H16" s="1347"/>
      <c r="I16" s="1181">
        <f>I15-J15</f>
        <v>-21.170000000018604</v>
      </c>
      <c r="J16" s="1348"/>
      <c r="K16" s="467"/>
      <c r="L16" s="408"/>
      <c r="N16" s="413"/>
      <c r="O16" s="413"/>
    </row>
    <row r="17" spans="1:15" x14ac:dyDescent="0.5">
      <c r="A17" s="1408" t="s">
        <v>153</v>
      </c>
      <c r="B17" s="1409"/>
      <c r="C17" s="1410"/>
      <c r="D17" s="548"/>
      <c r="E17" s="548"/>
      <c r="F17" s="1183"/>
      <c r="G17" s="1347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443" t="s">
        <v>154</v>
      </c>
      <c r="B18" s="1444"/>
      <c r="C18" s="1445"/>
      <c r="D18" s="715" t="s">
        <v>155</v>
      </c>
      <c r="E18" s="712">
        <f>'4'!F18</f>
        <v>10</v>
      </c>
      <c r="F18" s="1338">
        <v>14</v>
      </c>
      <c r="G18" s="1346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 x14ac:dyDescent="0.5">
      <c r="A19" s="1443" t="s">
        <v>71</v>
      </c>
      <c r="B19" s="1444"/>
      <c r="C19" s="1445"/>
      <c r="D19" s="715" t="s">
        <v>155</v>
      </c>
      <c r="E19" s="712">
        <f>'4'!F19</f>
        <v>133251</v>
      </c>
      <c r="F19" s="1338">
        <v>133292</v>
      </c>
      <c r="G19" s="1346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 x14ac:dyDescent="0.5">
      <c r="A20" s="773" t="s">
        <v>156</v>
      </c>
      <c r="B20" s="774"/>
      <c r="C20" s="774"/>
      <c r="D20" s="715"/>
      <c r="E20" s="715"/>
      <c r="F20" s="715"/>
      <c r="G20" s="1350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f>'4'!F35</f>
        <v>634203</v>
      </c>
      <c r="F35" s="1331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f>'4'!F36</f>
        <v>279046</v>
      </c>
      <c r="F36" s="1331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f>'4'!F37</f>
        <v>1302</v>
      </c>
      <c r="F37" s="1331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f>'4'!F38</f>
        <v>904</v>
      </c>
      <c r="F38" s="1332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f>'4'!F39</f>
        <v>3521</v>
      </c>
      <c r="F39" s="1331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1331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f>'4'!F41</f>
        <v>58615</v>
      </c>
      <c r="F41" s="1331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1331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f>'4'!F43</f>
        <v>776889</v>
      </c>
      <c r="F43" s="1331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f>'4'!F44</f>
        <v>0</v>
      </c>
      <c r="F44" s="1331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1331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1331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 x14ac:dyDescent="0.5">
      <c r="A47" s="662" t="s">
        <v>187</v>
      </c>
      <c r="B47" s="663"/>
      <c r="C47" s="663"/>
      <c r="D47" s="546"/>
      <c r="E47" s="587"/>
      <c r="F47" s="1333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1334"/>
      <c r="G48" s="548"/>
      <c r="H48" s="548"/>
      <c r="I48" s="548"/>
      <c r="J48" s="628"/>
      <c r="K48" s="467"/>
      <c r="L48" s="408"/>
      <c r="N48" s="413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f>'4'!F49</f>
        <v>251968</v>
      </c>
      <c r="F49" s="1331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f>'4'!F50</f>
        <v>373146</v>
      </c>
      <c r="F50" s="1331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f>'4'!F51</f>
        <v>114718</v>
      </c>
      <c r="F51" s="1331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f>'4'!F52</f>
        <v>500900</v>
      </c>
      <c r="F52" s="1331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f>'4'!F53</f>
        <v>317457</v>
      </c>
      <c r="F53" s="1331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f>'4'!F54</f>
        <v>6419</v>
      </c>
      <c r="F54" s="1331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f>'4'!F55</f>
        <v>41404</v>
      </c>
      <c r="F55" s="1343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f>'4'!F56</f>
        <v>557739</v>
      </c>
      <c r="F56" s="1343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f>'4'!F57</f>
        <v>0</v>
      </c>
      <c r="F57" s="1331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f>'4'!F58</f>
        <v>31209</v>
      </c>
      <c r="F58" s="1335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1333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1333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1336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1337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'4'!F63</f>
        <v>1391</v>
      </c>
      <c r="F63" s="1337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f>'4'!F64</f>
        <v>113002</v>
      </c>
      <c r="F64" s="1338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f>'4'!F65</f>
        <v>123239</v>
      </c>
      <c r="F65" s="1339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f>'4'!F66</f>
        <v>15769</v>
      </c>
      <c r="F66" s="1338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f>'4'!F67</f>
        <v>191429</v>
      </c>
      <c r="F67" s="1338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f>'4'!F68</f>
        <v>64643</v>
      </c>
      <c r="F68" s="1338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f>'4'!F69</f>
        <v>56963</v>
      </c>
      <c r="F69" s="1338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1340"/>
      <c r="G70" s="594"/>
      <c r="H70" s="536"/>
      <c r="I70" s="594"/>
      <c r="J70" s="633"/>
      <c r="K70" s="470"/>
      <c r="L70" s="408"/>
      <c r="N70" s="413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f>'4'!F72</f>
        <v>848804</v>
      </c>
      <c r="F72" s="1351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f>'4'!F73</f>
        <v>885729</v>
      </c>
      <c r="F73" s="1352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 x14ac:dyDescent="0.5">
      <c r="A74" s="1387" t="s">
        <v>204</v>
      </c>
      <c r="B74" s="1388"/>
      <c r="C74" s="1389"/>
      <c r="D74" s="599" t="s">
        <v>198</v>
      </c>
      <c r="E74" s="597">
        <f>'4'!F74</f>
        <v>882475</v>
      </c>
      <c r="F74" s="1351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f>'4'!F75</f>
        <v>738251</v>
      </c>
      <c r="F75" s="1353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f>'4'!F76</f>
        <v>687337</v>
      </c>
      <c r="F76" s="1352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6">
        <f>'4'!F77</f>
        <v>697332</v>
      </c>
      <c r="F77" s="1352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f>'4'!F78</f>
        <v>643524</v>
      </c>
      <c r="F78" s="1353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f>'4'!F79</f>
        <v>810488</v>
      </c>
      <c r="F79" s="1353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f>'4'!F80</f>
        <v>486390</v>
      </c>
      <c r="F80" s="1352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'4'!F81</f>
        <v>623152</v>
      </c>
      <c r="F81" s="1352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'4'!F82</f>
        <v>105609</v>
      </c>
      <c r="F82" s="1339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'4'!F83</f>
        <v>985414</v>
      </c>
      <c r="F83" s="1333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'4'!F84</f>
        <v>418059</v>
      </c>
      <c r="F84" s="1354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704">
        <f>'4'!F85</f>
        <v>0</v>
      </c>
      <c r="F85" s="1186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'4'!F86</f>
        <v>447651</v>
      </c>
      <c r="F86" s="1354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'4'!F87</f>
        <v>78572</v>
      </c>
      <c r="F87" s="1354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'4'!F88</f>
        <v>146781</v>
      </c>
      <c r="F88" s="1354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 x14ac:dyDescent="0.5">
      <c r="A89" s="812" t="s">
        <v>214</v>
      </c>
      <c r="B89" s="813"/>
      <c r="C89" s="813"/>
      <c r="D89" s="814" t="s">
        <v>194</v>
      </c>
      <c r="E89" s="704">
        <f>'4'!F89</f>
        <v>60106</v>
      </c>
      <c r="F89" s="1354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'4'!F90</f>
        <v>3082</v>
      </c>
      <c r="F90" s="1354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1183"/>
      <c r="G91" s="564"/>
      <c r="H91" s="548"/>
      <c r="I91" s="548"/>
      <c r="J91" s="628"/>
      <c r="K91" s="411"/>
      <c r="L91" s="409"/>
      <c r="N91" s="413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'4'!F92</f>
        <v>236922</v>
      </c>
      <c r="F92" s="1338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'4'!F93</f>
        <v>171817</v>
      </c>
      <c r="F93" s="1338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 x14ac:dyDescent="0.5">
      <c r="A94" s="1384" t="s">
        <v>219</v>
      </c>
      <c r="B94" s="1385"/>
      <c r="C94" s="1386"/>
      <c r="D94" s="599"/>
      <c r="E94" s="560"/>
      <c r="F94" s="1338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'4'!F95</f>
        <v>406160</v>
      </c>
      <c r="F95" s="1338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'4'!F96</f>
        <v>100658</v>
      </c>
      <c r="F96" s="1338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f>'4'!F97</f>
        <v>95787</v>
      </c>
      <c r="F97" s="1338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f>'4'!F98</f>
        <v>145843</v>
      </c>
      <c r="F98" s="1338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f>'4'!F99</f>
        <v>6015</v>
      </c>
      <c r="F99" s="1338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f>'4'!F100</f>
        <v>4260</v>
      </c>
      <c r="F100" s="1338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1349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1355"/>
      <c r="G102" s="605"/>
      <c r="H102" s="606"/>
      <c r="I102" s="607"/>
      <c r="J102" s="634"/>
      <c r="N102" s="413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1356"/>
      <c r="G103" s="608"/>
      <c r="H103" s="609"/>
      <c r="I103" s="608"/>
      <c r="J103" s="635"/>
      <c r="N103" s="413"/>
      <c r="O103" s="413"/>
    </row>
    <row r="104" spans="1:15" s="481" customFormat="1" ht="27.75" x14ac:dyDescent="0.5">
      <c r="A104" s="1395" t="s">
        <v>230</v>
      </c>
      <c r="B104" s="1396"/>
      <c r="C104" s="1230"/>
      <c r="D104" s="699" t="s">
        <v>155</v>
      </c>
      <c r="E104" s="608">
        <f>'4'!E104</f>
        <v>7010</v>
      </c>
      <c r="F104" s="1356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 x14ac:dyDescent="0.5">
      <c r="A105" s="1395" t="s">
        <v>77</v>
      </c>
      <c r="B105" s="1396"/>
      <c r="C105" s="1230"/>
      <c r="D105" s="699" t="s">
        <v>155</v>
      </c>
      <c r="E105" s="608">
        <f>'4'!E105</f>
        <v>35183</v>
      </c>
      <c r="F105" s="1362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'4'!E106</f>
        <v>19097</v>
      </c>
      <c r="F106" s="1356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 x14ac:dyDescent="0.5">
      <c r="A107" s="1398" t="s">
        <v>213</v>
      </c>
      <c r="B107" s="1399"/>
      <c r="C107" s="1230"/>
      <c r="D107" s="699"/>
      <c r="E107" s="608">
        <f>'4'!E107</f>
        <v>0</v>
      </c>
      <c r="F107" s="1356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 x14ac:dyDescent="0.5">
      <c r="A108" s="1400" t="s">
        <v>79</v>
      </c>
      <c r="B108" s="1401"/>
      <c r="C108" s="1230"/>
      <c r="D108" s="699" t="s">
        <v>155</v>
      </c>
      <c r="E108" s="608">
        <f>'4'!E108</f>
        <v>0</v>
      </c>
      <c r="F108" s="1356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 x14ac:dyDescent="0.5">
      <c r="A109" s="1395" t="s">
        <v>231</v>
      </c>
      <c r="B109" s="1396"/>
      <c r="C109" s="1230"/>
      <c r="D109" s="699" t="s">
        <v>155</v>
      </c>
      <c r="E109" s="608">
        <f>'4'!E109</f>
        <v>54834</v>
      </c>
      <c r="F109" s="1356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 x14ac:dyDescent="0.5">
      <c r="A110" s="1395" t="s">
        <v>232</v>
      </c>
      <c r="B110" s="1396"/>
      <c r="C110" s="1230"/>
      <c r="D110" s="699" t="s">
        <v>155</v>
      </c>
      <c r="E110" s="608">
        <f>'4'!E110</f>
        <v>28752</v>
      </c>
      <c r="F110" s="1356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 x14ac:dyDescent="0.5">
      <c r="A111" s="1395" t="s">
        <v>233</v>
      </c>
      <c r="B111" s="1396"/>
      <c r="C111" s="1230"/>
      <c r="D111" s="699" t="s">
        <v>155</v>
      </c>
      <c r="E111" s="608">
        <f>'4'!E111</f>
        <v>3770</v>
      </c>
      <c r="F111" s="1356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 x14ac:dyDescent="0.5">
      <c r="A112" s="1398" t="s">
        <v>121</v>
      </c>
      <c r="B112" s="1399"/>
      <c r="C112" s="1230"/>
      <c r="D112" s="699"/>
      <c r="E112" s="608">
        <f>'4'!E112</f>
        <v>0</v>
      </c>
      <c r="F112" s="1356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 x14ac:dyDescent="0.5">
      <c r="A113" s="1400" t="s">
        <v>234</v>
      </c>
      <c r="B113" s="1401"/>
      <c r="C113" s="1230"/>
      <c r="D113" s="699"/>
      <c r="E113" s="608">
        <f>'4'!E113</f>
        <v>0</v>
      </c>
      <c r="F113" s="1356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608">
        <f>'4'!E114</f>
        <v>9840</v>
      </c>
      <c r="F114" s="1357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608">
        <f>'4'!E115</f>
        <v>7441</v>
      </c>
      <c r="F115" s="1357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1357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1357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1358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1358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1357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 x14ac:dyDescent="0.5">
      <c r="A121" s="1431"/>
      <c r="B121" s="1432"/>
      <c r="C121" s="1229"/>
      <c r="D121" s="637"/>
      <c r="E121" s="637"/>
      <c r="F121" s="1359" t="s">
        <v>226</v>
      </c>
      <c r="G121" s="637"/>
      <c r="H121" s="536">
        <f>G121+'4'!H121</f>
        <v>0</v>
      </c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1183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'4'!F123</f>
        <v>804404</v>
      </c>
      <c r="F123" s="1338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703">
        <f>'4'!F124</f>
        <v>73582</v>
      </c>
      <c r="F124" s="1360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'4'!F125</f>
        <v>138120</v>
      </c>
      <c r="F125" s="1338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703">
        <f>'4'!F126</f>
        <v>58561</v>
      </c>
      <c r="F126" s="1360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703">
        <f>'4'!F127</f>
        <v>8824</v>
      </c>
      <c r="F127" s="1360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1338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 x14ac:dyDescent="0.4">
      <c r="A129" s="687" t="s">
        <v>248</v>
      </c>
      <c r="B129" s="534"/>
      <c r="C129" s="534"/>
      <c r="D129" s="547"/>
      <c r="E129" s="547"/>
      <c r="F129" s="1334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'4'!F130</f>
        <v>0</v>
      </c>
      <c r="F130" s="1338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'4'!F131</f>
        <v>0</v>
      </c>
      <c r="F131" s="1338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618">
        <f>'4'!F132</f>
        <v>39188</v>
      </c>
      <c r="F132" s="1339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782">
        <f>'4'!F133</f>
        <v>299</v>
      </c>
      <c r="F133" s="136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782">
        <f>'4'!F134</f>
        <v>39963</v>
      </c>
      <c r="F134" s="1360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782">
        <f>'4'!F135</f>
        <v>32423</v>
      </c>
      <c r="F135" s="1360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618">
        <f>'4'!F136</f>
        <v>22027.23</v>
      </c>
      <c r="F136" s="1339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618">
        <f>'4'!F137</f>
        <v>25027.17</v>
      </c>
      <c r="F137" s="1339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618">
        <f>'4'!F138</f>
        <v>70063.89</v>
      </c>
      <c r="F138" s="1339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782">
        <f>'4'!F139</f>
        <v>1232</v>
      </c>
      <c r="F139" s="1360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'4'!F140</f>
        <v>4334</v>
      </c>
      <c r="F140" s="1338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 x14ac:dyDescent="0.5">
      <c r="A141" s="1425" t="s">
        <v>261</v>
      </c>
      <c r="B141" s="1426"/>
      <c r="C141" s="1237"/>
      <c r="D141" s="548"/>
      <c r="E141" s="548"/>
      <c r="F141" s="1183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1186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1333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1341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1341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1341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1341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1341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1341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1341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1341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1341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1361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739">
        <v>44539</v>
      </c>
      <c r="F161" s="739">
        <v>45035</v>
      </c>
      <c r="G161" s="549">
        <f t="shared" si="17"/>
        <v>496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739">
        <v>13657</v>
      </c>
      <c r="F162" s="739">
        <v>13891</v>
      </c>
      <c r="G162" s="549">
        <f t="shared" si="17"/>
        <v>234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739">
        <v>5067</v>
      </c>
      <c r="F163" s="739">
        <v>5083</v>
      </c>
      <c r="G163" s="549">
        <f t="shared" si="17"/>
        <v>16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7" s="281" customFormat="1" ht="27" x14ac:dyDescent="0.5">
      <c r="A2" s="652" t="s">
        <v>337</v>
      </c>
      <c r="B2" s="1118">
        <v>44233</v>
      </c>
      <c r="C2" s="1233" t="s">
        <v>69</v>
      </c>
      <c r="D2" s="688">
        <v>0.36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 x14ac:dyDescent="0.5">
      <c r="A3" s="647"/>
      <c r="B3" s="691"/>
      <c r="C3" s="1233" t="s">
        <v>131</v>
      </c>
      <c r="D3" s="689">
        <v>27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7" s="281" customFormat="1" ht="27" x14ac:dyDescent="0.5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 x14ac:dyDescent="0.4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 x14ac:dyDescent="0.45">
      <c r="A7" s="757" t="s">
        <v>142</v>
      </c>
      <c r="B7" s="758"/>
      <c r="C7" s="758"/>
      <c r="D7" s="715" t="s">
        <v>143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 x14ac:dyDescent="0.45">
      <c r="A8" s="763" t="s">
        <v>144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 x14ac:dyDescent="0.4">
      <c r="A9" s="768" t="s">
        <v>145</v>
      </c>
      <c r="B9" s="769"/>
      <c r="C9" s="769"/>
      <c r="D9" s="715" t="s">
        <v>143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 x14ac:dyDescent="0.4">
      <c r="A10" s="757" t="s">
        <v>146</v>
      </c>
      <c r="B10" s="758"/>
      <c r="C10" s="758"/>
      <c r="D10" s="715" t="s">
        <v>143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 x14ac:dyDescent="0.4">
      <c r="A11" s="757" t="s">
        <v>147</v>
      </c>
      <c r="B11" s="758"/>
      <c r="C11" s="758"/>
      <c r="D11" s="715" t="s">
        <v>143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 x14ac:dyDescent="0.4">
      <c r="A12" s="757" t="s">
        <v>148</v>
      </c>
      <c r="B12" s="758"/>
      <c r="C12" s="758"/>
      <c r="D12" s="715" t="s">
        <v>143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 x14ac:dyDescent="0.5">
      <c r="A15" s="876" t="s">
        <v>151</v>
      </c>
      <c r="B15" s="871"/>
      <c r="C15" s="871"/>
      <c r="D15" s="600" t="s">
        <v>152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 x14ac:dyDescent="0.4">
      <c r="A16" s="874"/>
      <c r="B16" s="875"/>
      <c r="C16" s="875"/>
      <c r="D16" s="872"/>
      <c r="E16" s="873"/>
      <c r="F16" s="561"/>
      <c r="G16" s="1122"/>
      <c r="H16" s="1140"/>
      <c r="I16" s="563">
        <f>I15-J15</f>
        <v>-19.975000000015484</v>
      </c>
      <c r="J16" s="1141"/>
      <c r="K16" s="467"/>
      <c r="L16" s="408"/>
      <c r="N16" s="413"/>
    </row>
    <row r="17" spans="1:14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43" t="s">
        <v>154</v>
      </c>
      <c r="B18" s="1444"/>
      <c r="C18" s="1445"/>
      <c r="D18" s="717" t="s">
        <v>155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 x14ac:dyDescent="0.5">
      <c r="A20" s="773" t="s">
        <v>156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1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 x14ac:dyDescent="0.5">
      <c r="A23" s="1231" t="s">
        <v>160</v>
      </c>
      <c r="B23" s="666"/>
      <c r="C23" s="666"/>
      <c r="D23" s="599" t="s">
        <v>159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 x14ac:dyDescent="0.4">
      <c r="A24" s="667" t="s">
        <v>161</v>
      </c>
      <c r="B24" s="668"/>
      <c r="C24" s="668"/>
      <c r="D24" s="587" t="s">
        <v>159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 x14ac:dyDescent="0.4">
      <c r="A37" s="655" t="s">
        <v>177</v>
      </c>
      <c r="B37" s="656"/>
      <c r="C37" s="656"/>
      <c r="D37" s="599" t="s">
        <v>143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 x14ac:dyDescent="0.4">
      <c r="A38" s="655" t="s">
        <v>178</v>
      </c>
      <c r="B38" s="656"/>
      <c r="C38" s="656"/>
      <c r="D38" s="599" t="s">
        <v>143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 x14ac:dyDescent="0.4">
      <c r="A39" s="655" t="s">
        <v>179</v>
      </c>
      <c r="B39" s="656"/>
      <c r="C39" s="656"/>
      <c r="D39" s="599" t="s">
        <v>143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 x14ac:dyDescent="0.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 x14ac:dyDescent="0.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 x14ac:dyDescent="0.4">
      <c r="A56" s="655" t="s">
        <v>193</v>
      </c>
      <c r="B56" s="678"/>
      <c r="C56" s="678"/>
      <c r="D56" s="599" t="s">
        <v>194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 x14ac:dyDescent="0.5">
      <c r="A64" s="1387" t="s">
        <v>107</v>
      </c>
      <c r="B64" s="1388"/>
      <c r="C64" s="1389"/>
      <c r="D64" s="599" t="s">
        <v>198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 x14ac:dyDescent="0.5">
      <c r="A65" s="1387" t="s">
        <v>108</v>
      </c>
      <c r="B65" s="1388"/>
      <c r="C65" s="1389"/>
      <c r="D65" s="599" t="s">
        <v>198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 x14ac:dyDescent="0.5">
      <c r="A66" s="1387" t="s">
        <v>109</v>
      </c>
      <c r="B66" s="1388"/>
      <c r="C66" s="1389"/>
      <c r="D66" s="599" t="s">
        <v>198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 x14ac:dyDescent="0.5">
      <c r="A67" s="1387" t="s">
        <v>110</v>
      </c>
      <c r="B67" s="1388"/>
      <c r="C67" s="1389"/>
      <c r="D67" s="599" t="s">
        <v>198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 x14ac:dyDescent="0.5">
      <c r="A68" s="1387" t="s">
        <v>111</v>
      </c>
      <c r="B68" s="1388"/>
      <c r="C68" s="1389"/>
      <c r="D68" s="599" t="s">
        <v>198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 x14ac:dyDescent="0.5">
      <c r="A69" s="1387" t="s">
        <v>112</v>
      </c>
      <c r="B69" s="1388"/>
      <c r="C69" s="1389"/>
      <c r="D69" s="599" t="s">
        <v>198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 x14ac:dyDescent="0.5">
      <c r="A73" s="1387" t="s">
        <v>203</v>
      </c>
      <c r="B73" s="1388"/>
      <c r="C73" s="1389"/>
      <c r="D73" s="599" t="s">
        <v>198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 x14ac:dyDescent="0.5">
      <c r="A74" s="1387" t="s">
        <v>204</v>
      </c>
      <c r="B74" s="1388"/>
      <c r="C74" s="1389"/>
      <c r="D74" s="599" t="s">
        <v>198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 x14ac:dyDescent="0.5">
      <c r="A75" s="1436" t="s">
        <v>205</v>
      </c>
      <c r="B75" s="1437"/>
      <c r="C75" s="1438"/>
      <c r="D75" s="599" t="s">
        <v>198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 x14ac:dyDescent="0.5">
      <c r="A76" s="1436" t="s">
        <v>206</v>
      </c>
      <c r="B76" s="1437"/>
      <c r="C76" s="1438"/>
      <c r="D76" s="599" t="s">
        <v>198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 x14ac:dyDescent="0.5">
      <c r="A77" s="1387" t="s">
        <v>207</v>
      </c>
      <c r="B77" s="1388"/>
      <c r="C77" s="1389"/>
      <c r="D77" s="599" t="s">
        <v>198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 x14ac:dyDescent="0.5">
      <c r="A78" s="1234" t="s">
        <v>208</v>
      </c>
      <c r="B78" s="1205"/>
      <c r="C78" s="1205"/>
      <c r="D78" s="599" t="s">
        <v>198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 x14ac:dyDescent="0.5">
      <c r="A79" s="1436" t="s">
        <v>97</v>
      </c>
      <c r="B79" s="1437"/>
      <c r="C79" s="1438"/>
      <c r="D79" s="600" t="s">
        <v>198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 x14ac:dyDescent="0.5">
      <c r="A80" s="1436" t="s">
        <v>209</v>
      </c>
      <c r="B80" s="1437"/>
      <c r="C80" s="1438"/>
      <c r="D80" s="600" t="s">
        <v>198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 x14ac:dyDescent="0.5">
      <c r="A94" s="1384" t="s">
        <v>219</v>
      </c>
      <c r="B94" s="1385"/>
      <c r="C94" s="1386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 x14ac:dyDescent="0.35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 x14ac:dyDescent="0.5">
      <c r="A107" s="1398" t="s">
        <v>213</v>
      </c>
      <c r="B107" s="1399"/>
      <c r="C107" s="1230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 x14ac:dyDescent="0.5">
      <c r="A112" s="1398" t="s">
        <v>121</v>
      </c>
      <c r="B112" s="1399"/>
      <c r="C112" s="1230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 x14ac:dyDescent="0.5">
      <c r="A113" s="1400" t="s">
        <v>234</v>
      </c>
      <c r="B113" s="1401"/>
      <c r="C113" s="1230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739">
        <v>45035</v>
      </c>
      <c r="F161" s="739">
        <v>45463</v>
      </c>
      <c r="G161" s="549">
        <f t="shared" si="16"/>
        <v>428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739">
        <v>13891</v>
      </c>
      <c r="F162" s="739">
        <v>14130</v>
      </c>
      <c r="G162" s="549">
        <f t="shared" si="16"/>
        <v>239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739">
        <v>5083</v>
      </c>
      <c r="F163" s="739">
        <v>5100</v>
      </c>
      <c r="G163" s="549">
        <f t="shared" si="16"/>
        <v>17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 x14ac:dyDescent="0.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339</v>
      </c>
      <c r="B2" s="1118">
        <v>44203</v>
      </c>
      <c r="C2" s="1233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 x14ac:dyDescent="0.5">
      <c r="A3" s="647"/>
      <c r="B3" s="691"/>
      <c r="C3" s="1233" t="s">
        <v>131</v>
      </c>
      <c r="D3" s="689">
        <v>26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6" s="281" customFormat="1" ht="27" x14ac:dyDescent="0.5">
      <c r="A4" s="653"/>
      <c r="B4" s="693"/>
      <c r="C4" s="1233" t="s">
        <v>133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 x14ac:dyDescent="0.4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226</v>
      </c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 x14ac:dyDescent="0.4">
      <c r="A9" s="768" t="s">
        <v>145</v>
      </c>
      <c r="B9" s="769"/>
      <c r="C9" s="769"/>
      <c r="D9" s="715" t="s">
        <v>143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 x14ac:dyDescent="0.4">
      <c r="A10" s="757" t="s">
        <v>146</v>
      </c>
      <c r="B10" s="758"/>
      <c r="C10" s="758"/>
      <c r="D10" s="715" t="s">
        <v>143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 x14ac:dyDescent="0.4">
      <c r="A12" s="757" t="s">
        <v>148</v>
      </c>
      <c r="B12" s="758"/>
      <c r="C12" s="758"/>
      <c r="D12" s="715" t="s">
        <v>143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3">
        <v>800</v>
      </c>
      <c r="J15" s="630">
        <f>H15/DAY(B2)</f>
        <v>823.47142857143524</v>
      </c>
      <c r="K15" s="467"/>
      <c r="L15" s="408"/>
      <c r="N15" s="413"/>
    </row>
    <row r="16" spans="1:16" x14ac:dyDescent="0.4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43" t="s">
        <v>154</v>
      </c>
      <c r="B18" s="1444"/>
      <c r="C18" s="1445"/>
      <c r="D18" s="715" t="s">
        <v>155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 x14ac:dyDescent="0.5">
      <c r="A20" s="773" t="s">
        <v>156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1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 x14ac:dyDescent="0.5">
      <c r="A23" s="1231" t="s">
        <v>160</v>
      </c>
      <c r="B23" s="666"/>
      <c r="C23" s="666"/>
      <c r="D23" s="599" t="s">
        <v>159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 x14ac:dyDescent="0.4">
      <c r="A24" s="667" t="s">
        <v>161</v>
      </c>
      <c r="B24" s="668"/>
      <c r="C24" s="668"/>
      <c r="D24" s="587" t="s">
        <v>159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600"/>
      <c r="G32" s="1142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 x14ac:dyDescent="0.4">
      <c r="A37" s="655" t="s">
        <v>177</v>
      </c>
      <c r="B37" s="656"/>
      <c r="C37" s="656"/>
      <c r="D37" s="599" t="s">
        <v>143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 x14ac:dyDescent="0.4">
      <c r="A38" s="655" t="s">
        <v>178</v>
      </c>
      <c r="B38" s="656"/>
      <c r="C38" s="656"/>
      <c r="D38" s="599" t="s">
        <v>143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 x14ac:dyDescent="0.4">
      <c r="A39" s="655" t="s">
        <v>179</v>
      </c>
      <c r="B39" s="656"/>
      <c r="C39" s="656"/>
      <c r="D39" s="599" t="s">
        <v>143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 x14ac:dyDescent="0.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 x14ac:dyDescent="0.4">
      <c r="A42" s="664" t="s">
        <v>182</v>
      </c>
      <c r="B42" s="665"/>
      <c r="C42" s="665"/>
      <c r="D42" s="600" t="s">
        <v>143</v>
      </c>
      <c r="E42" s="586">
        <f>'6'!F42</f>
        <v>58926</v>
      </c>
      <c r="F42" s="1144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 x14ac:dyDescent="0.4">
      <c r="A56" s="664" t="s">
        <v>193</v>
      </c>
      <c r="B56" s="1152"/>
      <c r="C56" s="1152"/>
      <c r="D56" s="600" t="s">
        <v>194</v>
      </c>
      <c r="E56" s="586">
        <f>'6'!F56</f>
        <v>557739</v>
      </c>
      <c r="F56" s="1144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 x14ac:dyDescent="0.5">
      <c r="A64" s="1387" t="s">
        <v>107</v>
      </c>
      <c r="B64" s="1388"/>
      <c r="C64" s="1389"/>
      <c r="D64" s="599" t="s">
        <v>198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 x14ac:dyDescent="0.5">
      <c r="A65" s="1387" t="s">
        <v>108</v>
      </c>
      <c r="B65" s="1388"/>
      <c r="C65" s="1389"/>
      <c r="D65" s="599" t="s">
        <v>198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 x14ac:dyDescent="0.5">
      <c r="A66" s="1387" t="s">
        <v>109</v>
      </c>
      <c r="B66" s="1388"/>
      <c r="C66" s="1389"/>
      <c r="D66" s="599" t="s">
        <v>198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 x14ac:dyDescent="0.5">
      <c r="A67" s="1387" t="s">
        <v>110</v>
      </c>
      <c r="B67" s="1388"/>
      <c r="C67" s="1389"/>
      <c r="D67" s="599" t="s">
        <v>198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 x14ac:dyDescent="0.5">
      <c r="A68" s="1387" t="s">
        <v>111</v>
      </c>
      <c r="B68" s="1388"/>
      <c r="C68" s="1389"/>
      <c r="D68" s="599" t="s">
        <v>198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 x14ac:dyDescent="0.5">
      <c r="A69" s="1387" t="s">
        <v>112</v>
      </c>
      <c r="B69" s="1388"/>
      <c r="C69" s="1389"/>
      <c r="D69" s="599" t="s">
        <v>198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 x14ac:dyDescent="0.5">
      <c r="A73" s="1387" t="s">
        <v>203</v>
      </c>
      <c r="B73" s="1388"/>
      <c r="C73" s="1389"/>
      <c r="D73" s="599" t="s">
        <v>198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 x14ac:dyDescent="0.5">
      <c r="A74" s="1387" t="s">
        <v>204</v>
      </c>
      <c r="B74" s="1388"/>
      <c r="C74" s="1389"/>
      <c r="D74" s="599" t="s">
        <v>198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 x14ac:dyDescent="0.5">
      <c r="A75" s="1436" t="s">
        <v>205</v>
      </c>
      <c r="B75" s="1437"/>
      <c r="C75" s="1438"/>
      <c r="D75" s="599" t="s">
        <v>198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 x14ac:dyDescent="0.5">
      <c r="A76" s="1436" t="s">
        <v>206</v>
      </c>
      <c r="B76" s="1437"/>
      <c r="C76" s="1438"/>
      <c r="D76" s="599" t="s">
        <v>198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 x14ac:dyDescent="0.5">
      <c r="A77" s="1387" t="s">
        <v>207</v>
      </c>
      <c r="B77" s="1388"/>
      <c r="C77" s="1389"/>
      <c r="D77" s="599" t="s">
        <v>198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 x14ac:dyDescent="0.5">
      <c r="A78" s="1234" t="s">
        <v>208</v>
      </c>
      <c r="B78" s="1205"/>
      <c r="C78" s="1205"/>
      <c r="D78" s="599" t="s">
        <v>198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 x14ac:dyDescent="0.5">
      <c r="A79" s="1436" t="s">
        <v>97</v>
      </c>
      <c r="B79" s="1437"/>
      <c r="C79" s="1438"/>
      <c r="D79" s="600" t="s">
        <v>198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 x14ac:dyDescent="0.5">
      <c r="A80" s="1436" t="s">
        <v>209</v>
      </c>
      <c r="B80" s="1437"/>
      <c r="C80" s="1438"/>
      <c r="D80" s="600" t="s">
        <v>198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 x14ac:dyDescent="0.5">
      <c r="A84" s="1235" t="s">
        <v>212</v>
      </c>
      <c r="B84" s="648"/>
      <c r="C84" s="648"/>
      <c r="D84" s="554" t="s">
        <v>143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 x14ac:dyDescent="0.5">
      <c r="A86" s="812" t="s">
        <v>102</v>
      </c>
      <c r="B86" s="813"/>
      <c r="C86" s="813"/>
      <c r="D86" s="732" t="s">
        <v>194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732" t="s">
        <v>194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732" t="s">
        <v>194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732" t="s">
        <v>194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732" t="s">
        <v>194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 x14ac:dyDescent="0.5">
      <c r="A94" s="1384" t="s">
        <v>219</v>
      </c>
      <c r="B94" s="1385"/>
      <c r="C94" s="1386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 x14ac:dyDescent="0.35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 x14ac:dyDescent="0.5">
      <c r="A107" s="1398" t="s">
        <v>213</v>
      </c>
      <c r="B107" s="1399"/>
      <c r="C107" s="1230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 x14ac:dyDescent="0.5">
      <c r="A112" s="1398" t="s">
        <v>121</v>
      </c>
      <c r="B112" s="1399"/>
      <c r="C112" s="1230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 x14ac:dyDescent="0.5">
      <c r="A113" s="1400" t="s">
        <v>234</v>
      </c>
      <c r="B113" s="1401"/>
      <c r="C113" s="1230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1145">
        <f>'6'!F123</f>
        <v>804961</v>
      </c>
      <c r="F123" s="1145">
        <v>805257</v>
      </c>
      <c r="G123" s="1146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1145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1145">
        <f>'6'!F125</f>
        <v>138260</v>
      </c>
      <c r="F125" s="1151">
        <v>138320.97</v>
      </c>
      <c r="G125" s="1147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1145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1145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1143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1149">
        <f>'6'!F138</f>
        <v>70063.89</v>
      </c>
      <c r="F138" s="1150">
        <v>70063.89</v>
      </c>
      <c r="G138" s="1143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1148">
        <f>'6'!F140</f>
        <v>4334</v>
      </c>
      <c r="F140" s="1145">
        <v>4334</v>
      </c>
      <c r="G140" s="1146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1148">
        <f>'6'!F160</f>
        <v>28924</v>
      </c>
      <c r="F160" s="739">
        <v>29006</v>
      </c>
      <c r="G160" s="549">
        <f t="shared" ref="G160:G171" si="16">F160-E160</f>
        <v>82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1148">
        <f>'6'!F161</f>
        <v>45463</v>
      </c>
      <c r="F161" s="739">
        <v>45879.59</v>
      </c>
      <c r="G161" s="549">
        <f t="shared" si="16"/>
        <v>416.58999999999651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1148">
        <f>'6'!F162</f>
        <v>14130</v>
      </c>
      <c r="F162" s="739">
        <v>14391</v>
      </c>
      <c r="G162" s="549">
        <f t="shared" si="16"/>
        <v>261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1148">
        <f>'6'!F163</f>
        <v>5100</v>
      </c>
      <c r="F163" s="739">
        <v>5115.96</v>
      </c>
      <c r="G163" s="549">
        <f t="shared" si="16"/>
        <v>15.960000000000036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1148">
        <f>'6'!F164</f>
        <v>20419</v>
      </c>
      <c r="F164" s="590">
        <f>F62</f>
        <v>20419</v>
      </c>
      <c r="G164" s="549">
        <f t="shared" si="16"/>
        <v>0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1148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1148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1148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1148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1148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1148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1148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338</v>
      </c>
      <c r="B2" s="1118">
        <v>44235</v>
      </c>
      <c r="C2" s="1233" t="s">
        <v>69</v>
      </c>
      <c r="D2" s="688">
        <v>0.63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142</v>
      </c>
      <c r="B7" s="758"/>
      <c r="C7" s="758"/>
      <c r="D7" s="715" t="s">
        <v>143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 x14ac:dyDescent="0.45">
      <c r="A8" s="763" t="s">
        <v>144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 x14ac:dyDescent="0.4">
      <c r="A9" s="768" t="s">
        <v>145</v>
      </c>
      <c r="B9" s="769"/>
      <c r="C9" s="769"/>
      <c r="D9" s="715" t="s">
        <v>143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 x14ac:dyDescent="0.4">
      <c r="A10" s="757" t="s">
        <v>146</v>
      </c>
      <c r="B10" s="758"/>
      <c r="C10" s="758"/>
      <c r="D10" s="715" t="s">
        <v>143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 x14ac:dyDescent="0.4">
      <c r="A11" s="757" t="s">
        <v>147</v>
      </c>
      <c r="B11" s="758"/>
      <c r="C11" s="758"/>
      <c r="D11" s="715" t="s">
        <v>143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 x14ac:dyDescent="0.4">
      <c r="A12" s="757" t="s">
        <v>148</v>
      </c>
      <c r="B12" s="758"/>
      <c r="C12" s="758"/>
      <c r="D12" s="715" t="s">
        <v>143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 x14ac:dyDescent="0.5">
      <c r="A13" s="773" t="s">
        <v>149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226</v>
      </c>
    </row>
    <row r="15" spans="1:15" x14ac:dyDescent="0.5">
      <c r="A15" s="746" t="s">
        <v>151</v>
      </c>
      <c r="B15" s="747"/>
      <c r="C15" s="747"/>
      <c r="D15" s="748" t="s">
        <v>152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 x14ac:dyDescent="0.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43" t="s">
        <v>154</v>
      </c>
      <c r="B18" s="1444"/>
      <c r="C18" s="1445"/>
      <c r="D18" s="715" t="s">
        <v>155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 x14ac:dyDescent="0.5">
      <c r="A20" s="773" t="s">
        <v>156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1" t="s">
        <v>158</v>
      </c>
      <c r="B22" s="666"/>
      <c r="C22" s="666"/>
      <c r="D22" s="599" t="s">
        <v>159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 x14ac:dyDescent="0.5">
      <c r="A23" s="1231" t="s">
        <v>160</v>
      </c>
      <c r="B23" s="666"/>
      <c r="C23" s="666"/>
      <c r="D23" s="599" t="s">
        <v>159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 x14ac:dyDescent="0.4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 x14ac:dyDescent="0.4">
      <c r="A37" s="655" t="s">
        <v>177</v>
      </c>
      <c r="B37" s="656"/>
      <c r="C37" s="656"/>
      <c r="D37" s="599" t="s">
        <v>143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 x14ac:dyDescent="0.4">
      <c r="A38" s="655" t="s">
        <v>178</v>
      </c>
      <c r="B38" s="656"/>
      <c r="C38" s="656"/>
      <c r="D38" s="599" t="s">
        <v>143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 x14ac:dyDescent="0.4">
      <c r="A39" s="655" t="s">
        <v>179</v>
      </c>
      <c r="B39" s="656"/>
      <c r="C39" s="656"/>
      <c r="D39" s="599" t="s">
        <v>143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 x14ac:dyDescent="0.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'7'!F41</f>
        <v>58616</v>
      </c>
      <c r="F41" s="1144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 x14ac:dyDescent="0.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'7'!F49</f>
        <v>259764.67</v>
      </c>
      <c r="F49" s="1144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'7'!F51</f>
        <v>118942</v>
      </c>
      <c r="F51" s="1144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'7'!F52</f>
        <v>507093</v>
      </c>
      <c r="F52" s="1144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'7'!F53</f>
        <v>329432</v>
      </c>
      <c r="F53" s="1144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 x14ac:dyDescent="0.4">
      <c r="A56" s="655" t="s">
        <v>193</v>
      </c>
      <c r="B56" s="678"/>
      <c r="C56" s="678"/>
      <c r="D56" s="599" t="s">
        <v>194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'7'!F57</f>
        <v>6534</v>
      </c>
      <c r="F57" s="1144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 x14ac:dyDescent="0.5">
      <c r="A64" s="1387" t="s">
        <v>107</v>
      </c>
      <c r="B64" s="1388"/>
      <c r="C64" s="1389"/>
      <c r="D64" s="599" t="s">
        <v>198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 x14ac:dyDescent="0.5">
      <c r="A65" s="1387" t="s">
        <v>108</v>
      </c>
      <c r="B65" s="1388"/>
      <c r="C65" s="1389"/>
      <c r="D65" s="599" t="s">
        <v>198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 x14ac:dyDescent="0.5">
      <c r="A66" s="1387" t="s">
        <v>109</v>
      </c>
      <c r="B66" s="1388"/>
      <c r="C66" s="1389"/>
      <c r="D66" s="599" t="s">
        <v>198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 x14ac:dyDescent="0.5">
      <c r="A67" s="1387" t="s">
        <v>110</v>
      </c>
      <c r="B67" s="1388"/>
      <c r="C67" s="1389"/>
      <c r="D67" s="599" t="s">
        <v>198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 x14ac:dyDescent="0.5">
      <c r="A68" s="1387" t="s">
        <v>111</v>
      </c>
      <c r="B68" s="1388"/>
      <c r="C68" s="1389"/>
      <c r="D68" s="599" t="s">
        <v>198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 x14ac:dyDescent="0.5">
      <c r="A69" s="1387" t="s">
        <v>112</v>
      </c>
      <c r="B69" s="1388"/>
      <c r="C69" s="1389"/>
      <c r="D69" s="599" t="s">
        <v>198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 x14ac:dyDescent="0.5">
      <c r="A73" s="1387" t="s">
        <v>203</v>
      </c>
      <c r="B73" s="1388"/>
      <c r="C73" s="1389"/>
      <c r="D73" s="599" t="s">
        <v>198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 x14ac:dyDescent="0.5">
      <c r="A74" s="1387" t="s">
        <v>204</v>
      </c>
      <c r="B74" s="1388"/>
      <c r="C74" s="1389"/>
      <c r="D74" s="599" t="s">
        <v>198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 x14ac:dyDescent="0.5">
      <c r="A75" s="1436" t="s">
        <v>205</v>
      </c>
      <c r="B75" s="1437"/>
      <c r="C75" s="1438"/>
      <c r="D75" s="599" t="s">
        <v>198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 x14ac:dyDescent="0.5">
      <c r="A76" s="1436" t="s">
        <v>206</v>
      </c>
      <c r="B76" s="1437"/>
      <c r="C76" s="1438"/>
      <c r="D76" s="599" t="s">
        <v>198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 x14ac:dyDescent="0.5">
      <c r="A77" s="1387" t="s">
        <v>207</v>
      </c>
      <c r="B77" s="1388"/>
      <c r="C77" s="1389"/>
      <c r="D77" s="599" t="s">
        <v>198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 x14ac:dyDescent="0.5">
      <c r="A78" s="1234" t="s">
        <v>208</v>
      </c>
      <c r="B78" s="1205"/>
      <c r="C78" s="1205"/>
      <c r="D78" s="599" t="s">
        <v>198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 x14ac:dyDescent="0.5">
      <c r="A79" s="1436" t="s">
        <v>97</v>
      </c>
      <c r="B79" s="1437"/>
      <c r="C79" s="1438"/>
      <c r="D79" s="600" t="s">
        <v>198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 x14ac:dyDescent="0.5">
      <c r="A80" s="1436" t="s">
        <v>209</v>
      </c>
      <c r="B80" s="1437"/>
      <c r="C80" s="1438"/>
      <c r="D80" s="600" t="s">
        <v>198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 x14ac:dyDescent="0.5">
      <c r="A84" s="1235" t="s">
        <v>212</v>
      </c>
      <c r="B84" s="648"/>
      <c r="C84" s="648"/>
      <c r="D84" s="554" t="s">
        <v>143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 x14ac:dyDescent="0.5">
      <c r="A94" s="1384" t="s">
        <v>219</v>
      </c>
      <c r="B94" s="1385"/>
      <c r="C94" s="1386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 x14ac:dyDescent="0.35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 x14ac:dyDescent="0.5">
      <c r="A107" s="1398" t="s">
        <v>213</v>
      </c>
      <c r="B107" s="1399"/>
      <c r="C107" s="1230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 x14ac:dyDescent="0.5">
      <c r="A112" s="1398" t="s">
        <v>121</v>
      </c>
      <c r="B112" s="1399"/>
      <c r="C112" s="1230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 x14ac:dyDescent="0.5">
      <c r="A113" s="1400" t="s">
        <v>234</v>
      </c>
      <c r="B113" s="1401"/>
      <c r="C113" s="1230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1148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1148">
        <f>'7'!F161</f>
        <v>45879.59</v>
      </c>
      <c r="F161" s="739">
        <v>46314.44</v>
      </c>
      <c r="G161" s="549">
        <f t="shared" si="16"/>
        <v>434.85000000000582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1148">
        <f>'7'!F162</f>
        <v>14391</v>
      </c>
      <c r="F162" s="739">
        <v>14652</v>
      </c>
      <c r="G162" s="549">
        <f t="shared" si="16"/>
        <v>261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1148">
        <f>'7'!F163</f>
        <v>5115.96</v>
      </c>
      <c r="F163" s="739">
        <v>5126.93</v>
      </c>
      <c r="G163" s="549">
        <f t="shared" si="16"/>
        <v>10.970000000000255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1148">
        <f>'7'!F164</f>
        <v>20419</v>
      </c>
      <c r="F164" s="590">
        <f>F62</f>
        <v>20419</v>
      </c>
      <c r="G164" s="549">
        <f t="shared" si="16"/>
        <v>0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1148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1148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1148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1148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1148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1148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1148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 x14ac:dyDescent="0.5"/>
    <row r="184" ht="20.25" customHeight="1" x14ac:dyDescent="0.5"/>
    <row r="185" ht="20.25" customHeight="1" x14ac:dyDescent="0.5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 x14ac:dyDescent="0.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 x14ac:dyDescent="0.5">
      <c r="A2" s="652" t="s">
        <v>340</v>
      </c>
      <c r="B2" s="1118">
        <v>44236</v>
      </c>
      <c r="C2" s="1233" t="s">
        <v>69</v>
      </c>
      <c r="D2" s="688">
        <v>0.65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 x14ac:dyDescent="0.5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4" s="281" customFormat="1" ht="27" x14ac:dyDescent="0.5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142</v>
      </c>
      <c r="B7" s="758"/>
      <c r="C7" s="758"/>
      <c r="D7" s="715" t="s">
        <v>143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 x14ac:dyDescent="0.45">
      <c r="A8" s="763" t="s">
        <v>144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 x14ac:dyDescent="0.4">
      <c r="A9" s="768" t="s">
        <v>145</v>
      </c>
      <c r="B9" s="769"/>
      <c r="C9" s="769"/>
      <c r="D9" s="715" t="s">
        <v>143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 x14ac:dyDescent="0.4">
      <c r="A10" s="757" t="s">
        <v>146</v>
      </c>
      <c r="B10" s="758"/>
      <c r="C10" s="758"/>
      <c r="D10" s="715" t="s">
        <v>143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 x14ac:dyDescent="0.4">
      <c r="A11" s="757" t="s">
        <v>147</v>
      </c>
      <c r="B11" s="758"/>
      <c r="C11" s="758"/>
      <c r="D11" s="715" t="s">
        <v>143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 x14ac:dyDescent="0.4">
      <c r="A12" s="757" t="s">
        <v>148</v>
      </c>
      <c r="B12" s="758"/>
      <c r="C12" s="758"/>
      <c r="D12" s="715" t="s">
        <v>143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 x14ac:dyDescent="0.5">
      <c r="A15" s="1269" t="s">
        <v>151</v>
      </c>
      <c r="B15" s="1270"/>
      <c r="C15" s="1270"/>
      <c r="D15" s="1271" t="s">
        <v>152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4">
        <f>G15+'8'!H15</f>
        <v>7217.6300000001211</v>
      </c>
      <c r="I15" s="1265">
        <v>800</v>
      </c>
      <c r="J15" s="1266">
        <f>H15/DAY(B2)</f>
        <v>801.95888888890238</v>
      </c>
      <c r="K15" s="1258"/>
      <c r="L15" s="1259"/>
      <c r="M15" s="1260"/>
      <c r="N15" s="1261">
        <v>330.54600000008941</v>
      </c>
    </row>
    <row r="16" spans="1:14" x14ac:dyDescent="0.4">
      <c r="A16" s="1262"/>
      <c r="B16" s="1263"/>
      <c r="C16" s="1263"/>
      <c r="D16" s="1256"/>
      <c r="E16" s="1257"/>
      <c r="F16" s="1257"/>
      <c r="G16" s="1267"/>
      <c r="H16" s="1264"/>
      <c r="I16" s="1268">
        <f>I15-J15</f>
        <v>-1.9588888889023792</v>
      </c>
      <c r="J16" s="1266"/>
      <c r="K16" s="1258"/>
      <c r="L16" s="1259"/>
      <c r="M16" s="1260"/>
      <c r="N16" s="1261"/>
    </row>
    <row r="17" spans="1:14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43" t="s">
        <v>154</v>
      </c>
      <c r="B18" s="1444"/>
      <c r="C18" s="1445"/>
      <c r="D18" s="715" t="s">
        <v>155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 x14ac:dyDescent="0.5">
      <c r="A20" s="773" t="s">
        <v>156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1" t="s">
        <v>158</v>
      </c>
      <c r="B22" s="666"/>
      <c r="C22" s="666"/>
      <c r="D22" s="599" t="s">
        <v>159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 x14ac:dyDescent="0.5">
      <c r="A23" s="1231" t="s">
        <v>160</v>
      </c>
      <c r="B23" s="666"/>
      <c r="C23" s="666"/>
      <c r="D23" s="599" t="s">
        <v>159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 x14ac:dyDescent="0.4">
      <c r="A24" s="667" t="s">
        <v>161</v>
      </c>
      <c r="B24" s="668"/>
      <c r="C24" s="668"/>
      <c r="D24" s="587" t="s">
        <v>159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 x14ac:dyDescent="0.4">
      <c r="A37" s="655" t="s">
        <v>177</v>
      </c>
      <c r="B37" s="656"/>
      <c r="C37" s="656"/>
      <c r="D37" s="599" t="s">
        <v>143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 x14ac:dyDescent="0.4">
      <c r="A38" s="655" t="s">
        <v>178</v>
      </c>
      <c r="B38" s="656"/>
      <c r="C38" s="656"/>
      <c r="D38" s="599" t="s">
        <v>143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 x14ac:dyDescent="0.4">
      <c r="A39" s="655" t="s">
        <v>179</v>
      </c>
      <c r="B39" s="656"/>
      <c r="C39" s="656"/>
      <c r="D39" s="599" t="s">
        <v>143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 x14ac:dyDescent="0.4">
      <c r="A40" s="676" t="s">
        <v>180</v>
      </c>
      <c r="B40" s="677"/>
      <c r="C40" s="677"/>
      <c r="D40" s="599" t="s">
        <v>143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 x14ac:dyDescent="0.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 x14ac:dyDescent="0.4">
      <c r="A56" s="655" t="s">
        <v>193</v>
      </c>
      <c r="B56" s="678"/>
      <c r="C56" s="678"/>
      <c r="D56" s="599" t="s">
        <v>194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 x14ac:dyDescent="0.5">
      <c r="A64" s="1387" t="s">
        <v>107</v>
      </c>
      <c r="B64" s="1388"/>
      <c r="C64" s="1389"/>
      <c r="D64" s="599" t="s">
        <v>198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 x14ac:dyDescent="0.5">
      <c r="A65" s="1387" t="s">
        <v>108</v>
      </c>
      <c r="B65" s="1388"/>
      <c r="C65" s="1389"/>
      <c r="D65" s="599" t="s">
        <v>198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 x14ac:dyDescent="0.5">
      <c r="A66" s="1387" t="s">
        <v>109</v>
      </c>
      <c r="B66" s="1388"/>
      <c r="C66" s="1389"/>
      <c r="D66" s="599" t="s">
        <v>198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 x14ac:dyDescent="0.5">
      <c r="A67" s="1387" t="s">
        <v>110</v>
      </c>
      <c r="B67" s="1388"/>
      <c r="C67" s="1389"/>
      <c r="D67" s="599" t="s">
        <v>198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 x14ac:dyDescent="0.5">
      <c r="A68" s="1387" t="s">
        <v>111</v>
      </c>
      <c r="B68" s="1388"/>
      <c r="C68" s="1389"/>
      <c r="D68" s="599" t="s">
        <v>198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 x14ac:dyDescent="0.5">
      <c r="A69" s="1387" t="s">
        <v>112</v>
      </c>
      <c r="B69" s="1388"/>
      <c r="C69" s="1389"/>
      <c r="D69" s="599" t="s">
        <v>198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 x14ac:dyDescent="0.5">
      <c r="A73" s="1387" t="s">
        <v>203</v>
      </c>
      <c r="B73" s="1388"/>
      <c r="C73" s="1389"/>
      <c r="D73" s="599" t="s">
        <v>198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 x14ac:dyDescent="0.5">
      <c r="A74" s="1387" t="s">
        <v>204</v>
      </c>
      <c r="B74" s="1388"/>
      <c r="C74" s="1389"/>
      <c r="D74" s="599" t="s">
        <v>198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 x14ac:dyDescent="0.5">
      <c r="A75" s="1436" t="s">
        <v>205</v>
      </c>
      <c r="B75" s="1437"/>
      <c r="C75" s="1438"/>
      <c r="D75" s="599" t="s">
        <v>198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 x14ac:dyDescent="0.5">
      <c r="A76" s="1436" t="s">
        <v>206</v>
      </c>
      <c r="B76" s="1437"/>
      <c r="C76" s="1438"/>
      <c r="D76" s="599" t="s">
        <v>198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 x14ac:dyDescent="0.5">
      <c r="A77" s="1387" t="s">
        <v>207</v>
      </c>
      <c r="B77" s="1388"/>
      <c r="C77" s="1389"/>
      <c r="D77" s="599" t="s">
        <v>198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 x14ac:dyDescent="0.5">
      <c r="A78" s="1234" t="s">
        <v>208</v>
      </c>
      <c r="B78" s="1205"/>
      <c r="C78" s="1205"/>
      <c r="D78" s="599" t="s">
        <v>198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 x14ac:dyDescent="0.5">
      <c r="A79" s="1436" t="s">
        <v>97</v>
      </c>
      <c r="B79" s="1437"/>
      <c r="C79" s="1438"/>
      <c r="D79" s="600" t="s">
        <v>198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 x14ac:dyDescent="0.5">
      <c r="A80" s="1436" t="s">
        <v>209</v>
      </c>
      <c r="B80" s="1437"/>
      <c r="C80" s="1438"/>
      <c r="D80" s="600" t="s">
        <v>198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 x14ac:dyDescent="0.5">
      <c r="A81" s="1436" t="s">
        <v>210</v>
      </c>
      <c r="B81" s="1437"/>
      <c r="C81" s="1438"/>
      <c r="D81" s="600" t="s">
        <v>198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 x14ac:dyDescent="0.5">
      <c r="A82" s="1436" t="s">
        <v>100</v>
      </c>
      <c r="B82" s="1437"/>
      <c r="C82" s="1438"/>
      <c r="D82" s="561" t="s">
        <v>143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 x14ac:dyDescent="0.5">
      <c r="A83" s="1436" t="s">
        <v>211</v>
      </c>
      <c r="B83" s="1437"/>
      <c r="C83" s="1438"/>
      <c r="D83" s="697" t="s">
        <v>143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 x14ac:dyDescent="0.5">
      <c r="A84" s="1235" t="s">
        <v>212</v>
      </c>
      <c r="B84" s="648"/>
      <c r="C84" s="648"/>
      <c r="D84" s="554" t="s">
        <v>143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 x14ac:dyDescent="0.5">
      <c r="A94" s="1384" t="s">
        <v>219</v>
      </c>
      <c r="B94" s="1385"/>
      <c r="C94" s="1386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 x14ac:dyDescent="0.5">
      <c r="A107" s="1398" t="s">
        <v>213</v>
      </c>
      <c r="B107" s="1399"/>
      <c r="C107" s="1230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 x14ac:dyDescent="0.5">
      <c r="A112" s="1398" t="s">
        <v>121</v>
      </c>
      <c r="B112" s="1399"/>
      <c r="C112" s="1230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 x14ac:dyDescent="0.5">
      <c r="A113" s="1400" t="s">
        <v>234</v>
      </c>
      <c r="B113" s="1401"/>
      <c r="C113" s="1230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1148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1148">
        <f>'8'!F161</f>
        <v>46314.44</v>
      </c>
      <c r="F161" s="739">
        <v>46734.53</v>
      </c>
      <c r="G161" s="549">
        <f t="shared" si="15"/>
        <v>420.08999999999651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1148">
        <f>'8'!F162</f>
        <v>14652</v>
      </c>
      <c r="F162" s="739">
        <v>14913</v>
      </c>
      <c r="G162" s="549">
        <f t="shared" si="15"/>
        <v>261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1148">
        <f>'8'!F163</f>
        <v>5126.93</v>
      </c>
      <c r="F163" s="739">
        <v>5133.67</v>
      </c>
      <c r="G163" s="549">
        <f t="shared" si="15"/>
        <v>6.7399999999997817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1148">
        <f>'8'!F164</f>
        <v>20419</v>
      </c>
      <c r="F164" s="590">
        <f>F62</f>
        <v>20419</v>
      </c>
      <c r="G164" s="549">
        <f t="shared" si="15"/>
        <v>0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1148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1148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1148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1148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1148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1148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1148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 x14ac:dyDescent="0.5"/>
    <row r="177" spans="6:6" ht="18.75" customHeight="1" x14ac:dyDescent="0.5">
      <c r="F177" s="744" t="s">
        <v>226</v>
      </c>
    </row>
    <row r="181" spans="6:6" ht="19.5" customHeight="1" x14ac:dyDescent="0.5"/>
    <row r="184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 x14ac:dyDescent="0.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 x14ac:dyDescent="0.5">
      <c r="A2" s="652" t="s">
        <v>341</v>
      </c>
      <c r="B2" s="1118">
        <v>44237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2"/>
    </row>
    <row r="3" spans="1:14" s="281" customFormat="1" ht="27" x14ac:dyDescent="0.5">
      <c r="A3" s="647"/>
      <c r="B3" s="691"/>
      <c r="C3" s="1233" t="s">
        <v>131</v>
      </c>
      <c r="D3" s="689">
        <v>25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2"/>
    </row>
    <row r="4" spans="1:14" s="281" customFormat="1" ht="27" x14ac:dyDescent="0.5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142</v>
      </c>
      <c r="B7" s="758"/>
      <c r="C7" s="758"/>
      <c r="D7" s="715" t="s">
        <v>143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 x14ac:dyDescent="0.45">
      <c r="A8" s="763" t="s">
        <v>144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 x14ac:dyDescent="0.4">
      <c r="A9" s="768" t="s">
        <v>145</v>
      </c>
      <c r="B9" s="769"/>
      <c r="C9" s="769"/>
      <c r="D9" s="715" t="s">
        <v>143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 x14ac:dyDescent="0.4">
      <c r="A10" s="757" t="s">
        <v>146</v>
      </c>
      <c r="B10" s="758"/>
      <c r="C10" s="758"/>
      <c r="D10" s="715" t="s">
        <v>143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 x14ac:dyDescent="0.4">
      <c r="A11" s="757" t="s">
        <v>147</v>
      </c>
      <c r="B11" s="758"/>
      <c r="C11" s="758"/>
      <c r="D11" s="715" t="s">
        <v>143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 x14ac:dyDescent="0.4">
      <c r="A12" s="757" t="s">
        <v>148</v>
      </c>
      <c r="B12" s="758"/>
      <c r="C12" s="758"/>
      <c r="D12" s="715" t="s">
        <v>143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 x14ac:dyDescent="0.5">
      <c r="A15" s="876" t="s">
        <v>151</v>
      </c>
      <c r="B15" s="871"/>
      <c r="C15" s="871"/>
      <c r="D15" s="600" t="s">
        <v>152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 x14ac:dyDescent="0.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 x14ac:dyDescent="0.5">
      <c r="A18" s="1443" t="s">
        <v>154</v>
      </c>
      <c r="B18" s="1444"/>
      <c r="C18" s="1445"/>
      <c r="D18" s="715" t="s">
        <v>155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 x14ac:dyDescent="0.5">
      <c r="A20" s="773" t="s">
        <v>156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 x14ac:dyDescent="0.5">
      <c r="A22" s="1231" t="s">
        <v>158</v>
      </c>
      <c r="B22" s="666"/>
      <c r="C22" s="666"/>
      <c r="D22" s="599" t="s">
        <v>159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 x14ac:dyDescent="0.5">
      <c r="A23" s="1231" t="s">
        <v>160</v>
      </c>
      <c r="B23" s="666"/>
      <c r="C23" s="666"/>
      <c r="D23" s="599" t="s">
        <v>159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 x14ac:dyDescent="0.4">
      <c r="A24" s="667" t="s">
        <v>161</v>
      </c>
      <c r="B24" s="668"/>
      <c r="C24" s="668"/>
      <c r="D24" s="587" t="s">
        <v>159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795"/>
    </row>
    <row r="34" spans="1:14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 x14ac:dyDescent="0.4">
      <c r="A37" s="655" t="s">
        <v>177</v>
      </c>
      <c r="B37" s="656"/>
      <c r="C37" s="656"/>
      <c r="D37" s="599" t="s">
        <v>143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 x14ac:dyDescent="0.4">
      <c r="A38" s="655" t="s">
        <v>178</v>
      </c>
      <c r="B38" s="656"/>
      <c r="C38" s="656"/>
      <c r="D38" s="599" t="s">
        <v>143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 x14ac:dyDescent="0.4">
      <c r="A39" s="655" t="s">
        <v>179</v>
      </c>
      <c r="B39" s="656"/>
      <c r="C39" s="656"/>
      <c r="D39" s="599" t="s">
        <v>143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 x14ac:dyDescent="0.4">
      <c r="A40" s="676" t="s">
        <v>180</v>
      </c>
      <c r="B40" s="677"/>
      <c r="C40" s="677"/>
      <c r="D40" s="599" t="s">
        <v>143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 x14ac:dyDescent="0.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 x14ac:dyDescent="0.4">
      <c r="A56" s="655" t="s">
        <v>193</v>
      </c>
      <c r="B56" s="678"/>
      <c r="C56" s="678"/>
      <c r="D56" s="599" t="s">
        <v>194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 x14ac:dyDescent="0.5">
      <c r="A64" s="1387" t="s">
        <v>107</v>
      </c>
      <c r="B64" s="1388"/>
      <c r="C64" s="1389"/>
      <c r="D64" s="599" t="s">
        <v>198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 x14ac:dyDescent="0.5">
      <c r="A65" s="1387" t="s">
        <v>108</v>
      </c>
      <c r="B65" s="1388"/>
      <c r="C65" s="1389"/>
      <c r="D65" s="599" t="s">
        <v>198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 x14ac:dyDescent="0.5">
      <c r="A66" s="1387" t="s">
        <v>109</v>
      </c>
      <c r="B66" s="1388"/>
      <c r="C66" s="1389"/>
      <c r="D66" s="599" t="s">
        <v>198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 x14ac:dyDescent="0.5">
      <c r="A67" s="1387" t="s">
        <v>110</v>
      </c>
      <c r="B67" s="1388"/>
      <c r="C67" s="1389"/>
      <c r="D67" s="599" t="s">
        <v>198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 x14ac:dyDescent="0.5">
      <c r="A68" s="1387" t="s">
        <v>111</v>
      </c>
      <c r="B68" s="1388"/>
      <c r="C68" s="1389"/>
      <c r="D68" s="599" t="s">
        <v>198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 x14ac:dyDescent="0.5">
      <c r="A69" s="1387" t="s">
        <v>112</v>
      </c>
      <c r="B69" s="1388"/>
      <c r="C69" s="1389"/>
      <c r="D69" s="599" t="s">
        <v>198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795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 x14ac:dyDescent="0.5">
      <c r="A73" s="1387" t="s">
        <v>203</v>
      </c>
      <c r="B73" s="1388"/>
      <c r="C73" s="1389"/>
      <c r="D73" s="599" t="s">
        <v>198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 x14ac:dyDescent="0.5">
      <c r="A74" s="1387" t="s">
        <v>204</v>
      </c>
      <c r="B74" s="1388"/>
      <c r="C74" s="1389"/>
      <c r="D74" s="599" t="s">
        <v>198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 x14ac:dyDescent="0.5">
      <c r="A75" s="1436" t="s">
        <v>205</v>
      </c>
      <c r="B75" s="1437"/>
      <c r="C75" s="1438"/>
      <c r="D75" s="599" t="s">
        <v>198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 x14ac:dyDescent="0.5">
      <c r="A76" s="1436" t="s">
        <v>206</v>
      </c>
      <c r="B76" s="1437"/>
      <c r="C76" s="1438"/>
      <c r="D76" s="599" t="s">
        <v>198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 x14ac:dyDescent="0.5">
      <c r="A77" s="1387" t="s">
        <v>207</v>
      </c>
      <c r="B77" s="1388"/>
      <c r="C77" s="1389"/>
      <c r="D77" s="599" t="s">
        <v>198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 x14ac:dyDescent="0.5">
      <c r="A78" s="1234" t="s">
        <v>208</v>
      </c>
      <c r="B78" s="1205"/>
      <c r="C78" s="1205"/>
      <c r="D78" s="599" t="s">
        <v>198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 x14ac:dyDescent="0.5">
      <c r="A79" s="1436" t="s">
        <v>97</v>
      </c>
      <c r="B79" s="1437"/>
      <c r="C79" s="1438"/>
      <c r="D79" s="600" t="s">
        <v>198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 x14ac:dyDescent="0.5">
      <c r="A80" s="1436" t="s">
        <v>209</v>
      </c>
      <c r="B80" s="1437"/>
      <c r="C80" s="1438"/>
      <c r="D80" s="600" t="s">
        <v>198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 x14ac:dyDescent="0.5">
      <c r="A84" s="1235" t="s">
        <v>212</v>
      </c>
      <c r="B84" s="648"/>
      <c r="C84" s="648"/>
      <c r="D84" s="554" t="s">
        <v>143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 x14ac:dyDescent="0.5">
      <c r="A94" s="1384" t="s">
        <v>219</v>
      </c>
      <c r="B94" s="1385"/>
      <c r="C94" s="1386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 x14ac:dyDescent="0.5">
      <c r="A107" s="1398" t="s">
        <v>213</v>
      </c>
      <c r="B107" s="1399"/>
      <c r="C107" s="1230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 x14ac:dyDescent="0.5">
      <c r="A112" s="1398" t="s">
        <v>121</v>
      </c>
      <c r="B112" s="1399"/>
      <c r="C112" s="1230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 x14ac:dyDescent="0.5">
      <c r="A113" s="1400" t="s">
        <v>234</v>
      </c>
      <c r="B113" s="1401"/>
      <c r="C113" s="1230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795"/>
    </row>
    <row r="122" spans="1:14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 x14ac:dyDescent="0.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274</v>
      </c>
      <c r="B160" s="869"/>
      <c r="C160" s="869"/>
      <c r="D160" s="587" t="s">
        <v>198</v>
      </c>
      <c r="E160" s="1148">
        <f>'9'!F160</f>
        <v>29173.9</v>
      </c>
      <c r="F160" s="739">
        <v>29258.65</v>
      </c>
      <c r="G160" s="549">
        <f>F160-E160</f>
        <v>84.75</v>
      </c>
    </row>
    <row r="161" spans="1:8" x14ac:dyDescent="0.5">
      <c r="A161" s="868" t="s">
        <v>275</v>
      </c>
      <c r="B161" s="869"/>
      <c r="C161" s="869"/>
      <c r="D161" s="587" t="s">
        <v>198</v>
      </c>
      <c r="E161" s="1148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 x14ac:dyDescent="0.5">
      <c r="A162" s="868" t="s">
        <v>276</v>
      </c>
      <c r="B162" s="869"/>
      <c r="C162" s="869"/>
      <c r="D162" s="587" t="s">
        <v>198</v>
      </c>
      <c r="E162" s="1148">
        <f>'9'!F162</f>
        <v>14913</v>
      </c>
      <c r="F162" s="739">
        <v>15149</v>
      </c>
      <c r="G162" s="549">
        <f t="shared" si="15"/>
        <v>236</v>
      </c>
      <c r="H162" s="590"/>
    </row>
    <row r="163" spans="1:8" x14ac:dyDescent="0.5">
      <c r="A163" s="868" t="s">
        <v>277</v>
      </c>
      <c r="B163" s="869"/>
      <c r="C163" s="869"/>
      <c r="D163" s="587" t="s">
        <v>198</v>
      </c>
      <c r="E163" s="1148">
        <f>'9'!F163</f>
        <v>5133.67</v>
      </c>
      <c r="F163" s="739">
        <v>5151</v>
      </c>
      <c r="G163" s="549">
        <f t="shared" si="15"/>
        <v>17.329999999999927</v>
      </c>
    </row>
    <row r="164" spans="1:8" x14ac:dyDescent="0.4">
      <c r="A164" s="870" t="s">
        <v>106</v>
      </c>
      <c r="B164" s="681"/>
      <c r="C164" s="681"/>
      <c r="D164" s="587" t="s">
        <v>198</v>
      </c>
      <c r="E164" s="1148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 x14ac:dyDescent="0.4">
      <c r="A165" s="870" t="s">
        <v>199</v>
      </c>
      <c r="B165" s="681"/>
      <c r="C165" s="681"/>
      <c r="D165" s="587" t="s">
        <v>198</v>
      </c>
      <c r="E165" s="1148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 x14ac:dyDescent="0.5">
      <c r="A166" s="1439" t="s">
        <v>107</v>
      </c>
      <c r="B166" s="1439"/>
      <c r="C166" s="1439"/>
      <c r="D166" s="599" t="s">
        <v>198</v>
      </c>
      <c r="E166" s="1148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 x14ac:dyDescent="0.5">
      <c r="A167" s="1439" t="s">
        <v>108</v>
      </c>
      <c r="B167" s="1439"/>
      <c r="C167" s="1439"/>
      <c r="D167" s="599" t="s">
        <v>198</v>
      </c>
      <c r="E167" s="1148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 x14ac:dyDescent="0.5">
      <c r="A168" s="1439" t="s">
        <v>109</v>
      </c>
      <c r="B168" s="1439"/>
      <c r="C168" s="1439"/>
      <c r="D168" s="599" t="s">
        <v>198</v>
      </c>
      <c r="E168" s="1148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 x14ac:dyDescent="0.5">
      <c r="A169" s="1439" t="s">
        <v>110</v>
      </c>
      <c r="B169" s="1439"/>
      <c r="C169" s="1439"/>
      <c r="D169" s="599" t="s">
        <v>198</v>
      </c>
      <c r="E169" s="1148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 x14ac:dyDescent="0.5">
      <c r="A170" s="1439" t="s">
        <v>111</v>
      </c>
      <c r="B170" s="1439"/>
      <c r="C170" s="1439"/>
      <c r="D170" s="599" t="s">
        <v>198</v>
      </c>
      <c r="E170" s="1148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 x14ac:dyDescent="0.5">
      <c r="A171" s="1439" t="s">
        <v>112</v>
      </c>
      <c r="B171" s="1439"/>
      <c r="C171" s="1439"/>
      <c r="D171" s="599" t="s">
        <v>198</v>
      </c>
      <c r="E171" s="1148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 x14ac:dyDescent="0.5"/>
    <row r="177" spans="1:7" ht="44.25" customHeight="1" x14ac:dyDescent="0.5">
      <c r="A177" s="530" t="s">
        <v>228</v>
      </c>
    </row>
    <row r="178" spans="1:7" ht="21.75" customHeight="1" x14ac:dyDescent="0.5">
      <c r="A178" s="530" t="s">
        <v>229</v>
      </c>
    </row>
    <row r="179" spans="1:7" ht="21.75" customHeight="1" x14ac:dyDescent="0.5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 x14ac:dyDescent="0.5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 x14ac:dyDescent="0.5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 x14ac:dyDescent="0.5">
      <c r="A182" s="530" t="s">
        <v>213</v>
      </c>
      <c r="G182" s="614">
        <f>SUM(G179:G181)</f>
        <v>11</v>
      </c>
    </row>
    <row r="183" spans="1:7" ht="21.75" customHeight="1" x14ac:dyDescent="0.5">
      <c r="A183" s="530" t="s">
        <v>79</v>
      </c>
      <c r="D183" s="614" t="s">
        <v>155</v>
      </c>
    </row>
    <row r="184" spans="1:7" ht="21.75" customHeight="1" x14ac:dyDescent="0.5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 x14ac:dyDescent="0.5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 x14ac:dyDescent="0.5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 x14ac:dyDescent="0.5">
      <c r="A187" s="530" t="s">
        <v>121</v>
      </c>
      <c r="G187" s="614">
        <f>SUM(G184:G186)</f>
        <v>51</v>
      </c>
    </row>
    <row r="188" spans="1:7" ht="21.75" customHeight="1" x14ac:dyDescent="0.5">
      <c r="A188" s="530" t="s">
        <v>234</v>
      </c>
    </row>
    <row r="189" spans="1:7" ht="21.75" customHeight="1" x14ac:dyDescent="0.5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 x14ac:dyDescent="0.5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 x14ac:dyDescent="0.5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 x14ac:dyDescent="0.5"/>
    <row r="193" spans="1:8" ht="36.75" customHeight="1" x14ac:dyDescent="0.5">
      <c r="A193" s="530" t="s">
        <v>213</v>
      </c>
      <c r="G193" s="614">
        <f>SUM(G189:G191)</f>
        <v>7</v>
      </c>
    </row>
    <row r="194" spans="1:8" x14ac:dyDescent="0.5">
      <c r="A194" s="530" t="s">
        <v>238</v>
      </c>
      <c r="D194" s="614" t="s">
        <v>155</v>
      </c>
      <c r="F194" s="744">
        <f>SUM(G92+G19)</f>
        <v>187</v>
      </c>
      <c r="G194" s="614">
        <f>F194+'[3]9'!I145</f>
        <v>187</v>
      </c>
      <c r="H194" s="615" t="e">
        <f>G194/DAY(D147)</f>
        <v>#VALUE!</v>
      </c>
    </row>
    <row r="196" spans="1:8" x14ac:dyDescent="0.5">
      <c r="A196" s="530" t="s">
        <v>239</v>
      </c>
      <c r="D196" s="614" t="s">
        <v>155</v>
      </c>
      <c r="F196" s="744">
        <f>SUM(G95:G97,G189:G191)</f>
        <v>170</v>
      </c>
      <c r="G196" s="614">
        <f>F196+'[3]9'!I147</f>
        <v>170</v>
      </c>
      <c r="H196" s="615" t="e">
        <f>G196/DAY(D147)</f>
        <v>#VALUE!</v>
      </c>
    </row>
    <row r="198" spans="1:8" x14ac:dyDescent="0.5">
      <c r="A198" s="530" t="s">
        <v>240</v>
      </c>
      <c r="D198" s="614" t="s">
        <v>155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 x14ac:dyDescent="0.5"/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 x14ac:dyDescent="0.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326</v>
      </c>
      <c r="B2" s="1118">
        <v>44238</v>
      </c>
      <c r="C2" s="1233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 t="s">
        <v>129</v>
      </c>
    </row>
    <row r="3" spans="1:16" s="281" customFormat="1" ht="27" x14ac:dyDescent="0.5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</row>
    <row r="4" spans="1:16" s="281" customFormat="1" ht="27" x14ac:dyDescent="0.5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798" t="s">
        <v>137</v>
      </c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 x14ac:dyDescent="0.4">
      <c r="A9" s="768" t="s">
        <v>145</v>
      </c>
      <c r="B9" s="769"/>
      <c r="C9" s="769"/>
      <c r="D9" s="715" t="s">
        <v>143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 x14ac:dyDescent="0.4">
      <c r="A10" s="757" t="s">
        <v>146</v>
      </c>
      <c r="B10" s="758"/>
      <c r="C10" s="758"/>
      <c r="D10" s="715" t="s">
        <v>143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 x14ac:dyDescent="0.4">
      <c r="A12" s="757" t="s">
        <v>148</v>
      </c>
      <c r="B12" s="758"/>
      <c r="C12" s="758"/>
      <c r="D12" s="715" t="s">
        <v>143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 x14ac:dyDescent="0.5">
      <c r="A18" s="1443" t="s">
        <v>154</v>
      </c>
      <c r="B18" s="1444"/>
      <c r="C18" s="1445"/>
      <c r="D18" s="715" t="s">
        <v>155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 x14ac:dyDescent="0.5">
      <c r="A19" s="1443" t="s">
        <v>71</v>
      </c>
      <c r="B19" s="1444"/>
      <c r="C19" s="1445"/>
      <c r="D19" s="715" t="s">
        <v>155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 x14ac:dyDescent="0.5">
      <c r="A20" s="773" t="s">
        <v>156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 x14ac:dyDescent="0.5">
      <c r="A22" s="1231" t="s">
        <v>158</v>
      </c>
      <c r="B22" s="666"/>
      <c r="C22" s="666"/>
      <c r="D22" s="599" t="s">
        <v>159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 x14ac:dyDescent="0.5">
      <c r="A23" s="1231" t="s">
        <v>160</v>
      </c>
      <c r="B23" s="666"/>
      <c r="C23" s="666"/>
      <c r="D23" s="599" t="s">
        <v>159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 x14ac:dyDescent="0.4">
      <c r="A24" s="667" t="s">
        <v>161</v>
      </c>
      <c r="B24" s="668"/>
      <c r="C24" s="668"/>
      <c r="D24" s="587" t="s">
        <v>159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P33" s="413">
        <f t="shared" si="1"/>
        <v>0</v>
      </c>
    </row>
    <row r="34" spans="1:16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 x14ac:dyDescent="0.4">
      <c r="A41" s="655" t="s">
        <v>181</v>
      </c>
      <c r="B41" s="656"/>
      <c r="C41" s="656"/>
      <c r="D41" s="599" t="s">
        <v>143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 x14ac:dyDescent="0.5">
      <c r="A64" s="1387" t="s">
        <v>107</v>
      </c>
      <c r="B64" s="1388"/>
      <c r="C64" s="1389"/>
      <c r="D64" s="599" t="s">
        <v>198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P71" s="413">
        <f t="shared" si="1"/>
        <v>0</v>
      </c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 x14ac:dyDescent="0.5">
      <c r="A78" s="1234" t="s">
        <v>208</v>
      </c>
      <c r="B78" s="1205"/>
      <c r="C78" s="1205"/>
      <c r="D78" s="599" t="s">
        <v>198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 x14ac:dyDescent="0.5">
      <c r="A81" s="1436" t="s">
        <v>210</v>
      </c>
      <c r="B81" s="1437"/>
      <c r="C81" s="1438"/>
      <c r="D81" s="600" t="s">
        <v>198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 x14ac:dyDescent="0.5">
      <c r="A82" s="1436" t="s">
        <v>100</v>
      </c>
      <c r="B82" s="1437"/>
      <c r="C82" s="1438"/>
      <c r="D82" s="561" t="s">
        <v>143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 x14ac:dyDescent="0.5">
      <c r="A83" s="1436" t="s">
        <v>211</v>
      </c>
      <c r="B83" s="1437"/>
      <c r="C83" s="1438"/>
      <c r="D83" s="697" t="s">
        <v>143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 x14ac:dyDescent="0.5">
      <c r="A84" s="1235" t="s">
        <v>212</v>
      </c>
      <c r="B84" s="648"/>
      <c r="C84" s="648"/>
      <c r="D84" s="554" t="s">
        <v>143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 x14ac:dyDescent="0.5">
      <c r="A86" s="812" t="s">
        <v>102</v>
      </c>
      <c r="B86" s="813"/>
      <c r="C86" s="813"/>
      <c r="D86" s="814" t="s">
        <v>194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 x14ac:dyDescent="0.5">
      <c r="A87" s="812" t="s">
        <v>103</v>
      </c>
      <c r="B87" s="813"/>
      <c r="C87" s="813"/>
      <c r="D87" s="814" t="s">
        <v>194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 x14ac:dyDescent="0.5">
      <c r="A88" s="812" t="s">
        <v>104</v>
      </c>
      <c r="B88" s="813"/>
      <c r="C88" s="813"/>
      <c r="D88" s="814" t="s">
        <v>194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 x14ac:dyDescent="0.5">
      <c r="A89" s="812" t="s">
        <v>215</v>
      </c>
      <c r="B89" s="813"/>
      <c r="C89" s="813"/>
      <c r="D89" s="814" t="s">
        <v>194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 x14ac:dyDescent="0.5">
      <c r="A90" s="812" t="s">
        <v>215</v>
      </c>
      <c r="B90" s="813"/>
      <c r="C90" s="813"/>
      <c r="D90" s="814" t="s">
        <v>194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 x14ac:dyDescent="0.5">
      <c r="A92" s="1390" t="s">
        <v>217</v>
      </c>
      <c r="B92" s="1391"/>
      <c r="C92" s="1392"/>
      <c r="D92" s="599" t="s">
        <v>155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 x14ac:dyDescent="0.5">
      <c r="A93" s="1390" t="s">
        <v>218</v>
      </c>
      <c r="B93" s="1391"/>
      <c r="C93" s="1392"/>
      <c r="D93" s="599" t="s">
        <v>155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 x14ac:dyDescent="0.5">
      <c r="A94" s="1384" t="s">
        <v>219</v>
      </c>
      <c r="B94" s="1385"/>
      <c r="C94" s="1386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 x14ac:dyDescent="0.5">
      <c r="A95" s="1390" t="s">
        <v>220</v>
      </c>
      <c r="B95" s="1391"/>
      <c r="C95" s="1392"/>
      <c r="D95" s="599" t="s">
        <v>155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 x14ac:dyDescent="0.5">
      <c r="A96" s="1231" t="s">
        <v>221</v>
      </c>
      <c r="B96" s="1232"/>
      <c r="C96" s="1232"/>
      <c r="D96" s="599" t="s">
        <v>155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 x14ac:dyDescent="0.5">
      <c r="A97" s="1231" t="s">
        <v>222</v>
      </c>
      <c r="B97" s="1232"/>
      <c r="C97" s="1232"/>
      <c r="D97" s="599" t="s">
        <v>155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 x14ac:dyDescent="0.5">
      <c r="A98" s="1231" t="s">
        <v>223</v>
      </c>
      <c r="B98" s="1232"/>
      <c r="C98" s="1232"/>
      <c r="D98" s="599" t="s">
        <v>155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 x14ac:dyDescent="0.5">
      <c r="A99" s="1231" t="s">
        <v>224</v>
      </c>
      <c r="B99" s="1232"/>
      <c r="C99" s="1232"/>
      <c r="D99" s="599" t="s">
        <v>155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 x14ac:dyDescent="0.5">
      <c r="A100" s="1231" t="s">
        <v>225</v>
      </c>
      <c r="B100" s="1232"/>
      <c r="C100" s="1232"/>
      <c r="D100" s="599" t="s">
        <v>155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 x14ac:dyDescent="0.5">
      <c r="A104" s="1395" t="s">
        <v>230</v>
      </c>
      <c r="B104" s="1396"/>
      <c r="C104" s="1230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 x14ac:dyDescent="0.5">
      <c r="A105" s="1395" t="s">
        <v>77</v>
      </c>
      <c r="B105" s="1396"/>
      <c r="C105" s="1230"/>
      <c r="D105" s="699" t="s">
        <v>155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 x14ac:dyDescent="0.5">
      <c r="A107" s="1398" t="s">
        <v>213</v>
      </c>
      <c r="B107" s="1399"/>
      <c r="C107" s="1230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 x14ac:dyDescent="0.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 x14ac:dyDescent="0.5">
      <c r="A109" s="1395" t="s">
        <v>231</v>
      </c>
      <c r="B109" s="1396"/>
      <c r="C109" s="1230"/>
      <c r="D109" s="699" t="s">
        <v>155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 x14ac:dyDescent="0.5">
      <c r="A110" s="1395" t="s">
        <v>232</v>
      </c>
      <c r="B110" s="1396"/>
      <c r="C110" s="1230"/>
      <c r="D110" s="699" t="s">
        <v>155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 x14ac:dyDescent="0.5">
      <c r="A111" s="1395" t="s">
        <v>233</v>
      </c>
      <c r="B111" s="1396"/>
      <c r="C111" s="1230"/>
      <c r="D111" s="699" t="s">
        <v>155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 x14ac:dyDescent="0.5">
      <c r="A112" s="1398" t="s">
        <v>121</v>
      </c>
      <c r="B112" s="1399"/>
      <c r="C112" s="1230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 x14ac:dyDescent="0.5">
      <c r="A113" s="1400" t="s">
        <v>234</v>
      </c>
      <c r="B113" s="1401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 x14ac:dyDescent="0.5">
      <c r="A123" s="1231" t="s">
        <v>242</v>
      </c>
      <c r="B123" s="1232"/>
      <c r="C123" s="1232"/>
      <c r="D123" s="599" t="s">
        <v>152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 x14ac:dyDescent="0.5">
      <c r="A124" s="1231" t="s">
        <v>243</v>
      </c>
      <c r="B124" s="1232"/>
      <c r="C124" s="1232"/>
      <c r="D124" s="599" t="s">
        <v>152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 x14ac:dyDescent="0.5">
      <c r="A125" s="1387" t="s">
        <v>244</v>
      </c>
      <c r="B125" s="1388"/>
      <c r="C125" s="1389"/>
      <c r="D125" s="599" t="s">
        <v>152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 x14ac:dyDescent="0.5">
      <c r="A126" s="686" t="s">
        <v>245</v>
      </c>
      <c r="B126" s="1232"/>
      <c r="C126" s="1232"/>
      <c r="D126" s="599" t="s">
        <v>152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 x14ac:dyDescent="0.5">
      <c r="A127" s="686" t="s">
        <v>246</v>
      </c>
      <c r="B127" s="1232"/>
      <c r="C127" s="1232"/>
      <c r="D127" s="599" t="s">
        <v>152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 x14ac:dyDescent="0.5">
      <c r="A130" s="1231" t="s">
        <v>249</v>
      </c>
      <c r="B130" s="1232"/>
      <c r="C130" s="1232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 x14ac:dyDescent="0.5">
      <c r="A131" s="1231" t="s">
        <v>251</v>
      </c>
      <c r="B131" s="1232"/>
      <c r="C131" s="1232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 x14ac:dyDescent="0.5">
      <c r="A132" s="1231" t="s">
        <v>252</v>
      </c>
      <c r="B132" s="1232"/>
      <c r="C132" s="1232"/>
      <c r="D132" s="599" t="s">
        <v>250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 x14ac:dyDescent="0.5">
      <c r="A133" s="1231" t="s">
        <v>253</v>
      </c>
      <c r="B133" s="1232"/>
      <c r="C133" s="1232"/>
      <c r="D133" s="599" t="s">
        <v>250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 x14ac:dyDescent="0.5">
      <c r="A134" s="1231" t="s">
        <v>254</v>
      </c>
      <c r="B134" s="1232"/>
      <c r="C134" s="1232"/>
      <c r="D134" s="599" t="s">
        <v>250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 x14ac:dyDescent="0.5">
      <c r="A135" s="1231" t="s">
        <v>255</v>
      </c>
      <c r="B135" s="1232"/>
      <c r="C135" s="1232"/>
      <c r="D135" s="599" t="s">
        <v>250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 x14ac:dyDescent="0.5">
      <c r="A136" s="1231" t="s">
        <v>256</v>
      </c>
      <c r="B136" s="1232"/>
      <c r="C136" s="1232"/>
      <c r="D136" s="599" t="s">
        <v>250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 x14ac:dyDescent="0.5">
      <c r="A137" s="1231" t="s">
        <v>257</v>
      </c>
      <c r="B137" s="1232"/>
      <c r="C137" s="1232"/>
      <c r="D137" s="599" t="s">
        <v>250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 x14ac:dyDescent="0.5">
      <c r="A138" s="1231" t="s">
        <v>258</v>
      </c>
      <c r="B138" s="1232"/>
      <c r="C138" s="1232"/>
      <c r="D138" s="599" t="s">
        <v>250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 x14ac:dyDescent="0.5">
      <c r="A139" s="1231" t="s">
        <v>259</v>
      </c>
      <c r="B139" s="1232"/>
      <c r="C139" s="1232"/>
      <c r="D139" s="599" t="s">
        <v>250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 x14ac:dyDescent="0.5">
      <c r="A140" s="1231" t="s">
        <v>260</v>
      </c>
      <c r="B140" s="1232"/>
      <c r="C140" s="1232"/>
      <c r="D140" s="599" t="s">
        <v>250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 t="s">
        <v>226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68" t="s">
        <v>274</v>
      </c>
      <c r="B160" s="869"/>
      <c r="C160" s="869"/>
      <c r="D160" s="587" t="s">
        <v>198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 x14ac:dyDescent="0.5">
      <c r="A161" s="868" t="s">
        <v>275</v>
      </c>
      <c r="B161" s="869"/>
      <c r="C161" s="869"/>
      <c r="D161" s="587" t="s">
        <v>198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 x14ac:dyDescent="0.5">
      <c r="A162" s="868" t="s">
        <v>276</v>
      </c>
      <c r="B162" s="869"/>
      <c r="C162" s="869"/>
      <c r="D162" s="587" t="s">
        <v>198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 x14ac:dyDescent="0.5">
      <c r="A163" s="868" t="s">
        <v>277</v>
      </c>
      <c r="B163" s="869"/>
      <c r="C163" s="869"/>
      <c r="D163" s="587" t="s">
        <v>198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 x14ac:dyDescent="0.4">
      <c r="A164" s="870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 x14ac:dyDescent="0.4">
      <c r="A165" s="870" t="s">
        <v>199</v>
      </c>
      <c r="B165" s="681"/>
      <c r="C165" s="681"/>
      <c r="D165" s="587" t="s">
        <v>198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 x14ac:dyDescent="0.5">
      <c r="A166" s="1439" t="s">
        <v>107</v>
      </c>
      <c r="B166" s="1439"/>
      <c r="C166" s="1439"/>
      <c r="D166" s="599" t="s">
        <v>198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 x14ac:dyDescent="0.5">
      <c r="A167" s="1439" t="s">
        <v>108</v>
      </c>
      <c r="B167" s="1439"/>
      <c r="C167" s="1439"/>
      <c r="D167" s="599" t="s">
        <v>198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 x14ac:dyDescent="0.5">
      <c r="A168" s="1439" t="s">
        <v>109</v>
      </c>
      <c r="B168" s="1439"/>
      <c r="C168" s="1439"/>
      <c r="D168" s="599" t="s">
        <v>198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 x14ac:dyDescent="0.5">
      <c r="A169" s="1439" t="s">
        <v>110</v>
      </c>
      <c r="B169" s="1439"/>
      <c r="C169" s="1439"/>
      <c r="D169" s="599" t="s">
        <v>198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 x14ac:dyDescent="0.5">
      <c r="A170" s="1439" t="s">
        <v>111</v>
      </c>
      <c r="B170" s="1439"/>
      <c r="C170" s="1439"/>
      <c r="D170" s="599" t="s">
        <v>198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 x14ac:dyDescent="0.5">
      <c r="A171" s="1439" t="s">
        <v>112</v>
      </c>
      <c r="B171" s="1439"/>
      <c r="C171" s="1439"/>
      <c r="D171" s="599" t="s">
        <v>198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 x14ac:dyDescent="0.5">
      <c r="G172" s="616">
        <f>SUM(G160:G171)</f>
        <v>3258.3699999999908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44.25" customHeight="1" x14ac:dyDescent="0.5">
      <c r="N177" s="800"/>
    </row>
    <row r="178" spans="14:14" ht="21.75" customHeight="1" x14ac:dyDescent="0.5">
      <c r="N178" s="800"/>
    </row>
    <row r="179" spans="14:14" ht="21.75" customHeight="1" x14ac:dyDescent="0.5">
      <c r="N179" s="800">
        <v>0</v>
      </c>
    </row>
    <row r="180" spans="14:14" ht="21.75" customHeight="1" x14ac:dyDescent="0.5">
      <c r="N180" s="800">
        <v>0</v>
      </c>
    </row>
    <row r="181" spans="14:14" ht="21.75" customHeight="1" x14ac:dyDescent="0.5">
      <c r="N181" s="800">
        <v>11</v>
      </c>
    </row>
    <row r="182" spans="14:14" ht="21.75" customHeight="1" x14ac:dyDescent="0.5">
      <c r="N182" s="800">
        <v>11</v>
      </c>
    </row>
    <row r="183" spans="14:14" ht="21.75" customHeight="1" x14ac:dyDescent="0.5">
      <c r="N183" s="800"/>
    </row>
    <row r="184" spans="14:14" ht="21.75" customHeight="1" x14ac:dyDescent="0.5">
      <c r="N184" s="800">
        <v>51</v>
      </c>
    </row>
    <row r="185" spans="14:14" ht="21.75" customHeight="1" x14ac:dyDescent="0.5">
      <c r="N185" s="800">
        <v>0</v>
      </c>
    </row>
    <row r="186" spans="14:14" ht="21.75" customHeight="1" x14ac:dyDescent="0.5">
      <c r="N186" s="800">
        <v>0</v>
      </c>
    </row>
    <row r="187" spans="14:14" ht="21.75" customHeight="1" x14ac:dyDescent="0.5">
      <c r="N187" s="800">
        <v>51</v>
      </c>
    </row>
    <row r="188" spans="14:14" ht="21.75" customHeight="1" x14ac:dyDescent="0.5">
      <c r="N188" s="800"/>
    </row>
    <row r="189" spans="14:14" ht="21.75" customHeight="1" x14ac:dyDescent="0.5">
      <c r="N189" s="800">
        <v>4</v>
      </c>
    </row>
    <row r="190" spans="14:14" ht="21.75" customHeight="1" x14ac:dyDescent="0.5">
      <c r="N190" s="800">
        <v>3</v>
      </c>
    </row>
    <row r="191" spans="14:14" ht="21.75" customHeight="1" x14ac:dyDescent="0.5">
      <c r="N191" s="800">
        <v>0</v>
      </c>
    </row>
    <row r="192" spans="14:14" ht="21.75" customHeight="1" x14ac:dyDescent="0.5">
      <c r="N192" s="800"/>
    </row>
    <row r="193" spans="14:14" ht="36.75" customHeight="1" x14ac:dyDescent="0.5">
      <c r="N193" s="800">
        <v>7</v>
      </c>
    </row>
    <row r="194" spans="14:14" x14ac:dyDescent="0.5">
      <c r="N194" s="800">
        <v>61</v>
      </c>
    </row>
    <row r="195" spans="14:14" x14ac:dyDescent="0.5">
      <c r="N195" s="800"/>
    </row>
    <row r="196" spans="14:14" x14ac:dyDescent="0.5">
      <c r="N196" s="800">
        <v>55</v>
      </c>
    </row>
    <row r="197" spans="14:14" x14ac:dyDescent="0.5">
      <c r="N197" s="800"/>
    </row>
    <row r="198" spans="14:14" x14ac:dyDescent="0.5">
      <c r="N198" s="798">
        <v>79</v>
      </c>
    </row>
    <row r="199" spans="14:14" ht="21.75" customHeight="1" x14ac:dyDescent="0.5"/>
    <row r="200" spans="14:14" ht="21.75" customHeight="1" x14ac:dyDescent="0.5"/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 x14ac:dyDescent="0.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2"/>
    <col min="16" max="17" width="22.33203125" style="480"/>
    <col min="18" max="16384" width="22.33203125" style="407"/>
  </cols>
  <sheetData>
    <row r="1" spans="1:17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7" s="281" customFormat="1" ht="27" x14ac:dyDescent="0.5">
      <c r="A2" s="652" t="s">
        <v>290</v>
      </c>
      <c r="B2" s="1118">
        <v>44239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1273"/>
      <c r="P2" s="792"/>
      <c r="Q2" s="792"/>
    </row>
    <row r="3" spans="1:17" s="281" customFormat="1" ht="27" x14ac:dyDescent="0.5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3"/>
      <c r="P3" s="792"/>
      <c r="Q3" s="792"/>
    </row>
    <row r="4" spans="1:17" s="281" customFormat="1" ht="27" x14ac:dyDescent="0.5">
      <c r="A4" s="653"/>
      <c r="B4" s="693"/>
      <c r="C4" s="1233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3"/>
      <c r="P4" s="792"/>
      <c r="Q4" s="792"/>
    </row>
    <row r="5" spans="1:17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 x14ac:dyDescent="0.45">
      <c r="A7" s="757" t="s">
        <v>142</v>
      </c>
      <c r="B7" s="758"/>
      <c r="C7" s="758"/>
      <c r="D7" s="715" t="s">
        <v>143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 x14ac:dyDescent="0.45">
      <c r="A8" s="763" t="s">
        <v>144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 x14ac:dyDescent="0.4">
      <c r="A9" s="768" t="s">
        <v>145</v>
      </c>
      <c r="B9" s="769"/>
      <c r="C9" s="769"/>
      <c r="D9" s="715" t="s">
        <v>143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 x14ac:dyDescent="0.4">
      <c r="A10" s="757" t="s">
        <v>146</v>
      </c>
      <c r="B10" s="758"/>
      <c r="C10" s="758"/>
      <c r="D10" s="715" t="s">
        <v>143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 x14ac:dyDescent="0.4">
      <c r="A11" s="757" t="s">
        <v>147</v>
      </c>
      <c r="B11" s="758"/>
      <c r="C11" s="758"/>
      <c r="D11" s="715" t="s">
        <v>143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 x14ac:dyDescent="0.4">
      <c r="A12" s="757" t="s">
        <v>148</v>
      </c>
      <c r="B12" s="758"/>
      <c r="C12" s="758"/>
      <c r="D12" s="715" t="s">
        <v>143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 x14ac:dyDescent="0.5">
      <c r="A15" s="876" t="s">
        <v>151</v>
      </c>
      <c r="B15" s="877"/>
      <c r="C15" s="877"/>
      <c r="D15" s="600" t="s">
        <v>152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 x14ac:dyDescent="0.5">
      <c r="A18" s="1443" t="s">
        <v>154</v>
      </c>
      <c r="B18" s="1444"/>
      <c r="C18" s="1445"/>
      <c r="D18" s="715" t="s">
        <v>155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 x14ac:dyDescent="0.5">
      <c r="A19" s="1443" t="s">
        <v>71</v>
      </c>
      <c r="B19" s="1444"/>
      <c r="C19" s="1445"/>
      <c r="D19" s="715" t="s">
        <v>155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 x14ac:dyDescent="0.5">
      <c r="A20" s="773" t="s">
        <v>156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 x14ac:dyDescent="0.5">
      <c r="A22" s="1231" t="s">
        <v>158</v>
      </c>
      <c r="B22" s="666"/>
      <c r="C22" s="666"/>
      <c r="D22" s="599" t="s">
        <v>159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 x14ac:dyDescent="0.5">
      <c r="A23" s="1231" t="s">
        <v>160</v>
      </c>
      <c r="B23" s="666"/>
      <c r="C23" s="666"/>
      <c r="D23" s="599" t="s">
        <v>159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 x14ac:dyDescent="0.4">
      <c r="A24" s="667" t="s">
        <v>161</v>
      </c>
      <c r="B24" s="668"/>
      <c r="C24" s="668"/>
      <c r="D24" s="587" t="s">
        <v>159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9"/>
      <c r="P33" s="795"/>
    </row>
    <row r="34" spans="1:16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 x14ac:dyDescent="0.4">
      <c r="A41" s="655" t="s">
        <v>181</v>
      </c>
      <c r="B41" s="656"/>
      <c r="C41" s="656"/>
      <c r="D41" s="599" t="s">
        <v>143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 x14ac:dyDescent="0.5">
      <c r="A64" s="1387" t="s">
        <v>107</v>
      </c>
      <c r="B64" s="1388"/>
      <c r="C64" s="1389"/>
      <c r="D64" s="599" t="s">
        <v>198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9"/>
      <c r="P71" s="795"/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 x14ac:dyDescent="0.5">
      <c r="A78" s="1234" t="s">
        <v>208</v>
      </c>
      <c r="B78" s="1205"/>
      <c r="C78" s="1205"/>
      <c r="D78" s="599" t="s">
        <v>198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 x14ac:dyDescent="0.5">
      <c r="A81" s="1436" t="s">
        <v>210</v>
      </c>
      <c r="B81" s="1437"/>
      <c r="C81" s="1438"/>
      <c r="D81" s="600" t="s">
        <v>198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 x14ac:dyDescent="0.5">
      <c r="A82" s="1436" t="s">
        <v>100</v>
      </c>
      <c r="B82" s="1437"/>
      <c r="C82" s="1438"/>
      <c r="D82" s="561" t="s">
        <v>143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 x14ac:dyDescent="0.5">
      <c r="A83" s="1436" t="s">
        <v>211</v>
      </c>
      <c r="B83" s="1437"/>
      <c r="C83" s="1438"/>
      <c r="D83" s="697" t="s">
        <v>143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 x14ac:dyDescent="0.5">
      <c r="A84" s="1235" t="s">
        <v>212</v>
      </c>
      <c r="B84" s="648"/>
      <c r="C84" s="648"/>
      <c r="D84" s="554" t="s">
        <v>143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 x14ac:dyDescent="0.5">
      <c r="A86" s="812" t="s">
        <v>102</v>
      </c>
      <c r="B86" s="813"/>
      <c r="C86" s="813"/>
      <c r="D86" s="814" t="s">
        <v>194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 x14ac:dyDescent="0.5">
      <c r="A87" s="812" t="s">
        <v>103</v>
      </c>
      <c r="B87" s="813"/>
      <c r="C87" s="813"/>
      <c r="D87" s="814" t="s">
        <v>194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 x14ac:dyDescent="0.5">
      <c r="A88" s="812" t="s">
        <v>104</v>
      </c>
      <c r="B88" s="813"/>
      <c r="C88" s="813"/>
      <c r="D88" s="814" t="s">
        <v>194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 x14ac:dyDescent="0.5">
      <c r="A89" s="812" t="s">
        <v>215</v>
      </c>
      <c r="B89" s="813"/>
      <c r="C89" s="813"/>
      <c r="D89" s="814" t="s">
        <v>194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 x14ac:dyDescent="0.5">
      <c r="A90" s="812" t="s">
        <v>215</v>
      </c>
      <c r="B90" s="813"/>
      <c r="C90" s="813"/>
      <c r="D90" s="814" t="s">
        <v>194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 x14ac:dyDescent="0.5">
      <c r="A92" s="1390" t="s">
        <v>217</v>
      </c>
      <c r="B92" s="1391"/>
      <c r="C92" s="1392"/>
      <c r="D92" s="599" t="s">
        <v>155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 x14ac:dyDescent="0.5">
      <c r="A93" s="1390" t="s">
        <v>218</v>
      </c>
      <c r="B93" s="1391"/>
      <c r="C93" s="1392"/>
      <c r="D93" s="599" t="s">
        <v>155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 x14ac:dyDescent="0.5">
      <c r="A94" s="1384" t="s">
        <v>219</v>
      </c>
      <c r="B94" s="1385"/>
      <c r="C94" s="1386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 x14ac:dyDescent="0.5">
      <c r="A95" s="1390" t="s">
        <v>220</v>
      </c>
      <c r="B95" s="1391"/>
      <c r="C95" s="1392"/>
      <c r="D95" s="599" t="s">
        <v>155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 x14ac:dyDescent="0.5">
      <c r="A96" s="1231" t="s">
        <v>221</v>
      </c>
      <c r="B96" s="1232"/>
      <c r="C96" s="1232"/>
      <c r="D96" s="599" t="s">
        <v>155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 x14ac:dyDescent="0.5">
      <c r="A97" s="1231" t="s">
        <v>222</v>
      </c>
      <c r="B97" s="1232"/>
      <c r="C97" s="1232"/>
      <c r="D97" s="599" t="s">
        <v>155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 x14ac:dyDescent="0.5">
      <c r="A98" s="1231" t="s">
        <v>223</v>
      </c>
      <c r="B98" s="1232"/>
      <c r="C98" s="1232"/>
      <c r="D98" s="599" t="s">
        <v>155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 x14ac:dyDescent="0.5">
      <c r="A99" s="1231" t="s">
        <v>224</v>
      </c>
      <c r="B99" s="1232"/>
      <c r="C99" s="1232"/>
      <c r="D99" s="599" t="s">
        <v>155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 x14ac:dyDescent="0.5">
      <c r="A100" s="1231" t="s">
        <v>225</v>
      </c>
      <c r="B100" s="1232"/>
      <c r="C100" s="1232"/>
      <c r="D100" s="599" t="s">
        <v>155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 x14ac:dyDescent="0.5">
      <c r="A104" s="1395" t="s">
        <v>230</v>
      </c>
      <c r="B104" s="1396"/>
      <c r="C104" s="1230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 x14ac:dyDescent="0.5">
      <c r="A105" s="1395" t="s">
        <v>77</v>
      </c>
      <c r="B105" s="1396"/>
      <c r="C105" s="1230"/>
      <c r="D105" s="699" t="s">
        <v>155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 x14ac:dyDescent="0.5">
      <c r="A107" s="1398" t="s">
        <v>213</v>
      </c>
      <c r="B107" s="1399"/>
      <c r="C107" s="1230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 x14ac:dyDescent="0.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 x14ac:dyDescent="0.5">
      <c r="A109" s="1395" t="s">
        <v>231</v>
      </c>
      <c r="B109" s="1396"/>
      <c r="C109" s="1230"/>
      <c r="D109" s="699" t="s">
        <v>155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 x14ac:dyDescent="0.5">
      <c r="A110" s="1395" t="s">
        <v>232</v>
      </c>
      <c r="B110" s="1396"/>
      <c r="C110" s="1230"/>
      <c r="D110" s="699" t="s">
        <v>155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 x14ac:dyDescent="0.5">
      <c r="A111" s="1395" t="s">
        <v>233</v>
      </c>
      <c r="B111" s="1396"/>
      <c r="C111" s="1230"/>
      <c r="D111" s="699" t="s">
        <v>155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 x14ac:dyDescent="0.5">
      <c r="A112" s="1398" t="s">
        <v>121</v>
      </c>
      <c r="B112" s="1399"/>
      <c r="C112" s="1230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 x14ac:dyDescent="0.5">
      <c r="A113" s="1400" t="s">
        <v>234</v>
      </c>
      <c r="B113" s="1401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 x14ac:dyDescent="0.5">
      <c r="A123" s="1231" t="s">
        <v>242</v>
      </c>
      <c r="B123" s="1232"/>
      <c r="C123" s="1232"/>
      <c r="D123" s="599" t="s">
        <v>152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 x14ac:dyDescent="0.5">
      <c r="A124" s="1231" t="s">
        <v>243</v>
      </c>
      <c r="B124" s="1232"/>
      <c r="C124" s="1232"/>
      <c r="D124" s="599" t="s">
        <v>152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 x14ac:dyDescent="0.5">
      <c r="A125" s="1387" t="s">
        <v>244</v>
      </c>
      <c r="B125" s="1388"/>
      <c r="C125" s="1389"/>
      <c r="D125" s="599" t="s">
        <v>152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 x14ac:dyDescent="0.5">
      <c r="A126" s="686" t="s">
        <v>245</v>
      </c>
      <c r="B126" s="1232"/>
      <c r="C126" s="1232"/>
      <c r="D126" s="599" t="s">
        <v>152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 x14ac:dyDescent="0.5">
      <c r="A127" s="686" t="s">
        <v>246</v>
      </c>
      <c r="B127" s="1232"/>
      <c r="C127" s="1232"/>
      <c r="D127" s="599" t="s">
        <v>152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 x14ac:dyDescent="0.5">
      <c r="A130" s="1231" t="s">
        <v>249</v>
      </c>
      <c r="B130" s="1232"/>
      <c r="C130" s="1232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 x14ac:dyDescent="0.5">
      <c r="A131" s="1231" t="s">
        <v>251</v>
      </c>
      <c r="B131" s="1232"/>
      <c r="C131" s="1232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 x14ac:dyDescent="0.5">
      <c r="A132" s="1231" t="s">
        <v>252</v>
      </c>
      <c r="B132" s="1232"/>
      <c r="C132" s="1232"/>
      <c r="D132" s="599" t="s">
        <v>250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 x14ac:dyDescent="0.5">
      <c r="A133" s="1231" t="s">
        <v>253</v>
      </c>
      <c r="B133" s="1232"/>
      <c r="C133" s="1232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 x14ac:dyDescent="0.5">
      <c r="A134" s="1231" t="s">
        <v>254</v>
      </c>
      <c r="B134" s="1232"/>
      <c r="C134" s="1232"/>
      <c r="D134" s="599" t="s">
        <v>250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 x14ac:dyDescent="0.5">
      <c r="A135" s="1231" t="s">
        <v>255</v>
      </c>
      <c r="B135" s="1232"/>
      <c r="C135" s="1232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 x14ac:dyDescent="0.5">
      <c r="A136" s="1231" t="s">
        <v>256</v>
      </c>
      <c r="B136" s="1232"/>
      <c r="C136" s="1232"/>
      <c r="D136" s="599" t="s">
        <v>250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 x14ac:dyDescent="0.5">
      <c r="A137" s="1231" t="s">
        <v>257</v>
      </c>
      <c r="B137" s="1232"/>
      <c r="C137" s="1232"/>
      <c r="D137" s="599" t="s">
        <v>250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 x14ac:dyDescent="0.5">
      <c r="A138" s="1231" t="s">
        <v>258</v>
      </c>
      <c r="B138" s="1232"/>
      <c r="C138" s="1232"/>
      <c r="D138" s="599" t="s">
        <v>250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 x14ac:dyDescent="0.5">
      <c r="A139" s="1231" t="s">
        <v>259</v>
      </c>
      <c r="B139" s="1232"/>
      <c r="C139" s="1232"/>
      <c r="D139" s="599" t="s">
        <v>250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 x14ac:dyDescent="0.5">
      <c r="A140" s="1231" t="s">
        <v>260</v>
      </c>
      <c r="B140" s="1232"/>
      <c r="C140" s="1232"/>
      <c r="D140" s="599" t="s">
        <v>250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68" t="s">
        <v>274</v>
      </c>
      <c r="B160" s="869"/>
      <c r="C160" s="869"/>
      <c r="D160" s="587" t="s">
        <v>198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 x14ac:dyDescent="0.5">
      <c r="A161" s="868" t="s">
        <v>275</v>
      </c>
      <c r="B161" s="869"/>
      <c r="C161" s="869"/>
      <c r="D161" s="587" t="s">
        <v>198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 x14ac:dyDescent="0.5">
      <c r="A162" s="868" t="s">
        <v>276</v>
      </c>
      <c r="B162" s="869"/>
      <c r="C162" s="869"/>
      <c r="D162" s="587" t="s">
        <v>198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 x14ac:dyDescent="0.5">
      <c r="A163" s="868" t="s">
        <v>277</v>
      </c>
      <c r="B163" s="869"/>
      <c r="C163" s="869"/>
      <c r="D163" s="587" t="s">
        <v>198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 x14ac:dyDescent="0.4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 x14ac:dyDescent="0.4">
      <c r="A165" s="870" t="s">
        <v>199</v>
      </c>
      <c r="B165" s="681"/>
      <c r="C165" s="681"/>
      <c r="D165" s="587" t="s">
        <v>198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 x14ac:dyDescent="0.5">
      <c r="A166" s="1439" t="s">
        <v>107</v>
      </c>
      <c r="B166" s="1439"/>
      <c r="C166" s="1439"/>
      <c r="D166" s="599" t="s">
        <v>198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 x14ac:dyDescent="0.5">
      <c r="A167" s="1439" t="s">
        <v>108</v>
      </c>
      <c r="B167" s="1439"/>
      <c r="C167" s="1439"/>
      <c r="D167" s="599" t="s">
        <v>198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 x14ac:dyDescent="0.5">
      <c r="A168" s="1439" t="s">
        <v>109</v>
      </c>
      <c r="B168" s="1439"/>
      <c r="C168" s="1439"/>
      <c r="D168" s="599" t="s">
        <v>198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 x14ac:dyDescent="0.5">
      <c r="A169" s="1439" t="s">
        <v>110</v>
      </c>
      <c r="B169" s="1439"/>
      <c r="C169" s="1439"/>
      <c r="D169" s="599" t="s">
        <v>198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 x14ac:dyDescent="0.5">
      <c r="A170" s="1439" t="s">
        <v>111</v>
      </c>
      <c r="B170" s="1439"/>
      <c r="C170" s="1439"/>
      <c r="D170" s="599" t="s">
        <v>198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 x14ac:dyDescent="0.5">
      <c r="A171" s="1439" t="s">
        <v>112</v>
      </c>
      <c r="B171" s="1439"/>
      <c r="C171" s="1439"/>
      <c r="D171" s="599" t="s">
        <v>198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 x14ac:dyDescent="0.5">
      <c r="G172" s="616">
        <f>SUM(G160:G171)</f>
        <v>3251.5509999999895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18.75" customHeight="1" x14ac:dyDescent="0.5">
      <c r="N177" s="800"/>
    </row>
    <row r="178" spans="14:14" ht="18.75" customHeight="1" x14ac:dyDescent="0.5">
      <c r="N178" s="800"/>
    </row>
    <row r="179" spans="14:14" ht="18" customHeight="1" x14ac:dyDescent="0.5">
      <c r="N179" s="800"/>
    </row>
    <row r="180" spans="14:14" ht="18.75" customHeight="1" x14ac:dyDescent="0.5">
      <c r="N180" s="800"/>
    </row>
    <row r="181" spans="14:14" ht="18.75" customHeight="1" x14ac:dyDescent="0.5">
      <c r="N181" s="800"/>
    </row>
    <row r="182" spans="14:14" ht="18" customHeight="1" x14ac:dyDescent="0.5">
      <c r="N182" s="800"/>
    </row>
    <row r="183" spans="14:14" ht="18" customHeight="1" x14ac:dyDescent="0.5">
      <c r="N183" s="800"/>
    </row>
    <row r="184" spans="14:14" ht="18" customHeight="1" x14ac:dyDescent="0.5">
      <c r="N184" s="800"/>
    </row>
    <row r="185" spans="14:14" ht="18" customHeight="1" x14ac:dyDescent="0.5">
      <c r="N185" s="800"/>
    </row>
    <row r="186" spans="14:14" ht="18" customHeight="1" x14ac:dyDescent="0.5">
      <c r="N186" s="800"/>
    </row>
    <row r="187" spans="14:14" ht="18" customHeight="1" x14ac:dyDescent="0.5">
      <c r="N187" s="800"/>
    </row>
    <row r="188" spans="14:14" ht="18" customHeight="1" x14ac:dyDescent="0.5">
      <c r="N188" s="800"/>
    </row>
    <row r="189" spans="14:14" ht="18.75" customHeight="1" x14ac:dyDescent="0.5">
      <c r="N189" s="800"/>
    </row>
    <row r="190" spans="14:14" ht="18.75" customHeight="1" x14ac:dyDescent="0.5">
      <c r="N190" s="800"/>
    </row>
    <row r="191" spans="14:14" ht="18.75" customHeight="1" x14ac:dyDescent="0.5">
      <c r="N191" s="800"/>
    </row>
    <row r="192" spans="14:14" ht="18.75" customHeight="1" x14ac:dyDescent="0.5">
      <c r="N192" s="800"/>
    </row>
    <row r="193" spans="14:14" ht="18.75" customHeight="1" x14ac:dyDescent="0.5">
      <c r="N193" s="800"/>
    </row>
    <row r="194" spans="14:14" ht="18.75" customHeight="1" x14ac:dyDescent="0.5">
      <c r="N194" s="800"/>
    </row>
    <row r="195" spans="14:14" ht="18.75" customHeight="1" x14ac:dyDescent="0.5">
      <c r="N195" s="800"/>
    </row>
    <row r="196" spans="14:14" ht="18.75" customHeight="1" x14ac:dyDescent="0.5">
      <c r="N196" s="800"/>
    </row>
    <row r="197" spans="14:14" ht="18.75" customHeight="1" x14ac:dyDescent="0.5">
      <c r="N197" s="800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287</v>
      </c>
      <c r="B2" s="1118">
        <v>44240</v>
      </c>
      <c r="C2" s="1233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 x14ac:dyDescent="0.5">
      <c r="A3" s="647"/>
      <c r="B3" s="691"/>
      <c r="C3" s="1233" t="s">
        <v>131</v>
      </c>
      <c r="D3" s="689">
        <v>26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233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 x14ac:dyDescent="0.4">
      <c r="A9" s="768" t="s">
        <v>145</v>
      </c>
      <c r="B9" s="769"/>
      <c r="C9" s="769"/>
      <c r="D9" s="715" t="s">
        <v>143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 x14ac:dyDescent="0.4">
      <c r="A10" s="757" t="s">
        <v>146</v>
      </c>
      <c r="B10" s="758"/>
      <c r="C10" s="758"/>
      <c r="D10" s="715" t="s">
        <v>143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 x14ac:dyDescent="0.4">
      <c r="A12" s="757" t="s">
        <v>148</v>
      </c>
      <c r="B12" s="758"/>
      <c r="C12" s="758"/>
      <c r="D12" s="715" t="s">
        <v>143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43" t="s">
        <v>154</v>
      </c>
      <c r="B18" s="1444"/>
      <c r="C18" s="1445"/>
      <c r="D18" s="715" t="s">
        <v>155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 x14ac:dyDescent="0.5">
      <c r="A19" s="1443" t="s">
        <v>71</v>
      </c>
      <c r="B19" s="1444"/>
      <c r="C19" s="1445"/>
      <c r="D19" s="715" t="s">
        <v>155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 x14ac:dyDescent="0.5">
      <c r="A20" s="773" t="s">
        <v>156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31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31" t="s">
        <v>160</v>
      </c>
      <c r="B23" s="666"/>
      <c r="C23" s="666"/>
      <c r="D23" s="599" t="s">
        <v>159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 x14ac:dyDescent="0.4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 x14ac:dyDescent="0.4">
      <c r="A41" s="655" t="s">
        <v>181</v>
      </c>
      <c r="B41" s="656"/>
      <c r="C41" s="656"/>
      <c r="D41" s="599" t="s">
        <v>143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 x14ac:dyDescent="0.5">
      <c r="A64" s="1387" t="s">
        <v>107</v>
      </c>
      <c r="B64" s="1388"/>
      <c r="C64" s="1389"/>
      <c r="D64" s="599" t="s">
        <v>198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 x14ac:dyDescent="0.5">
      <c r="A78" s="1234" t="s">
        <v>208</v>
      </c>
      <c r="B78" s="1205"/>
      <c r="C78" s="1205"/>
      <c r="D78" s="599" t="s">
        <v>198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 x14ac:dyDescent="0.5">
      <c r="A81" s="1436" t="s">
        <v>210</v>
      </c>
      <c r="B81" s="1437"/>
      <c r="C81" s="1438"/>
      <c r="D81" s="600" t="s">
        <v>198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 x14ac:dyDescent="0.5">
      <c r="A82" s="1436" t="s">
        <v>100</v>
      </c>
      <c r="B82" s="1437"/>
      <c r="C82" s="1438"/>
      <c r="D82" s="561" t="s">
        <v>143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 x14ac:dyDescent="0.5">
      <c r="A83" s="1436" t="s">
        <v>211</v>
      </c>
      <c r="B83" s="1437"/>
      <c r="C83" s="1438"/>
      <c r="D83" s="697" t="s">
        <v>143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 x14ac:dyDescent="0.5">
      <c r="A84" s="1235" t="s">
        <v>212</v>
      </c>
      <c r="B84" s="648"/>
      <c r="C84" s="648"/>
      <c r="D84" s="554" t="s">
        <v>143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102</v>
      </c>
      <c r="B86" s="813"/>
      <c r="C86" s="813"/>
      <c r="D86" s="814" t="s">
        <v>194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 x14ac:dyDescent="0.5">
      <c r="A87" s="812" t="s">
        <v>103</v>
      </c>
      <c r="B87" s="813"/>
      <c r="C87" s="813"/>
      <c r="D87" s="814" t="s">
        <v>194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 x14ac:dyDescent="0.5">
      <c r="A88" s="812" t="s">
        <v>104</v>
      </c>
      <c r="B88" s="813"/>
      <c r="C88" s="813"/>
      <c r="D88" s="814" t="s">
        <v>194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 x14ac:dyDescent="0.5">
      <c r="A89" s="812" t="s">
        <v>215</v>
      </c>
      <c r="B89" s="813"/>
      <c r="C89" s="813"/>
      <c r="D89" s="814" t="s">
        <v>194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 x14ac:dyDescent="0.5">
      <c r="A90" s="812" t="s">
        <v>215</v>
      </c>
      <c r="B90" s="813"/>
      <c r="C90" s="813"/>
      <c r="D90" s="814" t="s">
        <v>194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390" t="s">
        <v>217</v>
      </c>
      <c r="B92" s="1391"/>
      <c r="C92" s="1392"/>
      <c r="D92" s="599" t="s">
        <v>155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 x14ac:dyDescent="0.5">
      <c r="A93" s="1390" t="s">
        <v>218</v>
      </c>
      <c r="B93" s="1391"/>
      <c r="C93" s="1392"/>
      <c r="D93" s="599" t="s">
        <v>155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 x14ac:dyDescent="0.5">
      <c r="A94" s="1384" t="s">
        <v>219</v>
      </c>
      <c r="B94" s="1385"/>
      <c r="C94" s="1386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 x14ac:dyDescent="0.5">
      <c r="A95" s="1390" t="s">
        <v>220</v>
      </c>
      <c r="B95" s="1391"/>
      <c r="C95" s="1392"/>
      <c r="D95" s="599" t="s">
        <v>155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 x14ac:dyDescent="0.5">
      <c r="A96" s="1231" t="s">
        <v>221</v>
      </c>
      <c r="B96" s="1232"/>
      <c r="C96" s="1232"/>
      <c r="D96" s="599" t="s">
        <v>155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 x14ac:dyDescent="0.5">
      <c r="A97" s="1231" t="s">
        <v>222</v>
      </c>
      <c r="B97" s="1232"/>
      <c r="C97" s="1232"/>
      <c r="D97" s="599" t="s">
        <v>155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 x14ac:dyDescent="0.5">
      <c r="A98" s="1231" t="s">
        <v>223</v>
      </c>
      <c r="B98" s="1232"/>
      <c r="C98" s="1232"/>
      <c r="D98" s="599" t="s">
        <v>155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 x14ac:dyDescent="0.5">
      <c r="A99" s="1231" t="s">
        <v>224</v>
      </c>
      <c r="B99" s="1232"/>
      <c r="C99" s="1232"/>
      <c r="D99" s="599" t="s">
        <v>155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 x14ac:dyDescent="0.5">
      <c r="A100" s="1231" t="s">
        <v>225</v>
      </c>
      <c r="B100" s="1232"/>
      <c r="C100" s="1232"/>
      <c r="D100" s="599" t="s">
        <v>155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395" t="s">
        <v>230</v>
      </c>
      <c r="B104" s="1396"/>
      <c r="C104" s="1230"/>
      <c r="D104" s="699" t="s">
        <v>155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 x14ac:dyDescent="0.5">
      <c r="A105" s="1395" t="s">
        <v>77</v>
      </c>
      <c r="B105" s="1396"/>
      <c r="C105" s="1230"/>
      <c r="D105" s="699" t="s">
        <v>155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 x14ac:dyDescent="0.5">
      <c r="A107" s="1398" t="s">
        <v>213</v>
      </c>
      <c r="B107" s="1399"/>
      <c r="C107" s="1230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 x14ac:dyDescent="0.5">
      <c r="A108" s="1400" t="s">
        <v>79</v>
      </c>
      <c r="B108" s="1401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395" t="s">
        <v>231</v>
      </c>
      <c r="B109" s="1396"/>
      <c r="C109" s="1230"/>
      <c r="D109" s="699" t="s">
        <v>155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 x14ac:dyDescent="0.5">
      <c r="A110" s="1395" t="s">
        <v>232</v>
      </c>
      <c r="B110" s="1396"/>
      <c r="C110" s="1230"/>
      <c r="D110" s="699" t="s">
        <v>155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 x14ac:dyDescent="0.5">
      <c r="A111" s="1395" t="s">
        <v>233</v>
      </c>
      <c r="B111" s="1396"/>
      <c r="C111" s="1230"/>
      <c r="D111" s="699" t="s">
        <v>155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 x14ac:dyDescent="0.5">
      <c r="A112" s="1398" t="s">
        <v>121</v>
      </c>
      <c r="B112" s="1399"/>
      <c r="C112" s="1230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 x14ac:dyDescent="0.5">
      <c r="A113" s="1400" t="s">
        <v>234</v>
      </c>
      <c r="B113" s="1401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31" t="s">
        <v>242</v>
      </c>
      <c r="B123" s="1232"/>
      <c r="C123" s="1232"/>
      <c r="D123" s="599" t="s">
        <v>152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 x14ac:dyDescent="0.5">
      <c r="A124" s="1231" t="s">
        <v>243</v>
      </c>
      <c r="B124" s="1232"/>
      <c r="C124" s="1232"/>
      <c r="D124" s="599" t="s">
        <v>152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 x14ac:dyDescent="0.5">
      <c r="A125" s="1387" t="s">
        <v>244</v>
      </c>
      <c r="B125" s="1388"/>
      <c r="C125" s="1389"/>
      <c r="D125" s="599" t="s">
        <v>152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 x14ac:dyDescent="0.5">
      <c r="A126" s="686" t="s">
        <v>245</v>
      </c>
      <c r="B126" s="1232"/>
      <c r="C126" s="1232"/>
      <c r="D126" s="599" t="s">
        <v>152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 x14ac:dyDescent="0.5">
      <c r="A127" s="686" t="s">
        <v>246</v>
      </c>
      <c r="B127" s="1232"/>
      <c r="C127" s="1232"/>
      <c r="D127" s="599" t="s">
        <v>152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31" t="s">
        <v>249</v>
      </c>
      <c r="B130" s="1232"/>
      <c r="C130" s="1232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31" t="s">
        <v>251</v>
      </c>
      <c r="B131" s="1232"/>
      <c r="C131" s="1232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31" t="s">
        <v>252</v>
      </c>
      <c r="B132" s="1232"/>
      <c r="C132" s="1232"/>
      <c r="D132" s="599" t="s">
        <v>250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 x14ac:dyDescent="0.5">
      <c r="A133" s="1231" t="s">
        <v>253</v>
      </c>
      <c r="B133" s="1232"/>
      <c r="C133" s="1232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31" t="s">
        <v>254</v>
      </c>
      <c r="B134" s="1232"/>
      <c r="C134" s="1232"/>
      <c r="D134" s="599" t="s">
        <v>250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 x14ac:dyDescent="0.5">
      <c r="A135" s="1231" t="s">
        <v>255</v>
      </c>
      <c r="B135" s="1232"/>
      <c r="C135" s="1232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31" t="s">
        <v>256</v>
      </c>
      <c r="B136" s="1232"/>
      <c r="C136" s="1232"/>
      <c r="D136" s="599" t="s">
        <v>250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 x14ac:dyDescent="0.5">
      <c r="A137" s="1231" t="s">
        <v>257</v>
      </c>
      <c r="B137" s="1232"/>
      <c r="C137" s="1232"/>
      <c r="D137" s="599" t="s">
        <v>250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 x14ac:dyDescent="0.5">
      <c r="A138" s="1231" t="s">
        <v>258</v>
      </c>
      <c r="B138" s="1232"/>
      <c r="C138" s="1232"/>
      <c r="D138" s="599" t="s">
        <v>250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 x14ac:dyDescent="0.5">
      <c r="A139" s="1231" t="s">
        <v>259</v>
      </c>
      <c r="B139" s="1232"/>
      <c r="C139" s="1232"/>
      <c r="D139" s="599" t="s">
        <v>250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 x14ac:dyDescent="0.5">
      <c r="A140" s="1231" t="s">
        <v>260</v>
      </c>
      <c r="B140" s="1232"/>
      <c r="C140" s="1232"/>
      <c r="D140" s="599" t="s">
        <v>250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274</v>
      </c>
      <c r="B160" s="879"/>
      <c r="C160" s="879"/>
      <c r="D160" s="697" t="s">
        <v>198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 x14ac:dyDescent="0.5">
      <c r="A161" s="878" t="s">
        <v>275</v>
      </c>
      <c r="B161" s="879"/>
      <c r="C161" s="879"/>
      <c r="D161" s="697" t="s">
        <v>198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 x14ac:dyDescent="0.5">
      <c r="A162" s="878" t="s">
        <v>276</v>
      </c>
      <c r="B162" s="879"/>
      <c r="C162" s="879"/>
      <c r="D162" s="697" t="s">
        <v>198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 x14ac:dyDescent="0.5">
      <c r="A163" s="878" t="s">
        <v>277</v>
      </c>
      <c r="B163" s="879"/>
      <c r="C163" s="879"/>
      <c r="D163" s="697" t="s">
        <v>198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 x14ac:dyDescent="0.4">
      <c r="A164" s="880" t="s">
        <v>106</v>
      </c>
      <c r="B164" s="881"/>
      <c r="C164" s="881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 x14ac:dyDescent="0.4">
      <c r="A165" s="880" t="s">
        <v>199</v>
      </c>
      <c r="B165" s="881"/>
      <c r="C165" s="881"/>
      <c r="D165" s="697" t="s">
        <v>198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 x14ac:dyDescent="0.5">
      <c r="A166" s="1449" t="s">
        <v>107</v>
      </c>
      <c r="B166" s="1449"/>
      <c r="C166" s="1449"/>
      <c r="D166" s="600" t="s">
        <v>198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 x14ac:dyDescent="0.5">
      <c r="A167" s="1449" t="s">
        <v>108</v>
      </c>
      <c r="B167" s="1449"/>
      <c r="C167" s="1449"/>
      <c r="D167" s="600" t="s">
        <v>198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 x14ac:dyDescent="0.5">
      <c r="A168" s="1449" t="s">
        <v>109</v>
      </c>
      <c r="B168" s="1449"/>
      <c r="C168" s="1449"/>
      <c r="D168" s="600" t="s">
        <v>198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 x14ac:dyDescent="0.5">
      <c r="A169" s="1449" t="s">
        <v>110</v>
      </c>
      <c r="B169" s="1449"/>
      <c r="C169" s="1449"/>
      <c r="D169" s="600" t="s">
        <v>198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 x14ac:dyDescent="0.5">
      <c r="A170" s="1449" t="s">
        <v>111</v>
      </c>
      <c r="B170" s="1449"/>
      <c r="C170" s="1449"/>
      <c r="D170" s="600" t="s">
        <v>198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 x14ac:dyDescent="0.5">
      <c r="A171" s="1449" t="s">
        <v>112</v>
      </c>
      <c r="B171" s="1449"/>
      <c r="C171" s="1449"/>
      <c r="D171" s="600" t="s">
        <v>198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18.75" customHeight="1" x14ac:dyDescent="0.5">
      <c r="N177" s="800"/>
    </row>
    <row r="178" spans="14:14" ht="18.75" customHeight="1" x14ac:dyDescent="0.5">
      <c r="N178" s="800"/>
    </row>
    <row r="179" spans="14:14" ht="18" customHeight="1" x14ac:dyDescent="0.5">
      <c r="N179" s="800"/>
    </row>
    <row r="180" spans="14:14" ht="18.75" customHeight="1" x14ac:dyDescent="0.5">
      <c r="N180" s="800"/>
    </row>
    <row r="181" spans="14:14" ht="18.75" customHeight="1" x14ac:dyDescent="0.5">
      <c r="N181" s="800"/>
    </row>
    <row r="182" spans="14:14" ht="18" customHeight="1" x14ac:dyDescent="0.5">
      <c r="N182" s="800"/>
    </row>
    <row r="183" spans="14:14" ht="18" customHeight="1" x14ac:dyDescent="0.5">
      <c r="N183" s="800"/>
    </row>
    <row r="184" spans="14:14" ht="18" customHeight="1" x14ac:dyDescent="0.5">
      <c r="N184" s="800"/>
    </row>
    <row r="185" spans="14:14" ht="18" customHeight="1" x14ac:dyDescent="0.5">
      <c r="N185" s="800"/>
    </row>
    <row r="186" spans="14:14" ht="18" customHeight="1" x14ac:dyDescent="0.5">
      <c r="N186" s="800"/>
    </row>
    <row r="187" spans="14:14" ht="18" customHeight="1" x14ac:dyDescent="0.5">
      <c r="N187" s="800"/>
    </row>
    <row r="188" spans="14:14" ht="18" customHeight="1" x14ac:dyDescent="0.5">
      <c r="N188" s="800"/>
    </row>
    <row r="189" spans="14:14" ht="18.75" customHeight="1" x14ac:dyDescent="0.5">
      <c r="N189" s="800"/>
    </row>
    <row r="190" spans="14:14" ht="18.75" customHeight="1" x14ac:dyDescent="0.5">
      <c r="N190" s="800"/>
    </row>
    <row r="191" spans="14:14" ht="18.75" customHeight="1" x14ac:dyDescent="0.5">
      <c r="N191" s="800"/>
    </row>
    <row r="192" spans="14:14" ht="18.75" customHeight="1" x14ac:dyDescent="0.5">
      <c r="N192" s="800"/>
    </row>
    <row r="193" spans="14:14" ht="18.75" customHeight="1" x14ac:dyDescent="0.5">
      <c r="N193" s="800"/>
    </row>
    <row r="194" spans="14:14" ht="18.75" customHeight="1" x14ac:dyDescent="0.5">
      <c r="N194" s="800"/>
    </row>
    <row r="195" spans="14:14" ht="18.75" customHeight="1" x14ac:dyDescent="0.5">
      <c r="N195" s="800"/>
    </row>
    <row r="196" spans="14:14" ht="18.75" customHeight="1" x14ac:dyDescent="0.5">
      <c r="N196" s="800"/>
    </row>
    <row r="197" spans="14:14" ht="18.75" customHeight="1" x14ac:dyDescent="0.5">
      <c r="N197" s="800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02" t="s">
        <v>283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290</v>
      </c>
      <c r="B2" s="1118">
        <v>44241</v>
      </c>
      <c r="C2" s="1282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 x14ac:dyDescent="0.5">
      <c r="A3" s="647"/>
      <c r="B3" s="691"/>
      <c r="C3" s="1282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282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799"/>
      <c r="O4" s="806"/>
    </row>
    <row r="5" spans="1:16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 x14ac:dyDescent="0.4">
      <c r="A9" s="768" t="s">
        <v>145</v>
      </c>
      <c r="B9" s="769"/>
      <c r="C9" s="769"/>
      <c r="D9" s="715" t="s">
        <v>143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 x14ac:dyDescent="0.4">
      <c r="A10" s="757" t="s">
        <v>146</v>
      </c>
      <c r="B10" s="758"/>
      <c r="C10" s="758"/>
      <c r="D10" s="715" t="s">
        <v>143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 x14ac:dyDescent="0.4">
      <c r="A12" s="757" t="s">
        <v>148</v>
      </c>
      <c r="B12" s="758"/>
      <c r="C12" s="758"/>
      <c r="D12" s="715" t="s">
        <v>143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280</v>
      </c>
      <c r="N12" s="800"/>
      <c r="O12" s="807">
        <v>0</v>
      </c>
      <c r="P12" s="413"/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43" t="s">
        <v>154</v>
      </c>
      <c r="B18" s="1444"/>
      <c r="C18" s="1445"/>
      <c r="D18" s="715" t="s">
        <v>155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 x14ac:dyDescent="0.5">
      <c r="A19" s="1443" t="s">
        <v>71</v>
      </c>
      <c r="B19" s="1444"/>
      <c r="C19" s="1445"/>
      <c r="D19" s="715" t="s">
        <v>155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 x14ac:dyDescent="0.5">
      <c r="A20" s="773" t="s">
        <v>156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75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75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 x14ac:dyDescent="0.4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 x14ac:dyDescent="0.5">
      <c r="A34" s="675" t="s">
        <v>174</v>
      </c>
      <c r="B34" s="1277"/>
      <c r="C34" s="1277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280</v>
      </c>
      <c r="P35" s="413"/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285</v>
      </c>
      <c r="P36" s="413"/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 x14ac:dyDescent="0.4">
      <c r="A41" s="655" t="s">
        <v>181</v>
      </c>
      <c r="B41" s="656"/>
      <c r="C41" s="656" t="s">
        <v>226</v>
      </c>
      <c r="D41" s="599" t="s">
        <v>143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 x14ac:dyDescent="0.5">
      <c r="A48" s="675" t="s">
        <v>188</v>
      </c>
      <c r="B48" s="1277"/>
      <c r="C48" s="1277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 x14ac:dyDescent="0.5">
      <c r="A64" s="1387" t="s">
        <v>107</v>
      </c>
      <c r="B64" s="1388"/>
      <c r="C64" s="1389"/>
      <c r="D64" s="599" t="s">
        <v>198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 x14ac:dyDescent="0.5">
      <c r="A78" s="1278" t="s">
        <v>208</v>
      </c>
      <c r="B78" s="1274"/>
      <c r="C78" s="1274"/>
      <c r="D78" s="599" t="s">
        <v>198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 x14ac:dyDescent="0.5">
      <c r="A81" s="1436" t="s">
        <v>210</v>
      </c>
      <c r="B81" s="1437"/>
      <c r="C81" s="1438"/>
      <c r="D81" s="600" t="s">
        <v>198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 x14ac:dyDescent="0.5">
      <c r="A82" s="1436" t="s">
        <v>100</v>
      </c>
      <c r="B82" s="1437"/>
      <c r="C82" s="1438"/>
      <c r="D82" s="561" t="s">
        <v>143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 x14ac:dyDescent="0.5">
      <c r="A83" s="1436" t="s">
        <v>211</v>
      </c>
      <c r="B83" s="1437"/>
      <c r="C83" s="1438"/>
      <c r="D83" s="697" t="s">
        <v>143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 x14ac:dyDescent="0.5">
      <c r="A84" s="1281" t="s">
        <v>212</v>
      </c>
      <c r="B84" s="648"/>
      <c r="C84" s="648"/>
      <c r="D84" s="554" t="s">
        <v>143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102</v>
      </c>
      <c r="B86" s="813"/>
      <c r="C86" s="813"/>
      <c r="D86" s="814" t="s">
        <v>194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 x14ac:dyDescent="0.5">
      <c r="A87" s="812" t="s">
        <v>103</v>
      </c>
      <c r="B87" s="813"/>
      <c r="C87" s="813"/>
      <c r="D87" s="814" t="s">
        <v>194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 x14ac:dyDescent="0.5">
      <c r="A88" s="812" t="s">
        <v>104</v>
      </c>
      <c r="B88" s="813"/>
      <c r="C88" s="813"/>
      <c r="D88" s="814" t="s">
        <v>194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 x14ac:dyDescent="0.5">
      <c r="A89" s="812" t="s">
        <v>215</v>
      </c>
      <c r="B89" s="813"/>
      <c r="C89" s="813"/>
      <c r="D89" s="814" t="s">
        <v>194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 x14ac:dyDescent="0.5">
      <c r="A90" s="812" t="s">
        <v>215</v>
      </c>
      <c r="B90" s="813"/>
      <c r="C90" s="813"/>
      <c r="D90" s="814" t="s">
        <v>194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 x14ac:dyDescent="0.5">
      <c r="A91" s="683" t="s">
        <v>216</v>
      </c>
      <c r="B91" s="1279"/>
      <c r="C91" s="127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390" t="s">
        <v>217</v>
      </c>
      <c r="B92" s="1391"/>
      <c r="C92" s="1392"/>
      <c r="D92" s="599" t="s">
        <v>155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 x14ac:dyDescent="0.5">
      <c r="A93" s="1390" t="s">
        <v>218</v>
      </c>
      <c r="B93" s="1391"/>
      <c r="C93" s="1392"/>
      <c r="D93" s="599" t="s">
        <v>155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 x14ac:dyDescent="0.5">
      <c r="A94" s="1384" t="s">
        <v>219</v>
      </c>
      <c r="B94" s="1385"/>
      <c r="C94" s="1386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 x14ac:dyDescent="0.5">
      <c r="A95" s="1390" t="s">
        <v>220</v>
      </c>
      <c r="B95" s="1391"/>
      <c r="C95" s="1392"/>
      <c r="D95" s="599" t="s">
        <v>155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 x14ac:dyDescent="0.5">
      <c r="A96" s="1275" t="s">
        <v>221</v>
      </c>
      <c r="B96" s="1276"/>
      <c r="C96" s="1276"/>
      <c r="D96" s="599" t="s">
        <v>155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 x14ac:dyDescent="0.5">
      <c r="A97" s="1275" t="s">
        <v>222</v>
      </c>
      <c r="B97" s="1276"/>
      <c r="C97" s="1276"/>
      <c r="D97" s="599" t="s">
        <v>155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 x14ac:dyDescent="0.5">
      <c r="A98" s="1275" t="s">
        <v>223</v>
      </c>
      <c r="B98" s="1276"/>
      <c r="C98" s="1276"/>
      <c r="D98" s="599" t="s">
        <v>155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 x14ac:dyDescent="0.5">
      <c r="A99" s="1275" t="s">
        <v>224</v>
      </c>
      <c r="B99" s="1276"/>
      <c r="C99" s="1276"/>
      <c r="D99" s="599" t="s">
        <v>155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 x14ac:dyDescent="0.5">
      <c r="A100" s="1275" t="s">
        <v>225</v>
      </c>
      <c r="B100" s="1276"/>
      <c r="C100" s="1276"/>
      <c r="D100" s="599" t="s">
        <v>155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395" t="s">
        <v>230</v>
      </c>
      <c r="B104" s="1396"/>
      <c r="C104" s="1280"/>
      <c r="D104" s="699" t="s">
        <v>155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 x14ac:dyDescent="0.5">
      <c r="A105" s="1395" t="s">
        <v>77</v>
      </c>
      <c r="B105" s="1396"/>
      <c r="C105" s="1280"/>
      <c r="D105" s="699" t="s">
        <v>155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 x14ac:dyDescent="0.5">
      <c r="A107" s="1398" t="s">
        <v>213</v>
      </c>
      <c r="B107" s="1399"/>
      <c r="C107" s="1280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 x14ac:dyDescent="0.5">
      <c r="A108" s="1400" t="s">
        <v>79</v>
      </c>
      <c r="B108" s="1401"/>
      <c r="C108" s="1280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395" t="s">
        <v>231</v>
      </c>
      <c r="B109" s="1396"/>
      <c r="C109" s="1280"/>
      <c r="D109" s="699" t="s">
        <v>155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 x14ac:dyDescent="0.5">
      <c r="A110" s="1395" t="s">
        <v>232</v>
      </c>
      <c r="B110" s="1396"/>
      <c r="C110" s="1280"/>
      <c r="D110" s="699" t="s">
        <v>155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 x14ac:dyDescent="0.5">
      <c r="A111" s="1395" t="s">
        <v>233</v>
      </c>
      <c r="B111" s="1396"/>
      <c r="C111" s="1280"/>
      <c r="D111" s="699" t="s">
        <v>155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 x14ac:dyDescent="0.5">
      <c r="A112" s="1398" t="s">
        <v>121</v>
      </c>
      <c r="B112" s="1399"/>
      <c r="C112" s="1280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 x14ac:dyDescent="0.5">
      <c r="A113" s="1400" t="s">
        <v>234</v>
      </c>
      <c r="B113" s="1401"/>
      <c r="C113" s="1280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 x14ac:dyDescent="0.5">
      <c r="A118" s="1429" t="s">
        <v>238</v>
      </c>
      <c r="B118" s="1430"/>
      <c r="C118" s="1283"/>
      <c r="D118" s="701" t="s">
        <v>155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 x14ac:dyDescent="0.5">
      <c r="A119" s="1429" t="s">
        <v>239</v>
      </c>
      <c r="B119" s="1430"/>
      <c r="C119" s="1283"/>
      <c r="D119" s="701" t="s">
        <v>155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 x14ac:dyDescent="0.5">
      <c r="A120" s="1429" t="s">
        <v>240</v>
      </c>
      <c r="B120" s="1430"/>
      <c r="C120" s="1283"/>
      <c r="D120" s="701" t="s">
        <v>155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 x14ac:dyDescent="0.5">
      <c r="A121" s="1431"/>
      <c r="B121" s="1432"/>
      <c r="C121" s="1284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75" t="s">
        <v>242</v>
      </c>
      <c r="B123" s="1276"/>
      <c r="C123" s="1276"/>
      <c r="D123" s="599" t="s">
        <v>152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 x14ac:dyDescent="0.5">
      <c r="A124" s="1275" t="s">
        <v>243</v>
      </c>
      <c r="B124" s="1276"/>
      <c r="C124" s="1276"/>
      <c r="D124" s="599" t="s">
        <v>152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 x14ac:dyDescent="0.5">
      <c r="A125" s="1387" t="s">
        <v>244</v>
      </c>
      <c r="B125" s="1388"/>
      <c r="C125" s="1389"/>
      <c r="D125" s="599" t="s">
        <v>152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 x14ac:dyDescent="0.5">
      <c r="A126" s="686" t="s">
        <v>245</v>
      </c>
      <c r="B126" s="1276"/>
      <c r="C126" s="1276"/>
      <c r="D126" s="599" t="s">
        <v>152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 x14ac:dyDescent="0.5">
      <c r="A127" s="686" t="s">
        <v>246</v>
      </c>
      <c r="B127" s="1276"/>
      <c r="C127" s="1276"/>
      <c r="D127" s="599" t="s">
        <v>152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247</v>
      </c>
      <c r="B128" s="1276"/>
      <c r="C128" s="1276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75" t="s">
        <v>249</v>
      </c>
      <c r="B130" s="1276"/>
      <c r="C130" s="1276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75" t="s">
        <v>251</v>
      </c>
      <c r="B131" s="1276"/>
      <c r="C131" s="1276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75" t="s">
        <v>252</v>
      </c>
      <c r="B132" s="1276"/>
      <c r="C132" s="1276"/>
      <c r="D132" s="599" t="s">
        <v>250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 x14ac:dyDescent="0.5">
      <c r="A133" s="1275" t="s">
        <v>253</v>
      </c>
      <c r="B133" s="1276"/>
      <c r="C133" s="1276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75" t="s">
        <v>254</v>
      </c>
      <c r="B134" s="1276"/>
      <c r="C134" s="1276"/>
      <c r="D134" s="599" t="s">
        <v>250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 x14ac:dyDescent="0.5">
      <c r="A135" s="1275" t="s">
        <v>255</v>
      </c>
      <c r="B135" s="1276"/>
      <c r="C135" s="1276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75" t="s">
        <v>256</v>
      </c>
      <c r="B136" s="1276"/>
      <c r="C136" s="1276"/>
      <c r="D136" s="599" t="s">
        <v>250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 x14ac:dyDescent="0.5">
      <c r="A137" s="1275" t="s">
        <v>257</v>
      </c>
      <c r="B137" s="1276"/>
      <c r="C137" s="1276"/>
      <c r="D137" s="599" t="s">
        <v>250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 x14ac:dyDescent="0.5">
      <c r="A138" s="1275" t="s">
        <v>258</v>
      </c>
      <c r="B138" s="1276"/>
      <c r="C138" s="1276"/>
      <c r="D138" s="599" t="s">
        <v>250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 x14ac:dyDescent="0.5">
      <c r="A139" s="1275" t="s">
        <v>259</v>
      </c>
      <c r="B139" s="1276"/>
      <c r="C139" s="1276"/>
      <c r="D139" s="599" t="s">
        <v>250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 x14ac:dyDescent="0.5">
      <c r="A140" s="1275" t="s">
        <v>260</v>
      </c>
      <c r="B140" s="1276"/>
      <c r="C140" s="1276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 x14ac:dyDescent="0.5">
      <c r="A141" s="1425" t="s">
        <v>261</v>
      </c>
      <c r="B141" s="1426"/>
      <c r="C141" s="127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274</v>
      </c>
      <c r="B160" s="879"/>
      <c r="C160" s="879"/>
      <c r="D160" s="697" t="s">
        <v>198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 x14ac:dyDescent="0.5">
      <c r="A161" s="878" t="s">
        <v>275</v>
      </c>
      <c r="B161" s="879"/>
      <c r="C161" s="879"/>
      <c r="D161" s="697" t="s">
        <v>198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 x14ac:dyDescent="0.5">
      <c r="A162" s="878" t="s">
        <v>276</v>
      </c>
      <c r="B162" s="879"/>
      <c r="C162" s="879"/>
      <c r="D162" s="697" t="s">
        <v>198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 x14ac:dyDescent="0.5">
      <c r="A163" s="878" t="s">
        <v>277</v>
      </c>
      <c r="B163" s="879"/>
      <c r="C163" s="879"/>
      <c r="D163" s="697" t="s">
        <v>198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 x14ac:dyDescent="0.4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 x14ac:dyDescent="0.4">
      <c r="A165" s="880" t="s">
        <v>199</v>
      </c>
      <c r="B165" s="881"/>
      <c r="C165" s="881"/>
      <c r="D165" s="697" t="s">
        <v>198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 x14ac:dyDescent="0.5">
      <c r="A166" s="1449" t="s">
        <v>107</v>
      </c>
      <c r="B166" s="1449"/>
      <c r="C166" s="1449"/>
      <c r="D166" s="600" t="s">
        <v>198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 x14ac:dyDescent="0.5">
      <c r="A167" s="1449" t="s">
        <v>108</v>
      </c>
      <c r="B167" s="1449"/>
      <c r="C167" s="1449"/>
      <c r="D167" s="600" t="s">
        <v>198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 x14ac:dyDescent="0.5">
      <c r="A168" s="1449" t="s">
        <v>109</v>
      </c>
      <c r="B168" s="1449"/>
      <c r="C168" s="1449"/>
      <c r="D168" s="600" t="s">
        <v>198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 x14ac:dyDescent="0.5">
      <c r="A169" s="1449" t="s">
        <v>110</v>
      </c>
      <c r="B169" s="1449"/>
      <c r="C169" s="1449"/>
      <c r="D169" s="600" t="s">
        <v>198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 x14ac:dyDescent="0.5">
      <c r="A170" s="1449" t="s">
        <v>111</v>
      </c>
      <c r="B170" s="1449"/>
      <c r="C170" s="1449"/>
      <c r="D170" s="600" t="s">
        <v>198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 x14ac:dyDescent="0.5">
      <c r="A171" s="1449" t="s">
        <v>112</v>
      </c>
      <c r="B171" s="1449"/>
      <c r="C171" s="1449"/>
      <c r="D171" s="600" t="s">
        <v>198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22.5" customHeight="1" x14ac:dyDescent="0.5">
      <c r="N177" s="800"/>
    </row>
    <row r="178" spans="14:14" ht="22.5" customHeight="1" x14ac:dyDescent="0.5">
      <c r="N178" s="800"/>
    </row>
    <row r="179" spans="14:14" ht="22.5" customHeight="1" x14ac:dyDescent="0.5">
      <c r="N179" s="800"/>
    </row>
    <row r="180" spans="14:14" ht="22.5" customHeight="1" x14ac:dyDescent="0.5">
      <c r="N180" s="800"/>
    </row>
    <row r="181" spans="14:14" ht="22.5" customHeight="1" x14ac:dyDescent="0.5">
      <c r="N181" s="800"/>
    </row>
    <row r="182" spans="14:14" ht="22.5" customHeight="1" x14ac:dyDescent="0.5">
      <c r="N182" s="800"/>
    </row>
    <row r="183" spans="14:14" ht="22.5" customHeight="1" x14ac:dyDescent="0.5">
      <c r="N183" s="800"/>
    </row>
    <row r="184" spans="14:14" ht="22.5" customHeight="1" x14ac:dyDescent="0.5">
      <c r="N184" s="800"/>
    </row>
    <row r="185" spans="14:14" ht="22.5" customHeight="1" x14ac:dyDescent="0.5">
      <c r="N185" s="800"/>
    </row>
    <row r="186" spans="14:14" ht="22.5" customHeight="1" x14ac:dyDescent="0.5">
      <c r="N186" s="800"/>
    </row>
    <row r="187" spans="14:14" ht="22.5" customHeight="1" x14ac:dyDescent="0.5">
      <c r="N187" s="800"/>
    </row>
    <row r="188" spans="14:14" ht="22.5" customHeight="1" x14ac:dyDescent="0.5">
      <c r="N188" s="800"/>
    </row>
    <row r="189" spans="14:14" ht="22.5" customHeight="1" x14ac:dyDescent="0.5">
      <c r="N189" s="800"/>
    </row>
    <row r="190" spans="14:14" ht="22.5" customHeight="1" x14ac:dyDescent="0.5">
      <c r="N190" s="800"/>
    </row>
    <row r="191" spans="14:14" ht="22.5" customHeight="1" x14ac:dyDescent="0.5">
      <c r="N191" s="800"/>
    </row>
    <row r="192" spans="14:14" ht="22.5" customHeight="1" x14ac:dyDescent="0.5">
      <c r="N192" s="800"/>
    </row>
    <row r="193" spans="14:14" ht="22.5" customHeight="1" x14ac:dyDescent="0.5">
      <c r="N193" s="800"/>
    </row>
    <row r="194" spans="14:14" ht="22.5" customHeight="1" x14ac:dyDescent="0.5">
      <c r="N194" s="800"/>
    </row>
    <row r="195" spans="14:14" ht="22.5" customHeight="1" x14ac:dyDescent="0.5">
      <c r="N195" s="800"/>
    </row>
    <row r="196" spans="14:14" ht="22.5" customHeight="1" x14ac:dyDescent="0.5">
      <c r="N196" s="800"/>
    </row>
    <row r="197" spans="14:14" ht="22.5" customHeight="1" x14ac:dyDescent="0.5">
      <c r="N197" s="800"/>
    </row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  <row r="237" ht="22.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329</v>
      </c>
      <c r="B2" s="1118">
        <v>44242</v>
      </c>
      <c r="C2" s="1291" t="s">
        <v>69</v>
      </c>
      <c r="D2" s="688">
        <v>0.67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 x14ac:dyDescent="0.5">
      <c r="A3" s="647"/>
      <c r="B3" s="691"/>
      <c r="C3" s="1291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291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 x14ac:dyDescent="0.4">
      <c r="A9" s="768" t="s">
        <v>145</v>
      </c>
      <c r="B9" s="769"/>
      <c r="C9" s="769"/>
      <c r="D9" s="715" t="s">
        <v>143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 x14ac:dyDescent="0.4">
      <c r="A10" s="757" t="s">
        <v>146</v>
      </c>
      <c r="B10" s="758"/>
      <c r="C10" s="758"/>
      <c r="D10" s="715" t="s">
        <v>143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 x14ac:dyDescent="0.4">
      <c r="A12" s="757" t="s">
        <v>148</v>
      </c>
      <c r="B12" s="758"/>
      <c r="C12" s="758"/>
      <c r="D12" s="715" t="s">
        <v>143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43" t="s">
        <v>154</v>
      </c>
      <c r="B18" s="1444"/>
      <c r="C18" s="1445"/>
      <c r="D18" s="715" t="s">
        <v>155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 x14ac:dyDescent="0.5">
      <c r="A19" s="1443" t="s">
        <v>71</v>
      </c>
      <c r="B19" s="1444"/>
      <c r="C19" s="1445"/>
      <c r="D19" s="715" t="s">
        <v>155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 x14ac:dyDescent="0.5">
      <c r="A20" s="773" t="s">
        <v>156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89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89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 x14ac:dyDescent="0.4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 x14ac:dyDescent="0.5">
      <c r="A34" s="675" t="s">
        <v>174</v>
      </c>
      <c r="B34" s="1294"/>
      <c r="C34" s="129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 x14ac:dyDescent="0.4">
      <c r="A41" s="655" t="s">
        <v>181</v>
      </c>
      <c r="B41" s="656"/>
      <c r="C41" s="656"/>
      <c r="D41" s="599" t="s">
        <v>143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 x14ac:dyDescent="0.5">
      <c r="A48" s="675" t="s">
        <v>188</v>
      </c>
      <c r="B48" s="1294"/>
      <c r="C48" s="129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 x14ac:dyDescent="0.5">
      <c r="A64" s="1387" t="s">
        <v>107</v>
      </c>
      <c r="B64" s="1388"/>
      <c r="C64" s="1389"/>
      <c r="D64" s="599" t="s">
        <v>198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 x14ac:dyDescent="0.5">
      <c r="A78" s="1292" t="s">
        <v>208</v>
      </c>
      <c r="B78" s="1285"/>
      <c r="C78" s="1285"/>
      <c r="D78" s="599" t="s">
        <v>198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 x14ac:dyDescent="0.5">
      <c r="A81" s="1436" t="s">
        <v>210</v>
      </c>
      <c r="B81" s="1437"/>
      <c r="C81" s="1438"/>
      <c r="D81" s="600" t="s">
        <v>198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 x14ac:dyDescent="0.5">
      <c r="A82" s="1450" t="s">
        <v>100</v>
      </c>
      <c r="B82" s="1451"/>
      <c r="C82" s="1452"/>
      <c r="D82" s="561" t="s">
        <v>143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7"/>
      <c r="L82" s="1308"/>
      <c r="N82" s="804"/>
      <c r="O82" s="808"/>
      <c r="P82" s="803"/>
    </row>
    <row r="83" spans="1:16" ht="27.75" x14ac:dyDescent="0.5">
      <c r="A83" s="1436" t="s">
        <v>211</v>
      </c>
      <c r="B83" s="1437"/>
      <c r="C83" s="1438"/>
      <c r="D83" s="697" t="s">
        <v>143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 x14ac:dyDescent="0.5">
      <c r="A84" s="1293" t="s">
        <v>212</v>
      </c>
      <c r="B84" s="648"/>
      <c r="C84" s="648"/>
      <c r="D84" s="554" t="s">
        <v>143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102</v>
      </c>
      <c r="B86" s="813"/>
      <c r="C86" s="813"/>
      <c r="D86" s="814" t="s">
        <v>194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 x14ac:dyDescent="0.5">
      <c r="A87" s="812" t="s">
        <v>103</v>
      </c>
      <c r="B87" s="813"/>
      <c r="C87" s="813"/>
      <c r="D87" s="814" t="s">
        <v>194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 x14ac:dyDescent="0.5">
      <c r="A88" s="812" t="s">
        <v>104</v>
      </c>
      <c r="B88" s="813"/>
      <c r="C88" s="813"/>
      <c r="D88" s="814" t="s">
        <v>194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 x14ac:dyDescent="0.5">
      <c r="A89" s="812" t="s">
        <v>215</v>
      </c>
      <c r="B89" s="813"/>
      <c r="C89" s="813"/>
      <c r="D89" s="814" t="s">
        <v>194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 x14ac:dyDescent="0.5">
      <c r="A90" s="812" t="s">
        <v>215</v>
      </c>
      <c r="B90" s="813"/>
      <c r="C90" s="813"/>
      <c r="D90" s="814" t="s">
        <v>194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 x14ac:dyDescent="0.5">
      <c r="A91" s="683" t="s">
        <v>216</v>
      </c>
      <c r="B91" s="1295"/>
      <c r="C91" s="129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390" t="s">
        <v>217</v>
      </c>
      <c r="B92" s="1391"/>
      <c r="C92" s="1392"/>
      <c r="D92" s="599" t="s">
        <v>155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 x14ac:dyDescent="0.5">
      <c r="A93" s="1390" t="s">
        <v>218</v>
      </c>
      <c r="B93" s="1391"/>
      <c r="C93" s="1392"/>
      <c r="D93" s="599" t="s">
        <v>155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 x14ac:dyDescent="0.5">
      <c r="A94" s="1384" t="s">
        <v>219</v>
      </c>
      <c r="B94" s="1385"/>
      <c r="C94" s="1386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 x14ac:dyDescent="0.5">
      <c r="A95" s="1390" t="s">
        <v>220</v>
      </c>
      <c r="B95" s="1391"/>
      <c r="C95" s="1392"/>
      <c r="D95" s="599" t="s">
        <v>155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 x14ac:dyDescent="0.5">
      <c r="A96" s="1289" t="s">
        <v>221</v>
      </c>
      <c r="B96" s="1290"/>
      <c r="C96" s="1290"/>
      <c r="D96" s="599" t="s">
        <v>155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 x14ac:dyDescent="0.5">
      <c r="A97" s="1289" t="s">
        <v>222</v>
      </c>
      <c r="B97" s="1290"/>
      <c r="C97" s="1290"/>
      <c r="D97" s="599" t="s">
        <v>155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 x14ac:dyDescent="0.5">
      <c r="A98" s="1289" t="s">
        <v>223</v>
      </c>
      <c r="B98" s="1290"/>
      <c r="C98" s="1290"/>
      <c r="D98" s="599" t="s">
        <v>155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 x14ac:dyDescent="0.5">
      <c r="A99" s="1289" t="s">
        <v>224</v>
      </c>
      <c r="B99" s="1290"/>
      <c r="C99" s="1290"/>
      <c r="D99" s="599" t="s">
        <v>155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 x14ac:dyDescent="0.5">
      <c r="A100" s="1289" t="s">
        <v>225</v>
      </c>
      <c r="B100" s="1290"/>
      <c r="C100" s="1290"/>
      <c r="D100" s="599" t="s">
        <v>155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395" t="s">
        <v>230</v>
      </c>
      <c r="B104" s="1396"/>
      <c r="C104" s="1288"/>
      <c r="D104" s="699" t="s">
        <v>155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 x14ac:dyDescent="0.5">
      <c r="A105" s="1395" t="s">
        <v>77</v>
      </c>
      <c r="B105" s="1396"/>
      <c r="C105" s="1288"/>
      <c r="D105" s="699" t="s">
        <v>155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 x14ac:dyDescent="0.5">
      <c r="A107" s="1398" t="s">
        <v>213</v>
      </c>
      <c r="B107" s="1399"/>
      <c r="C107" s="1288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 x14ac:dyDescent="0.5">
      <c r="A108" s="1400" t="s">
        <v>79</v>
      </c>
      <c r="B108" s="1401"/>
      <c r="C108" s="1288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395" t="s">
        <v>231</v>
      </c>
      <c r="B109" s="1396"/>
      <c r="C109" s="1288"/>
      <c r="D109" s="699" t="s">
        <v>155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 x14ac:dyDescent="0.5">
      <c r="A110" s="1395" t="s">
        <v>232</v>
      </c>
      <c r="B110" s="1396"/>
      <c r="C110" s="1288"/>
      <c r="D110" s="699" t="s">
        <v>155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 x14ac:dyDescent="0.5">
      <c r="A111" s="1395" t="s">
        <v>233</v>
      </c>
      <c r="B111" s="1396"/>
      <c r="C111" s="1288"/>
      <c r="D111" s="699" t="s">
        <v>155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 x14ac:dyDescent="0.5">
      <c r="A112" s="1398" t="s">
        <v>121</v>
      </c>
      <c r="B112" s="1399"/>
      <c r="C112" s="1288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 x14ac:dyDescent="0.5">
      <c r="A113" s="1400" t="s">
        <v>234</v>
      </c>
      <c r="B113" s="1401"/>
      <c r="C113" s="1288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 x14ac:dyDescent="0.5">
      <c r="A116" s="1395" t="s">
        <v>237</v>
      </c>
      <c r="B116" s="1396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 x14ac:dyDescent="0.5">
      <c r="A118" s="1429" t="s">
        <v>238</v>
      </c>
      <c r="B118" s="1430"/>
      <c r="C118" s="1286"/>
      <c r="D118" s="701" t="s">
        <v>155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 x14ac:dyDescent="0.5">
      <c r="A119" s="1429" t="s">
        <v>239</v>
      </c>
      <c r="B119" s="1430"/>
      <c r="C119" s="1286"/>
      <c r="D119" s="701" t="s">
        <v>155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 x14ac:dyDescent="0.5">
      <c r="A120" s="1429" t="s">
        <v>240</v>
      </c>
      <c r="B120" s="1430"/>
      <c r="C120" s="1286"/>
      <c r="D120" s="701" t="s">
        <v>155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 x14ac:dyDescent="0.5">
      <c r="A121" s="1431"/>
      <c r="B121" s="1432"/>
      <c r="C121" s="1287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89" t="s">
        <v>242</v>
      </c>
      <c r="B123" s="1290"/>
      <c r="C123" s="1290"/>
      <c r="D123" s="599" t="s">
        <v>152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 x14ac:dyDescent="0.5">
      <c r="A124" s="1289" t="s">
        <v>243</v>
      </c>
      <c r="B124" s="1290"/>
      <c r="C124" s="1290"/>
      <c r="D124" s="599" t="s">
        <v>152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 x14ac:dyDescent="0.5">
      <c r="A125" s="1387" t="s">
        <v>244</v>
      </c>
      <c r="B125" s="1388"/>
      <c r="C125" s="1389"/>
      <c r="D125" s="599" t="s">
        <v>152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 x14ac:dyDescent="0.5">
      <c r="A126" s="686" t="s">
        <v>245</v>
      </c>
      <c r="B126" s="1290"/>
      <c r="C126" s="1290"/>
      <c r="D126" s="599" t="s">
        <v>152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 x14ac:dyDescent="0.5">
      <c r="A127" s="686" t="s">
        <v>246</v>
      </c>
      <c r="B127" s="1290"/>
      <c r="C127" s="1290"/>
      <c r="D127" s="599" t="s">
        <v>152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247</v>
      </c>
      <c r="B128" s="1290"/>
      <c r="C128" s="1290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89" t="s">
        <v>249</v>
      </c>
      <c r="B130" s="1290"/>
      <c r="C130" s="1290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89" t="s">
        <v>251</v>
      </c>
      <c r="B131" s="1290"/>
      <c r="C131" s="1290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89" t="s">
        <v>252</v>
      </c>
      <c r="B132" s="1290"/>
      <c r="C132" s="1290"/>
      <c r="D132" s="599" t="s">
        <v>250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 x14ac:dyDescent="0.5">
      <c r="A133" s="1289" t="s">
        <v>253</v>
      </c>
      <c r="B133" s="1290"/>
      <c r="C133" s="1290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89" t="s">
        <v>254</v>
      </c>
      <c r="B134" s="1290"/>
      <c r="C134" s="1290"/>
      <c r="D134" s="599" t="s">
        <v>250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 x14ac:dyDescent="0.5">
      <c r="A135" s="1289" t="s">
        <v>255</v>
      </c>
      <c r="B135" s="1290"/>
      <c r="C135" s="1290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89" t="s">
        <v>256</v>
      </c>
      <c r="B136" s="1290"/>
      <c r="C136" s="1290"/>
      <c r="D136" s="599" t="s">
        <v>250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 x14ac:dyDescent="0.5">
      <c r="A137" s="1289" t="s">
        <v>257</v>
      </c>
      <c r="B137" s="1290"/>
      <c r="C137" s="1290"/>
      <c r="D137" s="599" t="s">
        <v>250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 x14ac:dyDescent="0.5">
      <c r="A138" s="1289" t="s">
        <v>258</v>
      </c>
      <c r="B138" s="1290"/>
      <c r="C138" s="1290"/>
      <c r="D138" s="599" t="s">
        <v>250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 x14ac:dyDescent="0.5">
      <c r="A139" s="1289" t="s">
        <v>259</v>
      </c>
      <c r="B139" s="1290"/>
      <c r="C139" s="1290"/>
      <c r="D139" s="599" t="s">
        <v>250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 x14ac:dyDescent="0.5">
      <c r="A140" s="1289" t="s">
        <v>260</v>
      </c>
      <c r="B140" s="1290"/>
      <c r="C140" s="1290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 x14ac:dyDescent="0.5">
      <c r="A141" s="1425" t="s">
        <v>261</v>
      </c>
      <c r="B141" s="1426"/>
      <c r="C141" s="129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274</v>
      </c>
      <c r="B160" s="879"/>
      <c r="C160" s="879"/>
      <c r="D160" s="697" t="s">
        <v>198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 x14ac:dyDescent="0.5">
      <c r="A161" s="878" t="s">
        <v>275</v>
      </c>
      <c r="B161" s="879"/>
      <c r="C161" s="879"/>
      <c r="D161" s="697" t="s">
        <v>198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 x14ac:dyDescent="0.5">
      <c r="A162" s="878" t="s">
        <v>276</v>
      </c>
      <c r="B162" s="879"/>
      <c r="C162" s="879"/>
      <c r="D162" s="697" t="s">
        <v>198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 x14ac:dyDescent="0.5">
      <c r="A163" s="878" t="s">
        <v>277</v>
      </c>
      <c r="B163" s="879"/>
      <c r="C163" s="879"/>
      <c r="D163" s="697" t="s">
        <v>198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 x14ac:dyDescent="0.4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 x14ac:dyDescent="0.4">
      <c r="A165" s="880" t="s">
        <v>199</v>
      </c>
      <c r="B165" s="881"/>
      <c r="C165" s="881"/>
      <c r="D165" s="697" t="s">
        <v>198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 x14ac:dyDescent="0.5">
      <c r="A166" s="1449" t="s">
        <v>107</v>
      </c>
      <c r="B166" s="1449"/>
      <c r="C166" s="1449"/>
      <c r="D166" s="600" t="s">
        <v>198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 x14ac:dyDescent="0.5">
      <c r="A167" s="1449" t="s">
        <v>108</v>
      </c>
      <c r="B167" s="1449"/>
      <c r="C167" s="1449"/>
      <c r="D167" s="600" t="s">
        <v>198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 x14ac:dyDescent="0.5">
      <c r="A168" s="1449" t="s">
        <v>109</v>
      </c>
      <c r="B168" s="1449"/>
      <c r="C168" s="1449"/>
      <c r="D168" s="600" t="s">
        <v>198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 x14ac:dyDescent="0.5">
      <c r="A169" s="1449" t="s">
        <v>110</v>
      </c>
      <c r="B169" s="1449"/>
      <c r="C169" s="1449"/>
      <c r="D169" s="600" t="s">
        <v>198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 x14ac:dyDescent="0.5">
      <c r="A170" s="1449" t="s">
        <v>111</v>
      </c>
      <c r="B170" s="1449"/>
      <c r="C170" s="1449"/>
      <c r="D170" s="600" t="s">
        <v>198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 x14ac:dyDescent="0.5">
      <c r="A171" s="1449" t="s">
        <v>112</v>
      </c>
      <c r="B171" s="1449"/>
      <c r="C171" s="1449"/>
      <c r="D171" s="600" t="s">
        <v>198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27" customHeight="1" x14ac:dyDescent="0.5">
      <c r="N177" s="800"/>
    </row>
    <row r="178" spans="14:14" ht="27" customHeight="1" x14ac:dyDescent="0.5">
      <c r="N178" s="800"/>
    </row>
    <row r="179" spans="14:14" ht="27" customHeight="1" x14ac:dyDescent="0.5">
      <c r="N179" s="800"/>
    </row>
    <row r="180" spans="14:14" ht="27" customHeight="1" x14ac:dyDescent="0.5">
      <c r="N180" s="800"/>
    </row>
    <row r="181" spans="14:14" ht="27" customHeight="1" x14ac:dyDescent="0.5">
      <c r="N181" s="800"/>
    </row>
    <row r="182" spans="14:14" ht="27" customHeight="1" x14ac:dyDescent="0.5">
      <c r="N182" s="800"/>
    </row>
    <row r="183" spans="14:14" ht="27" customHeight="1" x14ac:dyDescent="0.5">
      <c r="N183" s="800"/>
    </row>
    <row r="184" spans="14:14" ht="27" customHeight="1" x14ac:dyDescent="0.5">
      <c r="N184" s="800"/>
    </row>
    <row r="185" spans="14:14" ht="27" customHeight="1" x14ac:dyDescent="0.5">
      <c r="N185" s="800"/>
    </row>
    <row r="186" spans="14:14" ht="27" customHeight="1" x14ac:dyDescent="0.5">
      <c r="N186" s="800"/>
    </row>
    <row r="187" spans="14:14" ht="27" customHeight="1" x14ac:dyDescent="0.5">
      <c r="N187" s="800"/>
    </row>
    <row r="188" spans="14:14" ht="27" customHeight="1" x14ac:dyDescent="0.5">
      <c r="N188" s="800"/>
    </row>
    <row r="189" spans="14:14" ht="27" customHeight="1" x14ac:dyDescent="0.5">
      <c r="N189" s="800"/>
    </row>
    <row r="190" spans="14:14" ht="27" customHeight="1" x14ac:dyDescent="0.5">
      <c r="N190" s="800"/>
    </row>
    <row r="191" spans="14:14" ht="27" customHeight="1" x14ac:dyDescent="0.5">
      <c r="N191" s="800"/>
    </row>
    <row r="192" spans="14:14" ht="27" customHeight="1" x14ac:dyDescent="0.5">
      <c r="N192" s="800"/>
    </row>
    <row r="193" spans="14:14" ht="27" customHeight="1" x14ac:dyDescent="0.5">
      <c r="N193" s="800"/>
    </row>
    <row r="194" spans="14:14" ht="27" customHeight="1" x14ac:dyDescent="0.5">
      <c r="N194" s="800"/>
    </row>
    <row r="195" spans="14:14" ht="27" customHeight="1" x14ac:dyDescent="0.5">
      <c r="N195" s="800"/>
    </row>
    <row r="196" spans="14:14" ht="27" customHeight="1" x14ac:dyDescent="0.5">
      <c r="N196" s="800"/>
    </row>
    <row r="197" spans="14:14" ht="27" customHeight="1" x14ac:dyDescent="0.5">
      <c r="N197" s="800"/>
    </row>
    <row r="198" spans="14:14" ht="27" customHeight="1" x14ac:dyDescent="0.5"/>
    <row r="199" spans="14:14" ht="27" customHeight="1" x14ac:dyDescent="0.5"/>
    <row r="200" spans="14:14" ht="27" customHeight="1" x14ac:dyDescent="0.5"/>
    <row r="201" spans="14:14" ht="27" customHeight="1" x14ac:dyDescent="0.5"/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344</v>
      </c>
      <c r="B2" s="1118">
        <v>44243</v>
      </c>
      <c r="C2" s="1304" t="s">
        <v>69</v>
      </c>
      <c r="D2" s="688">
        <v>0.63449999999999995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 x14ac:dyDescent="0.5">
      <c r="A3" s="647"/>
      <c r="B3" s="691"/>
      <c r="C3" s="1304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 x14ac:dyDescent="0.4">
      <c r="A9" s="768" t="s">
        <v>145</v>
      </c>
      <c r="B9" s="769"/>
      <c r="C9" s="769"/>
      <c r="D9" s="715" t="s">
        <v>143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 x14ac:dyDescent="0.4">
      <c r="A10" s="757" t="s">
        <v>146</v>
      </c>
      <c r="B10" s="758"/>
      <c r="C10" s="758"/>
      <c r="D10" s="715" t="s">
        <v>143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 x14ac:dyDescent="0.4">
      <c r="A12" s="757" t="s">
        <v>148</v>
      </c>
      <c r="B12" s="758"/>
      <c r="C12" s="758"/>
      <c r="D12" s="715" t="s">
        <v>143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43" t="s">
        <v>154</v>
      </c>
      <c r="B18" s="1444"/>
      <c r="C18" s="1445"/>
      <c r="D18" s="715" t="s">
        <v>155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 x14ac:dyDescent="0.5">
      <c r="A19" s="1443" t="s">
        <v>71</v>
      </c>
      <c r="B19" s="1444"/>
      <c r="C19" s="1445"/>
      <c r="D19" s="715" t="s">
        <v>155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 x14ac:dyDescent="0.5">
      <c r="A20" s="773" t="s">
        <v>156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97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97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 x14ac:dyDescent="0.4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 x14ac:dyDescent="0.5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 x14ac:dyDescent="0.4">
      <c r="A41" s="655" t="s">
        <v>181</v>
      </c>
      <c r="B41" s="656"/>
      <c r="C41" s="656"/>
      <c r="D41" s="599" t="s">
        <v>143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 x14ac:dyDescent="0.5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 x14ac:dyDescent="0.5">
      <c r="A64" s="1387" t="s">
        <v>107</v>
      </c>
      <c r="B64" s="1388"/>
      <c r="C64" s="1389"/>
      <c r="D64" s="599" t="s">
        <v>198</v>
      </c>
      <c r="E64" s="1321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 x14ac:dyDescent="0.5">
      <c r="A78" s="1300" t="s">
        <v>208</v>
      </c>
      <c r="B78" s="1296"/>
      <c r="C78" s="1296"/>
      <c r="D78" s="599" t="s">
        <v>198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 x14ac:dyDescent="0.5">
      <c r="A81" s="1436" t="s">
        <v>210</v>
      </c>
      <c r="B81" s="1437"/>
      <c r="C81" s="1438"/>
      <c r="D81" s="600" t="s">
        <v>198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 x14ac:dyDescent="0.5">
      <c r="A82" s="1453" t="s">
        <v>100</v>
      </c>
      <c r="B82" s="1454"/>
      <c r="C82" s="1455"/>
      <c r="D82" s="703" t="s">
        <v>143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7"/>
      <c r="L82" s="1308"/>
      <c r="N82" s="804"/>
      <c r="O82" s="808"/>
      <c r="P82" s="803"/>
    </row>
    <row r="83" spans="1:16" ht="27.75" x14ac:dyDescent="0.5">
      <c r="A83" s="1436" t="s">
        <v>211</v>
      </c>
      <c r="B83" s="1437"/>
      <c r="C83" s="1438"/>
      <c r="D83" s="697" t="s">
        <v>143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 x14ac:dyDescent="0.5">
      <c r="A84" s="1303" t="s">
        <v>212</v>
      </c>
      <c r="B84" s="648"/>
      <c r="C84" s="648"/>
      <c r="D84" s="554" t="s">
        <v>143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102</v>
      </c>
      <c r="B86" s="813"/>
      <c r="C86" s="813"/>
      <c r="D86" s="814" t="s">
        <v>194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 x14ac:dyDescent="0.5">
      <c r="A87" s="812" t="s">
        <v>103</v>
      </c>
      <c r="B87" s="813"/>
      <c r="C87" s="813"/>
      <c r="D87" s="814" t="s">
        <v>194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 x14ac:dyDescent="0.5">
      <c r="A88" s="812" t="s">
        <v>104</v>
      </c>
      <c r="B88" s="813"/>
      <c r="C88" s="813"/>
      <c r="D88" s="814" t="s">
        <v>194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 x14ac:dyDescent="0.5">
      <c r="A89" s="812" t="s">
        <v>215</v>
      </c>
      <c r="B89" s="813"/>
      <c r="C89" s="813"/>
      <c r="D89" s="814" t="s">
        <v>194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 x14ac:dyDescent="0.5">
      <c r="A90" s="812" t="s">
        <v>215</v>
      </c>
      <c r="B90" s="813"/>
      <c r="C90" s="813"/>
      <c r="D90" s="814" t="s">
        <v>194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 x14ac:dyDescent="0.5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390" t="s">
        <v>217</v>
      </c>
      <c r="B92" s="1391"/>
      <c r="C92" s="1392"/>
      <c r="D92" s="599" t="s">
        <v>155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 x14ac:dyDescent="0.5">
      <c r="A93" s="1390" t="s">
        <v>218</v>
      </c>
      <c r="B93" s="1391"/>
      <c r="C93" s="1392"/>
      <c r="D93" s="599" t="s">
        <v>155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 x14ac:dyDescent="0.5">
      <c r="A94" s="1384" t="s">
        <v>219</v>
      </c>
      <c r="B94" s="1385"/>
      <c r="C94" s="1386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 x14ac:dyDescent="0.5">
      <c r="A95" s="1390" t="s">
        <v>220</v>
      </c>
      <c r="B95" s="1391"/>
      <c r="C95" s="1392"/>
      <c r="D95" s="599" t="s">
        <v>155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 x14ac:dyDescent="0.5">
      <c r="A96" s="1297" t="s">
        <v>221</v>
      </c>
      <c r="B96" s="1298"/>
      <c r="C96" s="1298"/>
      <c r="D96" s="599" t="s">
        <v>155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 x14ac:dyDescent="0.5">
      <c r="A97" s="1297" t="s">
        <v>222</v>
      </c>
      <c r="B97" s="1298"/>
      <c r="C97" s="1298"/>
      <c r="D97" s="599" t="s">
        <v>155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 x14ac:dyDescent="0.5">
      <c r="A98" s="1297" t="s">
        <v>223</v>
      </c>
      <c r="B98" s="1298"/>
      <c r="C98" s="1298"/>
      <c r="D98" s="599" t="s">
        <v>155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 x14ac:dyDescent="0.5">
      <c r="A99" s="1297" t="s">
        <v>224</v>
      </c>
      <c r="B99" s="1298"/>
      <c r="C99" s="1298"/>
      <c r="D99" s="599" t="s">
        <v>155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 x14ac:dyDescent="0.5">
      <c r="A100" s="1297" t="s">
        <v>225</v>
      </c>
      <c r="B100" s="1298"/>
      <c r="C100" s="1298"/>
      <c r="D100" s="599" t="s">
        <v>155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395" t="s">
        <v>230</v>
      </c>
      <c r="B104" s="1396"/>
      <c r="C104" s="1302"/>
      <c r="D104" s="699" t="s">
        <v>155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 x14ac:dyDescent="0.5">
      <c r="A105" s="1395" t="s">
        <v>77</v>
      </c>
      <c r="B105" s="1396"/>
      <c r="C105" s="1302"/>
      <c r="D105" s="699" t="s">
        <v>155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 x14ac:dyDescent="0.5">
      <c r="A107" s="1398" t="s">
        <v>213</v>
      </c>
      <c r="B107" s="1399"/>
      <c r="C107" s="1302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 x14ac:dyDescent="0.5">
      <c r="A108" s="1400" t="s">
        <v>79</v>
      </c>
      <c r="B108" s="1401"/>
      <c r="C108" s="1302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395" t="s">
        <v>231</v>
      </c>
      <c r="B109" s="1396"/>
      <c r="C109" s="1302"/>
      <c r="D109" s="699" t="s">
        <v>155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 x14ac:dyDescent="0.5">
      <c r="A110" s="1395" t="s">
        <v>232</v>
      </c>
      <c r="B110" s="1396"/>
      <c r="C110" s="1302"/>
      <c r="D110" s="699" t="s">
        <v>155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 x14ac:dyDescent="0.5">
      <c r="A111" s="1395" t="s">
        <v>233</v>
      </c>
      <c r="B111" s="1396"/>
      <c r="C111" s="1302"/>
      <c r="D111" s="699" t="s">
        <v>155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 x14ac:dyDescent="0.5">
      <c r="A112" s="1398" t="s">
        <v>121</v>
      </c>
      <c r="B112" s="1399"/>
      <c r="C112" s="1302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 x14ac:dyDescent="0.5">
      <c r="A113" s="1400" t="s">
        <v>234</v>
      </c>
      <c r="B113" s="1401"/>
      <c r="C113" s="1302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 x14ac:dyDescent="0.5">
      <c r="A118" s="1429" t="s">
        <v>238</v>
      </c>
      <c r="B118" s="1430"/>
      <c r="C118" s="1305"/>
      <c r="D118" s="701" t="s">
        <v>155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 x14ac:dyDescent="0.5">
      <c r="A119" s="1429" t="s">
        <v>239</v>
      </c>
      <c r="B119" s="1430"/>
      <c r="C119" s="1305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 x14ac:dyDescent="0.5">
      <c r="A120" s="1429" t="s">
        <v>240</v>
      </c>
      <c r="B120" s="1430"/>
      <c r="C120" s="1305"/>
      <c r="D120" s="701" t="s">
        <v>155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 x14ac:dyDescent="0.5">
      <c r="A121" s="1431"/>
      <c r="B121" s="1432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97" t="s">
        <v>242</v>
      </c>
      <c r="B123" s="1298"/>
      <c r="C123" s="1298"/>
      <c r="D123" s="599" t="s">
        <v>152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 x14ac:dyDescent="0.5">
      <c r="A124" s="1297" t="s">
        <v>243</v>
      </c>
      <c r="B124" s="1298"/>
      <c r="C124" s="1298"/>
      <c r="D124" s="599" t="s">
        <v>152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 x14ac:dyDescent="0.5">
      <c r="A125" s="1387" t="s">
        <v>244</v>
      </c>
      <c r="B125" s="1388"/>
      <c r="C125" s="1389"/>
      <c r="D125" s="599" t="s">
        <v>152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 x14ac:dyDescent="0.5">
      <c r="A126" s="686" t="s">
        <v>245</v>
      </c>
      <c r="B126" s="1298"/>
      <c r="C126" s="1298"/>
      <c r="D126" s="599" t="s">
        <v>152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 x14ac:dyDescent="0.5">
      <c r="A127" s="686" t="s">
        <v>246</v>
      </c>
      <c r="B127" s="1298"/>
      <c r="C127" s="1298"/>
      <c r="D127" s="599" t="s">
        <v>152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97" t="s">
        <v>249</v>
      </c>
      <c r="B130" s="1298"/>
      <c r="C130" s="1298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97" t="s">
        <v>251</v>
      </c>
      <c r="B131" s="1298"/>
      <c r="C131" s="1298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97" t="s">
        <v>252</v>
      </c>
      <c r="B132" s="1298"/>
      <c r="C132" s="1298"/>
      <c r="D132" s="599" t="s">
        <v>250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 x14ac:dyDescent="0.5">
      <c r="A133" s="1297" t="s">
        <v>253</v>
      </c>
      <c r="B133" s="1298"/>
      <c r="C133" s="1298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97" t="s">
        <v>254</v>
      </c>
      <c r="B134" s="1298"/>
      <c r="C134" s="1298"/>
      <c r="D134" s="599" t="s">
        <v>250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 x14ac:dyDescent="0.5">
      <c r="A135" s="1297" t="s">
        <v>255</v>
      </c>
      <c r="B135" s="1298"/>
      <c r="C135" s="1298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97" t="s">
        <v>256</v>
      </c>
      <c r="B136" s="1298"/>
      <c r="C136" s="1298"/>
      <c r="D136" s="599" t="s">
        <v>250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 x14ac:dyDescent="0.5">
      <c r="A137" s="1297" t="s">
        <v>257</v>
      </c>
      <c r="B137" s="1298"/>
      <c r="C137" s="1298"/>
      <c r="D137" s="599" t="s">
        <v>250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 x14ac:dyDescent="0.5">
      <c r="A138" s="1297" t="s">
        <v>258</v>
      </c>
      <c r="B138" s="1298"/>
      <c r="C138" s="1298"/>
      <c r="D138" s="599" t="s">
        <v>250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 x14ac:dyDescent="0.5">
      <c r="A139" s="1297" t="s">
        <v>259</v>
      </c>
      <c r="B139" s="1298"/>
      <c r="C139" s="1298"/>
      <c r="D139" s="599" t="s">
        <v>250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 x14ac:dyDescent="0.5">
      <c r="A140" s="1297" t="s">
        <v>260</v>
      </c>
      <c r="B140" s="1298"/>
      <c r="C140" s="1298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 x14ac:dyDescent="0.5">
      <c r="A141" s="1425" t="s">
        <v>327</v>
      </c>
      <c r="B141" s="1426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274</v>
      </c>
      <c r="B160" s="879"/>
      <c r="C160" s="879"/>
      <c r="D160" s="697" t="s">
        <v>198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 x14ac:dyDescent="0.5">
      <c r="A161" s="878" t="s">
        <v>275</v>
      </c>
      <c r="B161" s="879"/>
      <c r="C161" s="879"/>
      <c r="D161" s="697" t="s">
        <v>198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 x14ac:dyDescent="0.5">
      <c r="A162" s="878" t="s">
        <v>276</v>
      </c>
      <c r="B162" s="879"/>
      <c r="C162" s="879"/>
      <c r="D162" s="697" t="s">
        <v>198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 x14ac:dyDescent="0.5">
      <c r="A163" s="878" t="s">
        <v>277</v>
      </c>
      <c r="B163" s="879"/>
      <c r="C163" s="879"/>
      <c r="D163" s="697" t="s">
        <v>198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 x14ac:dyDescent="0.4">
      <c r="A164" s="880" t="s">
        <v>106</v>
      </c>
      <c r="B164" s="881"/>
      <c r="C164" s="881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 x14ac:dyDescent="0.4">
      <c r="A165" s="880" t="s">
        <v>199</v>
      </c>
      <c r="B165" s="881"/>
      <c r="C165" s="881"/>
      <c r="D165" s="697" t="s">
        <v>198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 x14ac:dyDescent="0.5">
      <c r="A166" s="1449" t="s">
        <v>107</v>
      </c>
      <c r="B166" s="1449"/>
      <c r="C166" s="1449"/>
      <c r="D166" s="600" t="s">
        <v>198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 x14ac:dyDescent="0.5">
      <c r="A167" s="1449" t="s">
        <v>108</v>
      </c>
      <c r="B167" s="1449"/>
      <c r="C167" s="1449"/>
      <c r="D167" s="600" t="s">
        <v>198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 x14ac:dyDescent="0.5">
      <c r="A168" s="1449" t="s">
        <v>109</v>
      </c>
      <c r="B168" s="1449"/>
      <c r="C168" s="1449"/>
      <c r="D168" s="600" t="s">
        <v>198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 x14ac:dyDescent="0.5">
      <c r="A169" s="1449" t="s">
        <v>110</v>
      </c>
      <c r="B169" s="1449"/>
      <c r="C169" s="1449"/>
      <c r="D169" s="600" t="s">
        <v>198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 x14ac:dyDescent="0.5">
      <c r="A170" s="1449" t="s">
        <v>111</v>
      </c>
      <c r="B170" s="1449"/>
      <c r="C170" s="1449"/>
      <c r="D170" s="600" t="s">
        <v>198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 x14ac:dyDescent="0.5">
      <c r="A171" s="1449" t="s">
        <v>112</v>
      </c>
      <c r="B171" s="1449"/>
      <c r="C171" s="1449"/>
      <c r="D171" s="600" t="s">
        <v>198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23.25" customHeight="1" x14ac:dyDescent="0.5">
      <c r="N177" s="800"/>
    </row>
    <row r="178" spans="14:14" ht="23.25" customHeight="1" x14ac:dyDescent="0.5">
      <c r="N178" s="800"/>
    </row>
    <row r="179" spans="14:14" ht="23.25" customHeight="1" x14ac:dyDescent="0.5">
      <c r="N179" s="800"/>
    </row>
    <row r="180" spans="14:14" ht="23.25" customHeight="1" x14ac:dyDescent="0.5">
      <c r="N180" s="800"/>
    </row>
    <row r="181" spans="14:14" ht="23.25" customHeight="1" x14ac:dyDescent="0.5">
      <c r="N181" s="800"/>
    </row>
    <row r="182" spans="14:14" ht="23.25" customHeight="1" x14ac:dyDescent="0.5">
      <c r="N182" s="800"/>
    </row>
    <row r="183" spans="14:14" ht="23.25" customHeight="1" x14ac:dyDescent="0.5">
      <c r="N183" s="800"/>
    </row>
    <row r="184" spans="14:14" ht="23.25" customHeight="1" x14ac:dyDescent="0.5">
      <c r="N184" s="800"/>
    </row>
    <row r="185" spans="14:14" ht="23.25" customHeight="1" x14ac:dyDescent="0.5">
      <c r="N185" s="800"/>
    </row>
    <row r="186" spans="14:14" ht="23.25" customHeight="1" x14ac:dyDescent="0.5">
      <c r="N186" s="800"/>
    </row>
    <row r="187" spans="14:14" ht="23.25" customHeight="1" x14ac:dyDescent="0.5">
      <c r="N187" s="800"/>
    </row>
    <row r="188" spans="14:14" ht="23.25" customHeight="1" x14ac:dyDescent="0.5">
      <c r="N188" s="800"/>
    </row>
    <row r="189" spans="14:14" ht="23.25" customHeight="1" x14ac:dyDescent="0.5">
      <c r="N189" s="800"/>
    </row>
    <row r="190" spans="14:14" ht="23.25" customHeight="1" x14ac:dyDescent="0.5">
      <c r="N190" s="800"/>
    </row>
    <row r="191" spans="14:14" ht="23.25" customHeight="1" x14ac:dyDescent="0.5">
      <c r="N191" s="800"/>
    </row>
    <row r="192" spans="14:14" ht="23.25" customHeight="1" x14ac:dyDescent="0.5">
      <c r="N192" s="800"/>
    </row>
    <row r="193" spans="14:14" ht="23.25" customHeight="1" x14ac:dyDescent="0.5">
      <c r="N193" s="800"/>
    </row>
    <row r="194" spans="14:14" ht="23.25" customHeight="1" x14ac:dyDescent="0.5">
      <c r="N194" s="800"/>
    </row>
    <row r="195" spans="14:14" ht="23.25" customHeight="1" x14ac:dyDescent="0.5">
      <c r="N195" s="800"/>
    </row>
    <row r="196" spans="14:14" ht="23.25" customHeight="1" x14ac:dyDescent="0.5">
      <c r="N196" s="800"/>
    </row>
    <row r="197" spans="14:14" ht="23.25" customHeight="1" x14ac:dyDescent="0.5">
      <c r="N197" s="800"/>
    </row>
    <row r="198" spans="14:14" ht="23.25" customHeight="1" x14ac:dyDescent="0.5"/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 x14ac:dyDescent="0.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6" s="281" customFormat="1" ht="27" x14ac:dyDescent="0.5">
      <c r="A2" s="652" t="s">
        <v>329</v>
      </c>
      <c r="B2" s="1118">
        <v>44244</v>
      </c>
      <c r="C2" s="1316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 x14ac:dyDescent="0.5">
      <c r="A3" s="647"/>
      <c r="B3" s="691"/>
      <c r="C3" s="1316" t="s">
        <v>131</v>
      </c>
      <c r="D3" s="689">
        <v>28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31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142</v>
      </c>
      <c r="B7" s="758"/>
      <c r="C7" s="758"/>
      <c r="D7" s="715" t="s">
        <v>143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 x14ac:dyDescent="0.45">
      <c r="A8" s="763" t="s">
        <v>144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 x14ac:dyDescent="0.4">
      <c r="A9" s="768" t="s">
        <v>145</v>
      </c>
      <c r="B9" s="769"/>
      <c r="C9" s="769"/>
      <c r="D9" s="715" t="s">
        <v>143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 x14ac:dyDescent="0.4">
      <c r="A10" s="757" t="s">
        <v>146</v>
      </c>
      <c r="B10" s="758"/>
      <c r="C10" s="758"/>
      <c r="D10" s="715" t="s">
        <v>143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 x14ac:dyDescent="0.4">
      <c r="A11" s="757" t="s">
        <v>147</v>
      </c>
      <c r="B11" s="758"/>
      <c r="C11" s="758"/>
      <c r="D11" s="715" t="s">
        <v>143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 x14ac:dyDescent="0.4">
      <c r="A12" s="757" t="s">
        <v>148</v>
      </c>
      <c r="B12" s="758"/>
      <c r="C12" s="758"/>
      <c r="D12" s="715" t="s">
        <v>143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 x14ac:dyDescent="0.5">
      <c r="A15" s="876" t="s">
        <v>151</v>
      </c>
      <c r="B15" s="877"/>
      <c r="C15" s="877"/>
      <c r="D15" s="600" t="s">
        <v>152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43" t="s">
        <v>154</v>
      </c>
      <c r="B18" s="1444"/>
      <c r="C18" s="1445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 x14ac:dyDescent="0.5">
      <c r="A19" s="1443" t="s">
        <v>71</v>
      </c>
      <c r="B19" s="1444"/>
      <c r="C19" s="1445"/>
      <c r="D19" s="715" t="s">
        <v>155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 x14ac:dyDescent="0.5">
      <c r="A20" s="773" t="s">
        <v>156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314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314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 x14ac:dyDescent="0.4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800"/>
      <c r="O33" s="807"/>
      <c r="P33" s="413"/>
    </row>
    <row r="34" spans="1:16" x14ac:dyDescent="0.5">
      <c r="A34" s="675" t="s">
        <v>174</v>
      </c>
      <c r="B34" s="1319"/>
      <c r="C34" s="131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175</v>
      </c>
      <c r="B35" s="656"/>
      <c r="C35" s="656"/>
      <c r="D35" s="599" t="s">
        <v>143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 x14ac:dyDescent="0.4">
      <c r="A36" s="655" t="s">
        <v>176</v>
      </c>
      <c r="B36" s="656"/>
      <c r="C36" s="656"/>
      <c r="D36" s="599" t="s">
        <v>143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 x14ac:dyDescent="0.4">
      <c r="A37" s="655" t="s">
        <v>177</v>
      </c>
      <c r="B37" s="656"/>
      <c r="C37" s="656"/>
      <c r="D37" s="599" t="s">
        <v>143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 x14ac:dyDescent="0.4">
      <c r="A38" s="655" t="s">
        <v>178</v>
      </c>
      <c r="B38" s="656"/>
      <c r="C38" s="656"/>
      <c r="D38" s="599" t="s">
        <v>143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 x14ac:dyDescent="0.4">
      <c r="A39" s="655" t="s">
        <v>179</v>
      </c>
      <c r="B39" s="656"/>
      <c r="C39" s="656"/>
      <c r="D39" s="599" t="s">
        <v>143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 x14ac:dyDescent="0.4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 x14ac:dyDescent="0.4">
      <c r="A41" s="655" t="s">
        <v>181</v>
      </c>
      <c r="B41" s="656"/>
      <c r="C41" s="656"/>
      <c r="D41" s="599" t="s">
        <v>143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 x14ac:dyDescent="0.4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 x14ac:dyDescent="0.4">
      <c r="A43" s="655" t="s">
        <v>183</v>
      </c>
      <c r="B43" s="656"/>
      <c r="C43" s="656"/>
      <c r="D43" s="599" t="s">
        <v>143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 x14ac:dyDescent="0.4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 x14ac:dyDescent="0.4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 x14ac:dyDescent="0.5">
      <c r="A48" s="675" t="s">
        <v>188</v>
      </c>
      <c r="B48" s="1319"/>
      <c r="C48" s="131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175</v>
      </c>
      <c r="B49" s="678"/>
      <c r="C49" s="678"/>
      <c r="D49" s="599" t="s">
        <v>143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 x14ac:dyDescent="0.4">
      <c r="A50" s="655" t="s">
        <v>189</v>
      </c>
      <c r="B50" s="678"/>
      <c r="C50" s="678"/>
      <c r="D50" s="599" t="s">
        <v>143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 x14ac:dyDescent="0.4">
      <c r="A51" s="655" t="s">
        <v>177</v>
      </c>
      <c r="B51" s="678"/>
      <c r="C51" s="678"/>
      <c r="D51" s="599" t="s">
        <v>143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 x14ac:dyDescent="0.4">
      <c r="A52" s="655" t="s">
        <v>190</v>
      </c>
      <c r="B52" s="678"/>
      <c r="C52" s="678"/>
      <c r="D52" s="599" t="s">
        <v>143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 x14ac:dyDescent="0.4">
      <c r="A53" s="655" t="s">
        <v>179</v>
      </c>
      <c r="B53" s="678"/>
      <c r="C53" s="678"/>
      <c r="D53" s="599" t="s">
        <v>143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 x14ac:dyDescent="0.4">
      <c r="A54" s="655" t="s">
        <v>191</v>
      </c>
      <c r="B54" s="678"/>
      <c r="C54" s="678"/>
      <c r="D54" s="599" t="s">
        <v>143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 x14ac:dyDescent="0.4">
      <c r="A55" s="655" t="s">
        <v>192</v>
      </c>
      <c r="B55" s="678"/>
      <c r="C55" s="678"/>
      <c r="D55" s="599" t="s">
        <v>143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 x14ac:dyDescent="0.4">
      <c r="A56" s="655" t="s">
        <v>193</v>
      </c>
      <c r="B56" s="678"/>
      <c r="C56" s="678"/>
      <c r="D56" s="599" t="s">
        <v>194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 x14ac:dyDescent="0.4">
      <c r="A57" s="655" t="s">
        <v>183</v>
      </c>
      <c r="B57" s="678"/>
      <c r="C57" s="678"/>
      <c r="D57" s="599" t="s">
        <v>143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 x14ac:dyDescent="0.4">
      <c r="A58" s="655" t="s">
        <v>195</v>
      </c>
      <c r="B58" s="678"/>
      <c r="C58" s="678"/>
      <c r="D58" s="599" t="s">
        <v>143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 x14ac:dyDescent="0.4">
      <c r="A63" s="680" t="s">
        <v>199</v>
      </c>
      <c r="B63" s="681"/>
      <c r="C63" s="681"/>
      <c r="D63" s="587" t="s">
        <v>198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 x14ac:dyDescent="0.5">
      <c r="A64" s="1387" t="s">
        <v>107</v>
      </c>
      <c r="B64" s="1388"/>
      <c r="C64" s="1389"/>
      <c r="D64" s="599" t="s">
        <v>198</v>
      </c>
      <c r="E64" s="1321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 x14ac:dyDescent="0.5">
      <c r="A65" s="1387" t="s">
        <v>108</v>
      </c>
      <c r="B65" s="1388"/>
      <c r="C65" s="1389"/>
      <c r="D65" s="599" t="s">
        <v>198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 x14ac:dyDescent="0.5">
      <c r="A66" s="1387" t="s">
        <v>109</v>
      </c>
      <c r="B66" s="1388"/>
      <c r="C66" s="1389"/>
      <c r="D66" s="599" t="s">
        <v>198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 x14ac:dyDescent="0.5">
      <c r="A67" s="1387" t="s">
        <v>110</v>
      </c>
      <c r="B67" s="1388"/>
      <c r="C67" s="1389"/>
      <c r="D67" s="599" t="s">
        <v>198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 x14ac:dyDescent="0.5">
      <c r="A68" s="1387" t="s">
        <v>111</v>
      </c>
      <c r="B68" s="1388"/>
      <c r="C68" s="1389"/>
      <c r="D68" s="599" t="s">
        <v>198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 x14ac:dyDescent="0.5">
      <c r="A69" s="1387" t="s">
        <v>112</v>
      </c>
      <c r="B69" s="1388"/>
      <c r="C69" s="1389"/>
      <c r="D69" s="599" t="s">
        <v>198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800"/>
      <c r="O71" s="807"/>
      <c r="P71" s="413"/>
    </row>
    <row r="72" spans="1:16" ht="27.75" x14ac:dyDescent="0.5">
      <c r="A72" s="1387" t="s">
        <v>202</v>
      </c>
      <c r="B72" s="1388"/>
      <c r="C72" s="1389"/>
      <c r="D72" s="599" t="s">
        <v>198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 x14ac:dyDescent="0.5">
      <c r="A73" s="1387" t="s">
        <v>203</v>
      </c>
      <c r="B73" s="1388"/>
      <c r="C73" s="1389"/>
      <c r="D73" s="599" t="s">
        <v>198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 x14ac:dyDescent="0.5">
      <c r="A74" s="1387" t="s">
        <v>204</v>
      </c>
      <c r="B74" s="1388"/>
      <c r="C74" s="1389"/>
      <c r="D74" s="599" t="s">
        <v>198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 x14ac:dyDescent="0.5">
      <c r="A75" s="1436" t="s">
        <v>205</v>
      </c>
      <c r="B75" s="1437"/>
      <c r="C75" s="1438"/>
      <c r="D75" s="599" t="s">
        <v>198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 x14ac:dyDescent="0.5">
      <c r="A76" s="1436" t="s">
        <v>206</v>
      </c>
      <c r="B76" s="1437"/>
      <c r="C76" s="1438"/>
      <c r="D76" s="599" t="s">
        <v>198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 x14ac:dyDescent="0.5">
      <c r="A77" s="1387" t="s">
        <v>207</v>
      </c>
      <c r="B77" s="1388"/>
      <c r="C77" s="1389"/>
      <c r="D77" s="599" t="s">
        <v>198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 x14ac:dyDescent="0.5">
      <c r="A78" s="1317" t="s">
        <v>208</v>
      </c>
      <c r="B78" s="1310"/>
      <c r="C78" s="1310"/>
      <c r="D78" s="599" t="s">
        <v>198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 x14ac:dyDescent="0.5">
      <c r="A79" s="1436" t="s">
        <v>97</v>
      </c>
      <c r="B79" s="1437"/>
      <c r="C79" s="1438"/>
      <c r="D79" s="600" t="s">
        <v>198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 x14ac:dyDescent="0.5">
      <c r="A80" s="1436" t="s">
        <v>209</v>
      </c>
      <c r="B80" s="1437"/>
      <c r="C80" s="1438"/>
      <c r="D80" s="600" t="s">
        <v>198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 x14ac:dyDescent="0.5">
      <c r="A81" s="1436" t="s">
        <v>210</v>
      </c>
      <c r="B81" s="1437"/>
      <c r="C81" s="1438"/>
      <c r="D81" s="600" t="s">
        <v>198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 x14ac:dyDescent="0.5">
      <c r="A82" s="1453" t="s">
        <v>100</v>
      </c>
      <c r="B82" s="1454"/>
      <c r="C82" s="1455"/>
      <c r="D82" s="703" t="s">
        <v>143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7"/>
      <c r="L82" s="1308"/>
      <c r="N82" s="804"/>
      <c r="O82" s="808"/>
      <c r="P82" s="803"/>
    </row>
    <row r="83" spans="1:16" ht="27.75" x14ac:dyDescent="0.5">
      <c r="A83" s="1436" t="s">
        <v>211</v>
      </c>
      <c r="B83" s="1437"/>
      <c r="C83" s="1438"/>
      <c r="D83" s="697" t="s">
        <v>143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 x14ac:dyDescent="0.5">
      <c r="A84" s="1318" t="s">
        <v>212</v>
      </c>
      <c r="B84" s="648"/>
      <c r="C84" s="648"/>
      <c r="D84" s="554" t="s">
        <v>143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102</v>
      </c>
      <c r="B86" s="813"/>
      <c r="C86" s="813"/>
      <c r="D86" s="814" t="s">
        <v>194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 x14ac:dyDescent="0.5">
      <c r="A87" s="812" t="s">
        <v>103</v>
      </c>
      <c r="B87" s="813"/>
      <c r="C87" s="813"/>
      <c r="D87" s="814" t="s">
        <v>194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 x14ac:dyDescent="0.5">
      <c r="A88" s="812" t="s">
        <v>104</v>
      </c>
      <c r="B88" s="813"/>
      <c r="C88" s="813"/>
      <c r="D88" s="814" t="s">
        <v>194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 x14ac:dyDescent="0.5">
      <c r="A89" s="812" t="s">
        <v>215</v>
      </c>
      <c r="B89" s="813"/>
      <c r="C89" s="813"/>
      <c r="D89" s="814" t="s">
        <v>194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 x14ac:dyDescent="0.5">
      <c r="A90" s="812" t="s">
        <v>215</v>
      </c>
      <c r="B90" s="813"/>
      <c r="C90" s="813"/>
      <c r="D90" s="814" t="s">
        <v>194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 x14ac:dyDescent="0.5">
      <c r="A91" s="683" t="s">
        <v>216</v>
      </c>
      <c r="B91" s="1320"/>
      <c r="C91" s="132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390" t="s">
        <v>217</v>
      </c>
      <c r="B92" s="1391"/>
      <c r="C92" s="1392"/>
      <c r="D92" s="599" t="s">
        <v>155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 x14ac:dyDescent="0.5">
      <c r="A93" s="1390" t="s">
        <v>218</v>
      </c>
      <c r="B93" s="1391"/>
      <c r="C93" s="1392"/>
      <c r="D93" s="599" t="s">
        <v>155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 x14ac:dyDescent="0.5">
      <c r="A94" s="1384" t="s">
        <v>219</v>
      </c>
      <c r="B94" s="1385"/>
      <c r="C94" s="1386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 x14ac:dyDescent="0.5">
      <c r="A95" s="1390" t="s">
        <v>220</v>
      </c>
      <c r="B95" s="1391"/>
      <c r="C95" s="1392"/>
      <c r="D95" s="599" t="s">
        <v>155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 x14ac:dyDescent="0.5">
      <c r="A96" s="1314" t="s">
        <v>221</v>
      </c>
      <c r="B96" s="1315"/>
      <c r="C96" s="1315"/>
      <c r="D96" s="599" t="s">
        <v>155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 x14ac:dyDescent="0.5">
      <c r="A97" s="1314" t="s">
        <v>222</v>
      </c>
      <c r="B97" s="1315"/>
      <c r="C97" s="1315"/>
      <c r="D97" s="599" t="s">
        <v>155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 x14ac:dyDescent="0.5">
      <c r="A98" s="1314" t="s">
        <v>223</v>
      </c>
      <c r="B98" s="1315"/>
      <c r="C98" s="1315"/>
      <c r="D98" s="599" t="s">
        <v>155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 x14ac:dyDescent="0.5">
      <c r="A99" s="1314" t="s">
        <v>224</v>
      </c>
      <c r="B99" s="1315"/>
      <c r="C99" s="1315"/>
      <c r="D99" s="599" t="s">
        <v>155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 x14ac:dyDescent="0.5">
      <c r="A100" s="1314" t="s">
        <v>225</v>
      </c>
      <c r="B100" s="1315"/>
      <c r="C100" s="1315"/>
      <c r="D100" s="599" t="s">
        <v>155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 x14ac:dyDescent="0.5">
      <c r="A101" s="1384" t="s">
        <v>227</v>
      </c>
      <c r="B101" s="1385"/>
      <c r="C101" s="1386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393" t="s">
        <v>229</v>
      </c>
      <c r="B103" s="1394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395" t="s">
        <v>230</v>
      </c>
      <c r="B104" s="1396"/>
      <c r="C104" s="1313"/>
      <c r="D104" s="699" t="s">
        <v>155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 x14ac:dyDescent="0.5">
      <c r="A105" s="1395" t="s">
        <v>77</v>
      </c>
      <c r="B105" s="1396"/>
      <c r="C105" s="1313"/>
      <c r="D105" s="699" t="s">
        <v>155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 x14ac:dyDescent="0.5">
      <c r="A106" s="1395" t="s">
        <v>78</v>
      </c>
      <c r="B106" s="1397"/>
      <c r="C106" s="1396"/>
      <c r="D106" s="699" t="s">
        <v>155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 x14ac:dyDescent="0.5">
      <c r="A107" s="1398" t="s">
        <v>213</v>
      </c>
      <c r="B107" s="1399"/>
      <c r="C107" s="1313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 x14ac:dyDescent="0.5">
      <c r="A108" s="1400" t="s">
        <v>79</v>
      </c>
      <c r="B108" s="1401"/>
      <c r="C108" s="1313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395" t="s">
        <v>231</v>
      </c>
      <c r="B109" s="1396"/>
      <c r="C109" s="1313"/>
      <c r="D109" s="699" t="s">
        <v>155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 x14ac:dyDescent="0.5">
      <c r="A110" s="1395" t="s">
        <v>232</v>
      </c>
      <c r="B110" s="1396"/>
      <c r="C110" s="1313"/>
      <c r="D110" s="699" t="s">
        <v>155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 x14ac:dyDescent="0.5">
      <c r="A111" s="1395" t="s">
        <v>233</v>
      </c>
      <c r="B111" s="1396"/>
      <c r="C111" s="1313"/>
      <c r="D111" s="699" t="s">
        <v>155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 x14ac:dyDescent="0.5">
      <c r="A112" s="1398" t="s">
        <v>121</v>
      </c>
      <c r="B112" s="1399"/>
      <c r="C112" s="1313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 x14ac:dyDescent="0.5">
      <c r="A113" s="1400" t="s">
        <v>234</v>
      </c>
      <c r="B113" s="1401"/>
      <c r="C113" s="1313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395" t="s">
        <v>235</v>
      </c>
      <c r="B114" s="1396"/>
      <c r="C114" s="651"/>
      <c r="D114" s="699" t="s">
        <v>155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 x14ac:dyDescent="0.5">
      <c r="A115" s="1395" t="s">
        <v>236</v>
      </c>
      <c r="B115" s="1396"/>
      <c r="C115" s="651"/>
      <c r="D115" s="699" t="s">
        <v>155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 x14ac:dyDescent="0.5">
      <c r="A118" s="1429" t="s">
        <v>238</v>
      </c>
      <c r="B118" s="1430"/>
      <c r="C118" s="1311"/>
      <c r="D118" s="701" t="s">
        <v>155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 x14ac:dyDescent="0.5">
      <c r="A119" s="1429" t="s">
        <v>239</v>
      </c>
      <c r="B119" s="1430"/>
      <c r="C119" s="1311"/>
      <c r="D119" s="701" t="s">
        <v>155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 x14ac:dyDescent="0.5">
      <c r="A120" s="1429" t="s">
        <v>240</v>
      </c>
      <c r="B120" s="1430"/>
      <c r="C120" s="1311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 x14ac:dyDescent="0.5">
      <c r="A121" s="1431"/>
      <c r="B121" s="1432"/>
      <c r="C121" s="1312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314" t="s">
        <v>242</v>
      </c>
      <c r="B123" s="1315"/>
      <c r="C123" s="1315"/>
      <c r="D123" s="599" t="s">
        <v>152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 x14ac:dyDescent="0.5">
      <c r="A124" s="1314" t="s">
        <v>243</v>
      </c>
      <c r="B124" s="1315"/>
      <c r="C124" s="1315"/>
      <c r="D124" s="599" t="s">
        <v>152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 x14ac:dyDescent="0.5">
      <c r="A125" s="1387" t="s">
        <v>244</v>
      </c>
      <c r="B125" s="1388"/>
      <c r="C125" s="1389"/>
      <c r="D125" s="599" t="s">
        <v>152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 x14ac:dyDescent="0.5">
      <c r="A126" s="686" t="s">
        <v>245</v>
      </c>
      <c r="B126" s="1315"/>
      <c r="C126" s="1315"/>
      <c r="D126" s="599" t="s">
        <v>152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 x14ac:dyDescent="0.5">
      <c r="A127" s="686" t="s">
        <v>246</v>
      </c>
      <c r="B127" s="1315"/>
      <c r="C127" s="1315"/>
      <c r="D127" s="599" t="s">
        <v>152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247</v>
      </c>
      <c r="B128" s="1315"/>
      <c r="C128" s="1315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314" t="s">
        <v>249</v>
      </c>
      <c r="B130" s="1315"/>
      <c r="C130" s="1315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314" t="s">
        <v>251</v>
      </c>
      <c r="B131" s="1315"/>
      <c r="C131" s="1315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314" t="s">
        <v>252</v>
      </c>
      <c r="B132" s="1315"/>
      <c r="C132" s="1315"/>
      <c r="D132" s="599" t="s">
        <v>250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 x14ac:dyDescent="0.5">
      <c r="A133" s="1314" t="s">
        <v>253</v>
      </c>
      <c r="B133" s="1315"/>
      <c r="C133" s="1315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314" t="s">
        <v>254</v>
      </c>
      <c r="B134" s="1315"/>
      <c r="C134" s="1315"/>
      <c r="D134" s="599" t="s">
        <v>250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 x14ac:dyDescent="0.5">
      <c r="A135" s="1314" t="s">
        <v>255</v>
      </c>
      <c r="B135" s="1315"/>
      <c r="C135" s="1315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314" t="s">
        <v>256</v>
      </c>
      <c r="B136" s="1315"/>
      <c r="C136" s="1315"/>
      <c r="D136" s="599" t="s">
        <v>250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 x14ac:dyDescent="0.5">
      <c r="A137" s="1314" t="s">
        <v>257</v>
      </c>
      <c r="B137" s="1315"/>
      <c r="C137" s="1315"/>
      <c r="D137" s="599" t="s">
        <v>250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 x14ac:dyDescent="0.5">
      <c r="A138" s="1314" t="s">
        <v>258</v>
      </c>
      <c r="B138" s="1315"/>
      <c r="C138" s="1315"/>
      <c r="D138" s="599" t="s">
        <v>250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 x14ac:dyDescent="0.5">
      <c r="A139" s="1314" t="s">
        <v>259</v>
      </c>
      <c r="B139" s="1315"/>
      <c r="C139" s="1315"/>
      <c r="D139" s="599" t="s">
        <v>250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 x14ac:dyDescent="0.5">
      <c r="A140" s="1314" t="s">
        <v>260</v>
      </c>
      <c r="B140" s="1315"/>
      <c r="C140" s="1315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 x14ac:dyDescent="0.5">
      <c r="A141" s="1425" t="s">
        <v>261</v>
      </c>
      <c r="B141" s="1426"/>
      <c r="C141" s="132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274</v>
      </c>
      <c r="B160" s="879"/>
      <c r="C160" s="879"/>
      <c r="D160" s="697" t="s">
        <v>198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 x14ac:dyDescent="0.5">
      <c r="A161" s="878" t="s">
        <v>275</v>
      </c>
      <c r="B161" s="879"/>
      <c r="C161" s="879"/>
      <c r="D161" s="697" t="s">
        <v>198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 x14ac:dyDescent="0.5">
      <c r="A162" s="878" t="s">
        <v>276</v>
      </c>
      <c r="B162" s="879"/>
      <c r="C162" s="879"/>
      <c r="D162" s="697" t="s">
        <v>198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 x14ac:dyDescent="0.5">
      <c r="A163" s="878" t="s">
        <v>277</v>
      </c>
      <c r="B163" s="879"/>
      <c r="C163" s="879"/>
      <c r="D163" s="697" t="s">
        <v>198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 x14ac:dyDescent="0.4">
      <c r="A164" s="880" t="s">
        <v>106</v>
      </c>
      <c r="B164" s="881"/>
      <c r="C164" s="881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 x14ac:dyDescent="0.4">
      <c r="A165" s="880" t="s">
        <v>199</v>
      </c>
      <c r="B165" s="881"/>
      <c r="C165" s="881"/>
      <c r="D165" s="697" t="s">
        <v>198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 x14ac:dyDescent="0.5">
      <c r="A166" s="1449" t="s">
        <v>107</v>
      </c>
      <c r="B166" s="1449"/>
      <c r="C166" s="1449"/>
      <c r="D166" s="600" t="s">
        <v>198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 x14ac:dyDescent="0.5">
      <c r="A167" s="1449" t="s">
        <v>108</v>
      </c>
      <c r="B167" s="1449"/>
      <c r="C167" s="1449"/>
      <c r="D167" s="600" t="s">
        <v>198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 x14ac:dyDescent="0.5">
      <c r="A168" s="1449" t="s">
        <v>109</v>
      </c>
      <c r="B168" s="1449"/>
      <c r="C168" s="1449"/>
      <c r="D168" s="600" t="s">
        <v>198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 x14ac:dyDescent="0.5">
      <c r="A169" s="1449" t="s">
        <v>110</v>
      </c>
      <c r="B169" s="1449"/>
      <c r="C169" s="1449"/>
      <c r="D169" s="600" t="s">
        <v>198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 x14ac:dyDescent="0.5">
      <c r="A170" s="1449" t="s">
        <v>111</v>
      </c>
      <c r="B170" s="1449"/>
      <c r="C170" s="1449"/>
      <c r="D170" s="600" t="s">
        <v>198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 x14ac:dyDescent="0.5">
      <c r="A171" s="1449" t="s">
        <v>112</v>
      </c>
      <c r="B171" s="1449"/>
      <c r="C171" s="1449"/>
      <c r="D171" s="600" t="s">
        <v>198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18.75" customHeight="1" x14ac:dyDescent="0.5">
      <c r="N177" s="800"/>
    </row>
    <row r="178" spans="14:14" ht="17.25" customHeight="1" x14ac:dyDescent="0.5">
      <c r="N178" s="800"/>
    </row>
    <row r="179" spans="14:14" ht="18.75" customHeight="1" x14ac:dyDescent="0.5">
      <c r="N179" s="800"/>
    </row>
    <row r="180" spans="14:14" ht="18.75" customHeight="1" x14ac:dyDescent="0.5">
      <c r="N180" s="800"/>
    </row>
    <row r="181" spans="14:14" ht="17.25" customHeight="1" x14ac:dyDescent="0.5">
      <c r="N181" s="800"/>
    </row>
    <row r="182" spans="14:14" ht="18.75" customHeight="1" x14ac:dyDescent="0.5">
      <c r="N182" s="800"/>
    </row>
    <row r="183" spans="14:14" ht="18.75" customHeight="1" x14ac:dyDescent="0.5">
      <c r="N183" s="800"/>
    </row>
    <row r="184" spans="14:14" ht="17.25" customHeight="1" x14ac:dyDescent="0.5">
      <c r="N184" s="800"/>
    </row>
    <row r="185" spans="14:14" ht="17.25" customHeight="1" x14ac:dyDescent="0.5">
      <c r="N185" s="800"/>
    </row>
    <row r="186" spans="14:14" ht="17.25" customHeight="1" x14ac:dyDescent="0.5">
      <c r="N186" s="800"/>
    </row>
    <row r="187" spans="14:14" ht="17.25" customHeight="1" x14ac:dyDescent="0.5">
      <c r="N187" s="800"/>
    </row>
    <row r="188" spans="14:14" ht="17.25" customHeight="1" x14ac:dyDescent="0.5">
      <c r="N188" s="800"/>
    </row>
    <row r="189" spans="14:14" ht="17.25" customHeight="1" x14ac:dyDescent="0.5">
      <c r="N189" s="800"/>
    </row>
    <row r="190" spans="14:14" ht="17.25" customHeight="1" x14ac:dyDescent="0.5">
      <c r="N190" s="800"/>
    </row>
    <row r="191" spans="14:14" ht="18.75" customHeight="1" x14ac:dyDescent="0.5">
      <c r="N191" s="800"/>
    </row>
    <row r="192" spans="14:14" ht="18.75" customHeight="1" x14ac:dyDescent="0.5">
      <c r="N192" s="800"/>
    </row>
    <row r="193" spans="14:14" ht="18.75" customHeight="1" x14ac:dyDescent="0.5">
      <c r="N193" s="800"/>
    </row>
    <row r="194" spans="14:14" ht="18.75" customHeight="1" x14ac:dyDescent="0.5">
      <c r="N194" s="800"/>
    </row>
    <row r="195" spans="14:14" ht="18.75" customHeight="1" x14ac:dyDescent="0.5">
      <c r="N195" s="800"/>
    </row>
    <row r="196" spans="14:14" ht="18.75" customHeight="1" x14ac:dyDescent="0.5">
      <c r="N196" s="800"/>
    </row>
    <row r="197" spans="14:14" ht="18.75" customHeight="1" x14ac:dyDescent="0.5">
      <c r="N197" s="800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O177"/>
  <sheetViews>
    <sheetView view="pageBreakPreview" topLeftCell="A4" zoomScale="55" zoomScaleNormal="68" zoomScaleSheetLayoutView="55" workbookViewId="0">
      <selection activeCell="H85" sqref="H85"/>
    </sheetView>
  </sheetViews>
  <sheetFormatPr defaultColWidth="22.33203125" defaultRowHeight="23.25" customHeight="1" x14ac:dyDescent="0.3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 x14ac:dyDescent="0.5">
      <c r="A1" s="1456" t="s">
        <v>128</v>
      </c>
      <c r="B1" s="1456"/>
      <c r="C1" s="1456"/>
      <c r="D1" s="1456"/>
      <c r="E1" s="1456"/>
      <c r="F1" s="1456"/>
      <c r="G1" s="1456"/>
      <c r="H1" s="1456"/>
      <c r="I1" s="1456"/>
      <c r="J1" s="1456"/>
    </row>
    <row r="2" spans="1:12" ht="23.25" customHeight="1" x14ac:dyDescent="0.5">
      <c r="A2" s="282" t="s">
        <v>328</v>
      </c>
      <c r="B2" s="1201">
        <v>44245</v>
      </c>
      <c r="C2" s="419" t="s">
        <v>69</v>
      </c>
      <c r="D2" s="284">
        <v>0.46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 x14ac:dyDescent="0.35">
      <c r="A3" s="288"/>
      <c r="B3" s="289"/>
      <c r="C3" s="1221" t="s">
        <v>131</v>
      </c>
      <c r="D3" s="418">
        <v>29</v>
      </c>
      <c r="E3" s="1463" t="s">
        <v>132</v>
      </c>
      <c r="F3" s="1464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 x14ac:dyDescent="0.35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 x14ac:dyDescent="0.55000000000000004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 x14ac:dyDescent="0.35">
      <c r="A6" s="1457" t="s">
        <v>141</v>
      </c>
      <c r="B6" s="1458"/>
      <c r="C6" s="1459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 x14ac:dyDescent="0.4">
      <c r="A7" s="308" t="s">
        <v>142</v>
      </c>
      <c r="B7" s="309"/>
      <c r="C7" s="310"/>
      <c r="D7" s="311" t="s">
        <v>143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 x14ac:dyDescent="0.4">
      <c r="A8" s="316" t="s">
        <v>144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 x14ac:dyDescent="0.4">
      <c r="A9" s="322" t="s">
        <v>145</v>
      </c>
      <c r="B9" s="323"/>
      <c r="C9" s="324"/>
      <c r="D9" s="268" t="s">
        <v>143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 x14ac:dyDescent="0.4">
      <c r="A10" s="327" t="s">
        <v>146</v>
      </c>
      <c r="B10" s="328"/>
      <c r="C10" s="329"/>
      <c r="D10" s="268" t="s">
        <v>143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 x14ac:dyDescent="0.4">
      <c r="A11" s="327" t="s">
        <v>147</v>
      </c>
      <c r="B11" s="328"/>
      <c r="C11" s="329"/>
      <c r="D11" s="268" t="s">
        <v>143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 x14ac:dyDescent="0.4">
      <c r="A12" s="327" t="s">
        <v>148</v>
      </c>
      <c r="B12" s="328"/>
      <c r="C12" s="329"/>
      <c r="D12" s="268" t="s">
        <v>143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 x14ac:dyDescent="0.35">
      <c r="A13" s="437" t="s">
        <v>149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 x14ac:dyDescent="0.35">
      <c r="A14" s="1460" t="s">
        <v>150</v>
      </c>
      <c r="B14" s="1461"/>
      <c r="C14" s="1462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 x14ac:dyDescent="0.4">
      <c r="A15" s="331" t="s">
        <v>151</v>
      </c>
      <c r="B15" s="332"/>
      <c r="C15" s="333"/>
      <c r="D15" s="311" t="s">
        <v>152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 x14ac:dyDescent="0.35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 x14ac:dyDescent="0.35">
      <c r="A17" s="1460" t="s">
        <v>153</v>
      </c>
      <c r="B17" s="1461"/>
      <c r="C17" s="1462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 x14ac:dyDescent="0.4">
      <c r="A18" s="1465" t="s">
        <v>154</v>
      </c>
      <c r="B18" s="1466"/>
      <c r="C18" s="1467"/>
      <c r="D18" s="268" t="s">
        <v>155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 x14ac:dyDescent="0.4">
      <c r="A19" s="1465" t="s">
        <v>71</v>
      </c>
      <c r="B19" s="1466"/>
      <c r="C19" s="1467"/>
      <c r="D19" s="268" t="s">
        <v>155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 x14ac:dyDescent="0.35">
      <c r="A20" s="437" t="s">
        <v>156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 x14ac:dyDescent="0.35">
      <c r="A21" s="1460" t="s">
        <v>157</v>
      </c>
      <c r="B21" s="1461"/>
      <c r="C21" s="1462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 x14ac:dyDescent="0.4">
      <c r="A22" s="1213" t="s">
        <v>158</v>
      </c>
      <c r="B22" s="1214"/>
      <c r="C22" s="1215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 x14ac:dyDescent="0.4">
      <c r="A23" s="1213" t="s">
        <v>160</v>
      </c>
      <c r="B23" s="1214"/>
      <c r="C23" s="1215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 x14ac:dyDescent="0.4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 x14ac:dyDescent="0.35">
      <c r="A25" s="1471" t="s">
        <v>162</v>
      </c>
      <c r="B25" s="1472"/>
      <c r="C25" s="1473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 x14ac:dyDescent="0.35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 x14ac:dyDescent="0.4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 x14ac:dyDescent="0.4">
      <c r="A28" s="345" t="s">
        <v>165</v>
      </c>
      <c r="B28" s="346"/>
      <c r="C28" s="347"/>
      <c r="D28" s="352" t="s">
        <v>166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 x14ac:dyDescent="0.35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 x14ac:dyDescent="0.35">
      <c r="A30" s="345" t="s">
        <v>169</v>
      </c>
      <c r="B30" s="346"/>
      <c r="C30" s="347"/>
      <c r="D30" s="352" t="s">
        <v>170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 x14ac:dyDescent="0.35">
      <c r="A31" s="345" t="s">
        <v>171</v>
      </c>
      <c r="B31" s="346"/>
      <c r="C31" s="347"/>
      <c r="D31" s="352" t="s">
        <v>155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 x14ac:dyDescent="0.35">
      <c r="A32" s="443" t="s">
        <v>172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 x14ac:dyDescent="0.35">
      <c r="A33" s="1468" t="s">
        <v>173</v>
      </c>
      <c r="B33" s="1469"/>
      <c r="C33" s="1469"/>
      <c r="D33" s="1469"/>
      <c r="E33" s="1469"/>
      <c r="F33" s="1469"/>
      <c r="G33" s="1469"/>
      <c r="H33" s="1469"/>
      <c r="I33" s="1469"/>
      <c r="J33" s="1470"/>
      <c r="K33" s="315"/>
      <c r="L33" s="293"/>
    </row>
    <row r="34" spans="1:12" ht="23.25" customHeight="1" x14ac:dyDescent="0.35">
      <c r="A34" s="1208" t="s">
        <v>174</v>
      </c>
      <c r="B34" s="1209"/>
      <c r="C34" s="1210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 x14ac:dyDescent="0.4">
      <c r="A35" s="327" t="s">
        <v>175</v>
      </c>
      <c r="B35" s="328"/>
      <c r="C35" s="329"/>
      <c r="D35" s="268" t="s">
        <v>143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 x14ac:dyDescent="0.4">
      <c r="A36" s="327" t="s">
        <v>176</v>
      </c>
      <c r="B36" s="328"/>
      <c r="C36" s="329"/>
      <c r="D36" s="268" t="s">
        <v>143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 x14ac:dyDescent="0.4">
      <c r="A37" s="327" t="s">
        <v>177</v>
      </c>
      <c r="B37" s="328"/>
      <c r="C37" s="329"/>
      <c r="D37" s="268" t="s">
        <v>143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 x14ac:dyDescent="0.4">
      <c r="A38" s="327" t="s">
        <v>178</v>
      </c>
      <c r="B38" s="328"/>
      <c r="C38" s="329"/>
      <c r="D38" s="268" t="s">
        <v>143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 x14ac:dyDescent="0.4">
      <c r="A39" s="327" t="s">
        <v>179</v>
      </c>
      <c r="B39" s="328"/>
      <c r="C39" s="329"/>
      <c r="D39" s="268" t="s">
        <v>143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 x14ac:dyDescent="0.4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 x14ac:dyDescent="0.4">
      <c r="A41" s="327" t="s">
        <v>181</v>
      </c>
      <c r="B41" s="328"/>
      <c r="C41" s="329"/>
      <c r="D41" s="268" t="s">
        <v>143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 x14ac:dyDescent="0.4">
      <c r="A42" s="327" t="s">
        <v>182</v>
      </c>
      <c r="B42" s="328"/>
      <c r="C42" s="329"/>
      <c r="D42" s="268" t="s">
        <v>143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 x14ac:dyDescent="0.4">
      <c r="A43" s="327" t="s">
        <v>183</v>
      </c>
      <c r="B43" s="328"/>
      <c r="C43" s="329"/>
      <c r="D43" s="268" t="s">
        <v>143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 x14ac:dyDescent="0.4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 x14ac:dyDescent="0.4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 x14ac:dyDescent="0.4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 x14ac:dyDescent="0.35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 x14ac:dyDescent="0.35">
      <c r="A48" s="1208" t="s">
        <v>188</v>
      </c>
      <c r="B48" s="1209"/>
      <c r="C48" s="1210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 x14ac:dyDescent="0.4">
      <c r="A49" s="327" t="s">
        <v>175</v>
      </c>
      <c r="B49" s="366"/>
      <c r="C49" s="367"/>
      <c r="D49" s="268" t="s">
        <v>143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 x14ac:dyDescent="0.4">
      <c r="A50" s="327" t="s">
        <v>189</v>
      </c>
      <c r="B50" s="366"/>
      <c r="C50" s="367"/>
      <c r="D50" s="268" t="s">
        <v>143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 x14ac:dyDescent="0.4">
      <c r="A51" s="327" t="s">
        <v>177</v>
      </c>
      <c r="B51" s="366"/>
      <c r="C51" s="367"/>
      <c r="D51" s="268" t="s">
        <v>143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 x14ac:dyDescent="0.4">
      <c r="A52" s="327" t="s">
        <v>190</v>
      </c>
      <c r="B52" s="366"/>
      <c r="C52" s="367"/>
      <c r="D52" s="268" t="s">
        <v>143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 x14ac:dyDescent="0.4">
      <c r="A53" s="327" t="s">
        <v>179</v>
      </c>
      <c r="B53" s="366"/>
      <c r="C53" s="367"/>
      <c r="D53" s="268" t="s">
        <v>143</v>
      </c>
      <c r="E53" s="312">
        <f>'17'!F53</f>
        <v>331854.51</v>
      </c>
      <c r="F53" s="1322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 x14ac:dyDescent="0.4">
      <c r="A54" s="327" t="s">
        <v>191</v>
      </c>
      <c r="B54" s="366"/>
      <c r="C54" s="367"/>
      <c r="D54" s="268" t="s">
        <v>143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 x14ac:dyDescent="0.4">
      <c r="A55" s="327" t="s">
        <v>192</v>
      </c>
      <c r="B55" s="366"/>
      <c r="C55" s="367"/>
      <c r="D55" s="268" t="s">
        <v>143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 x14ac:dyDescent="0.4">
      <c r="A56" s="327" t="s">
        <v>193</v>
      </c>
      <c r="B56" s="366"/>
      <c r="C56" s="367"/>
      <c r="D56" s="268" t="s">
        <v>194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 x14ac:dyDescent="0.4">
      <c r="A57" s="327" t="s">
        <v>183</v>
      </c>
      <c r="B57" s="366"/>
      <c r="C57" s="367"/>
      <c r="D57" s="268" t="s">
        <v>143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 x14ac:dyDescent="0.4">
      <c r="A58" s="327" t="s">
        <v>195</v>
      </c>
      <c r="B58" s="366"/>
      <c r="C58" s="367"/>
      <c r="D58" s="268" t="s">
        <v>143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 x14ac:dyDescent="0.35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 x14ac:dyDescent="0.35">
      <c r="A60" s="368"/>
      <c r="B60" s="368"/>
      <c r="C60" s="368"/>
      <c r="D60" s="269" t="s">
        <v>196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 x14ac:dyDescent="0.5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 x14ac:dyDescent="0.4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 x14ac:dyDescent="0.4">
      <c r="A63" s="369" t="s">
        <v>199</v>
      </c>
      <c r="B63" s="370"/>
      <c r="C63" s="371"/>
      <c r="D63" s="269" t="s">
        <v>198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 x14ac:dyDescent="0.4">
      <c r="A64" s="1474" t="s">
        <v>107</v>
      </c>
      <c r="B64" s="1475"/>
      <c r="C64" s="1476"/>
      <c r="D64" s="268" t="s">
        <v>198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 x14ac:dyDescent="0.4">
      <c r="A65" s="1474" t="s">
        <v>108</v>
      </c>
      <c r="B65" s="1475"/>
      <c r="C65" s="1476"/>
      <c r="D65" s="268" t="s">
        <v>198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 x14ac:dyDescent="0.4">
      <c r="A66" s="1474" t="s">
        <v>109</v>
      </c>
      <c r="B66" s="1475"/>
      <c r="C66" s="1476"/>
      <c r="D66" s="268" t="s">
        <v>198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 x14ac:dyDescent="0.4">
      <c r="A67" s="1474" t="s">
        <v>110</v>
      </c>
      <c r="B67" s="1475"/>
      <c r="C67" s="1476"/>
      <c r="D67" s="268" t="s">
        <v>198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 x14ac:dyDescent="0.4">
      <c r="A68" s="1474" t="s">
        <v>111</v>
      </c>
      <c r="B68" s="1475"/>
      <c r="C68" s="1476"/>
      <c r="D68" s="268" t="s">
        <v>198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 x14ac:dyDescent="0.4">
      <c r="A69" s="1474" t="s">
        <v>112</v>
      </c>
      <c r="B69" s="1475"/>
      <c r="C69" s="1476"/>
      <c r="D69" s="268" t="s">
        <v>198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 x14ac:dyDescent="0.5">
      <c r="A70" s="1483" t="s">
        <v>200</v>
      </c>
      <c r="B70" s="1484"/>
      <c r="C70" s="1485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 x14ac:dyDescent="0.5">
      <c r="A71" s="1480" t="s">
        <v>201</v>
      </c>
      <c r="B71" s="1481"/>
      <c r="C71" s="1481"/>
      <c r="D71" s="1481"/>
      <c r="E71" s="1481"/>
      <c r="F71" s="1481"/>
      <c r="G71" s="1481"/>
      <c r="H71" s="1481"/>
      <c r="I71" s="1481"/>
      <c r="J71" s="1482"/>
      <c r="K71" s="374"/>
      <c r="L71" s="293"/>
    </row>
    <row r="72" spans="1:12" ht="23.25" customHeight="1" thickBot="1" x14ac:dyDescent="0.4">
      <c r="A72" s="1474" t="s">
        <v>202</v>
      </c>
      <c r="B72" s="1475"/>
      <c r="C72" s="1476"/>
      <c r="D72" s="268" t="s">
        <v>198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 x14ac:dyDescent="0.4">
      <c r="A73" s="1474" t="s">
        <v>203</v>
      </c>
      <c r="B73" s="1475"/>
      <c r="C73" s="1476"/>
      <c r="D73" s="268" t="s">
        <v>198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 x14ac:dyDescent="0.4">
      <c r="A74" s="1474" t="s">
        <v>204</v>
      </c>
      <c r="B74" s="1475"/>
      <c r="C74" s="1476"/>
      <c r="D74" s="268" t="s">
        <v>198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 x14ac:dyDescent="0.4">
      <c r="A75" s="1477" t="s">
        <v>205</v>
      </c>
      <c r="B75" s="1478"/>
      <c r="C75" s="1479"/>
      <c r="D75" s="268" t="s">
        <v>198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 x14ac:dyDescent="0.4">
      <c r="A76" s="1477" t="s">
        <v>206</v>
      </c>
      <c r="B76" s="1478"/>
      <c r="C76" s="1479"/>
      <c r="D76" s="268" t="s">
        <v>198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 x14ac:dyDescent="0.4">
      <c r="A77" s="1474" t="s">
        <v>207</v>
      </c>
      <c r="B77" s="1475"/>
      <c r="C77" s="1476"/>
      <c r="D77" s="268" t="s">
        <v>198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 x14ac:dyDescent="0.4">
      <c r="A78" s="1216" t="s">
        <v>208</v>
      </c>
      <c r="B78" s="1217"/>
      <c r="C78" s="1218"/>
      <c r="D78" s="268" t="s">
        <v>198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 x14ac:dyDescent="0.4">
      <c r="A79" s="1486" t="s">
        <v>97</v>
      </c>
      <c r="B79" s="1487"/>
      <c r="C79" s="1488"/>
      <c r="D79" s="376" t="s">
        <v>198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 x14ac:dyDescent="0.4">
      <c r="A80" s="1486" t="s">
        <v>209</v>
      </c>
      <c r="B80" s="1487"/>
      <c r="C80" s="1488"/>
      <c r="D80" s="376" t="s">
        <v>198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 x14ac:dyDescent="0.4">
      <c r="A81" s="1486" t="s">
        <v>210</v>
      </c>
      <c r="B81" s="1487"/>
      <c r="C81" s="1488"/>
      <c r="D81" s="376" t="s">
        <v>198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 x14ac:dyDescent="0.4">
      <c r="A82" s="1492" t="s">
        <v>100</v>
      </c>
      <c r="B82" s="1487"/>
      <c r="C82" s="1488"/>
      <c r="D82" s="377" t="s">
        <v>143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 x14ac:dyDescent="0.4">
      <c r="A83" s="1492" t="s">
        <v>211</v>
      </c>
      <c r="B83" s="1487"/>
      <c r="C83" s="1488"/>
      <c r="D83" s="273" t="s">
        <v>143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 x14ac:dyDescent="0.4">
      <c r="A84" s="1219" t="s">
        <v>212</v>
      </c>
      <c r="B84" s="1219"/>
      <c r="C84" s="1220"/>
      <c r="D84" s="379" t="s">
        <v>143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 x14ac:dyDescent="0.35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 x14ac:dyDescent="0.5">
      <c r="A86" s="812" t="s">
        <v>102</v>
      </c>
      <c r="B86" s="813"/>
      <c r="C86" s="813"/>
      <c r="D86" s="814" t="s">
        <v>194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 x14ac:dyDescent="0.5">
      <c r="A87" s="812" t="s">
        <v>103</v>
      </c>
      <c r="B87" s="813"/>
      <c r="C87" s="813"/>
      <c r="D87" s="814" t="s">
        <v>194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 x14ac:dyDescent="0.5">
      <c r="A88" s="812" t="s">
        <v>104</v>
      </c>
      <c r="B88" s="813"/>
      <c r="C88" s="813"/>
      <c r="D88" s="814" t="s">
        <v>194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 x14ac:dyDescent="0.5">
      <c r="A89" s="812" t="s">
        <v>215</v>
      </c>
      <c r="B89" s="813"/>
      <c r="C89" s="813"/>
      <c r="D89" s="814" t="s">
        <v>194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 x14ac:dyDescent="0.5">
      <c r="A90" s="812" t="s">
        <v>215</v>
      </c>
      <c r="B90" s="813"/>
      <c r="C90" s="813"/>
      <c r="D90" s="814" t="s">
        <v>194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 x14ac:dyDescent="0.35">
      <c r="A91" s="1211" t="s">
        <v>216</v>
      </c>
      <c r="B91" s="435"/>
      <c r="C91" s="1212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 x14ac:dyDescent="0.4">
      <c r="A92" s="1465" t="s">
        <v>217</v>
      </c>
      <c r="B92" s="1466"/>
      <c r="C92" s="1467"/>
      <c r="D92" s="268" t="s">
        <v>155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 x14ac:dyDescent="0.4">
      <c r="A93" s="1465" t="s">
        <v>218</v>
      </c>
      <c r="B93" s="1466"/>
      <c r="C93" s="1467"/>
      <c r="D93" s="268" t="s">
        <v>155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 x14ac:dyDescent="0.4">
      <c r="A94" s="1489" t="s">
        <v>219</v>
      </c>
      <c r="B94" s="1490"/>
      <c r="C94" s="1491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 x14ac:dyDescent="0.4">
      <c r="A95" s="1465" t="s">
        <v>220</v>
      </c>
      <c r="B95" s="1466"/>
      <c r="C95" s="1467"/>
      <c r="D95" s="268" t="s">
        <v>155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 x14ac:dyDescent="0.4">
      <c r="A96" s="1213" t="s">
        <v>221</v>
      </c>
      <c r="B96" s="1214"/>
      <c r="C96" s="1215"/>
      <c r="D96" s="268" t="s">
        <v>155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 x14ac:dyDescent="0.4">
      <c r="A97" s="1213" t="s">
        <v>222</v>
      </c>
      <c r="B97" s="1214"/>
      <c r="C97" s="1215"/>
      <c r="D97" s="268" t="s">
        <v>155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 x14ac:dyDescent="0.4">
      <c r="A98" s="1213" t="s">
        <v>223</v>
      </c>
      <c r="B98" s="1214"/>
      <c r="C98" s="1215"/>
      <c r="D98" s="268" t="s">
        <v>155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 x14ac:dyDescent="0.4">
      <c r="A99" s="1213" t="s">
        <v>224</v>
      </c>
      <c r="B99" s="1214"/>
      <c r="C99" s="1215"/>
      <c r="D99" s="268" t="s">
        <v>155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 x14ac:dyDescent="0.4">
      <c r="A100" s="1213" t="s">
        <v>225</v>
      </c>
      <c r="B100" s="1214"/>
      <c r="C100" s="1215"/>
      <c r="D100" s="268" t="s">
        <v>155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 x14ac:dyDescent="0.35">
      <c r="A101" s="1489" t="s">
        <v>227</v>
      </c>
      <c r="B101" s="1490"/>
      <c r="C101" s="1491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 x14ac:dyDescent="0.35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 x14ac:dyDescent="0.35">
      <c r="A103" s="1498" t="s">
        <v>229</v>
      </c>
      <c r="B103" s="1499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 x14ac:dyDescent="0.35">
      <c r="A104" s="1500" t="s">
        <v>230</v>
      </c>
      <c r="B104" s="1500"/>
      <c r="C104" s="1207"/>
      <c r="D104" s="515" t="s">
        <v>155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 x14ac:dyDescent="0.35">
      <c r="A105" s="1500" t="s">
        <v>77</v>
      </c>
      <c r="B105" s="1500"/>
      <c r="C105" s="1207"/>
      <c r="D105" s="515" t="s">
        <v>155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 x14ac:dyDescent="0.35">
      <c r="A106" s="1500" t="s">
        <v>78</v>
      </c>
      <c r="B106" s="1500"/>
      <c r="C106" s="1500"/>
      <c r="D106" s="515" t="s">
        <v>155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 x14ac:dyDescent="0.35">
      <c r="A107" s="1501" t="s">
        <v>213</v>
      </c>
      <c r="B107" s="1501"/>
      <c r="C107" s="1207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 x14ac:dyDescent="0.35">
      <c r="A108" s="1502" t="s">
        <v>79</v>
      </c>
      <c r="B108" s="1502"/>
      <c r="C108" s="1207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 x14ac:dyDescent="0.35">
      <c r="A109" s="1500" t="s">
        <v>231</v>
      </c>
      <c r="B109" s="1500"/>
      <c r="C109" s="1207"/>
      <c r="D109" s="515" t="s">
        <v>155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 x14ac:dyDescent="0.35">
      <c r="A110" s="1500" t="s">
        <v>232</v>
      </c>
      <c r="B110" s="1500"/>
      <c r="C110" s="1207"/>
      <c r="D110" s="515" t="s">
        <v>155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 x14ac:dyDescent="0.35">
      <c r="A111" s="1500" t="s">
        <v>233</v>
      </c>
      <c r="B111" s="1500"/>
      <c r="C111" s="1207"/>
      <c r="D111" s="515" t="s">
        <v>155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 x14ac:dyDescent="0.35">
      <c r="A112" s="1503" t="s">
        <v>121</v>
      </c>
      <c r="B112" s="1503"/>
      <c r="C112" s="1207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 x14ac:dyDescent="0.35">
      <c r="A113" s="1502" t="s">
        <v>234</v>
      </c>
      <c r="B113" s="1502"/>
      <c r="C113" s="1207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 x14ac:dyDescent="0.35">
      <c r="A114" s="1500" t="s">
        <v>235</v>
      </c>
      <c r="B114" s="1500"/>
      <c r="C114" s="519"/>
      <c r="D114" s="515" t="s">
        <v>155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 x14ac:dyDescent="0.35">
      <c r="A115" s="1500" t="s">
        <v>236</v>
      </c>
      <c r="B115" s="1500"/>
      <c r="C115" s="519"/>
      <c r="D115" s="515" t="s">
        <v>155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 x14ac:dyDescent="0.35">
      <c r="A116" s="1500" t="s">
        <v>237</v>
      </c>
      <c r="B116" s="1500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 x14ac:dyDescent="0.35">
      <c r="A117" s="1501" t="s">
        <v>213</v>
      </c>
      <c r="B117" s="1501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 x14ac:dyDescent="0.35">
      <c r="A118" s="1504" t="s">
        <v>238</v>
      </c>
      <c r="B118" s="1504"/>
      <c r="C118" s="1206"/>
      <c r="D118" s="517" t="s">
        <v>155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 x14ac:dyDescent="0.35">
      <c r="A119" s="1504" t="s">
        <v>239</v>
      </c>
      <c r="B119" s="1504"/>
      <c r="C119" s="1206"/>
      <c r="D119" s="517" t="s">
        <v>155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 x14ac:dyDescent="0.35">
      <c r="A120" s="1504" t="s">
        <v>240</v>
      </c>
      <c r="B120" s="1504"/>
      <c r="C120" s="1206"/>
      <c r="D120" s="517" t="s">
        <v>155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 x14ac:dyDescent="0.35">
      <c r="A121" s="1505"/>
      <c r="B121" s="1505"/>
      <c r="C121" s="1207"/>
      <c r="F121" s="481" t="s">
        <v>226</v>
      </c>
      <c r="H121" s="492"/>
      <c r="J121" s="493"/>
    </row>
    <row r="122" spans="1:12" ht="23.25" customHeight="1" x14ac:dyDescent="0.35">
      <c r="A122" s="1493" t="s">
        <v>241</v>
      </c>
      <c r="B122" s="1494"/>
      <c r="C122" s="1495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 x14ac:dyDescent="0.4">
      <c r="A123" s="385" t="s">
        <v>242</v>
      </c>
      <c r="B123" s="386"/>
      <c r="C123" s="387"/>
      <c r="D123" s="319" t="s">
        <v>152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 x14ac:dyDescent="0.4">
      <c r="A124" s="385" t="s">
        <v>243</v>
      </c>
      <c r="B124" s="386"/>
      <c r="C124" s="387"/>
      <c r="D124" s="319" t="s">
        <v>152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 x14ac:dyDescent="0.4">
      <c r="A125" s="1474" t="s">
        <v>244</v>
      </c>
      <c r="B125" s="1475"/>
      <c r="C125" s="1476"/>
      <c r="D125" s="268" t="s">
        <v>152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 x14ac:dyDescent="0.4">
      <c r="A126" s="416" t="s">
        <v>245</v>
      </c>
      <c r="B126" s="1214"/>
      <c r="C126" s="1215"/>
      <c r="D126" s="268" t="s">
        <v>152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 x14ac:dyDescent="0.4">
      <c r="A127" s="416" t="s">
        <v>246</v>
      </c>
      <c r="B127" s="1214"/>
      <c r="C127" s="1215"/>
      <c r="D127" s="268" t="s">
        <v>152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 x14ac:dyDescent="0.35">
      <c r="A128" s="381" t="s">
        <v>247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 x14ac:dyDescent="0.35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 x14ac:dyDescent="0.4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 x14ac:dyDescent="0.4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 x14ac:dyDescent="0.4">
      <c r="A132" s="475" t="s">
        <v>252</v>
      </c>
      <c r="B132" s="475"/>
      <c r="C132" s="475"/>
      <c r="D132" s="268" t="s">
        <v>250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 x14ac:dyDescent="0.4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 x14ac:dyDescent="0.4">
      <c r="A134" s="475" t="s">
        <v>254</v>
      </c>
      <c r="B134" s="475"/>
      <c r="C134" s="475"/>
      <c r="D134" s="268" t="s">
        <v>250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 x14ac:dyDescent="0.4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 x14ac:dyDescent="0.4">
      <c r="A136" s="475" t="s">
        <v>256</v>
      </c>
      <c r="B136" s="475"/>
      <c r="C136" s="475"/>
      <c r="D136" s="268" t="s">
        <v>250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 x14ac:dyDescent="0.4">
      <c r="A137" s="475" t="s">
        <v>257</v>
      </c>
      <c r="B137" s="475"/>
      <c r="C137" s="475"/>
      <c r="D137" s="268" t="s">
        <v>250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 x14ac:dyDescent="0.4">
      <c r="A138" s="475" t="s">
        <v>258</v>
      </c>
      <c r="B138" s="475"/>
      <c r="C138" s="475"/>
      <c r="D138" s="268" t="s">
        <v>250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 x14ac:dyDescent="0.4">
      <c r="A139" s="475" t="s">
        <v>259</v>
      </c>
      <c r="B139" s="475"/>
      <c r="C139" s="475"/>
      <c r="D139" s="268" t="s">
        <v>250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 x14ac:dyDescent="0.4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 x14ac:dyDescent="0.35">
      <c r="A141" s="1496" t="s">
        <v>261</v>
      </c>
      <c r="B141" s="1497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 x14ac:dyDescent="0.35">
      <c r="A142" s="1465" t="s">
        <v>262</v>
      </c>
      <c r="B142" s="1466"/>
      <c r="C142" s="1467"/>
      <c r="D142" s="268" t="s">
        <v>143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 x14ac:dyDescent="0.35">
      <c r="A143" s="1465" t="s">
        <v>263</v>
      </c>
      <c r="B143" s="1466"/>
      <c r="C143" s="1467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 x14ac:dyDescent="0.35">
      <c r="A144" s="1465" t="s">
        <v>264</v>
      </c>
      <c r="B144" s="1466"/>
      <c r="C144" s="1467"/>
      <c r="D144" s="268" t="s">
        <v>143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 x14ac:dyDescent="0.35">
      <c r="A145" s="1465" t="s">
        <v>265</v>
      </c>
      <c r="B145" s="1466"/>
      <c r="C145" s="1467"/>
      <c r="D145" s="268" t="s">
        <v>24</v>
      </c>
      <c r="E145" s="265"/>
      <c r="F145" s="265" t="s">
        <v>288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 x14ac:dyDescent="0.35">
      <c r="A146" s="1465" t="s">
        <v>266</v>
      </c>
      <c r="B146" s="1466"/>
      <c r="C146" s="1467"/>
      <c r="D146" s="268" t="s">
        <v>143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 x14ac:dyDescent="0.35">
      <c r="A147" s="1465" t="s">
        <v>267</v>
      </c>
      <c r="B147" s="1466"/>
      <c r="C147" s="1467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 x14ac:dyDescent="0.35">
      <c r="A148" s="1465" t="s">
        <v>268</v>
      </c>
      <c r="B148" s="1466"/>
      <c r="C148" s="1467"/>
      <c r="D148" s="268" t="s">
        <v>194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 x14ac:dyDescent="0.35">
      <c r="A149" s="1465" t="s">
        <v>269</v>
      </c>
      <c r="B149" s="1466"/>
      <c r="C149" s="1467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 x14ac:dyDescent="0.35">
      <c r="A150" s="1465" t="s">
        <v>270</v>
      </c>
      <c r="B150" s="1466"/>
      <c r="C150" s="1467"/>
      <c r="D150" s="268" t="s">
        <v>194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 x14ac:dyDescent="0.35">
      <c r="A151" s="1465" t="s">
        <v>271</v>
      </c>
      <c r="B151" s="1466"/>
      <c r="C151" s="1467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 x14ac:dyDescent="0.35">
      <c r="A152" s="1465" t="s">
        <v>272</v>
      </c>
      <c r="B152" s="1466"/>
      <c r="C152" s="1467"/>
      <c r="D152" s="268" t="s">
        <v>194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 x14ac:dyDescent="0.35">
      <c r="A153" s="1465" t="s">
        <v>273</v>
      </c>
      <c r="B153" s="1466"/>
      <c r="C153" s="1467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 x14ac:dyDescent="0.35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 x14ac:dyDescent="0.35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 x14ac:dyDescent="0.35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 x14ac:dyDescent="0.35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 x14ac:dyDescent="0.35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 x14ac:dyDescent="0.35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 x14ac:dyDescent="0.55000000000000004">
      <c r="A160" s="868" t="s">
        <v>274</v>
      </c>
      <c r="B160" s="869"/>
      <c r="C160" s="869"/>
      <c r="D160" s="587" t="s">
        <v>198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 x14ac:dyDescent="0.55000000000000004">
      <c r="A161" s="868" t="s">
        <v>275</v>
      </c>
      <c r="B161" s="869"/>
      <c r="C161" s="869"/>
      <c r="D161" s="587" t="s">
        <v>198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 x14ac:dyDescent="0.55000000000000004">
      <c r="A162" s="868" t="s">
        <v>276</v>
      </c>
      <c r="B162" s="869"/>
      <c r="C162" s="869"/>
      <c r="D162" s="587" t="s">
        <v>198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 x14ac:dyDescent="0.55000000000000004">
      <c r="A163" s="868" t="s">
        <v>277</v>
      </c>
      <c r="B163" s="869"/>
      <c r="C163" s="869"/>
      <c r="D163" s="587" t="s">
        <v>198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 x14ac:dyDescent="0.35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 x14ac:dyDescent="0.35">
      <c r="A165" s="870" t="s">
        <v>199</v>
      </c>
      <c r="B165" s="681"/>
      <c r="C165" s="681"/>
      <c r="D165" s="587" t="s">
        <v>198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 x14ac:dyDescent="0.5">
      <c r="A166" s="1439" t="s">
        <v>107</v>
      </c>
      <c r="B166" s="1439"/>
      <c r="C166" s="1439"/>
      <c r="D166" s="599" t="s">
        <v>198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 x14ac:dyDescent="0.5">
      <c r="A167" s="1439" t="s">
        <v>108</v>
      </c>
      <c r="B167" s="1439"/>
      <c r="C167" s="1439"/>
      <c r="D167" s="599" t="s">
        <v>198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 x14ac:dyDescent="0.5">
      <c r="A168" s="1439" t="s">
        <v>109</v>
      </c>
      <c r="B168" s="1439"/>
      <c r="C168" s="1439"/>
      <c r="D168" s="599" t="s">
        <v>198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 x14ac:dyDescent="0.5">
      <c r="A169" s="1439" t="s">
        <v>110</v>
      </c>
      <c r="B169" s="1439"/>
      <c r="C169" s="1439"/>
      <c r="D169" s="599" t="s">
        <v>198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 x14ac:dyDescent="0.5">
      <c r="A170" s="1439" t="s">
        <v>111</v>
      </c>
      <c r="B170" s="1439"/>
      <c r="C170" s="1439"/>
      <c r="D170" s="599" t="s">
        <v>198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 x14ac:dyDescent="0.5">
      <c r="A171" s="1439" t="s">
        <v>112</v>
      </c>
      <c r="B171" s="1439"/>
      <c r="C171" s="1439"/>
      <c r="D171" s="599" t="s">
        <v>198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 x14ac:dyDescent="0.35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 x14ac:dyDescent="0.35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 x14ac:dyDescent="0.35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 x14ac:dyDescent="0.35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 x14ac:dyDescent="0.35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 x14ac:dyDescent="0.35">
      <c r="H177" s="521"/>
      <c r="J177" s="522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O176"/>
  <sheetViews>
    <sheetView view="pageBreakPreview" topLeftCell="A85" zoomScale="55" zoomScaleNormal="40" zoomScaleSheetLayoutView="55" zoomScalePageLayoutView="60" workbookViewId="0">
      <selection activeCell="H113" sqref="H113"/>
    </sheetView>
  </sheetViews>
  <sheetFormatPr defaultColWidth="22.33203125" defaultRowHeight="29.25" x14ac:dyDescent="0.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345</v>
      </c>
      <c r="B2" s="1118">
        <v>44246</v>
      </c>
      <c r="C2" s="1233" t="s">
        <v>69</v>
      </c>
      <c r="D2" s="688">
        <v>0.8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28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142</v>
      </c>
      <c r="B7" s="656"/>
      <c r="C7" s="656"/>
      <c r="D7" s="599" t="s">
        <v>143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 x14ac:dyDescent="0.45">
      <c r="A8" s="657" t="s">
        <v>144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 x14ac:dyDescent="0.4">
      <c r="A9" s="660" t="s">
        <v>145</v>
      </c>
      <c r="B9" s="661"/>
      <c r="C9" s="661"/>
      <c r="D9" s="599" t="s">
        <v>143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 x14ac:dyDescent="0.4">
      <c r="A10" s="655" t="s">
        <v>146</v>
      </c>
      <c r="B10" s="656"/>
      <c r="C10" s="656"/>
      <c r="D10" s="599" t="s">
        <v>143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 x14ac:dyDescent="0.4">
      <c r="A11" s="655" t="s">
        <v>147</v>
      </c>
      <c r="B11" s="656"/>
      <c r="C11" s="656"/>
      <c r="D11" s="599" t="s">
        <v>143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 x14ac:dyDescent="0.4">
      <c r="A12" s="655" t="s">
        <v>148</v>
      </c>
      <c r="B12" s="656"/>
      <c r="C12" s="656"/>
      <c r="D12" s="599" t="s">
        <v>143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1" t="s">
        <v>151</v>
      </c>
      <c r="B15" s="666"/>
      <c r="C15" s="666"/>
      <c r="D15" s="599" t="s">
        <v>152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390" t="s">
        <v>154</v>
      </c>
      <c r="B18" s="1391"/>
      <c r="C18" s="1392"/>
      <c r="D18" s="599" t="s">
        <v>155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 x14ac:dyDescent="0.5">
      <c r="A19" s="1390" t="s">
        <v>71</v>
      </c>
      <c r="B19" s="1391"/>
      <c r="C19" s="1392"/>
      <c r="D19" s="599" t="s">
        <v>155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 x14ac:dyDescent="0.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 x14ac:dyDescent="0.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 x14ac:dyDescent="0.5">
      <c r="A74" s="1506" t="s">
        <v>204</v>
      </c>
      <c r="B74" s="1507"/>
      <c r="C74" s="1508"/>
      <c r="D74" s="599" t="s">
        <v>198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 x14ac:dyDescent="0.5">
      <c r="A94" s="1384" t="s">
        <v>219</v>
      </c>
      <c r="B94" s="1385"/>
      <c r="C94" s="1386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395" t="s">
        <v>230</v>
      </c>
      <c r="B104" s="1396"/>
      <c r="C104" s="1229"/>
      <c r="D104" s="699" t="s">
        <v>155</v>
      </c>
      <c r="E104" s="608">
        <f>'18'!F104</f>
        <v>7097</v>
      </c>
      <c r="F104" s="608">
        <v>7097</v>
      </c>
      <c r="G104" s="608">
        <f>F104-E104</f>
        <v>0</v>
      </c>
      <c r="H104" s="536">
        <f>G104+'18'!H104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 x14ac:dyDescent="0.5">
      <c r="A105" s="1395" t="s">
        <v>77</v>
      </c>
      <c r="B105" s="1396"/>
      <c r="C105" s="1229"/>
      <c r="D105" s="699" t="s">
        <v>155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536">
        <f>G105+'18'!H105</f>
        <v>63</v>
      </c>
      <c r="I105" s="608"/>
      <c r="J105" s="635">
        <f>H105/DAY(B2)</f>
        <v>3.3157894736842106</v>
      </c>
      <c r="N105" s="493"/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'18'!F106</f>
        <v>19189</v>
      </c>
      <c r="F106" s="608">
        <v>19195</v>
      </c>
      <c r="G106" s="608">
        <f t="shared" si="10"/>
        <v>6</v>
      </c>
      <c r="H106" s="536">
        <f>G106+'18'!H106</f>
        <v>350</v>
      </c>
      <c r="I106" s="608"/>
      <c r="J106" s="635">
        <f>H106/DAY(B2)</f>
        <v>18.421052631578949</v>
      </c>
      <c r="N106" s="493"/>
      <c r="O106" s="413"/>
    </row>
    <row r="107" spans="1:15" s="481" customFormat="1" ht="27.75" x14ac:dyDescent="0.5">
      <c r="A107" s="1398" t="s">
        <v>213</v>
      </c>
      <c r="B107" s="1399"/>
      <c r="C107" s="1229"/>
      <c r="D107" s="699"/>
      <c r="E107" s="608">
        <f>'18'!F107</f>
        <v>0</v>
      </c>
      <c r="F107" s="608"/>
      <c r="G107" s="608">
        <f>SUM(G104:G106)</f>
        <v>13</v>
      </c>
      <c r="H107" s="536">
        <f>G107+'18'!H107</f>
        <v>236</v>
      </c>
      <c r="I107" s="608"/>
      <c r="J107" s="635">
        <f>H107/DAY(B2)</f>
        <v>12.421052631578947</v>
      </c>
      <c r="N107" s="493"/>
      <c r="O107" s="413"/>
    </row>
    <row r="108" spans="1:15" s="481" customFormat="1" ht="27.75" x14ac:dyDescent="0.5">
      <c r="A108" s="1400" t="s">
        <v>79</v>
      </c>
      <c r="B108" s="1401"/>
      <c r="C108" s="1229"/>
      <c r="D108" s="699" t="s">
        <v>155</v>
      </c>
      <c r="E108" s="608">
        <f>'18'!F108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 x14ac:dyDescent="0.5">
      <c r="A109" s="1395" t="s">
        <v>231</v>
      </c>
      <c r="B109" s="1396"/>
      <c r="C109" s="1229"/>
      <c r="D109" s="699" t="s">
        <v>155</v>
      </c>
      <c r="E109" s="608">
        <f>'18'!F109</f>
        <v>55748</v>
      </c>
      <c r="F109" s="608">
        <v>55788</v>
      </c>
      <c r="G109" s="608">
        <f>F109-E109</f>
        <v>40</v>
      </c>
      <c r="H109" s="536">
        <f>G109+'18'!H109</f>
        <v>176</v>
      </c>
      <c r="I109" s="608"/>
      <c r="J109" s="635">
        <f>H109/DAY(B2)</f>
        <v>9.2631578947368425</v>
      </c>
      <c r="N109" s="493"/>
      <c r="O109" s="413"/>
    </row>
    <row r="110" spans="1:15" s="481" customFormat="1" ht="27.75" x14ac:dyDescent="0.5">
      <c r="A110" s="1395" t="s">
        <v>232</v>
      </c>
      <c r="B110" s="1396"/>
      <c r="C110" s="1229"/>
      <c r="D110" s="699" t="s">
        <v>155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536">
        <f>G110+'18'!H110</f>
        <v>168</v>
      </c>
      <c r="I110" s="608"/>
      <c r="J110" s="635">
        <f>H110/DAY(B2)</f>
        <v>8.8421052631578956</v>
      </c>
      <c r="N110" s="493"/>
      <c r="O110" s="413"/>
    </row>
    <row r="111" spans="1:15" s="481" customFormat="1" ht="27.75" x14ac:dyDescent="0.5">
      <c r="A111" s="1395" t="s">
        <v>233</v>
      </c>
      <c r="B111" s="1396"/>
      <c r="C111" s="1229"/>
      <c r="D111" s="699" t="s">
        <v>155</v>
      </c>
      <c r="E111" s="608">
        <f>'18'!F111</f>
        <v>3912</v>
      </c>
      <c r="F111" s="608">
        <v>3912</v>
      </c>
      <c r="G111" s="608">
        <f t="shared" si="11"/>
        <v>0</v>
      </c>
      <c r="H111" s="536">
        <f>G111+'18'!H111</f>
        <v>440</v>
      </c>
      <c r="I111" s="608"/>
      <c r="J111" s="635">
        <f>H111/DAY(B2)</f>
        <v>23.157894736842106</v>
      </c>
      <c r="N111" s="493"/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>
        <f>'18'!F112</f>
        <v>0</v>
      </c>
      <c r="F112" s="608"/>
      <c r="G112" s="608">
        <f>SUM(G109:G111)</f>
        <v>71</v>
      </c>
      <c r="H112" s="536">
        <f>G112+'18'!H112</f>
        <v>751</v>
      </c>
      <c r="I112" s="608"/>
      <c r="J112" s="635">
        <f>H112/DAY(B2)</f>
        <v>39.526315789473685</v>
      </c>
      <c r="N112" s="493"/>
      <c r="O112" s="413"/>
    </row>
    <row r="113" spans="1:15" s="481" customFormat="1" ht="27.75" x14ac:dyDescent="0.5">
      <c r="A113" s="1400" t="s">
        <v>234</v>
      </c>
      <c r="B113" s="1401"/>
      <c r="C113" s="1229"/>
      <c r="D113" s="699"/>
      <c r="E113" s="608">
        <f>'18'!F113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395" t="s">
        <v>235</v>
      </c>
      <c r="B114" s="1396"/>
      <c r="C114" s="651"/>
      <c r="D114" s="699" t="s">
        <v>155</v>
      </c>
      <c r="E114" s="610">
        <f>'18'!F114</f>
        <v>10099</v>
      </c>
      <c r="F114" s="610">
        <v>10125</v>
      </c>
      <c r="G114" s="610">
        <f>F114-E114</f>
        <v>26</v>
      </c>
      <c r="H114" s="536">
        <f>G114+'18'!H114</f>
        <v>51</v>
      </c>
      <c r="I114" s="608"/>
      <c r="J114" s="635">
        <f>H114/DAY(B2)</f>
        <v>2.6842105263157894</v>
      </c>
      <c r="N114" s="493"/>
      <c r="O114" s="413"/>
    </row>
    <row r="115" spans="1:15" s="481" customFormat="1" ht="27.75" x14ac:dyDescent="0.5">
      <c r="A115" s="1395" t="s">
        <v>236</v>
      </c>
      <c r="B115" s="1396"/>
      <c r="C115" s="651"/>
      <c r="D115" s="699" t="s">
        <v>155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536">
        <f>G115+'18'!H115</f>
        <v>94</v>
      </c>
      <c r="I115" s="608"/>
      <c r="J115" s="635">
        <f>H115/DAY(B2)</f>
        <v>4.9473684210526319</v>
      </c>
      <c r="N115" s="493"/>
      <c r="O115" s="413"/>
    </row>
    <row r="116" spans="1:15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G116+'18'!H116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 x14ac:dyDescent="0.5">
      <c r="A117" s="1398" t="s">
        <v>213</v>
      </c>
      <c r="B117" s="1399"/>
      <c r="C117" s="651"/>
      <c r="D117" s="700"/>
      <c r="E117" s="610"/>
      <c r="F117" s="610"/>
      <c r="G117" s="610">
        <f>SUM(G114:G116)</f>
        <v>28</v>
      </c>
      <c r="H117" s="536">
        <f>G117+'18'!H117</f>
        <v>130</v>
      </c>
      <c r="I117" s="610"/>
      <c r="J117" s="635">
        <f>H117/DAY(B2)</f>
        <v>6.8421052631578947</v>
      </c>
      <c r="N117" s="522"/>
      <c r="O117" s="413"/>
    </row>
    <row r="118" spans="1:15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G118+'18'!H118</f>
        <v>296</v>
      </c>
      <c r="I118" s="611"/>
      <c r="J118" s="636">
        <f>H118/DAY(B2)</f>
        <v>15.578947368421053</v>
      </c>
      <c r="N118" s="861"/>
      <c r="O118" s="413"/>
    </row>
    <row r="119" spans="1:15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141</v>
      </c>
      <c r="G119" s="612">
        <f>SUM(G95,G96,G97,G99,G100)</f>
        <v>141</v>
      </c>
      <c r="H119" s="536">
        <f>G119+'18'!H119</f>
        <v>358</v>
      </c>
      <c r="I119" s="611"/>
      <c r="J119" s="636">
        <f>H119/DAY(B2)</f>
        <v>18.842105263157894</v>
      </c>
      <c r="N119" s="861"/>
      <c r="O119" s="413"/>
    </row>
    <row r="120" spans="1:15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71</v>
      </c>
      <c r="G120" s="610">
        <f>SUM(G112)</f>
        <v>71</v>
      </c>
      <c r="H120" s="536">
        <f>G120+'18'!H120</f>
        <v>236</v>
      </c>
      <c r="I120" s="611"/>
      <c r="J120" s="636">
        <f>H120/DAY(B2)</f>
        <v>12.421052631578947</v>
      </c>
      <c r="N120" s="861"/>
      <c r="O120" s="413"/>
    </row>
    <row r="121" spans="1:15" s="481" customFormat="1" ht="27.75" x14ac:dyDescent="0.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 x14ac:dyDescent="0.5">
      <c r="A133" s="1158" t="s">
        <v>253</v>
      </c>
      <c r="B133" s="1159"/>
      <c r="C133" s="1159"/>
      <c r="D133" s="704" t="s">
        <v>250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60">
        <f>G130+G131+G132+G133</f>
        <v>0</v>
      </c>
      <c r="J133" s="789">
        <f>H133/DAY(B2)</f>
        <v>2.7368421052630622E-2</v>
      </c>
      <c r="N133" s="795"/>
      <c r="O133" s="795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 x14ac:dyDescent="0.5">
      <c r="A141" s="1425" t="s">
        <v>261</v>
      </c>
      <c r="B141" s="1426"/>
      <c r="C141" s="1237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274</v>
      </c>
      <c r="B160" s="869"/>
      <c r="C160" s="869"/>
      <c r="D160" s="587" t="s">
        <v>198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 x14ac:dyDescent="0.5">
      <c r="A161" s="868" t="s">
        <v>275</v>
      </c>
      <c r="B161" s="869"/>
      <c r="C161" s="869"/>
      <c r="D161" s="587" t="s">
        <v>198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 x14ac:dyDescent="0.5">
      <c r="A162" s="868" t="s">
        <v>276</v>
      </c>
      <c r="B162" s="869"/>
      <c r="C162" s="869"/>
      <c r="D162" s="587" t="s">
        <v>198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 x14ac:dyDescent="0.5">
      <c r="A163" s="868" t="s">
        <v>277</v>
      </c>
      <c r="B163" s="869"/>
      <c r="C163" s="869"/>
      <c r="D163" s="587" t="s">
        <v>198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 x14ac:dyDescent="0.4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 x14ac:dyDescent="0.4">
      <c r="A165" s="870" t="s">
        <v>199</v>
      </c>
      <c r="B165" s="681"/>
      <c r="C165" s="681"/>
      <c r="D165" s="587" t="s">
        <v>198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 x14ac:dyDescent="0.5">
      <c r="A166" s="1439" t="s">
        <v>107</v>
      </c>
      <c r="B166" s="1439"/>
      <c r="C166" s="1439"/>
      <c r="D166" s="599" t="s">
        <v>198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 x14ac:dyDescent="0.5">
      <c r="A167" s="1439" t="s">
        <v>108</v>
      </c>
      <c r="B167" s="1439"/>
      <c r="C167" s="1439"/>
      <c r="D167" s="599" t="s">
        <v>198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 x14ac:dyDescent="0.5">
      <c r="A168" s="1439" t="s">
        <v>109</v>
      </c>
      <c r="B168" s="1439"/>
      <c r="C168" s="1439"/>
      <c r="D168" s="599" t="s">
        <v>198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 x14ac:dyDescent="0.5">
      <c r="A169" s="1439" t="s">
        <v>110</v>
      </c>
      <c r="B169" s="1439"/>
      <c r="C169" s="1439"/>
      <c r="D169" s="599" t="s">
        <v>198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 x14ac:dyDescent="0.5">
      <c r="A170" s="1439" t="s">
        <v>111</v>
      </c>
      <c r="B170" s="1439"/>
      <c r="C170" s="1439"/>
      <c r="D170" s="599" t="s">
        <v>198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 x14ac:dyDescent="0.5">
      <c r="G172" s="614">
        <f>SUM(G160:G171)</f>
        <v>3311.6500000000024</v>
      </c>
    </row>
    <row r="176" spans="1:7" ht="18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689"/>
  <sheetViews>
    <sheetView view="pageBreakPreview" topLeftCell="A87" zoomScale="55" zoomScaleSheetLayoutView="55" zoomScalePageLayoutView="78" workbookViewId="0">
      <selection activeCell="H121" sqref="H121"/>
    </sheetView>
  </sheetViews>
  <sheetFormatPr defaultColWidth="22.33203125" defaultRowHeight="29.25" x14ac:dyDescent="0.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346</v>
      </c>
      <c r="B2" s="1118">
        <v>44247</v>
      </c>
      <c r="C2" s="1233" t="s">
        <v>69</v>
      </c>
      <c r="D2" s="688">
        <v>0.8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28</v>
      </c>
      <c r="E3" s="1411" t="s">
        <v>132</v>
      </c>
      <c r="F3" s="1412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142</v>
      </c>
      <c r="B7" s="656"/>
      <c r="C7" s="656"/>
      <c r="D7" s="599" t="s">
        <v>143</v>
      </c>
      <c r="E7" s="531">
        <f>'19'!F7</f>
        <v>4257518</v>
      </c>
      <c r="F7" s="531">
        <v>4277317</v>
      </c>
      <c r="G7" s="549">
        <f>F7-E7</f>
        <v>19799</v>
      </c>
      <c r="H7" s="536">
        <f>G7+'19'!H7</f>
        <v>389119</v>
      </c>
      <c r="I7" s="550">
        <f>'1'!I7</f>
        <v>12000</v>
      </c>
      <c r="J7" s="629">
        <f>H7/DAY(B2)</f>
        <v>19455.95</v>
      </c>
      <c r="K7" s="626">
        <v>11998</v>
      </c>
      <c r="L7" s="408">
        <f>G7-K7</f>
        <v>7801</v>
      </c>
      <c r="N7" s="413"/>
      <c r="O7" s="413"/>
    </row>
    <row r="8" spans="1:15" ht="27.75" thickBot="1" x14ac:dyDescent="0.45">
      <c r="A8" s="657" t="s">
        <v>144</v>
      </c>
      <c r="B8" s="658"/>
      <c r="C8" s="659"/>
      <c r="D8" s="694" t="s">
        <v>25</v>
      </c>
      <c r="E8" s="551">
        <f>'19'!F8</f>
        <v>4284656</v>
      </c>
      <c r="F8" s="551">
        <v>4304527</v>
      </c>
      <c r="G8" s="552">
        <f>F8-E8</f>
        <v>19871</v>
      </c>
      <c r="H8" s="536">
        <f>G8+'19'!H8</f>
        <v>391676</v>
      </c>
      <c r="I8" s="553">
        <f>'1'!I8</f>
        <v>12000</v>
      </c>
      <c r="J8" s="629">
        <f>H8/DAY(B2)</f>
        <v>19583.8</v>
      </c>
      <c r="K8" s="626"/>
      <c r="L8" s="464"/>
      <c r="M8" s="479"/>
      <c r="N8" s="413"/>
      <c r="O8" s="413"/>
    </row>
    <row r="9" spans="1:15" x14ac:dyDescent="0.4">
      <c r="A9" s="660" t="s">
        <v>145</v>
      </c>
      <c r="B9" s="661"/>
      <c r="C9" s="661"/>
      <c r="D9" s="599" t="s">
        <v>143</v>
      </c>
      <c r="E9" s="554">
        <f>'19'!F9</f>
        <v>161175</v>
      </c>
      <c r="F9" s="554">
        <v>174827</v>
      </c>
      <c r="G9" s="549">
        <f t="shared" ref="G9:G12" si="0">F9-E9</f>
        <v>13652</v>
      </c>
      <c r="H9" s="536">
        <f>G9+'19'!H9</f>
        <v>211939.25</v>
      </c>
      <c r="I9" s="555">
        <f>I8-J8</f>
        <v>-7583.7999999999993</v>
      </c>
      <c r="J9" s="629">
        <f>H9/DAY(B2)</f>
        <v>10596.9625</v>
      </c>
      <c r="K9" s="467"/>
      <c r="L9" s="408"/>
      <c r="N9" s="413"/>
      <c r="O9" s="413"/>
    </row>
    <row r="10" spans="1:15" x14ac:dyDescent="0.4">
      <c r="A10" s="655" t="s">
        <v>146</v>
      </c>
      <c r="B10" s="656"/>
      <c r="C10" s="656"/>
      <c r="D10" s="599" t="s">
        <v>143</v>
      </c>
      <c r="E10" s="554">
        <f>'19'!F10</f>
        <v>1358840</v>
      </c>
      <c r="F10" s="554">
        <v>1364305</v>
      </c>
      <c r="G10" s="549">
        <f t="shared" si="0"/>
        <v>5465</v>
      </c>
      <c r="H10" s="536">
        <f>G10+'19'!H10</f>
        <v>163430.60000000009</v>
      </c>
      <c r="I10" s="556"/>
      <c r="J10" s="629">
        <f>H10/DAY(B2)</f>
        <v>8171.5300000000043</v>
      </c>
      <c r="K10" s="467"/>
      <c r="L10" s="408"/>
      <c r="N10" s="413"/>
      <c r="O10" s="413"/>
    </row>
    <row r="11" spans="1:15" x14ac:dyDescent="0.4">
      <c r="A11" s="655" t="s">
        <v>147</v>
      </c>
      <c r="B11" s="656"/>
      <c r="C11" s="656"/>
      <c r="D11" s="599" t="s">
        <v>143</v>
      </c>
      <c r="E11" s="531">
        <f>'19'!F11</f>
        <v>37000</v>
      </c>
      <c r="F11" s="531">
        <v>37000</v>
      </c>
      <c r="G11" s="549">
        <f t="shared" si="0"/>
        <v>0</v>
      </c>
      <c r="H11" s="536">
        <f>G11+'19'!H11</f>
        <v>1610</v>
      </c>
      <c r="I11" s="556"/>
      <c r="J11" s="629">
        <f>H11/DAY(B2)</f>
        <v>80.5</v>
      </c>
      <c r="K11" s="467"/>
      <c r="L11" s="408"/>
      <c r="N11" s="413"/>
      <c r="O11" s="413"/>
    </row>
    <row r="12" spans="1:15" x14ac:dyDescent="0.4">
      <c r="A12" s="655" t="s">
        <v>148</v>
      </c>
      <c r="B12" s="656"/>
      <c r="C12" s="656"/>
      <c r="D12" s="599" t="s">
        <v>143</v>
      </c>
      <c r="E12" s="554">
        <f>'19'!F12</f>
        <v>40010</v>
      </c>
      <c r="F12" s="554">
        <v>40010</v>
      </c>
      <c r="G12" s="549">
        <f t="shared" si="0"/>
        <v>0</v>
      </c>
      <c r="H12" s="536">
        <f>G12+'19'!H12</f>
        <v>2380</v>
      </c>
      <c r="I12" s="556"/>
      <c r="J12" s="629">
        <f>H12/DAY(B2)</f>
        <v>119</v>
      </c>
      <c r="K12" s="467"/>
      <c r="L12" s="408"/>
      <c r="N12" s="413"/>
      <c r="O12" s="413"/>
    </row>
    <row r="13" spans="1:15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19117</v>
      </c>
      <c r="H13" s="536">
        <f>G13+'19'!H13</f>
        <v>361053.85000000009</v>
      </c>
      <c r="I13" s="558">
        <f>G7-G13</f>
        <v>682</v>
      </c>
      <c r="J13" s="629">
        <f>H13/DAY(B2)</f>
        <v>18052.692500000005</v>
      </c>
      <c r="K13" s="467"/>
      <c r="L13" s="408"/>
      <c r="N13" s="413"/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1" t="s">
        <v>151</v>
      </c>
      <c r="B15" s="666"/>
      <c r="C15" s="666"/>
      <c r="D15" s="599" t="s">
        <v>152</v>
      </c>
      <c r="E15" s="560">
        <f>'19'!F15</f>
        <v>1611435</v>
      </c>
      <c r="F15" s="560">
        <v>1612521</v>
      </c>
      <c r="G15" s="862">
        <f>(F15-E15)</f>
        <v>1086</v>
      </c>
      <c r="H15" s="536">
        <f>G15+'19'!H15</f>
        <v>18083.850000000093</v>
      </c>
      <c r="I15" s="550">
        <v>800</v>
      </c>
      <c r="J15" s="629">
        <f>H15/DAY(B2)</f>
        <v>904.19250000000466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-104.19250000000466</v>
      </c>
      <c r="J16" s="630"/>
      <c r="K16" s="467"/>
      <c r="L16" s="408"/>
      <c r="N16" s="413"/>
      <c r="O16" s="413"/>
    </row>
    <row r="17" spans="1:1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390" t="s">
        <v>154</v>
      </c>
      <c r="B18" s="1391"/>
      <c r="C18" s="1392"/>
      <c r="D18" s="599" t="s">
        <v>155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 x14ac:dyDescent="0.5">
      <c r="A19" s="1390" t="s">
        <v>71</v>
      </c>
      <c r="B19" s="1391"/>
      <c r="C19" s="1392"/>
      <c r="D19" s="599" t="s">
        <v>155</v>
      </c>
      <c r="E19" s="560">
        <f>'19'!F19</f>
        <v>134003</v>
      </c>
      <c r="F19" s="560">
        <v>134054</v>
      </c>
      <c r="G19" s="549">
        <f t="shared" ref="G19" si="1">F19-E19</f>
        <v>51</v>
      </c>
      <c r="H19" s="536">
        <f>G19+'19'!H19</f>
        <v>1006</v>
      </c>
      <c r="I19" s="565"/>
      <c r="J19" s="629">
        <f>H19/DAY(B2)</f>
        <v>50.3</v>
      </c>
      <c r="K19" s="467"/>
      <c r="L19" s="408"/>
      <c r="N19" s="413"/>
      <c r="O19" s="413"/>
    </row>
    <row r="20" spans="1:15" x14ac:dyDescent="0.5">
      <c r="A20" s="662" t="s">
        <v>156</v>
      </c>
      <c r="B20" s="663"/>
      <c r="C20" s="663"/>
      <c r="D20" s="566"/>
      <c r="E20" s="566"/>
      <c r="F20" s="566"/>
      <c r="G20" s="567">
        <f>G18+G19</f>
        <v>191</v>
      </c>
      <c r="H20" s="536">
        <f>G20+'19'!H20</f>
        <v>4266</v>
      </c>
      <c r="I20" s="568">
        <f>I18-J20</f>
        <v>-148.30000000000001</v>
      </c>
      <c r="J20" s="629">
        <f>H20/DAY(B2)</f>
        <v>213.3</v>
      </c>
      <c r="K20" s="467"/>
      <c r="L20" s="408"/>
      <c r="N20" s="413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344">
        <v>4250</v>
      </c>
      <c r="F24" s="344">
        <v>4250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19871</v>
      </c>
      <c r="F27" s="577">
        <v>9</v>
      </c>
      <c r="G27" s="578">
        <f>E27*F27</f>
        <v>178839</v>
      </c>
      <c r="H27" s="536">
        <f>G27+'19'!H27</f>
        <v>3525084</v>
      </c>
      <c r="I27" s="579"/>
      <c r="J27" s="629">
        <f>H27/DAY(B2)</f>
        <v>176254.2</v>
      </c>
      <c r="K27" s="404"/>
      <c r="L27" s="484"/>
      <c r="N27" s="493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77">
        <f>G15</f>
        <v>1086</v>
      </c>
      <c r="F28" s="577">
        <v>43.5</v>
      </c>
      <c r="G28" s="578">
        <f>E28*F28</f>
        <v>47241</v>
      </c>
      <c r="H28" s="536">
        <f>G28+'19'!H28</f>
        <v>786647.47500000405</v>
      </c>
      <c r="I28" s="581"/>
      <c r="J28" s="629">
        <f>H28/DAY(B2)</f>
        <v>39332.373750000203</v>
      </c>
      <c r="K28" s="404"/>
      <c r="L28" s="484"/>
      <c r="N28" s="493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G30+'19'!H30</f>
        <v>134804</v>
      </c>
      <c r="I30" s="581"/>
      <c r="J30" s="629">
        <f>H30/DAY(B2)</f>
        <v>6740.2</v>
      </c>
      <c r="K30" s="404"/>
      <c r="L30" s="484"/>
      <c r="N30" s="493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>
        <f>H31/DAY(B2)</f>
        <v>13040</v>
      </c>
      <c r="K31" s="404"/>
      <c r="L31" s="484"/>
      <c r="N31" s="493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583"/>
      <c r="G32" s="584">
        <f>G27+G28+G29+G30+G31</f>
        <v>244114</v>
      </c>
      <c r="H32" s="536">
        <f>G32+'19'!H32</f>
        <v>4869485.4750000043</v>
      </c>
      <c r="I32" s="585"/>
      <c r="J32" s="629">
        <f>H32/DAY(B2)</f>
        <v>243474.27375000023</v>
      </c>
      <c r="K32" s="404"/>
      <c r="L32" s="484"/>
      <c r="N32" s="493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 t="s">
        <v>347</v>
      </c>
      <c r="K34" s="467"/>
      <c r="L34" s="408"/>
      <c r="N34" s="413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f>'19'!F35</f>
        <v>665457</v>
      </c>
      <c r="F35" s="586">
        <v>668311</v>
      </c>
      <c r="G35" s="549">
        <f t="shared" ref="G35:G46" si="2">F35-E35</f>
        <v>2854</v>
      </c>
      <c r="H35" s="536">
        <f>G35+'19'!H35</f>
        <v>39283.329999999958</v>
      </c>
      <c r="I35" s="531"/>
      <c r="J35" s="629">
        <f>H35/DAY(B2)</f>
        <v>1964.166499999998</v>
      </c>
      <c r="K35" s="467">
        <v>1457.2799999999697</v>
      </c>
      <c r="L35" s="408">
        <f>G35-K35</f>
        <v>1396.7200000000303</v>
      </c>
      <c r="N35" s="413"/>
      <c r="O35" s="705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f>'19'!F36</f>
        <v>289774</v>
      </c>
      <c r="F36" s="586">
        <v>290399</v>
      </c>
      <c r="G36" s="549">
        <f t="shared" si="2"/>
        <v>625</v>
      </c>
      <c r="H36" s="536">
        <f>G36+'19'!H36</f>
        <v>13907.549999999988</v>
      </c>
      <c r="I36" s="531"/>
      <c r="J36" s="629">
        <f>H36/DAY(B2)</f>
        <v>695.37749999999937</v>
      </c>
      <c r="K36" s="467">
        <v>483.92999999999302</v>
      </c>
      <c r="L36" s="408">
        <f t="shared" ref="L36:L60" si="3">G36-K36</f>
        <v>141.07000000000698</v>
      </c>
      <c r="N36" s="413"/>
      <c r="O36" s="705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f>'19'!F37</f>
        <v>18705</v>
      </c>
      <c r="F37" s="586">
        <v>20216</v>
      </c>
      <c r="G37" s="549">
        <f t="shared" si="2"/>
        <v>1511</v>
      </c>
      <c r="H37" s="536">
        <f>G37+'19'!H37</f>
        <v>20216</v>
      </c>
      <c r="I37" s="531"/>
      <c r="J37" s="629">
        <f>H37/DAY(B2)</f>
        <v>1010.8</v>
      </c>
      <c r="K37" s="467">
        <v>1173.9200000000128</v>
      </c>
      <c r="L37" s="408">
        <f>G37-K37</f>
        <v>337.07999999998719</v>
      </c>
      <c r="N37" s="413"/>
      <c r="O37" s="413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f>'19'!F38</f>
        <v>25176</v>
      </c>
      <c r="F38" s="545">
        <v>27141</v>
      </c>
      <c r="G38" s="549">
        <f t="shared" si="2"/>
        <v>1965</v>
      </c>
      <c r="H38" s="536">
        <f>G38+'19'!H38</f>
        <v>27043.120000000003</v>
      </c>
      <c r="I38" s="531"/>
      <c r="J38" s="629">
        <f>H38/DAY(B2)</f>
        <v>1352.1560000000002</v>
      </c>
      <c r="K38" s="467">
        <v>0</v>
      </c>
      <c r="L38" s="408">
        <f t="shared" si="3"/>
        <v>1965</v>
      </c>
      <c r="N38" s="413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f>'19'!F39</f>
        <v>52877</v>
      </c>
      <c r="F39" s="586">
        <v>57266</v>
      </c>
      <c r="G39" s="549">
        <f t="shared" si="2"/>
        <v>4389</v>
      </c>
      <c r="H39" s="536">
        <f>G39+'19'!H39</f>
        <v>57266</v>
      </c>
      <c r="I39" s="531"/>
      <c r="J39" s="629">
        <f>H39/DAY(B2)</f>
        <v>2863.3</v>
      </c>
      <c r="K39" s="467">
        <v>1987.0400000000373</v>
      </c>
      <c r="L39" s="408">
        <f t="shared" si="3"/>
        <v>2401.9599999999627</v>
      </c>
      <c r="N39" s="413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v>63882</v>
      </c>
      <c r="F41" s="586">
        <v>63882</v>
      </c>
      <c r="G41" s="549">
        <f t="shared" si="2"/>
        <v>0</v>
      </c>
      <c r="H41" s="536">
        <f>G41+'19'!H41</f>
        <v>19259.480000000003</v>
      </c>
      <c r="I41" s="531"/>
      <c r="J41" s="629">
        <f>H41/DAY(B2)</f>
        <v>962.97400000000016</v>
      </c>
      <c r="K41" s="467">
        <v>0</v>
      </c>
      <c r="L41" s="408">
        <f t="shared" si="3"/>
        <v>0</v>
      </c>
      <c r="N41" s="413"/>
      <c r="O41" s="80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v>59129</v>
      </c>
      <c r="F42" s="586">
        <v>59129</v>
      </c>
      <c r="G42" s="549">
        <f t="shared" si="2"/>
        <v>0</v>
      </c>
      <c r="H42" s="536">
        <f>G42+'19'!H42</f>
        <v>203</v>
      </c>
      <c r="I42" s="531"/>
      <c r="J42" s="629">
        <f>H42/DAY(B2)</f>
        <v>10.15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f>'19'!F43</f>
        <v>804835</v>
      </c>
      <c r="F43" s="586">
        <v>807137</v>
      </c>
      <c r="G43" s="549">
        <f t="shared" si="2"/>
        <v>2302</v>
      </c>
      <c r="H43" s="536">
        <f>G43+'19'!H43</f>
        <v>39325.089999999967</v>
      </c>
      <c r="I43" s="531"/>
      <c r="J43" s="629">
        <f>H43/DAY(B2)</f>
        <v>1966.2544999999984</v>
      </c>
      <c r="K43" s="467">
        <v>1559.2000000000116</v>
      </c>
      <c r="L43" s="408">
        <f t="shared" si="3"/>
        <v>742.79999999998836</v>
      </c>
      <c r="N43" s="413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13646</v>
      </c>
      <c r="H47" s="536">
        <f>G47+'19'!H47</f>
        <v>216502.97999999989</v>
      </c>
      <c r="I47" s="531"/>
      <c r="J47" s="629">
        <f>H47/DAY(B2)</f>
        <v>10825.148999999994</v>
      </c>
      <c r="K47" s="467">
        <v>9907.8200000000252</v>
      </c>
      <c r="L47" s="408">
        <f t="shared" si="3"/>
        <v>3738.1799999999748</v>
      </c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f>'19'!F49</f>
        <v>260732</v>
      </c>
      <c r="F49" s="586">
        <v>260732</v>
      </c>
      <c r="G49" s="549">
        <f t="shared" ref="G49:G58" si="4">F49-E49</f>
        <v>0</v>
      </c>
      <c r="H49" s="536">
        <f>G49+'19'!H49</f>
        <v>14832.950000000012</v>
      </c>
      <c r="I49" s="531"/>
      <c r="J49" s="629">
        <f>H49/DAY(B2)</f>
        <v>741.6475000000006</v>
      </c>
      <c r="K49" s="467">
        <v>0</v>
      </c>
      <c r="L49" s="408">
        <f t="shared" si="3"/>
        <v>0</v>
      </c>
      <c r="N49" s="413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f>'19'!F50</f>
        <v>391598</v>
      </c>
      <c r="F50" s="586">
        <v>392754</v>
      </c>
      <c r="G50" s="549">
        <f t="shared" si="4"/>
        <v>1156</v>
      </c>
      <c r="H50" s="536">
        <f>G50+'19'!H50</f>
        <v>23093.690000000002</v>
      </c>
      <c r="I50" s="531"/>
      <c r="J50" s="629">
        <f>H50/DAY(B2)</f>
        <v>1154.6845000000001</v>
      </c>
      <c r="K50" s="467">
        <v>631.67000000001281</v>
      </c>
      <c r="L50" s="408">
        <f t="shared" si="3"/>
        <v>524.32999999998719</v>
      </c>
      <c r="N50" s="413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f>'19'!F51</f>
        <v>120051</v>
      </c>
      <c r="F51" s="586">
        <v>120051</v>
      </c>
      <c r="G51" s="549">
        <f t="shared" si="4"/>
        <v>0</v>
      </c>
      <c r="H51" s="536">
        <f>G51+'19'!H51</f>
        <v>9951.2599999999948</v>
      </c>
      <c r="I51" s="531"/>
      <c r="J51" s="629">
        <f>H51/DAY(B2)</f>
        <v>497.56299999999976</v>
      </c>
      <c r="K51" s="467">
        <v>0</v>
      </c>
      <c r="L51" s="408">
        <f t="shared" si="3"/>
        <v>0</v>
      </c>
      <c r="N51" s="413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f>'19'!F52</f>
        <v>507913</v>
      </c>
      <c r="F52" s="586">
        <v>507913</v>
      </c>
      <c r="G52" s="549">
        <f t="shared" si="4"/>
        <v>0</v>
      </c>
      <c r="H52" s="536">
        <f>G52+'19'!H52</f>
        <v>14104.330000000016</v>
      </c>
      <c r="I52" s="531"/>
      <c r="J52" s="629">
        <f>H52/DAY(B2)</f>
        <v>705.21650000000079</v>
      </c>
      <c r="K52" s="467">
        <v>1057.5200000000186</v>
      </c>
      <c r="L52" s="408">
        <f t="shared" si="3"/>
        <v>-1057.5200000000186</v>
      </c>
      <c r="N52" s="413"/>
      <c r="O52" s="80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f>'19'!F53</f>
        <v>331855</v>
      </c>
      <c r="F53" s="586">
        <v>331855</v>
      </c>
      <c r="G53" s="549">
        <f t="shared" si="4"/>
        <v>0</v>
      </c>
      <c r="H53" s="536">
        <f>G53+'19'!H53</f>
        <v>27556.729999999981</v>
      </c>
      <c r="I53" s="531"/>
      <c r="J53" s="629">
        <f>H53/DAY(B2)</f>
        <v>1377.836499999999</v>
      </c>
      <c r="K53" s="467">
        <v>106.48999999999978</v>
      </c>
      <c r="L53" s="408">
        <f t="shared" si="3"/>
        <v>-106.48999999999978</v>
      </c>
      <c r="N53" s="413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f>'19'!F54</f>
        <v>7468</v>
      </c>
      <c r="F54" s="586">
        <v>7538</v>
      </c>
      <c r="G54" s="549">
        <f t="shared" si="4"/>
        <v>70</v>
      </c>
      <c r="H54" s="536">
        <f>G54+'19'!H54</f>
        <v>1149.1999999999998</v>
      </c>
      <c r="I54" s="531"/>
      <c r="J54" s="629">
        <f>H54/DAY(B2)</f>
        <v>57.459999999999994</v>
      </c>
      <c r="K54" s="467">
        <v>0</v>
      </c>
      <c r="L54" s="408">
        <f t="shared" si="3"/>
        <v>70</v>
      </c>
      <c r="N54" s="413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f>'19'!F55</f>
        <v>94270</v>
      </c>
      <c r="F55" s="586">
        <v>94270</v>
      </c>
      <c r="G55" s="549">
        <f t="shared" si="4"/>
        <v>0</v>
      </c>
      <c r="H55" s="536">
        <f>G55+'19'!H55</f>
        <v>51282.02</v>
      </c>
      <c r="I55" s="531"/>
      <c r="J55" s="629">
        <f>H55/DAY(B2)</f>
        <v>2564.1009999999997</v>
      </c>
      <c r="K55" s="467">
        <v>0</v>
      </c>
      <c r="L55" s="408">
        <f t="shared" si="3"/>
        <v>0</v>
      </c>
      <c r="N55" s="413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f>'19'!F56</f>
        <v>564247</v>
      </c>
      <c r="F56" s="586">
        <v>568298</v>
      </c>
      <c r="G56" s="549">
        <f t="shared" si="4"/>
        <v>4051</v>
      </c>
      <c r="H56" s="536">
        <f>G56+'19'!H56</f>
        <v>10566.089999999967</v>
      </c>
      <c r="I56" s="531"/>
      <c r="J56" s="629">
        <f>H56/DAY(B2)</f>
        <v>528.30449999999837</v>
      </c>
      <c r="K56" s="466">
        <v>0</v>
      </c>
      <c r="L56" s="408">
        <f t="shared" si="3"/>
        <v>4051</v>
      </c>
      <c r="N56" s="413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f>'19'!F57</f>
        <v>7711</v>
      </c>
      <c r="F57" s="586">
        <v>7711</v>
      </c>
      <c r="G57" s="549">
        <f t="shared" si="4"/>
        <v>0</v>
      </c>
      <c r="H57" s="536">
        <f>G57+'19'!H57</f>
        <v>7711</v>
      </c>
      <c r="I57" s="531"/>
      <c r="J57" s="629">
        <f>H57/DAY(B2)</f>
        <v>385.55</v>
      </c>
      <c r="K57" s="467">
        <v>0</v>
      </c>
      <c r="L57" s="408">
        <f t="shared" si="3"/>
        <v>0</v>
      </c>
      <c r="N57" s="413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f>'19'!F58</f>
        <v>34077</v>
      </c>
      <c r="F58" s="586">
        <v>34328</v>
      </c>
      <c r="G58" s="549">
        <f t="shared" si="4"/>
        <v>251</v>
      </c>
      <c r="H58" s="536">
        <f>G58+'19'!H58</f>
        <v>3598.4600000000028</v>
      </c>
      <c r="I58" s="531"/>
      <c r="J58" s="629">
        <f>H58/DAY(B2)</f>
        <v>179.92300000000014</v>
      </c>
      <c r="K58" s="467">
        <v>0</v>
      </c>
      <c r="L58" s="408">
        <f t="shared" si="3"/>
        <v>251</v>
      </c>
      <c r="N58" s="413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5528</v>
      </c>
      <c r="H59" s="536">
        <f>G59+'19'!H59</f>
        <v>163845.73000000001</v>
      </c>
      <c r="I59" s="531">
        <f>G7-G60</f>
        <v>625</v>
      </c>
      <c r="J59" s="629">
        <f>H59/DAY(B2)</f>
        <v>8192.2865000000002</v>
      </c>
      <c r="K59" s="467">
        <v>1795.6800000000312</v>
      </c>
      <c r="L59" s="408">
        <f t="shared" si="3"/>
        <v>3732.3199999999688</v>
      </c>
      <c r="N59" s="413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19174</v>
      </c>
      <c r="H60" s="536">
        <f>G60+'19'!H60</f>
        <v>385528.89999999979</v>
      </c>
      <c r="I60" s="531">
        <f>G13-G60</f>
        <v>-57</v>
      </c>
      <c r="J60" s="629">
        <f>H60/DAY(B2)</f>
        <v>19276.444999999989</v>
      </c>
      <c r="K60" s="467">
        <v>11703.500000000056</v>
      </c>
      <c r="L60" s="408">
        <f t="shared" si="3"/>
        <v>7470.4999999999436</v>
      </c>
      <c r="N60" s="413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'19'!F63</f>
        <v>1585</v>
      </c>
      <c r="F63" s="590">
        <v>1597</v>
      </c>
      <c r="G63" s="549">
        <f t="shared" si="5"/>
        <v>12</v>
      </c>
      <c r="H63" s="536">
        <f>G63+'19'!H63</f>
        <v>264.47000000000003</v>
      </c>
      <c r="I63" s="591"/>
      <c r="J63" s="629">
        <f>H63/DAY(B2)</f>
        <v>13.223500000000001</v>
      </c>
      <c r="K63" s="467"/>
      <c r="L63" s="408"/>
      <c r="N63" s="413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f>'19'!F64</f>
        <v>119240</v>
      </c>
      <c r="F64" s="560">
        <v>119640</v>
      </c>
      <c r="G64" s="549">
        <f t="shared" si="5"/>
        <v>400</v>
      </c>
      <c r="H64" s="536">
        <f>G64+'19'!H64</f>
        <v>8356.5399999999936</v>
      </c>
      <c r="I64" s="556"/>
      <c r="J64" s="629">
        <f>H64/DAY(B2)</f>
        <v>417.82699999999966</v>
      </c>
      <c r="K64" s="467"/>
      <c r="L64" s="408"/>
      <c r="N64" s="413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f>'19'!F65</f>
        <v>129048</v>
      </c>
      <c r="F65" s="560">
        <v>129452</v>
      </c>
      <c r="G65" s="549">
        <f t="shared" si="5"/>
        <v>404</v>
      </c>
      <c r="H65" s="536">
        <f>G65+'19'!H65</f>
        <v>7718.8899999999994</v>
      </c>
      <c r="I65" s="565"/>
      <c r="J65" s="629">
        <f>H65/DAY(B2)</f>
        <v>385.94449999999995</v>
      </c>
      <c r="K65" s="467"/>
      <c r="L65" s="408"/>
      <c r="N65" s="413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f>'19'!F66</f>
        <v>21657</v>
      </c>
      <c r="F66" s="560">
        <v>22068</v>
      </c>
      <c r="G66" s="549">
        <f t="shared" si="5"/>
        <v>411</v>
      </c>
      <c r="H66" s="536">
        <f>G66+'19'!H66</f>
        <v>7908.26</v>
      </c>
      <c r="I66" s="556"/>
      <c r="J66" s="629">
        <f>H66/DAY(B2)</f>
        <v>395.41300000000001</v>
      </c>
      <c r="K66" s="467"/>
      <c r="L66" s="408"/>
      <c r="N66" s="413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f>'19'!F67</f>
        <v>201900</v>
      </c>
      <c r="F67" s="560">
        <v>202595</v>
      </c>
      <c r="G67" s="549">
        <f t="shared" si="5"/>
        <v>695</v>
      </c>
      <c r="H67" s="536">
        <f>G67+'19'!H67</f>
        <v>13920.470000000001</v>
      </c>
      <c r="I67" s="565"/>
      <c r="J67" s="629">
        <f>H67/DAY(B2)</f>
        <v>696.02350000000001</v>
      </c>
      <c r="K67" s="468"/>
      <c r="L67" s="408"/>
      <c r="N67" s="413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f>'19'!F68</f>
        <v>69825</v>
      </c>
      <c r="F68" s="560">
        <v>71175</v>
      </c>
      <c r="G68" s="549">
        <f t="shared" si="5"/>
        <v>1350</v>
      </c>
      <c r="H68" s="536">
        <f>G68+'19'!H68</f>
        <v>7875.1399999999994</v>
      </c>
      <c r="I68" s="592"/>
      <c r="J68" s="629">
        <f>H68/DAY(B2)</f>
        <v>393.75699999999995</v>
      </c>
      <c r="K68" s="469"/>
      <c r="L68" s="408"/>
      <c r="N68" s="413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f>'19'!F69</f>
        <v>61500</v>
      </c>
      <c r="F69" s="560">
        <v>61818</v>
      </c>
      <c r="G69" s="549">
        <f t="shared" si="5"/>
        <v>318</v>
      </c>
      <c r="H69" s="536">
        <f>G69+'19'!H69</f>
        <v>6094.2900000000009</v>
      </c>
      <c r="I69" s="592"/>
      <c r="J69" s="629">
        <f>H69/DAY(B2)</f>
        <v>304.71450000000004</v>
      </c>
      <c r="K69" s="470"/>
      <c r="L69" s="408"/>
      <c r="N69" s="413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f>'19'!F72</f>
        <v>849920</v>
      </c>
      <c r="F72" s="595">
        <v>849986</v>
      </c>
      <c r="G72" s="549">
        <f t="shared" ref="G72:G84" si="6">F72-E72</f>
        <v>66</v>
      </c>
      <c r="H72" s="536">
        <f>G72+'19'!H72</f>
        <v>1434</v>
      </c>
      <c r="I72" s="556"/>
      <c r="J72" s="629">
        <f>H72/DAY(B2)</f>
        <v>71.7</v>
      </c>
      <c r="K72" s="470"/>
      <c r="L72" s="408"/>
      <c r="N72" s="413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f>'19'!F73</f>
        <v>885740</v>
      </c>
      <c r="F73" s="596">
        <v>885741</v>
      </c>
      <c r="G73" s="549">
        <f t="shared" si="6"/>
        <v>1</v>
      </c>
      <c r="H73" s="536">
        <f>G73+'19'!H73</f>
        <v>960</v>
      </c>
      <c r="I73" s="556"/>
      <c r="J73" s="629">
        <f>H73/DAY(B2)</f>
        <v>48</v>
      </c>
      <c r="K73" s="469"/>
      <c r="L73" s="408"/>
      <c r="N73" s="413"/>
      <c r="O73" s="413"/>
    </row>
    <row r="74" spans="1:15" ht="27.75" x14ac:dyDescent="0.5">
      <c r="A74" s="1506" t="s">
        <v>204</v>
      </c>
      <c r="B74" s="1507"/>
      <c r="C74" s="1508"/>
      <c r="D74" s="599" t="s">
        <v>198</v>
      </c>
      <c r="E74" s="597">
        <f>'19'!F74</f>
        <v>383</v>
      </c>
      <c r="F74" s="597">
        <v>403</v>
      </c>
      <c r="G74" s="549">
        <f t="shared" si="6"/>
        <v>20</v>
      </c>
      <c r="H74" s="536">
        <f>G74+'19'!H74</f>
        <v>632.1</v>
      </c>
      <c r="I74" s="556"/>
      <c r="J74" s="629">
        <f>H74/DAY(B2)</f>
        <v>31.605</v>
      </c>
      <c r="K74" s="470"/>
      <c r="L74" s="408"/>
      <c r="N74" s="413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f>'19'!F75</f>
        <v>1970</v>
      </c>
      <c r="F75" s="597">
        <v>2148</v>
      </c>
      <c r="G75" s="549">
        <f t="shared" si="6"/>
        <v>178</v>
      </c>
      <c r="H75" s="536">
        <f>G75+'19'!H75</f>
        <v>3684.4000000000005</v>
      </c>
      <c r="I75" s="556"/>
      <c r="J75" s="629">
        <f>H75/DAY(B2)</f>
        <v>184.22000000000003</v>
      </c>
      <c r="K75" s="469"/>
      <c r="L75" s="408"/>
      <c r="N75" s="413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f>'19'!F76</f>
        <v>815</v>
      </c>
      <c r="F76" s="735">
        <v>893</v>
      </c>
      <c r="G76" s="549">
        <f t="shared" si="6"/>
        <v>78</v>
      </c>
      <c r="H76" s="536">
        <f>G76+'19'!H76</f>
        <v>2890.2000000000003</v>
      </c>
      <c r="I76" s="581"/>
      <c r="J76" s="629">
        <f>H76/DAY(B2)</f>
        <v>144.51000000000002</v>
      </c>
      <c r="K76" s="469"/>
      <c r="L76" s="408"/>
      <c r="N76" s="413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7">
        <f>'19'!F77</f>
        <v>698156</v>
      </c>
      <c r="F77" s="597">
        <v>698204</v>
      </c>
      <c r="G77" s="549">
        <f t="shared" si="6"/>
        <v>48</v>
      </c>
      <c r="H77" s="536">
        <f>G77+'19'!H77</f>
        <v>1097</v>
      </c>
      <c r="I77" s="581"/>
      <c r="J77" s="629">
        <f>H77/DAY(B2)</f>
        <v>54.85</v>
      </c>
      <c r="K77" s="469"/>
      <c r="L77" s="408"/>
      <c r="N77" s="413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f>'19'!F78</f>
        <v>649628</v>
      </c>
      <c r="F78" s="597">
        <v>650030</v>
      </c>
      <c r="G78" s="549">
        <f t="shared" si="6"/>
        <v>402</v>
      </c>
      <c r="H78" s="536">
        <f>G78+'19'!H78</f>
        <v>8077</v>
      </c>
      <c r="I78" s="581"/>
      <c r="J78" s="629">
        <f>H78/DAY(B2)</f>
        <v>403.85</v>
      </c>
      <c r="K78" s="469"/>
      <c r="L78" s="408"/>
      <c r="N78" s="413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f>'19'!F79</f>
        <v>813359</v>
      </c>
      <c r="F79" s="597">
        <v>813550</v>
      </c>
      <c r="G79" s="549">
        <f t="shared" si="6"/>
        <v>191</v>
      </c>
      <c r="H79" s="536">
        <f>G79+'19'!H79</f>
        <v>6724</v>
      </c>
      <c r="I79" s="581"/>
      <c r="J79" s="629">
        <f>H79/DAY(B2)</f>
        <v>336.2</v>
      </c>
      <c r="K79" s="469"/>
      <c r="L79" s="408"/>
      <c r="N79" s="413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f>'19'!F80</f>
        <v>491303</v>
      </c>
      <c r="F80" s="596">
        <v>491659</v>
      </c>
      <c r="G80" s="549">
        <f t="shared" si="6"/>
        <v>356</v>
      </c>
      <c r="H80" s="536">
        <f>G80+'19'!H80</f>
        <v>5077.320000000007</v>
      </c>
      <c r="I80" s="581"/>
      <c r="J80" s="629">
        <f>H80/DAY(B2)</f>
        <v>253.86600000000035</v>
      </c>
      <c r="K80" s="469"/>
      <c r="L80" s="408"/>
      <c r="N80" s="413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'19'!F81</f>
        <v>624798</v>
      </c>
      <c r="F81" s="596">
        <v>624888</v>
      </c>
      <c r="G81" s="549">
        <f t="shared" si="6"/>
        <v>90</v>
      </c>
      <c r="H81" s="536">
        <f>G81+'19'!H81</f>
        <v>2113</v>
      </c>
      <c r="I81" s="581"/>
      <c r="J81" s="629">
        <f>H81/DAY(B2)</f>
        <v>105.65</v>
      </c>
      <c r="K81" s="469"/>
      <c r="L81" s="408"/>
      <c r="N81" s="413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'19'!F82</f>
        <v>105990</v>
      </c>
      <c r="F82" s="598">
        <v>106016</v>
      </c>
      <c r="G82" s="549">
        <f t="shared" si="6"/>
        <v>26</v>
      </c>
      <c r="H82" s="536">
        <f>G82+'19'!H82</f>
        <v>576</v>
      </c>
      <c r="I82" s="562"/>
      <c r="J82" s="629">
        <f>H82/DAY(B2)</f>
        <v>28.8</v>
      </c>
      <c r="K82" s="469"/>
      <c r="L82" s="408"/>
      <c r="N82" s="413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'19'!F83</f>
        <v>992041</v>
      </c>
      <c r="F83" s="587">
        <v>992440</v>
      </c>
      <c r="G83" s="549">
        <f t="shared" si="6"/>
        <v>399</v>
      </c>
      <c r="H83" s="536">
        <f>G83+'19'!H83</f>
        <v>8699</v>
      </c>
      <c r="I83" s="557"/>
      <c r="J83" s="629">
        <f>H83/DAY(B2)</f>
        <v>434.95</v>
      </c>
      <c r="K83" s="468"/>
      <c r="L83" s="408"/>
      <c r="N83" s="413"/>
      <c r="O83" s="80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'19'!F84</f>
        <v>425386</v>
      </c>
      <c r="F84" s="704">
        <v>425948</v>
      </c>
      <c r="G84" s="549">
        <f t="shared" si="6"/>
        <v>562</v>
      </c>
      <c r="H84" s="536">
        <f>G84+'19'!H84</f>
        <v>9875</v>
      </c>
      <c r="I84" s="557"/>
      <c r="J84" s="629">
        <f>H84/DAY(B2)</f>
        <v>493.75</v>
      </c>
      <c r="K84" s="411"/>
      <c r="L84" s="408"/>
      <c r="N84" s="413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2417</v>
      </c>
      <c r="H85" s="536">
        <f>G85+'19'!H85</f>
        <v>46535.649999999994</v>
      </c>
      <c r="I85" s="557"/>
      <c r="J85" s="629">
        <f>H85/DAY(B2)</f>
        <v>2326.7824999999998</v>
      </c>
      <c r="K85" s="411"/>
      <c r="L85" s="409"/>
      <c r="N85" s="859"/>
      <c r="O85" s="80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28">
        <f>'19'!F86</f>
        <v>449355</v>
      </c>
      <c r="F86" s="728">
        <v>449470</v>
      </c>
      <c r="G86" s="787">
        <f t="shared" ref="G86:G90" si="7">F86-E86</f>
        <v>115</v>
      </c>
      <c r="H86" s="536">
        <f>G86+'19'!H86</f>
        <v>386</v>
      </c>
      <c r="I86" s="733"/>
      <c r="J86" s="789">
        <f>H86/DAY(B2)</f>
        <v>19.3</v>
      </c>
      <c r="K86" s="815"/>
      <c r="L86" s="816"/>
      <c r="N86" s="860"/>
      <c r="O86" s="413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28">
        <f>'19'!F87</f>
        <v>78964</v>
      </c>
      <c r="F87" s="728">
        <v>78978</v>
      </c>
      <c r="G87" s="787">
        <f t="shared" si="7"/>
        <v>14</v>
      </c>
      <c r="H87" s="536">
        <f>G87+'19'!H87</f>
        <v>69.30000000000291</v>
      </c>
      <c r="I87" s="733"/>
      <c r="J87" s="789">
        <f>H87/DAY(B2)</f>
        <v>3.4650000000001455</v>
      </c>
      <c r="K87" s="815"/>
      <c r="L87" s="816"/>
      <c r="N87" s="860"/>
      <c r="O87" s="413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28">
        <f>'19'!F88</f>
        <v>147807</v>
      </c>
      <c r="F88" s="728">
        <v>147874</v>
      </c>
      <c r="G88" s="787">
        <f t="shared" si="7"/>
        <v>67</v>
      </c>
      <c r="H88" s="536">
        <f>G88+'19'!H88</f>
        <v>236.10000000000582</v>
      </c>
      <c r="I88" s="733"/>
      <c r="J88" s="789">
        <f>H88/DAY(B2)</f>
        <v>11.805000000000291</v>
      </c>
      <c r="K88" s="815"/>
      <c r="L88" s="816"/>
      <c r="N88" s="860"/>
      <c r="O88" s="413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28">
        <f>'19'!F89</f>
        <v>61058</v>
      </c>
      <c r="F89" s="728">
        <v>61120</v>
      </c>
      <c r="G89" s="787">
        <f t="shared" si="7"/>
        <v>62</v>
      </c>
      <c r="H89" s="536">
        <f>G89+'19'!H89</f>
        <v>187.5</v>
      </c>
      <c r="I89" s="733"/>
      <c r="J89" s="789">
        <f>H89/DAY(B2)</f>
        <v>9.375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28">
        <f>'19'!F90</f>
        <v>3134</v>
      </c>
      <c r="F90" s="728">
        <v>3135</v>
      </c>
      <c r="G90" s="787">
        <f t="shared" si="7"/>
        <v>1</v>
      </c>
      <c r="H90" s="536">
        <f>G90+'19'!H90</f>
        <v>5.8000000000001819</v>
      </c>
      <c r="I90" s="733"/>
      <c r="J90" s="789">
        <f>H90/DAY(B2)</f>
        <v>0.29000000000000908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'19'!F92</f>
        <v>238690</v>
      </c>
      <c r="F92" s="560">
        <v>238797</v>
      </c>
      <c r="G92" s="549">
        <f t="shared" ref="G92:G93" si="8">F92-E92</f>
        <v>107</v>
      </c>
      <c r="H92" s="536">
        <f>G92+'19'!H92</f>
        <v>2227</v>
      </c>
      <c r="I92" s="556"/>
      <c r="J92" s="629">
        <f>H92/DAY(B2)</f>
        <v>111.35</v>
      </c>
      <c r="K92" s="468"/>
      <c r="L92" s="408"/>
      <c r="N92" s="413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'19'!F93</f>
        <v>174210</v>
      </c>
      <c r="F93" s="560">
        <v>174343</v>
      </c>
      <c r="G93" s="549">
        <f t="shared" si="8"/>
        <v>133</v>
      </c>
      <c r="H93" s="536">
        <f>G93+'19'!H93</f>
        <v>3167</v>
      </c>
      <c r="I93" s="556"/>
      <c r="J93" s="629">
        <f>H93/DAY(B2)</f>
        <v>158.35</v>
      </c>
      <c r="K93" s="411"/>
      <c r="L93" s="408"/>
      <c r="N93" s="413"/>
      <c r="O93" s="413"/>
    </row>
    <row r="94" spans="1:15" x14ac:dyDescent="0.5">
      <c r="A94" s="1384" t="s">
        <v>219</v>
      </c>
      <c r="B94" s="1385"/>
      <c r="C94" s="1386"/>
      <c r="D94" s="599"/>
      <c r="E94" s="560">
        <f>'19'!F94</f>
        <v>0</v>
      </c>
      <c r="F94" s="560"/>
      <c r="G94" s="549">
        <f>G92+G93</f>
        <v>240</v>
      </c>
      <c r="H94" s="536">
        <f>G94+'19'!H94</f>
        <v>5107</v>
      </c>
      <c r="I94" s="556"/>
      <c r="J94" s="629">
        <f>H94/DAY(B2)</f>
        <v>255.35</v>
      </c>
      <c r="K94" s="411"/>
      <c r="L94" s="408"/>
      <c r="N94" s="413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'19'!F95</f>
        <v>407362</v>
      </c>
      <c r="F95" s="560">
        <v>407448</v>
      </c>
      <c r="G95" s="549">
        <f t="shared" ref="G95:G100" si="9">F95-E95</f>
        <v>86</v>
      </c>
      <c r="H95" s="536">
        <f>G95+'19'!H95</f>
        <v>1572</v>
      </c>
      <c r="I95" s="556"/>
      <c r="J95" s="629">
        <f>H95/DAY(B2)</f>
        <v>78.599999999999994</v>
      </c>
      <c r="K95" s="411"/>
      <c r="L95" s="408"/>
      <c r="N95" s="413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'19'!F96</f>
        <v>101149</v>
      </c>
      <c r="F96" s="560">
        <v>101171</v>
      </c>
      <c r="G96" s="549">
        <f t="shared" si="9"/>
        <v>22</v>
      </c>
      <c r="H96" s="536">
        <f>G96+'19'!H96</f>
        <v>637</v>
      </c>
      <c r="I96" s="556"/>
      <c r="J96" s="629">
        <f>H96/DAY(B2)</f>
        <v>31.85</v>
      </c>
      <c r="K96" s="466"/>
      <c r="L96" s="408"/>
      <c r="N96" s="413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f>'19'!F97</f>
        <v>96238</v>
      </c>
      <c r="F97" s="560">
        <v>96270</v>
      </c>
      <c r="G97" s="549">
        <f t="shared" si="9"/>
        <v>32</v>
      </c>
      <c r="H97" s="536">
        <f>G97+'19'!H97</f>
        <v>593</v>
      </c>
      <c r="I97" s="556"/>
      <c r="J97" s="629">
        <f>H97/DAY(B2)</f>
        <v>29.65</v>
      </c>
      <c r="K97" s="471"/>
      <c r="L97" s="408"/>
      <c r="N97" s="413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f>'19'!F98</f>
        <v>146838</v>
      </c>
      <c r="F98" s="560">
        <v>146906</v>
      </c>
      <c r="G98" s="549">
        <f t="shared" si="9"/>
        <v>68</v>
      </c>
      <c r="H98" s="536">
        <f>G98+'19'!H98</f>
        <v>1352</v>
      </c>
      <c r="I98" s="556"/>
      <c r="J98" s="629">
        <f>H98/DAY(B2)</f>
        <v>67.599999999999994</v>
      </c>
      <c r="K98" s="411"/>
      <c r="L98" s="408"/>
      <c r="N98" s="413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f>'19'!F99</f>
        <v>6243</v>
      </c>
      <c r="F99" s="560">
        <v>6264</v>
      </c>
      <c r="G99" s="549">
        <f t="shared" si="9"/>
        <v>21</v>
      </c>
      <c r="H99" s="536">
        <f>G99+'19'!H99</f>
        <v>290</v>
      </c>
      <c r="I99" s="556"/>
      <c r="J99" s="629">
        <f>H99/DAY(B2)</f>
        <v>14.5</v>
      </c>
      <c r="K99" s="411"/>
      <c r="L99" s="408"/>
      <c r="N99" s="413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f>'19'!F100</f>
        <v>4412</v>
      </c>
      <c r="F100" s="560">
        <v>4420</v>
      </c>
      <c r="G100" s="549">
        <f t="shared" si="9"/>
        <v>8</v>
      </c>
      <c r="H100" s="536">
        <f>G100+'19'!H100</f>
        <v>183</v>
      </c>
      <c r="I100" s="556"/>
      <c r="J100" s="629">
        <f>H100/DAY(B2)</f>
        <v>9.15</v>
      </c>
      <c r="K100" s="411"/>
      <c r="L100" s="408"/>
      <c r="N100" s="413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237</v>
      </c>
      <c r="H101" s="536">
        <f>G101+'19'!H101</f>
        <v>4627</v>
      </c>
      <c r="I101" s="602"/>
      <c r="J101" s="629">
        <f>H101/DAY(B2)</f>
        <v>231.35</v>
      </c>
      <c r="K101" s="411"/>
      <c r="L101" s="408"/>
      <c r="N101" s="413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395" t="s">
        <v>230</v>
      </c>
      <c r="B104" s="1396"/>
      <c r="C104" s="1229"/>
      <c r="D104" s="699" t="s">
        <v>155</v>
      </c>
      <c r="E104" s="608">
        <f>'19'!F104</f>
        <v>7097</v>
      </c>
      <c r="F104" s="608">
        <v>7097</v>
      </c>
      <c r="G104" s="608">
        <f>F104-E104</f>
        <v>0</v>
      </c>
      <c r="H104" s="536">
        <f>G104+'19'!H104</f>
        <v>74</v>
      </c>
      <c r="I104" s="608"/>
      <c r="J104" s="635">
        <f>H104/DAY(B2)</f>
        <v>3.7</v>
      </c>
      <c r="N104" s="493"/>
      <c r="O104" s="413"/>
    </row>
    <row r="105" spans="1:15" s="481" customFormat="1" ht="27.75" x14ac:dyDescent="0.5">
      <c r="A105" s="1395" t="s">
        <v>77</v>
      </c>
      <c r="B105" s="1396"/>
      <c r="C105" s="1229"/>
      <c r="D105" s="699" t="s">
        <v>155</v>
      </c>
      <c r="E105" s="610">
        <f>'19'!F105</f>
        <v>35321</v>
      </c>
      <c r="F105" s="610">
        <v>35334</v>
      </c>
      <c r="G105" s="608">
        <f t="shared" ref="G105:G106" si="10">F105-E105</f>
        <v>13</v>
      </c>
      <c r="H105" s="536">
        <f>G105+'19'!H105</f>
        <v>76</v>
      </c>
      <c r="I105" s="608"/>
      <c r="J105" s="635">
        <f>H105/DAY(B2)</f>
        <v>3.8</v>
      </c>
      <c r="N105" s="493"/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'19'!F106</f>
        <v>19195</v>
      </c>
      <c r="F106" s="608">
        <v>19203</v>
      </c>
      <c r="G106" s="608">
        <f t="shared" si="10"/>
        <v>8</v>
      </c>
      <c r="H106" s="536">
        <f>G106+'19'!H106</f>
        <v>358</v>
      </c>
      <c r="I106" s="608"/>
      <c r="J106" s="635">
        <f>H106/DAY(B2)</f>
        <v>17.899999999999999</v>
      </c>
      <c r="N106" s="493"/>
      <c r="O106" s="413"/>
    </row>
    <row r="107" spans="1:15" s="481" customFormat="1" ht="27.75" x14ac:dyDescent="0.5">
      <c r="A107" s="1398" t="s">
        <v>213</v>
      </c>
      <c r="B107" s="1399"/>
      <c r="C107" s="1229"/>
      <c r="D107" s="699"/>
      <c r="E107" s="608">
        <f>'19'!F107</f>
        <v>0</v>
      </c>
      <c r="F107" s="608"/>
      <c r="G107" s="608">
        <f>SUM(G104:G106)</f>
        <v>21</v>
      </c>
      <c r="H107" s="536">
        <f>G107+'19'!H107</f>
        <v>257</v>
      </c>
      <c r="I107" s="608"/>
      <c r="J107" s="635">
        <f>H107/DAY(B2)</f>
        <v>12.85</v>
      </c>
      <c r="N107" s="493"/>
      <c r="O107" s="413"/>
    </row>
    <row r="108" spans="1:15" s="481" customFormat="1" ht="27.75" x14ac:dyDescent="0.5">
      <c r="A108" s="1400" t="s">
        <v>79</v>
      </c>
      <c r="B108" s="1401"/>
      <c r="C108" s="1229"/>
      <c r="D108" s="699" t="s">
        <v>155</v>
      </c>
      <c r="E108" s="608">
        <f>'19'!F108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 x14ac:dyDescent="0.5">
      <c r="A109" s="1395" t="s">
        <v>231</v>
      </c>
      <c r="B109" s="1396"/>
      <c r="C109" s="1229"/>
      <c r="D109" s="699" t="s">
        <v>155</v>
      </c>
      <c r="E109" s="608">
        <f>'19'!F109</f>
        <v>55788</v>
      </c>
      <c r="F109" s="608">
        <v>55847</v>
      </c>
      <c r="G109" s="608">
        <f>F109-E109</f>
        <v>59</v>
      </c>
      <c r="H109" s="536">
        <f>G109+'19'!H109</f>
        <v>235</v>
      </c>
      <c r="I109" s="608"/>
      <c r="J109" s="635">
        <f>H109/DAY(B2)</f>
        <v>11.75</v>
      </c>
      <c r="N109" s="493"/>
      <c r="O109" s="413"/>
    </row>
    <row r="110" spans="1:15" s="481" customFormat="1" ht="27.75" x14ac:dyDescent="0.5">
      <c r="A110" s="1395" t="s">
        <v>232</v>
      </c>
      <c r="B110" s="1396"/>
      <c r="C110" s="1229"/>
      <c r="D110" s="699" t="s">
        <v>155</v>
      </c>
      <c r="E110" s="608">
        <f>'19'!F110</f>
        <v>29737</v>
      </c>
      <c r="F110" s="608">
        <v>29812</v>
      </c>
      <c r="G110" s="608">
        <f t="shared" ref="G110:G111" si="11">F110-E110</f>
        <v>75</v>
      </c>
      <c r="H110" s="536">
        <f>G110+'19'!H110</f>
        <v>243</v>
      </c>
      <c r="I110" s="608"/>
      <c r="J110" s="635">
        <f>H110/DAY(B2)</f>
        <v>12.15</v>
      </c>
      <c r="N110" s="493"/>
      <c r="O110" s="413"/>
    </row>
    <row r="111" spans="1:15" s="481" customFormat="1" ht="27.75" x14ac:dyDescent="0.5">
      <c r="A111" s="1395" t="s">
        <v>233</v>
      </c>
      <c r="B111" s="1396"/>
      <c r="C111" s="1229"/>
      <c r="D111" s="699" t="s">
        <v>155</v>
      </c>
      <c r="E111" s="608">
        <f>'19'!F111</f>
        <v>3912</v>
      </c>
      <c r="F111" s="608">
        <v>3932</v>
      </c>
      <c r="G111" s="608">
        <f t="shared" si="11"/>
        <v>20</v>
      </c>
      <c r="H111" s="536">
        <f>G111+'19'!H111</f>
        <v>460</v>
      </c>
      <c r="I111" s="608"/>
      <c r="J111" s="635">
        <f>H111/DAY(B2)</f>
        <v>23</v>
      </c>
      <c r="N111" s="493"/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>
        <f>'19'!F112</f>
        <v>0</v>
      </c>
      <c r="F112" s="608"/>
      <c r="G112" s="608">
        <f>SUM(G109:G111)</f>
        <v>154</v>
      </c>
      <c r="H112" s="536">
        <f>G112+'19'!H112</f>
        <v>905</v>
      </c>
      <c r="I112" s="608"/>
      <c r="J112" s="635">
        <f>H112/DAY(B2)</f>
        <v>45.25</v>
      </c>
      <c r="N112" s="493"/>
      <c r="O112" s="413"/>
    </row>
    <row r="113" spans="1:15" s="481" customFormat="1" ht="27.75" x14ac:dyDescent="0.5">
      <c r="A113" s="1400" t="s">
        <v>234</v>
      </c>
      <c r="B113" s="1401"/>
      <c r="C113" s="1229"/>
      <c r="D113" s="699"/>
      <c r="E113" s="608">
        <f>'19'!F113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395" t="s">
        <v>235</v>
      </c>
      <c r="B114" s="1396"/>
      <c r="C114" s="651"/>
      <c r="D114" s="699" t="s">
        <v>155</v>
      </c>
      <c r="E114" s="610">
        <f>'19'!F114</f>
        <v>10125</v>
      </c>
      <c r="F114" s="610">
        <v>10151</v>
      </c>
      <c r="G114" s="610">
        <f>F114-E114</f>
        <v>26</v>
      </c>
      <c r="H114" s="536">
        <f>G114+'19'!H114</f>
        <v>77</v>
      </c>
      <c r="I114" s="608"/>
      <c r="J114" s="635">
        <f>H114/DAY(B2)</f>
        <v>3.85</v>
      </c>
      <c r="N114" s="493"/>
      <c r="O114" s="413"/>
    </row>
    <row r="115" spans="1:15" s="481" customFormat="1" ht="27.75" x14ac:dyDescent="0.5">
      <c r="A115" s="1395" t="s">
        <v>236</v>
      </c>
      <c r="B115" s="1396"/>
      <c r="C115" s="651"/>
      <c r="D115" s="699" t="s">
        <v>155</v>
      </c>
      <c r="E115" s="610">
        <f>'19'!F115</f>
        <v>7568</v>
      </c>
      <c r="F115" s="610">
        <v>7576</v>
      </c>
      <c r="G115" s="610">
        <f t="shared" ref="G115:G116" si="12">F115-E115</f>
        <v>8</v>
      </c>
      <c r="H115" s="536">
        <f>G115+'19'!H115</f>
        <v>102</v>
      </c>
      <c r="I115" s="608"/>
      <c r="J115" s="635">
        <f>H115/DAY(B2)</f>
        <v>5.0999999999999996</v>
      </c>
      <c r="N115" s="493"/>
      <c r="O115" s="413"/>
    </row>
    <row r="116" spans="1:15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G116+'19'!H116</f>
        <v>200</v>
      </c>
      <c r="I116" s="608"/>
      <c r="J116" s="635">
        <f>H116/DAY(B2)</f>
        <v>10</v>
      </c>
      <c r="N116" s="493"/>
      <c r="O116" s="413"/>
    </row>
    <row r="117" spans="1:15" s="494" customFormat="1" ht="27.75" x14ac:dyDescent="0.5">
      <c r="A117" s="1398" t="s">
        <v>213</v>
      </c>
      <c r="B117" s="1399"/>
      <c r="C117" s="651"/>
      <c r="D117" s="700"/>
      <c r="E117" s="610"/>
      <c r="F117" s="610"/>
      <c r="G117" s="610">
        <f>SUM(G114:G116)</f>
        <v>34</v>
      </c>
      <c r="H117" s="536">
        <f>G117+'19'!H117</f>
        <v>164</v>
      </c>
      <c r="I117" s="610"/>
      <c r="J117" s="635">
        <f>H117/DAY(B2)</f>
        <v>8.1999999999999993</v>
      </c>
      <c r="N117" s="522"/>
      <c r="O117" s="413"/>
    </row>
    <row r="118" spans="1:15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158</v>
      </c>
      <c r="G118" s="612">
        <f>SUM(G19+G92)</f>
        <v>158</v>
      </c>
      <c r="H118" s="536">
        <f>G118+'19'!H118</f>
        <v>454</v>
      </c>
      <c r="I118" s="611"/>
      <c r="J118" s="636">
        <f>H118/DAY(B2)</f>
        <v>22.7</v>
      </c>
      <c r="N118" s="861"/>
      <c r="O118" s="413"/>
    </row>
    <row r="119" spans="1:15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169</v>
      </c>
      <c r="G119" s="612">
        <f>SUM(G95,G96,G97,G99,G100)</f>
        <v>169</v>
      </c>
      <c r="H119" s="536">
        <f>G119+'19'!H119</f>
        <v>527</v>
      </c>
      <c r="I119" s="611"/>
      <c r="J119" s="636">
        <f>H119/DAY(B2)</f>
        <v>26.35</v>
      </c>
      <c r="N119" s="861"/>
      <c r="O119" s="413"/>
    </row>
    <row r="120" spans="1:15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154</v>
      </c>
      <c r="G120" s="610">
        <f>SUM(G112)</f>
        <v>154</v>
      </c>
      <c r="H120" s="536">
        <f>G120+'19'!H120</f>
        <v>390</v>
      </c>
      <c r="I120" s="611"/>
      <c r="J120" s="636">
        <f>H120/DAY(B2)</f>
        <v>19.5</v>
      </c>
      <c r="N120" s="861"/>
      <c r="O120" s="413"/>
    </row>
    <row r="121" spans="1:15" s="481" customFormat="1" ht="27.75" x14ac:dyDescent="0.5">
      <c r="A121" s="1431"/>
      <c r="B121" s="1432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54">
        <f>'19'!F123</f>
        <v>808618</v>
      </c>
      <c r="F123" s="554">
        <v>808918</v>
      </c>
      <c r="G123" s="549">
        <f t="shared" ref="G123:G127" si="13">F123-E123</f>
        <v>300</v>
      </c>
      <c r="H123" s="536">
        <f>G123+'19'!H123</f>
        <v>5582.5999999999767</v>
      </c>
      <c r="I123" s="602"/>
      <c r="J123" s="629">
        <f>H123/DAY(B2)</f>
        <v>279.12999999999886</v>
      </c>
      <c r="K123" s="411"/>
      <c r="L123" s="408"/>
      <c r="N123" s="413"/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703">
        <f>'19'!F124</f>
        <v>73583</v>
      </c>
      <c r="F124" s="703">
        <v>73583</v>
      </c>
      <c r="G124" s="549">
        <f t="shared" si="13"/>
        <v>0</v>
      </c>
      <c r="H124" s="536">
        <f>G124+'19'!H124</f>
        <v>1</v>
      </c>
      <c r="I124" s="602"/>
      <c r="J124" s="629">
        <f>H124/DAY(B2)</f>
        <v>0.05</v>
      </c>
      <c r="K124" s="411"/>
      <c r="L124" s="408"/>
      <c r="N124" s="413"/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54">
        <f>'19'!F125</f>
        <v>139316</v>
      </c>
      <c r="F125" s="554">
        <v>139402</v>
      </c>
      <c r="G125" s="549">
        <f t="shared" si="13"/>
        <v>86</v>
      </c>
      <c r="H125" s="536">
        <f>G125+'19'!H125</f>
        <v>1554</v>
      </c>
      <c r="I125" s="602"/>
      <c r="J125" s="629">
        <f>H125/DAY(B2)</f>
        <v>77.7</v>
      </c>
      <c r="K125" s="411"/>
      <c r="L125" s="408"/>
      <c r="N125" s="413"/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703">
        <f>'19'!F126</f>
        <v>59079</v>
      </c>
      <c r="F126" s="703">
        <v>59109</v>
      </c>
      <c r="G126" s="549">
        <f t="shared" si="13"/>
        <v>30</v>
      </c>
      <c r="H126" s="536">
        <f>G126+'19'!H126</f>
        <v>717.30000000000291</v>
      </c>
      <c r="I126" s="602"/>
      <c r="J126" s="629">
        <f>H126/DAY(B2)</f>
        <v>35.865000000000144</v>
      </c>
      <c r="K126" s="411"/>
      <c r="L126" s="408"/>
      <c r="N126" s="413"/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703">
        <f>'19'!F127</f>
        <v>8871</v>
      </c>
      <c r="F127" s="703">
        <v>8874</v>
      </c>
      <c r="G127" s="549">
        <f t="shared" si="13"/>
        <v>3</v>
      </c>
      <c r="H127" s="536">
        <f>G127+'19'!H127</f>
        <v>58</v>
      </c>
      <c r="I127" s="556"/>
      <c r="J127" s="629">
        <f>H127/DAY(B2)</f>
        <v>2.9</v>
      </c>
      <c r="K127" s="411"/>
      <c r="L127" s="408"/>
      <c r="N127" s="413"/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667</v>
      </c>
      <c r="H128" s="536">
        <f>G128+'19'!H128</f>
        <v>2874.5099999998529</v>
      </c>
      <c r="I128" s="556"/>
      <c r="J128" s="629">
        <f>H128/DAY(B2)</f>
        <v>143.72549999999265</v>
      </c>
      <c r="K128" s="391"/>
      <c r="L128" s="293"/>
      <c r="N128" s="395"/>
      <c r="O128" s="413"/>
    </row>
    <row r="129" spans="1:1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60">
        <f>'19'!F130</f>
        <v>0</v>
      </c>
      <c r="F130" s="560">
        <v>0</v>
      </c>
      <c r="G130" s="549">
        <f t="shared" ref="G130:G140" si="14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60">
        <f>'19'!F131</f>
        <v>0</v>
      </c>
      <c r="F131" s="560">
        <v>0</v>
      </c>
      <c r="G131" s="549">
        <f t="shared" si="14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618">
        <v>38829.480000000003</v>
      </c>
      <c r="F132" s="618">
        <v>38829.480000000003</v>
      </c>
      <c r="G132" s="549">
        <f t="shared" si="14"/>
        <v>0</v>
      </c>
      <c r="H132" s="536">
        <f>G132+'19'!H132</f>
        <v>111.08999999999651</v>
      </c>
      <c r="I132" s="556"/>
      <c r="J132" s="629">
        <f>H132/DAY(B2)</f>
        <v>5.554499999999825</v>
      </c>
      <c r="N132" s="413"/>
      <c r="O132" s="413"/>
    </row>
    <row r="133" spans="1:15" s="480" customFormat="1" ht="27.75" x14ac:dyDescent="0.5">
      <c r="A133" s="1158" t="s">
        <v>253</v>
      </c>
      <c r="B133" s="1159"/>
      <c r="C133" s="1159"/>
      <c r="D133" s="704" t="s">
        <v>250</v>
      </c>
      <c r="E133" s="618">
        <f>'19'!F133</f>
        <v>299.52</v>
      </c>
      <c r="F133" s="618">
        <v>299.52</v>
      </c>
      <c r="G133" s="733">
        <f t="shared" si="14"/>
        <v>0</v>
      </c>
      <c r="H133" s="787">
        <f>G133+'19'!H133</f>
        <v>0.51999999999998181</v>
      </c>
      <c r="I133" s="1160">
        <f>G130+G131+G132+G133</f>
        <v>0</v>
      </c>
      <c r="J133" s="789">
        <f>H133/DAY(B2)</f>
        <v>2.599999999999909E-2</v>
      </c>
      <c r="N133" s="795"/>
      <c r="O133" s="795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618">
        <f>'19'!F134</f>
        <v>40260.519999999997</v>
      </c>
      <c r="F134" s="618">
        <v>40260.519999999997</v>
      </c>
      <c r="G134" s="549">
        <f t="shared" si="14"/>
        <v>0</v>
      </c>
      <c r="H134" s="536">
        <f>G134+'19'!H134</f>
        <v>309.5199999999968</v>
      </c>
      <c r="I134" s="556"/>
      <c r="J134" s="629">
        <f>H134/DAY(B2)</f>
        <v>15.475999999999839</v>
      </c>
      <c r="N134" s="413"/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618">
        <f>'19'!F135</f>
        <v>32458</v>
      </c>
      <c r="F135" s="618">
        <v>32482</v>
      </c>
      <c r="G135" s="549">
        <f t="shared" si="14"/>
        <v>24</v>
      </c>
      <c r="H135" s="536">
        <f>G135+'19'!H135</f>
        <v>59</v>
      </c>
      <c r="I135" s="556"/>
      <c r="J135" s="629">
        <f>H135/DAY(B2)</f>
        <v>2.95</v>
      </c>
      <c r="N135" s="413"/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618">
        <f>'19'!F136</f>
        <v>22143.66</v>
      </c>
      <c r="F136" s="618">
        <v>22154.54</v>
      </c>
      <c r="G136" s="549">
        <f t="shared" si="14"/>
        <v>10.880000000001019</v>
      </c>
      <c r="H136" s="536">
        <f>G136+'19'!H136</f>
        <v>152.58000000000175</v>
      </c>
      <c r="I136" s="556">
        <f>G134+G135+G136</f>
        <v>34.880000000001019</v>
      </c>
      <c r="J136" s="629">
        <f>H136/DAY(B2)</f>
        <v>7.6290000000000875</v>
      </c>
      <c r="N136" s="413"/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618">
        <f>'19'!F137</f>
        <v>25036.560000000001</v>
      </c>
      <c r="F137" s="618">
        <v>25036.560000000001</v>
      </c>
      <c r="G137" s="549">
        <f t="shared" si="14"/>
        <v>0</v>
      </c>
      <c r="H137" s="536">
        <f>G137+'19'!H137</f>
        <v>16.620000000002619</v>
      </c>
      <c r="I137" s="556"/>
      <c r="J137" s="629">
        <f>H137/DAY(B2)</f>
        <v>0.83100000000013097</v>
      </c>
      <c r="N137" s="413"/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618">
        <f>'19'!F138</f>
        <v>70110.710000000006</v>
      </c>
      <c r="F138" s="618">
        <v>70116.58</v>
      </c>
      <c r="G138" s="549">
        <f t="shared" si="14"/>
        <v>5.8699999999953434</v>
      </c>
      <c r="H138" s="536">
        <f>G138+'19'!H138</f>
        <v>52.690000000002328</v>
      </c>
      <c r="I138" s="556">
        <f>G137+G138</f>
        <v>5.8699999999953434</v>
      </c>
      <c r="J138" s="629">
        <f>H138/DAY(B2)</f>
        <v>2.6345000000001164</v>
      </c>
      <c r="N138" s="413"/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60">
        <f>'19'!F139</f>
        <v>1354.21</v>
      </c>
      <c r="F139" s="560">
        <v>1362.83</v>
      </c>
      <c r="G139" s="549">
        <f t="shared" si="14"/>
        <v>8.6199999999998909</v>
      </c>
      <c r="H139" s="536">
        <f>G139+'19'!H139</f>
        <v>162.24</v>
      </c>
      <c r="I139" s="619"/>
      <c r="J139" s="629">
        <f>H139/DAY(B2)</f>
        <v>8.1120000000000001</v>
      </c>
      <c r="N139" s="413"/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60">
        <f>'19'!F140</f>
        <v>4333.53</v>
      </c>
      <c r="F140" s="560">
        <v>4333.53</v>
      </c>
      <c r="G140" s="549">
        <f t="shared" si="14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5156</v>
      </c>
      <c r="H142" s="536">
        <f>G142+'19'!H142</f>
        <v>99454.93</v>
      </c>
      <c r="I142" s="556"/>
      <c r="J142" s="629">
        <f>H142/DAY(B2)</f>
        <v>4972.7464999999993</v>
      </c>
      <c r="K142" s="411"/>
      <c r="L142" s="408"/>
      <c r="N142" s="413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0.26041719278751452</v>
      </c>
      <c r="H143" s="536">
        <f>G143+'19'!H143</f>
        <v>4.9388959680744176</v>
      </c>
      <c r="I143" s="621"/>
      <c r="J143" s="629">
        <f>H143/DAY(B2)</f>
        <v>0.24694479840372088</v>
      </c>
      <c r="K143" s="411"/>
      <c r="L143" s="408"/>
      <c r="N143" s="413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4051</v>
      </c>
      <c r="H144" s="536">
        <f>G144+'19'!H144</f>
        <v>85177.989999999962</v>
      </c>
      <c r="I144" s="556"/>
      <c r="J144" s="629">
        <f>H144/DAY(B2)</f>
        <v>4258.8994999999977</v>
      </c>
      <c r="K144" s="411"/>
      <c r="L144" s="408"/>
      <c r="N144" s="413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0.2046062932471337</v>
      </c>
      <c r="H145" s="536">
        <f>G145+'19'!H145</f>
        <v>4.3692720773835978</v>
      </c>
      <c r="I145" s="621"/>
      <c r="J145" s="629">
        <f>H145/DAY(B2)</f>
        <v>0.2184636038691799</v>
      </c>
      <c r="K145" s="411"/>
      <c r="L145" s="408"/>
      <c r="N145" s="413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4389</v>
      </c>
      <c r="H146" s="536">
        <f>G146+'19'!H146</f>
        <v>84822.729999999967</v>
      </c>
      <c r="I146" s="622"/>
      <c r="J146" s="629">
        <f>H146/DAY(B2)</f>
        <v>4241.1364999999987</v>
      </c>
      <c r="K146" s="411"/>
      <c r="L146" s="408"/>
      <c r="N146" s="413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0.22167786251830901</v>
      </c>
      <c r="H147" s="536">
        <f>G147+'19'!H147</f>
        <v>4.3798183304349774</v>
      </c>
      <c r="I147" s="622"/>
      <c r="J147" s="629">
        <f>H147/DAY(B2)</f>
        <v>0.21899091652174887</v>
      </c>
      <c r="N147" s="413"/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1965</v>
      </c>
      <c r="H148" s="536">
        <f>G148+'19'!H148</f>
        <v>41147.450000000012</v>
      </c>
      <c r="I148" s="556"/>
      <c r="J148" s="629">
        <f>H148/DAY(B2)</f>
        <v>2057.3725000000004</v>
      </c>
      <c r="K148" s="412"/>
      <c r="N148" s="413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9.9247436739229256E-2</v>
      </c>
      <c r="H149" s="536">
        <f>G149+'19'!H149</f>
        <v>2.1201362465963514</v>
      </c>
      <c r="I149" s="622"/>
      <c r="J149" s="629">
        <f>H149/DAY(B2)</f>
        <v>0.10600681232981757</v>
      </c>
      <c r="N149" s="413"/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1781</v>
      </c>
      <c r="H150" s="536">
        <f>G150+'19'!H150</f>
        <v>38044.239999999991</v>
      </c>
      <c r="I150" s="622"/>
      <c r="J150" s="629">
        <f>H150/DAY(B2)</f>
        <v>1902.2119999999995</v>
      </c>
      <c r="N150" s="413"/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8.9954038082731447E-2</v>
      </c>
      <c r="H151" s="536">
        <f>G151+'19'!H151</f>
        <v>1.9508874019221645</v>
      </c>
      <c r="I151" s="556"/>
      <c r="J151" s="629">
        <f>H151/DAY(B2)</f>
        <v>9.7544370096108224E-2</v>
      </c>
      <c r="N151" s="413"/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1511</v>
      </c>
      <c r="H152" s="536">
        <f>G152+'19'!H152</f>
        <v>30167.259999999995</v>
      </c>
      <c r="I152" s="556"/>
      <c r="J152" s="629">
        <f>H152/DAY(B2)</f>
        <v>1508.3629999999998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7.6316985706348803E-2</v>
      </c>
      <c r="H153" s="536">
        <f>G153+'19'!H153</f>
        <v>1.5625422405673937</v>
      </c>
      <c r="I153" s="645"/>
      <c r="J153" s="646">
        <f>H153/DAY(B2)</f>
        <v>7.812711202836968E-2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274</v>
      </c>
      <c r="B160" s="869"/>
      <c r="C160" s="869"/>
      <c r="D160" s="587" t="s">
        <v>198</v>
      </c>
      <c r="E160" s="739">
        <f>'19'!F160</f>
        <v>30030</v>
      </c>
      <c r="F160" s="739">
        <v>30114</v>
      </c>
      <c r="G160" s="549">
        <f t="shared" ref="G160:G163" si="15">F160-E160</f>
        <v>84</v>
      </c>
      <c r="K160" s="407">
        <v>70.399999999999636</v>
      </c>
      <c r="L160" s="407">
        <f t="shared" ref="L160:L171" si="16">G160-K160</f>
        <v>13.600000000000364</v>
      </c>
    </row>
    <row r="161" spans="1:12" ht="24.75" customHeight="1" x14ac:dyDescent="0.5">
      <c r="A161" s="868" t="s">
        <v>275</v>
      </c>
      <c r="B161" s="869"/>
      <c r="C161" s="869"/>
      <c r="D161" s="587" t="s">
        <v>198</v>
      </c>
      <c r="E161" s="739">
        <f>'19'!F161</f>
        <v>51059</v>
      </c>
      <c r="F161" s="739">
        <v>51517</v>
      </c>
      <c r="G161" s="549">
        <f t="shared" si="15"/>
        <v>458</v>
      </c>
      <c r="K161" s="407">
        <v>124.25999999999999</v>
      </c>
      <c r="L161" s="407">
        <f t="shared" si="16"/>
        <v>333.74</v>
      </c>
    </row>
    <row r="162" spans="1:12" ht="24.75" customHeight="1" x14ac:dyDescent="0.5">
      <c r="A162" s="868" t="s">
        <v>276</v>
      </c>
      <c r="B162" s="869"/>
      <c r="C162" s="869"/>
      <c r="D162" s="587" t="s">
        <v>198</v>
      </c>
      <c r="E162" s="739">
        <f>'19'!F162</f>
        <v>18054</v>
      </c>
      <c r="F162" s="739">
        <v>18292</v>
      </c>
      <c r="G162" s="549">
        <f t="shared" si="15"/>
        <v>238</v>
      </c>
      <c r="K162" s="407">
        <v>138.98000000000002</v>
      </c>
      <c r="L162" s="407">
        <f t="shared" si="16"/>
        <v>99.019999999999982</v>
      </c>
    </row>
    <row r="163" spans="1:12" ht="24.75" customHeight="1" x14ac:dyDescent="0.5">
      <c r="A163" s="868" t="s">
        <v>277</v>
      </c>
      <c r="B163" s="869"/>
      <c r="C163" s="869"/>
      <c r="D163" s="587" t="s">
        <v>198</v>
      </c>
      <c r="E163" s="739">
        <f>'19'!F163</f>
        <v>5258</v>
      </c>
      <c r="F163" s="739">
        <v>5278</v>
      </c>
      <c r="G163" s="549">
        <f t="shared" si="15"/>
        <v>20</v>
      </c>
      <c r="K163" s="407">
        <v>45.830000000000041</v>
      </c>
      <c r="L163" s="407">
        <f t="shared" si="16"/>
        <v>-25.830000000000041</v>
      </c>
    </row>
    <row r="164" spans="1:12" ht="24.75" customHeight="1" x14ac:dyDescent="0.4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7">F164-E164</f>
        <v>0</v>
      </c>
      <c r="K164" s="407">
        <v>-0.18000000000029104</v>
      </c>
      <c r="L164" s="407">
        <f t="shared" si="16"/>
        <v>0.18000000000029104</v>
      </c>
    </row>
    <row r="165" spans="1:12" ht="24.75" customHeight="1" x14ac:dyDescent="0.4">
      <c r="A165" s="870" t="s">
        <v>199</v>
      </c>
      <c r="B165" s="681"/>
      <c r="C165" s="681"/>
      <c r="D165" s="587" t="s">
        <v>198</v>
      </c>
      <c r="E165" s="590">
        <f t="shared" ref="E165:E171" si="18">E63</f>
        <v>1585</v>
      </c>
      <c r="F165" s="590">
        <f t="shared" ref="F165:F171" si="19">F63</f>
        <v>1597</v>
      </c>
      <c r="G165" s="549">
        <f t="shared" si="17"/>
        <v>12</v>
      </c>
      <c r="K165" s="407">
        <v>0</v>
      </c>
      <c r="L165" s="407">
        <f t="shared" si="16"/>
        <v>12</v>
      </c>
    </row>
    <row r="166" spans="1:12" ht="24.75" customHeight="1" x14ac:dyDescent="0.5">
      <c r="A166" s="1439" t="s">
        <v>107</v>
      </c>
      <c r="B166" s="1439"/>
      <c r="C166" s="1439"/>
      <c r="D166" s="599" t="s">
        <v>198</v>
      </c>
      <c r="E166" s="590">
        <f t="shared" si="18"/>
        <v>119240</v>
      </c>
      <c r="F166" s="590">
        <f t="shared" si="19"/>
        <v>119640</v>
      </c>
      <c r="G166" s="549">
        <f t="shared" si="17"/>
        <v>400</v>
      </c>
      <c r="K166" s="407">
        <v>193.55000000000291</v>
      </c>
      <c r="L166" s="407">
        <f t="shared" si="16"/>
        <v>206.44999999999709</v>
      </c>
    </row>
    <row r="167" spans="1:12" ht="24.75" customHeight="1" x14ac:dyDescent="0.5">
      <c r="A167" s="1439" t="s">
        <v>108</v>
      </c>
      <c r="B167" s="1439"/>
      <c r="C167" s="1439"/>
      <c r="D167" s="599" t="s">
        <v>198</v>
      </c>
      <c r="E167" s="590">
        <f t="shared" si="18"/>
        <v>129048</v>
      </c>
      <c r="F167" s="590">
        <f t="shared" si="19"/>
        <v>129452</v>
      </c>
      <c r="G167" s="549">
        <f t="shared" si="17"/>
        <v>404</v>
      </c>
      <c r="K167" s="407">
        <v>168.39999999999418</v>
      </c>
      <c r="L167" s="407">
        <f t="shared" si="16"/>
        <v>235.60000000000582</v>
      </c>
    </row>
    <row r="168" spans="1:12" ht="24.75" customHeight="1" x14ac:dyDescent="0.5">
      <c r="A168" s="1439" t="s">
        <v>109</v>
      </c>
      <c r="B168" s="1439"/>
      <c r="C168" s="1439"/>
      <c r="D168" s="599" t="s">
        <v>198</v>
      </c>
      <c r="E168" s="590">
        <f t="shared" si="18"/>
        <v>21657</v>
      </c>
      <c r="F168" s="590">
        <f t="shared" si="19"/>
        <v>22068</v>
      </c>
      <c r="G168" s="549">
        <f t="shared" si="17"/>
        <v>411</v>
      </c>
      <c r="K168" s="407">
        <v>221.18999999999505</v>
      </c>
      <c r="L168" s="407">
        <f t="shared" si="16"/>
        <v>189.81000000000495</v>
      </c>
    </row>
    <row r="169" spans="1:12" ht="24.75" customHeight="1" x14ac:dyDescent="0.5">
      <c r="A169" s="1439" t="s">
        <v>110</v>
      </c>
      <c r="B169" s="1439"/>
      <c r="C169" s="1439"/>
      <c r="D169" s="599" t="s">
        <v>198</v>
      </c>
      <c r="E169" s="590">
        <f t="shared" si="18"/>
        <v>201900</v>
      </c>
      <c r="F169" s="590">
        <f t="shared" si="19"/>
        <v>202595</v>
      </c>
      <c r="G169" s="549">
        <f t="shared" si="17"/>
        <v>695</v>
      </c>
      <c r="K169" s="407">
        <v>337.19000000000233</v>
      </c>
      <c r="L169" s="407">
        <f t="shared" si="16"/>
        <v>357.80999999999767</v>
      </c>
    </row>
    <row r="170" spans="1:12" ht="24.75" customHeight="1" x14ac:dyDescent="0.5">
      <c r="A170" s="1439" t="s">
        <v>111</v>
      </c>
      <c r="B170" s="1439"/>
      <c r="C170" s="1439"/>
      <c r="D170" s="599" t="s">
        <v>198</v>
      </c>
      <c r="E170" s="590">
        <f t="shared" si="18"/>
        <v>69825</v>
      </c>
      <c r="F170" s="590">
        <f t="shared" si="19"/>
        <v>71175</v>
      </c>
      <c r="G170" s="549">
        <f t="shared" si="17"/>
        <v>1350</v>
      </c>
      <c r="K170" s="407">
        <v>115.09000000000015</v>
      </c>
      <c r="L170" s="407">
        <f t="shared" si="16"/>
        <v>1234.9099999999999</v>
      </c>
    </row>
    <row r="171" spans="1:12" ht="24.75" customHeight="1" x14ac:dyDescent="0.5">
      <c r="A171" s="1439" t="s">
        <v>112</v>
      </c>
      <c r="B171" s="1439"/>
      <c r="C171" s="1439"/>
      <c r="D171" s="599" t="s">
        <v>198</v>
      </c>
      <c r="E171" s="590">
        <f t="shared" si="18"/>
        <v>61500</v>
      </c>
      <c r="F171" s="590">
        <f t="shared" si="19"/>
        <v>61818</v>
      </c>
      <c r="G171" s="549">
        <f t="shared" si="17"/>
        <v>318</v>
      </c>
      <c r="K171" s="407">
        <v>11.799999999999272</v>
      </c>
      <c r="L171" s="407">
        <f t="shared" si="16"/>
        <v>306.20000000000073</v>
      </c>
    </row>
    <row r="172" spans="1:12" ht="24.75" customHeight="1" x14ac:dyDescent="0.5">
      <c r="G172" s="614">
        <f>SUM(G160:G171)</f>
        <v>4390</v>
      </c>
      <c r="L172" s="407">
        <f>SUM(L160:L171)</f>
        <v>2963.4900000000066</v>
      </c>
    </row>
    <row r="173" spans="1:12" ht="24.75" customHeight="1" x14ac:dyDescent="0.5"/>
    <row r="174" spans="1:12" ht="24.75" customHeight="1" x14ac:dyDescent="0.5"/>
    <row r="175" spans="1:12" ht="24.75" customHeight="1" x14ac:dyDescent="0.5"/>
    <row r="176" spans="1:12" ht="24.75" customHeight="1" x14ac:dyDescent="0.5"/>
    <row r="301" spans="6:6" x14ac:dyDescent="0.5">
      <c r="F301" s="614" t="s">
        <v>280</v>
      </c>
    </row>
    <row r="302" spans="6:6" x14ac:dyDescent="0.5">
      <c r="F302" s="614">
        <v>0</v>
      </c>
    </row>
    <row r="303" spans="6:6" x14ac:dyDescent="0.5">
      <c r="F303" s="614">
        <v>0</v>
      </c>
    </row>
    <row r="304" spans="6:6" x14ac:dyDescent="0.5">
      <c r="F304" s="614">
        <v>0</v>
      </c>
    </row>
    <row r="305" spans="6:6" x14ac:dyDescent="0.5">
      <c r="F305" s="614">
        <v>0</v>
      </c>
    </row>
    <row r="306" spans="6:6" x14ac:dyDescent="0.5">
      <c r="F306" s="614">
        <v>0</v>
      </c>
    </row>
    <row r="307" spans="6:6" x14ac:dyDescent="0.5">
      <c r="F307" s="614">
        <v>0</v>
      </c>
    </row>
    <row r="308" spans="6:6" x14ac:dyDescent="0.5">
      <c r="F308" s="614">
        <v>0</v>
      </c>
    </row>
    <row r="309" spans="6:6" x14ac:dyDescent="0.5">
      <c r="F309" s="614">
        <v>0</v>
      </c>
    </row>
    <row r="310" spans="6:6" x14ac:dyDescent="0.5">
      <c r="F310" s="614">
        <v>0</v>
      </c>
    </row>
    <row r="311" spans="6:6" x14ac:dyDescent="0.5">
      <c r="F311" s="614">
        <v>0</v>
      </c>
    </row>
    <row r="312" spans="6:6" x14ac:dyDescent="0.5">
      <c r="F312" s="614">
        <v>0</v>
      </c>
    </row>
    <row r="313" spans="6:6" x14ac:dyDescent="0.5">
      <c r="F313" s="614">
        <v>0</v>
      </c>
    </row>
    <row r="314" spans="6:6" x14ac:dyDescent="0.5">
      <c r="F314" s="614">
        <v>0</v>
      </c>
    </row>
    <row r="315" spans="6:6" x14ac:dyDescent="0.5">
      <c r="F315" s="614">
        <v>0</v>
      </c>
    </row>
    <row r="316" spans="6:6" x14ac:dyDescent="0.5">
      <c r="F316" s="614">
        <v>0</v>
      </c>
    </row>
    <row r="317" spans="6:6" x14ac:dyDescent="0.5">
      <c r="F317" s="614">
        <v>0</v>
      </c>
    </row>
    <row r="318" spans="6:6" x14ac:dyDescent="0.5">
      <c r="F318" s="614">
        <v>0</v>
      </c>
    </row>
    <row r="319" spans="6:6" x14ac:dyDescent="0.5">
      <c r="F319" s="614">
        <v>0</v>
      </c>
    </row>
    <row r="320" spans="6:6" x14ac:dyDescent="0.5">
      <c r="F320" s="614">
        <v>0</v>
      </c>
    </row>
    <row r="321" spans="6:6" x14ac:dyDescent="0.5">
      <c r="F321" s="614">
        <v>0</v>
      </c>
    </row>
    <row r="322" spans="6:6" x14ac:dyDescent="0.5">
      <c r="F322" s="614">
        <v>0</v>
      </c>
    </row>
    <row r="323" spans="6:6" x14ac:dyDescent="0.5">
      <c r="F323" s="614">
        <v>0</v>
      </c>
    </row>
    <row r="324" spans="6:6" x14ac:dyDescent="0.5">
      <c r="F324" s="614">
        <v>0</v>
      </c>
    </row>
    <row r="325" spans="6:6" x14ac:dyDescent="0.5">
      <c r="F325" s="614">
        <v>0</v>
      </c>
    </row>
    <row r="326" spans="6:6" x14ac:dyDescent="0.5">
      <c r="F326" s="614">
        <v>0</v>
      </c>
    </row>
    <row r="327" spans="6:6" x14ac:dyDescent="0.5">
      <c r="F327" s="614">
        <v>0</v>
      </c>
    </row>
    <row r="328" spans="6:6" x14ac:dyDescent="0.5">
      <c r="F328" s="614">
        <v>0</v>
      </c>
    </row>
    <row r="329" spans="6:6" x14ac:dyDescent="0.5">
      <c r="F329" s="614">
        <v>0</v>
      </c>
    </row>
    <row r="330" spans="6:6" x14ac:dyDescent="0.5">
      <c r="F330" s="614">
        <v>0</v>
      </c>
    </row>
    <row r="331" spans="6:6" x14ac:dyDescent="0.5">
      <c r="F331" s="614">
        <v>0</v>
      </c>
    </row>
    <row r="332" spans="6:6" x14ac:dyDescent="0.5">
      <c r="F332" s="614">
        <v>0</v>
      </c>
    </row>
    <row r="333" spans="6:6" x14ac:dyDescent="0.5">
      <c r="F333" s="614">
        <v>0</v>
      </c>
    </row>
    <row r="334" spans="6:6" x14ac:dyDescent="0.5">
      <c r="F334" s="614">
        <v>0</v>
      </c>
    </row>
    <row r="335" spans="6:6" x14ac:dyDescent="0.5">
      <c r="F335" s="614">
        <v>0</v>
      </c>
    </row>
    <row r="336" spans="6:6" x14ac:dyDescent="0.5">
      <c r="F336" s="614">
        <v>0</v>
      </c>
    </row>
    <row r="337" spans="6:6" x14ac:dyDescent="0.5">
      <c r="F337" s="614">
        <v>0</v>
      </c>
    </row>
    <row r="338" spans="6:6" x14ac:dyDescent="0.5">
      <c r="F338" s="614">
        <v>0</v>
      </c>
    </row>
    <row r="339" spans="6:6" x14ac:dyDescent="0.5">
      <c r="F339" s="614">
        <v>0</v>
      </c>
    </row>
    <row r="340" spans="6:6" x14ac:dyDescent="0.5">
      <c r="F340" s="614">
        <v>0</v>
      </c>
    </row>
    <row r="341" spans="6:6" x14ac:dyDescent="0.5">
      <c r="F341" s="614">
        <v>0</v>
      </c>
    </row>
    <row r="342" spans="6:6" x14ac:dyDescent="0.5">
      <c r="F342" s="614">
        <v>0</v>
      </c>
    </row>
    <row r="343" spans="6:6" x14ac:dyDescent="0.5">
      <c r="F343" s="614">
        <v>0</v>
      </c>
    </row>
    <row r="344" spans="6:6" x14ac:dyDescent="0.5">
      <c r="F344" s="614">
        <v>0</v>
      </c>
    </row>
    <row r="345" spans="6:6" x14ac:dyDescent="0.5">
      <c r="F345" s="614">
        <v>0</v>
      </c>
    </row>
    <row r="346" spans="6:6" x14ac:dyDescent="0.5">
      <c r="F346" s="614">
        <v>0</v>
      </c>
    </row>
    <row r="347" spans="6:6" x14ac:dyDescent="0.5">
      <c r="F347" s="614">
        <v>0</v>
      </c>
    </row>
    <row r="348" spans="6:6" x14ac:dyDescent="0.5">
      <c r="F348" s="614">
        <v>0</v>
      </c>
    </row>
    <row r="349" spans="6:6" x14ac:dyDescent="0.5">
      <c r="F349" s="614">
        <v>0</v>
      </c>
    </row>
    <row r="350" spans="6:6" x14ac:dyDescent="0.5">
      <c r="F350" s="614">
        <v>0</v>
      </c>
    </row>
    <row r="351" spans="6:6" x14ac:dyDescent="0.5">
      <c r="F351" s="614">
        <v>0</v>
      </c>
    </row>
    <row r="352" spans="6:6" x14ac:dyDescent="0.5">
      <c r="F352" s="614">
        <v>0</v>
      </c>
    </row>
    <row r="353" spans="6:6" x14ac:dyDescent="0.5">
      <c r="F353" s="614">
        <v>0</v>
      </c>
    </row>
    <row r="354" spans="6:6" x14ac:dyDescent="0.5">
      <c r="F354" s="614">
        <v>0</v>
      </c>
    </row>
    <row r="355" spans="6:6" x14ac:dyDescent="0.5">
      <c r="F355" s="614">
        <v>0</v>
      </c>
    </row>
    <row r="356" spans="6:6" x14ac:dyDescent="0.5">
      <c r="F356" s="614">
        <v>0</v>
      </c>
    </row>
    <row r="357" spans="6:6" x14ac:dyDescent="0.5">
      <c r="F357" s="614">
        <v>0</v>
      </c>
    </row>
    <row r="358" spans="6:6" x14ac:dyDescent="0.5">
      <c r="F358" s="614">
        <v>0</v>
      </c>
    </row>
    <row r="359" spans="6:6" x14ac:dyDescent="0.5">
      <c r="F359" s="614">
        <v>0</v>
      </c>
    </row>
    <row r="360" spans="6:6" x14ac:dyDescent="0.5">
      <c r="F360" s="614">
        <v>0</v>
      </c>
    </row>
    <row r="361" spans="6:6" x14ac:dyDescent="0.5">
      <c r="F361" s="614">
        <v>0</v>
      </c>
    </row>
    <row r="362" spans="6:6" x14ac:dyDescent="0.5">
      <c r="F362" s="614">
        <v>0</v>
      </c>
    </row>
    <row r="363" spans="6:6" x14ac:dyDescent="0.5">
      <c r="F363" s="614">
        <v>0</v>
      </c>
    </row>
    <row r="364" spans="6:6" x14ac:dyDescent="0.5">
      <c r="F364" s="614">
        <v>0</v>
      </c>
    </row>
    <row r="365" spans="6:6" x14ac:dyDescent="0.5">
      <c r="F365" s="614">
        <v>0</v>
      </c>
    </row>
    <row r="366" spans="6:6" x14ac:dyDescent="0.5">
      <c r="F366" s="614">
        <v>0</v>
      </c>
    </row>
    <row r="367" spans="6:6" x14ac:dyDescent="0.5">
      <c r="F367" s="614">
        <v>0</v>
      </c>
    </row>
    <row r="368" spans="6:6" x14ac:dyDescent="0.5">
      <c r="F368" s="614">
        <v>0</v>
      </c>
    </row>
    <row r="369" spans="6:6" x14ac:dyDescent="0.5">
      <c r="F369" s="614">
        <v>0</v>
      </c>
    </row>
    <row r="370" spans="6:6" x14ac:dyDescent="0.5">
      <c r="F370" s="614">
        <v>0</v>
      </c>
    </row>
    <row r="371" spans="6:6" x14ac:dyDescent="0.5">
      <c r="F371" s="614">
        <v>0</v>
      </c>
    </row>
    <row r="372" spans="6:6" x14ac:dyDescent="0.5">
      <c r="F372" s="614">
        <v>0</v>
      </c>
    </row>
    <row r="373" spans="6:6" x14ac:dyDescent="0.5">
      <c r="F373" s="614">
        <v>0</v>
      </c>
    </row>
    <row r="374" spans="6:6" x14ac:dyDescent="0.5">
      <c r="F374" s="614">
        <v>0</v>
      </c>
    </row>
    <row r="375" spans="6:6" x14ac:dyDescent="0.5">
      <c r="F375" s="614">
        <v>0</v>
      </c>
    </row>
    <row r="376" spans="6:6" x14ac:dyDescent="0.5">
      <c r="F376" s="614">
        <v>0</v>
      </c>
    </row>
    <row r="377" spans="6:6" x14ac:dyDescent="0.5">
      <c r="F377" s="614">
        <v>0</v>
      </c>
    </row>
    <row r="378" spans="6:6" x14ac:dyDescent="0.5">
      <c r="F378" s="614">
        <v>0</v>
      </c>
    </row>
    <row r="379" spans="6:6" x14ac:dyDescent="0.5">
      <c r="F379" s="614">
        <v>0</v>
      </c>
    </row>
    <row r="380" spans="6:6" x14ac:dyDescent="0.5">
      <c r="F380" s="614">
        <v>0</v>
      </c>
    </row>
    <row r="381" spans="6:6" x14ac:dyDescent="0.5">
      <c r="F381" s="614">
        <v>0</v>
      </c>
    </row>
    <row r="382" spans="6:6" x14ac:dyDescent="0.5">
      <c r="F382" s="614">
        <v>0</v>
      </c>
    </row>
    <row r="383" spans="6:6" x14ac:dyDescent="0.5">
      <c r="F383" s="614">
        <v>0</v>
      </c>
    </row>
    <row r="384" spans="6:6" x14ac:dyDescent="0.5">
      <c r="F384" s="614">
        <v>0</v>
      </c>
    </row>
    <row r="385" spans="6:6" x14ac:dyDescent="0.5">
      <c r="F385" s="614">
        <v>0</v>
      </c>
    </row>
    <row r="386" spans="6:6" x14ac:dyDescent="0.5">
      <c r="F386" s="614">
        <v>0</v>
      </c>
    </row>
    <row r="387" spans="6:6" x14ac:dyDescent="0.5">
      <c r="F387" s="614">
        <v>0</v>
      </c>
    </row>
    <row r="388" spans="6:6" x14ac:dyDescent="0.5">
      <c r="F388" s="614">
        <v>0</v>
      </c>
    </row>
    <row r="389" spans="6:6" x14ac:dyDescent="0.5">
      <c r="F389" s="614">
        <v>0</v>
      </c>
    </row>
    <row r="390" spans="6:6" x14ac:dyDescent="0.5">
      <c r="F390" s="614">
        <v>0</v>
      </c>
    </row>
    <row r="391" spans="6:6" x14ac:dyDescent="0.5">
      <c r="F391" s="614">
        <v>0</v>
      </c>
    </row>
    <row r="392" spans="6:6" x14ac:dyDescent="0.5">
      <c r="F392" s="614">
        <v>0</v>
      </c>
    </row>
    <row r="393" spans="6:6" x14ac:dyDescent="0.5">
      <c r="F393" s="614">
        <v>0</v>
      </c>
    </row>
    <row r="394" spans="6:6" x14ac:dyDescent="0.5">
      <c r="F394" s="614">
        <v>0</v>
      </c>
    </row>
    <row r="395" spans="6:6" x14ac:dyDescent="0.5">
      <c r="F395" s="614">
        <v>0</v>
      </c>
    </row>
    <row r="396" spans="6:6" x14ac:dyDescent="0.5">
      <c r="F396" s="614">
        <v>0</v>
      </c>
    </row>
    <row r="397" spans="6:6" x14ac:dyDescent="0.5">
      <c r="F397" s="614">
        <v>0</v>
      </c>
    </row>
    <row r="398" spans="6:6" x14ac:dyDescent="0.5">
      <c r="F398" s="614">
        <v>0</v>
      </c>
    </row>
    <row r="399" spans="6:6" x14ac:dyDescent="0.5">
      <c r="F399" s="614">
        <v>0</v>
      </c>
    </row>
    <row r="400" spans="6:6" x14ac:dyDescent="0.5">
      <c r="F400" s="614">
        <v>0</v>
      </c>
    </row>
    <row r="401" spans="6:6" x14ac:dyDescent="0.5">
      <c r="F401" s="614">
        <v>0</v>
      </c>
    </row>
    <row r="402" spans="6:6" x14ac:dyDescent="0.5">
      <c r="F402" s="614">
        <v>0</v>
      </c>
    </row>
    <row r="403" spans="6:6" x14ac:dyDescent="0.5">
      <c r="F403" s="614">
        <v>0</v>
      </c>
    </row>
    <row r="404" spans="6:6" x14ac:dyDescent="0.5">
      <c r="F404" s="614">
        <v>0</v>
      </c>
    </row>
    <row r="405" spans="6:6" x14ac:dyDescent="0.5">
      <c r="F405" s="614">
        <v>0</v>
      </c>
    </row>
    <row r="406" spans="6:6" x14ac:dyDescent="0.5">
      <c r="F406" s="614">
        <v>0</v>
      </c>
    </row>
    <row r="407" spans="6:6" x14ac:dyDescent="0.5">
      <c r="F407" s="614">
        <v>0</v>
      </c>
    </row>
    <row r="408" spans="6:6" x14ac:dyDescent="0.5">
      <c r="F408" s="614">
        <v>0</v>
      </c>
    </row>
    <row r="409" spans="6:6" x14ac:dyDescent="0.5">
      <c r="F409" s="614">
        <v>0</v>
      </c>
    </row>
    <row r="410" spans="6:6" x14ac:dyDescent="0.5">
      <c r="F410" s="614">
        <v>0</v>
      </c>
    </row>
    <row r="411" spans="6:6" x14ac:dyDescent="0.5">
      <c r="F411" s="614">
        <v>0</v>
      </c>
    </row>
    <row r="412" spans="6:6" x14ac:dyDescent="0.5">
      <c r="F412" s="614">
        <v>0</v>
      </c>
    </row>
    <row r="413" spans="6:6" x14ac:dyDescent="0.5">
      <c r="F413" s="614">
        <v>0</v>
      </c>
    </row>
    <row r="414" spans="6:6" x14ac:dyDescent="0.5">
      <c r="F414" s="614">
        <v>0</v>
      </c>
    </row>
    <row r="415" spans="6:6" x14ac:dyDescent="0.5">
      <c r="F415" s="614">
        <v>0</v>
      </c>
    </row>
    <row r="416" spans="6:6" x14ac:dyDescent="0.5">
      <c r="F416" s="614">
        <v>0</v>
      </c>
    </row>
    <row r="417" spans="6:6" x14ac:dyDescent="0.5">
      <c r="F417" s="614">
        <v>0</v>
      </c>
    </row>
    <row r="418" spans="6:6" x14ac:dyDescent="0.5">
      <c r="F418" s="614">
        <v>0</v>
      </c>
    </row>
    <row r="419" spans="6:6" x14ac:dyDescent="0.5">
      <c r="F419" s="614">
        <v>0</v>
      </c>
    </row>
    <row r="420" spans="6:6" x14ac:dyDescent="0.5">
      <c r="F420" s="614">
        <v>0</v>
      </c>
    </row>
    <row r="421" spans="6:6" x14ac:dyDescent="0.5">
      <c r="F421" s="614">
        <v>0</v>
      </c>
    </row>
    <row r="422" spans="6:6" x14ac:dyDescent="0.5">
      <c r="F422" s="614">
        <v>0</v>
      </c>
    </row>
    <row r="423" spans="6:6" x14ac:dyDescent="0.5">
      <c r="F423" s="614">
        <v>0</v>
      </c>
    </row>
    <row r="424" spans="6:6" x14ac:dyDescent="0.5">
      <c r="F424" s="614">
        <v>0</v>
      </c>
    </row>
    <row r="425" spans="6:6" x14ac:dyDescent="0.5">
      <c r="F425" s="614">
        <v>0</v>
      </c>
    </row>
    <row r="426" spans="6:6" x14ac:dyDescent="0.5">
      <c r="F426" s="614">
        <v>0</v>
      </c>
    </row>
    <row r="427" spans="6:6" x14ac:dyDescent="0.5">
      <c r="F427" s="614">
        <v>0</v>
      </c>
    </row>
    <row r="428" spans="6:6" x14ac:dyDescent="0.5">
      <c r="F428" s="614">
        <v>0</v>
      </c>
    </row>
    <row r="429" spans="6:6" x14ac:dyDescent="0.5">
      <c r="F429" s="614">
        <v>0</v>
      </c>
    </row>
    <row r="430" spans="6:6" x14ac:dyDescent="0.5">
      <c r="F430" s="614">
        <v>0</v>
      </c>
    </row>
    <row r="431" spans="6:6" x14ac:dyDescent="0.5">
      <c r="F431" s="614">
        <v>0</v>
      </c>
    </row>
    <row r="432" spans="6:6" x14ac:dyDescent="0.5">
      <c r="F432" s="614">
        <v>0</v>
      </c>
    </row>
    <row r="433" spans="6:6" x14ac:dyDescent="0.5">
      <c r="F433" s="614">
        <v>0</v>
      </c>
    </row>
    <row r="434" spans="6:6" x14ac:dyDescent="0.5">
      <c r="F434" s="614">
        <v>0</v>
      </c>
    </row>
    <row r="435" spans="6:6" x14ac:dyDescent="0.5">
      <c r="F435" s="614">
        <v>0</v>
      </c>
    </row>
    <row r="436" spans="6:6" x14ac:dyDescent="0.5">
      <c r="F436" s="614">
        <v>0</v>
      </c>
    </row>
    <row r="437" spans="6:6" x14ac:dyDescent="0.5">
      <c r="F437" s="614">
        <v>0</v>
      </c>
    </row>
    <row r="438" spans="6:6" x14ac:dyDescent="0.5">
      <c r="F438" s="614">
        <v>0</v>
      </c>
    </row>
    <row r="439" spans="6:6" x14ac:dyDescent="0.5">
      <c r="F439" s="614">
        <v>0</v>
      </c>
    </row>
    <row r="440" spans="6:6" x14ac:dyDescent="0.5">
      <c r="F440" s="614">
        <v>0</v>
      </c>
    </row>
    <row r="441" spans="6:6" x14ac:dyDescent="0.5">
      <c r="F441" s="614">
        <v>0</v>
      </c>
    </row>
    <row r="442" spans="6:6" x14ac:dyDescent="0.5">
      <c r="F442" s="614">
        <v>0</v>
      </c>
    </row>
    <row r="443" spans="6:6" x14ac:dyDescent="0.5">
      <c r="F443" s="614">
        <v>0</v>
      </c>
    </row>
    <row r="444" spans="6:6" x14ac:dyDescent="0.5">
      <c r="F444" s="614">
        <v>0</v>
      </c>
    </row>
    <row r="445" spans="6:6" x14ac:dyDescent="0.5">
      <c r="F445" s="614">
        <v>0</v>
      </c>
    </row>
    <row r="446" spans="6:6" x14ac:dyDescent="0.5">
      <c r="F446" s="614">
        <v>0</v>
      </c>
    </row>
    <row r="447" spans="6:6" x14ac:dyDescent="0.5">
      <c r="F447" s="614">
        <v>0</v>
      </c>
    </row>
    <row r="448" spans="6:6" x14ac:dyDescent="0.5">
      <c r="F448" s="614">
        <v>0</v>
      </c>
    </row>
    <row r="449" spans="6:6" x14ac:dyDescent="0.5">
      <c r="F449" s="614">
        <v>0</v>
      </c>
    </row>
    <row r="450" spans="6:6" x14ac:dyDescent="0.5">
      <c r="F450" s="614">
        <v>0</v>
      </c>
    </row>
    <row r="451" spans="6:6" x14ac:dyDescent="0.5">
      <c r="F451" s="614">
        <v>0</v>
      </c>
    </row>
    <row r="452" spans="6:6" x14ac:dyDescent="0.5">
      <c r="F452" s="614">
        <v>0</v>
      </c>
    </row>
    <row r="453" spans="6:6" x14ac:dyDescent="0.5">
      <c r="F453" s="614">
        <v>0</v>
      </c>
    </row>
    <row r="454" spans="6:6" x14ac:dyDescent="0.5">
      <c r="F454" s="614">
        <v>0</v>
      </c>
    </row>
    <row r="455" spans="6:6" x14ac:dyDescent="0.5">
      <c r="F455" s="614">
        <v>0</v>
      </c>
    </row>
    <row r="456" spans="6:6" x14ac:dyDescent="0.5">
      <c r="F456" s="614">
        <v>0</v>
      </c>
    </row>
    <row r="457" spans="6:6" x14ac:dyDescent="0.5">
      <c r="F457" s="614">
        <v>0</v>
      </c>
    </row>
    <row r="458" spans="6:6" x14ac:dyDescent="0.5">
      <c r="F458" s="614">
        <v>0</v>
      </c>
    </row>
    <row r="459" spans="6:6" x14ac:dyDescent="0.5">
      <c r="F459" s="614">
        <v>0</v>
      </c>
    </row>
    <row r="460" spans="6:6" x14ac:dyDescent="0.5">
      <c r="F460" s="614">
        <v>0</v>
      </c>
    </row>
    <row r="461" spans="6:6" x14ac:dyDescent="0.5">
      <c r="F461" s="614">
        <v>0</v>
      </c>
    </row>
    <row r="462" spans="6:6" x14ac:dyDescent="0.5">
      <c r="F462" s="614">
        <v>0</v>
      </c>
    </row>
    <row r="463" spans="6:6" x14ac:dyDescent="0.5">
      <c r="F463" s="614">
        <v>0</v>
      </c>
    </row>
    <row r="464" spans="6:6" x14ac:dyDescent="0.5">
      <c r="F464" s="614">
        <v>0</v>
      </c>
    </row>
    <row r="465" spans="6:6" x14ac:dyDescent="0.5">
      <c r="F465" s="614">
        <v>0</v>
      </c>
    </row>
    <row r="466" spans="6:6" x14ac:dyDescent="0.5">
      <c r="F466" s="614">
        <v>0</v>
      </c>
    </row>
    <row r="467" spans="6:6" x14ac:dyDescent="0.5">
      <c r="F467" s="614">
        <v>0</v>
      </c>
    </row>
    <row r="468" spans="6:6" x14ac:dyDescent="0.5">
      <c r="F468" s="614">
        <v>0</v>
      </c>
    </row>
    <row r="469" spans="6:6" x14ac:dyDescent="0.5">
      <c r="F469" s="614">
        <v>0</v>
      </c>
    </row>
    <row r="470" spans="6:6" x14ac:dyDescent="0.5">
      <c r="F470" s="614">
        <v>0</v>
      </c>
    </row>
    <row r="471" spans="6:6" x14ac:dyDescent="0.5">
      <c r="F471" s="614">
        <v>0</v>
      </c>
    </row>
    <row r="472" spans="6:6" x14ac:dyDescent="0.5">
      <c r="F472" s="614">
        <v>0</v>
      </c>
    </row>
    <row r="473" spans="6:6" x14ac:dyDescent="0.5">
      <c r="F473" s="614">
        <v>0</v>
      </c>
    </row>
    <row r="474" spans="6:6" x14ac:dyDescent="0.5">
      <c r="F474" s="614">
        <v>0</v>
      </c>
    </row>
    <row r="475" spans="6:6" x14ac:dyDescent="0.5">
      <c r="F475" s="614">
        <v>0</v>
      </c>
    </row>
    <row r="476" spans="6:6" x14ac:dyDescent="0.5">
      <c r="F476" s="614">
        <v>0</v>
      </c>
    </row>
    <row r="477" spans="6:6" x14ac:dyDescent="0.5">
      <c r="F477" s="614">
        <v>0</v>
      </c>
    </row>
    <row r="478" spans="6:6" x14ac:dyDescent="0.5">
      <c r="F478" s="614">
        <v>0</v>
      </c>
    </row>
    <row r="479" spans="6:6" x14ac:dyDescent="0.5">
      <c r="F479" s="614">
        <v>0</v>
      </c>
    </row>
    <row r="480" spans="6:6" x14ac:dyDescent="0.5">
      <c r="F480" s="614">
        <v>0</v>
      </c>
    </row>
    <row r="481" spans="6:6" x14ac:dyDescent="0.5">
      <c r="F481" s="614">
        <v>0</v>
      </c>
    </row>
    <row r="482" spans="6:6" x14ac:dyDescent="0.5">
      <c r="F482" s="614">
        <v>0</v>
      </c>
    </row>
    <row r="483" spans="6:6" x14ac:dyDescent="0.5">
      <c r="F483" s="614">
        <v>0</v>
      </c>
    </row>
    <row r="484" spans="6:6" x14ac:dyDescent="0.5">
      <c r="F484" s="614">
        <v>0</v>
      </c>
    </row>
    <row r="485" spans="6:6" x14ac:dyDescent="0.5">
      <c r="F485" s="614">
        <v>0</v>
      </c>
    </row>
    <row r="486" spans="6:6" x14ac:dyDescent="0.5">
      <c r="F486" s="614">
        <v>0</v>
      </c>
    </row>
    <row r="487" spans="6:6" x14ac:dyDescent="0.5">
      <c r="F487" s="614">
        <v>0</v>
      </c>
    </row>
    <row r="488" spans="6:6" x14ac:dyDescent="0.5">
      <c r="F488" s="614">
        <v>0</v>
      </c>
    </row>
    <row r="489" spans="6:6" x14ac:dyDescent="0.5">
      <c r="F489" s="614">
        <v>0</v>
      </c>
    </row>
    <row r="490" spans="6:6" x14ac:dyDescent="0.5">
      <c r="F490" s="614">
        <v>0</v>
      </c>
    </row>
    <row r="491" spans="6:6" x14ac:dyDescent="0.5">
      <c r="F491" s="614">
        <v>0</v>
      </c>
    </row>
    <row r="492" spans="6:6" x14ac:dyDescent="0.5">
      <c r="F492" s="614">
        <v>0</v>
      </c>
    </row>
    <row r="493" spans="6:6" x14ac:dyDescent="0.5">
      <c r="F493" s="614">
        <v>0</v>
      </c>
    </row>
    <row r="494" spans="6:6" x14ac:dyDescent="0.5">
      <c r="F494" s="614">
        <v>0</v>
      </c>
    </row>
    <row r="495" spans="6:6" x14ac:dyDescent="0.5">
      <c r="F495" s="614">
        <v>0</v>
      </c>
    </row>
    <row r="496" spans="6:6" x14ac:dyDescent="0.5">
      <c r="F496" s="614">
        <v>0</v>
      </c>
    </row>
    <row r="497" spans="6:6" x14ac:dyDescent="0.5">
      <c r="F497" s="614">
        <v>0</v>
      </c>
    </row>
    <row r="498" spans="6:6" x14ac:dyDescent="0.5">
      <c r="F498" s="614">
        <v>0</v>
      </c>
    </row>
    <row r="499" spans="6:6" x14ac:dyDescent="0.5">
      <c r="F499" s="614">
        <v>0</v>
      </c>
    </row>
    <row r="500" spans="6:6" x14ac:dyDescent="0.5">
      <c r="F500" s="614">
        <v>0</v>
      </c>
    </row>
    <row r="501" spans="6:6" x14ac:dyDescent="0.5">
      <c r="F501" s="614">
        <v>0</v>
      </c>
    </row>
    <row r="502" spans="6:6" x14ac:dyDescent="0.5">
      <c r="F502" s="614">
        <v>0</v>
      </c>
    </row>
    <row r="503" spans="6:6" x14ac:dyDescent="0.5">
      <c r="F503" s="614">
        <v>0</v>
      </c>
    </row>
    <row r="504" spans="6:6" x14ac:dyDescent="0.5">
      <c r="F504" s="614">
        <v>0</v>
      </c>
    </row>
    <row r="505" spans="6:6" x14ac:dyDescent="0.5">
      <c r="F505" s="614">
        <v>0</v>
      </c>
    </row>
    <row r="506" spans="6:6" x14ac:dyDescent="0.5">
      <c r="F506" s="614">
        <v>0</v>
      </c>
    </row>
    <row r="507" spans="6:6" x14ac:dyDescent="0.5">
      <c r="F507" s="614">
        <v>0</v>
      </c>
    </row>
    <row r="508" spans="6:6" x14ac:dyDescent="0.5">
      <c r="F508" s="614">
        <v>0</v>
      </c>
    </row>
    <row r="509" spans="6:6" x14ac:dyDescent="0.5">
      <c r="F509" s="614">
        <v>0</v>
      </c>
    </row>
    <row r="510" spans="6:6" x14ac:dyDescent="0.5">
      <c r="F510" s="614">
        <v>0</v>
      </c>
    </row>
    <row r="511" spans="6:6" x14ac:dyDescent="0.5">
      <c r="F511" s="614">
        <v>0</v>
      </c>
    </row>
    <row r="512" spans="6:6" x14ac:dyDescent="0.5">
      <c r="F512" s="614">
        <v>0</v>
      </c>
    </row>
    <row r="513" spans="6:6" x14ac:dyDescent="0.5">
      <c r="F513" s="614">
        <v>0</v>
      </c>
    </row>
    <row r="514" spans="6:6" x14ac:dyDescent="0.5">
      <c r="F514" s="614">
        <v>0</v>
      </c>
    </row>
    <row r="515" spans="6:6" x14ac:dyDescent="0.5">
      <c r="F515" s="614">
        <v>0</v>
      </c>
    </row>
    <row r="516" spans="6:6" x14ac:dyDescent="0.5">
      <c r="F516" s="614">
        <v>0</v>
      </c>
    </row>
    <row r="517" spans="6:6" x14ac:dyDescent="0.5">
      <c r="F517" s="614">
        <v>0</v>
      </c>
    </row>
    <row r="518" spans="6:6" x14ac:dyDescent="0.5">
      <c r="F518" s="614">
        <v>0</v>
      </c>
    </row>
    <row r="519" spans="6:6" x14ac:dyDescent="0.5">
      <c r="F519" s="614">
        <v>0</v>
      </c>
    </row>
    <row r="520" spans="6:6" x14ac:dyDescent="0.5">
      <c r="F520" s="614">
        <v>0</v>
      </c>
    </row>
    <row r="521" spans="6:6" x14ac:dyDescent="0.5">
      <c r="F521" s="614">
        <v>0</v>
      </c>
    </row>
    <row r="522" spans="6:6" x14ac:dyDescent="0.5">
      <c r="F522" s="614">
        <v>0</v>
      </c>
    </row>
    <row r="523" spans="6:6" x14ac:dyDescent="0.5">
      <c r="F523" s="614">
        <v>0</v>
      </c>
    </row>
    <row r="524" spans="6:6" x14ac:dyDescent="0.5">
      <c r="F524" s="614">
        <v>0</v>
      </c>
    </row>
    <row r="525" spans="6:6" x14ac:dyDescent="0.5">
      <c r="F525" s="614">
        <v>0</v>
      </c>
    </row>
    <row r="526" spans="6:6" x14ac:dyDescent="0.5">
      <c r="F526" s="614">
        <v>0</v>
      </c>
    </row>
    <row r="527" spans="6:6" x14ac:dyDescent="0.5">
      <c r="F527" s="614">
        <v>0</v>
      </c>
    </row>
    <row r="528" spans="6:6" x14ac:dyDescent="0.5">
      <c r="F528" s="614">
        <v>0</v>
      </c>
    </row>
    <row r="529" spans="6:6" x14ac:dyDescent="0.5">
      <c r="F529" s="614">
        <v>0</v>
      </c>
    </row>
    <row r="530" spans="6:6" x14ac:dyDescent="0.5">
      <c r="F530" s="614">
        <v>0</v>
      </c>
    </row>
    <row r="531" spans="6:6" x14ac:dyDescent="0.5">
      <c r="F531" s="614">
        <v>0</v>
      </c>
    </row>
    <row r="532" spans="6:6" x14ac:dyDescent="0.5">
      <c r="F532" s="614">
        <v>0</v>
      </c>
    </row>
    <row r="533" spans="6:6" x14ac:dyDescent="0.5">
      <c r="F533" s="614">
        <v>0</v>
      </c>
    </row>
    <row r="534" spans="6:6" x14ac:dyDescent="0.5">
      <c r="F534" s="614">
        <v>0</v>
      </c>
    </row>
    <row r="535" spans="6:6" x14ac:dyDescent="0.5">
      <c r="F535" s="614">
        <v>0</v>
      </c>
    </row>
    <row r="536" spans="6:6" x14ac:dyDescent="0.5">
      <c r="F536" s="614">
        <v>0</v>
      </c>
    </row>
    <row r="537" spans="6:6" x14ac:dyDescent="0.5">
      <c r="F537" s="614">
        <v>0</v>
      </c>
    </row>
    <row r="538" spans="6:6" x14ac:dyDescent="0.5">
      <c r="F538" s="614">
        <v>0</v>
      </c>
    </row>
    <row r="539" spans="6:6" x14ac:dyDescent="0.5">
      <c r="F539" s="614">
        <v>0</v>
      </c>
    </row>
    <row r="540" spans="6:6" x14ac:dyDescent="0.5">
      <c r="F540" s="614">
        <v>0</v>
      </c>
    </row>
    <row r="541" spans="6:6" x14ac:dyDescent="0.5">
      <c r="F541" s="614">
        <v>0</v>
      </c>
    </row>
    <row r="542" spans="6:6" x14ac:dyDescent="0.5">
      <c r="F542" s="614">
        <v>0</v>
      </c>
    </row>
    <row r="543" spans="6:6" x14ac:dyDescent="0.5">
      <c r="F543" s="614">
        <v>0</v>
      </c>
    </row>
    <row r="544" spans="6:6" x14ac:dyDescent="0.5">
      <c r="F544" s="614">
        <v>0</v>
      </c>
    </row>
    <row r="545" spans="6:6" x14ac:dyDescent="0.5">
      <c r="F545" s="614">
        <v>0</v>
      </c>
    </row>
    <row r="546" spans="6:6" x14ac:dyDescent="0.5">
      <c r="F546" s="614">
        <v>0</v>
      </c>
    </row>
    <row r="547" spans="6:6" x14ac:dyDescent="0.5">
      <c r="F547" s="614">
        <v>0</v>
      </c>
    </row>
    <row r="548" spans="6:6" x14ac:dyDescent="0.5">
      <c r="F548" s="614">
        <v>0</v>
      </c>
    </row>
    <row r="549" spans="6:6" x14ac:dyDescent="0.5">
      <c r="F549" s="614">
        <v>0</v>
      </c>
    </row>
    <row r="550" spans="6:6" x14ac:dyDescent="0.5">
      <c r="F550" s="614">
        <v>0</v>
      </c>
    </row>
    <row r="551" spans="6:6" x14ac:dyDescent="0.5">
      <c r="F551" s="614">
        <v>0</v>
      </c>
    </row>
    <row r="552" spans="6:6" x14ac:dyDescent="0.5">
      <c r="F552" s="614">
        <v>0</v>
      </c>
    </row>
    <row r="553" spans="6:6" x14ac:dyDescent="0.5">
      <c r="F553" s="614">
        <v>0</v>
      </c>
    </row>
    <row r="554" spans="6:6" x14ac:dyDescent="0.5">
      <c r="F554" s="614">
        <v>0</v>
      </c>
    </row>
    <row r="555" spans="6:6" x14ac:dyDescent="0.5">
      <c r="F555" s="614">
        <v>0</v>
      </c>
    </row>
    <row r="556" spans="6:6" x14ac:dyDescent="0.5">
      <c r="F556" s="614">
        <v>0</v>
      </c>
    </row>
    <row r="557" spans="6:6" x14ac:dyDescent="0.5">
      <c r="F557" s="614">
        <v>0</v>
      </c>
    </row>
    <row r="558" spans="6:6" x14ac:dyDescent="0.5">
      <c r="F558" s="614">
        <v>0</v>
      </c>
    </row>
    <row r="559" spans="6:6" x14ac:dyDescent="0.5">
      <c r="F559" s="614">
        <v>0</v>
      </c>
    </row>
    <row r="560" spans="6:6" x14ac:dyDescent="0.5">
      <c r="F560" s="614">
        <v>0</v>
      </c>
    </row>
    <row r="561" spans="6:6" x14ac:dyDescent="0.5">
      <c r="F561" s="614">
        <v>0</v>
      </c>
    </row>
    <row r="562" spans="6:6" x14ac:dyDescent="0.5">
      <c r="F562" s="614">
        <v>0</v>
      </c>
    </row>
    <row r="563" spans="6:6" x14ac:dyDescent="0.5">
      <c r="F563" s="614">
        <v>0</v>
      </c>
    </row>
    <row r="564" spans="6:6" x14ac:dyDescent="0.5">
      <c r="F564" s="614">
        <v>0</v>
      </c>
    </row>
    <row r="565" spans="6:6" x14ac:dyDescent="0.5">
      <c r="F565" s="614">
        <v>0</v>
      </c>
    </row>
    <row r="566" spans="6:6" x14ac:dyDescent="0.5">
      <c r="F566" s="614">
        <v>0</v>
      </c>
    </row>
    <row r="567" spans="6:6" x14ac:dyDescent="0.5">
      <c r="F567" s="614">
        <v>0</v>
      </c>
    </row>
    <row r="568" spans="6:6" x14ac:dyDescent="0.5">
      <c r="F568" s="614">
        <v>0</v>
      </c>
    </row>
    <row r="569" spans="6:6" x14ac:dyDescent="0.5">
      <c r="F569" s="614">
        <v>0</v>
      </c>
    </row>
    <row r="570" spans="6:6" x14ac:dyDescent="0.5">
      <c r="F570" s="614">
        <v>0</v>
      </c>
    </row>
    <row r="571" spans="6:6" x14ac:dyDescent="0.5">
      <c r="F571" s="614">
        <v>0</v>
      </c>
    </row>
    <row r="572" spans="6:6" x14ac:dyDescent="0.5">
      <c r="F572" s="614">
        <v>0</v>
      </c>
    </row>
    <row r="573" spans="6:6" x14ac:dyDescent="0.5">
      <c r="F573" s="614">
        <v>0</v>
      </c>
    </row>
    <row r="574" spans="6:6" x14ac:dyDescent="0.5">
      <c r="F574" s="614">
        <v>0</v>
      </c>
    </row>
    <row r="575" spans="6:6" x14ac:dyDescent="0.5">
      <c r="F575" s="614">
        <v>0</v>
      </c>
    </row>
    <row r="576" spans="6:6" x14ac:dyDescent="0.5">
      <c r="F576" s="614">
        <v>0</v>
      </c>
    </row>
    <row r="577" spans="6:6" x14ac:dyDescent="0.5">
      <c r="F577" s="614">
        <v>0</v>
      </c>
    </row>
    <row r="578" spans="6:6" x14ac:dyDescent="0.5">
      <c r="F578" s="614">
        <v>0</v>
      </c>
    </row>
    <row r="579" spans="6:6" x14ac:dyDescent="0.5">
      <c r="F579" s="614">
        <v>0</v>
      </c>
    </row>
    <row r="580" spans="6:6" x14ac:dyDescent="0.5">
      <c r="F580" s="614">
        <v>0</v>
      </c>
    </row>
    <row r="581" spans="6:6" x14ac:dyDescent="0.5">
      <c r="F581" s="614">
        <v>0</v>
      </c>
    </row>
    <row r="582" spans="6:6" x14ac:dyDescent="0.5">
      <c r="F582" s="614">
        <v>0</v>
      </c>
    </row>
    <row r="583" spans="6:6" x14ac:dyDescent="0.5">
      <c r="F583" s="614">
        <v>0</v>
      </c>
    </row>
    <row r="584" spans="6:6" x14ac:dyDescent="0.5">
      <c r="F584" s="614">
        <v>0</v>
      </c>
    </row>
    <row r="585" spans="6:6" x14ac:dyDescent="0.5">
      <c r="F585" s="614">
        <v>0</v>
      </c>
    </row>
    <row r="586" spans="6:6" x14ac:dyDescent="0.5">
      <c r="F586" s="614">
        <v>0</v>
      </c>
    </row>
    <row r="587" spans="6:6" x14ac:dyDescent="0.5">
      <c r="F587" s="614">
        <v>0</v>
      </c>
    </row>
    <row r="588" spans="6:6" x14ac:dyDescent="0.5">
      <c r="F588" s="614">
        <v>0</v>
      </c>
    </row>
    <row r="589" spans="6:6" x14ac:dyDescent="0.5">
      <c r="F589" s="614">
        <v>0</v>
      </c>
    </row>
    <row r="590" spans="6:6" x14ac:dyDescent="0.5">
      <c r="F590" s="614">
        <v>0</v>
      </c>
    </row>
    <row r="591" spans="6:6" x14ac:dyDescent="0.5">
      <c r="F591" s="614">
        <v>0</v>
      </c>
    </row>
    <row r="592" spans="6:6" x14ac:dyDescent="0.5">
      <c r="F592" s="614">
        <v>0</v>
      </c>
    </row>
    <row r="593" spans="6:6" x14ac:dyDescent="0.5">
      <c r="F593" s="614">
        <v>0</v>
      </c>
    </row>
    <row r="594" spans="6:6" x14ac:dyDescent="0.5">
      <c r="F594" s="614">
        <v>0</v>
      </c>
    </row>
    <row r="595" spans="6:6" x14ac:dyDescent="0.5">
      <c r="F595" s="614">
        <v>0</v>
      </c>
    </row>
    <row r="596" spans="6:6" x14ac:dyDescent="0.5">
      <c r="F596" s="614">
        <v>0</v>
      </c>
    </row>
    <row r="597" spans="6:6" x14ac:dyDescent="0.5">
      <c r="F597" s="614">
        <v>0</v>
      </c>
    </row>
    <row r="598" spans="6:6" x14ac:dyDescent="0.5">
      <c r="F598" s="614">
        <v>0</v>
      </c>
    </row>
    <row r="599" spans="6:6" x14ac:dyDescent="0.5">
      <c r="F599" s="614">
        <v>0</v>
      </c>
    </row>
    <row r="600" spans="6:6" x14ac:dyDescent="0.5">
      <c r="F600" s="614">
        <v>0</v>
      </c>
    </row>
    <row r="601" spans="6:6" x14ac:dyDescent="0.5">
      <c r="F601" s="614">
        <v>0</v>
      </c>
    </row>
    <row r="602" spans="6:6" x14ac:dyDescent="0.5">
      <c r="F602" s="614">
        <v>0</v>
      </c>
    </row>
    <row r="603" spans="6:6" x14ac:dyDescent="0.5">
      <c r="F603" s="614">
        <v>0</v>
      </c>
    </row>
    <row r="604" spans="6:6" x14ac:dyDescent="0.5">
      <c r="F604" s="614">
        <v>0</v>
      </c>
    </row>
    <row r="605" spans="6:6" x14ac:dyDescent="0.5">
      <c r="F605" s="614">
        <v>0</v>
      </c>
    </row>
    <row r="606" spans="6:6" x14ac:dyDescent="0.5">
      <c r="F606" s="614">
        <v>0</v>
      </c>
    </row>
    <row r="607" spans="6:6" x14ac:dyDescent="0.5">
      <c r="F607" s="614">
        <v>0</v>
      </c>
    </row>
    <row r="608" spans="6:6" x14ac:dyDescent="0.5">
      <c r="F608" s="614">
        <v>0</v>
      </c>
    </row>
    <row r="609" spans="6:6" x14ac:dyDescent="0.5">
      <c r="F609" s="614">
        <v>0</v>
      </c>
    </row>
    <row r="610" spans="6:6" x14ac:dyDescent="0.5">
      <c r="F610" s="614">
        <v>0</v>
      </c>
    </row>
    <row r="611" spans="6:6" x14ac:dyDescent="0.5">
      <c r="F611" s="614">
        <v>0</v>
      </c>
    </row>
    <row r="612" spans="6:6" x14ac:dyDescent="0.5">
      <c r="F612" s="614">
        <v>0</v>
      </c>
    </row>
    <row r="613" spans="6:6" x14ac:dyDescent="0.5">
      <c r="F613" s="614">
        <v>0</v>
      </c>
    </row>
    <row r="614" spans="6:6" x14ac:dyDescent="0.5">
      <c r="F614" s="614">
        <v>0</v>
      </c>
    </row>
    <row r="615" spans="6:6" x14ac:dyDescent="0.5">
      <c r="F615" s="614">
        <v>0</v>
      </c>
    </row>
    <row r="616" spans="6:6" x14ac:dyDescent="0.5">
      <c r="F616" s="614">
        <v>0</v>
      </c>
    </row>
    <row r="617" spans="6:6" x14ac:dyDescent="0.5">
      <c r="F617" s="614">
        <v>0</v>
      </c>
    </row>
    <row r="618" spans="6:6" x14ac:dyDescent="0.5">
      <c r="F618" s="614">
        <v>0</v>
      </c>
    </row>
    <row r="619" spans="6:6" x14ac:dyDescent="0.5">
      <c r="F619" s="614">
        <v>0</v>
      </c>
    </row>
    <row r="620" spans="6:6" x14ac:dyDescent="0.5">
      <c r="F620" s="614">
        <v>0</v>
      </c>
    </row>
    <row r="621" spans="6:6" x14ac:dyDescent="0.5">
      <c r="F621" s="614">
        <v>0</v>
      </c>
    </row>
    <row r="622" spans="6:6" x14ac:dyDescent="0.5">
      <c r="F622" s="614">
        <v>0</v>
      </c>
    </row>
    <row r="623" spans="6:6" x14ac:dyDescent="0.5">
      <c r="F623" s="614">
        <v>0</v>
      </c>
    </row>
    <row r="624" spans="6:6" x14ac:dyDescent="0.5">
      <c r="F624" s="614">
        <v>0</v>
      </c>
    </row>
    <row r="625" spans="6:6" x14ac:dyDescent="0.5">
      <c r="F625" s="614">
        <v>0</v>
      </c>
    </row>
    <row r="626" spans="6:6" x14ac:dyDescent="0.5">
      <c r="F626" s="614">
        <v>0</v>
      </c>
    </row>
    <row r="627" spans="6:6" x14ac:dyDescent="0.5">
      <c r="F627" s="614">
        <v>0</v>
      </c>
    </row>
    <row r="628" spans="6:6" x14ac:dyDescent="0.5">
      <c r="F628" s="614">
        <v>0</v>
      </c>
    </row>
    <row r="629" spans="6:6" x14ac:dyDescent="0.5">
      <c r="F629" s="614">
        <v>0</v>
      </c>
    </row>
    <row r="630" spans="6:6" x14ac:dyDescent="0.5">
      <c r="F630" s="614">
        <v>0</v>
      </c>
    </row>
    <row r="631" spans="6:6" x14ac:dyDescent="0.5">
      <c r="F631" s="614">
        <v>0</v>
      </c>
    </row>
    <row r="632" spans="6:6" x14ac:dyDescent="0.5">
      <c r="F632" s="614">
        <v>0</v>
      </c>
    </row>
    <row r="633" spans="6:6" x14ac:dyDescent="0.5">
      <c r="F633" s="614">
        <v>0</v>
      </c>
    </row>
    <row r="634" spans="6:6" x14ac:dyDescent="0.5">
      <c r="F634" s="614">
        <v>0</v>
      </c>
    </row>
    <row r="635" spans="6:6" x14ac:dyDescent="0.5">
      <c r="F635" s="614">
        <v>0</v>
      </c>
    </row>
    <row r="636" spans="6:6" x14ac:dyDescent="0.5">
      <c r="F636" s="614">
        <v>0</v>
      </c>
    </row>
    <row r="637" spans="6:6" x14ac:dyDescent="0.5">
      <c r="F637" s="614">
        <v>0</v>
      </c>
    </row>
    <row r="638" spans="6:6" x14ac:dyDescent="0.5">
      <c r="F638" s="614">
        <v>0</v>
      </c>
    </row>
    <row r="639" spans="6:6" x14ac:dyDescent="0.5">
      <c r="F639" s="614">
        <v>0</v>
      </c>
    </row>
    <row r="640" spans="6:6" x14ac:dyDescent="0.5">
      <c r="F640" s="614">
        <v>0</v>
      </c>
    </row>
    <row r="641" spans="6:6" x14ac:dyDescent="0.5">
      <c r="F641" s="614">
        <v>0</v>
      </c>
    </row>
    <row r="642" spans="6:6" x14ac:dyDescent="0.5">
      <c r="F642" s="614">
        <v>0</v>
      </c>
    </row>
    <row r="643" spans="6:6" x14ac:dyDescent="0.5">
      <c r="F643" s="614">
        <v>0</v>
      </c>
    </row>
    <row r="644" spans="6:6" x14ac:dyDescent="0.5">
      <c r="F644" s="614">
        <v>0</v>
      </c>
    </row>
    <row r="645" spans="6:6" x14ac:dyDescent="0.5">
      <c r="F645" s="614">
        <v>0</v>
      </c>
    </row>
    <row r="646" spans="6:6" x14ac:dyDescent="0.5">
      <c r="F646" s="614">
        <v>0</v>
      </c>
    </row>
    <row r="647" spans="6:6" x14ac:dyDescent="0.5">
      <c r="F647" s="614">
        <v>0</v>
      </c>
    </row>
    <row r="648" spans="6:6" x14ac:dyDescent="0.5">
      <c r="F648" s="614">
        <v>0</v>
      </c>
    </row>
    <row r="649" spans="6:6" x14ac:dyDescent="0.5">
      <c r="F649" s="614">
        <v>0</v>
      </c>
    </row>
    <row r="650" spans="6:6" x14ac:dyDescent="0.5">
      <c r="F650" s="614">
        <v>0</v>
      </c>
    </row>
    <row r="651" spans="6:6" x14ac:dyDescent="0.5">
      <c r="F651" s="614">
        <v>0</v>
      </c>
    </row>
    <row r="652" spans="6:6" x14ac:dyDescent="0.5">
      <c r="F652" s="614">
        <v>0</v>
      </c>
    </row>
    <row r="653" spans="6:6" x14ac:dyDescent="0.5">
      <c r="F653" s="614">
        <v>0</v>
      </c>
    </row>
    <row r="654" spans="6:6" x14ac:dyDescent="0.5">
      <c r="F654" s="614">
        <v>0</v>
      </c>
    </row>
    <row r="655" spans="6:6" x14ac:dyDescent="0.5">
      <c r="F655" s="614">
        <v>0</v>
      </c>
    </row>
    <row r="656" spans="6:6" x14ac:dyDescent="0.5">
      <c r="F656" s="614">
        <v>0</v>
      </c>
    </row>
    <row r="657" spans="6:6" x14ac:dyDescent="0.5">
      <c r="F657" s="614">
        <v>0</v>
      </c>
    </row>
    <row r="658" spans="6:6" x14ac:dyDescent="0.5">
      <c r="F658" s="614">
        <v>0</v>
      </c>
    </row>
    <row r="659" spans="6:6" x14ac:dyDescent="0.5">
      <c r="F659" s="614">
        <v>0</v>
      </c>
    </row>
    <row r="660" spans="6:6" x14ac:dyDescent="0.5">
      <c r="F660" s="614">
        <v>0</v>
      </c>
    </row>
    <row r="661" spans="6:6" x14ac:dyDescent="0.5">
      <c r="F661" s="614">
        <v>0</v>
      </c>
    </row>
    <row r="662" spans="6:6" x14ac:dyDescent="0.5">
      <c r="F662" s="614">
        <v>0</v>
      </c>
    </row>
    <row r="663" spans="6:6" x14ac:dyDescent="0.5">
      <c r="F663" s="614">
        <v>0</v>
      </c>
    </row>
    <row r="664" spans="6:6" x14ac:dyDescent="0.5">
      <c r="F664" s="614">
        <v>0</v>
      </c>
    </row>
    <row r="665" spans="6:6" x14ac:dyDescent="0.5">
      <c r="F665" s="614">
        <v>0</v>
      </c>
    </row>
    <row r="666" spans="6:6" x14ac:dyDescent="0.5">
      <c r="F666" s="614">
        <v>0</v>
      </c>
    </row>
    <row r="667" spans="6:6" x14ac:dyDescent="0.5">
      <c r="F667" s="614">
        <v>0</v>
      </c>
    </row>
    <row r="668" spans="6:6" x14ac:dyDescent="0.5">
      <c r="F668" s="614">
        <v>0</v>
      </c>
    </row>
    <row r="669" spans="6:6" x14ac:dyDescent="0.5">
      <c r="F669" s="614">
        <v>0</v>
      </c>
    </row>
    <row r="670" spans="6:6" x14ac:dyDescent="0.5">
      <c r="F670" s="614">
        <v>0</v>
      </c>
    </row>
    <row r="671" spans="6:6" x14ac:dyDescent="0.5">
      <c r="F671" s="614">
        <v>0</v>
      </c>
    </row>
    <row r="672" spans="6:6" x14ac:dyDescent="0.5">
      <c r="F672" s="614">
        <v>0</v>
      </c>
    </row>
    <row r="673" spans="6:6" x14ac:dyDescent="0.5">
      <c r="F673" s="614">
        <v>0</v>
      </c>
    </row>
    <row r="674" spans="6:6" x14ac:dyDescent="0.5">
      <c r="F674" s="614">
        <v>0</v>
      </c>
    </row>
    <row r="675" spans="6:6" x14ac:dyDescent="0.5">
      <c r="F675" s="614">
        <v>0</v>
      </c>
    </row>
    <row r="676" spans="6:6" x14ac:dyDescent="0.5">
      <c r="F676" s="614">
        <v>0</v>
      </c>
    </row>
    <row r="677" spans="6:6" x14ac:dyDescent="0.5">
      <c r="F677" s="614">
        <v>0</v>
      </c>
    </row>
    <row r="678" spans="6:6" x14ac:dyDescent="0.5">
      <c r="F678" s="614">
        <v>0</v>
      </c>
    </row>
    <row r="679" spans="6:6" x14ac:dyDescent="0.5">
      <c r="F679" s="614">
        <v>0</v>
      </c>
    </row>
    <row r="680" spans="6:6" x14ac:dyDescent="0.5">
      <c r="F680" s="614">
        <v>0</v>
      </c>
    </row>
    <row r="681" spans="6:6" x14ac:dyDescent="0.5">
      <c r="F681" s="614">
        <v>0</v>
      </c>
    </row>
    <row r="682" spans="6:6" x14ac:dyDescent="0.5">
      <c r="F682" s="614">
        <v>0</v>
      </c>
    </row>
    <row r="683" spans="6:6" x14ac:dyDescent="0.5">
      <c r="F683" s="614">
        <v>0</v>
      </c>
    </row>
    <row r="684" spans="6:6" x14ac:dyDescent="0.5">
      <c r="F684" s="614">
        <v>0</v>
      </c>
    </row>
    <row r="685" spans="6:6" x14ac:dyDescent="0.5">
      <c r="F685" s="614">
        <v>0</v>
      </c>
    </row>
    <row r="686" spans="6:6" x14ac:dyDescent="0.5">
      <c r="F686" s="614">
        <v>0</v>
      </c>
    </row>
    <row r="687" spans="6:6" x14ac:dyDescent="0.5">
      <c r="F687" s="614">
        <v>0</v>
      </c>
    </row>
    <row r="688" spans="6:6" x14ac:dyDescent="0.5">
      <c r="F688" s="614">
        <v>0</v>
      </c>
    </row>
    <row r="689" spans="6:6" x14ac:dyDescent="0.5">
      <c r="F689" s="614">
        <v>0</v>
      </c>
    </row>
    <row r="690" spans="6:6" x14ac:dyDescent="0.5">
      <c r="F690" s="614">
        <v>0</v>
      </c>
    </row>
    <row r="691" spans="6:6" x14ac:dyDescent="0.5">
      <c r="F691" s="614">
        <v>0</v>
      </c>
    </row>
    <row r="692" spans="6:6" x14ac:dyDescent="0.5">
      <c r="F692" s="614">
        <v>0</v>
      </c>
    </row>
    <row r="693" spans="6:6" x14ac:dyDescent="0.5">
      <c r="F693" s="614">
        <v>0</v>
      </c>
    </row>
    <row r="694" spans="6:6" x14ac:dyDescent="0.5">
      <c r="F694" s="614">
        <v>0</v>
      </c>
    </row>
    <row r="695" spans="6:6" x14ac:dyDescent="0.5">
      <c r="F695" s="614">
        <v>0</v>
      </c>
    </row>
    <row r="696" spans="6:6" x14ac:dyDescent="0.5">
      <c r="F696" s="614">
        <v>0</v>
      </c>
    </row>
    <row r="697" spans="6:6" x14ac:dyDescent="0.5">
      <c r="F697" s="614">
        <v>0</v>
      </c>
    </row>
    <row r="698" spans="6:6" x14ac:dyDescent="0.5">
      <c r="F698" s="614">
        <v>0</v>
      </c>
    </row>
    <row r="699" spans="6:6" x14ac:dyDescent="0.5">
      <c r="F699" s="614">
        <v>0</v>
      </c>
    </row>
    <row r="700" spans="6:6" x14ac:dyDescent="0.5">
      <c r="F700" s="614">
        <v>0</v>
      </c>
    </row>
    <row r="701" spans="6:6" x14ac:dyDescent="0.5">
      <c r="F701" s="614">
        <v>0</v>
      </c>
    </row>
    <row r="702" spans="6:6" x14ac:dyDescent="0.5">
      <c r="F702" s="614">
        <v>0</v>
      </c>
    </row>
    <row r="703" spans="6:6" x14ac:dyDescent="0.5">
      <c r="F703" s="614">
        <v>0</v>
      </c>
    </row>
    <row r="704" spans="6:6" x14ac:dyDescent="0.5">
      <c r="F704" s="614">
        <v>0</v>
      </c>
    </row>
    <row r="705" spans="6:6" x14ac:dyDescent="0.5">
      <c r="F705" s="614">
        <v>0</v>
      </c>
    </row>
    <row r="706" spans="6:6" x14ac:dyDescent="0.5">
      <c r="F706" s="614">
        <v>0</v>
      </c>
    </row>
    <row r="707" spans="6:6" x14ac:dyDescent="0.5">
      <c r="F707" s="614">
        <v>0</v>
      </c>
    </row>
    <row r="708" spans="6:6" x14ac:dyDescent="0.5">
      <c r="F708" s="614">
        <v>0</v>
      </c>
    </row>
    <row r="709" spans="6:6" x14ac:dyDescent="0.5">
      <c r="F709" s="614">
        <v>0</v>
      </c>
    </row>
    <row r="710" spans="6:6" x14ac:dyDescent="0.5">
      <c r="F710" s="614">
        <v>0</v>
      </c>
    </row>
    <row r="711" spans="6:6" x14ac:dyDescent="0.5">
      <c r="F711" s="614">
        <v>0</v>
      </c>
    </row>
    <row r="712" spans="6:6" x14ac:dyDescent="0.5">
      <c r="F712" s="614">
        <v>0</v>
      </c>
    </row>
    <row r="713" spans="6:6" x14ac:dyDescent="0.5">
      <c r="F713" s="614">
        <v>0</v>
      </c>
    </row>
    <row r="714" spans="6:6" x14ac:dyDescent="0.5">
      <c r="F714" s="614">
        <v>0</v>
      </c>
    </row>
    <row r="715" spans="6:6" x14ac:dyDescent="0.5">
      <c r="F715" s="614">
        <v>0</v>
      </c>
    </row>
    <row r="716" spans="6:6" x14ac:dyDescent="0.5">
      <c r="F716" s="614">
        <v>0</v>
      </c>
    </row>
    <row r="717" spans="6:6" x14ac:dyDescent="0.5">
      <c r="F717" s="614">
        <v>0</v>
      </c>
    </row>
    <row r="718" spans="6:6" x14ac:dyDescent="0.5">
      <c r="F718" s="614">
        <v>0</v>
      </c>
    </row>
    <row r="719" spans="6:6" x14ac:dyDescent="0.5">
      <c r="F719" s="614">
        <v>0</v>
      </c>
    </row>
    <row r="720" spans="6:6" x14ac:dyDescent="0.5">
      <c r="F720" s="614">
        <v>0</v>
      </c>
    </row>
    <row r="721" spans="6:6" x14ac:dyDescent="0.5">
      <c r="F721" s="614">
        <v>0</v>
      </c>
    </row>
    <row r="722" spans="6:6" x14ac:dyDescent="0.5">
      <c r="F722" s="614">
        <v>0</v>
      </c>
    </row>
    <row r="723" spans="6:6" x14ac:dyDescent="0.5">
      <c r="F723" s="614">
        <v>0</v>
      </c>
    </row>
    <row r="724" spans="6:6" x14ac:dyDescent="0.5">
      <c r="F724" s="614">
        <v>0</v>
      </c>
    </row>
    <row r="725" spans="6:6" x14ac:dyDescent="0.5">
      <c r="F725" s="614">
        <v>0</v>
      </c>
    </row>
    <row r="726" spans="6:6" x14ac:dyDescent="0.5">
      <c r="F726" s="614">
        <v>0</v>
      </c>
    </row>
    <row r="727" spans="6:6" x14ac:dyDescent="0.5">
      <c r="F727" s="614">
        <v>0</v>
      </c>
    </row>
    <row r="728" spans="6:6" x14ac:dyDescent="0.5">
      <c r="F728" s="614">
        <v>0</v>
      </c>
    </row>
    <row r="729" spans="6:6" x14ac:dyDescent="0.5">
      <c r="F729" s="614">
        <v>0</v>
      </c>
    </row>
    <row r="730" spans="6:6" x14ac:dyDescent="0.5">
      <c r="F730" s="614">
        <v>0</v>
      </c>
    </row>
    <row r="731" spans="6:6" x14ac:dyDescent="0.5">
      <c r="F731" s="614">
        <v>0</v>
      </c>
    </row>
    <row r="732" spans="6:6" x14ac:dyDescent="0.5">
      <c r="F732" s="614">
        <v>0</v>
      </c>
    </row>
    <row r="733" spans="6:6" x14ac:dyDescent="0.5">
      <c r="F733" s="614">
        <v>0</v>
      </c>
    </row>
    <row r="734" spans="6:6" x14ac:dyDescent="0.5">
      <c r="F734" s="614">
        <v>0</v>
      </c>
    </row>
    <row r="735" spans="6:6" x14ac:dyDescent="0.5">
      <c r="F735" s="614">
        <v>0</v>
      </c>
    </row>
    <row r="736" spans="6:6" x14ac:dyDescent="0.5">
      <c r="F736" s="614">
        <v>0</v>
      </c>
    </row>
    <row r="737" spans="6:6" x14ac:dyDescent="0.5">
      <c r="F737" s="614">
        <v>0</v>
      </c>
    </row>
    <row r="738" spans="6:6" x14ac:dyDescent="0.5">
      <c r="F738" s="614">
        <v>0</v>
      </c>
    </row>
    <row r="739" spans="6:6" x14ac:dyDescent="0.5">
      <c r="F739" s="614">
        <v>0</v>
      </c>
    </row>
    <row r="740" spans="6:6" x14ac:dyDescent="0.5">
      <c r="F740" s="614">
        <v>0</v>
      </c>
    </row>
    <row r="741" spans="6:6" x14ac:dyDescent="0.5">
      <c r="F741" s="614">
        <v>0</v>
      </c>
    </row>
    <row r="742" spans="6:6" x14ac:dyDescent="0.5">
      <c r="F742" s="614">
        <v>0</v>
      </c>
    </row>
    <row r="743" spans="6:6" x14ac:dyDescent="0.5">
      <c r="F743" s="614">
        <v>0</v>
      </c>
    </row>
    <row r="744" spans="6:6" x14ac:dyDescent="0.5">
      <c r="F744" s="614">
        <v>0</v>
      </c>
    </row>
    <row r="745" spans="6:6" x14ac:dyDescent="0.5">
      <c r="F745" s="614">
        <v>0</v>
      </c>
    </row>
    <row r="746" spans="6:6" x14ac:dyDescent="0.5">
      <c r="F746" s="614">
        <v>0</v>
      </c>
    </row>
    <row r="747" spans="6:6" x14ac:dyDescent="0.5">
      <c r="F747" s="614">
        <v>0</v>
      </c>
    </row>
    <row r="748" spans="6:6" x14ac:dyDescent="0.5">
      <c r="F748" s="614">
        <v>0</v>
      </c>
    </row>
    <row r="749" spans="6:6" x14ac:dyDescent="0.5">
      <c r="F749" s="614">
        <v>0</v>
      </c>
    </row>
    <row r="750" spans="6:6" x14ac:dyDescent="0.5">
      <c r="F750" s="614">
        <v>0</v>
      </c>
    </row>
    <row r="751" spans="6:6" x14ac:dyDescent="0.5">
      <c r="F751" s="614">
        <v>0</v>
      </c>
    </row>
    <row r="752" spans="6:6" x14ac:dyDescent="0.5">
      <c r="F752" s="614">
        <v>0</v>
      </c>
    </row>
    <row r="753" spans="6:6" x14ac:dyDescent="0.5">
      <c r="F753" s="614">
        <v>0</v>
      </c>
    </row>
    <row r="754" spans="6:6" x14ac:dyDescent="0.5">
      <c r="F754" s="614">
        <v>0</v>
      </c>
    </row>
    <row r="755" spans="6:6" x14ac:dyDescent="0.5">
      <c r="F755" s="614">
        <v>0</v>
      </c>
    </row>
    <row r="756" spans="6:6" x14ac:dyDescent="0.5">
      <c r="F756" s="614">
        <v>0</v>
      </c>
    </row>
    <row r="757" spans="6:6" x14ac:dyDescent="0.5">
      <c r="F757" s="614">
        <v>0</v>
      </c>
    </row>
    <row r="758" spans="6:6" x14ac:dyDescent="0.5">
      <c r="F758" s="614">
        <v>0</v>
      </c>
    </row>
    <row r="759" spans="6:6" x14ac:dyDescent="0.5">
      <c r="F759" s="614">
        <v>0</v>
      </c>
    </row>
    <row r="760" spans="6:6" x14ac:dyDescent="0.5">
      <c r="F760" s="614">
        <v>0</v>
      </c>
    </row>
    <row r="761" spans="6:6" x14ac:dyDescent="0.5">
      <c r="F761" s="614">
        <v>0</v>
      </c>
    </row>
    <row r="762" spans="6:6" x14ac:dyDescent="0.5">
      <c r="F762" s="614">
        <v>0</v>
      </c>
    </row>
    <row r="763" spans="6:6" x14ac:dyDescent="0.5">
      <c r="F763" s="614">
        <v>0</v>
      </c>
    </row>
    <row r="764" spans="6:6" x14ac:dyDescent="0.5">
      <c r="F764" s="614">
        <v>0</v>
      </c>
    </row>
    <row r="765" spans="6:6" x14ac:dyDescent="0.5">
      <c r="F765" s="614">
        <v>0</v>
      </c>
    </row>
    <row r="766" spans="6:6" x14ac:dyDescent="0.5">
      <c r="F766" s="614">
        <v>0</v>
      </c>
    </row>
    <row r="767" spans="6:6" x14ac:dyDescent="0.5">
      <c r="F767" s="614">
        <v>0</v>
      </c>
    </row>
    <row r="768" spans="6:6" x14ac:dyDescent="0.5">
      <c r="F768" s="614">
        <v>0</v>
      </c>
    </row>
    <row r="769" spans="6:6" x14ac:dyDescent="0.5">
      <c r="F769" s="614">
        <v>0</v>
      </c>
    </row>
    <row r="770" spans="6:6" x14ac:dyDescent="0.5">
      <c r="F770" s="614">
        <v>0</v>
      </c>
    </row>
    <row r="771" spans="6:6" x14ac:dyDescent="0.5">
      <c r="F771" s="614">
        <v>0</v>
      </c>
    </row>
    <row r="772" spans="6:6" x14ac:dyDescent="0.5">
      <c r="F772" s="614">
        <v>0</v>
      </c>
    </row>
    <row r="773" spans="6:6" x14ac:dyDescent="0.5">
      <c r="F773" s="614">
        <v>0</v>
      </c>
    </row>
    <row r="774" spans="6:6" x14ac:dyDescent="0.5">
      <c r="F774" s="614">
        <v>0</v>
      </c>
    </row>
    <row r="775" spans="6:6" x14ac:dyDescent="0.5">
      <c r="F775" s="614">
        <v>0</v>
      </c>
    </row>
    <row r="776" spans="6:6" x14ac:dyDescent="0.5">
      <c r="F776" s="614">
        <v>0</v>
      </c>
    </row>
    <row r="777" spans="6:6" x14ac:dyDescent="0.5">
      <c r="F777" s="614">
        <v>0</v>
      </c>
    </row>
    <row r="778" spans="6:6" x14ac:dyDescent="0.5">
      <c r="F778" s="614">
        <v>0</v>
      </c>
    </row>
    <row r="779" spans="6:6" x14ac:dyDescent="0.5">
      <c r="F779" s="614">
        <v>0</v>
      </c>
    </row>
    <row r="780" spans="6:6" x14ac:dyDescent="0.5">
      <c r="F780" s="614">
        <v>0</v>
      </c>
    </row>
    <row r="781" spans="6:6" x14ac:dyDescent="0.5">
      <c r="F781" s="614">
        <v>0</v>
      </c>
    </row>
    <row r="782" spans="6:6" x14ac:dyDescent="0.5">
      <c r="F782" s="614">
        <v>0</v>
      </c>
    </row>
    <row r="783" spans="6:6" x14ac:dyDescent="0.5">
      <c r="F783" s="614">
        <v>0</v>
      </c>
    </row>
    <row r="784" spans="6:6" x14ac:dyDescent="0.5">
      <c r="F784" s="614">
        <v>0</v>
      </c>
    </row>
    <row r="785" spans="6:6" x14ac:dyDescent="0.5">
      <c r="F785" s="614">
        <v>0</v>
      </c>
    </row>
    <row r="786" spans="6:6" x14ac:dyDescent="0.5">
      <c r="F786" s="614">
        <v>0</v>
      </c>
    </row>
    <row r="787" spans="6:6" x14ac:dyDescent="0.5">
      <c r="F787" s="614">
        <v>0</v>
      </c>
    </row>
    <row r="788" spans="6:6" x14ac:dyDescent="0.5">
      <c r="F788" s="614">
        <v>0</v>
      </c>
    </row>
    <row r="789" spans="6:6" x14ac:dyDescent="0.5">
      <c r="F789" s="614">
        <v>0</v>
      </c>
    </row>
    <row r="790" spans="6:6" x14ac:dyDescent="0.5">
      <c r="F790" s="614">
        <v>0</v>
      </c>
    </row>
    <row r="791" spans="6:6" x14ac:dyDescent="0.5">
      <c r="F791" s="614">
        <v>0</v>
      </c>
    </row>
    <row r="792" spans="6:6" x14ac:dyDescent="0.5">
      <c r="F792" s="614">
        <v>0</v>
      </c>
    </row>
    <row r="793" spans="6:6" x14ac:dyDescent="0.5">
      <c r="F793" s="614">
        <v>0</v>
      </c>
    </row>
    <row r="794" spans="6:6" x14ac:dyDescent="0.5">
      <c r="F794" s="614">
        <v>0</v>
      </c>
    </row>
    <row r="795" spans="6:6" x14ac:dyDescent="0.5">
      <c r="F795" s="614">
        <v>0</v>
      </c>
    </row>
    <row r="796" spans="6:6" x14ac:dyDescent="0.5">
      <c r="F796" s="614">
        <v>0</v>
      </c>
    </row>
    <row r="797" spans="6:6" x14ac:dyDescent="0.5">
      <c r="F797" s="614">
        <v>0</v>
      </c>
    </row>
    <row r="798" spans="6:6" x14ac:dyDescent="0.5">
      <c r="F798" s="614">
        <v>0</v>
      </c>
    </row>
    <row r="799" spans="6:6" x14ac:dyDescent="0.5">
      <c r="F799" s="614">
        <v>0</v>
      </c>
    </row>
    <row r="800" spans="6:6" x14ac:dyDescent="0.5">
      <c r="F800" s="614">
        <v>0</v>
      </c>
    </row>
    <row r="801" spans="6:6" x14ac:dyDescent="0.5">
      <c r="F801" s="614">
        <v>0</v>
      </c>
    </row>
    <row r="802" spans="6:6" x14ac:dyDescent="0.5">
      <c r="F802" s="614">
        <v>0</v>
      </c>
    </row>
    <row r="803" spans="6:6" x14ac:dyDescent="0.5">
      <c r="F803" s="614">
        <v>0</v>
      </c>
    </row>
    <row r="804" spans="6:6" x14ac:dyDescent="0.5">
      <c r="F804" s="614">
        <v>0</v>
      </c>
    </row>
    <row r="805" spans="6:6" x14ac:dyDescent="0.5">
      <c r="F805" s="614">
        <v>0</v>
      </c>
    </row>
    <row r="806" spans="6:6" x14ac:dyDescent="0.5">
      <c r="F806" s="614">
        <v>0</v>
      </c>
    </row>
    <row r="807" spans="6:6" x14ac:dyDescent="0.5">
      <c r="F807" s="614">
        <v>0</v>
      </c>
    </row>
    <row r="808" spans="6:6" x14ac:dyDescent="0.5">
      <c r="F808" s="614">
        <v>0</v>
      </c>
    </row>
    <row r="809" spans="6:6" x14ac:dyDescent="0.5">
      <c r="F809" s="614">
        <v>0</v>
      </c>
    </row>
    <row r="810" spans="6:6" x14ac:dyDescent="0.5">
      <c r="F810" s="614">
        <v>0</v>
      </c>
    </row>
    <row r="811" spans="6:6" x14ac:dyDescent="0.5">
      <c r="F811" s="614">
        <v>0</v>
      </c>
    </row>
    <row r="812" spans="6:6" x14ac:dyDescent="0.5">
      <c r="F812" s="614">
        <v>0</v>
      </c>
    </row>
    <row r="813" spans="6:6" x14ac:dyDescent="0.5">
      <c r="F813" s="614">
        <v>0</v>
      </c>
    </row>
    <row r="814" spans="6:6" x14ac:dyDescent="0.5">
      <c r="F814" s="614">
        <v>0</v>
      </c>
    </row>
    <row r="815" spans="6:6" x14ac:dyDescent="0.5">
      <c r="F815" s="614">
        <v>0</v>
      </c>
    </row>
    <row r="816" spans="6:6" x14ac:dyDescent="0.5">
      <c r="F816" s="614">
        <v>0</v>
      </c>
    </row>
    <row r="817" spans="6:6" x14ac:dyDescent="0.5">
      <c r="F817" s="614">
        <v>0</v>
      </c>
    </row>
    <row r="818" spans="6:6" x14ac:dyDescent="0.5">
      <c r="F818" s="614">
        <v>0</v>
      </c>
    </row>
    <row r="819" spans="6:6" x14ac:dyDescent="0.5">
      <c r="F819" s="614">
        <v>0</v>
      </c>
    </row>
    <row r="820" spans="6:6" x14ac:dyDescent="0.5">
      <c r="F820" s="614">
        <v>0</v>
      </c>
    </row>
    <row r="821" spans="6:6" x14ac:dyDescent="0.5">
      <c r="F821" s="614">
        <v>0</v>
      </c>
    </row>
    <row r="822" spans="6:6" x14ac:dyDescent="0.5">
      <c r="F822" s="614">
        <v>0</v>
      </c>
    </row>
    <row r="823" spans="6:6" x14ac:dyDescent="0.5">
      <c r="F823" s="614">
        <v>0</v>
      </c>
    </row>
    <row r="824" spans="6:6" x14ac:dyDescent="0.5">
      <c r="F824" s="614">
        <v>0</v>
      </c>
    </row>
    <row r="825" spans="6:6" x14ac:dyDescent="0.5">
      <c r="F825" s="614">
        <v>0</v>
      </c>
    </row>
    <row r="826" spans="6:6" x14ac:dyDescent="0.5">
      <c r="F826" s="614">
        <v>0</v>
      </c>
    </row>
    <row r="827" spans="6:6" x14ac:dyDescent="0.5">
      <c r="F827" s="614">
        <v>0</v>
      </c>
    </row>
    <row r="828" spans="6:6" x14ac:dyDescent="0.5">
      <c r="F828" s="614">
        <v>0</v>
      </c>
    </row>
    <row r="829" spans="6:6" x14ac:dyDescent="0.5">
      <c r="F829" s="614">
        <v>0</v>
      </c>
    </row>
    <row r="830" spans="6:6" x14ac:dyDescent="0.5">
      <c r="F830" s="614">
        <v>0</v>
      </c>
    </row>
    <row r="831" spans="6:6" x14ac:dyDescent="0.5">
      <c r="F831" s="614">
        <v>0</v>
      </c>
    </row>
    <row r="832" spans="6:6" x14ac:dyDescent="0.5">
      <c r="F832" s="614">
        <v>0</v>
      </c>
    </row>
    <row r="833" spans="6:6" x14ac:dyDescent="0.5">
      <c r="F833" s="614">
        <v>0</v>
      </c>
    </row>
    <row r="834" spans="6:6" x14ac:dyDescent="0.5">
      <c r="F834" s="614">
        <v>0</v>
      </c>
    </row>
    <row r="835" spans="6:6" x14ac:dyDescent="0.5">
      <c r="F835" s="614">
        <v>0</v>
      </c>
    </row>
    <row r="836" spans="6:6" x14ac:dyDescent="0.5">
      <c r="F836" s="614">
        <v>0</v>
      </c>
    </row>
    <row r="837" spans="6:6" x14ac:dyDescent="0.5">
      <c r="F837" s="614">
        <v>0</v>
      </c>
    </row>
    <row r="838" spans="6:6" x14ac:dyDescent="0.5">
      <c r="F838" s="614">
        <v>0</v>
      </c>
    </row>
    <row r="839" spans="6:6" x14ac:dyDescent="0.5">
      <c r="F839" s="614">
        <v>0</v>
      </c>
    </row>
    <row r="840" spans="6:6" x14ac:dyDescent="0.5">
      <c r="F840" s="614">
        <v>0</v>
      </c>
    </row>
    <row r="841" spans="6:6" x14ac:dyDescent="0.5">
      <c r="F841" s="614">
        <v>0</v>
      </c>
    </row>
    <row r="842" spans="6:6" x14ac:dyDescent="0.5">
      <c r="F842" s="614">
        <v>0</v>
      </c>
    </row>
    <row r="843" spans="6:6" x14ac:dyDescent="0.5">
      <c r="F843" s="614">
        <v>0</v>
      </c>
    </row>
    <row r="844" spans="6:6" x14ac:dyDescent="0.5">
      <c r="F844" s="614">
        <v>0</v>
      </c>
    </row>
    <row r="845" spans="6:6" x14ac:dyDescent="0.5">
      <c r="F845" s="614">
        <v>0</v>
      </c>
    </row>
    <row r="846" spans="6:6" x14ac:dyDescent="0.5">
      <c r="F846" s="614">
        <v>0</v>
      </c>
    </row>
    <row r="847" spans="6:6" x14ac:dyDescent="0.5">
      <c r="F847" s="614">
        <v>0</v>
      </c>
    </row>
    <row r="848" spans="6:6" x14ac:dyDescent="0.5">
      <c r="F848" s="614">
        <v>0</v>
      </c>
    </row>
    <row r="849" spans="6:6" x14ac:dyDescent="0.5">
      <c r="F849" s="614">
        <v>0</v>
      </c>
    </row>
    <row r="850" spans="6:6" x14ac:dyDescent="0.5">
      <c r="F850" s="614">
        <v>0</v>
      </c>
    </row>
    <row r="851" spans="6:6" x14ac:dyDescent="0.5">
      <c r="F851" s="614">
        <v>0</v>
      </c>
    </row>
    <row r="852" spans="6:6" x14ac:dyDescent="0.5">
      <c r="F852" s="614">
        <v>0</v>
      </c>
    </row>
    <row r="853" spans="6:6" x14ac:dyDescent="0.5">
      <c r="F853" s="614">
        <v>0</v>
      </c>
    </row>
    <row r="854" spans="6:6" x14ac:dyDescent="0.5">
      <c r="F854" s="614">
        <v>0</v>
      </c>
    </row>
    <row r="855" spans="6:6" x14ac:dyDescent="0.5">
      <c r="F855" s="614">
        <v>0</v>
      </c>
    </row>
    <row r="856" spans="6:6" x14ac:dyDescent="0.5">
      <c r="F856" s="614">
        <v>0</v>
      </c>
    </row>
    <row r="857" spans="6:6" x14ac:dyDescent="0.5">
      <c r="F857" s="614">
        <v>0</v>
      </c>
    </row>
    <row r="858" spans="6:6" x14ac:dyDescent="0.5">
      <c r="F858" s="614">
        <v>0</v>
      </c>
    </row>
    <row r="859" spans="6:6" x14ac:dyDescent="0.5">
      <c r="F859" s="614">
        <v>0</v>
      </c>
    </row>
    <row r="860" spans="6:6" x14ac:dyDescent="0.5">
      <c r="F860" s="614">
        <v>0</v>
      </c>
    </row>
    <row r="861" spans="6:6" x14ac:dyDescent="0.5">
      <c r="F861" s="614">
        <v>0</v>
      </c>
    </row>
    <row r="862" spans="6:6" x14ac:dyDescent="0.5">
      <c r="F862" s="614">
        <v>0</v>
      </c>
    </row>
    <row r="863" spans="6:6" x14ac:dyDescent="0.5">
      <c r="F863" s="614">
        <v>0</v>
      </c>
    </row>
    <row r="864" spans="6:6" x14ac:dyDescent="0.5">
      <c r="F864" s="614">
        <v>0</v>
      </c>
    </row>
    <row r="865" spans="6:6" x14ac:dyDescent="0.5">
      <c r="F865" s="614">
        <v>0</v>
      </c>
    </row>
    <row r="866" spans="6:6" x14ac:dyDescent="0.5">
      <c r="F866" s="614">
        <v>0</v>
      </c>
    </row>
    <row r="867" spans="6:6" x14ac:dyDescent="0.5">
      <c r="F867" s="614">
        <v>0</v>
      </c>
    </row>
    <row r="868" spans="6:6" x14ac:dyDescent="0.5">
      <c r="F868" s="614">
        <v>0</v>
      </c>
    </row>
    <row r="869" spans="6:6" x14ac:dyDescent="0.5">
      <c r="F869" s="614">
        <v>0</v>
      </c>
    </row>
    <row r="870" spans="6:6" x14ac:dyDescent="0.5">
      <c r="F870" s="614">
        <v>0</v>
      </c>
    </row>
    <row r="871" spans="6:6" x14ac:dyDescent="0.5">
      <c r="F871" s="614">
        <v>0</v>
      </c>
    </row>
    <row r="872" spans="6:6" x14ac:dyDescent="0.5">
      <c r="F872" s="614">
        <v>0</v>
      </c>
    </row>
    <row r="873" spans="6:6" x14ac:dyDescent="0.5">
      <c r="F873" s="614">
        <v>0</v>
      </c>
    </row>
    <row r="874" spans="6:6" x14ac:dyDescent="0.5">
      <c r="F874" s="614">
        <v>0</v>
      </c>
    </row>
    <row r="875" spans="6:6" x14ac:dyDescent="0.5">
      <c r="F875" s="614">
        <v>0</v>
      </c>
    </row>
    <row r="876" spans="6:6" x14ac:dyDescent="0.5">
      <c r="F876" s="614">
        <v>0</v>
      </c>
    </row>
    <row r="877" spans="6:6" x14ac:dyDescent="0.5">
      <c r="F877" s="614">
        <v>0</v>
      </c>
    </row>
    <row r="878" spans="6:6" x14ac:dyDescent="0.5">
      <c r="F878" s="614">
        <v>0</v>
      </c>
    </row>
    <row r="879" spans="6:6" x14ac:dyDescent="0.5">
      <c r="F879" s="614">
        <v>0</v>
      </c>
    </row>
    <row r="880" spans="6:6" x14ac:dyDescent="0.5">
      <c r="F880" s="614">
        <v>0</v>
      </c>
    </row>
    <row r="881" spans="6:6" x14ac:dyDescent="0.5">
      <c r="F881" s="614">
        <v>0</v>
      </c>
    </row>
    <row r="882" spans="6:6" x14ac:dyDescent="0.5">
      <c r="F882" s="614">
        <v>0</v>
      </c>
    </row>
    <row r="883" spans="6:6" x14ac:dyDescent="0.5">
      <c r="F883" s="614">
        <v>0</v>
      </c>
    </row>
    <row r="884" spans="6:6" x14ac:dyDescent="0.5">
      <c r="F884" s="614">
        <v>0</v>
      </c>
    </row>
    <row r="885" spans="6:6" x14ac:dyDescent="0.5">
      <c r="F885" s="614">
        <v>0</v>
      </c>
    </row>
    <row r="886" spans="6:6" x14ac:dyDescent="0.5">
      <c r="F886" s="614">
        <v>0</v>
      </c>
    </row>
    <row r="887" spans="6:6" x14ac:dyDescent="0.5">
      <c r="F887" s="614">
        <v>0</v>
      </c>
    </row>
    <row r="888" spans="6:6" x14ac:dyDescent="0.5">
      <c r="F888" s="614">
        <v>0</v>
      </c>
    </row>
    <row r="889" spans="6:6" x14ac:dyDescent="0.5">
      <c r="F889" s="614">
        <v>0</v>
      </c>
    </row>
    <row r="890" spans="6:6" x14ac:dyDescent="0.5">
      <c r="F890" s="614">
        <v>0</v>
      </c>
    </row>
    <row r="891" spans="6:6" x14ac:dyDescent="0.5">
      <c r="F891" s="614">
        <v>0</v>
      </c>
    </row>
    <row r="892" spans="6:6" x14ac:dyDescent="0.5">
      <c r="F892" s="614">
        <v>0</v>
      </c>
    </row>
    <row r="893" spans="6:6" x14ac:dyDescent="0.5">
      <c r="F893" s="614">
        <v>0</v>
      </c>
    </row>
    <row r="894" spans="6:6" x14ac:dyDescent="0.5">
      <c r="F894" s="614">
        <v>0</v>
      </c>
    </row>
    <row r="895" spans="6:6" x14ac:dyDescent="0.5">
      <c r="F895" s="614">
        <v>0</v>
      </c>
    </row>
    <row r="896" spans="6:6" x14ac:dyDescent="0.5">
      <c r="F896" s="614">
        <v>0</v>
      </c>
    </row>
    <row r="897" spans="6:6" x14ac:dyDescent="0.5">
      <c r="F897" s="614">
        <v>0</v>
      </c>
    </row>
    <row r="898" spans="6:6" x14ac:dyDescent="0.5">
      <c r="F898" s="614">
        <v>0</v>
      </c>
    </row>
    <row r="899" spans="6:6" x14ac:dyDescent="0.5">
      <c r="F899" s="614">
        <v>0</v>
      </c>
    </row>
    <row r="900" spans="6:6" x14ac:dyDescent="0.5">
      <c r="F900" s="614">
        <v>0</v>
      </c>
    </row>
    <row r="901" spans="6:6" x14ac:dyDescent="0.5">
      <c r="F901" s="614">
        <v>0</v>
      </c>
    </row>
    <row r="902" spans="6:6" x14ac:dyDescent="0.5">
      <c r="F902" s="614">
        <v>0</v>
      </c>
    </row>
    <row r="903" spans="6:6" x14ac:dyDescent="0.5">
      <c r="F903" s="614">
        <v>0</v>
      </c>
    </row>
    <row r="904" spans="6:6" x14ac:dyDescent="0.5">
      <c r="F904" s="614">
        <v>0</v>
      </c>
    </row>
    <row r="905" spans="6:6" x14ac:dyDescent="0.5">
      <c r="F905" s="614">
        <v>0</v>
      </c>
    </row>
    <row r="906" spans="6:6" x14ac:dyDescent="0.5">
      <c r="F906" s="614">
        <v>0</v>
      </c>
    </row>
    <row r="907" spans="6:6" x14ac:dyDescent="0.5">
      <c r="F907" s="614">
        <v>0</v>
      </c>
    </row>
    <row r="908" spans="6:6" x14ac:dyDescent="0.5">
      <c r="F908" s="614">
        <v>0</v>
      </c>
    </row>
    <row r="909" spans="6:6" x14ac:dyDescent="0.5">
      <c r="F909" s="614">
        <v>0</v>
      </c>
    </row>
    <row r="910" spans="6:6" x14ac:dyDescent="0.5">
      <c r="F910" s="614">
        <v>0</v>
      </c>
    </row>
    <row r="911" spans="6:6" x14ac:dyDescent="0.5">
      <c r="F911" s="614">
        <v>0</v>
      </c>
    </row>
    <row r="912" spans="6:6" x14ac:dyDescent="0.5">
      <c r="F912" s="614">
        <v>0</v>
      </c>
    </row>
    <row r="913" spans="6:6" x14ac:dyDescent="0.5">
      <c r="F913" s="614">
        <v>0</v>
      </c>
    </row>
    <row r="914" spans="6:6" x14ac:dyDescent="0.5">
      <c r="F914" s="614">
        <v>0</v>
      </c>
    </row>
    <row r="915" spans="6:6" x14ac:dyDescent="0.5">
      <c r="F915" s="614">
        <v>0</v>
      </c>
    </row>
    <row r="916" spans="6:6" x14ac:dyDescent="0.5">
      <c r="F916" s="614">
        <v>0</v>
      </c>
    </row>
    <row r="917" spans="6:6" x14ac:dyDescent="0.5">
      <c r="F917" s="614">
        <v>0</v>
      </c>
    </row>
    <row r="918" spans="6:6" x14ac:dyDescent="0.5">
      <c r="F918" s="614">
        <v>0</v>
      </c>
    </row>
    <row r="919" spans="6:6" x14ac:dyDescent="0.5">
      <c r="F919" s="614">
        <v>0</v>
      </c>
    </row>
    <row r="920" spans="6:6" x14ac:dyDescent="0.5">
      <c r="F920" s="614">
        <v>0</v>
      </c>
    </row>
    <row r="921" spans="6:6" x14ac:dyDescent="0.5">
      <c r="F921" s="614">
        <v>0</v>
      </c>
    </row>
    <row r="922" spans="6:6" x14ac:dyDescent="0.5">
      <c r="F922" s="614">
        <v>0</v>
      </c>
    </row>
    <row r="923" spans="6:6" x14ac:dyDescent="0.5">
      <c r="F923" s="614">
        <v>0</v>
      </c>
    </row>
    <row r="924" spans="6:6" x14ac:dyDescent="0.5">
      <c r="F924" s="614">
        <v>0</v>
      </c>
    </row>
    <row r="925" spans="6:6" x14ac:dyDescent="0.5">
      <c r="F925" s="614">
        <v>0</v>
      </c>
    </row>
    <row r="926" spans="6:6" x14ac:dyDescent="0.5">
      <c r="F926" s="614">
        <v>0</v>
      </c>
    </row>
    <row r="927" spans="6:6" x14ac:dyDescent="0.5">
      <c r="F927" s="614">
        <v>0</v>
      </c>
    </row>
    <row r="928" spans="6:6" x14ac:dyDescent="0.5">
      <c r="F928" s="614">
        <v>0</v>
      </c>
    </row>
    <row r="929" spans="6:6" x14ac:dyDescent="0.5">
      <c r="F929" s="614">
        <v>0</v>
      </c>
    </row>
    <row r="930" spans="6:6" x14ac:dyDescent="0.5">
      <c r="F930" s="614">
        <v>0</v>
      </c>
    </row>
    <row r="931" spans="6:6" x14ac:dyDescent="0.5">
      <c r="F931" s="614">
        <v>0</v>
      </c>
    </row>
    <row r="932" spans="6:6" x14ac:dyDescent="0.5">
      <c r="F932" s="614">
        <v>0</v>
      </c>
    </row>
    <row r="933" spans="6:6" x14ac:dyDescent="0.5">
      <c r="F933" s="614">
        <v>0</v>
      </c>
    </row>
    <row r="934" spans="6:6" x14ac:dyDescent="0.5">
      <c r="F934" s="614">
        <v>0</v>
      </c>
    </row>
    <row r="935" spans="6:6" x14ac:dyDescent="0.5">
      <c r="F935" s="614">
        <v>0</v>
      </c>
    </row>
    <row r="936" spans="6:6" x14ac:dyDescent="0.5">
      <c r="F936" s="614">
        <v>0</v>
      </c>
    </row>
    <row r="937" spans="6:6" x14ac:dyDescent="0.5">
      <c r="F937" s="614">
        <v>0</v>
      </c>
    </row>
    <row r="938" spans="6:6" x14ac:dyDescent="0.5">
      <c r="F938" s="614">
        <v>0</v>
      </c>
    </row>
    <row r="939" spans="6:6" x14ac:dyDescent="0.5">
      <c r="F939" s="614">
        <v>0</v>
      </c>
    </row>
    <row r="940" spans="6:6" x14ac:dyDescent="0.5">
      <c r="F940" s="614">
        <v>0</v>
      </c>
    </row>
    <row r="941" spans="6:6" x14ac:dyDescent="0.5">
      <c r="F941" s="614">
        <v>0</v>
      </c>
    </row>
    <row r="942" spans="6:6" x14ac:dyDescent="0.5">
      <c r="F942" s="614">
        <v>0</v>
      </c>
    </row>
    <row r="943" spans="6:6" x14ac:dyDescent="0.5">
      <c r="F943" s="614">
        <v>0</v>
      </c>
    </row>
    <row r="944" spans="6:6" x14ac:dyDescent="0.5">
      <c r="F944" s="614">
        <v>0</v>
      </c>
    </row>
    <row r="945" spans="6:6" x14ac:dyDescent="0.5">
      <c r="F945" s="614">
        <v>0</v>
      </c>
    </row>
    <row r="946" spans="6:6" x14ac:dyDescent="0.5">
      <c r="F946" s="614">
        <v>0</v>
      </c>
    </row>
    <row r="947" spans="6:6" x14ac:dyDescent="0.5">
      <c r="F947" s="614">
        <v>0</v>
      </c>
    </row>
    <row r="948" spans="6:6" x14ac:dyDescent="0.5">
      <c r="F948" s="614">
        <v>0</v>
      </c>
    </row>
    <row r="949" spans="6:6" x14ac:dyDescent="0.5">
      <c r="F949" s="614">
        <v>0</v>
      </c>
    </row>
    <row r="950" spans="6:6" x14ac:dyDescent="0.5">
      <c r="F950" s="614">
        <v>0</v>
      </c>
    </row>
    <row r="951" spans="6:6" x14ac:dyDescent="0.5">
      <c r="F951" s="614">
        <v>0</v>
      </c>
    </row>
    <row r="952" spans="6:6" x14ac:dyDescent="0.5">
      <c r="F952" s="614">
        <v>0</v>
      </c>
    </row>
    <row r="953" spans="6:6" x14ac:dyDescent="0.5">
      <c r="F953" s="614">
        <v>0</v>
      </c>
    </row>
    <row r="954" spans="6:6" x14ac:dyDescent="0.5">
      <c r="F954" s="614">
        <v>0</v>
      </c>
    </row>
    <row r="955" spans="6:6" x14ac:dyDescent="0.5">
      <c r="F955" s="614">
        <v>0</v>
      </c>
    </row>
    <row r="956" spans="6:6" x14ac:dyDescent="0.5">
      <c r="F956" s="614">
        <v>0</v>
      </c>
    </row>
    <row r="957" spans="6:6" x14ac:dyDescent="0.5">
      <c r="F957" s="614">
        <v>0</v>
      </c>
    </row>
    <row r="958" spans="6:6" x14ac:dyDescent="0.5">
      <c r="F958" s="614">
        <v>0</v>
      </c>
    </row>
    <row r="959" spans="6:6" x14ac:dyDescent="0.5">
      <c r="F959" s="614">
        <v>0</v>
      </c>
    </row>
    <row r="960" spans="6:6" x14ac:dyDescent="0.5">
      <c r="F960" s="614">
        <v>0</v>
      </c>
    </row>
    <row r="961" spans="6:6" x14ac:dyDescent="0.5">
      <c r="F961" s="614">
        <v>0</v>
      </c>
    </row>
    <row r="962" spans="6:6" x14ac:dyDescent="0.5">
      <c r="F962" s="614">
        <v>0</v>
      </c>
    </row>
    <row r="963" spans="6:6" x14ac:dyDescent="0.5">
      <c r="F963" s="614">
        <v>0</v>
      </c>
    </row>
    <row r="964" spans="6:6" x14ac:dyDescent="0.5">
      <c r="F964" s="614">
        <v>0</v>
      </c>
    </row>
    <row r="965" spans="6:6" x14ac:dyDescent="0.5">
      <c r="F965" s="614">
        <v>0</v>
      </c>
    </row>
    <row r="966" spans="6:6" x14ac:dyDescent="0.5">
      <c r="F966" s="614">
        <v>0</v>
      </c>
    </row>
    <row r="967" spans="6:6" x14ac:dyDescent="0.5">
      <c r="F967" s="614">
        <v>0</v>
      </c>
    </row>
    <row r="968" spans="6:6" x14ac:dyDescent="0.5">
      <c r="F968" s="614">
        <v>0</v>
      </c>
    </row>
    <row r="969" spans="6:6" x14ac:dyDescent="0.5">
      <c r="F969" s="614">
        <v>0</v>
      </c>
    </row>
    <row r="970" spans="6:6" x14ac:dyDescent="0.5">
      <c r="F970" s="614">
        <v>0</v>
      </c>
    </row>
    <row r="971" spans="6:6" x14ac:dyDescent="0.5">
      <c r="F971" s="614">
        <v>0</v>
      </c>
    </row>
    <row r="972" spans="6:6" x14ac:dyDescent="0.5">
      <c r="F972" s="614">
        <v>0</v>
      </c>
    </row>
    <row r="973" spans="6:6" x14ac:dyDescent="0.5">
      <c r="F973" s="614">
        <v>0</v>
      </c>
    </row>
    <row r="974" spans="6:6" x14ac:dyDescent="0.5">
      <c r="F974" s="614">
        <v>0</v>
      </c>
    </row>
    <row r="975" spans="6:6" x14ac:dyDescent="0.5">
      <c r="F975" s="614">
        <v>0</v>
      </c>
    </row>
    <row r="976" spans="6:6" x14ac:dyDescent="0.5">
      <c r="F976" s="614">
        <v>0</v>
      </c>
    </row>
    <row r="977" spans="6:6" x14ac:dyDescent="0.5">
      <c r="F977" s="614">
        <v>0</v>
      </c>
    </row>
    <row r="978" spans="6:6" x14ac:dyDescent="0.5">
      <c r="F978" s="614">
        <v>0</v>
      </c>
    </row>
    <row r="979" spans="6:6" x14ac:dyDescent="0.5">
      <c r="F979" s="614">
        <v>0</v>
      </c>
    </row>
    <row r="980" spans="6:6" x14ac:dyDescent="0.5">
      <c r="F980" s="614">
        <v>0</v>
      </c>
    </row>
    <row r="981" spans="6:6" x14ac:dyDescent="0.5">
      <c r="F981" s="614">
        <v>0</v>
      </c>
    </row>
    <row r="982" spans="6:6" x14ac:dyDescent="0.5">
      <c r="F982" s="614">
        <v>0</v>
      </c>
    </row>
    <row r="983" spans="6:6" x14ac:dyDescent="0.5">
      <c r="F983" s="614">
        <v>0</v>
      </c>
    </row>
    <row r="984" spans="6:6" x14ac:dyDescent="0.5">
      <c r="F984" s="614">
        <v>0</v>
      </c>
    </row>
    <row r="985" spans="6:6" x14ac:dyDescent="0.5">
      <c r="F985" s="614">
        <v>0</v>
      </c>
    </row>
    <row r="986" spans="6:6" x14ac:dyDescent="0.5">
      <c r="F986" s="614">
        <v>0</v>
      </c>
    </row>
    <row r="987" spans="6:6" x14ac:dyDescent="0.5">
      <c r="F987" s="614">
        <v>0</v>
      </c>
    </row>
    <row r="988" spans="6:6" x14ac:dyDescent="0.5">
      <c r="F988" s="614">
        <v>0</v>
      </c>
    </row>
    <row r="989" spans="6:6" x14ac:dyDescent="0.5">
      <c r="F989" s="614">
        <v>0</v>
      </c>
    </row>
    <row r="990" spans="6:6" x14ac:dyDescent="0.5">
      <c r="F990" s="614">
        <v>0</v>
      </c>
    </row>
    <row r="991" spans="6:6" x14ac:dyDescent="0.5">
      <c r="F991" s="614">
        <v>0</v>
      </c>
    </row>
    <row r="992" spans="6:6" x14ac:dyDescent="0.5">
      <c r="F992" s="614">
        <v>0</v>
      </c>
    </row>
    <row r="993" spans="6:6" x14ac:dyDescent="0.5">
      <c r="F993" s="614">
        <v>0</v>
      </c>
    </row>
    <row r="994" spans="6:6" x14ac:dyDescent="0.5">
      <c r="F994" s="614">
        <v>0</v>
      </c>
    </row>
    <row r="995" spans="6:6" x14ac:dyDescent="0.5">
      <c r="F995" s="614">
        <v>0</v>
      </c>
    </row>
    <row r="996" spans="6:6" x14ac:dyDescent="0.5">
      <c r="F996" s="614">
        <v>0</v>
      </c>
    </row>
    <row r="997" spans="6:6" x14ac:dyDescent="0.5">
      <c r="F997" s="614">
        <v>0</v>
      </c>
    </row>
    <row r="998" spans="6:6" x14ac:dyDescent="0.5">
      <c r="F998" s="614">
        <v>0</v>
      </c>
    </row>
    <row r="999" spans="6:6" x14ac:dyDescent="0.5">
      <c r="F999" s="614">
        <v>0</v>
      </c>
    </row>
    <row r="1000" spans="6:6" x14ac:dyDescent="0.5">
      <c r="F1000" s="614">
        <v>0</v>
      </c>
    </row>
    <row r="1001" spans="6:6" x14ac:dyDescent="0.5">
      <c r="F1001" s="614">
        <v>0</v>
      </c>
    </row>
    <row r="1002" spans="6:6" x14ac:dyDescent="0.5">
      <c r="F1002" s="614">
        <v>0</v>
      </c>
    </row>
    <row r="1003" spans="6:6" x14ac:dyDescent="0.5">
      <c r="F1003" s="614">
        <v>0</v>
      </c>
    </row>
    <row r="1004" spans="6:6" x14ac:dyDescent="0.5">
      <c r="F1004" s="614">
        <v>0</v>
      </c>
    </row>
    <row r="1005" spans="6:6" x14ac:dyDescent="0.5">
      <c r="F1005" s="614">
        <v>0</v>
      </c>
    </row>
    <row r="1006" spans="6:6" x14ac:dyDescent="0.5">
      <c r="F1006" s="614">
        <v>0</v>
      </c>
    </row>
    <row r="1007" spans="6:6" x14ac:dyDescent="0.5">
      <c r="F1007" s="614">
        <v>0</v>
      </c>
    </row>
    <row r="1008" spans="6:6" x14ac:dyDescent="0.5">
      <c r="F1008" s="614">
        <v>0</v>
      </c>
    </row>
    <row r="1009" spans="6:6" x14ac:dyDescent="0.5">
      <c r="F1009" s="614">
        <v>0</v>
      </c>
    </row>
    <row r="1010" spans="6:6" x14ac:dyDescent="0.5">
      <c r="F1010" s="614">
        <v>0</v>
      </c>
    </row>
    <row r="1011" spans="6:6" x14ac:dyDescent="0.5">
      <c r="F1011" s="614">
        <v>0</v>
      </c>
    </row>
    <row r="1012" spans="6:6" x14ac:dyDescent="0.5">
      <c r="F1012" s="614">
        <v>0</v>
      </c>
    </row>
    <row r="1013" spans="6:6" x14ac:dyDescent="0.5">
      <c r="F1013" s="614">
        <v>0</v>
      </c>
    </row>
    <row r="1014" spans="6:6" x14ac:dyDescent="0.5">
      <c r="F1014" s="614">
        <v>0</v>
      </c>
    </row>
    <row r="1015" spans="6:6" x14ac:dyDescent="0.5">
      <c r="F1015" s="614">
        <v>0</v>
      </c>
    </row>
    <row r="1016" spans="6:6" x14ac:dyDescent="0.5">
      <c r="F1016" s="614">
        <v>0</v>
      </c>
    </row>
    <row r="1017" spans="6:6" x14ac:dyDescent="0.5">
      <c r="F1017" s="614">
        <v>0</v>
      </c>
    </row>
    <row r="1018" spans="6:6" x14ac:dyDescent="0.5">
      <c r="F1018" s="614">
        <v>0</v>
      </c>
    </row>
    <row r="1019" spans="6:6" x14ac:dyDescent="0.5">
      <c r="F1019" s="614">
        <v>0</v>
      </c>
    </row>
    <row r="1020" spans="6:6" x14ac:dyDescent="0.5">
      <c r="F1020" s="614">
        <v>0</v>
      </c>
    </row>
    <row r="1021" spans="6:6" x14ac:dyDescent="0.5">
      <c r="F1021" s="614">
        <v>0</v>
      </c>
    </row>
    <row r="1022" spans="6:6" x14ac:dyDescent="0.5">
      <c r="F1022" s="614">
        <v>0</v>
      </c>
    </row>
    <row r="1023" spans="6:6" x14ac:dyDescent="0.5">
      <c r="F1023" s="614">
        <v>0</v>
      </c>
    </row>
    <row r="1024" spans="6:6" x14ac:dyDescent="0.5">
      <c r="F1024" s="614">
        <v>0</v>
      </c>
    </row>
    <row r="1025" spans="6:6" x14ac:dyDescent="0.5">
      <c r="F1025" s="614">
        <v>0</v>
      </c>
    </row>
    <row r="1026" spans="6:6" x14ac:dyDescent="0.5">
      <c r="F1026" s="614">
        <v>0</v>
      </c>
    </row>
    <row r="1027" spans="6:6" x14ac:dyDescent="0.5">
      <c r="F1027" s="614">
        <v>0</v>
      </c>
    </row>
    <row r="1028" spans="6:6" x14ac:dyDescent="0.5">
      <c r="F1028" s="614">
        <v>0</v>
      </c>
    </row>
    <row r="1029" spans="6:6" x14ac:dyDescent="0.5">
      <c r="F1029" s="614">
        <v>0</v>
      </c>
    </row>
    <row r="1030" spans="6:6" x14ac:dyDescent="0.5">
      <c r="F1030" s="614">
        <v>0</v>
      </c>
    </row>
    <row r="1031" spans="6:6" x14ac:dyDescent="0.5">
      <c r="F1031" s="614">
        <v>0</v>
      </c>
    </row>
    <row r="1032" spans="6:6" x14ac:dyDescent="0.5">
      <c r="F1032" s="614">
        <v>0</v>
      </c>
    </row>
    <row r="1033" spans="6:6" x14ac:dyDescent="0.5">
      <c r="F1033" s="614">
        <v>0</v>
      </c>
    </row>
    <row r="1034" spans="6:6" x14ac:dyDescent="0.5">
      <c r="F1034" s="614">
        <v>0</v>
      </c>
    </row>
    <row r="1035" spans="6:6" x14ac:dyDescent="0.5">
      <c r="F1035" s="614">
        <v>0</v>
      </c>
    </row>
    <row r="1036" spans="6:6" x14ac:dyDescent="0.5">
      <c r="F1036" s="614">
        <v>0</v>
      </c>
    </row>
    <row r="1037" spans="6:6" x14ac:dyDescent="0.5">
      <c r="F1037" s="614">
        <v>0</v>
      </c>
    </row>
    <row r="1038" spans="6:6" x14ac:dyDescent="0.5">
      <c r="F1038" s="614">
        <v>0</v>
      </c>
    </row>
    <row r="1039" spans="6:6" x14ac:dyDescent="0.5">
      <c r="F1039" s="614">
        <v>0</v>
      </c>
    </row>
    <row r="1040" spans="6:6" x14ac:dyDescent="0.5">
      <c r="F1040" s="614">
        <v>0</v>
      </c>
    </row>
    <row r="1041" spans="6:6" x14ac:dyDescent="0.5">
      <c r="F1041" s="614">
        <v>0</v>
      </c>
    </row>
    <row r="1042" spans="6:6" x14ac:dyDescent="0.5">
      <c r="F1042" s="614">
        <v>0</v>
      </c>
    </row>
    <row r="1043" spans="6:6" x14ac:dyDescent="0.5">
      <c r="F1043" s="614">
        <v>0</v>
      </c>
    </row>
    <row r="1044" spans="6:6" x14ac:dyDescent="0.5">
      <c r="F1044" s="614">
        <v>0</v>
      </c>
    </row>
    <row r="1045" spans="6:6" x14ac:dyDescent="0.5">
      <c r="F1045" s="614">
        <v>0</v>
      </c>
    </row>
    <row r="1046" spans="6:6" x14ac:dyDescent="0.5">
      <c r="F1046" s="614">
        <v>0</v>
      </c>
    </row>
    <row r="1047" spans="6:6" x14ac:dyDescent="0.5">
      <c r="F1047" s="614">
        <v>0</v>
      </c>
    </row>
    <row r="1048" spans="6:6" x14ac:dyDescent="0.5">
      <c r="F1048" s="614">
        <v>0</v>
      </c>
    </row>
    <row r="1049" spans="6:6" x14ac:dyDescent="0.5">
      <c r="F1049" s="614">
        <v>0</v>
      </c>
    </row>
    <row r="1050" spans="6:6" x14ac:dyDescent="0.5">
      <c r="F1050" s="614">
        <v>0</v>
      </c>
    </row>
    <row r="1051" spans="6:6" x14ac:dyDescent="0.5">
      <c r="F1051" s="614">
        <v>0</v>
      </c>
    </row>
    <row r="1052" spans="6:6" x14ac:dyDescent="0.5">
      <c r="F1052" s="614">
        <v>0</v>
      </c>
    </row>
    <row r="1053" spans="6:6" x14ac:dyDescent="0.5">
      <c r="F1053" s="614">
        <v>0</v>
      </c>
    </row>
    <row r="1054" spans="6:6" x14ac:dyDescent="0.5">
      <c r="F1054" s="614">
        <v>0</v>
      </c>
    </row>
    <row r="1055" spans="6:6" x14ac:dyDescent="0.5">
      <c r="F1055" s="614">
        <v>0</v>
      </c>
    </row>
    <row r="1056" spans="6:6" x14ac:dyDescent="0.5">
      <c r="F1056" s="614">
        <v>0</v>
      </c>
    </row>
    <row r="1057" spans="6:6" x14ac:dyDescent="0.5">
      <c r="F1057" s="614">
        <v>0</v>
      </c>
    </row>
    <row r="1058" spans="6:6" x14ac:dyDescent="0.5">
      <c r="F1058" s="614">
        <v>0</v>
      </c>
    </row>
    <row r="1059" spans="6:6" x14ac:dyDescent="0.5">
      <c r="F1059" s="614">
        <v>0</v>
      </c>
    </row>
    <row r="1060" spans="6:6" x14ac:dyDescent="0.5">
      <c r="F1060" s="614">
        <v>0</v>
      </c>
    </row>
    <row r="1061" spans="6:6" x14ac:dyDescent="0.5">
      <c r="F1061" s="614">
        <v>0</v>
      </c>
    </row>
    <row r="1062" spans="6:6" x14ac:dyDescent="0.5">
      <c r="F1062" s="614">
        <v>0</v>
      </c>
    </row>
    <row r="1063" spans="6:6" x14ac:dyDescent="0.5">
      <c r="F1063" s="614">
        <v>0</v>
      </c>
    </row>
    <row r="1064" spans="6:6" x14ac:dyDescent="0.5">
      <c r="F1064" s="614">
        <v>0</v>
      </c>
    </row>
    <row r="1065" spans="6:6" x14ac:dyDescent="0.5">
      <c r="F1065" s="614">
        <v>0</v>
      </c>
    </row>
    <row r="1066" spans="6:6" x14ac:dyDescent="0.5">
      <c r="F1066" s="614">
        <v>0</v>
      </c>
    </row>
    <row r="1067" spans="6:6" x14ac:dyDescent="0.5">
      <c r="F1067" s="614">
        <v>0</v>
      </c>
    </row>
    <row r="1068" spans="6:6" x14ac:dyDescent="0.5">
      <c r="F1068" s="614">
        <v>0</v>
      </c>
    </row>
    <row r="1069" spans="6:6" x14ac:dyDescent="0.5">
      <c r="F1069" s="614">
        <v>0</v>
      </c>
    </row>
    <row r="1070" spans="6:6" x14ac:dyDescent="0.5">
      <c r="F1070" s="614">
        <v>0</v>
      </c>
    </row>
    <row r="1071" spans="6:6" x14ac:dyDescent="0.5">
      <c r="F1071" s="614">
        <v>0</v>
      </c>
    </row>
    <row r="1072" spans="6:6" x14ac:dyDescent="0.5">
      <c r="F1072" s="614">
        <v>0</v>
      </c>
    </row>
    <row r="1073" spans="6:6" x14ac:dyDescent="0.5">
      <c r="F1073" s="614">
        <v>0</v>
      </c>
    </row>
    <row r="1074" spans="6:6" x14ac:dyDescent="0.5">
      <c r="F1074" s="614">
        <v>0</v>
      </c>
    </row>
    <row r="1075" spans="6:6" x14ac:dyDescent="0.5">
      <c r="F1075" s="614">
        <v>0</v>
      </c>
    </row>
    <row r="1076" spans="6:6" x14ac:dyDescent="0.5">
      <c r="F1076" s="614">
        <v>0</v>
      </c>
    </row>
    <row r="1077" spans="6:6" x14ac:dyDescent="0.5">
      <c r="F1077" s="614">
        <v>0</v>
      </c>
    </row>
    <row r="1078" spans="6:6" x14ac:dyDescent="0.5">
      <c r="F1078" s="614">
        <v>0</v>
      </c>
    </row>
    <row r="1079" spans="6:6" x14ac:dyDescent="0.5">
      <c r="F1079" s="614">
        <v>0</v>
      </c>
    </row>
    <row r="1080" spans="6:6" x14ac:dyDescent="0.5">
      <c r="F1080" s="614">
        <v>0</v>
      </c>
    </row>
    <row r="1081" spans="6:6" x14ac:dyDescent="0.5">
      <c r="F1081" s="614">
        <v>0</v>
      </c>
    </row>
    <row r="1082" spans="6:6" x14ac:dyDescent="0.5">
      <c r="F1082" s="614">
        <v>0</v>
      </c>
    </row>
    <row r="1083" spans="6:6" x14ac:dyDescent="0.5">
      <c r="F1083" s="614">
        <v>0</v>
      </c>
    </row>
    <row r="1084" spans="6:6" x14ac:dyDescent="0.5">
      <c r="F1084" s="614">
        <v>0</v>
      </c>
    </row>
    <row r="1085" spans="6:6" x14ac:dyDescent="0.5">
      <c r="F1085" s="614">
        <v>0</v>
      </c>
    </row>
    <row r="1086" spans="6:6" x14ac:dyDescent="0.5">
      <c r="F1086" s="614">
        <v>0</v>
      </c>
    </row>
    <row r="1087" spans="6:6" x14ac:dyDescent="0.5">
      <c r="F1087" s="614">
        <v>0</v>
      </c>
    </row>
    <row r="1088" spans="6:6" x14ac:dyDescent="0.5">
      <c r="F1088" s="614">
        <v>0</v>
      </c>
    </row>
    <row r="1089" spans="6:6" x14ac:dyDescent="0.5">
      <c r="F1089" s="614">
        <v>0</v>
      </c>
    </row>
    <row r="1090" spans="6:6" x14ac:dyDescent="0.5">
      <c r="F1090" s="614">
        <v>0</v>
      </c>
    </row>
    <row r="1091" spans="6:6" x14ac:dyDescent="0.5">
      <c r="F1091" s="614">
        <v>0</v>
      </c>
    </row>
    <row r="1092" spans="6:6" x14ac:dyDescent="0.5">
      <c r="F1092" s="614">
        <v>0</v>
      </c>
    </row>
    <row r="1093" spans="6:6" x14ac:dyDescent="0.5">
      <c r="F1093" s="614">
        <v>0</v>
      </c>
    </row>
    <row r="1094" spans="6:6" x14ac:dyDescent="0.5">
      <c r="F1094" s="614">
        <v>0</v>
      </c>
    </row>
    <row r="1095" spans="6:6" x14ac:dyDescent="0.5">
      <c r="F1095" s="614">
        <v>0</v>
      </c>
    </row>
    <row r="1096" spans="6:6" x14ac:dyDescent="0.5">
      <c r="F1096" s="614">
        <v>0</v>
      </c>
    </row>
    <row r="1097" spans="6:6" x14ac:dyDescent="0.5">
      <c r="F1097" s="614">
        <v>0</v>
      </c>
    </row>
    <row r="1098" spans="6:6" x14ac:dyDescent="0.5">
      <c r="F1098" s="614">
        <v>0</v>
      </c>
    </row>
    <row r="1099" spans="6:6" x14ac:dyDescent="0.5">
      <c r="F1099" s="614">
        <v>0</v>
      </c>
    </row>
    <row r="1100" spans="6:6" x14ac:dyDescent="0.5">
      <c r="F1100" s="614">
        <v>0</v>
      </c>
    </row>
    <row r="1101" spans="6:6" x14ac:dyDescent="0.5">
      <c r="F1101" s="614">
        <v>0</v>
      </c>
    </row>
    <row r="1102" spans="6:6" x14ac:dyDescent="0.5">
      <c r="F1102" s="614">
        <v>0</v>
      </c>
    </row>
    <row r="1103" spans="6:6" x14ac:dyDescent="0.5">
      <c r="F1103" s="614">
        <v>0</v>
      </c>
    </row>
    <row r="1104" spans="6:6" x14ac:dyDescent="0.5">
      <c r="F1104" s="614">
        <v>0</v>
      </c>
    </row>
    <row r="1105" spans="6:6" x14ac:dyDescent="0.5">
      <c r="F1105" s="614">
        <v>0</v>
      </c>
    </row>
    <row r="1106" spans="6:6" x14ac:dyDescent="0.5">
      <c r="F1106" s="614">
        <v>0</v>
      </c>
    </row>
    <row r="1107" spans="6:6" x14ac:dyDescent="0.5">
      <c r="F1107" s="614">
        <v>0</v>
      </c>
    </row>
    <row r="1108" spans="6:6" x14ac:dyDescent="0.5">
      <c r="F1108" s="614">
        <v>0</v>
      </c>
    </row>
    <row r="1109" spans="6:6" x14ac:dyDescent="0.5">
      <c r="F1109" s="614">
        <v>0</v>
      </c>
    </row>
    <row r="1110" spans="6:6" x14ac:dyDescent="0.5">
      <c r="F1110" s="614">
        <v>0</v>
      </c>
    </row>
    <row r="1111" spans="6:6" x14ac:dyDescent="0.5">
      <c r="F1111" s="614">
        <v>0</v>
      </c>
    </row>
    <row r="1112" spans="6:6" x14ac:dyDescent="0.5">
      <c r="F1112" s="614">
        <v>0</v>
      </c>
    </row>
    <row r="1113" spans="6:6" x14ac:dyDescent="0.5">
      <c r="F1113" s="614">
        <v>0</v>
      </c>
    </row>
    <row r="1114" spans="6:6" x14ac:dyDescent="0.5">
      <c r="F1114" s="614">
        <v>0</v>
      </c>
    </row>
    <row r="1115" spans="6:6" x14ac:dyDescent="0.5">
      <c r="F1115" s="614">
        <v>0</v>
      </c>
    </row>
    <row r="1116" spans="6:6" x14ac:dyDescent="0.5">
      <c r="F1116" s="614">
        <v>0</v>
      </c>
    </row>
    <row r="1117" spans="6:6" x14ac:dyDescent="0.5">
      <c r="F1117" s="614">
        <v>0</v>
      </c>
    </row>
    <row r="1118" spans="6:6" x14ac:dyDescent="0.5">
      <c r="F1118" s="614">
        <v>0</v>
      </c>
    </row>
    <row r="1119" spans="6:6" x14ac:dyDescent="0.5">
      <c r="F1119" s="614">
        <v>0</v>
      </c>
    </row>
    <row r="1120" spans="6:6" x14ac:dyDescent="0.5">
      <c r="F1120" s="614">
        <v>0</v>
      </c>
    </row>
    <row r="1121" spans="6:6" x14ac:dyDescent="0.5">
      <c r="F1121" s="614">
        <v>0</v>
      </c>
    </row>
    <row r="1122" spans="6:6" x14ac:dyDescent="0.5">
      <c r="F1122" s="614">
        <v>0</v>
      </c>
    </row>
    <row r="1123" spans="6:6" x14ac:dyDescent="0.5">
      <c r="F1123" s="614">
        <v>0</v>
      </c>
    </row>
    <row r="1124" spans="6:6" x14ac:dyDescent="0.5">
      <c r="F1124" s="614">
        <v>0</v>
      </c>
    </row>
    <row r="1125" spans="6:6" x14ac:dyDescent="0.5">
      <c r="F1125" s="614">
        <v>0</v>
      </c>
    </row>
    <row r="1126" spans="6:6" x14ac:dyDescent="0.5">
      <c r="F1126" s="614">
        <v>0</v>
      </c>
    </row>
    <row r="1127" spans="6:6" x14ac:dyDescent="0.5">
      <c r="F1127" s="614">
        <v>0</v>
      </c>
    </row>
    <row r="1128" spans="6:6" x14ac:dyDescent="0.5">
      <c r="F1128" s="614">
        <v>0</v>
      </c>
    </row>
    <row r="1129" spans="6:6" x14ac:dyDescent="0.5">
      <c r="F1129" s="614">
        <v>0</v>
      </c>
    </row>
    <row r="1130" spans="6:6" x14ac:dyDescent="0.5">
      <c r="F1130" s="614">
        <v>0</v>
      </c>
    </row>
    <row r="1131" spans="6:6" x14ac:dyDescent="0.5">
      <c r="F1131" s="614">
        <v>0</v>
      </c>
    </row>
    <row r="1132" spans="6:6" x14ac:dyDescent="0.5">
      <c r="F1132" s="614">
        <v>0</v>
      </c>
    </row>
    <row r="1133" spans="6:6" x14ac:dyDescent="0.5">
      <c r="F1133" s="614">
        <v>0</v>
      </c>
    </row>
    <row r="1134" spans="6:6" x14ac:dyDescent="0.5">
      <c r="F1134" s="614">
        <v>0</v>
      </c>
    </row>
    <row r="1135" spans="6:6" x14ac:dyDescent="0.5">
      <c r="F1135" s="614">
        <v>0</v>
      </c>
    </row>
    <row r="1136" spans="6:6" x14ac:dyDescent="0.5">
      <c r="F1136" s="614">
        <v>0</v>
      </c>
    </row>
    <row r="1137" spans="6:6" x14ac:dyDescent="0.5">
      <c r="F1137" s="614">
        <v>0</v>
      </c>
    </row>
    <row r="1138" spans="6:6" x14ac:dyDescent="0.5">
      <c r="F1138" s="614">
        <v>0</v>
      </c>
    </row>
    <row r="1139" spans="6:6" x14ac:dyDescent="0.5">
      <c r="F1139" s="614">
        <v>0</v>
      </c>
    </row>
    <row r="1140" spans="6:6" x14ac:dyDescent="0.5">
      <c r="F1140" s="614">
        <v>0</v>
      </c>
    </row>
    <row r="1141" spans="6:6" x14ac:dyDescent="0.5">
      <c r="F1141" s="614">
        <v>0</v>
      </c>
    </row>
    <row r="1142" spans="6:6" x14ac:dyDescent="0.5">
      <c r="F1142" s="614">
        <v>0</v>
      </c>
    </row>
    <row r="1143" spans="6:6" x14ac:dyDescent="0.5">
      <c r="F1143" s="614">
        <v>0</v>
      </c>
    </row>
    <row r="1144" spans="6:6" x14ac:dyDescent="0.5">
      <c r="F1144" s="614">
        <v>0</v>
      </c>
    </row>
    <row r="1145" spans="6:6" x14ac:dyDescent="0.5">
      <c r="F1145" s="614">
        <v>0</v>
      </c>
    </row>
    <row r="1146" spans="6:6" x14ac:dyDescent="0.5">
      <c r="F1146" s="614">
        <v>0</v>
      </c>
    </row>
    <row r="1147" spans="6:6" x14ac:dyDescent="0.5">
      <c r="F1147" s="614">
        <v>0</v>
      </c>
    </row>
    <row r="1148" spans="6:6" x14ac:dyDescent="0.5">
      <c r="F1148" s="614">
        <v>0</v>
      </c>
    </row>
    <row r="1149" spans="6:6" x14ac:dyDescent="0.5">
      <c r="F1149" s="614">
        <v>0</v>
      </c>
    </row>
    <row r="1150" spans="6:6" x14ac:dyDescent="0.5">
      <c r="F1150" s="614">
        <v>0</v>
      </c>
    </row>
    <row r="1151" spans="6:6" x14ac:dyDescent="0.5">
      <c r="F1151" s="614">
        <v>0</v>
      </c>
    </row>
    <row r="1152" spans="6:6" x14ac:dyDescent="0.5">
      <c r="F1152" s="614">
        <v>0</v>
      </c>
    </row>
    <row r="1153" spans="6:6" x14ac:dyDescent="0.5">
      <c r="F1153" s="614">
        <v>0</v>
      </c>
    </row>
    <row r="1154" spans="6:6" x14ac:dyDescent="0.5">
      <c r="F1154" s="614">
        <v>0</v>
      </c>
    </row>
    <row r="1155" spans="6:6" x14ac:dyDescent="0.5">
      <c r="F1155" s="614">
        <v>0</v>
      </c>
    </row>
    <row r="1156" spans="6:6" x14ac:dyDescent="0.5">
      <c r="F1156" s="614">
        <v>0</v>
      </c>
    </row>
    <row r="1157" spans="6:6" x14ac:dyDescent="0.5">
      <c r="F1157" s="614">
        <v>0</v>
      </c>
    </row>
    <row r="1158" spans="6:6" x14ac:dyDescent="0.5">
      <c r="F1158" s="614">
        <v>0</v>
      </c>
    </row>
    <row r="1159" spans="6:6" x14ac:dyDescent="0.5">
      <c r="F1159" s="614">
        <v>0</v>
      </c>
    </row>
    <row r="1160" spans="6:6" x14ac:dyDescent="0.5">
      <c r="F1160" s="614">
        <v>0</v>
      </c>
    </row>
    <row r="1161" spans="6:6" x14ac:dyDescent="0.5">
      <c r="F1161" s="614">
        <v>0</v>
      </c>
    </row>
    <row r="1162" spans="6:6" x14ac:dyDescent="0.5">
      <c r="F1162" s="614">
        <v>0</v>
      </c>
    </row>
    <row r="1163" spans="6:6" x14ac:dyDescent="0.5">
      <c r="F1163" s="614">
        <v>0</v>
      </c>
    </row>
    <row r="1164" spans="6:6" x14ac:dyDescent="0.5">
      <c r="F1164" s="614">
        <v>0</v>
      </c>
    </row>
    <row r="1165" spans="6:6" x14ac:dyDescent="0.5">
      <c r="F1165" s="614">
        <v>0</v>
      </c>
    </row>
    <row r="1166" spans="6:6" x14ac:dyDescent="0.5">
      <c r="F1166" s="614">
        <v>0</v>
      </c>
    </row>
    <row r="1167" spans="6:6" x14ac:dyDescent="0.5">
      <c r="F1167" s="614">
        <v>0</v>
      </c>
    </row>
    <row r="1168" spans="6:6" x14ac:dyDescent="0.5">
      <c r="F1168" s="614">
        <v>0</v>
      </c>
    </row>
    <row r="1169" spans="6:6" x14ac:dyDescent="0.5">
      <c r="F1169" s="614">
        <v>0</v>
      </c>
    </row>
    <row r="1170" spans="6:6" x14ac:dyDescent="0.5">
      <c r="F1170" s="614">
        <v>0</v>
      </c>
    </row>
    <row r="1171" spans="6:6" x14ac:dyDescent="0.5">
      <c r="F1171" s="614">
        <v>0</v>
      </c>
    </row>
    <row r="1172" spans="6:6" x14ac:dyDescent="0.5">
      <c r="F1172" s="614">
        <v>0</v>
      </c>
    </row>
    <row r="1173" spans="6:6" x14ac:dyDescent="0.5">
      <c r="F1173" s="614">
        <v>0</v>
      </c>
    </row>
    <row r="1174" spans="6:6" x14ac:dyDescent="0.5">
      <c r="F1174" s="614">
        <v>0</v>
      </c>
    </row>
    <row r="1175" spans="6:6" x14ac:dyDescent="0.5">
      <c r="F1175" s="614">
        <v>0</v>
      </c>
    </row>
    <row r="1176" spans="6:6" x14ac:dyDescent="0.5">
      <c r="F1176" s="614">
        <v>0</v>
      </c>
    </row>
    <row r="1177" spans="6:6" x14ac:dyDescent="0.5">
      <c r="F1177" s="614">
        <v>0</v>
      </c>
    </row>
    <row r="1178" spans="6:6" x14ac:dyDescent="0.5">
      <c r="F1178" s="614">
        <v>0</v>
      </c>
    </row>
    <row r="1179" spans="6:6" x14ac:dyDescent="0.5">
      <c r="F1179" s="614">
        <v>0</v>
      </c>
    </row>
    <row r="1180" spans="6:6" x14ac:dyDescent="0.5">
      <c r="F1180" s="614">
        <v>0</v>
      </c>
    </row>
    <row r="1181" spans="6:6" x14ac:dyDescent="0.5">
      <c r="F1181" s="614">
        <v>0</v>
      </c>
    </row>
    <row r="1182" spans="6:6" x14ac:dyDescent="0.5">
      <c r="F1182" s="614">
        <v>0</v>
      </c>
    </row>
    <row r="1183" spans="6:6" x14ac:dyDescent="0.5">
      <c r="F1183" s="614">
        <v>0</v>
      </c>
    </row>
    <row r="1184" spans="6:6" x14ac:dyDescent="0.5">
      <c r="F1184" s="614">
        <v>0</v>
      </c>
    </row>
    <row r="1185" spans="6:6" x14ac:dyDescent="0.5">
      <c r="F1185" s="614">
        <v>0</v>
      </c>
    </row>
    <row r="1186" spans="6:6" x14ac:dyDescent="0.5">
      <c r="F1186" s="614">
        <v>0</v>
      </c>
    </row>
    <row r="1187" spans="6:6" x14ac:dyDescent="0.5">
      <c r="F1187" s="614">
        <v>0</v>
      </c>
    </row>
    <row r="1188" spans="6:6" x14ac:dyDescent="0.5">
      <c r="F1188" s="614">
        <v>0</v>
      </c>
    </row>
    <row r="1189" spans="6:6" x14ac:dyDescent="0.5">
      <c r="F1189" s="614">
        <v>0</v>
      </c>
    </row>
    <row r="1190" spans="6:6" x14ac:dyDescent="0.5">
      <c r="F1190" s="614">
        <v>0</v>
      </c>
    </row>
    <row r="1191" spans="6:6" x14ac:dyDescent="0.5">
      <c r="F1191" s="614">
        <v>0</v>
      </c>
    </row>
    <row r="1192" spans="6:6" x14ac:dyDescent="0.5">
      <c r="F1192" s="614">
        <v>0</v>
      </c>
    </row>
    <row r="1193" spans="6:6" x14ac:dyDescent="0.5">
      <c r="F1193" s="614">
        <v>0</v>
      </c>
    </row>
    <row r="1194" spans="6:6" x14ac:dyDescent="0.5">
      <c r="F1194" s="614">
        <v>0</v>
      </c>
    </row>
    <row r="1195" spans="6:6" x14ac:dyDescent="0.5">
      <c r="F1195" s="614">
        <v>0</v>
      </c>
    </row>
    <row r="1196" spans="6:6" x14ac:dyDescent="0.5">
      <c r="F1196" s="614">
        <v>0</v>
      </c>
    </row>
    <row r="1197" spans="6:6" x14ac:dyDescent="0.5">
      <c r="F1197" s="614">
        <v>0</v>
      </c>
    </row>
    <row r="1198" spans="6:6" x14ac:dyDescent="0.5">
      <c r="F1198" s="614">
        <v>0</v>
      </c>
    </row>
    <row r="1199" spans="6:6" x14ac:dyDescent="0.5">
      <c r="F1199" s="614">
        <v>0</v>
      </c>
    </row>
    <row r="1200" spans="6:6" x14ac:dyDescent="0.5">
      <c r="F1200" s="614">
        <v>0</v>
      </c>
    </row>
    <row r="1201" spans="6:6" x14ac:dyDescent="0.5">
      <c r="F1201" s="614">
        <v>0</v>
      </c>
    </row>
    <row r="1202" spans="6:6" x14ac:dyDescent="0.5">
      <c r="F1202" s="614">
        <v>0</v>
      </c>
    </row>
    <row r="1203" spans="6:6" x14ac:dyDescent="0.5">
      <c r="F1203" s="614">
        <v>0</v>
      </c>
    </row>
    <row r="1204" spans="6:6" x14ac:dyDescent="0.5">
      <c r="F1204" s="614">
        <v>0</v>
      </c>
    </row>
    <row r="1205" spans="6:6" x14ac:dyDescent="0.5">
      <c r="F1205" s="614">
        <v>0</v>
      </c>
    </row>
    <row r="1206" spans="6:6" x14ac:dyDescent="0.5">
      <c r="F1206" s="614">
        <v>0</v>
      </c>
    </row>
    <row r="1207" spans="6:6" x14ac:dyDescent="0.5">
      <c r="F1207" s="614">
        <v>0</v>
      </c>
    </row>
    <row r="1208" spans="6:6" x14ac:dyDescent="0.5">
      <c r="F1208" s="614">
        <v>0</v>
      </c>
    </row>
    <row r="1209" spans="6:6" x14ac:dyDescent="0.5">
      <c r="F1209" s="614">
        <v>0</v>
      </c>
    </row>
    <row r="1210" spans="6:6" x14ac:dyDescent="0.5">
      <c r="F1210" s="614">
        <v>0</v>
      </c>
    </row>
    <row r="1211" spans="6:6" x14ac:dyDescent="0.5">
      <c r="F1211" s="614">
        <v>0</v>
      </c>
    </row>
    <row r="1212" spans="6:6" x14ac:dyDescent="0.5">
      <c r="F1212" s="614">
        <v>0</v>
      </c>
    </row>
    <row r="1213" spans="6:6" x14ac:dyDescent="0.5">
      <c r="F1213" s="614">
        <v>0</v>
      </c>
    </row>
    <row r="1214" spans="6:6" x14ac:dyDescent="0.5">
      <c r="F1214" s="614">
        <v>0</v>
      </c>
    </row>
    <row r="1215" spans="6:6" x14ac:dyDescent="0.5">
      <c r="F1215" s="614">
        <v>0</v>
      </c>
    </row>
    <row r="1216" spans="6:6" x14ac:dyDescent="0.5">
      <c r="F1216" s="614">
        <v>0</v>
      </c>
    </row>
    <row r="1217" spans="6:6" x14ac:dyDescent="0.5">
      <c r="F1217" s="614">
        <v>0</v>
      </c>
    </row>
    <row r="1218" spans="6:6" x14ac:dyDescent="0.5">
      <c r="F1218" s="614">
        <v>0</v>
      </c>
    </row>
    <row r="1219" spans="6:6" x14ac:dyDescent="0.5">
      <c r="F1219" s="614">
        <v>0</v>
      </c>
    </row>
    <row r="1220" spans="6:6" x14ac:dyDescent="0.5">
      <c r="F1220" s="614">
        <v>0</v>
      </c>
    </row>
    <row r="1221" spans="6:6" x14ac:dyDescent="0.5">
      <c r="F1221" s="614">
        <v>0</v>
      </c>
    </row>
    <row r="1222" spans="6:6" x14ac:dyDescent="0.5">
      <c r="F1222" s="614">
        <v>0</v>
      </c>
    </row>
    <row r="1223" spans="6:6" x14ac:dyDescent="0.5">
      <c r="F1223" s="614">
        <v>0</v>
      </c>
    </row>
    <row r="1224" spans="6:6" x14ac:dyDescent="0.5">
      <c r="F1224" s="614">
        <v>0</v>
      </c>
    </row>
    <row r="1225" spans="6:6" x14ac:dyDescent="0.5">
      <c r="F1225" s="614">
        <v>0</v>
      </c>
    </row>
    <row r="1226" spans="6:6" x14ac:dyDescent="0.5">
      <c r="F1226" s="614">
        <v>0</v>
      </c>
    </row>
    <row r="1227" spans="6:6" x14ac:dyDescent="0.5">
      <c r="F1227" s="614">
        <v>0</v>
      </c>
    </row>
    <row r="1228" spans="6:6" x14ac:dyDescent="0.5">
      <c r="F1228" s="614">
        <v>0</v>
      </c>
    </row>
    <row r="1229" spans="6:6" x14ac:dyDescent="0.5">
      <c r="F1229" s="614">
        <v>0</v>
      </c>
    </row>
    <row r="1230" spans="6:6" x14ac:dyDescent="0.5">
      <c r="F1230" s="614">
        <v>0</v>
      </c>
    </row>
    <row r="1231" spans="6:6" x14ac:dyDescent="0.5">
      <c r="F1231" s="614">
        <v>0</v>
      </c>
    </row>
    <row r="1232" spans="6:6" x14ac:dyDescent="0.5">
      <c r="F1232" s="614">
        <v>0</v>
      </c>
    </row>
    <row r="1233" spans="6:6" x14ac:dyDescent="0.5">
      <c r="F1233" s="614">
        <v>0</v>
      </c>
    </row>
    <row r="1234" spans="6:6" x14ac:dyDescent="0.5">
      <c r="F1234" s="614">
        <v>0</v>
      </c>
    </row>
    <row r="1235" spans="6:6" x14ac:dyDescent="0.5">
      <c r="F1235" s="614">
        <v>0</v>
      </c>
    </row>
    <row r="1236" spans="6:6" x14ac:dyDescent="0.5">
      <c r="F1236" s="614">
        <v>0</v>
      </c>
    </row>
    <row r="1237" spans="6:6" x14ac:dyDescent="0.5">
      <c r="F1237" s="614">
        <v>0</v>
      </c>
    </row>
    <row r="1238" spans="6:6" x14ac:dyDescent="0.5">
      <c r="F1238" s="614">
        <v>0</v>
      </c>
    </row>
    <row r="1239" spans="6:6" x14ac:dyDescent="0.5">
      <c r="F1239" s="614">
        <v>0</v>
      </c>
    </row>
    <row r="1240" spans="6:6" x14ac:dyDescent="0.5">
      <c r="F1240" s="614">
        <v>0</v>
      </c>
    </row>
    <row r="1241" spans="6:6" x14ac:dyDescent="0.5">
      <c r="F1241" s="614">
        <v>0</v>
      </c>
    </row>
    <row r="1242" spans="6:6" x14ac:dyDescent="0.5">
      <c r="F1242" s="614">
        <v>0</v>
      </c>
    </row>
    <row r="1243" spans="6:6" x14ac:dyDescent="0.5">
      <c r="F1243" s="614">
        <v>0</v>
      </c>
    </row>
    <row r="1244" spans="6:6" x14ac:dyDescent="0.5">
      <c r="F1244" s="614">
        <v>0</v>
      </c>
    </row>
    <row r="1245" spans="6:6" x14ac:dyDescent="0.5">
      <c r="F1245" s="614">
        <v>0</v>
      </c>
    </row>
    <row r="1246" spans="6:6" x14ac:dyDescent="0.5">
      <c r="F1246" s="614">
        <v>0</v>
      </c>
    </row>
    <row r="1247" spans="6:6" x14ac:dyDescent="0.5">
      <c r="F1247" s="614">
        <v>0</v>
      </c>
    </row>
    <row r="1248" spans="6:6" x14ac:dyDescent="0.5">
      <c r="F1248" s="614">
        <v>0</v>
      </c>
    </row>
    <row r="1249" spans="6:6" x14ac:dyDescent="0.5">
      <c r="F1249" s="614">
        <v>0</v>
      </c>
    </row>
    <row r="1250" spans="6:6" x14ac:dyDescent="0.5">
      <c r="F1250" s="614">
        <v>0</v>
      </c>
    </row>
    <row r="1251" spans="6:6" x14ac:dyDescent="0.5">
      <c r="F1251" s="614">
        <v>0</v>
      </c>
    </row>
    <row r="1252" spans="6:6" x14ac:dyDescent="0.5">
      <c r="F1252" s="614">
        <v>0</v>
      </c>
    </row>
    <row r="1253" spans="6:6" x14ac:dyDescent="0.5">
      <c r="F1253" s="614">
        <v>0</v>
      </c>
    </row>
    <row r="1254" spans="6:6" x14ac:dyDescent="0.5">
      <c r="F1254" s="614">
        <v>0</v>
      </c>
    </row>
    <row r="1255" spans="6:6" x14ac:dyDescent="0.5">
      <c r="F1255" s="614">
        <v>0</v>
      </c>
    </row>
    <row r="1256" spans="6:6" x14ac:dyDescent="0.5">
      <c r="F1256" s="614">
        <v>0</v>
      </c>
    </row>
    <row r="1257" spans="6:6" x14ac:dyDescent="0.5">
      <c r="F1257" s="614">
        <v>0</v>
      </c>
    </row>
    <row r="1258" spans="6:6" x14ac:dyDescent="0.5">
      <c r="F1258" s="614">
        <v>0</v>
      </c>
    </row>
    <row r="1259" spans="6:6" x14ac:dyDescent="0.5">
      <c r="F1259" s="614">
        <v>0</v>
      </c>
    </row>
    <row r="1260" spans="6:6" x14ac:dyDescent="0.5">
      <c r="F1260" s="614">
        <v>0</v>
      </c>
    </row>
    <row r="1261" spans="6:6" x14ac:dyDescent="0.5">
      <c r="F1261" s="614">
        <v>0</v>
      </c>
    </row>
    <row r="1262" spans="6:6" x14ac:dyDescent="0.5">
      <c r="F1262" s="614">
        <v>0</v>
      </c>
    </row>
    <row r="1263" spans="6:6" x14ac:dyDescent="0.5">
      <c r="F1263" s="614">
        <v>0</v>
      </c>
    </row>
    <row r="1264" spans="6:6" x14ac:dyDescent="0.5">
      <c r="F1264" s="614">
        <v>0</v>
      </c>
    </row>
    <row r="1265" spans="6:6" x14ac:dyDescent="0.5">
      <c r="F1265" s="614">
        <v>0</v>
      </c>
    </row>
    <row r="1266" spans="6:6" x14ac:dyDescent="0.5">
      <c r="F1266" s="614">
        <v>0</v>
      </c>
    </row>
    <row r="1267" spans="6:6" x14ac:dyDescent="0.5">
      <c r="F1267" s="614">
        <v>0</v>
      </c>
    </row>
    <row r="1268" spans="6:6" x14ac:dyDescent="0.5">
      <c r="F1268" s="614">
        <v>0</v>
      </c>
    </row>
    <row r="1269" spans="6:6" x14ac:dyDescent="0.5">
      <c r="F1269" s="614">
        <v>0</v>
      </c>
    </row>
    <row r="1270" spans="6:6" x14ac:dyDescent="0.5">
      <c r="F1270" s="614">
        <v>0</v>
      </c>
    </row>
    <row r="1271" spans="6:6" x14ac:dyDescent="0.5">
      <c r="F1271" s="614">
        <v>0</v>
      </c>
    </row>
    <row r="1272" spans="6:6" x14ac:dyDescent="0.5">
      <c r="F1272" s="614">
        <v>0</v>
      </c>
    </row>
    <row r="1273" spans="6:6" x14ac:dyDescent="0.5">
      <c r="F1273" s="614">
        <v>0</v>
      </c>
    </row>
    <row r="1274" spans="6:6" x14ac:dyDescent="0.5">
      <c r="F1274" s="614">
        <v>0</v>
      </c>
    </row>
    <row r="1275" spans="6:6" x14ac:dyDescent="0.5">
      <c r="F1275" s="614">
        <v>0</v>
      </c>
    </row>
    <row r="1276" spans="6:6" x14ac:dyDescent="0.5">
      <c r="F1276" s="614">
        <v>0</v>
      </c>
    </row>
    <row r="1277" spans="6:6" x14ac:dyDescent="0.5">
      <c r="F1277" s="614">
        <v>0</v>
      </c>
    </row>
    <row r="1278" spans="6:6" x14ac:dyDescent="0.5">
      <c r="F1278" s="614">
        <v>0</v>
      </c>
    </row>
    <row r="1279" spans="6:6" x14ac:dyDescent="0.5">
      <c r="F1279" s="614">
        <v>0</v>
      </c>
    </row>
    <row r="1280" spans="6:6" x14ac:dyDescent="0.5">
      <c r="F1280" s="614">
        <v>0</v>
      </c>
    </row>
    <row r="1281" spans="6:6" x14ac:dyDescent="0.5">
      <c r="F1281" s="614">
        <v>0</v>
      </c>
    </row>
    <row r="1282" spans="6:6" x14ac:dyDescent="0.5">
      <c r="F1282" s="614">
        <v>0</v>
      </c>
    </row>
    <row r="1283" spans="6:6" x14ac:dyDescent="0.5">
      <c r="F1283" s="614">
        <v>0</v>
      </c>
    </row>
    <row r="1284" spans="6:6" x14ac:dyDescent="0.5">
      <c r="F1284" s="614">
        <v>0</v>
      </c>
    </row>
    <row r="1285" spans="6:6" x14ac:dyDescent="0.5">
      <c r="F1285" s="614">
        <v>0</v>
      </c>
    </row>
    <row r="1286" spans="6:6" x14ac:dyDescent="0.5">
      <c r="F1286" s="614">
        <v>0</v>
      </c>
    </row>
    <row r="1287" spans="6:6" x14ac:dyDescent="0.5">
      <c r="F1287" s="614">
        <v>0</v>
      </c>
    </row>
    <row r="1288" spans="6:6" x14ac:dyDescent="0.5">
      <c r="F1288" s="614">
        <v>0</v>
      </c>
    </row>
    <row r="1289" spans="6:6" x14ac:dyDescent="0.5">
      <c r="F1289" s="614">
        <v>0</v>
      </c>
    </row>
    <row r="1290" spans="6:6" x14ac:dyDescent="0.5">
      <c r="F1290" s="614">
        <v>0</v>
      </c>
    </row>
    <row r="1291" spans="6:6" x14ac:dyDescent="0.5">
      <c r="F1291" s="614">
        <v>0</v>
      </c>
    </row>
    <row r="1292" spans="6:6" x14ac:dyDescent="0.5">
      <c r="F1292" s="614">
        <v>0</v>
      </c>
    </row>
    <row r="1293" spans="6:6" x14ac:dyDescent="0.5">
      <c r="F1293" s="614">
        <v>0</v>
      </c>
    </row>
    <row r="1294" spans="6:6" x14ac:dyDescent="0.5">
      <c r="F1294" s="614">
        <v>0</v>
      </c>
    </row>
    <row r="1295" spans="6:6" x14ac:dyDescent="0.5">
      <c r="F1295" s="614">
        <v>0</v>
      </c>
    </row>
    <row r="1296" spans="6:6" x14ac:dyDescent="0.5">
      <c r="F1296" s="614">
        <v>0</v>
      </c>
    </row>
    <row r="1297" spans="6:6" x14ac:dyDescent="0.5">
      <c r="F1297" s="614">
        <v>0</v>
      </c>
    </row>
    <row r="1298" spans="6:6" x14ac:dyDescent="0.5">
      <c r="F1298" s="614">
        <v>0</v>
      </c>
    </row>
    <row r="1299" spans="6:6" x14ac:dyDescent="0.5">
      <c r="F1299" s="614">
        <v>0</v>
      </c>
    </row>
    <row r="1300" spans="6:6" x14ac:dyDescent="0.5">
      <c r="F1300" s="614">
        <v>0</v>
      </c>
    </row>
    <row r="1301" spans="6:6" x14ac:dyDescent="0.5">
      <c r="F1301" s="614">
        <v>0</v>
      </c>
    </row>
    <row r="1302" spans="6:6" x14ac:dyDescent="0.5">
      <c r="F1302" s="614">
        <v>0</v>
      </c>
    </row>
    <row r="1303" spans="6:6" x14ac:dyDescent="0.5">
      <c r="F1303" s="614">
        <v>0</v>
      </c>
    </row>
    <row r="1304" spans="6:6" x14ac:dyDescent="0.5">
      <c r="F1304" s="614">
        <v>0</v>
      </c>
    </row>
    <row r="1305" spans="6:6" x14ac:dyDescent="0.5">
      <c r="F1305" s="614">
        <v>0</v>
      </c>
    </row>
    <row r="1306" spans="6:6" x14ac:dyDescent="0.5">
      <c r="F1306" s="614">
        <v>0</v>
      </c>
    </row>
    <row r="1307" spans="6:6" x14ac:dyDescent="0.5">
      <c r="F1307" s="614">
        <v>0</v>
      </c>
    </row>
    <row r="1308" spans="6:6" x14ac:dyDescent="0.5">
      <c r="F1308" s="614">
        <v>0</v>
      </c>
    </row>
    <row r="1309" spans="6:6" x14ac:dyDescent="0.5">
      <c r="F1309" s="614">
        <v>0</v>
      </c>
    </row>
    <row r="1310" spans="6:6" x14ac:dyDescent="0.5">
      <c r="F1310" s="614">
        <v>0</v>
      </c>
    </row>
    <row r="1311" spans="6:6" x14ac:dyDescent="0.5">
      <c r="F1311" s="614">
        <v>0</v>
      </c>
    </row>
    <row r="1312" spans="6:6" x14ac:dyDescent="0.5">
      <c r="F1312" s="614">
        <v>0</v>
      </c>
    </row>
    <row r="1313" spans="6:6" x14ac:dyDescent="0.5">
      <c r="F1313" s="614">
        <v>0</v>
      </c>
    </row>
    <row r="1314" spans="6:6" x14ac:dyDescent="0.5">
      <c r="F1314" s="614">
        <v>0</v>
      </c>
    </row>
    <row r="1315" spans="6:6" x14ac:dyDescent="0.5">
      <c r="F1315" s="614">
        <v>0</v>
      </c>
    </row>
    <row r="1316" spans="6:6" x14ac:dyDescent="0.5">
      <c r="F1316" s="614">
        <v>0</v>
      </c>
    </row>
    <row r="1317" spans="6:6" x14ac:dyDescent="0.5">
      <c r="F1317" s="614">
        <v>0</v>
      </c>
    </row>
    <row r="1318" spans="6:6" x14ac:dyDescent="0.5">
      <c r="F1318" s="614">
        <v>0</v>
      </c>
    </row>
    <row r="1319" spans="6:6" x14ac:dyDescent="0.5">
      <c r="F1319" s="614">
        <v>0</v>
      </c>
    </row>
    <row r="1320" spans="6:6" x14ac:dyDescent="0.5">
      <c r="F1320" s="614">
        <v>0</v>
      </c>
    </row>
    <row r="1321" spans="6:6" x14ac:dyDescent="0.5">
      <c r="F1321" s="614">
        <v>0</v>
      </c>
    </row>
    <row r="1322" spans="6:6" x14ac:dyDescent="0.5">
      <c r="F1322" s="614">
        <v>0</v>
      </c>
    </row>
    <row r="1323" spans="6:6" x14ac:dyDescent="0.5">
      <c r="F1323" s="614">
        <v>0</v>
      </c>
    </row>
    <row r="1324" spans="6:6" x14ac:dyDescent="0.5">
      <c r="F1324" s="614">
        <v>0</v>
      </c>
    </row>
    <row r="1325" spans="6:6" x14ac:dyDescent="0.5">
      <c r="F1325" s="614">
        <v>0</v>
      </c>
    </row>
    <row r="1326" spans="6:6" x14ac:dyDescent="0.5">
      <c r="F1326" s="614">
        <v>0</v>
      </c>
    </row>
    <row r="1327" spans="6:6" x14ac:dyDescent="0.5">
      <c r="F1327" s="614">
        <v>0</v>
      </c>
    </row>
    <row r="1328" spans="6:6" x14ac:dyDescent="0.5">
      <c r="F1328" s="614">
        <v>0</v>
      </c>
    </row>
    <row r="1329" spans="6:6" x14ac:dyDescent="0.5">
      <c r="F1329" s="614">
        <v>0</v>
      </c>
    </row>
    <row r="1330" spans="6:6" x14ac:dyDescent="0.5">
      <c r="F1330" s="614">
        <v>0</v>
      </c>
    </row>
    <row r="1331" spans="6:6" x14ac:dyDescent="0.5">
      <c r="F1331" s="614">
        <v>0</v>
      </c>
    </row>
    <row r="1332" spans="6:6" x14ac:dyDescent="0.5">
      <c r="F1332" s="614">
        <v>0</v>
      </c>
    </row>
    <row r="1333" spans="6:6" x14ac:dyDescent="0.5">
      <c r="F1333" s="614">
        <v>0</v>
      </c>
    </row>
    <row r="1334" spans="6:6" x14ac:dyDescent="0.5">
      <c r="F1334" s="614">
        <v>0</v>
      </c>
    </row>
    <row r="1335" spans="6:6" x14ac:dyDescent="0.5">
      <c r="F1335" s="614">
        <v>0</v>
      </c>
    </row>
    <row r="1336" spans="6:6" x14ac:dyDescent="0.5">
      <c r="F1336" s="614">
        <v>0</v>
      </c>
    </row>
    <row r="1337" spans="6:6" x14ac:dyDescent="0.5">
      <c r="F1337" s="614">
        <v>0</v>
      </c>
    </row>
    <row r="1338" spans="6:6" x14ac:dyDescent="0.5">
      <c r="F1338" s="614">
        <v>0</v>
      </c>
    </row>
    <row r="1339" spans="6:6" x14ac:dyDescent="0.5">
      <c r="F1339" s="614">
        <v>0</v>
      </c>
    </row>
    <row r="1340" spans="6:6" x14ac:dyDescent="0.5">
      <c r="F1340" s="614">
        <v>0</v>
      </c>
    </row>
    <row r="1341" spans="6:6" x14ac:dyDescent="0.5">
      <c r="F1341" s="614">
        <v>0</v>
      </c>
    </row>
    <row r="1342" spans="6:6" x14ac:dyDescent="0.5">
      <c r="F1342" s="614">
        <v>0</v>
      </c>
    </row>
    <row r="1343" spans="6:6" x14ac:dyDescent="0.5">
      <c r="F1343" s="614">
        <v>0</v>
      </c>
    </row>
    <row r="1344" spans="6:6" x14ac:dyDescent="0.5">
      <c r="F1344" s="614">
        <v>0</v>
      </c>
    </row>
    <row r="1345" spans="6:6" x14ac:dyDescent="0.5">
      <c r="F1345" s="614">
        <v>0</v>
      </c>
    </row>
    <row r="1346" spans="6:6" x14ac:dyDescent="0.5">
      <c r="F1346" s="614">
        <v>0</v>
      </c>
    </row>
    <row r="1347" spans="6:6" x14ac:dyDescent="0.5">
      <c r="F1347" s="614">
        <v>0</v>
      </c>
    </row>
    <row r="1348" spans="6:6" x14ac:dyDescent="0.5">
      <c r="F1348" s="614">
        <v>0</v>
      </c>
    </row>
    <row r="1349" spans="6:6" x14ac:dyDescent="0.5">
      <c r="F1349" s="614">
        <v>0</v>
      </c>
    </row>
    <row r="1350" spans="6:6" x14ac:dyDescent="0.5">
      <c r="F1350" s="614">
        <v>0</v>
      </c>
    </row>
    <row r="1351" spans="6:6" x14ac:dyDescent="0.5">
      <c r="F1351" s="614">
        <v>0</v>
      </c>
    </row>
    <row r="1352" spans="6:6" x14ac:dyDescent="0.5">
      <c r="F1352" s="614">
        <v>0</v>
      </c>
    </row>
    <row r="1353" spans="6:6" x14ac:dyDescent="0.5">
      <c r="F1353" s="614">
        <v>0</v>
      </c>
    </row>
    <row r="1354" spans="6:6" x14ac:dyDescent="0.5">
      <c r="F1354" s="614">
        <v>0</v>
      </c>
    </row>
    <row r="1355" spans="6:6" x14ac:dyDescent="0.5">
      <c r="F1355" s="614">
        <v>0</v>
      </c>
    </row>
    <row r="1356" spans="6:6" x14ac:dyDescent="0.5">
      <c r="F1356" s="614">
        <v>0</v>
      </c>
    </row>
    <row r="1357" spans="6:6" x14ac:dyDescent="0.5">
      <c r="F1357" s="614">
        <v>0</v>
      </c>
    </row>
    <row r="1358" spans="6:6" x14ac:dyDescent="0.5">
      <c r="F1358" s="614">
        <v>0</v>
      </c>
    </row>
    <row r="1359" spans="6:6" x14ac:dyDescent="0.5">
      <c r="F1359" s="614">
        <v>0</v>
      </c>
    </row>
    <row r="1360" spans="6:6" x14ac:dyDescent="0.5">
      <c r="F1360" s="614">
        <v>0</v>
      </c>
    </row>
    <row r="1361" spans="6:6" x14ac:dyDescent="0.5">
      <c r="F1361" s="614">
        <v>0</v>
      </c>
    </row>
    <row r="1362" spans="6:6" x14ac:dyDescent="0.5">
      <c r="F1362" s="614">
        <v>0</v>
      </c>
    </row>
    <row r="1363" spans="6:6" x14ac:dyDescent="0.5">
      <c r="F1363" s="614">
        <v>0</v>
      </c>
    </row>
    <row r="1364" spans="6:6" x14ac:dyDescent="0.5">
      <c r="F1364" s="614">
        <v>0</v>
      </c>
    </row>
    <row r="1365" spans="6:6" x14ac:dyDescent="0.5">
      <c r="F1365" s="614">
        <v>0</v>
      </c>
    </row>
    <row r="1366" spans="6:6" x14ac:dyDescent="0.5">
      <c r="F1366" s="614">
        <v>0</v>
      </c>
    </row>
    <row r="1367" spans="6:6" x14ac:dyDescent="0.5">
      <c r="F1367" s="614">
        <v>0</v>
      </c>
    </row>
    <row r="1368" spans="6:6" x14ac:dyDescent="0.5">
      <c r="F1368" s="614">
        <v>0</v>
      </c>
    </row>
    <row r="1369" spans="6:6" x14ac:dyDescent="0.5">
      <c r="F1369" s="614">
        <v>0</v>
      </c>
    </row>
    <row r="1370" spans="6:6" x14ac:dyDescent="0.5">
      <c r="F1370" s="614">
        <v>0</v>
      </c>
    </row>
    <row r="1371" spans="6:6" x14ac:dyDescent="0.5">
      <c r="F1371" s="614">
        <v>0</v>
      </c>
    </row>
    <row r="1372" spans="6:6" x14ac:dyDescent="0.5">
      <c r="F1372" s="614">
        <v>0</v>
      </c>
    </row>
    <row r="1373" spans="6:6" x14ac:dyDescent="0.5">
      <c r="F1373" s="614">
        <v>0</v>
      </c>
    </row>
    <row r="1374" spans="6:6" x14ac:dyDescent="0.5">
      <c r="F1374" s="614">
        <v>0</v>
      </c>
    </row>
    <row r="1375" spans="6:6" x14ac:dyDescent="0.5">
      <c r="F1375" s="614">
        <v>0</v>
      </c>
    </row>
    <row r="1376" spans="6:6" x14ac:dyDescent="0.5">
      <c r="F1376" s="614">
        <v>0</v>
      </c>
    </row>
    <row r="1377" spans="6:6" x14ac:dyDescent="0.5">
      <c r="F1377" s="614">
        <v>0</v>
      </c>
    </row>
    <row r="1378" spans="6:6" x14ac:dyDescent="0.5">
      <c r="F1378" s="614">
        <v>0</v>
      </c>
    </row>
    <row r="1379" spans="6:6" x14ac:dyDescent="0.5">
      <c r="F1379" s="614">
        <v>0</v>
      </c>
    </row>
    <row r="1380" spans="6:6" x14ac:dyDescent="0.5">
      <c r="F1380" s="614">
        <v>0</v>
      </c>
    </row>
    <row r="1381" spans="6:6" x14ac:dyDescent="0.5">
      <c r="F1381" s="614">
        <v>0</v>
      </c>
    </row>
    <row r="1382" spans="6:6" x14ac:dyDescent="0.5">
      <c r="F1382" s="614">
        <v>0</v>
      </c>
    </row>
    <row r="1383" spans="6:6" x14ac:dyDescent="0.5">
      <c r="F1383" s="614">
        <v>0</v>
      </c>
    </row>
    <row r="1384" spans="6:6" x14ac:dyDescent="0.5">
      <c r="F1384" s="614">
        <v>0</v>
      </c>
    </row>
    <row r="1385" spans="6:6" x14ac:dyDescent="0.5">
      <c r="F1385" s="614">
        <v>0</v>
      </c>
    </row>
    <row r="1386" spans="6:6" x14ac:dyDescent="0.5">
      <c r="F1386" s="614">
        <v>0</v>
      </c>
    </row>
    <row r="1387" spans="6:6" x14ac:dyDescent="0.5">
      <c r="F1387" s="614">
        <v>0</v>
      </c>
    </row>
    <row r="1388" spans="6:6" x14ac:dyDescent="0.5">
      <c r="F1388" s="614">
        <v>0</v>
      </c>
    </row>
    <row r="1389" spans="6:6" x14ac:dyDescent="0.5">
      <c r="F1389" s="614">
        <v>0</v>
      </c>
    </row>
    <row r="1390" spans="6:6" x14ac:dyDescent="0.5">
      <c r="F1390" s="614">
        <v>0</v>
      </c>
    </row>
    <row r="1391" spans="6:6" x14ac:dyDescent="0.5">
      <c r="F1391" s="614">
        <v>0</v>
      </c>
    </row>
    <row r="1392" spans="6:6" x14ac:dyDescent="0.5">
      <c r="F1392" s="614">
        <v>0</v>
      </c>
    </row>
    <row r="1393" spans="6:6" x14ac:dyDescent="0.5">
      <c r="F1393" s="614">
        <v>0</v>
      </c>
    </row>
    <row r="1394" spans="6:6" x14ac:dyDescent="0.5">
      <c r="F1394" s="614">
        <v>0</v>
      </c>
    </row>
    <row r="1395" spans="6:6" x14ac:dyDescent="0.5">
      <c r="F1395" s="614">
        <v>0</v>
      </c>
    </row>
    <row r="1396" spans="6:6" x14ac:dyDescent="0.5">
      <c r="F1396" s="614">
        <v>0</v>
      </c>
    </row>
    <row r="1397" spans="6:6" x14ac:dyDescent="0.5">
      <c r="F1397" s="614">
        <v>0</v>
      </c>
    </row>
    <row r="1398" spans="6:6" x14ac:dyDescent="0.5">
      <c r="F1398" s="614">
        <v>0</v>
      </c>
    </row>
    <row r="1399" spans="6:6" x14ac:dyDescent="0.5">
      <c r="F1399" s="614">
        <v>0</v>
      </c>
    </row>
    <row r="1400" spans="6:6" x14ac:dyDescent="0.5">
      <c r="F1400" s="614">
        <v>0</v>
      </c>
    </row>
    <row r="1401" spans="6:6" x14ac:dyDescent="0.5">
      <c r="F1401" s="614">
        <v>0</v>
      </c>
    </row>
    <row r="1402" spans="6:6" x14ac:dyDescent="0.5">
      <c r="F1402" s="614">
        <v>0</v>
      </c>
    </row>
    <row r="1403" spans="6:6" x14ac:dyDescent="0.5">
      <c r="F1403" s="614">
        <v>0</v>
      </c>
    </row>
    <row r="1404" spans="6:6" x14ac:dyDescent="0.5">
      <c r="F1404" s="614">
        <v>0</v>
      </c>
    </row>
    <row r="1405" spans="6:6" x14ac:dyDescent="0.5">
      <c r="F1405" s="614">
        <v>0</v>
      </c>
    </row>
    <row r="1406" spans="6:6" x14ac:dyDescent="0.5">
      <c r="F1406" s="614">
        <v>0</v>
      </c>
    </row>
    <row r="1407" spans="6:6" x14ac:dyDescent="0.5">
      <c r="F1407" s="614">
        <v>0</v>
      </c>
    </row>
    <row r="1408" spans="6:6" x14ac:dyDescent="0.5">
      <c r="F1408" s="614">
        <v>0</v>
      </c>
    </row>
    <row r="1409" spans="6:6" x14ac:dyDescent="0.5">
      <c r="F1409" s="614">
        <v>0</v>
      </c>
    </row>
    <row r="1410" spans="6:6" x14ac:dyDescent="0.5">
      <c r="F1410" s="614">
        <v>0</v>
      </c>
    </row>
    <row r="1411" spans="6:6" x14ac:dyDescent="0.5">
      <c r="F1411" s="614">
        <v>0</v>
      </c>
    </row>
    <row r="1412" spans="6:6" x14ac:dyDescent="0.5">
      <c r="F1412" s="614">
        <v>0</v>
      </c>
    </row>
    <row r="1413" spans="6:6" x14ac:dyDescent="0.5">
      <c r="F1413" s="614">
        <v>0</v>
      </c>
    </row>
    <row r="1414" spans="6:6" x14ac:dyDescent="0.5">
      <c r="F1414" s="614">
        <v>0</v>
      </c>
    </row>
    <row r="1415" spans="6:6" x14ac:dyDescent="0.5">
      <c r="F1415" s="614">
        <v>0</v>
      </c>
    </row>
    <row r="1416" spans="6:6" x14ac:dyDescent="0.5">
      <c r="F1416" s="614">
        <v>0</v>
      </c>
    </row>
    <row r="1417" spans="6:6" x14ac:dyDescent="0.5">
      <c r="F1417" s="614">
        <v>0</v>
      </c>
    </row>
    <row r="1418" spans="6:6" x14ac:dyDescent="0.5">
      <c r="F1418" s="614">
        <v>0</v>
      </c>
    </row>
    <row r="1419" spans="6:6" x14ac:dyDescent="0.5">
      <c r="F1419" s="614">
        <v>0</v>
      </c>
    </row>
    <row r="1420" spans="6:6" x14ac:dyDescent="0.5">
      <c r="F1420" s="614">
        <v>0</v>
      </c>
    </row>
    <row r="1421" spans="6:6" x14ac:dyDescent="0.5">
      <c r="F1421" s="614">
        <v>0</v>
      </c>
    </row>
    <row r="1422" spans="6:6" x14ac:dyDescent="0.5">
      <c r="F1422" s="614">
        <v>0</v>
      </c>
    </row>
    <row r="1423" spans="6:6" x14ac:dyDescent="0.5">
      <c r="F1423" s="614">
        <v>0</v>
      </c>
    </row>
    <row r="1424" spans="6:6" x14ac:dyDescent="0.5">
      <c r="F1424" s="614">
        <v>0</v>
      </c>
    </row>
    <row r="1425" spans="6:6" x14ac:dyDescent="0.5">
      <c r="F1425" s="614">
        <v>0</v>
      </c>
    </row>
    <row r="1426" spans="6:6" x14ac:dyDescent="0.5">
      <c r="F1426" s="614">
        <v>0</v>
      </c>
    </row>
    <row r="1427" spans="6:6" x14ac:dyDescent="0.5">
      <c r="F1427" s="614">
        <v>0</v>
      </c>
    </row>
    <row r="1428" spans="6:6" x14ac:dyDescent="0.5">
      <c r="F1428" s="614">
        <v>0</v>
      </c>
    </row>
    <row r="1429" spans="6:6" x14ac:dyDescent="0.5">
      <c r="F1429" s="614">
        <v>0</v>
      </c>
    </row>
    <row r="1430" spans="6:6" x14ac:dyDescent="0.5">
      <c r="F1430" s="614">
        <v>0</v>
      </c>
    </row>
    <row r="1431" spans="6:6" x14ac:dyDescent="0.5">
      <c r="F1431" s="614">
        <v>0</v>
      </c>
    </row>
    <row r="1432" spans="6:6" x14ac:dyDescent="0.5">
      <c r="F1432" s="614">
        <v>0</v>
      </c>
    </row>
    <row r="1433" spans="6:6" x14ac:dyDescent="0.5">
      <c r="F1433" s="614">
        <v>0</v>
      </c>
    </row>
    <row r="1434" spans="6:6" x14ac:dyDescent="0.5">
      <c r="F1434" s="614">
        <v>0</v>
      </c>
    </row>
    <row r="1435" spans="6:6" x14ac:dyDescent="0.5">
      <c r="F1435" s="614">
        <v>0</v>
      </c>
    </row>
    <row r="1436" spans="6:6" x14ac:dyDescent="0.5">
      <c r="F1436" s="614">
        <v>0</v>
      </c>
    </row>
    <row r="1437" spans="6:6" x14ac:dyDescent="0.5">
      <c r="F1437" s="614">
        <v>0</v>
      </c>
    </row>
    <row r="1438" spans="6:6" x14ac:dyDescent="0.5">
      <c r="F1438" s="614">
        <v>0</v>
      </c>
    </row>
    <row r="1439" spans="6:6" x14ac:dyDescent="0.5">
      <c r="F1439" s="614">
        <v>0</v>
      </c>
    </row>
    <row r="1440" spans="6:6" x14ac:dyDescent="0.5">
      <c r="F1440" s="614">
        <v>0</v>
      </c>
    </row>
    <row r="1441" spans="6:6" x14ac:dyDescent="0.5">
      <c r="F1441" s="614">
        <v>0</v>
      </c>
    </row>
    <row r="1442" spans="6:6" x14ac:dyDescent="0.5">
      <c r="F1442" s="614">
        <v>0</v>
      </c>
    </row>
    <row r="1443" spans="6:6" x14ac:dyDescent="0.5">
      <c r="F1443" s="614">
        <v>0</v>
      </c>
    </row>
    <row r="1444" spans="6:6" x14ac:dyDescent="0.5">
      <c r="F1444" s="614">
        <v>0</v>
      </c>
    </row>
    <row r="1445" spans="6:6" x14ac:dyDescent="0.5">
      <c r="F1445" s="614">
        <v>0</v>
      </c>
    </row>
    <row r="1446" spans="6:6" x14ac:dyDescent="0.5">
      <c r="F1446" s="614">
        <v>0</v>
      </c>
    </row>
    <row r="1447" spans="6:6" x14ac:dyDescent="0.5">
      <c r="F1447" s="614">
        <v>0</v>
      </c>
    </row>
    <row r="1448" spans="6:6" x14ac:dyDescent="0.5">
      <c r="F1448" s="614">
        <v>0</v>
      </c>
    </row>
    <row r="1449" spans="6:6" x14ac:dyDescent="0.5">
      <c r="F1449" s="614">
        <v>0</v>
      </c>
    </row>
    <row r="1450" spans="6:6" x14ac:dyDescent="0.5">
      <c r="F1450" s="614">
        <v>0</v>
      </c>
    </row>
    <row r="1451" spans="6:6" x14ac:dyDescent="0.5">
      <c r="F1451" s="614">
        <v>0</v>
      </c>
    </row>
    <row r="1452" spans="6:6" x14ac:dyDescent="0.5">
      <c r="F1452" s="614">
        <v>0</v>
      </c>
    </row>
    <row r="1453" spans="6:6" x14ac:dyDescent="0.5">
      <c r="F1453" s="614">
        <v>0</v>
      </c>
    </row>
    <row r="1454" spans="6:6" x14ac:dyDescent="0.5">
      <c r="F1454" s="614">
        <v>0</v>
      </c>
    </row>
    <row r="1455" spans="6:6" x14ac:dyDescent="0.5">
      <c r="F1455" s="614">
        <v>0</v>
      </c>
    </row>
    <row r="1456" spans="6:6" x14ac:dyDescent="0.5">
      <c r="F1456" s="614">
        <v>0</v>
      </c>
    </row>
    <row r="1457" spans="6:6" x14ac:dyDescent="0.5">
      <c r="F1457" s="614">
        <v>0</v>
      </c>
    </row>
    <row r="1458" spans="6:6" x14ac:dyDescent="0.5">
      <c r="F1458" s="614">
        <v>0</v>
      </c>
    </row>
    <row r="1459" spans="6:6" x14ac:dyDescent="0.5">
      <c r="F1459" s="614">
        <v>0</v>
      </c>
    </row>
    <row r="1460" spans="6:6" x14ac:dyDescent="0.5">
      <c r="F1460" s="614">
        <v>0</v>
      </c>
    </row>
    <row r="1461" spans="6:6" x14ac:dyDescent="0.5">
      <c r="F1461" s="614">
        <v>0</v>
      </c>
    </row>
    <row r="1462" spans="6:6" x14ac:dyDescent="0.5">
      <c r="F1462" s="614">
        <v>0</v>
      </c>
    </row>
    <row r="1463" spans="6:6" x14ac:dyDescent="0.5">
      <c r="F1463" s="614">
        <v>0</v>
      </c>
    </row>
    <row r="1464" spans="6:6" x14ac:dyDescent="0.5">
      <c r="F1464" s="614">
        <v>0</v>
      </c>
    </row>
    <row r="1465" spans="6:6" x14ac:dyDescent="0.5">
      <c r="F1465" s="614">
        <v>0</v>
      </c>
    </row>
    <row r="1466" spans="6:6" x14ac:dyDescent="0.5">
      <c r="F1466" s="614">
        <v>0</v>
      </c>
    </row>
    <row r="1467" spans="6:6" x14ac:dyDescent="0.5">
      <c r="F1467" s="614">
        <v>0</v>
      </c>
    </row>
    <row r="1468" spans="6:6" x14ac:dyDescent="0.5">
      <c r="F1468" s="614">
        <v>0</v>
      </c>
    </row>
    <row r="1469" spans="6:6" x14ac:dyDescent="0.5">
      <c r="F1469" s="614">
        <v>0</v>
      </c>
    </row>
    <row r="1470" spans="6:6" x14ac:dyDescent="0.5">
      <c r="F1470" s="614">
        <v>0</v>
      </c>
    </row>
    <row r="1471" spans="6:6" x14ac:dyDescent="0.5">
      <c r="F1471" s="614">
        <v>0</v>
      </c>
    </row>
    <row r="1472" spans="6:6" x14ac:dyDescent="0.5">
      <c r="F1472" s="614">
        <v>0</v>
      </c>
    </row>
    <row r="1473" spans="6:6" x14ac:dyDescent="0.5">
      <c r="F1473" s="614">
        <v>0</v>
      </c>
    </row>
    <row r="1474" spans="6:6" x14ac:dyDescent="0.5">
      <c r="F1474" s="614">
        <v>0</v>
      </c>
    </row>
    <row r="1475" spans="6:6" x14ac:dyDescent="0.5">
      <c r="F1475" s="614">
        <v>0</v>
      </c>
    </row>
    <row r="1476" spans="6:6" x14ac:dyDescent="0.5">
      <c r="F1476" s="614">
        <v>0</v>
      </c>
    </row>
    <row r="1477" spans="6:6" x14ac:dyDescent="0.5">
      <c r="F1477" s="614">
        <v>0</v>
      </c>
    </row>
    <row r="1478" spans="6:6" x14ac:dyDescent="0.5">
      <c r="F1478" s="614">
        <v>0</v>
      </c>
    </row>
    <row r="1479" spans="6:6" x14ac:dyDescent="0.5">
      <c r="F1479" s="614">
        <v>0</v>
      </c>
    </row>
    <row r="1480" spans="6:6" x14ac:dyDescent="0.5">
      <c r="F1480" s="614">
        <v>0</v>
      </c>
    </row>
    <row r="1481" spans="6:6" x14ac:dyDescent="0.5">
      <c r="F1481" s="614">
        <v>0</v>
      </c>
    </row>
    <row r="1482" spans="6:6" x14ac:dyDescent="0.5">
      <c r="F1482" s="614">
        <v>0</v>
      </c>
    </row>
    <row r="1483" spans="6:6" x14ac:dyDescent="0.5">
      <c r="F1483" s="614">
        <v>0</v>
      </c>
    </row>
    <row r="1484" spans="6:6" x14ac:dyDescent="0.5">
      <c r="F1484" s="614">
        <v>0</v>
      </c>
    </row>
    <row r="1485" spans="6:6" x14ac:dyDescent="0.5">
      <c r="F1485" s="614">
        <v>0</v>
      </c>
    </row>
    <row r="1486" spans="6:6" x14ac:dyDescent="0.5">
      <c r="F1486" s="614">
        <v>0</v>
      </c>
    </row>
    <row r="1487" spans="6:6" x14ac:dyDescent="0.5">
      <c r="F1487" s="614">
        <v>0</v>
      </c>
    </row>
    <row r="1488" spans="6:6" x14ac:dyDescent="0.5">
      <c r="F1488" s="614">
        <v>0</v>
      </c>
    </row>
    <row r="1489" spans="6:6" x14ac:dyDescent="0.5">
      <c r="F1489" s="614">
        <v>0</v>
      </c>
    </row>
    <row r="1490" spans="6:6" x14ac:dyDescent="0.5">
      <c r="F1490" s="614">
        <v>0</v>
      </c>
    </row>
    <row r="1491" spans="6:6" x14ac:dyDescent="0.5">
      <c r="F1491" s="614">
        <v>0</v>
      </c>
    </row>
    <row r="1492" spans="6:6" x14ac:dyDescent="0.5">
      <c r="F1492" s="614">
        <v>0</v>
      </c>
    </row>
    <row r="1493" spans="6:6" x14ac:dyDescent="0.5">
      <c r="F1493" s="614">
        <v>0</v>
      </c>
    </row>
    <row r="1494" spans="6:6" x14ac:dyDescent="0.5">
      <c r="F1494" s="614">
        <v>0</v>
      </c>
    </row>
    <row r="1495" spans="6:6" x14ac:dyDescent="0.5">
      <c r="F1495" s="614">
        <v>0</v>
      </c>
    </row>
    <row r="1496" spans="6:6" x14ac:dyDescent="0.5">
      <c r="F1496" s="614">
        <v>0</v>
      </c>
    </row>
    <row r="1497" spans="6:6" x14ac:dyDescent="0.5">
      <c r="F1497" s="614">
        <v>0</v>
      </c>
    </row>
    <row r="1498" spans="6:6" x14ac:dyDescent="0.5">
      <c r="F1498" s="614">
        <v>0</v>
      </c>
    </row>
    <row r="1499" spans="6:6" x14ac:dyDescent="0.5">
      <c r="F1499" s="614">
        <v>0</v>
      </c>
    </row>
    <row r="1500" spans="6:6" x14ac:dyDescent="0.5">
      <c r="F1500" s="614">
        <v>0</v>
      </c>
    </row>
    <row r="1501" spans="6:6" x14ac:dyDescent="0.5">
      <c r="F1501" s="614">
        <v>0</v>
      </c>
    </row>
    <row r="1502" spans="6:6" x14ac:dyDescent="0.5">
      <c r="F1502" s="614">
        <v>0</v>
      </c>
    </row>
    <row r="1503" spans="6:6" x14ac:dyDescent="0.5">
      <c r="F1503" s="614">
        <v>0</v>
      </c>
    </row>
    <row r="1504" spans="6:6" x14ac:dyDescent="0.5">
      <c r="F1504" s="614">
        <v>0</v>
      </c>
    </row>
    <row r="1505" spans="6:6" x14ac:dyDescent="0.5">
      <c r="F1505" s="614">
        <v>0</v>
      </c>
    </row>
    <row r="1506" spans="6:6" x14ac:dyDescent="0.5">
      <c r="F1506" s="614">
        <v>0</v>
      </c>
    </row>
    <row r="1507" spans="6:6" x14ac:dyDescent="0.5">
      <c r="F1507" s="614">
        <v>0</v>
      </c>
    </row>
    <row r="1508" spans="6:6" x14ac:dyDescent="0.5">
      <c r="F1508" s="614">
        <v>0</v>
      </c>
    </row>
    <row r="1509" spans="6:6" x14ac:dyDescent="0.5">
      <c r="F1509" s="614">
        <v>0</v>
      </c>
    </row>
    <row r="1510" spans="6:6" x14ac:dyDescent="0.5">
      <c r="F1510" s="614">
        <v>0</v>
      </c>
    </row>
    <row r="1511" spans="6:6" x14ac:dyDescent="0.5">
      <c r="F1511" s="614">
        <v>0</v>
      </c>
    </row>
    <row r="1512" spans="6:6" x14ac:dyDescent="0.5">
      <c r="F1512" s="614">
        <v>0</v>
      </c>
    </row>
    <row r="1513" spans="6:6" x14ac:dyDescent="0.5">
      <c r="F1513" s="614">
        <v>0</v>
      </c>
    </row>
    <row r="1514" spans="6:6" x14ac:dyDescent="0.5">
      <c r="F1514" s="614">
        <v>0</v>
      </c>
    </row>
    <row r="1515" spans="6:6" x14ac:dyDescent="0.5">
      <c r="F1515" s="614">
        <v>0</v>
      </c>
    </row>
    <row r="1516" spans="6:6" x14ac:dyDescent="0.5">
      <c r="F1516" s="614">
        <v>0</v>
      </c>
    </row>
    <row r="1517" spans="6:6" x14ac:dyDescent="0.5">
      <c r="F1517" s="614">
        <v>0</v>
      </c>
    </row>
    <row r="1518" spans="6:6" x14ac:dyDescent="0.5">
      <c r="F1518" s="614">
        <v>0</v>
      </c>
    </row>
    <row r="1519" spans="6:6" x14ac:dyDescent="0.5">
      <c r="F1519" s="614">
        <v>0</v>
      </c>
    </row>
    <row r="1520" spans="6:6" x14ac:dyDescent="0.5">
      <c r="F1520" s="614">
        <v>0</v>
      </c>
    </row>
    <row r="1521" spans="6:6" x14ac:dyDescent="0.5">
      <c r="F1521" s="614">
        <v>0</v>
      </c>
    </row>
    <row r="1522" spans="6:6" x14ac:dyDescent="0.5">
      <c r="F1522" s="614">
        <v>0</v>
      </c>
    </row>
    <row r="1523" spans="6:6" x14ac:dyDescent="0.5">
      <c r="F1523" s="614">
        <v>0</v>
      </c>
    </row>
    <row r="1524" spans="6:6" x14ac:dyDescent="0.5">
      <c r="F1524" s="614">
        <v>0</v>
      </c>
    </row>
    <row r="1525" spans="6:6" x14ac:dyDescent="0.5">
      <c r="F1525" s="614">
        <v>0</v>
      </c>
    </row>
    <row r="1526" spans="6:6" x14ac:dyDescent="0.5">
      <c r="F1526" s="614">
        <v>0</v>
      </c>
    </row>
    <row r="1527" spans="6:6" x14ac:dyDescent="0.5">
      <c r="F1527" s="614">
        <v>0</v>
      </c>
    </row>
    <row r="1528" spans="6:6" x14ac:dyDescent="0.5">
      <c r="F1528" s="614">
        <v>0</v>
      </c>
    </row>
    <row r="1529" spans="6:6" x14ac:dyDescent="0.5">
      <c r="F1529" s="614">
        <v>0</v>
      </c>
    </row>
    <row r="1530" spans="6:6" x14ac:dyDescent="0.5">
      <c r="F1530" s="614">
        <v>0</v>
      </c>
    </row>
    <row r="1531" spans="6:6" x14ac:dyDescent="0.5">
      <c r="F1531" s="614">
        <v>0</v>
      </c>
    </row>
    <row r="1532" spans="6:6" x14ac:dyDescent="0.5">
      <c r="F1532" s="614">
        <v>0</v>
      </c>
    </row>
    <row r="1533" spans="6:6" x14ac:dyDescent="0.5">
      <c r="F1533" s="614">
        <v>0</v>
      </c>
    </row>
    <row r="1534" spans="6:6" x14ac:dyDescent="0.5">
      <c r="F1534" s="614">
        <v>0</v>
      </c>
    </row>
    <row r="1535" spans="6:6" x14ac:dyDescent="0.5">
      <c r="F1535" s="614">
        <v>0</v>
      </c>
    </row>
    <row r="1536" spans="6:6" x14ac:dyDescent="0.5">
      <c r="F1536" s="614">
        <v>0</v>
      </c>
    </row>
    <row r="1537" spans="6:6" x14ac:dyDescent="0.5">
      <c r="F1537" s="614">
        <v>0</v>
      </c>
    </row>
    <row r="1538" spans="6:6" x14ac:dyDescent="0.5">
      <c r="F1538" s="614">
        <v>0</v>
      </c>
    </row>
    <row r="1539" spans="6:6" x14ac:dyDescent="0.5">
      <c r="F1539" s="614">
        <v>0</v>
      </c>
    </row>
    <row r="1540" spans="6:6" x14ac:dyDescent="0.5">
      <c r="F1540" s="614">
        <v>0</v>
      </c>
    </row>
    <row r="1541" spans="6:6" x14ac:dyDescent="0.5">
      <c r="F1541" s="614">
        <v>0</v>
      </c>
    </row>
    <row r="1542" spans="6:6" x14ac:dyDescent="0.5">
      <c r="F1542" s="614">
        <v>0</v>
      </c>
    </row>
    <row r="1543" spans="6:6" x14ac:dyDescent="0.5">
      <c r="F1543" s="614">
        <v>0</v>
      </c>
    </row>
    <row r="1544" spans="6:6" x14ac:dyDescent="0.5">
      <c r="F1544" s="614">
        <v>0</v>
      </c>
    </row>
    <row r="1545" spans="6:6" x14ac:dyDescent="0.5">
      <c r="F1545" s="614">
        <v>0</v>
      </c>
    </row>
    <row r="1546" spans="6:6" x14ac:dyDescent="0.5">
      <c r="F1546" s="614">
        <v>0</v>
      </c>
    </row>
    <row r="1547" spans="6:6" x14ac:dyDescent="0.5">
      <c r="F1547" s="614">
        <v>0</v>
      </c>
    </row>
    <row r="1548" spans="6:6" x14ac:dyDescent="0.5">
      <c r="F1548" s="614">
        <v>0</v>
      </c>
    </row>
    <row r="1549" spans="6:6" x14ac:dyDescent="0.5">
      <c r="F1549" s="614">
        <v>0</v>
      </c>
    </row>
    <row r="1550" spans="6:6" x14ac:dyDescent="0.5">
      <c r="F1550" s="614">
        <v>0</v>
      </c>
    </row>
    <row r="1551" spans="6:6" x14ac:dyDescent="0.5">
      <c r="F1551" s="614">
        <v>0</v>
      </c>
    </row>
    <row r="1552" spans="6:6" x14ac:dyDescent="0.5">
      <c r="F1552" s="614">
        <v>0</v>
      </c>
    </row>
    <row r="1553" spans="6:6" x14ac:dyDescent="0.5">
      <c r="F1553" s="614">
        <v>0</v>
      </c>
    </row>
    <row r="1554" spans="6:6" x14ac:dyDescent="0.5">
      <c r="F1554" s="614">
        <v>0</v>
      </c>
    </row>
    <row r="1555" spans="6:6" x14ac:dyDescent="0.5">
      <c r="F1555" s="614">
        <v>0</v>
      </c>
    </row>
    <row r="1556" spans="6:6" x14ac:dyDescent="0.5">
      <c r="F1556" s="614">
        <v>0</v>
      </c>
    </row>
    <row r="1557" spans="6:6" x14ac:dyDescent="0.5">
      <c r="F1557" s="614">
        <v>0</v>
      </c>
    </row>
    <row r="1558" spans="6:6" x14ac:dyDescent="0.5">
      <c r="F1558" s="614">
        <v>0</v>
      </c>
    </row>
    <row r="1559" spans="6:6" x14ac:dyDescent="0.5">
      <c r="F1559" s="614">
        <v>0</v>
      </c>
    </row>
    <row r="1560" spans="6:6" x14ac:dyDescent="0.5">
      <c r="F1560" s="614">
        <v>0</v>
      </c>
    </row>
    <row r="1561" spans="6:6" x14ac:dyDescent="0.5">
      <c r="F1561" s="614">
        <v>0</v>
      </c>
    </row>
    <row r="1562" spans="6:6" x14ac:dyDescent="0.5">
      <c r="F1562" s="614">
        <v>0</v>
      </c>
    </row>
    <row r="1563" spans="6:6" x14ac:dyDescent="0.5">
      <c r="F1563" s="614">
        <v>0</v>
      </c>
    </row>
    <row r="1564" spans="6:6" x14ac:dyDescent="0.5">
      <c r="F1564" s="614">
        <v>0</v>
      </c>
    </row>
    <row r="1565" spans="6:6" x14ac:dyDescent="0.5">
      <c r="F1565" s="614">
        <v>0</v>
      </c>
    </row>
    <row r="1566" spans="6:6" x14ac:dyDescent="0.5">
      <c r="F1566" s="614">
        <v>0</v>
      </c>
    </row>
    <row r="1567" spans="6:6" x14ac:dyDescent="0.5">
      <c r="F1567" s="614">
        <v>0</v>
      </c>
    </row>
    <row r="1568" spans="6:6" x14ac:dyDescent="0.5">
      <c r="F1568" s="614">
        <v>0</v>
      </c>
    </row>
    <row r="1569" spans="6:6" x14ac:dyDescent="0.5">
      <c r="F1569" s="614">
        <v>0</v>
      </c>
    </row>
    <row r="1570" spans="6:6" x14ac:dyDescent="0.5">
      <c r="F1570" s="614">
        <v>0</v>
      </c>
    </row>
    <row r="1571" spans="6:6" x14ac:dyDescent="0.5">
      <c r="F1571" s="614">
        <v>0</v>
      </c>
    </row>
    <row r="1572" spans="6:6" x14ac:dyDescent="0.5">
      <c r="F1572" s="614">
        <v>0</v>
      </c>
    </row>
    <row r="1573" spans="6:6" x14ac:dyDescent="0.5">
      <c r="F1573" s="614">
        <v>0</v>
      </c>
    </row>
    <row r="1574" spans="6:6" x14ac:dyDescent="0.5">
      <c r="F1574" s="614">
        <v>0</v>
      </c>
    </row>
    <row r="1575" spans="6:6" x14ac:dyDescent="0.5">
      <c r="F1575" s="614">
        <v>0</v>
      </c>
    </row>
    <row r="1576" spans="6:6" x14ac:dyDescent="0.5">
      <c r="F1576" s="614">
        <v>0</v>
      </c>
    </row>
    <row r="1577" spans="6:6" x14ac:dyDescent="0.5">
      <c r="F1577" s="614">
        <v>0</v>
      </c>
    </row>
    <row r="1578" spans="6:6" x14ac:dyDescent="0.5">
      <c r="F1578" s="614">
        <v>0</v>
      </c>
    </row>
    <row r="1579" spans="6:6" x14ac:dyDescent="0.5">
      <c r="F1579" s="614">
        <v>0</v>
      </c>
    </row>
    <row r="1580" spans="6:6" x14ac:dyDescent="0.5">
      <c r="F1580" s="614">
        <v>0</v>
      </c>
    </row>
    <row r="1581" spans="6:6" x14ac:dyDescent="0.5">
      <c r="F1581" s="614">
        <v>0</v>
      </c>
    </row>
    <row r="1582" spans="6:6" x14ac:dyDescent="0.5">
      <c r="F1582" s="614">
        <v>0</v>
      </c>
    </row>
    <row r="1583" spans="6:6" x14ac:dyDescent="0.5">
      <c r="F1583" s="614">
        <v>0</v>
      </c>
    </row>
    <row r="1584" spans="6:6" x14ac:dyDescent="0.5">
      <c r="F1584" s="614">
        <v>0</v>
      </c>
    </row>
    <row r="1585" spans="6:6" x14ac:dyDescent="0.5">
      <c r="F1585" s="614">
        <v>0</v>
      </c>
    </row>
    <row r="1586" spans="6:6" x14ac:dyDescent="0.5">
      <c r="F1586" s="614">
        <v>0</v>
      </c>
    </row>
    <row r="1587" spans="6:6" x14ac:dyDescent="0.5">
      <c r="F1587" s="614">
        <v>0</v>
      </c>
    </row>
    <row r="1588" spans="6:6" x14ac:dyDescent="0.5">
      <c r="F1588" s="614">
        <v>0</v>
      </c>
    </row>
    <row r="1589" spans="6:6" x14ac:dyDescent="0.5">
      <c r="F1589" s="614">
        <v>0</v>
      </c>
    </row>
    <row r="1590" spans="6:6" x14ac:dyDescent="0.5">
      <c r="F1590" s="614">
        <v>0</v>
      </c>
    </row>
    <row r="1591" spans="6:6" x14ac:dyDescent="0.5">
      <c r="F1591" s="614">
        <v>0</v>
      </c>
    </row>
    <row r="1592" spans="6:6" x14ac:dyDescent="0.5">
      <c r="F1592" s="614">
        <v>0</v>
      </c>
    </row>
    <row r="1593" spans="6:6" x14ac:dyDescent="0.5">
      <c r="F1593" s="614">
        <v>0</v>
      </c>
    </row>
    <row r="1594" spans="6:6" x14ac:dyDescent="0.5">
      <c r="F1594" s="614">
        <v>0</v>
      </c>
    </row>
    <row r="1595" spans="6:6" x14ac:dyDescent="0.5">
      <c r="F1595" s="614">
        <v>0</v>
      </c>
    </row>
    <row r="1596" spans="6:6" x14ac:dyDescent="0.5">
      <c r="F1596" s="614">
        <v>0</v>
      </c>
    </row>
    <row r="1597" spans="6:6" x14ac:dyDescent="0.5">
      <c r="F1597" s="614">
        <v>0</v>
      </c>
    </row>
    <row r="1598" spans="6:6" x14ac:dyDescent="0.5">
      <c r="F1598" s="614">
        <v>0</v>
      </c>
    </row>
    <row r="1599" spans="6:6" x14ac:dyDescent="0.5">
      <c r="F1599" s="614">
        <v>0</v>
      </c>
    </row>
    <row r="1600" spans="6:6" x14ac:dyDescent="0.5">
      <c r="F1600" s="614">
        <v>0</v>
      </c>
    </row>
    <row r="1601" spans="6:6" x14ac:dyDescent="0.5">
      <c r="F1601" s="614">
        <v>0</v>
      </c>
    </row>
    <row r="1602" spans="6:6" x14ac:dyDescent="0.5">
      <c r="F1602" s="614">
        <v>0</v>
      </c>
    </row>
    <row r="1603" spans="6:6" x14ac:dyDescent="0.5">
      <c r="F1603" s="614">
        <v>0</v>
      </c>
    </row>
    <row r="1604" spans="6:6" x14ac:dyDescent="0.5">
      <c r="F1604" s="614">
        <v>0</v>
      </c>
    </row>
    <row r="1605" spans="6:6" x14ac:dyDescent="0.5">
      <c r="F1605" s="614">
        <v>0</v>
      </c>
    </row>
    <row r="1606" spans="6:6" x14ac:dyDescent="0.5">
      <c r="F1606" s="614">
        <v>0</v>
      </c>
    </row>
    <row r="1607" spans="6:6" x14ac:dyDescent="0.5">
      <c r="F1607" s="614">
        <v>0</v>
      </c>
    </row>
    <row r="1608" spans="6:6" x14ac:dyDescent="0.5">
      <c r="F1608" s="614">
        <v>0</v>
      </c>
    </row>
    <row r="1609" spans="6:6" x14ac:dyDescent="0.5">
      <c r="F1609" s="614">
        <v>0</v>
      </c>
    </row>
    <row r="1610" spans="6:6" x14ac:dyDescent="0.5">
      <c r="F1610" s="614">
        <v>0</v>
      </c>
    </row>
    <row r="1611" spans="6:6" x14ac:dyDescent="0.5">
      <c r="F1611" s="614">
        <v>0</v>
      </c>
    </row>
    <row r="1612" spans="6:6" x14ac:dyDescent="0.5">
      <c r="F1612" s="614">
        <v>0</v>
      </c>
    </row>
    <row r="1613" spans="6:6" x14ac:dyDescent="0.5">
      <c r="F1613" s="614">
        <v>0</v>
      </c>
    </row>
    <row r="1614" spans="6:6" x14ac:dyDescent="0.5">
      <c r="F1614" s="614">
        <v>0</v>
      </c>
    </row>
    <row r="1615" spans="6:6" x14ac:dyDescent="0.5">
      <c r="F1615" s="614">
        <v>0</v>
      </c>
    </row>
    <row r="1616" spans="6:6" x14ac:dyDescent="0.5">
      <c r="F1616" s="614">
        <v>0</v>
      </c>
    </row>
    <row r="1617" spans="6:6" x14ac:dyDescent="0.5">
      <c r="F1617" s="614">
        <v>0</v>
      </c>
    </row>
    <row r="1618" spans="6:6" x14ac:dyDescent="0.5">
      <c r="F1618" s="614">
        <v>0</v>
      </c>
    </row>
    <row r="1619" spans="6:6" x14ac:dyDescent="0.5">
      <c r="F1619" s="614">
        <v>0</v>
      </c>
    </row>
    <row r="1620" spans="6:6" x14ac:dyDescent="0.5">
      <c r="F1620" s="614">
        <v>0</v>
      </c>
    </row>
    <row r="1621" spans="6:6" x14ac:dyDescent="0.5">
      <c r="F1621" s="614">
        <v>0</v>
      </c>
    </row>
    <row r="1622" spans="6:6" x14ac:dyDescent="0.5">
      <c r="F1622" s="614">
        <v>0</v>
      </c>
    </row>
    <row r="1623" spans="6:6" x14ac:dyDescent="0.5">
      <c r="F1623" s="614">
        <v>0</v>
      </c>
    </row>
    <row r="1624" spans="6:6" x14ac:dyDescent="0.5">
      <c r="F1624" s="614">
        <v>0</v>
      </c>
    </row>
    <row r="1625" spans="6:6" x14ac:dyDescent="0.5">
      <c r="F1625" s="614">
        <v>0</v>
      </c>
    </row>
    <row r="1626" spans="6:6" x14ac:dyDescent="0.5">
      <c r="F1626" s="614">
        <v>0</v>
      </c>
    </row>
    <row r="1627" spans="6:6" x14ac:dyDescent="0.5">
      <c r="F1627" s="614">
        <v>0</v>
      </c>
    </row>
    <row r="1628" spans="6:6" x14ac:dyDescent="0.5">
      <c r="F1628" s="614">
        <v>0</v>
      </c>
    </row>
    <row r="1629" spans="6:6" x14ac:dyDescent="0.5">
      <c r="F1629" s="614">
        <v>0</v>
      </c>
    </row>
    <row r="1630" spans="6:6" x14ac:dyDescent="0.5">
      <c r="F1630" s="614">
        <v>0</v>
      </c>
    </row>
    <row r="1631" spans="6:6" x14ac:dyDescent="0.5">
      <c r="F1631" s="614">
        <v>0</v>
      </c>
    </row>
    <row r="1632" spans="6:6" x14ac:dyDescent="0.5">
      <c r="F1632" s="614">
        <v>0</v>
      </c>
    </row>
    <row r="1633" spans="6:6" x14ac:dyDescent="0.5">
      <c r="F1633" s="614">
        <v>0</v>
      </c>
    </row>
    <row r="1634" spans="6:6" x14ac:dyDescent="0.5">
      <c r="F1634" s="614">
        <v>0</v>
      </c>
    </row>
    <row r="1635" spans="6:6" x14ac:dyDescent="0.5">
      <c r="F1635" s="614">
        <v>0</v>
      </c>
    </row>
    <row r="1636" spans="6:6" x14ac:dyDescent="0.5">
      <c r="F1636" s="614">
        <v>0</v>
      </c>
    </row>
    <row r="1637" spans="6:6" x14ac:dyDescent="0.5">
      <c r="F1637" s="614">
        <v>0</v>
      </c>
    </row>
    <row r="1638" spans="6:6" x14ac:dyDescent="0.5">
      <c r="F1638" s="614">
        <v>0</v>
      </c>
    </row>
    <row r="1639" spans="6:6" x14ac:dyDescent="0.5">
      <c r="F1639" s="614">
        <v>0</v>
      </c>
    </row>
    <row r="1640" spans="6:6" x14ac:dyDescent="0.5">
      <c r="F1640" s="614">
        <v>0</v>
      </c>
    </row>
    <row r="1641" spans="6:6" x14ac:dyDescent="0.5">
      <c r="F1641" s="614">
        <v>0</v>
      </c>
    </row>
    <row r="1642" spans="6:6" x14ac:dyDescent="0.5">
      <c r="F1642" s="614">
        <v>0</v>
      </c>
    </row>
    <row r="1643" spans="6:6" x14ac:dyDescent="0.5">
      <c r="F1643" s="614">
        <v>0</v>
      </c>
    </row>
    <row r="1644" spans="6:6" x14ac:dyDescent="0.5">
      <c r="F1644" s="614">
        <v>0</v>
      </c>
    </row>
    <row r="1645" spans="6:6" x14ac:dyDescent="0.5">
      <c r="F1645" s="614">
        <v>0</v>
      </c>
    </row>
    <row r="1646" spans="6:6" x14ac:dyDescent="0.5">
      <c r="F1646" s="614">
        <v>0</v>
      </c>
    </row>
    <row r="1647" spans="6:6" x14ac:dyDescent="0.5">
      <c r="F1647" s="614">
        <v>0</v>
      </c>
    </row>
    <row r="1648" spans="6:6" x14ac:dyDescent="0.5">
      <c r="F1648" s="614">
        <v>0</v>
      </c>
    </row>
    <row r="1649" spans="6:6" x14ac:dyDescent="0.5">
      <c r="F1649" s="614">
        <v>0</v>
      </c>
    </row>
    <row r="1650" spans="6:6" x14ac:dyDescent="0.5">
      <c r="F1650" s="614">
        <v>0</v>
      </c>
    </row>
    <row r="1651" spans="6:6" x14ac:dyDescent="0.5">
      <c r="F1651" s="614">
        <v>0</v>
      </c>
    </row>
    <row r="1652" spans="6:6" x14ac:dyDescent="0.5">
      <c r="F1652" s="614">
        <v>0</v>
      </c>
    </row>
    <row r="1653" spans="6:6" x14ac:dyDescent="0.5">
      <c r="F1653" s="614">
        <v>0</v>
      </c>
    </row>
    <row r="1654" spans="6:6" x14ac:dyDescent="0.5">
      <c r="F1654" s="614">
        <v>0</v>
      </c>
    </row>
    <row r="1655" spans="6:6" x14ac:dyDescent="0.5">
      <c r="F1655" s="614">
        <v>0</v>
      </c>
    </row>
    <row r="1656" spans="6:6" x14ac:dyDescent="0.5">
      <c r="F1656" s="614">
        <v>0</v>
      </c>
    </row>
    <row r="1657" spans="6:6" x14ac:dyDescent="0.5">
      <c r="F1657" s="614">
        <v>0</v>
      </c>
    </row>
    <row r="1658" spans="6:6" x14ac:dyDescent="0.5">
      <c r="F1658" s="614">
        <v>0</v>
      </c>
    </row>
    <row r="1659" spans="6:6" x14ac:dyDescent="0.5">
      <c r="F1659" s="614">
        <v>0</v>
      </c>
    </row>
    <row r="1660" spans="6:6" x14ac:dyDescent="0.5">
      <c r="F1660" s="614">
        <v>0</v>
      </c>
    </row>
    <row r="1661" spans="6:6" x14ac:dyDescent="0.5">
      <c r="F1661" s="614">
        <v>0</v>
      </c>
    </row>
    <row r="1662" spans="6:6" x14ac:dyDescent="0.5">
      <c r="F1662" s="614">
        <v>0</v>
      </c>
    </row>
    <row r="1663" spans="6:6" x14ac:dyDescent="0.5">
      <c r="F1663" s="614">
        <v>0</v>
      </c>
    </row>
    <row r="1664" spans="6:6" x14ac:dyDescent="0.5">
      <c r="F1664" s="614">
        <v>0</v>
      </c>
    </row>
    <row r="1665" spans="6:6" x14ac:dyDescent="0.5">
      <c r="F1665" s="614">
        <v>0</v>
      </c>
    </row>
    <row r="1666" spans="6:6" x14ac:dyDescent="0.5">
      <c r="F1666" s="614">
        <v>0</v>
      </c>
    </row>
    <row r="1667" spans="6:6" x14ac:dyDescent="0.5">
      <c r="F1667" s="614">
        <v>0</v>
      </c>
    </row>
    <row r="1668" spans="6:6" x14ac:dyDescent="0.5">
      <c r="F1668" s="614">
        <v>0</v>
      </c>
    </row>
    <row r="1669" spans="6:6" x14ac:dyDescent="0.5">
      <c r="F1669" s="614">
        <v>0</v>
      </c>
    </row>
    <row r="1670" spans="6:6" x14ac:dyDescent="0.5">
      <c r="F1670" s="614">
        <v>0</v>
      </c>
    </row>
    <row r="1671" spans="6:6" x14ac:dyDescent="0.5">
      <c r="F1671" s="614">
        <v>0</v>
      </c>
    </row>
    <row r="1672" spans="6:6" x14ac:dyDescent="0.5">
      <c r="F1672" s="614">
        <v>0</v>
      </c>
    </row>
    <row r="1673" spans="6:6" x14ac:dyDescent="0.5">
      <c r="F1673" s="614">
        <v>0</v>
      </c>
    </row>
    <row r="1674" spans="6:6" x14ac:dyDescent="0.5">
      <c r="F1674" s="614">
        <v>0</v>
      </c>
    </row>
    <row r="1675" spans="6:6" x14ac:dyDescent="0.5">
      <c r="F1675" s="614">
        <v>0</v>
      </c>
    </row>
    <row r="1676" spans="6:6" x14ac:dyDescent="0.5">
      <c r="F1676" s="614">
        <v>0</v>
      </c>
    </row>
    <row r="1677" spans="6:6" x14ac:dyDescent="0.5">
      <c r="F1677" s="614">
        <v>0</v>
      </c>
    </row>
    <row r="1678" spans="6:6" x14ac:dyDescent="0.5">
      <c r="F1678" s="614">
        <v>0</v>
      </c>
    </row>
    <row r="1679" spans="6:6" x14ac:dyDescent="0.5">
      <c r="F1679" s="614">
        <v>0</v>
      </c>
    </row>
    <row r="1680" spans="6:6" x14ac:dyDescent="0.5">
      <c r="F1680" s="614">
        <v>0</v>
      </c>
    </row>
    <row r="1681" spans="6:6" x14ac:dyDescent="0.5">
      <c r="F1681" s="614">
        <v>0</v>
      </c>
    </row>
    <row r="1682" spans="6:6" x14ac:dyDescent="0.5">
      <c r="F1682" s="614">
        <v>0</v>
      </c>
    </row>
    <row r="1683" spans="6:6" x14ac:dyDescent="0.5">
      <c r="F1683" s="614">
        <v>0</v>
      </c>
    </row>
    <row r="1684" spans="6:6" x14ac:dyDescent="0.5">
      <c r="F1684" s="614">
        <v>0</v>
      </c>
    </row>
    <row r="1685" spans="6:6" x14ac:dyDescent="0.5">
      <c r="F1685" s="614">
        <v>0</v>
      </c>
    </row>
    <row r="1686" spans="6:6" x14ac:dyDescent="0.5">
      <c r="F1686" s="614">
        <v>0</v>
      </c>
    </row>
    <row r="1687" spans="6:6" x14ac:dyDescent="0.5">
      <c r="F1687" s="614">
        <v>0</v>
      </c>
    </row>
    <row r="1688" spans="6:6" x14ac:dyDescent="0.5">
      <c r="F1688" s="614">
        <v>0</v>
      </c>
    </row>
    <row r="1689" spans="6:6" x14ac:dyDescent="0.5">
      <c r="F1689" s="614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89"/>
  <sheetViews>
    <sheetView view="pageBreakPreview" zoomScale="55" zoomScaleNormal="60" zoomScaleSheetLayoutView="55" zoomScalePageLayoutView="20" workbookViewId="0">
      <selection activeCell="O127" sqref="O127"/>
    </sheetView>
  </sheetViews>
  <sheetFormatPr defaultColWidth="22.33203125" defaultRowHeight="29.25" x14ac:dyDescent="0.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02" t="s">
        <v>226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304</v>
      </c>
      <c r="B2" s="1118">
        <v>44248</v>
      </c>
      <c r="C2" s="1233" t="s">
        <v>69</v>
      </c>
      <c r="D2" s="688">
        <v>0.98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28</v>
      </c>
      <c r="E3" s="1411" t="s">
        <v>132</v>
      </c>
      <c r="F3" s="1412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142</v>
      </c>
      <c r="B7" s="656"/>
      <c r="C7" s="656"/>
      <c r="D7" s="599" t="s">
        <v>143</v>
      </c>
      <c r="E7" s="531">
        <f>'20'!F7</f>
        <v>4277317</v>
      </c>
      <c r="F7" s="531">
        <v>4297423</v>
      </c>
      <c r="G7" s="549">
        <f>F7-E7</f>
        <v>20106</v>
      </c>
      <c r="H7" s="536">
        <f>G7+'20'!H7</f>
        <v>409225</v>
      </c>
      <c r="I7" s="550">
        <f>'1'!I7</f>
        <v>12000</v>
      </c>
      <c r="J7" s="629">
        <f>H7/DAY(B2)</f>
        <v>19486.904761904763</v>
      </c>
      <c r="K7" s="626">
        <v>12199</v>
      </c>
      <c r="L7" s="408">
        <f>G7-K7</f>
        <v>7907</v>
      </c>
      <c r="N7" s="413"/>
      <c r="O7" s="413"/>
    </row>
    <row r="8" spans="1:15" ht="27.75" thickBot="1" x14ac:dyDescent="0.45">
      <c r="A8" s="657" t="s">
        <v>144</v>
      </c>
      <c r="B8" s="658"/>
      <c r="C8" s="659"/>
      <c r="D8" s="694" t="s">
        <v>25</v>
      </c>
      <c r="E8" s="551">
        <f>'20'!F8</f>
        <v>4304527</v>
      </c>
      <c r="F8" s="551">
        <v>4324721</v>
      </c>
      <c r="G8" s="552">
        <f>F8-E8</f>
        <v>20194</v>
      </c>
      <c r="H8" s="536">
        <f>G8+'20'!H8</f>
        <v>411870</v>
      </c>
      <c r="I8" s="553">
        <f>'1'!I8</f>
        <v>12000</v>
      </c>
      <c r="J8" s="629">
        <f>H8/DAY(B2)</f>
        <v>19612.857142857141</v>
      </c>
      <c r="K8" s="626">
        <v>12262</v>
      </c>
      <c r="L8" s="464">
        <f>G8-K8</f>
        <v>7932</v>
      </c>
      <c r="M8" s="479"/>
      <c r="N8" s="413"/>
      <c r="O8" s="413"/>
    </row>
    <row r="9" spans="1:15" x14ac:dyDescent="0.4">
      <c r="A9" s="660" t="s">
        <v>145</v>
      </c>
      <c r="B9" s="661"/>
      <c r="C9" s="661"/>
      <c r="D9" s="599" t="s">
        <v>143</v>
      </c>
      <c r="E9" s="554">
        <f>'20'!F9</f>
        <v>174827</v>
      </c>
      <c r="F9" s="554">
        <v>188776</v>
      </c>
      <c r="G9" s="549">
        <f t="shared" ref="G9:G12" si="0">F9-E9</f>
        <v>13949</v>
      </c>
      <c r="H9" s="536">
        <f>G9+'20'!H9</f>
        <v>225888.25</v>
      </c>
      <c r="I9" s="555">
        <f>I8-J8</f>
        <v>-7612.8571428571413</v>
      </c>
      <c r="J9" s="629">
        <f>H9/DAY(B2)</f>
        <v>10756.583333333334</v>
      </c>
      <c r="K9" s="467"/>
      <c r="L9" s="408"/>
      <c r="N9" s="413"/>
      <c r="O9" s="413"/>
    </row>
    <row r="10" spans="1:15" x14ac:dyDescent="0.4">
      <c r="A10" s="655" t="s">
        <v>146</v>
      </c>
      <c r="B10" s="656"/>
      <c r="C10" s="656"/>
      <c r="D10" s="599" t="s">
        <v>143</v>
      </c>
      <c r="E10" s="554">
        <f>'20'!F10</f>
        <v>1364305</v>
      </c>
      <c r="F10" s="554">
        <v>1369984</v>
      </c>
      <c r="G10" s="549">
        <f t="shared" si="0"/>
        <v>5679</v>
      </c>
      <c r="H10" s="536">
        <f>G10+'20'!H10</f>
        <v>169109.60000000009</v>
      </c>
      <c r="I10" s="556"/>
      <c r="J10" s="629">
        <f>H10/DAY(B2)</f>
        <v>8052.8380952380994</v>
      </c>
      <c r="K10" s="467"/>
      <c r="L10" s="408"/>
      <c r="N10" s="413"/>
      <c r="O10" s="413"/>
    </row>
    <row r="11" spans="1:15" x14ac:dyDescent="0.4">
      <c r="A11" s="655" t="s">
        <v>147</v>
      </c>
      <c r="B11" s="656"/>
      <c r="C11" s="656"/>
      <c r="D11" s="599" t="s">
        <v>143</v>
      </c>
      <c r="E11" s="531">
        <f>'20'!F11</f>
        <v>37000</v>
      </c>
      <c r="F11" s="531">
        <v>37000</v>
      </c>
      <c r="G11" s="549">
        <f t="shared" si="0"/>
        <v>0</v>
      </c>
      <c r="H11" s="536">
        <f>G11+'20'!H11</f>
        <v>1610</v>
      </c>
      <c r="I11" s="556"/>
      <c r="J11" s="629">
        <f>H11/DAY(B2)</f>
        <v>76.666666666666671</v>
      </c>
      <c r="K11" s="467"/>
      <c r="L11" s="408"/>
      <c r="N11" s="413"/>
      <c r="O11" s="413"/>
    </row>
    <row r="12" spans="1:15" x14ac:dyDescent="0.4">
      <c r="A12" s="655" t="s">
        <v>148</v>
      </c>
      <c r="B12" s="656"/>
      <c r="C12" s="656"/>
      <c r="D12" s="599" t="s">
        <v>143</v>
      </c>
      <c r="E12" s="554">
        <f>'20'!F12</f>
        <v>40010</v>
      </c>
      <c r="F12" s="554">
        <v>40010</v>
      </c>
      <c r="G12" s="549">
        <f t="shared" si="0"/>
        <v>0</v>
      </c>
      <c r="H12" s="536">
        <f>G12+'20'!H12</f>
        <v>2380</v>
      </c>
      <c r="I12" s="556"/>
      <c r="J12" s="629">
        <f>H12/DAY(B2)</f>
        <v>113.33333333333333</v>
      </c>
      <c r="K12" s="467"/>
      <c r="L12" s="408"/>
      <c r="N12" s="413"/>
      <c r="O12" s="413"/>
    </row>
    <row r="13" spans="1:15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19628</v>
      </c>
      <c r="H13" s="536">
        <f>G13+'20'!H13</f>
        <v>380681.85000000009</v>
      </c>
      <c r="I13" s="558">
        <f>G7-G13</f>
        <v>478</v>
      </c>
      <c r="J13" s="629">
        <f>H13/DAY(B2)</f>
        <v>18127.707142857147</v>
      </c>
      <c r="K13" s="467"/>
      <c r="L13" s="408"/>
      <c r="N13" s="413"/>
      <c r="O13" s="413"/>
    </row>
    <row r="14" spans="1:1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1" t="s">
        <v>151</v>
      </c>
      <c r="B15" s="666"/>
      <c r="C15" s="666"/>
      <c r="D15" s="599" t="s">
        <v>152</v>
      </c>
      <c r="E15" s="560">
        <f>'20'!F15</f>
        <v>1612521</v>
      </c>
      <c r="F15" s="560">
        <v>1613461</v>
      </c>
      <c r="G15" s="862">
        <f>(F15-E15)</f>
        <v>940</v>
      </c>
      <c r="H15" s="536">
        <f>G15+'20'!H15</f>
        <v>19023.850000000093</v>
      </c>
      <c r="I15" s="550">
        <v>800</v>
      </c>
      <c r="J15" s="629">
        <f>H15/DAY(B2)</f>
        <v>905.89761904762349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-105.89761904762349</v>
      </c>
      <c r="J16" s="630"/>
      <c r="K16" s="467"/>
      <c r="L16" s="408"/>
      <c r="N16" s="413"/>
      <c r="O16" s="413"/>
    </row>
    <row r="17" spans="1:1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390" t="s">
        <v>154</v>
      </c>
      <c r="B18" s="1391"/>
      <c r="C18" s="1392"/>
      <c r="D18" s="599" t="s">
        <v>155</v>
      </c>
      <c r="E18" s="560">
        <f>'20'!F18</f>
        <v>14</v>
      </c>
      <c r="F18" s="560">
        <v>18</v>
      </c>
      <c r="G18" s="557">
        <f>F18*10</f>
        <v>180</v>
      </c>
      <c r="H18" s="536">
        <f>G18+'20'!H18</f>
        <v>3440</v>
      </c>
      <c r="I18" s="550">
        <f>'1'!I18</f>
        <v>65</v>
      </c>
      <c r="J18" s="629">
        <f>H18/DAY(B2)</f>
        <v>163.8095238095238</v>
      </c>
      <c r="K18" s="467"/>
      <c r="L18" s="408"/>
      <c r="N18" s="413"/>
      <c r="O18" s="413"/>
    </row>
    <row r="19" spans="1:15" ht="27.75" x14ac:dyDescent="0.5">
      <c r="A19" s="1390" t="s">
        <v>71</v>
      </c>
      <c r="B19" s="1391"/>
      <c r="C19" s="1392"/>
      <c r="D19" s="599" t="s">
        <v>155</v>
      </c>
      <c r="E19" s="560">
        <f>'20'!F19</f>
        <v>134054</v>
      </c>
      <c r="F19" s="560">
        <v>134105</v>
      </c>
      <c r="G19" s="549">
        <f t="shared" ref="G19" si="1">F19-E19</f>
        <v>51</v>
      </c>
      <c r="H19" s="536">
        <f>G19+'20'!H19</f>
        <v>1057</v>
      </c>
      <c r="I19" s="565"/>
      <c r="J19" s="629">
        <f>H19/DAY(B2)</f>
        <v>50.333333333333336</v>
      </c>
      <c r="K19" s="467"/>
      <c r="L19" s="408"/>
      <c r="N19" s="413"/>
      <c r="O19" s="413"/>
    </row>
    <row r="20" spans="1:15" x14ac:dyDescent="0.5">
      <c r="A20" s="662" t="s">
        <v>156</v>
      </c>
      <c r="B20" s="663"/>
      <c r="C20" s="663"/>
      <c r="D20" s="566"/>
      <c r="E20" s="566"/>
      <c r="F20" s="566"/>
      <c r="G20" s="567">
        <f>G18+G19</f>
        <v>231</v>
      </c>
      <c r="H20" s="536">
        <f>G20+'20'!H20</f>
        <v>4497</v>
      </c>
      <c r="I20" s="568">
        <f>I18-J20</f>
        <v>-149.14285714285714</v>
      </c>
      <c r="J20" s="629">
        <f>H20/DAY(B2)</f>
        <v>214.14285714285714</v>
      </c>
      <c r="K20" s="467"/>
      <c r="L20" s="408"/>
      <c r="N20" s="413"/>
      <c r="O20" s="413"/>
    </row>
    <row r="21" spans="1:1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1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1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161</v>
      </c>
      <c r="B24" s="668"/>
      <c r="C24" s="668"/>
      <c r="D24" s="587" t="s">
        <v>159</v>
      </c>
      <c r="E24" s="569">
        <f>'20'!F24</f>
        <v>4250</v>
      </c>
      <c r="F24" s="569">
        <v>4250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20194</v>
      </c>
      <c r="F27" s="577">
        <v>9</v>
      </c>
      <c r="G27" s="578">
        <f>E27*F27</f>
        <v>181746</v>
      </c>
      <c r="H27" s="536">
        <f>G27+'20'!H27</f>
        <v>3706830</v>
      </c>
      <c r="I27" s="579"/>
      <c r="J27" s="629">
        <f>H27/DAY(B2)</f>
        <v>176515.71428571429</v>
      </c>
      <c r="K27" s="404"/>
      <c r="L27" s="484"/>
      <c r="N27" s="493"/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77">
        <f>G15</f>
        <v>940</v>
      </c>
      <c r="F28" s="577">
        <v>43.5</v>
      </c>
      <c r="G28" s="578">
        <f t="shared" ref="G28:G30" si="3">E28*F28</f>
        <v>40890</v>
      </c>
      <c r="H28" s="536">
        <f>G28+'20'!H28</f>
        <v>827537.47500000405</v>
      </c>
      <c r="I28" s="581"/>
      <c r="J28" s="629">
        <f>H28/DAY(B2)</f>
        <v>39406.546428571623</v>
      </c>
      <c r="K28" s="404"/>
      <c r="L28" s="484"/>
      <c r="N28" s="493"/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 t="shared" si="3"/>
        <v>6834</v>
      </c>
      <c r="H30" s="536">
        <f>G30+'20'!H30</f>
        <v>141638</v>
      </c>
      <c r="I30" s="581"/>
      <c r="J30" s="629">
        <f>H30/DAY(B2)</f>
        <v>6744.666666666667</v>
      </c>
      <c r="K30" s="404"/>
      <c r="L30" s="484"/>
      <c r="N30" s="493"/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77">
        <f>G18</f>
        <v>180</v>
      </c>
      <c r="F31" s="577">
        <v>80</v>
      </c>
      <c r="G31" s="578">
        <f>E31*F31</f>
        <v>14400</v>
      </c>
      <c r="H31" s="536">
        <f>G31+'20'!H31</f>
        <v>275200</v>
      </c>
      <c r="I31" s="581"/>
      <c r="J31" s="629">
        <f>H31/DAY(B2)</f>
        <v>13104.761904761905</v>
      </c>
      <c r="K31" s="404"/>
      <c r="L31" s="484"/>
      <c r="N31" s="493"/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583"/>
      <c r="G32" s="584">
        <f>G27+G28+G29+G30+G31</f>
        <v>243870</v>
      </c>
      <c r="H32" s="536">
        <f>G32+'20'!H32</f>
        <v>5113355.4750000043</v>
      </c>
      <c r="I32" s="585"/>
      <c r="J32" s="629">
        <f>H32/DAY(B2)</f>
        <v>243493.11785714305</v>
      </c>
      <c r="K32" s="404"/>
      <c r="L32" s="484"/>
      <c r="N32" s="493"/>
      <c r="O32" s="413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  <c r="O33" s="413"/>
    </row>
    <row r="34" spans="1:1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175</v>
      </c>
      <c r="B35" s="656"/>
      <c r="C35" s="656"/>
      <c r="D35" s="599" t="s">
        <v>143</v>
      </c>
      <c r="E35" s="586">
        <f>'20'!F35</f>
        <v>668311</v>
      </c>
      <c r="F35" s="586">
        <v>671346</v>
      </c>
      <c r="G35" s="549">
        <f t="shared" ref="G35:G46" si="4">F35-E35</f>
        <v>3035</v>
      </c>
      <c r="H35" s="536">
        <f>G35+'20'!H35</f>
        <v>42318.329999999958</v>
      </c>
      <c r="I35" s="531"/>
      <c r="J35" s="629">
        <f>H35/DAY(B2)</f>
        <v>2015.1585714285695</v>
      </c>
      <c r="K35" s="467">
        <v>1520.2800000000279</v>
      </c>
      <c r="L35" s="408">
        <f t="shared" ref="L35:L60" si="5">G35-K35</f>
        <v>1514.7199999999721</v>
      </c>
      <c r="N35" s="413"/>
      <c r="O35" s="705"/>
    </row>
    <row r="36" spans="1:15" x14ac:dyDescent="0.4">
      <c r="A36" s="655" t="s">
        <v>176</v>
      </c>
      <c r="B36" s="656"/>
      <c r="C36" s="656"/>
      <c r="D36" s="599" t="s">
        <v>143</v>
      </c>
      <c r="E36" s="586">
        <f>'20'!F36</f>
        <v>290399</v>
      </c>
      <c r="F36" s="586">
        <v>291175</v>
      </c>
      <c r="G36" s="549">
        <f t="shared" si="4"/>
        <v>776</v>
      </c>
      <c r="H36" s="536">
        <f>G36+'20'!H36</f>
        <v>14683.549999999988</v>
      </c>
      <c r="I36" s="531"/>
      <c r="J36" s="629">
        <f>H36/DAY(B2)</f>
        <v>699.21666666666613</v>
      </c>
      <c r="K36" s="467">
        <v>485.22000000000116</v>
      </c>
      <c r="L36" s="408">
        <f t="shared" si="5"/>
        <v>290.77999999999884</v>
      </c>
      <c r="N36" s="413"/>
      <c r="O36" s="705"/>
    </row>
    <row r="37" spans="1:15" x14ac:dyDescent="0.4">
      <c r="A37" s="655" t="s">
        <v>177</v>
      </c>
      <c r="B37" s="656"/>
      <c r="C37" s="656"/>
      <c r="D37" s="599" t="s">
        <v>143</v>
      </c>
      <c r="E37" s="586">
        <f>'20'!F37</f>
        <v>20216</v>
      </c>
      <c r="F37" s="586">
        <v>21738</v>
      </c>
      <c r="G37" s="549">
        <f t="shared" si="4"/>
        <v>1522</v>
      </c>
      <c r="H37" s="536">
        <f>G37+'20'!H37</f>
        <v>21738</v>
      </c>
      <c r="I37" s="531"/>
      <c r="J37" s="629">
        <f>H37/DAY(B2)</f>
        <v>1035.1428571428571</v>
      </c>
      <c r="K37" s="467">
        <v>1194.8999999999942</v>
      </c>
      <c r="L37" s="408">
        <f t="shared" si="5"/>
        <v>327.10000000000582</v>
      </c>
      <c r="N37" s="413"/>
      <c r="O37" s="413"/>
    </row>
    <row r="38" spans="1:15" x14ac:dyDescent="0.4">
      <c r="A38" s="655" t="s">
        <v>178</v>
      </c>
      <c r="B38" s="656"/>
      <c r="C38" s="656"/>
      <c r="D38" s="599" t="s">
        <v>143</v>
      </c>
      <c r="E38" s="545">
        <f>'20'!F38</f>
        <v>27141</v>
      </c>
      <c r="F38" s="545">
        <v>29167</v>
      </c>
      <c r="G38" s="549">
        <f t="shared" si="4"/>
        <v>2026</v>
      </c>
      <c r="H38" s="536">
        <f>G38+'20'!H38</f>
        <v>29069.120000000003</v>
      </c>
      <c r="I38" s="531"/>
      <c r="J38" s="629">
        <f>H38/DAY(B2)</f>
        <v>1384.2438095238097</v>
      </c>
      <c r="K38" s="467">
        <v>0</v>
      </c>
      <c r="L38" s="408">
        <f t="shared" si="5"/>
        <v>2026</v>
      </c>
      <c r="N38" s="413"/>
      <c r="O38" s="413"/>
    </row>
    <row r="39" spans="1:15" x14ac:dyDescent="0.4">
      <c r="A39" s="655" t="s">
        <v>179</v>
      </c>
      <c r="B39" s="656"/>
      <c r="C39" s="656"/>
      <c r="D39" s="599" t="s">
        <v>143</v>
      </c>
      <c r="E39" s="586">
        <f>'20'!F39</f>
        <v>57266</v>
      </c>
      <c r="F39" s="586">
        <v>61480</v>
      </c>
      <c r="G39" s="549">
        <f t="shared" si="4"/>
        <v>4214</v>
      </c>
      <c r="H39" s="536">
        <f>G39+'20'!H39</f>
        <v>61480</v>
      </c>
      <c r="I39" s="531"/>
      <c r="J39" s="629">
        <f>H39/DAY(B2)</f>
        <v>2927.6190476190477</v>
      </c>
      <c r="K39" s="467">
        <v>2147.359999999986</v>
      </c>
      <c r="L39" s="408">
        <f t="shared" si="5"/>
        <v>2066.640000000014</v>
      </c>
      <c r="N39" s="413"/>
      <c r="O39" s="413"/>
    </row>
    <row r="40" spans="1:15" x14ac:dyDescent="0.4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 x14ac:dyDescent="0.4">
      <c r="A41" s="655" t="s">
        <v>181</v>
      </c>
      <c r="B41" s="656"/>
      <c r="C41" s="656"/>
      <c r="D41" s="599" t="s">
        <v>143</v>
      </c>
      <c r="E41" s="586">
        <f>'20'!F41</f>
        <v>63882</v>
      </c>
      <c r="F41" s="586">
        <v>63882</v>
      </c>
      <c r="G41" s="549">
        <f t="shared" si="4"/>
        <v>0</v>
      </c>
      <c r="H41" s="536">
        <f>G41+'20'!H41</f>
        <v>19259.480000000003</v>
      </c>
      <c r="I41" s="531"/>
      <c r="J41" s="629">
        <f>H41/DAY(B2)</f>
        <v>917.11809523809541</v>
      </c>
      <c r="K41" s="467">
        <v>0</v>
      </c>
      <c r="L41" s="408">
        <f t="shared" si="5"/>
        <v>0</v>
      </c>
      <c r="N41" s="413"/>
      <c r="O41" s="803"/>
    </row>
    <row r="42" spans="1:15" x14ac:dyDescent="0.4">
      <c r="A42" s="655" t="s">
        <v>182</v>
      </c>
      <c r="B42" s="656"/>
      <c r="C42" s="656"/>
      <c r="D42" s="599" t="s">
        <v>143</v>
      </c>
      <c r="E42" s="586">
        <f>'20'!F42</f>
        <v>59129</v>
      </c>
      <c r="F42" s="586">
        <v>59129</v>
      </c>
      <c r="G42" s="549">
        <f t="shared" si="4"/>
        <v>0</v>
      </c>
      <c r="H42" s="536">
        <f>G42+'20'!H42</f>
        <v>203</v>
      </c>
      <c r="I42" s="531"/>
      <c r="J42" s="629">
        <f>H42/DAY(B2)</f>
        <v>9.6666666666666661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 x14ac:dyDescent="0.4">
      <c r="A43" s="655" t="s">
        <v>183</v>
      </c>
      <c r="B43" s="656"/>
      <c r="C43" s="656"/>
      <c r="D43" s="599" t="s">
        <v>143</v>
      </c>
      <c r="E43" s="586">
        <f>'20'!F43</f>
        <v>807137</v>
      </c>
      <c r="F43" s="586">
        <v>809491</v>
      </c>
      <c r="G43" s="549">
        <f t="shared" si="4"/>
        <v>2354</v>
      </c>
      <c r="H43" s="536">
        <f>G43+'20'!H43</f>
        <v>41679.089999999967</v>
      </c>
      <c r="I43" s="531"/>
      <c r="J43" s="629">
        <f>H43/DAY(B2)</f>
        <v>1984.7185714285699</v>
      </c>
      <c r="K43" s="467">
        <v>1595.679999999993</v>
      </c>
      <c r="L43" s="408">
        <f t="shared" si="5"/>
        <v>758.32000000000698</v>
      </c>
      <c r="N43" s="413"/>
      <c r="O43" s="413"/>
    </row>
    <row r="44" spans="1:15" x14ac:dyDescent="0.4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 x14ac:dyDescent="0.4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 x14ac:dyDescent="0.4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13927</v>
      </c>
      <c r="H47" s="536">
        <f>G47+'20'!H47</f>
        <v>230429.97999999989</v>
      </c>
      <c r="I47" s="531"/>
      <c r="J47" s="629">
        <f>H47/DAY(B2)</f>
        <v>10972.856190476185</v>
      </c>
      <c r="K47" s="467">
        <v>10172.060000000001</v>
      </c>
      <c r="L47" s="408">
        <f t="shared" si="5"/>
        <v>3754.9399999999987</v>
      </c>
      <c r="N47" s="413"/>
      <c r="O47" s="413"/>
    </row>
    <row r="48" spans="1:1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 x14ac:dyDescent="0.4">
      <c r="A49" s="655" t="s">
        <v>175</v>
      </c>
      <c r="B49" s="678"/>
      <c r="C49" s="678"/>
      <c r="D49" s="599" t="s">
        <v>143</v>
      </c>
      <c r="E49" s="586">
        <f>'20'!F49</f>
        <v>260732</v>
      </c>
      <c r="F49" s="586">
        <v>260732</v>
      </c>
      <c r="G49" s="549">
        <f t="shared" ref="G49:G58" si="6">F49-E49</f>
        <v>0</v>
      </c>
      <c r="H49" s="536">
        <f>G49+'20'!H49</f>
        <v>14832.950000000012</v>
      </c>
      <c r="I49" s="531"/>
      <c r="J49" s="629">
        <f>H49/DAY(B2)</f>
        <v>706.33095238095291</v>
      </c>
      <c r="K49" s="467">
        <v>0</v>
      </c>
      <c r="L49" s="408">
        <f t="shared" si="5"/>
        <v>0</v>
      </c>
      <c r="N49" s="413"/>
      <c r="O49" s="413"/>
    </row>
    <row r="50" spans="1:15" x14ac:dyDescent="0.4">
      <c r="A50" s="655" t="s">
        <v>189</v>
      </c>
      <c r="B50" s="678"/>
      <c r="C50" s="678"/>
      <c r="D50" s="599" t="s">
        <v>143</v>
      </c>
      <c r="E50" s="586">
        <f>'20'!F50</f>
        <v>392754</v>
      </c>
      <c r="F50" s="586">
        <v>393865</v>
      </c>
      <c r="G50" s="549">
        <f>F50-E50</f>
        <v>1111</v>
      </c>
      <c r="H50" s="536">
        <f>G50+'20'!H50</f>
        <v>24204.690000000002</v>
      </c>
      <c r="I50" s="531"/>
      <c r="J50" s="629">
        <f>H50/DAY(B2)</f>
        <v>1152.6042857142859</v>
      </c>
      <c r="K50" s="467">
        <v>700.86999999999534</v>
      </c>
      <c r="L50" s="408">
        <f t="shared" si="5"/>
        <v>410.13000000000466</v>
      </c>
      <c r="N50" s="413"/>
      <c r="O50" s="413"/>
    </row>
    <row r="51" spans="1:15" x14ac:dyDescent="0.4">
      <c r="A51" s="655" t="s">
        <v>177</v>
      </c>
      <c r="B51" s="678"/>
      <c r="C51" s="678"/>
      <c r="D51" s="599" t="s">
        <v>143</v>
      </c>
      <c r="E51" s="586">
        <f>'20'!F51</f>
        <v>120051</v>
      </c>
      <c r="F51" s="586">
        <v>120051</v>
      </c>
      <c r="G51" s="549">
        <f t="shared" si="6"/>
        <v>0</v>
      </c>
      <c r="H51" s="536">
        <f>G51+'20'!H51</f>
        <v>9951.2599999999948</v>
      </c>
      <c r="I51" s="531"/>
      <c r="J51" s="629">
        <f>H51/DAY(B2)</f>
        <v>473.86952380952357</v>
      </c>
      <c r="K51" s="467">
        <v>0</v>
      </c>
      <c r="L51" s="408">
        <f t="shared" si="5"/>
        <v>0</v>
      </c>
      <c r="N51" s="413"/>
      <c r="O51" s="413"/>
    </row>
    <row r="52" spans="1:15" x14ac:dyDescent="0.4">
      <c r="A52" s="655" t="s">
        <v>190</v>
      </c>
      <c r="B52" s="678"/>
      <c r="C52" s="678"/>
      <c r="D52" s="599" t="s">
        <v>143</v>
      </c>
      <c r="E52" s="586">
        <f>'20'!F52</f>
        <v>507913</v>
      </c>
      <c r="F52" s="586">
        <v>507913</v>
      </c>
      <c r="G52" s="549">
        <f t="shared" si="6"/>
        <v>0</v>
      </c>
      <c r="H52" s="536">
        <f>G52+'20'!H52</f>
        <v>14104.330000000016</v>
      </c>
      <c r="I52" s="531"/>
      <c r="J52" s="629">
        <f>H52/DAY(B2)</f>
        <v>671.63476190476263</v>
      </c>
      <c r="K52" s="467">
        <v>985.97999999998137</v>
      </c>
      <c r="L52" s="408">
        <f t="shared" si="5"/>
        <v>-985.97999999998137</v>
      </c>
      <c r="N52" s="413"/>
      <c r="O52" s="803"/>
    </row>
    <row r="53" spans="1:15" x14ac:dyDescent="0.4">
      <c r="A53" s="655" t="s">
        <v>179</v>
      </c>
      <c r="B53" s="678"/>
      <c r="C53" s="678"/>
      <c r="D53" s="599" t="s">
        <v>143</v>
      </c>
      <c r="E53" s="586">
        <f>'20'!F53</f>
        <v>331855</v>
      </c>
      <c r="F53" s="586">
        <v>331855</v>
      </c>
      <c r="G53" s="549">
        <f t="shared" si="6"/>
        <v>0</v>
      </c>
      <c r="H53" s="536">
        <f>G53+'20'!H53</f>
        <v>27556.729999999981</v>
      </c>
      <c r="I53" s="531"/>
      <c r="J53" s="629">
        <f>H53/DAY(B2)</f>
        <v>1312.2252380952373</v>
      </c>
      <c r="K53" s="467">
        <v>107.60000000000036</v>
      </c>
      <c r="L53" s="408">
        <f t="shared" si="5"/>
        <v>-107.60000000000036</v>
      </c>
      <c r="N53" s="413"/>
      <c r="O53" s="413"/>
    </row>
    <row r="54" spans="1:15" x14ac:dyDescent="0.4">
      <c r="A54" s="655" t="s">
        <v>191</v>
      </c>
      <c r="B54" s="678"/>
      <c r="C54" s="678"/>
      <c r="D54" s="599" t="s">
        <v>143</v>
      </c>
      <c r="E54" s="586">
        <f>'20'!F54</f>
        <v>7538</v>
      </c>
      <c r="F54" s="586">
        <v>7607</v>
      </c>
      <c r="G54" s="549">
        <f t="shared" si="6"/>
        <v>69</v>
      </c>
      <c r="H54" s="536">
        <f>G54+'20'!H54</f>
        <v>1218.1999999999998</v>
      </c>
      <c r="I54" s="531"/>
      <c r="J54" s="629">
        <f>H54/DAY(B2)</f>
        <v>58.009523809523799</v>
      </c>
      <c r="K54" s="467">
        <v>0</v>
      </c>
      <c r="L54" s="408">
        <f t="shared" si="5"/>
        <v>69</v>
      </c>
      <c r="N54" s="413"/>
      <c r="O54" s="413"/>
    </row>
    <row r="55" spans="1:15" x14ac:dyDescent="0.4">
      <c r="A55" s="655" t="s">
        <v>192</v>
      </c>
      <c r="B55" s="678"/>
      <c r="C55" s="678"/>
      <c r="D55" s="599" t="s">
        <v>143</v>
      </c>
      <c r="E55" s="586">
        <f>'20'!F55</f>
        <v>94270</v>
      </c>
      <c r="F55" s="586">
        <v>94270</v>
      </c>
      <c r="G55" s="549">
        <f t="shared" si="6"/>
        <v>0</v>
      </c>
      <c r="H55" s="536">
        <f>G55+'20'!H55</f>
        <v>51282.02</v>
      </c>
      <c r="I55" s="531"/>
      <c r="J55" s="629">
        <f>H55/DAY(B2)</f>
        <v>2442.0009523809522</v>
      </c>
      <c r="K55" s="467">
        <v>0</v>
      </c>
      <c r="L55" s="408">
        <f t="shared" si="5"/>
        <v>0</v>
      </c>
      <c r="N55" s="413"/>
      <c r="O55" s="413"/>
    </row>
    <row r="56" spans="1:15" x14ac:dyDescent="0.4">
      <c r="A56" s="655" t="s">
        <v>193</v>
      </c>
      <c r="B56" s="678"/>
      <c r="C56" s="678"/>
      <c r="D56" s="599" t="s">
        <v>194</v>
      </c>
      <c r="E56" s="586">
        <f>'20'!F56</f>
        <v>568298</v>
      </c>
      <c r="F56" s="586">
        <v>572652</v>
      </c>
      <c r="G56" s="549">
        <f t="shared" si="6"/>
        <v>4354</v>
      </c>
      <c r="H56" s="536">
        <f>G56+'20'!H56</f>
        <v>14920.089999999967</v>
      </c>
      <c r="I56" s="531"/>
      <c r="J56" s="629">
        <f>H56/DAY(B2)</f>
        <v>710.48047619047463</v>
      </c>
      <c r="K56" s="466">
        <v>0</v>
      </c>
      <c r="L56" s="408">
        <f t="shared" si="5"/>
        <v>4354</v>
      </c>
      <c r="N56" s="413"/>
      <c r="O56" s="413"/>
    </row>
    <row r="57" spans="1:15" x14ac:dyDescent="0.4">
      <c r="A57" s="655" t="s">
        <v>183</v>
      </c>
      <c r="B57" s="678"/>
      <c r="C57" s="678"/>
      <c r="D57" s="599" t="s">
        <v>143</v>
      </c>
      <c r="E57" s="586">
        <f>'20'!F57</f>
        <v>7711</v>
      </c>
      <c r="F57" s="586">
        <v>7711</v>
      </c>
      <c r="G57" s="549">
        <f t="shared" si="6"/>
        <v>0</v>
      </c>
      <c r="H57" s="536">
        <f>G57+'20'!H57</f>
        <v>7711</v>
      </c>
      <c r="I57" s="531"/>
      <c r="J57" s="629">
        <f>H57/DAY(B2)</f>
        <v>367.1904761904762</v>
      </c>
      <c r="K57" s="467">
        <v>0</v>
      </c>
      <c r="L57" s="408">
        <f t="shared" si="5"/>
        <v>0</v>
      </c>
      <c r="N57" s="413"/>
      <c r="O57" s="413"/>
    </row>
    <row r="58" spans="1:15" x14ac:dyDescent="0.4">
      <c r="A58" s="655" t="s">
        <v>195</v>
      </c>
      <c r="B58" s="678"/>
      <c r="C58" s="678"/>
      <c r="D58" s="599" t="s">
        <v>143</v>
      </c>
      <c r="E58" s="586">
        <f>'20'!F58</f>
        <v>34328</v>
      </c>
      <c r="F58" s="586">
        <v>34516</v>
      </c>
      <c r="G58" s="549">
        <f t="shared" si="6"/>
        <v>188</v>
      </c>
      <c r="H58" s="536">
        <f>G58+'20'!H58</f>
        <v>3786.4600000000028</v>
      </c>
      <c r="I58" s="531"/>
      <c r="J58" s="629">
        <f>H58/DAY(B2)</f>
        <v>180.30761904761917</v>
      </c>
      <c r="K58" s="467">
        <v>0</v>
      </c>
      <c r="L58" s="408">
        <f t="shared" si="5"/>
        <v>188</v>
      </c>
      <c r="N58" s="413"/>
      <c r="O58" s="413"/>
    </row>
    <row r="59" spans="1:1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5722</v>
      </c>
      <c r="H59" s="536">
        <f>G59+'20'!H59</f>
        <v>169567.73</v>
      </c>
      <c r="I59" s="531">
        <f>G7-G60</f>
        <v>457</v>
      </c>
      <c r="J59" s="629">
        <f>H59/DAY(B2)</f>
        <v>8074.6538095238102</v>
      </c>
      <c r="K59" s="467">
        <v>1794.4499999999771</v>
      </c>
      <c r="L59" s="408">
        <f t="shared" si="5"/>
        <v>3927.5500000000229</v>
      </c>
      <c r="N59" s="413"/>
      <c r="O59" s="413"/>
    </row>
    <row r="60" spans="1:1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19649</v>
      </c>
      <c r="H60" s="536">
        <f>G60+'20'!H60</f>
        <v>405177.89999999979</v>
      </c>
      <c r="I60" s="531">
        <f>G13-G60</f>
        <v>-21</v>
      </c>
      <c r="J60" s="629">
        <f>H60/DAY(B2)</f>
        <v>19294.185714285704</v>
      </c>
      <c r="K60" s="467">
        <v>11966.509999999978</v>
      </c>
      <c r="L60" s="408">
        <f t="shared" si="5"/>
        <v>7682.4900000000216</v>
      </c>
      <c r="N60" s="413"/>
      <c r="O60" s="413"/>
    </row>
    <row r="61" spans="1:1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'20'!F63</f>
        <v>1597</v>
      </c>
      <c r="F63" s="590">
        <v>1611</v>
      </c>
      <c r="G63" s="549">
        <f t="shared" si="7"/>
        <v>14</v>
      </c>
      <c r="H63" s="536">
        <f>G63+'20'!H63</f>
        <v>278.47000000000003</v>
      </c>
      <c r="I63" s="591"/>
      <c r="J63" s="629">
        <f>H63/DAY(B2)</f>
        <v>13.260476190476192</v>
      </c>
      <c r="K63" s="467"/>
      <c r="L63" s="408"/>
      <c r="N63" s="413"/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60">
        <f>'20'!F64</f>
        <v>119640</v>
      </c>
      <c r="F64" s="560">
        <v>120038</v>
      </c>
      <c r="G64" s="549">
        <f t="shared" si="7"/>
        <v>398</v>
      </c>
      <c r="H64" s="536">
        <f>G64+'20'!H64</f>
        <v>8754.5399999999936</v>
      </c>
      <c r="I64" s="556"/>
      <c r="J64" s="629">
        <f>H64/DAY(B2)</f>
        <v>416.88285714285684</v>
      </c>
      <c r="K64" s="467"/>
      <c r="L64" s="408"/>
      <c r="N64" s="413"/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60">
        <f>'20'!F65</f>
        <v>129452</v>
      </c>
      <c r="F65" s="560">
        <v>129852</v>
      </c>
      <c r="G65" s="549">
        <f t="shared" si="7"/>
        <v>400</v>
      </c>
      <c r="H65" s="536">
        <f>G65+'20'!H65</f>
        <v>8118.8899999999994</v>
      </c>
      <c r="I65" s="565"/>
      <c r="J65" s="629">
        <f>H65/DAY(B2)</f>
        <v>386.61380952380949</v>
      </c>
      <c r="K65" s="467"/>
      <c r="L65" s="408"/>
      <c r="N65" s="413"/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60">
        <f>'20'!F66</f>
        <v>22068</v>
      </c>
      <c r="F66" s="560">
        <v>22440</v>
      </c>
      <c r="G66" s="549">
        <f t="shared" si="7"/>
        <v>372</v>
      </c>
      <c r="H66" s="536">
        <f>G66+'20'!H66</f>
        <v>8280.26</v>
      </c>
      <c r="I66" s="556"/>
      <c r="J66" s="629">
        <f>H66/DAY(B2)</f>
        <v>394.29809523809524</v>
      </c>
      <c r="K66" s="467"/>
      <c r="L66" s="408"/>
      <c r="N66" s="413"/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60">
        <f>'20'!F67</f>
        <v>202595</v>
      </c>
      <c r="F67" s="560">
        <v>203311</v>
      </c>
      <c r="G67" s="549">
        <f t="shared" si="7"/>
        <v>716</v>
      </c>
      <c r="H67" s="536">
        <f>G67+'20'!H67</f>
        <v>14636.470000000001</v>
      </c>
      <c r="I67" s="565"/>
      <c r="J67" s="629">
        <f>H67/DAY(B2)</f>
        <v>696.97476190476198</v>
      </c>
      <c r="K67" s="468"/>
      <c r="L67" s="408"/>
      <c r="N67" s="413"/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60">
        <f>'20'!F68</f>
        <v>71175</v>
      </c>
      <c r="F68" s="560">
        <v>71485</v>
      </c>
      <c r="G68" s="549">
        <f t="shared" si="7"/>
        <v>310</v>
      </c>
      <c r="H68" s="536">
        <f>G68+'20'!H68</f>
        <v>8185.1399999999994</v>
      </c>
      <c r="I68" s="592"/>
      <c r="J68" s="629">
        <f>H68/DAY(B2)</f>
        <v>389.76857142857142</v>
      </c>
      <c r="K68" s="469"/>
      <c r="L68" s="408"/>
      <c r="N68" s="413"/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60">
        <f>'20'!F69</f>
        <v>61818</v>
      </c>
      <c r="F69" s="560">
        <v>62157</v>
      </c>
      <c r="G69" s="549">
        <f t="shared" si="7"/>
        <v>339</v>
      </c>
      <c r="H69" s="536">
        <f>G69+'20'!H69</f>
        <v>6433.2900000000009</v>
      </c>
      <c r="I69" s="592"/>
      <c r="J69" s="629">
        <f>H69/DAY(B2)</f>
        <v>306.3471428571429</v>
      </c>
      <c r="K69" s="470"/>
      <c r="L69" s="408"/>
      <c r="N69" s="413"/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95">
        <f>'20'!F72</f>
        <v>849986</v>
      </c>
      <c r="F72" s="595">
        <v>850008</v>
      </c>
      <c r="G72" s="549">
        <f t="shared" ref="G72:G84" si="8">F72-E72</f>
        <v>22</v>
      </c>
      <c r="H72" s="536">
        <f>G72+'20'!H72</f>
        <v>1456</v>
      </c>
      <c r="I72" s="556"/>
      <c r="J72" s="629">
        <f>H72/DAY(B2)</f>
        <v>69.333333333333329</v>
      </c>
      <c r="K72" s="470"/>
      <c r="L72" s="408"/>
      <c r="N72" s="413"/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96">
        <f>'20'!F73</f>
        <v>885741</v>
      </c>
      <c r="F73" s="596">
        <v>885763</v>
      </c>
      <c r="G73" s="549">
        <f t="shared" si="8"/>
        <v>22</v>
      </c>
      <c r="H73" s="536">
        <f>G73+'20'!H73</f>
        <v>982</v>
      </c>
      <c r="I73" s="556"/>
      <c r="J73" s="629">
        <f>H73/DAY(B2)</f>
        <v>46.761904761904759</v>
      </c>
      <c r="K73" s="469"/>
      <c r="L73" s="408"/>
      <c r="N73" s="413"/>
      <c r="O73" s="413"/>
    </row>
    <row r="74" spans="1:15" ht="27.75" x14ac:dyDescent="0.5">
      <c r="A74" s="1506" t="s">
        <v>204</v>
      </c>
      <c r="B74" s="1507"/>
      <c r="C74" s="1508"/>
      <c r="D74" s="599" t="s">
        <v>198</v>
      </c>
      <c r="E74" s="597">
        <f>'20'!F74</f>
        <v>403</v>
      </c>
      <c r="F74" s="597">
        <v>438</v>
      </c>
      <c r="G74" s="549">
        <f t="shared" si="8"/>
        <v>35</v>
      </c>
      <c r="H74" s="536">
        <f>G74+'20'!H74</f>
        <v>667.1</v>
      </c>
      <c r="I74" s="556"/>
      <c r="J74" s="629">
        <f>H74/DAY(B2)</f>
        <v>31.766666666666669</v>
      </c>
      <c r="K74" s="470"/>
      <c r="L74" s="408"/>
      <c r="N74" s="413"/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97">
        <f>'20'!F75</f>
        <v>2148</v>
      </c>
      <c r="F75" s="597">
        <v>2323</v>
      </c>
      <c r="G75" s="549">
        <f t="shared" si="8"/>
        <v>175</v>
      </c>
      <c r="H75" s="536">
        <f>G75+'20'!H75</f>
        <v>3859.4000000000005</v>
      </c>
      <c r="I75" s="556"/>
      <c r="J75" s="629">
        <f>H75/DAY(B2)</f>
        <v>183.78095238095241</v>
      </c>
      <c r="K75" s="469"/>
      <c r="L75" s="408"/>
      <c r="N75" s="413"/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96">
        <f>'20'!F76</f>
        <v>893</v>
      </c>
      <c r="F76" s="786">
        <v>969</v>
      </c>
      <c r="G76" s="549">
        <f t="shared" si="8"/>
        <v>76</v>
      </c>
      <c r="H76" s="536">
        <f>G76+'20'!H76</f>
        <v>2966.2000000000003</v>
      </c>
      <c r="I76" s="581"/>
      <c r="J76" s="629">
        <f>H76/DAY(B2)</f>
        <v>141.24761904761905</v>
      </c>
      <c r="K76" s="469"/>
      <c r="L76" s="408"/>
      <c r="N76" s="413"/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97">
        <f>'20'!F77</f>
        <v>698204</v>
      </c>
      <c r="F77" s="597">
        <v>698254</v>
      </c>
      <c r="G77" s="549">
        <f t="shared" si="8"/>
        <v>50</v>
      </c>
      <c r="H77" s="536">
        <f>G77+'20'!H77</f>
        <v>1147</v>
      </c>
      <c r="I77" s="581"/>
      <c r="J77" s="629">
        <f>H77/DAY(B2)</f>
        <v>54.61904761904762</v>
      </c>
      <c r="K77" s="469"/>
      <c r="L77" s="408"/>
      <c r="N77" s="413"/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97">
        <f>'20'!F78</f>
        <v>650030</v>
      </c>
      <c r="F78" s="597">
        <v>650484</v>
      </c>
      <c r="G78" s="549">
        <f t="shared" si="8"/>
        <v>454</v>
      </c>
      <c r="H78" s="536">
        <f>G78+'20'!H78</f>
        <v>8531</v>
      </c>
      <c r="I78" s="581"/>
      <c r="J78" s="629">
        <f>H78/DAY(B2)</f>
        <v>406.23809523809524</v>
      </c>
      <c r="K78" s="469"/>
      <c r="L78" s="408"/>
      <c r="N78" s="413"/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97">
        <f>'20'!F79</f>
        <v>813550</v>
      </c>
      <c r="F79" s="597">
        <v>813722</v>
      </c>
      <c r="G79" s="549">
        <f t="shared" si="8"/>
        <v>172</v>
      </c>
      <c r="H79" s="536">
        <f>G79+'20'!H79</f>
        <v>6896</v>
      </c>
      <c r="I79" s="581"/>
      <c r="J79" s="629">
        <f>H79/DAY(B2)</f>
        <v>328.38095238095241</v>
      </c>
      <c r="K79" s="469"/>
      <c r="L79" s="408"/>
      <c r="N79" s="413"/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96">
        <f>'20'!F80</f>
        <v>491659</v>
      </c>
      <c r="F80" s="596">
        <v>492045</v>
      </c>
      <c r="G80" s="549">
        <f t="shared" si="8"/>
        <v>386</v>
      </c>
      <c r="H80" s="536">
        <f>G80+'20'!H80</f>
        <v>5463.320000000007</v>
      </c>
      <c r="I80" s="581"/>
      <c r="J80" s="629">
        <f>H80/DAY(B2)</f>
        <v>260.1580952380956</v>
      </c>
      <c r="K80" s="469"/>
      <c r="L80" s="408"/>
      <c r="N80" s="413"/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6">
        <f>'20'!F81</f>
        <v>624888</v>
      </c>
      <c r="F81" s="596">
        <v>624998</v>
      </c>
      <c r="G81" s="549">
        <f t="shared" si="8"/>
        <v>110</v>
      </c>
      <c r="H81" s="536">
        <f>G81+'20'!H81</f>
        <v>2223</v>
      </c>
      <c r="I81" s="581"/>
      <c r="J81" s="629">
        <f>H81/DAY(B2)</f>
        <v>105.85714285714286</v>
      </c>
      <c r="K81" s="469"/>
      <c r="L81" s="408"/>
      <c r="N81" s="413"/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8">
        <f>'20'!F82</f>
        <v>106016</v>
      </c>
      <c r="F82" s="598">
        <v>106038</v>
      </c>
      <c r="G82" s="549">
        <f t="shared" si="8"/>
        <v>22</v>
      </c>
      <c r="H82" s="536">
        <f>G82+'20'!H82</f>
        <v>598</v>
      </c>
      <c r="I82" s="562"/>
      <c r="J82" s="629">
        <f>H82/DAY(B2)</f>
        <v>28.476190476190474</v>
      </c>
      <c r="K82" s="469"/>
      <c r="L82" s="408"/>
      <c r="N82" s="413"/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87">
        <f>'20'!F83</f>
        <v>992440</v>
      </c>
      <c r="F83" s="587">
        <v>992869</v>
      </c>
      <c r="G83" s="549">
        <f t="shared" si="8"/>
        <v>429</v>
      </c>
      <c r="H83" s="536">
        <f>G83+'20'!H83</f>
        <v>9128</v>
      </c>
      <c r="I83" s="557"/>
      <c r="J83" s="629">
        <f>H83/DAY(B2)</f>
        <v>434.66666666666669</v>
      </c>
      <c r="K83" s="468"/>
      <c r="L83" s="408"/>
      <c r="N83" s="413"/>
      <c r="O83" s="803"/>
    </row>
    <row r="84" spans="1:15" x14ac:dyDescent="0.5">
      <c r="A84" s="1235" t="s">
        <v>212</v>
      </c>
      <c r="B84" s="648"/>
      <c r="C84" s="648"/>
      <c r="D84" s="554" t="s">
        <v>143</v>
      </c>
      <c r="E84" s="704">
        <f>'20'!F84</f>
        <v>425948</v>
      </c>
      <c r="F84" s="704">
        <v>426516</v>
      </c>
      <c r="G84" s="549">
        <f t="shared" si="8"/>
        <v>568</v>
      </c>
      <c r="H84" s="536">
        <f>G84+'20'!H84</f>
        <v>10443</v>
      </c>
      <c r="I84" s="557"/>
      <c r="J84" s="629">
        <f>H84/DAY(B2)</f>
        <v>497.28571428571428</v>
      </c>
      <c r="K84" s="411"/>
      <c r="L84" s="408"/>
      <c r="N84" s="413"/>
      <c r="O84" s="413"/>
    </row>
    <row r="85" spans="1:15" s="410" customFormat="1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2521</v>
      </c>
      <c r="H85" s="536">
        <f>G85+'20'!H85</f>
        <v>49056.649999999994</v>
      </c>
      <c r="I85" s="557"/>
      <c r="J85" s="629">
        <f>H85/DAY(B2)</f>
        <v>2336.0309523809519</v>
      </c>
      <c r="K85" s="411"/>
      <c r="L85" s="409"/>
      <c r="N85" s="859"/>
      <c r="O85" s="80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28">
        <f>'20'!F86</f>
        <v>449470</v>
      </c>
      <c r="F86" s="728">
        <v>449543</v>
      </c>
      <c r="G86" s="787">
        <f t="shared" ref="G86:G90" si="9">F86-E86</f>
        <v>73</v>
      </c>
      <c r="H86" s="536">
        <f>G86+'20'!H86</f>
        <v>459</v>
      </c>
      <c r="I86" s="733"/>
      <c r="J86" s="789">
        <f>H86/DAY(B2)</f>
        <v>21.857142857142858</v>
      </c>
      <c r="K86" s="815"/>
      <c r="L86" s="816"/>
      <c r="N86" s="860"/>
      <c r="O86" s="413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28">
        <f>'20'!F87</f>
        <v>78978</v>
      </c>
      <c r="F87" s="728">
        <v>78987</v>
      </c>
      <c r="G87" s="787">
        <f t="shared" si="9"/>
        <v>9</v>
      </c>
      <c r="H87" s="536">
        <f>G87+'20'!H87</f>
        <v>78.30000000000291</v>
      </c>
      <c r="I87" s="733"/>
      <c r="J87" s="789">
        <f>H87/DAY(B2)</f>
        <v>3.7285714285715672</v>
      </c>
      <c r="K87" s="815"/>
      <c r="L87" s="816"/>
      <c r="N87" s="860"/>
      <c r="O87" s="413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28">
        <f>'20'!F88</f>
        <v>147874</v>
      </c>
      <c r="F88" s="728">
        <v>147909</v>
      </c>
      <c r="G88" s="787">
        <f t="shared" si="9"/>
        <v>35</v>
      </c>
      <c r="H88" s="536">
        <f>G88+'20'!H88</f>
        <v>271.10000000000582</v>
      </c>
      <c r="I88" s="733"/>
      <c r="J88" s="789">
        <f>H88/DAY(B2)</f>
        <v>12.909523809524087</v>
      </c>
      <c r="K88" s="815"/>
      <c r="L88" s="816"/>
      <c r="N88" s="860"/>
      <c r="O88" s="413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28">
        <f>'20'!F89</f>
        <v>61120</v>
      </c>
      <c r="F89" s="728">
        <v>61159</v>
      </c>
      <c r="G89" s="787">
        <f t="shared" si="9"/>
        <v>39</v>
      </c>
      <c r="H89" s="536">
        <f>G89+'20'!H89</f>
        <v>226.5</v>
      </c>
      <c r="I89" s="733"/>
      <c r="J89" s="789">
        <f>H89/DAY(B2)</f>
        <v>10.785714285714286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28">
        <f>'20'!F90</f>
        <v>3135</v>
      </c>
      <c r="F90" s="728">
        <v>3136</v>
      </c>
      <c r="G90" s="787">
        <f t="shared" si="9"/>
        <v>1</v>
      </c>
      <c r="H90" s="536">
        <f>G90+'20'!H90</f>
        <v>6.8000000000001819</v>
      </c>
      <c r="I90" s="733"/>
      <c r="J90" s="789">
        <f>H90/DAY(B2)</f>
        <v>0.32380952380953248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'20'!F92</f>
        <v>238797</v>
      </c>
      <c r="F92" s="560">
        <v>238919</v>
      </c>
      <c r="G92" s="549">
        <f t="shared" ref="G92:G93" si="10">F92-E92</f>
        <v>122</v>
      </c>
      <c r="H92" s="536">
        <f>G92+'20'!H92</f>
        <v>2349</v>
      </c>
      <c r="I92" s="556"/>
      <c r="J92" s="629">
        <f>H92/DAY(B2)</f>
        <v>111.85714285714286</v>
      </c>
      <c r="K92" s="468"/>
      <c r="L92" s="408"/>
      <c r="N92" s="413"/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'20'!F93</f>
        <v>174343</v>
      </c>
      <c r="F93" s="560">
        <v>174453</v>
      </c>
      <c r="G93" s="549">
        <f t="shared" si="10"/>
        <v>110</v>
      </c>
      <c r="H93" s="536">
        <f>G93+'20'!H93</f>
        <v>3277</v>
      </c>
      <c r="I93" s="556"/>
      <c r="J93" s="629">
        <f>H93/DAY(B2)</f>
        <v>156.04761904761904</v>
      </c>
      <c r="K93" s="411"/>
      <c r="L93" s="408"/>
      <c r="N93" s="413"/>
      <c r="O93" s="413"/>
    </row>
    <row r="94" spans="1:15" x14ac:dyDescent="0.5">
      <c r="A94" s="1384" t="s">
        <v>219</v>
      </c>
      <c r="B94" s="1385"/>
      <c r="C94" s="1386"/>
      <c r="D94" s="599"/>
      <c r="E94" s="560">
        <f>'20'!F94</f>
        <v>0</v>
      </c>
      <c r="F94" s="560"/>
      <c r="G94" s="549">
        <f>G92+G93</f>
        <v>232</v>
      </c>
      <c r="H94" s="536">
        <f>G94+'20'!H94</f>
        <v>5339</v>
      </c>
      <c r="I94" s="556"/>
      <c r="J94" s="629">
        <f>H94/DAY(B2)</f>
        <v>254.23809523809524</v>
      </c>
      <c r="K94" s="411"/>
      <c r="L94" s="408"/>
      <c r="N94" s="413"/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'20'!F95</f>
        <v>407448</v>
      </c>
      <c r="F95" s="560">
        <v>407520</v>
      </c>
      <c r="G95" s="549">
        <f t="shared" ref="G95:G100" si="11">F95-E95</f>
        <v>72</v>
      </c>
      <c r="H95" s="536">
        <f>G95+'20'!H95</f>
        <v>1644</v>
      </c>
      <c r="I95" s="556"/>
      <c r="J95" s="629">
        <f>H95/DAY(B2)</f>
        <v>78.285714285714292</v>
      </c>
      <c r="K95" s="411"/>
      <c r="L95" s="408"/>
      <c r="N95" s="413"/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'20'!F96</f>
        <v>101171</v>
      </c>
      <c r="F96" s="560">
        <v>101198</v>
      </c>
      <c r="G96" s="549">
        <f t="shared" si="11"/>
        <v>27</v>
      </c>
      <c r="H96" s="536">
        <f>G96+'20'!H96</f>
        <v>664</v>
      </c>
      <c r="I96" s="556"/>
      <c r="J96" s="629">
        <f>H96/DAY(B2)</f>
        <v>31.61904761904762</v>
      </c>
      <c r="K96" s="466"/>
      <c r="L96" s="408"/>
      <c r="N96" s="413"/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60">
        <f>'20'!F97</f>
        <v>96270</v>
      </c>
      <c r="F97" s="560">
        <v>96305</v>
      </c>
      <c r="G97" s="549">
        <f t="shared" si="11"/>
        <v>35</v>
      </c>
      <c r="H97" s="536">
        <f>G97+'20'!H97</f>
        <v>628</v>
      </c>
      <c r="I97" s="556"/>
      <c r="J97" s="629">
        <f>H97/DAY(B2)</f>
        <v>29.904761904761905</v>
      </c>
      <c r="K97" s="471"/>
      <c r="L97" s="408"/>
      <c r="N97" s="413"/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60">
        <f>'20'!F98</f>
        <v>146906</v>
      </c>
      <c r="F98" s="560">
        <v>146993</v>
      </c>
      <c r="G98" s="549">
        <f t="shared" si="11"/>
        <v>87</v>
      </c>
      <c r="H98" s="536">
        <f>G98+'20'!H98</f>
        <v>1439</v>
      </c>
      <c r="I98" s="556"/>
      <c r="J98" s="629">
        <f>H98/DAY(B2)</f>
        <v>68.523809523809518</v>
      </c>
      <c r="K98" s="411"/>
      <c r="L98" s="408"/>
      <c r="N98" s="413"/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60">
        <f>'20'!F99</f>
        <v>6264</v>
      </c>
      <c r="F99" s="560">
        <v>6279</v>
      </c>
      <c r="G99" s="549">
        <f t="shared" si="11"/>
        <v>15</v>
      </c>
      <c r="H99" s="536">
        <f>G99+'20'!H99</f>
        <v>305</v>
      </c>
      <c r="I99" s="556"/>
      <c r="J99" s="629">
        <f>H99/DAY(B2)</f>
        <v>14.523809523809524</v>
      </c>
      <c r="K99" s="411"/>
      <c r="L99" s="408"/>
      <c r="N99" s="413"/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60">
        <f>'20'!F100</f>
        <v>4420</v>
      </c>
      <c r="F100" s="560">
        <v>4432</v>
      </c>
      <c r="G100" s="549">
        <f t="shared" si="11"/>
        <v>12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248</v>
      </c>
      <c r="H101" s="536">
        <f>G101+'20'!H101</f>
        <v>4875</v>
      </c>
      <c r="I101" s="602"/>
      <c r="J101" s="629">
        <f>H101/DAY(B2)</f>
        <v>232.14285714285714</v>
      </c>
      <c r="K101" s="411"/>
      <c r="L101" s="408"/>
      <c r="N101" s="413"/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395" t="s">
        <v>230</v>
      </c>
      <c r="B104" s="1396"/>
      <c r="C104" s="1229"/>
      <c r="D104" s="699" t="s">
        <v>155</v>
      </c>
      <c r="E104" s="608">
        <f>'20'!F104</f>
        <v>7097</v>
      </c>
      <c r="F104" s="608">
        <v>7097</v>
      </c>
      <c r="G104" s="608">
        <f>F104-E104</f>
        <v>0</v>
      </c>
      <c r="H104" s="536">
        <f>G104+'20'!H104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 x14ac:dyDescent="0.5">
      <c r="A105" s="1395" t="s">
        <v>77</v>
      </c>
      <c r="B105" s="1396"/>
      <c r="C105" s="1229"/>
      <c r="D105" s="699" t="s">
        <v>155</v>
      </c>
      <c r="E105" s="610">
        <f>'20'!F105</f>
        <v>35334</v>
      </c>
      <c r="F105" s="610">
        <v>35341</v>
      </c>
      <c r="G105" s="608">
        <f t="shared" ref="G105:G106" si="12">F105-E105</f>
        <v>7</v>
      </c>
      <c r="H105" s="536">
        <f>G105+'20'!H105</f>
        <v>83</v>
      </c>
      <c r="I105" s="608"/>
      <c r="J105" s="635">
        <f>H105/DAY(B2)</f>
        <v>3.9523809523809526</v>
      </c>
      <c r="N105" s="493"/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'20'!F106</f>
        <v>19203</v>
      </c>
      <c r="F106" s="608">
        <v>19209</v>
      </c>
      <c r="G106" s="608">
        <f t="shared" si="12"/>
        <v>6</v>
      </c>
      <c r="H106" s="536">
        <f>G106+'20'!H106</f>
        <v>364</v>
      </c>
      <c r="I106" s="608"/>
      <c r="J106" s="635">
        <f>H106/DAY(B2)</f>
        <v>17.333333333333332</v>
      </c>
      <c r="N106" s="493"/>
      <c r="O106" s="413"/>
    </row>
    <row r="107" spans="1:15" s="481" customFormat="1" ht="27.75" x14ac:dyDescent="0.5">
      <c r="A107" s="1398" t="s">
        <v>213</v>
      </c>
      <c r="B107" s="1399"/>
      <c r="C107" s="1229"/>
      <c r="D107" s="699"/>
      <c r="E107" s="608">
        <f>'20'!F107</f>
        <v>0</v>
      </c>
      <c r="F107" s="608"/>
      <c r="G107" s="608">
        <f>SUM(G104:G106)</f>
        <v>13</v>
      </c>
      <c r="H107" s="536">
        <f>G107+'20'!H107</f>
        <v>270</v>
      </c>
      <c r="I107" s="608"/>
      <c r="J107" s="635">
        <f>H107/DAY(B2)</f>
        <v>12.857142857142858</v>
      </c>
      <c r="N107" s="493"/>
      <c r="O107" s="413"/>
    </row>
    <row r="108" spans="1:15" s="481" customFormat="1" ht="27.75" x14ac:dyDescent="0.5">
      <c r="A108" s="1400" t="s">
        <v>79</v>
      </c>
      <c r="B108" s="1401"/>
      <c r="C108" s="1229"/>
      <c r="D108" s="699" t="s">
        <v>155</v>
      </c>
      <c r="E108" s="608">
        <f>'20'!F108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 x14ac:dyDescent="0.5">
      <c r="A109" s="1395" t="s">
        <v>231</v>
      </c>
      <c r="B109" s="1396"/>
      <c r="C109" s="1229"/>
      <c r="D109" s="699" t="s">
        <v>155</v>
      </c>
      <c r="E109" s="608">
        <f>'20'!F109</f>
        <v>55847</v>
      </c>
      <c r="F109" s="608">
        <v>55907</v>
      </c>
      <c r="G109" s="608">
        <f>F109-E109</f>
        <v>60</v>
      </c>
      <c r="H109" s="536">
        <f>G109+'20'!H109</f>
        <v>295</v>
      </c>
      <c r="I109" s="608"/>
      <c r="J109" s="635">
        <f>H109/DAY(B2)</f>
        <v>14.047619047619047</v>
      </c>
      <c r="N109" s="493"/>
      <c r="O109" s="413"/>
    </row>
    <row r="110" spans="1:15" s="481" customFormat="1" ht="27.75" x14ac:dyDescent="0.5">
      <c r="A110" s="1395" t="s">
        <v>232</v>
      </c>
      <c r="B110" s="1396"/>
      <c r="C110" s="1229"/>
      <c r="D110" s="699" t="s">
        <v>155</v>
      </c>
      <c r="E110" s="608">
        <f>'20'!F110</f>
        <v>29812</v>
      </c>
      <c r="F110" s="608">
        <v>29912</v>
      </c>
      <c r="G110" s="608">
        <f t="shared" ref="G110:G111" si="13">F110-E110</f>
        <v>100</v>
      </c>
      <c r="H110" s="536">
        <f>G110+'20'!H110</f>
        <v>343</v>
      </c>
      <c r="I110" s="608"/>
      <c r="J110" s="635">
        <f>H110/DAY(B2)</f>
        <v>16.333333333333332</v>
      </c>
      <c r="N110" s="493"/>
      <c r="O110" s="413"/>
    </row>
    <row r="111" spans="1:15" s="481" customFormat="1" ht="27.75" x14ac:dyDescent="0.5">
      <c r="A111" s="1395" t="s">
        <v>233</v>
      </c>
      <c r="B111" s="1396"/>
      <c r="C111" s="1229"/>
      <c r="D111" s="699" t="s">
        <v>155</v>
      </c>
      <c r="E111" s="608">
        <f>'20'!F111</f>
        <v>3932</v>
      </c>
      <c r="F111" s="608">
        <v>3938</v>
      </c>
      <c r="G111" s="608">
        <f t="shared" si="13"/>
        <v>6</v>
      </c>
      <c r="H111" s="536">
        <f>G111+'20'!H111</f>
        <v>466</v>
      </c>
      <c r="I111" s="608"/>
      <c r="J111" s="635">
        <f>H111/DAY(B2)</f>
        <v>22.19047619047619</v>
      </c>
      <c r="N111" s="493"/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>
        <f>'20'!F112</f>
        <v>0</v>
      </c>
      <c r="F112" s="608"/>
      <c r="G112" s="608">
        <f>SUM(G109:G111)</f>
        <v>166</v>
      </c>
      <c r="H112" s="536">
        <f>G112+'20'!H112</f>
        <v>1071</v>
      </c>
      <c r="I112" s="608"/>
      <c r="J112" s="635">
        <f>H112/DAY(B2)</f>
        <v>51</v>
      </c>
      <c r="N112" s="493"/>
      <c r="O112" s="413"/>
    </row>
    <row r="113" spans="1:15" s="481" customFormat="1" ht="27.75" x14ac:dyDescent="0.5">
      <c r="A113" s="1400" t="s">
        <v>234</v>
      </c>
      <c r="B113" s="1401"/>
      <c r="C113" s="1229"/>
      <c r="D113" s="699"/>
      <c r="E113" s="608">
        <f>'20'!F113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395" t="s">
        <v>235</v>
      </c>
      <c r="B114" s="1396"/>
      <c r="C114" s="651"/>
      <c r="D114" s="699" t="s">
        <v>155</v>
      </c>
      <c r="E114" s="610">
        <f>'20'!F114</f>
        <v>10151</v>
      </c>
      <c r="F114" s="610">
        <v>10168</v>
      </c>
      <c r="G114" s="610">
        <f>F114-E114</f>
        <v>17</v>
      </c>
      <c r="H114" s="536">
        <f>G114+'20'!H114</f>
        <v>94</v>
      </c>
      <c r="I114" s="608"/>
      <c r="J114" s="635">
        <f>H114/DAY(B2)</f>
        <v>4.4761904761904763</v>
      </c>
      <c r="N114" s="493"/>
      <c r="O114" s="413"/>
    </row>
    <row r="115" spans="1:15" s="481" customFormat="1" ht="27.75" x14ac:dyDescent="0.5">
      <c r="A115" s="1395" t="s">
        <v>236</v>
      </c>
      <c r="B115" s="1396"/>
      <c r="C115" s="651"/>
      <c r="D115" s="699" t="s">
        <v>155</v>
      </c>
      <c r="E115" s="610">
        <f>'20'!F115</f>
        <v>7576</v>
      </c>
      <c r="F115" s="610">
        <v>7585</v>
      </c>
      <c r="G115" s="610">
        <f t="shared" ref="G115:G116" si="14">F115-E115</f>
        <v>9</v>
      </c>
      <c r="H115" s="536">
        <f>G115+'20'!H115</f>
        <v>111</v>
      </c>
      <c r="I115" s="608"/>
      <c r="J115" s="635">
        <f>H115/DAY(B2)</f>
        <v>5.2857142857142856</v>
      </c>
      <c r="N115" s="493"/>
      <c r="O115" s="413"/>
    </row>
    <row r="116" spans="1:15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4"/>
        <v>0</v>
      </c>
      <c r="H116" s="536">
        <f>G116+'20'!H116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 x14ac:dyDescent="0.5">
      <c r="A117" s="1398" t="s">
        <v>213</v>
      </c>
      <c r="B117" s="1399"/>
      <c r="C117" s="651"/>
      <c r="D117" s="700"/>
      <c r="E117" s="610"/>
      <c r="F117" s="610"/>
      <c r="G117" s="610">
        <f>SUM(G114:G116)</f>
        <v>26</v>
      </c>
      <c r="H117" s="536">
        <f>G117+'20'!H117</f>
        <v>190</v>
      </c>
      <c r="I117" s="610"/>
      <c r="J117" s="635">
        <f>H117/DAY(B2)</f>
        <v>9.0476190476190474</v>
      </c>
      <c r="N117" s="522"/>
      <c r="O117" s="413"/>
    </row>
    <row r="118" spans="1:15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173</v>
      </c>
      <c r="G118" s="612">
        <f>SUM(G19+G92)</f>
        <v>173</v>
      </c>
      <c r="H118" s="536">
        <f>G118+'20'!H118</f>
        <v>627</v>
      </c>
      <c r="I118" s="611"/>
      <c r="J118" s="636">
        <f>H118/DAY(B2)</f>
        <v>29.857142857142858</v>
      </c>
      <c r="N118" s="861"/>
      <c r="O118" s="413"/>
    </row>
    <row r="119" spans="1:15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161</v>
      </c>
      <c r="G119" s="612">
        <f>SUM(G95,G96,G97,G99,G100)</f>
        <v>161</v>
      </c>
      <c r="H119" s="536">
        <f>G119+'20'!H119</f>
        <v>688</v>
      </c>
      <c r="I119" s="611"/>
      <c r="J119" s="636">
        <f>H119/DAY(B2)</f>
        <v>32.761904761904759</v>
      </c>
      <c r="N119" s="861"/>
      <c r="O119" s="413"/>
    </row>
    <row r="120" spans="1:15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166</v>
      </c>
      <c r="G120" s="610">
        <f>SUM(G112)</f>
        <v>166</v>
      </c>
      <c r="H120" s="536">
        <f>G120+'20'!H120</f>
        <v>556</v>
      </c>
      <c r="I120" s="611"/>
      <c r="J120" s="636">
        <f>H120/DAY(B2)</f>
        <v>26.476190476190474</v>
      </c>
      <c r="N120" s="861"/>
      <c r="O120" s="413"/>
    </row>
    <row r="121" spans="1:15" s="481" customFormat="1" ht="27.75" x14ac:dyDescent="0.5">
      <c r="A121" s="1431"/>
      <c r="B121" s="1432"/>
      <c r="C121" s="1229"/>
      <c r="D121" s="637"/>
      <c r="E121" s="637"/>
      <c r="F121" s="637" t="s">
        <v>226</v>
      </c>
      <c r="G121" s="637"/>
      <c r="H121" s="638">
        <v>0</v>
      </c>
      <c r="I121" s="637"/>
      <c r="J121" s="639"/>
      <c r="N121" s="493"/>
      <c r="O121" s="413"/>
    </row>
    <row r="122" spans="1:1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>
        <v>0</v>
      </c>
      <c r="I122" s="559"/>
      <c r="J122" s="640"/>
      <c r="K122" s="411"/>
      <c r="L122" s="408"/>
      <c r="N122" s="413"/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54">
        <f>'20'!F123</f>
        <v>808918</v>
      </c>
      <c r="F123" s="554">
        <v>809201</v>
      </c>
      <c r="G123" s="549">
        <f t="shared" ref="G123:G127" si="15">F123-E123</f>
        <v>283</v>
      </c>
      <c r="H123" s="536">
        <f>G123+'20'!H123</f>
        <v>5865.5999999999767</v>
      </c>
      <c r="I123" s="602"/>
      <c r="J123" s="629">
        <f>H123/DAY(B2)</f>
        <v>279.31428571428461</v>
      </c>
      <c r="K123" s="411"/>
      <c r="L123" s="408"/>
      <c r="N123" s="413"/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703">
        <f>'20'!F124</f>
        <v>73583</v>
      </c>
      <c r="F124" s="703">
        <v>73583</v>
      </c>
      <c r="G124" s="549">
        <f t="shared" si="15"/>
        <v>0</v>
      </c>
      <c r="H124" s="536">
        <f>G124+'20'!H124</f>
        <v>1</v>
      </c>
      <c r="I124" s="602"/>
      <c r="J124" s="629">
        <f>H124/DAY(B2)</f>
        <v>4.7619047619047616E-2</v>
      </c>
      <c r="K124" s="411"/>
      <c r="L124" s="408"/>
      <c r="N124" s="413"/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54">
        <f>'20'!F125</f>
        <v>139402</v>
      </c>
      <c r="F125" s="554">
        <v>139482</v>
      </c>
      <c r="G125" s="549">
        <f t="shared" si="15"/>
        <v>80</v>
      </c>
      <c r="H125" s="536">
        <f>G125+'20'!H125</f>
        <v>1634</v>
      </c>
      <c r="I125" s="602"/>
      <c r="J125" s="629">
        <f>H125/DAY(B2)</f>
        <v>77.80952380952381</v>
      </c>
      <c r="K125" s="411"/>
      <c r="L125" s="408"/>
      <c r="N125" s="413"/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703">
        <f>'20'!F126</f>
        <v>59109</v>
      </c>
      <c r="F126" s="703">
        <v>59139</v>
      </c>
      <c r="G126" s="549">
        <f t="shared" si="15"/>
        <v>30</v>
      </c>
      <c r="H126" s="536">
        <f>G126+'20'!H126</f>
        <v>747.30000000000291</v>
      </c>
      <c r="I126" s="602"/>
      <c r="J126" s="629">
        <f>H126/DAY(B2)</f>
        <v>35.585714285714424</v>
      </c>
      <c r="K126" s="411"/>
      <c r="L126" s="408"/>
      <c r="N126" s="413"/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703">
        <f>'20'!F127</f>
        <v>8874</v>
      </c>
      <c r="F127" s="703">
        <v>8876</v>
      </c>
      <c r="G127" s="549">
        <f t="shared" si="15"/>
        <v>2</v>
      </c>
      <c r="H127" s="536">
        <f>G127+'20'!H127</f>
        <v>60</v>
      </c>
      <c r="I127" s="556"/>
      <c r="J127" s="629">
        <f>H127/DAY(B2)</f>
        <v>2.8571428571428572</v>
      </c>
      <c r="K127" s="411"/>
      <c r="L127" s="408"/>
      <c r="N127" s="413"/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545</v>
      </c>
      <c r="H128" s="536">
        <f>G128+'20'!H128</f>
        <v>3419.5099999998529</v>
      </c>
      <c r="I128" s="556"/>
      <c r="J128" s="629">
        <f>H128/DAY(B2)</f>
        <v>162.83380952380253</v>
      </c>
      <c r="K128" s="391"/>
      <c r="L128" s="293"/>
      <c r="N128" s="395"/>
      <c r="O128" s="413"/>
    </row>
    <row r="129" spans="1:1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60">
        <f>'20'!F130</f>
        <v>0</v>
      </c>
      <c r="F130" s="560">
        <v>0</v>
      </c>
      <c r="G130" s="549">
        <f t="shared" ref="G130:G140" si="16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60">
        <f>'20'!F131</f>
        <v>0</v>
      </c>
      <c r="F131" s="560">
        <v>0</v>
      </c>
      <c r="G131" s="549">
        <f t="shared" si="16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618">
        <f>'20'!F132</f>
        <v>38829.480000000003</v>
      </c>
      <c r="F132" s="618">
        <v>38829.480000000003</v>
      </c>
      <c r="G132" s="549">
        <f t="shared" si="16"/>
        <v>0</v>
      </c>
      <c r="H132" s="536">
        <f>G132+'20'!H132</f>
        <v>111.08999999999651</v>
      </c>
      <c r="I132" s="556"/>
      <c r="J132" s="629">
        <f>H132/DAY(B2)</f>
        <v>5.2899999999998339</v>
      </c>
      <c r="N132" s="413"/>
      <c r="O132" s="413"/>
    </row>
    <row r="133" spans="1:15" s="480" customFormat="1" ht="27.75" x14ac:dyDescent="0.5">
      <c r="A133" s="1158" t="s">
        <v>253</v>
      </c>
      <c r="B133" s="1159"/>
      <c r="C133" s="1159"/>
      <c r="D133" s="704" t="s">
        <v>250</v>
      </c>
      <c r="E133" s="618">
        <f>'20'!F133</f>
        <v>299.52</v>
      </c>
      <c r="F133" s="618">
        <v>299.52</v>
      </c>
      <c r="G133" s="733">
        <f t="shared" si="16"/>
        <v>0</v>
      </c>
      <c r="H133" s="787">
        <f>G133+'20'!H133</f>
        <v>0.51999999999998181</v>
      </c>
      <c r="I133" s="1160">
        <f>G130+G131+G132+G133</f>
        <v>0</v>
      </c>
      <c r="J133" s="789">
        <f>H133/DAY(B2)</f>
        <v>2.4761904761903895E-2</v>
      </c>
      <c r="N133" s="795"/>
      <c r="O133" s="795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618">
        <f>'20'!F134</f>
        <v>40260.519999999997</v>
      </c>
      <c r="F134" s="618">
        <v>40260.519999999997</v>
      </c>
      <c r="G134" s="549">
        <f t="shared" si="16"/>
        <v>0</v>
      </c>
      <c r="H134" s="536">
        <f>G134+'20'!H134</f>
        <v>309.5199999999968</v>
      </c>
      <c r="I134" s="556"/>
      <c r="J134" s="629">
        <f>H134/DAY(B2)</f>
        <v>14.739047619047467</v>
      </c>
      <c r="N134" s="413"/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618">
        <f>'20'!F135</f>
        <v>32482</v>
      </c>
      <c r="F135" s="618">
        <v>32506</v>
      </c>
      <c r="G135" s="549">
        <f t="shared" si="16"/>
        <v>24</v>
      </c>
      <c r="H135" s="536">
        <f>G135+'20'!H135</f>
        <v>83</v>
      </c>
      <c r="I135" s="556"/>
      <c r="J135" s="629">
        <f>H135/DAY(B2)</f>
        <v>3.9523809523809526</v>
      </c>
      <c r="N135" s="413"/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618">
        <f>'20'!F136</f>
        <v>22154.54</v>
      </c>
      <c r="F136" s="618">
        <v>22163</v>
      </c>
      <c r="G136" s="549">
        <f t="shared" si="16"/>
        <v>8.4599999999991269</v>
      </c>
      <c r="H136" s="536">
        <f>G136+'20'!H136</f>
        <v>161.04000000000087</v>
      </c>
      <c r="I136" s="556">
        <f>G134+G135+G136</f>
        <v>32.459999999999127</v>
      </c>
      <c r="J136" s="629">
        <f>H136/DAY(B2)</f>
        <v>7.6685714285714699</v>
      </c>
      <c r="N136" s="413"/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618">
        <f>'20'!F137</f>
        <v>25036.560000000001</v>
      </c>
      <c r="F137" s="618">
        <v>25036.560000000001</v>
      </c>
      <c r="G137" s="549">
        <f t="shared" si="16"/>
        <v>0</v>
      </c>
      <c r="H137" s="536">
        <f>G137+'20'!H137</f>
        <v>16.620000000002619</v>
      </c>
      <c r="I137" s="556"/>
      <c r="J137" s="629">
        <f>H137/DAY(B2)</f>
        <v>0.79142857142869616</v>
      </c>
      <c r="N137" s="413"/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618">
        <f>'20'!F138</f>
        <v>70116.58</v>
      </c>
      <c r="F138" s="618">
        <v>70120.179999999993</v>
      </c>
      <c r="G138" s="549">
        <f t="shared" si="16"/>
        <v>3.5999999999912689</v>
      </c>
      <c r="H138" s="536">
        <f>G138+'20'!H138</f>
        <v>56.289999999993597</v>
      </c>
      <c r="I138" s="556">
        <f>G137+G138</f>
        <v>3.5999999999912689</v>
      </c>
      <c r="J138" s="629">
        <f>H138/DAY(B2)</f>
        <v>2.6804761904758854</v>
      </c>
      <c r="N138" s="413"/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60">
        <f>'20'!F139</f>
        <v>1362.83</v>
      </c>
      <c r="F139" s="560">
        <v>1370.98</v>
      </c>
      <c r="G139" s="549">
        <f t="shared" si="16"/>
        <v>8.1500000000000909</v>
      </c>
      <c r="H139" s="536">
        <f>G139+'20'!H139</f>
        <v>170.3900000000001</v>
      </c>
      <c r="I139" s="619"/>
      <c r="J139" s="629">
        <f>H139/DAY(B2)</f>
        <v>8.1138095238095289</v>
      </c>
      <c r="N139" s="413"/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60">
        <f>'20'!F140</f>
        <v>4333.53</v>
      </c>
      <c r="F140" s="560">
        <v>4333.53</v>
      </c>
      <c r="G140" s="549">
        <f t="shared" si="16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5389</v>
      </c>
      <c r="H142" s="536">
        <f>G142+'20'!H142</f>
        <v>104843.93</v>
      </c>
      <c r="I142" s="556"/>
      <c r="J142" s="629">
        <f>H142/DAY(B2)</f>
        <v>4992.5680952380953</v>
      </c>
      <c r="K142" s="411"/>
      <c r="L142" s="408"/>
      <c r="N142" s="413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0.26802944394708045</v>
      </c>
      <c r="H143" s="536">
        <f>G143+'20'!H143</f>
        <v>5.2069254120214978</v>
      </c>
      <c r="I143" s="621"/>
      <c r="J143" s="629">
        <f>H143/DAY(B2)</f>
        <v>0.24794882914388086</v>
      </c>
      <c r="K143" s="411"/>
      <c r="L143" s="408"/>
      <c r="N143" s="413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4354</v>
      </c>
      <c r="H144" s="536">
        <f>G144+'20'!H144</f>
        <v>89531.989999999962</v>
      </c>
      <c r="I144" s="556"/>
      <c r="J144" s="629">
        <f>H144/DAY(B2)</f>
        <v>4263.4280952380932</v>
      </c>
      <c r="K144" s="411"/>
      <c r="L144" s="408"/>
      <c r="N144" s="413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0.21655227295334725</v>
      </c>
      <c r="H145" s="536">
        <f>G145+'20'!H145</f>
        <v>4.5858243503369449</v>
      </c>
      <c r="I145" s="621"/>
      <c r="J145" s="629">
        <f>H145/DAY(B2)</f>
        <v>0.2183725881112831</v>
      </c>
      <c r="K145" s="411"/>
      <c r="L145" s="408"/>
      <c r="N145" s="413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4214</v>
      </c>
      <c r="H146" s="536">
        <f>G146+'20'!H146</f>
        <v>89036.729999999967</v>
      </c>
      <c r="I146" s="622"/>
      <c r="J146" s="629">
        <f>H146/DAY(B2)</f>
        <v>4239.8442857142845</v>
      </c>
      <c r="K146" s="411"/>
      <c r="L146" s="408"/>
      <c r="N146" s="413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0.20958917735999205</v>
      </c>
      <c r="H147" s="536">
        <f>G147+'20'!H147</f>
        <v>4.5894075077949692</v>
      </c>
      <c r="I147" s="622"/>
      <c r="J147" s="629">
        <f>H147/DAY(B2)</f>
        <v>0.2185432146569033</v>
      </c>
      <c r="N147" s="413"/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2026</v>
      </c>
      <c r="H148" s="536">
        <f>G148+'20'!H148</f>
        <v>43173.450000000012</v>
      </c>
      <c r="I148" s="556"/>
      <c r="J148" s="629">
        <f>H148/DAY(B2)</f>
        <v>2055.8785714285718</v>
      </c>
      <c r="K148" s="412"/>
      <c r="N148" s="413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0.10076594051526908</v>
      </c>
      <c r="H149" s="536">
        <f>G149+'20'!H149</f>
        <v>2.2209021871116206</v>
      </c>
      <c r="I149" s="622"/>
      <c r="J149" s="629">
        <f>H149/DAY(B2)</f>
        <v>0.10575724700531526</v>
      </c>
      <c r="N149" s="413"/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1887</v>
      </c>
      <c r="H150" s="536">
        <f>G150+'20'!H150</f>
        <v>39931.239999999991</v>
      </c>
      <c r="I150" s="622"/>
      <c r="J150" s="629">
        <f>H150/DAY(B2)</f>
        <v>1901.4876190476186</v>
      </c>
      <c r="N150" s="413"/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9.3852581319009254E-2</v>
      </c>
      <c r="H151" s="536">
        <f>G151+'20'!H151</f>
        <v>2.0447399832411737</v>
      </c>
      <c r="I151" s="556"/>
      <c r="J151" s="629">
        <f>H151/DAY(B2)</f>
        <v>9.7368570630532086E-2</v>
      </c>
      <c r="N151" s="413"/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1522</v>
      </c>
      <c r="H152" s="536">
        <f>G152+'20'!H152</f>
        <v>31689.259999999995</v>
      </c>
      <c r="I152" s="556"/>
      <c r="J152" s="629">
        <f>H152/DAY(B2)</f>
        <v>1509.0123809523807</v>
      </c>
      <c r="N152" s="413"/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7.5698796379190289E-2</v>
      </c>
      <c r="H153" s="536">
        <f>G153+'20'!H153</f>
        <v>1.6382410369465839</v>
      </c>
      <c r="I153" s="645"/>
      <c r="J153" s="646">
        <f>H153/DAY(B2)</f>
        <v>7.801147794983733E-2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274</v>
      </c>
      <c r="B160" s="869"/>
      <c r="C160" s="869"/>
      <c r="D160" s="587" t="s">
        <v>198</v>
      </c>
      <c r="E160" s="739">
        <f>'20'!F160</f>
        <v>30114</v>
      </c>
      <c r="F160" s="739">
        <v>30199</v>
      </c>
      <c r="G160" s="549">
        <f t="shared" ref="G160:G163" si="17">F160-E160</f>
        <v>85</v>
      </c>
      <c r="K160" s="407">
        <v>68.829999999999927</v>
      </c>
      <c r="L160" s="407">
        <f t="shared" ref="L160:L171" si="18">G160-K160</f>
        <v>16.170000000000073</v>
      </c>
    </row>
    <row r="161" spans="1:12" ht="21.75" customHeight="1" x14ac:dyDescent="0.5">
      <c r="A161" s="868" t="s">
        <v>275</v>
      </c>
      <c r="B161" s="869"/>
      <c r="C161" s="869"/>
      <c r="D161" s="587" t="s">
        <v>198</v>
      </c>
      <c r="E161" s="739">
        <f>'20'!F161</f>
        <v>51517</v>
      </c>
      <c r="F161" s="739">
        <v>51963</v>
      </c>
      <c r="G161" s="549">
        <f t="shared" si="17"/>
        <v>446</v>
      </c>
      <c r="K161" s="407">
        <v>122.46000000000004</v>
      </c>
      <c r="L161" s="407">
        <f t="shared" si="18"/>
        <v>323.53999999999996</v>
      </c>
    </row>
    <row r="162" spans="1:12" ht="21.75" customHeight="1" x14ac:dyDescent="0.5">
      <c r="A162" s="868" t="s">
        <v>276</v>
      </c>
      <c r="B162" s="869"/>
      <c r="C162" s="869"/>
      <c r="D162" s="587" t="s">
        <v>198</v>
      </c>
      <c r="E162" s="739">
        <f>'20'!F162</f>
        <v>18292</v>
      </c>
      <c r="F162" s="739">
        <v>18691</v>
      </c>
      <c r="G162" s="549">
        <f t="shared" si="17"/>
        <v>399</v>
      </c>
      <c r="K162" s="407">
        <v>139.42000000000007</v>
      </c>
      <c r="L162" s="407">
        <f t="shared" si="18"/>
        <v>259.57999999999993</v>
      </c>
    </row>
    <row r="163" spans="1:12" ht="21.75" customHeight="1" x14ac:dyDescent="0.5">
      <c r="A163" s="868" t="s">
        <v>277</v>
      </c>
      <c r="B163" s="869"/>
      <c r="C163" s="869"/>
      <c r="D163" s="587" t="s">
        <v>198</v>
      </c>
      <c r="E163" s="739">
        <f>'20'!F163</f>
        <v>5278</v>
      </c>
      <c r="F163" s="739">
        <v>5298</v>
      </c>
      <c r="G163" s="549">
        <f t="shared" si="17"/>
        <v>20</v>
      </c>
      <c r="K163" s="407">
        <v>49.659999999999968</v>
      </c>
      <c r="L163" s="407">
        <f t="shared" si="18"/>
        <v>-29.659999999999968</v>
      </c>
    </row>
    <row r="164" spans="1:12" ht="21.75" customHeight="1" x14ac:dyDescent="0.4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9">F164-E164</f>
        <v>0</v>
      </c>
      <c r="K164" s="407">
        <v>0</v>
      </c>
      <c r="L164" s="407">
        <f t="shared" si="18"/>
        <v>0</v>
      </c>
    </row>
    <row r="165" spans="1:12" ht="21.75" customHeight="1" x14ac:dyDescent="0.4">
      <c r="A165" s="870" t="s">
        <v>199</v>
      </c>
      <c r="B165" s="681"/>
      <c r="C165" s="681"/>
      <c r="D165" s="587" t="s">
        <v>198</v>
      </c>
      <c r="E165" s="590">
        <f t="shared" ref="E165:E171" si="20">E63</f>
        <v>1597</v>
      </c>
      <c r="F165" s="590">
        <f t="shared" ref="F165:F171" si="21">F63</f>
        <v>1611</v>
      </c>
      <c r="G165" s="549">
        <f t="shared" si="19"/>
        <v>14</v>
      </c>
      <c r="K165" s="407">
        <v>0</v>
      </c>
      <c r="L165" s="407">
        <f t="shared" si="18"/>
        <v>14</v>
      </c>
    </row>
    <row r="166" spans="1:12" ht="21.75" customHeight="1" x14ac:dyDescent="0.5">
      <c r="A166" s="1439" t="s">
        <v>107</v>
      </c>
      <c r="B166" s="1439"/>
      <c r="C166" s="1439"/>
      <c r="D166" s="599" t="s">
        <v>198</v>
      </c>
      <c r="E166" s="590">
        <f t="shared" si="20"/>
        <v>119640</v>
      </c>
      <c r="F166" s="590">
        <f t="shared" si="21"/>
        <v>120038</v>
      </c>
      <c r="G166" s="549">
        <f t="shared" si="19"/>
        <v>398</v>
      </c>
      <c r="K166" s="407">
        <v>201.76000000000204</v>
      </c>
      <c r="L166" s="407">
        <f t="shared" si="18"/>
        <v>196.23999999999796</v>
      </c>
    </row>
    <row r="167" spans="1:12" ht="21.75" customHeight="1" x14ac:dyDescent="0.5">
      <c r="A167" s="1439" t="s">
        <v>108</v>
      </c>
      <c r="B167" s="1439"/>
      <c r="C167" s="1439"/>
      <c r="D167" s="599" t="s">
        <v>198</v>
      </c>
      <c r="E167" s="590">
        <f t="shared" si="20"/>
        <v>129452</v>
      </c>
      <c r="F167" s="590">
        <f t="shared" si="21"/>
        <v>129852</v>
      </c>
      <c r="G167" s="549">
        <f t="shared" si="19"/>
        <v>400</v>
      </c>
      <c r="K167" s="407">
        <v>191.63000000000466</v>
      </c>
      <c r="L167" s="407">
        <f t="shared" si="18"/>
        <v>208.36999999999534</v>
      </c>
    </row>
    <row r="168" spans="1:12" ht="21.75" customHeight="1" x14ac:dyDescent="0.5">
      <c r="A168" s="1439" t="s">
        <v>109</v>
      </c>
      <c r="B168" s="1439"/>
      <c r="C168" s="1439"/>
      <c r="D168" s="599" t="s">
        <v>198</v>
      </c>
      <c r="E168" s="590">
        <f t="shared" si="20"/>
        <v>22068</v>
      </c>
      <c r="F168" s="590">
        <f t="shared" si="21"/>
        <v>22440</v>
      </c>
      <c r="G168" s="549">
        <f t="shared" si="19"/>
        <v>372</v>
      </c>
      <c r="K168" s="407">
        <v>231.68000000000029</v>
      </c>
      <c r="L168" s="407">
        <f t="shared" si="18"/>
        <v>140.31999999999971</v>
      </c>
    </row>
    <row r="169" spans="1:12" ht="26.25" customHeight="1" x14ac:dyDescent="0.5">
      <c r="A169" s="1439" t="s">
        <v>110</v>
      </c>
      <c r="B169" s="1439"/>
      <c r="C169" s="1439"/>
      <c r="D169" s="599" t="s">
        <v>198</v>
      </c>
      <c r="E169" s="590">
        <f t="shared" si="20"/>
        <v>202595</v>
      </c>
      <c r="F169" s="590">
        <f t="shared" si="21"/>
        <v>203311</v>
      </c>
      <c r="G169" s="549">
        <f t="shared" si="19"/>
        <v>716</v>
      </c>
      <c r="K169" s="407">
        <v>344.30000000000291</v>
      </c>
      <c r="L169" s="407">
        <f t="shared" si="18"/>
        <v>371.69999999999709</v>
      </c>
    </row>
    <row r="170" spans="1:12" ht="24" customHeight="1" x14ac:dyDescent="0.5">
      <c r="A170" s="1439" t="s">
        <v>111</v>
      </c>
      <c r="B170" s="1439"/>
      <c r="C170" s="1439"/>
      <c r="D170" s="599" t="s">
        <v>198</v>
      </c>
      <c r="E170" s="590">
        <f t="shared" si="20"/>
        <v>71175</v>
      </c>
      <c r="F170" s="590">
        <f t="shared" si="21"/>
        <v>71485</v>
      </c>
      <c r="G170" s="549">
        <f t="shared" si="19"/>
        <v>310</v>
      </c>
      <c r="K170" s="407">
        <v>140.90999999999985</v>
      </c>
      <c r="L170" s="407">
        <f t="shared" si="18"/>
        <v>169.09000000000015</v>
      </c>
    </row>
    <row r="171" spans="1:12" ht="27.75" x14ac:dyDescent="0.5">
      <c r="A171" s="1439" t="s">
        <v>112</v>
      </c>
      <c r="B171" s="1439"/>
      <c r="C171" s="1439"/>
      <c r="D171" s="599" t="s">
        <v>198</v>
      </c>
      <c r="E171" s="590">
        <f t="shared" si="20"/>
        <v>61818</v>
      </c>
      <c r="F171" s="590">
        <f t="shared" si="21"/>
        <v>62157</v>
      </c>
      <c r="G171" s="549">
        <f t="shared" si="19"/>
        <v>339</v>
      </c>
      <c r="K171" s="407">
        <v>57.709999999999127</v>
      </c>
      <c r="L171" s="407">
        <f t="shared" si="18"/>
        <v>281.29000000000087</v>
      </c>
    </row>
    <row r="172" spans="1:12" x14ac:dyDescent="0.5">
      <c r="G172" s="614">
        <f>SUM(G160:G171)</f>
        <v>3499</v>
      </c>
    </row>
    <row r="176" spans="1:12" ht="18.75" customHeight="1" x14ac:dyDescent="0.5"/>
    <row r="177" spans="6:6" ht="21" customHeight="1" x14ac:dyDescent="0.5">
      <c r="F177" s="614" t="s">
        <v>291</v>
      </c>
    </row>
    <row r="301" ht="21" customHeight="1" x14ac:dyDescent="0.5"/>
    <row r="302" ht="21" customHeight="1" x14ac:dyDescent="0.5"/>
    <row r="303" ht="21" customHeight="1" x14ac:dyDescent="0.5"/>
    <row r="304" ht="21" customHeight="1" x14ac:dyDescent="0.5"/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 x14ac:dyDescent="0.4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 x14ac:dyDescent="0.35">
      <c r="A2" s="891" t="s">
        <v>330</v>
      </c>
      <c r="B2" s="1119">
        <v>44218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  <c r="N2" s="1092" t="s">
        <v>129</v>
      </c>
    </row>
    <row r="3" spans="1:15" x14ac:dyDescent="0.35">
      <c r="A3" s="896"/>
      <c r="B3" s="897"/>
      <c r="C3" s="892" t="s">
        <v>131</v>
      </c>
      <c r="D3" s="898">
        <v>30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 x14ac:dyDescent="0.3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  <c r="N5" s="1092" t="s">
        <v>137</v>
      </c>
    </row>
    <row r="6" spans="1:15" x14ac:dyDescent="0.3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142</v>
      </c>
      <c r="B7" s="922"/>
      <c r="C7" s="922"/>
      <c r="D7" s="923" t="s">
        <v>143</v>
      </c>
      <c r="E7" s="924">
        <f>'21'!F7</f>
        <v>4297423</v>
      </c>
      <c r="F7" s="924">
        <v>3716712</v>
      </c>
      <c r="G7" s="925">
        <f>F7-E7</f>
        <v>-580711</v>
      </c>
      <c r="H7" s="926">
        <f>G7+'21'!H7</f>
        <v>-171486</v>
      </c>
      <c r="I7" s="927">
        <f>'1'!I7</f>
        <v>12000</v>
      </c>
      <c r="J7" s="928">
        <f>H7/DAY(B2)</f>
        <v>-7794.818181818182</v>
      </c>
      <c r="K7" s="929"/>
      <c r="L7" s="903"/>
      <c r="N7" s="1092">
        <v>12493</v>
      </c>
      <c r="O7" s="930">
        <f>N7-G7</f>
        <v>593204</v>
      </c>
    </row>
    <row r="8" spans="1:15" ht="21" thickBot="1" x14ac:dyDescent="0.4">
      <c r="A8" s="931" t="s">
        <v>144</v>
      </c>
      <c r="B8" s="932"/>
      <c r="C8" s="933"/>
      <c r="D8" s="934" t="s">
        <v>25</v>
      </c>
      <c r="E8" s="924">
        <f>'21'!F8</f>
        <v>4324721</v>
      </c>
      <c r="F8" s="935">
        <v>3739801</v>
      </c>
      <c r="G8" s="936">
        <f>F8-E8</f>
        <v>-584920</v>
      </c>
      <c r="H8" s="926">
        <f>G8+'21'!H8</f>
        <v>-173050</v>
      </c>
      <c r="I8" s="937">
        <f>'1'!I8</f>
        <v>12000</v>
      </c>
      <c r="J8" s="928">
        <f>H8/DAY(B2)</f>
        <v>-7865.909090909091</v>
      </c>
      <c r="K8" s="929"/>
      <c r="L8" s="938"/>
      <c r="M8" s="939"/>
      <c r="N8" s="1092">
        <v>12551</v>
      </c>
      <c r="O8" s="930">
        <f t="shared" ref="O8:O71" si="0">N8-G8</f>
        <v>597471</v>
      </c>
    </row>
    <row r="9" spans="1:15" x14ac:dyDescent="0.35">
      <c r="A9" s="940" t="s">
        <v>145</v>
      </c>
      <c r="B9" s="941"/>
      <c r="C9" s="941"/>
      <c r="D9" s="923" t="s">
        <v>143</v>
      </c>
      <c r="E9" s="924">
        <f>'21'!F9</f>
        <v>188776</v>
      </c>
      <c r="F9" s="942">
        <v>2476558.7000000002</v>
      </c>
      <c r="G9" s="925">
        <f t="shared" ref="G9:G12" si="1">F9-E9</f>
        <v>2287782.7000000002</v>
      </c>
      <c r="H9" s="926">
        <f>G9+'21'!H9</f>
        <v>2513670.9500000002</v>
      </c>
      <c r="I9" s="943">
        <f>I8-J8</f>
        <v>19865.909090909092</v>
      </c>
      <c r="J9" s="928">
        <f>H9/DAY(B2)</f>
        <v>114257.77045454546</v>
      </c>
      <c r="K9" s="944"/>
      <c r="L9" s="903"/>
      <c r="N9" s="1092">
        <v>12017.049999999988</v>
      </c>
      <c r="O9" s="930">
        <f t="shared" si="0"/>
        <v>-2275765.6500000004</v>
      </c>
    </row>
    <row r="10" spans="1:15" x14ac:dyDescent="0.35">
      <c r="A10" s="921" t="s">
        <v>146</v>
      </c>
      <c r="B10" s="922"/>
      <c r="C10" s="922"/>
      <c r="D10" s="923" t="s">
        <v>143</v>
      </c>
      <c r="E10" s="924">
        <f>'21'!F10</f>
        <v>1369984</v>
      </c>
      <c r="F10" s="942">
        <v>1093781.5</v>
      </c>
      <c r="G10" s="925">
        <f t="shared" si="1"/>
        <v>-276202.5</v>
      </c>
      <c r="H10" s="926">
        <f>G10+'21'!H10</f>
        <v>-107092.89999999991</v>
      </c>
      <c r="I10" s="945"/>
      <c r="J10" s="928">
        <f>H10/DAY(B2)</f>
        <v>-4867.8590909090863</v>
      </c>
      <c r="K10" s="944"/>
      <c r="L10" s="903"/>
      <c r="N10" s="1092">
        <v>0</v>
      </c>
      <c r="O10" s="930">
        <f t="shared" si="0"/>
        <v>276202.5</v>
      </c>
    </row>
    <row r="11" spans="1:15" x14ac:dyDescent="0.35">
      <c r="A11" s="921" t="s">
        <v>147</v>
      </c>
      <c r="B11" s="922"/>
      <c r="C11" s="922"/>
      <c r="D11" s="923" t="s">
        <v>143</v>
      </c>
      <c r="E11" s="924">
        <f>'21'!F11</f>
        <v>37000</v>
      </c>
      <c r="F11" s="924">
        <v>35390</v>
      </c>
      <c r="G11" s="925">
        <f t="shared" si="1"/>
        <v>-1610</v>
      </c>
      <c r="H11" s="926">
        <f>G11+'21'!H11</f>
        <v>0</v>
      </c>
      <c r="I11" s="945"/>
      <c r="J11" s="928">
        <f>H11/DAY(B2)</f>
        <v>0</v>
      </c>
      <c r="K11" s="944"/>
      <c r="L11" s="903"/>
      <c r="N11" s="1092">
        <v>0</v>
      </c>
      <c r="O11" s="930">
        <f t="shared" si="0"/>
        <v>1610</v>
      </c>
    </row>
    <row r="12" spans="1:15" x14ac:dyDescent="0.35">
      <c r="A12" s="921" t="s">
        <v>148</v>
      </c>
      <c r="B12" s="922"/>
      <c r="C12" s="922"/>
      <c r="D12" s="923" t="s">
        <v>143</v>
      </c>
      <c r="E12" s="924">
        <f>'21'!F12</f>
        <v>40010</v>
      </c>
      <c r="F12" s="942">
        <v>37630</v>
      </c>
      <c r="G12" s="925">
        <f t="shared" si="1"/>
        <v>-2380</v>
      </c>
      <c r="H12" s="926">
        <f>G12+'21'!H12</f>
        <v>0</v>
      </c>
      <c r="I12" s="945"/>
      <c r="J12" s="928">
        <f>H12/DAY(B2)</f>
        <v>0</v>
      </c>
      <c r="K12" s="944"/>
      <c r="L12" s="903"/>
      <c r="N12" s="1092">
        <v>0</v>
      </c>
      <c r="O12" s="930">
        <f t="shared" si="0"/>
        <v>2380</v>
      </c>
    </row>
    <row r="13" spans="1:15" x14ac:dyDescent="0.35">
      <c r="A13" s="946" t="s">
        <v>149</v>
      </c>
      <c r="B13" s="947"/>
      <c r="C13" s="947"/>
      <c r="D13" s="923"/>
      <c r="E13" s="924"/>
      <c r="F13" s="924"/>
      <c r="G13" s="948">
        <f>G9+G10+G11+G12</f>
        <v>2007590.2000000002</v>
      </c>
      <c r="H13" s="926">
        <f>G13+'21'!H13</f>
        <v>2388272.0500000003</v>
      </c>
      <c r="I13" s="949">
        <f>G7-G13</f>
        <v>-2588301.2000000002</v>
      </c>
      <c r="J13" s="928">
        <f>H13/DAY(B2)</f>
        <v>108557.82045454546</v>
      </c>
      <c r="K13" s="944"/>
      <c r="L13" s="903"/>
      <c r="N13" s="1092">
        <v>12017.049999999988</v>
      </c>
      <c r="O13" s="930">
        <f t="shared" si="0"/>
        <v>-1995573.1500000001</v>
      </c>
    </row>
    <row r="14" spans="1:15" x14ac:dyDescent="0.3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 x14ac:dyDescent="0.35">
      <c r="A15" s="952" t="s">
        <v>151</v>
      </c>
      <c r="B15" s="953"/>
      <c r="C15" s="953"/>
      <c r="D15" s="923" t="s">
        <v>152</v>
      </c>
      <c r="E15" s="924">
        <f>'21'!F15</f>
        <v>1613461</v>
      </c>
      <c r="F15" s="954">
        <v>1587326.94</v>
      </c>
      <c r="G15" s="925">
        <f>(F15-E15)</f>
        <v>-26134.060000000056</v>
      </c>
      <c r="H15" s="926">
        <f>G15+'21'!H15</f>
        <v>-7110.2099999999627</v>
      </c>
      <c r="I15" s="927">
        <v>800</v>
      </c>
      <c r="J15" s="928">
        <f>H15/DAY(B2)</f>
        <v>-323.19136363636193</v>
      </c>
      <c r="K15" s="944"/>
      <c r="L15" s="903"/>
      <c r="N15" s="1092">
        <v>499.20999999996275</v>
      </c>
      <c r="O15" s="930">
        <f t="shared" si="0"/>
        <v>26633.270000000019</v>
      </c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1123.191363636362</v>
      </c>
      <c r="J16" s="961"/>
      <c r="K16" s="944"/>
      <c r="L16" s="903"/>
      <c r="O16" s="930">
        <f t="shared" si="0"/>
        <v>0</v>
      </c>
    </row>
    <row r="17" spans="1:15" x14ac:dyDescent="0.3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 x14ac:dyDescent="0.35">
      <c r="A18" s="1512" t="s">
        <v>154</v>
      </c>
      <c r="B18" s="1513"/>
      <c r="C18" s="1514"/>
      <c r="D18" s="923" t="s">
        <v>155</v>
      </c>
      <c r="E18" s="924">
        <f>'21'!F18</f>
        <v>18</v>
      </c>
      <c r="F18" s="954">
        <v>12</v>
      </c>
      <c r="G18" s="948">
        <f>F18*10</f>
        <v>120</v>
      </c>
      <c r="H18" s="926">
        <f>G18+'21'!H18</f>
        <v>3560</v>
      </c>
      <c r="I18" s="927">
        <f>'1'!I18</f>
        <v>65</v>
      </c>
      <c r="J18" s="928">
        <f>H18/DAY(B2)</f>
        <v>161.81818181818181</v>
      </c>
      <c r="K18" s="944"/>
      <c r="L18" s="903"/>
      <c r="N18" s="1092">
        <v>20</v>
      </c>
      <c r="O18" s="930">
        <f t="shared" si="0"/>
        <v>-100</v>
      </c>
    </row>
    <row r="19" spans="1:15" x14ac:dyDescent="0.35">
      <c r="A19" s="1512" t="s">
        <v>71</v>
      </c>
      <c r="B19" s="1513"/>
      <c r="C19" s="1514"/>
      <c r="D19" s="923" t="s">
        <v>155</v>
      </c>
      <c r="E19" s="924">
        <f>'21'!F19</f>
        <v>134105</v>
      </c>
      <c r="F19" s="954">
        <v>132590</v>
      </c>
      <c r="G19" s="925">
        <f t="shared" ref="G19" si="2">F19-E19</f>
        <v>-1515</v>
      </c>
      <c r="H19" s="926">
        <f>G19+'21'!H19</f>
        <v>-458</v>
      </c>
      <c r="I19" s="963"/>
      <c r="J19" s="928">
        <f>H19/DAY(B2)</f>
        <v>-20.818181818181817</v>
      </c>
      <c r="K19" s="944"/>
      <c r="L19" s="903"/>
      <c r="N19" s="1092">
        <v>53</v>
      </c>
      <c r="O19" s="930">
        <f t="shared" si="0"/>
        <v>1568</v>
      </c>
    </row>
    <row r="20" spans="1:15" x14ac:dyDescent="0.35">
      <c r="A20" s="946" t="s">
        <v>156</v>
      </c>
      <c r="B20" s="947"/>
      <c r="C20" s="947"/>
      <c r="D20" s="964"/>
      <c r="E20" s="964"/>
      <c r="F20" s="964"/>
      <c r="G20" s="965">
        <f>G18+G19</f>
        <v>-1395</v>
      </c>
      <c r="H20" s="926">
        <f>G20+'21'!H20</f>
        <v>3102</v>
      </c>
      <c r="I20" s="966">
        <f>I18-J20</f>
        <v>-76</v>
      </c>
      <c r="J20" s="928">
        <f>H20/DAY(B2)</f>
        <v>141</v>
      </c>
      <c r="K20" s="944"/>
      <c r="L20" s="903"/>
      <c r="N20" s="1092">
        <v>73</v>
      </c>
      <c r="O20" s="930">
        <f t="shared" si="0"/>
        <v>1468</v>
      </c>
    </row>
    <row r="21" spans="1:15" x14ac:dyDescent="0.3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 x14ac:dyDescent="0.35">
      <c r="A22" s="952" t="s">
        <v>158</v>
      </c>
      <c r="B22" s="953"/>
      <c r="C22" s="953"/>
      <c r="D22" s="923" t="s">
        <v>159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 x14ac:dyDescent="0.35">
      <c r="A23" s="952" t="s">
        <v>160</v>
      </c>
      <c r="B23" s="953"/>
      <c r="C23" s="953"/>
      <c r="D23" s="923" t="s">
        <v>159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 x14ac:dyDescent="0.35">
      <c r="A24" s="967" t="s">
        <v>161</v>
      </c>
      <c r="B24" s="968"/>
      <c r="C24" s="968"/>
      <c r="D24" s="910" t="s">
        <v>159</v>
      </c>
      <c r="E24" s="954">
        <f>'21'!F24</f>
        <v>4250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 x14ac:dyDescent="0.3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 x14ac:dyDescent="0.35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-584920</v>
      </c>
      <c r="F27" s="577">
        <v>9</v>
      </c>
      <c r="G27" s="986">
        <f>E27*F27</f>
        <v>-5264280</v>
      </c>
      <c r="H27" s="926">
        <f>G27+'21'!H27</f>
        <v>-1557450</v>
      </c>
      <c r="I27" s="987"/>
      <c r="J27" s="928">
        <f>H27/DAY(B2)</f>
        <v>-70793.181818181823</v>
      </c>
      <c r="K27" s="944"/>
      <c r="L27" s="974"/>
      <c r="N27" s="1093">
        <v>125510</v>
      </c>
      <c r="O27" s="930">
        <f t="shared" si="0"/>
        <v>5389790</v>
      </c>
    </row>
    <row r="28" spans="1:15" s="975" customFormat="1" ht="22.5" x14ac:dyDescent="0.4">
      <c r="A28" s="976" t="s">
        <v>165</v>
      </c>
      <c r="B28" s="977"/>
      <c r="C28" s="978"/>
      <c r="D28" s="983" t="s">
        <v>166</v>
      </c>
      <c r="E28" s="984">
        <f>G15</f>
        <v>-26134.060000000056</v>
      </c>
      <c r="F28" s="577">
        <v>43.5</v>
      </c>
      <c r="G28" s="986">
        <f>E28*F28</f>
        <v>-1136831.6100000024</v>
      </c>
      <c r="H28" s="926">
        <f>G28+'21'!H28</f>
        <v>-309294.13499999838</v>
      </c>
      <c r="I28" s="988"/>
      <c r="J28" s="928">
        <f>H28/DAY(B2)</f>
        <v>-14058.824318181745</v>
      </c>
      <c r="K28" s="944"/>
      <c r="L28" s="974"/>
      <c r="N28" s="1093">
        <v>17472.349999998696</v>
      </c>
      <c r="O28" s="930">
        <f t="shared" si="0"/>
        <v>1154303.9600000011</v>
      </c>
    </row>
    <row r="29" spans="1:15" s="975" customFormat="1" x14ac:dyDescent="0.35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 x14ac:dyDescent="0.35">
      <c r="A30" s="976" t="s">
        <v>169</v>
      </c>
      <c r="B30" s="977"/>
      <c r="C30" s="978"/>
      <c r="D30" s="983" t="s">
        <v>170</v>
      </c>
      <c r="E30" s="984">
        <f>G19</f>
        <v>-1515</v>
      </c>
      <c r="F30" s="985">
        <v>134</v>
      </c>
      <c r="G30" s="986">
        <f>E30*F30</f>
        <v>-203010</v>
      </c>
      <c r="H30" s="926">
        <f>G30+'21'!H30</f>
        <v>-61372</v>
      </c>
      <c r="I30" s="988"/>
      <c r="J30" s="928">
        <f>H30/DAY(B2)</f>
        <v>-2789.6363636363635</v>
      </c>
      <c r="K30" s="944"/>
      <c r="L30" s="974"/>
      <c r="N30" s="1093">
        <v>7102</v>
      </c>
      <c r="O30" s="930">
        <f t="shared" si="0"/>
        <v>210112</v>
      </c>
    </row>
    <row r="31" spans="1:15" s="975" customFormat="1" x14ac:dyDescent="0.35">
      <c r="A31" s="976" t="s">
        <v>171</v>
      </c>
      <c r="B31" s="977"/>
      <c r="C31" s="978"/>
      <c r="D31" s="983" t="s">
        <v>155</v>
      </c>
      <c r="E31" s="984">
        <f>G18</f>
        <v>120</v>
      </c>
      <c r="F31" s="985">
        <v>80</v>
      </c>
      <c r="G31" s="986">
        <f>E31*F31</f>
        <v>9600</v>
      </c>
      <c r="H31" s="926">
        <f>G31+'21'!H31</f>
        <v>284800</v>
      </c>
      <c r="I31" s="988"/>
      <c r="J31" s="928"/>
      <c r="K31" s="944"/>
      <c r="L31" s="974"/>
      <c r="N31" s="1093">
        <v>1600</v>
      </c>
      <c r="O31" s="930">
        <f t="shared" si="0"/>
        <v>-8000</v>
      </c>
    </row>
    <row r="32" spans="1:15" s="975" customFormat="1" x14ac:dyDescent="0.35">
      <c r="A32" s="989" t="s">
        <v>172</v>
      </c>
      <c r="B32" s="990"/>
      <c r="C32" s="991"/>
      <c r="D32" s="992"/>
      <c r="E32" s="992"/>
      <c r="F32" s="992"/>
      <c r="G32" s="993">
        <f>G27+G28+G29+G30+G31</f>
        <v>-6594521.6100000022</v>
      </c>
      <c r="H32" s="926">
        <f>G32+'21'!H32</f>
        <v>-1481166.1349999979</v>
      </c>
      <c r="I32" s="994"/>
      <c r="J32" s="928">
        <f>H32/DAY(B2)</f>
        <v>-67325.733409090812</v>
      </c>
      <c r="K32" s="944"/>
      <c r="L32" s="974"/>
      <c r="N32" s="1093">
        <v>151684.3499999987</v>
      </c>
      <c r="O32" s="930">
        <f t="shared" si="0"/>
        <v>6746205.9600000009</v>
      </c>
    </row>
    <row r="33" spans="1:15" ht="18.75" x14ac:dyDescent="0.3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>
        <f t="shared" si="0"/>
        <v>0</v>
      </c>
    </row>
    <row r="34" spans="1:15" x14ac:dyDescent="0.3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 x14ac:dyDescent="0.35">
      <c r="A35" s="921" t="s">
        <v>175</v>
      </c>
      <c r="B35" s="922"/>
      <c r="C35" s="922"/>
      <c r="D35" s="923" t="s">
        <v>143</v>
      </c>
      <c r="E35" s="924">
        <f>'21'!F35</f>
        <v>671346</v>
      </c>
      <c r="F35" s="997">
        <v>629027.67000000004</v>
      </c>
      <c r="G35" s="925">
        <f t="shared" ref="G35:G46" si="3">F35-E35</f>
        <v>-42318.329999999958</v>
      </c>
      <c r="H35" s="926">
        <f>G35+'21'!H35</f>
        <v>0</v>
      </c>
      <c r="I35" s="924"/>
      <c r="J35" s="928">
        <f>H35/DAY(B2)</f>
        <v>0</v>
      </c>
      <c r="K35" s="944"/>
      <c r="L35" s="903"/>
      <c r="N35" s="1092">
        <v>1529.8400000000256</v>
      </c>
      <c r="O35" s="930">
        <f t="shared" si="0"/>
        <v>43848.169999999984</v>
      </c>
    </row>
    <row r="36" spans="1:15" x14ac:dyDescent="0.35">
      <c r="A36" s="921" t="s">
        <v>176</v>
      </c>
      <c r="B36" s="922"/>
      <c r="C36" s="922"/>
      <c r="D36" s="923" t="s">
        <v>143</v>
      </c>
      <c r="E36" s="924">
        <f>'21'!F36</f>
        <v>291175</v>
      </c>
      <c r="F36" s="997">
        <v>270339.78999999998</v>
      </c>
      <c r="G36" s="925">
        <f t="shared" si="3"/>
        <v>-20835.210000000021</v>
      </c>
      <c r="H36" s="926">
        <f>G36+'21'!H36</f>
        <v>-6151.6600000000326</v>
      </c>
      <c r="I36" s="924"/>
      <c r="J36" s="928">
        <f>H36/DAY(B2)</f>
        <v>-279.62090909091057</v>
      </c>
      <c r="K36" s="944"/>
      <c r="L36" s="903"/>
      <c r="N36" s="1092">
        <v>466.20999999999185</v>
      </c>
      <c r="O36" s="930">
        <f t="shared" si="0"/>
        <v>21301.420000000013</v>
      </c>
    </row>
    <row r="37" spans="1:15" x14ac:dyDescent="0.35">
      <c r="A37" s="921" t="s">
        <v>177</v>
      </c>
      <c r="B37" s="922"/>
      <c r="C37" s="922"/>
      <c r="D37" s="923" t="s">
        <v>143</v>
      </c>
      <c r="E37" s="924">
        <f>'21'!F37</f>
        <v>21738</v>
      </c>
      <c r="F37" s="997">
        <v>415066</v>
      </c>
      <c r="G37" s="925">
        <f t="shared" si="3"/>
        <v>393328</v>
      </c>
      <c r="H37" s="926">
        <f>G37+'21'!H37</f>
        <v>415066</v>
      </c>
      <c r="I37" s="924"/>
      <c r="J37" s="928">
        <f>H37/DAY(B2)</f>
        <v>18866.636363636364</v>
      </c>
      <c r="K37" s="944"/>
      <c r="L37" s="903"/>
      <c r="N37" s="1092">
        <v>1215.359999999986</v>
      </c>
      <c r="O37" s="930">
        <f t="shared" si="0"/>
        <v>-392112.64000000001</v>
      </c>
    </row>
    <row r="38" spans="1:15" x14ac:dyDescent="0.35">
      <c r="A38" s="921" t="s">
        <v>178</v>
      </c>
      <c r="B38" s="922"/>
      <c r="C38" s="922"/>
      <c r="D38" s="923" t="s">
        <v>143</v>
      </c>
      <c r="E38" s="924">
        <f>'21'!F38</f>
        <v>29167</v>
      </c>
      <c r="F38" s="913">
        <v>150714.38</v>
      </c>
      <c r="G38" s="925">
        <f t="shared" si="3"/>
        <v>121547.38</v>
      </c>
      <c r="H38" s="926">
        <f>G38+'21'!H38</f>
        <v>150616.5</v>
      </c>
      <c r="I38" s="924"/>
      <c r="J38" s="928">
        <f>H38/DAY(B2)</f>
        <v>6846.204545454545</v>
      </c>
      <c r="K38" s="944"/>
      <c r="L38" s="903"/>
      <c r="N38" s="1092">
        <v>0</v>
      </c>
      <c r="O38" s="930">
        <f t="shared" si="0"/>
        <v>-121547.38</v>
      </c>
    </row>
    <row r="39" spans="1:15" x14ac:dyDescent="0.35">
      <c r="A39" s="921" t="s">
        <v>179</v>
      </c>
      <c r="B39" s="922"/>
      <c r="C39" s="922"/>
      <c r="D39" s="923" t="s">
        <v>143</v>
      </c>
      <c r="E39" s="924">
        <f>'21'!F39</f>
        <v>61480</v>
      </c>
      <c r="F39" s="997">
        <v>912480</v>
      </c>
      <c r="G39" s="925">
        <f t="shared" si="3"/>
        <v>851000</v>
      </c>
      <c r="H39" s="926">
        <f>G39+'21'!H39</f>
        <v>912480</v>
      </c>
      <c r="I39" s="924"/>
      <c r="J39" s="928">
        <f>H39/DAY(B2)</f>
        <v>41476.36363636364</v>
      </c>
      <c r="K39" s="944"/>
      <c r="L39" s="903"/>
      <c r="N39" s="1092">
        <v>2046.7600000000093</v>
      </c>
      <c r="O39" s="930">
        <f t="shared" si="0"/>
        <v>-848953.24</v>
      </c>
    </row>
    <row r="40" spans="1:15" x14ac:dyDescent="0.35">
      <c r="A40" s="998" t="s">
        <v>180</v>
      </c>
      <c r="B40" s="999"/>
      <c r="C40" s="999"/>
      <c r="D40" s="923" t="s">
        <v>143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 x14ac:dyDescent="0.35">
      <c r="A41" s="921" t="s">
        <v>181</v>
      </c>
      <c r="B41" s="922"/>
      <c r="C41" s="922"/>
      <c r="D41" s="923" t="s">
        <v>143</v>
      </c>
      <c r="E41" s="924">
        <f>'21'!F41</f>
        <v>63882</v>
      </c>
      <c r="F41" s="997">
        <v>10456.540000000001</v>
      </c>
      <c r="G41" s="925">
        <f t="shared" si="3"/>
        <v>-53425.46</v>
      </c>
      <c r="H41" s="926">
        <f>G41+'21'!H41</f>
        <v>-34165.979999999996</v>
      </c>
      <c r="I41" s="924"/>
      <c r="J41" s="928">
        <f>H41/DAY(B2)</f>
        <v>-1552.9990909090907</v>
      </c>
      <c r="K41" s="944"/>
      <c r="L41" s="903"/>
      <c r="N41" s="1092">
        <v>0.95000000001164153</v>
      </c>
      <c r="O41" s="930">
        <f t="shared" si="0"/>
        <v>53426.410000000011</v>
      </c>
    </row>
    <row r="42" spans="1:15" x14ac:dyDescent="0.35">
      <c r="A42" s="921" t="s">
        <v>182</v>
      </c>
      <c r="B42" s="922"/>
      <c r="C42" s="922"/>
      <c r="D42" s="923" t="s">
        <v>143</v>
      </c>
      <c r="E42" s="924">
        <f>'21'!F42</f>
        <v>59129</v>
      </c>
      <c r="F42" s="997">
        <v>58926.09</v>
      </c>
      <c r="G42" s="925">
        <f t="shared" si="3"/>
        <v>-202.91000000000349</v>
      </c>
      <c r="H42" s="926">
        <f>G42+'21'!H42</f>
        <v>8.999999999650754E-2</v>
      </c>
      <c r="I42" s="924"/>
      <c r="J42" s="928">
        <f>H42/DAY(B2)</f>
        <v>4.0909090907503423E-3</v>
      </c>
      <c r="K42" s="944"/>
      <c r="L42" s="903"/>
      <c r="N42" s="1092">
        <v>3270.130000000001</v>
      </c>
      <c r="O42" s="930">
        <f t="shared" si="0"/>
        <v>3473.0400000000045</v>
      </c>
    </row>
    <row r="43" spans="1:15" x14ac:dyDescent="0.35">
      <c r="A43" s="921" t="s">
        <v>183</v>
      </c>
      <c r="B43" s="922"/>
      <c r="C43" s="922"/>
      <c r="D43" s="923" t="s">
        <v>143</v>
      </c>
      <c r="E43" s="924">
        <f>'21'!F43</f>
        <v>809491</v>
      </c>
      <c r="F43" s="997">
        <v>746869.11</v>
      </c>
      <c r="G43" s="925">
        <f>F43-E43</f>
        <v>-62621.890000000014</v>
      </c>
      <c r="H43" s="926">
        <f>G43+'21'!H43</f>
        <v>-20942.800000000047</v>
      </c>
      <c r="I43" s="924"/>
      <c r="J43" s="928">
        <f>H43/DAY(B2)</f>
        <v>-951.94545454545664</v>
      </c>
      <c r="K43" s="944"/>
      <c r="L43" s="903"/>
      <c r="N43" s="1092">
        <v>1586.2399999999907</v>
      </c>
      <c r="O43" s="930">
        <f t="shared" si="0"/>
        <v>64208.130000000005</v>
      </c>
    </row>
    <row r="44" spans="1:15" x14ac:dyDescent="0.35">
      <c r="A44" s="921" t="s">
        <v>184</v>
      </c>
      <c r="B44" s="922"/>
      <c r="C44" s="922"/>
      <c r="D44" s="923" t="s">
        <v>143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 x14ac:dyDescent="0.35">
      <c r="A45" s="921" t="s">
        <v>185</v>
      </c>
      <c r="B45" s="922"/>
      <c r="C45" s="922"/>
      <c r="D45" s="923" t="s">
        <v>143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 x14ac:dyDescent="0.35">
      <c r="A46" s="921" t="s">
        <v>186</v>
      </c>
      <c r="B46" s="922"/>
      <c r="C46" s="922"/>
      <c r="D46" s="923" t="s">
        <v>143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 x14ac:dyDescent="0.3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1186471.1400000001</v>
      </c>
      <c r="H47" s="926">
        <f>G47+'21'!H47</f>
        <v>1416901.12</v>
      </c>
      <c r="I47" s="924"/>
      <c r="J47" s="928">
        <f>H47/DAY(B2)</f>
        <v>64404.596363636367</v>
      </c>
      <c r="K47" s="944"/>
      <c r="L47" s="903"/>
      <c r="N47" s="1094">
        <v>10115.970000000016</v>
      </c>
      <c r="O47" s="930">
        <f t="shared" si="0"/>
        <v>-1176355.1700000002</v>
      </c>
    </row>
    <row r="48" spans="1:15" x14ac:dyDescent="0.3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 x14ac:dyDescent="0.35">
      <c r="A49" s="921" t="s">
        <v>175</v>
      </c>
      <c r="B49" s="1000"/>
      <c r="C49" s="1000"/>
      <c r="D49" s="923" t="s">
        <v>143</v>
      </c>
      <c r="E49" s="924">
        <f>'21'!F49</f>
        <v>260732</v>
      </c>
      <c r="F49" s="997">
        <v>217967</v>
      </c>
      <c r="G49" s="925">
        <f t="shared" ref="G49:G58" si="4">F49-E49</f>
        <v>-42765</v>
      </c>
      <c r="H49" s="926">
        <f>G49+'21'!H49</f>
        <v>-27932.049999999988</v>
      </c>
      <c r="I49" s="924"/>
      <c r="J49" s="928">
        <f>H49/DAY(B2)</f>
        <v>-1269.6386363636359</v>
      </c>
      <c r="K49" s="944"/>
      <c r="L49" s="903"/>
      <c r="N49" s="1092">
        <v>0</v>
      </c>
      <c r="O49" s="930">
        <f t="shared" si="0"/>
        <v>42765</v>
      </c>
    </row>
    <row r="50" spans="1:15" x14ac:dyDescent="0.35">
      <c r="A50" s="921" t="s">
        <v>189</v>
      </c>
      <c r="B50" s="1000"/>
      <c r="C50" s="1000"/>
      <c r="D50" s="923" t="s">
        <v>143</v>
      </c>
      <c r="E50" s="924">
        <f>'21'!F50</f>
        <v>393865</v>
      </c>
      <c r="F50" s="997">
        <v>358855.35</v>
      </c>
      <c r="G50" s="925">
        <f t="shared" si="4"/>
        <v>-35009.650000000023</v>
      </c>
      <c r="H50" s="926">
        <f>G50+'21'!H50</f>
        <v>-10804.960000000021</v>
      </c>
      <c r="I50" s="924"/>
      <c r="J50" s="928">
        <f>H50/DAY(B2)</f>
        <v>-491.13454545454641</v>
      </c>
      <c r="K50" s="944"/>
      <c r="L50" s="903"/>
      <c r="N50" s="1092">
        <v>812.01999999998952</v>
      </c>
      <c r="O50" s="930">
        <f t="shared" si="0"/>
        <v>35821.670000000013</v>
      </c>
    </row>
    <row r="51" spans="1:15" x14ac:dyDescent="0.35">
      <c r="A51" s="921" t="s">
        <v>177</v>
      </c>
      <c r="B51" s="1000"/>
      <c r="C51" s="1000"/>
      <c r="D51" s="923" t="s">
        <v>143</v>
      </c>
      <c r="E51" s="924">
        <f>'21'!F51</f>
        <v>120051</v>
      </c>
      <c r="F51" s="997">
        <v>96722.97</v>
      </c>
      <c r="G51" s="925">
        <f t="shared" si="4"/>
        <v>-23328.03</v>
      </c>
      <c r="H51" s="926">
        <f>G51+'21'!H51</f>
        <v>-13376.770000000004</v>
      </c>
      <c r="I51" s="924"/>
      <c r="J51" s="928">
        <f>H51/DAY(B2)</f>
        <v>-608.0350000000002</v>
      </c>
      <c r="K51" s="944"/>
      <c r="L51" s="903"/>
      <c r="N51" s="1092">
        <v>0</v>
      </c>
      <c r="O51" s="930">
        <f t="shared" si="0"/>
        <v>23328.03</v>
      </c>
    </row>
    <row r="52" spans="1:15" x14ac:dyDescent="0.35">
      <c r="A52" s="921" t="s">
        <v>190</v>
      </c>
      <c r="B52" s="1000"/>
      <c r="C52" s="1000"/>
      <c r="D52" s="923" t="s">
        <v>143</v>
      </c>
      <c r="E52" s="924">
        <f>'21'!F52</f>
        <v>507913</v>
      </c>
      <c r="F52" s="997">
        <v>476838.55</v>
      </c>
      <c r="G52" s="925">
        <f t="shared" si="4"/>
        <v>-31074.450000000012</v>
      </c>
      <c r="H52" s="926">
        <f>G52+'21'!H52</f>
        <v>-16970.119999999995</v>
      </c>
      <c r="I52" s="924"/>
      <c r="J52" s="928">
        <f>H52/DAY(B2)</f>
        <v>-771.36909090909069</v>
      </c>
      <c r="K52" s="944"/>
      <c r="L52" s="903"/>
      <c r="N52" s="1092">
        <v>1058.2600000000093</v>
      </c>
      <c r="O52" s="930">
        <f t="shared" si="0"/>
        <v>32132.710000000021</v>
      </c>
    </row>
    <row r="53" spans="1:15" x14ac:dyDescent="0.35">
      <c r="A53" s="921" t="s">
        <v>179</v>
      </c>
      <c r="B53" s="1000"/>
      <c r="C53" s="1000"/>
      <c r="D53" s="923" t="s">
        <v>143</v>
      </c>
      <c r="E53" s="924">
        <f>'21'!F53</f>
        <v>331855</v>
      </c>
      <c r="F53" s="997">
        <v>266549.28999999998</v>
      </c>
      <c r="G53" s="925">
        <f t="shared" si="4"/>
        <v>-65305.710000000021</v>
      </c>
      <c r="H53" s="926">
        <f>G53+'21'!H53</f>
        <v>-37748.98000000004</v>
      </c>
      <c r="I53" s="924"/>
      <c r="J53" s="928">
        <f>H53/DAY(B2)</f>
        <v>-1715.862727272729</v>
      </c>
      <c r="K53" s="944"/>
      <c r="L53" s="903"/>
      <c r="N53" s="1092">
        <v>104.8799999999992</v>
      </c>
      <c r="O53" s="930">
        <f t="shared" si="0"/>
        <v>65410.590000000018</v>
      </c>
    </row>
    <row r="54" spans="1:15" x14ac:dyDescent="0.35">
      <c r="A54" s="921" t="s">
        <v>191</v>
      </c>
      <c r="B54" s="1000"/>
      <c r="C54" s="1000"/>
      <c r="D54" s="923" t="s">
        <v>143</v>
      </c>
      <c r="E54" s="924">
        <f>'21'!F54</f>
        <v>7607</v>
      </c>
      <c r="F54" s="997">
        <v>5859.71</v>
      </c>
      <c r="G54" s="925">
        <f t="shared" si="4"/>
        <v>-1747.29</v>
      </c>
      <c r="H54" s="926">
        <f>G54+'21'!H54</f>
        <v>-529.09000000000015</v>
      </c>
      <c r="I54" s="924"/>
      <c r="J54" s="928">
        <f>H54/DAY(B2)</f>
        <v>-24.049545454545463</v>
      </c>
      <c r="K54" s="944"/>
      <c r="L54" s="903"/>
      <c r="N54" s="1092">
        <v>0</v>
      </c>
      <c r="O54" s="930">
        <f t="shared" si="0"/>
        <v>1747.29</v>
      </c>
    </row>
    <row r="55" spans="1:15" x14ac:dyDescent="0.35">
      <c r="A55" s="921" t="s">
        <v>192</v>
      </c>
      <c r="B55" s="1000"/>
      <c r="C55" s="1000"/>
      <c r="D55" s="923" t="s">
        <v>143</v>
      </c>
      <c r="E55" s="924">
        <f>'21'!F55</f>
        <v>94270</v>
      </c>
      <c r="F55" s="997">
        <v>39120.58</v>
      </c>
      <c r="G55" s="925">
        <f t="shared" si="4"/>
        <v>-55149.42</v>
      </c>
      <c r="H55" s="926">
        <f>G55+'21'!H55</f>
        <v>-3867.4000000000015</v>
      </c>
      <c r="I55" s="924"/>
      <c r="J55" s="928">
        <f>H55/DAY(B2)</f>
        <v>-175.79090909090917</v>
      </c>
      <c r="K55" s="944"/>
      <c r="L55" s="903"/>
      <c r="N55" s="1092">
        <v>0</v>
      </c>
      <c r="O55" s="930">
        <f t="shared" si="0"/>
        <v>55149.42</v>
      </c>
    </row>
    <row r="56" spans="1:15" x14ac:dyDescent="0.35">
      <c r="A56" s="921" t="s">
        <v>193</v>
      </c>
      <c r="B56" s="1000"/>
      <c r="C56" s="1000"/>
      <c r="D56" s="923" t="s">
        <v>194</v>
      </c>
      <c r="E56" s="924">
        <f>'21'!F56</f>
        <v>572652</v>
      </c>
      <c r="F56" s="997">
        <v>557729.63</v>
      </c>
      <c r="G56" s="925">
        <f t="shared" si="4"/>
        <v>-14922.369999999995</v>
      </c>
      <c r="H56" s="926">
        <f>G56+'21'!H56</f>
        <v>-2.2800000000279397</v>
      </c>
      <c r="I56" s="924"/>
      <c r="J56" s="928">
        <f>H56/DAY(B2)</f>
        <v>-0.10363636363763362</v>
      </c>
      <c r="K56" s="920"/>
      <c r="L56" s="903"/>
      <c r="N56" s="1092">
        <v>0</v>
      </c>
      <c r="O56" s="930">
        <f t="shared" si="0"/>
        <v>14922.369999999995</v>
      </c>
    </row>
    <row r="57" spans="1:15" x14ac:dyDescent="0.35">
      <c r="A57" s="921" t="s">
        <v>183</v>
      </c>
      <c r="B57" s="1000"/>
      <c r="C57" s="1000"/>
      <c r="D57" s="923" t="s">
        <v>143</v>
      </c>
      <c r="E57" s="924">
        <f>'21'!F57</f>
        <v>7711</v>
      </c>
      <c r="F57" s="997">
        <v>0</v>
      </c>
      <c r="G57" s="925">
        <f t="shared" si="4"/>
        <v>-7711</v>
      </c>
      <c r="H57" s="926">
        <f>G57+'21'!H57</f>
        <v>0</v>
      </c>
      <c r="I57" s="924"/>
      <c r="J57" s="928">
        <f>H57/DAY(B2)</f>
        <v>0</v>
      </c>
      <c r="K57" s="944"/>
      <c r="L57" s="903"/>
      <c r="N57" s="1092">
        <v>0</v>
      </c>
      <c r="O57" s="930">
        <f t="shared" si="0"/>
        <v>7711</v>
      </c>
    </row>
    <row r="58" spans="1:15" x14ac:dyDescent="0.35">
      <c r="A58" s="921" t="s">
        <v>195</v>
      </c>
      <c r="B58" s="1000"/>
      <c r="C58" s="1000"/>
      <c r="D58" s="923" t="s">
        <v>143</v>
      </c>
      <c r="E58" s="924">
        <f>'21'!F58</f>
        <v>34516</v>
      </c>
      <c r="F58" s="997">
        <v>29072.28</v>
      </c>
      <c r="G58" s="925">
        <f t="shared" si="4"/>
        <v>-5443.7200000000012</v>
      </c>
      <c r="H58" s="926">
        <f>G58+'21'!H58</f>
        <v>-1657.2599999999984</v>
      </c>
      <c r="I58" s="924"/>
      <c r="J58" s="928">
        <f>H58/DAY(B2)</f>
        <v>-75.329999999999927</v>
      </c>
      <c r="K58" s="944"/>
      <c r="L58" s="903"/>
      <c r="N58" s="1092">
        <v>120.15000000000146</v>
      </c>
      <c r="O58" s="930">
        <f t="shared" si="0"/>
        <v>5563.8700000000026</v>
      </c>
    </row>
    <row r="59" spans="1:15" x14ac:dyDescent="0.3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-282456.64</v>
      </c>
      <c r="H59" s="926">
        <f>G59+'21'!H59</f>
        <v>-112888.91</v>
      </c>
      <c r="I59" s="924">
        <f>G7-G60</f>
        <v>-1484725.5</v>
      </c>
      <c r="J59" s="928">
        <f>H59/DAY(B2)</f>
        <v>-5131.3140909090907</v>
      </c>
      <c r="K59" s="944"/>
      <c r="L59" s="903"/>
      <c r="N59" s="1092">
        <v>2095.3099999999995</v>
      </c>
      <c r="O59" s="930">
        <f t="shared" si="0"/>
        <v>284551.95</v>
      </c>
    </row>
    <row r="60" spans="1:15" x14ac:dyDescent="0.35">
      <c r="A60" s="921"/>
      <c r="B60" s="922"/>
      <c r="C60" s="922"/>
      <c r="D60" s="910" t="s">
        <v>196</v>
      </c>
      <c r="E60" s="910"/>
      <c r="F60" s="910"/>
      <c r="G60" s="948">
        <f>G47+G59</f>
        <v>904014.50000000012</v>
      </c>
      <c r="H60" s="926">
        <f>G60+'21'!H60</f>
        <v>1309192.3999999999</v>
      </c>
      <c r="I60" s="924">
        <f>G13-G60</f>
        <v>1103575.7000000002</v>
      </c>
      <c r="J60" s="928">
        <f>H60/DAY(B2)</f>
        <v>59508.745454545453</v>
      </c>
      <c r="K60" s="944"/>
      <c r="L60" s="903"/>
      <c r="N60" s="1092">
        <v>12211.280000000015</v>
      </c>
      <c r="O60" s="930">
        <f t="shared" si="0"/>
        <v>-891803.22000000009</v>
      </c>
    </row>
    <row r="61" spans="1:15" x14ac:dyDescent="0.3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 x14ac:dyDescent="0.35">
      <c r="A62" s="1005" t="s">
        <v>106</v>
      </c>
      <c r="B62" s="1006"/>
      <c r="C62" s="1006"/>
      <c r="D62" s="910" t="s">
        <v>198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 x14ac:dyDescent="0.35">
      <c r="A63" s="1005" t="s">
        <v>199</v>
      </c>
      <c r="B63" s="1006"/>
      <c r="C63" s="1006"/>
      <c r="D63" s="910" t="s">
        <v>198</v>
      </c>
      <c r="E63" s="924">
        <f>'21'!F63</f>
        <v>1611</v>
      </c>
      <c r="F63" s="1007">
        <v>1236.99</v>
      </c>
      <c r="G63" s="925">
        <f t="shared" si="5"/>
        <v>-374.01</v>
      </c>
      <c r="H63" s="926">
        <f>G63+'21'!H63</f>
        <v>-95.539999999999964</v>
      </c>
      <c r="I63" s="1008"/>
      <c r="J63" s="928">
        <f>H63/DAY(B2)</f>
        <v>-4.342727272727271</v>
      </c>
      <c r="K63" s="944"/>
      <c r="L63" s="903"/>
      <c r="N63" s="1092">
        <v>0</v>
      </c>
      <c r="O63" s="930">
        <f t="shared" si="0"/>
        <v>374.01</v>
      </c>
    </row>
    <row r="64" spans="1:15" x14ac:dyDescent="0.35">
      <c r="A64" s="1509" t="s">
        <v>107</v>
      </c>
      <c r="B64" s="1510"/>
      <c r="C64" s="1511"/>
      <c r="D64" s="923" t="s">
        <v>198</v>
      </c>
      <c r="E64" s="924">
        <f>'21'!F64</f>
        <v>120038</v>
      </c>
      <c r="F64" s="954">
        <v>107473.88</v>
      </c>
      <c r="G64" s="925">
        <f t="shared" si="5"/>
        <v>-12564.119999999995</v>
      </c>
      <c r="H64" s="926">
        <f>G64+'21'!H64</f>
        <v>-3809.5800000000017</v>
      </c>
      <c r="I64" s="945"/>
      <c r="J64" s="928">
        <f>H64/DAY(B2)</f>
        <v>-173.16272727272735</v>
      </c>
      <c r="K64" s="944"/>
      <c r="L64" s="903"/>
      <c r="N64" s="1092">
        <v>178.5199999999968</v>
      </c>
      <c r="O64" s="930">
        <f t="shared" si="0"/>
        <v>12742.639999999992</v>
      </c>
    </row>
    <row r="65" spans="1:15" x14ac:dyDescent="0.35">
      <c r="A65" s="1509" t="s">
        <v>108</v>
      </c>
      <c r="B65" s="1510"/>
      <c r="C65" s="1511"/>
      <c r="D65" s="923" t="s">
        <v>198</v>
      </c>
      <c r="E65" s="924">
        <f>'21'!F65</f>
        <v>129852</v>
      </c>
      <c r="F65" s="954">
        <v>118098.62</v>
      </c>
      <c r="G65" s="925">
        <f t="shared" si="5"/>
        <v>-11753.380000000005</v>
      </c>
      <c r="H65" s="926">
        <f>G65+'21'!H65</f>
        <v>-3634.4900000000052</v>
      </c>
      <c r="I65" s="963"/>
      <c r="J65" s="928">
        <f>H65/DAY(B2)</f>
        <v>-165.20409090909115</v>
      </c>
      <c r="K65" s="944"/>
      <c r="L65" s="903"/>
      <c r="N65" s="1092">
        <v>198.38999999999942</v>
      </c>
      <c r="O65" s="930">
        <f t="shared" si="0"/>
        <v>11951.770000000004</v>
      </c>
    </row>
    <row r="66" spans="1:15" x14ac:dyDescent="0.35">
      <c r="A66" s="1509" t="s">
        <v>109</v>
      </c>
      <c r="B66" s="1510"/>
      <c r="C66" s="1511"/>
      <c r="D66" s="923" t="s">
        <v>198</v>
      </c>
      <c r="E66" s="924">
        <f>'21'!F66</f>
        <v>22440</v>
      </c>
      <c r="F66" s="954">
        <v>10482.780000000001</v>
      </c>
      <c r="G66" s="925">
        <f t="shared" si="5"/>
        <v>-11957.22</v>
      </c>
      <c r="H66" s="926">
        <f>G66+'21'!H66</f>
        <v>-3676.9599999999991</v>
      </c>
      <c r="I66" s="945"/>
      <c r="J66" s="928">
        <f>H66/DAY(B2)</f>
        <v>-167.13454545454542</v>
      </c>
      <c r="K66" s="944"/>
      <c r="L66" s="903"/>
      <c r="N66" s="1092">
        <v>226.35000000000582</v>
      </c>
      <c r="O66" s="930">
        <f t="shared" si="0"/>
        <v>12183.570000000005</v>
      </c>
    </row>
    <row r="67" spans="1:15" x14ac:dyDescent="0.35">
      <c r="A67" s="1509" t="s">
        <v>110</v>
      </c>
      <c r="B67" s="1510"/>
      <c r="C67" s="1511"/>
      <c r="D67" s="923" t="s">
        <v>198</v>
      </c>
      <c r="E67" s="924">
        <f>'21'!F67</f>
        <v>203311</v>
      </c>
      <c r="F67" s="954">
        <v>182726</v>
      </c>
      <c r="G67" s="925">
        <f t="shared" si="5"/>
        <v>-20585</v>
      </c>
      <c r="H67" s="926">
        <f>G67+'21'!H67</f>
        <v>-5948.5299999999988</v>
      </c>
      <c r="I67" s="963"/>
      <c r="J67" s="928">
        <f>H67/DAY(B2)</f>
        <v>-270.3877272727272</v>
      </c>
      <c r="K67" s="951"/>
      <c r="L67" s="903"/>
      <c r="N67" s="1092">
        <v>312.47000000000116</v>
      </c>
      <c r="O67" s="930">
        <f t="shared" si="0"/>
        <v>20897.47</v>
      </c>
    </row>
    <row r="68" spans="1:15" x14ac:dyDescent="0.35">
      <c r="A68" s="1509" t="s">
        <v>111</v>
      </c>
      <c r="B68" s="1510"/>
      <c r="C68" s="1511"/>
      <c r="D68" s="923" t="s">
        <v>198</v>
      </c>
      <c r="E68" s="924">
        <f>'21'!F68</f>
        <v>71485</v>
      </c>
      <c r="F68" s="954">
        <v>60387.56</v>
      </c>
      <c r="G68" s="925">
        <f t="shared" si="5"/>
        <v>-11097.440000000002</v>
      </c>
      <c r="H68" s="926">
        <f>G68+'21'!H68</f>
        <v>-2912.3000000000029</v>
      </c>
      <c r="I68" s="1009"/>
      <c r="J68" s="928">
        <f>H68/DAY(B2)</f>
        <v>-132.37727272727287</v>
      </c>
      <c r="K68" s="1010"/>
      <c r="L68" s="903"/>
      <c r="N68" s="1092">
        <v>142.1200000000008</v>
      </c>
      <c r="O68" s="930">
        <f t="shared" si="0"/>
        <v>11239.560000000003</v>
      </c>
    </row>
    <row r="69" spans="1:15" x14ac:dyDescent="0.35">
      <c r="A69" s="1509" t="s">
        <v>112</v>
      </c>
      <c r="B69" s="1510"/>
      <c r="C69" s="1511"/>
      <c r="D69" s="923" t="s">
        <v>198</v>
      </c>
      <c r="E69" s="924">
        <f>'21'!F69</f>
        <v>62157</v>
      </c>
      <c r="F69" s="954">
        <v>52947.14</v>
      </c>
      <c r="G69" s="925">
        <f t="shared" si="5"/>
        <v>-9209.86</v>
      </c>
      <c r="H69" s="926">
        <f>G69+'21'!H69</f>
        <v>-2776.5699999999997</v>
      </c>
      <c r="I69" s="1009"/>
      <c r="J69" s="928">
        <f>H69/DAY(B2)</f>
        <v>-126.20772727272725</v>
      </c>
      <c r="K69" s="1011"/>
      <c r="L69" s="903"/>
      <c r="N69" s="1092">
        <v>12.869999999998981</v>
      </c>
      <c r="O69" s="930">
        <f t="shared" si="0"/>
        <v>9222.73</v>
      </c>
    </row>
    <row r="70" spans="1:15" x14ac:dyDescent="0.3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 x14ac:dyDescent="0.4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>
        <f t="shared" si="0"/>
        <v>0</v>
      </c>
    </row>
    <row r="72" spans="1:15" x14ac:dyDescent="0.35">
      <c r="A72" s="1509" t="s">
        <v>202</v>
      </c>
      <c r="B72" s="1510"/>
      <c r="C72" s="1511"/>
      <c r="D72" s="923" t="s">
        <v>198</v>
      </c>
      <c r="E72" s="924">
        <f>'21'!F72</f>
        <v>850008</v>
      </c>
      <c r="F72" s="1015">
        <v>847827</v>
      </c>
      <c r="G72" s="925">
        <f t="shared" ref="G72:G84" si="6">F72-E72</f>
        <v>-2181</v>
      </c>
      <c r="H72" s="926">
        <f>G72+'21'!H72</f>
        <v>-725</v>
      </c>
      <c r="I72" s="945"/>
      <c r="J72" s="928">
        <f>H72/DAY(B2)</f>
        <v>-32.954545454545453</v>
      </c>
      <c r="K72" s="1011"/>
      <c r="L72" s="903"/>
      <c r="N72" s="1092">
        <v>18</v>
      </c>
      <c r="O72" s="930">
        <f t="shared" ref="O72:O135" si="7">N72-G72</f>
        <v>2199</v>
      </c>
    </row>
    <row r="73" spans="1:15" x14ac:dyDescent="0.35">
      <c r="A73" s="1509" t="s">
        <v>203</v>
      </c>
      <c r="B73" s="1510"/>
      <c r="C73" s="1511"/>
      <c r="D73" s="923" t="s">
        <v>198</v>
      </c>
      <c r="E73" s="924">
        <f>'21'!F73</f>
        <v>885763</v>
      </c>
      <c r="F73" s="1016">
        <v>885711</v>
      </c>
      <c r="G73" s="925">
        <f t="shared" si="6"/>
        <v>-52</v>
      </c>
      <c r="H73" s="926">
        <f>G73+'21'!H73</f>
        <v>930</v>
      </c>
      <c r="I73" s="945"/>
      <c r="J73" s="928">
        <f>H73/DAY(B2)</f>
        <v>42.272727272727273</v>
      </c>
      <c r="K73" s="1010"/>
      <c r="L73" s="903"/>
      <c r="N73" s="1092">
        <v>2</v>
      </c>
      <c r="O73" s="930">
        <f t="shared" si="7"/>
        <v>54</v>
      </c>
    </row>
    <row r="74" spans="1:15" x14ac:dyDescent="0.35">
      <c r="A74" s="1509" t="s">
        <v>204</v>
      </c>
      <c r="B74" s="1510"/>
      <c r="C74" s="1511"/>
      <c r="D74" s="923" t="s">
        <v>198</v>
      </c>
      <c r="E74" s="924">
        <f>'21'!F74</f>
        <v>438</v>
      </c>
      <c r="F74" s="1017">
        <v>882071</v>
      </c>
      <c r="G74" s="925">
        <f t="shared" si="6"/>
        <v>881633</v>
      </c>
      <c r="H74" s="926">
        <f>G74+'21'!H74</f>
        <v>882300.1</v>
      </c>
      <c r="I74" s="945"/>
      <c r="J74" s="928">
        <f>H74/DAY(B2)</f>
        <v>40104.549999999996</v>
      </c>
      <c r="K74" s="1011"/>
      <c r="L74" s="903"/>
      <c r="N74" s="1092">
        <v>5</v>
      </c>
      <c r="O74" s="930">
        <f t="shared" si="7"/>
        <v>-881628</v>
      </c>
    </row>
    <row r="75" spans="1:15" x14ac:dyDescent="0.35">
      <c r="A75" s="1535" t="s">
        <v>205</v>
      </c>
      <c r="B75" s="1536"/>
      <c r="C75" s="1537"/>
      <c r="D75" s="923" t="s">
        <v>198</v>
      </c>
      <c r="E75" s="924">
        <f>'21'!F75</f>
        <v>2323</v>
      </c>
      <c r="F75" s="1017">
        <v>735747</v>
      </c>
      <c r="G75" s="925">
        <f t="shared" si="6"/>
        <v>733424</v>
      </c>
      <c r="H75" s="926">
        <f>G75+'21'!H75</f>
        <v>737283.4</v>
      </c>
      <c r="I75" s="945"/>
      <c r="J75" s="928">
        <f>H75/DAY(B2)</f>
        <v>33512.881818181821</v>
      </c>
      <c r="K75" s="1010"/>
      <c r="L75" s="903"/>
      <c r="N75" s="1092">
        <v>48</v>
      </c>
      <c r="O75" s="930">
        <f t="shared" si="7"/>
        <v>-733376</v>
      </c>
    </row>
    <row r="76" spans="1:15" x14ac:dyDescent="0.35">
      <c r="A76" s="1535" t="s">
        <v>206</v>
      </c>
      <c r="B76" s="1536"/>
      <c r="C76" s="1537"/>
      <c r="D76" s="923" t="s">
        <v>198</v>
      </c>
      <c r="E76" s="924">
        <f>'21'!F76</f>
        <v>969</v>
      </c>
      <c r="F76" s="1016">
        <v>686309</v>
      </c>
      <c r="G76" s="925">
        <f t="shared" si="6"/>
        <v>685340</v>
      </c>
      <c r="H76" s="926">
        <f>G76+'21'!H76</f>
        <v>688306.2</v>
      </c>
      <c r="I76" s="988"/>
      <c r="J76" s="928">
        <f>H76/DAY(B2)</f>
        <v>31286.645454545451</v>
      </c>
      <c r="K76" s="1010"/>
      <c r="L76" s="903"/>
      <c r="N76" s="1092">
        <v>5</v>
      </c>
      <c r="O76" s="930">
        <f t="shared" si="7"/>
        <v>-685335</v>
      </c>
    </row>
    <row r="77" spans="1:15" x14ac:dyDescent="0.35">
      <c r="A77" s="1509" t="s">
        <v>207</v>
      </c>
      <c r="B77" s="1510"/>
      <c r="C77" s="1511"/>
      <c r="D77" s="923" t="s">
        <v>198</v>
      </c>
      <c r="E77" s="924">
        <f>'21'!F77</f>
        <v>698254</v>
      </c>
      <c r="F77" s="1016">
        <v>696624</v>
      </c>
      <c r="G77" s="925">
        <f t="shared" si="6"/>
        <v>-1630</v>
      </c>
      <c r="H77" s="926">
        <f>G77+'21'!H77</f>
        <v>-483</v>
      </c>
      <c r="I77" s="988"/>
      <c r="J77" s="928">
        <f>H77/DAY(B2)</f>
        <v>-21.954545454545453</v>
      </c>
      <c r="K77" s="1010"/>
      <c r="L77" s="903"/>
      <c r="N77" s="1092">
        <v>2</v>
      </c>
      <c r="O77" s="930">
        <f t="shared" si="7"/>
        <v>1632</v>
      </c>
    </row>
    <row r="78" spans="1:15" x14ac:dyDescent="0.35">
      <c r="A78" s="1018" t="s">
        <v>208</v>
      </c>
      <c r="B78" s="1227"/>
      <c r="C78" s="1227"/>
      <c r="D78" s="923" t="s">
        <v>198</v>
      </c>
      <c r="E78" s="924">
        <f>'21'!F78</f>
        <v>650484</v>
      </c>
      <c r="F78" s="1017">
        <v>638622</v>
      </c>
      <c r="G78" s="925">
        <f t="shared" si="6"/>
        <v>-11862</v>
      </c>
      <c r="H78" s="926">
        <f>G78+'21'!H78</f>
        <v>-3331</v>
      </c>
      <c r="I78" s="988"/>
      <c r="J78" s="928">
        <f>H78/DAY(B2)</f>
        <v>-151.40909090909091</v>
      </c>
      <c r="K78" s="1010"/>
      <c r="L78" s="903"/>
      <c r="N78" s="1092">
        <v>28</v>
      </c>
      <c r="O78" s="930">
        <f t="shared" si="7"/>
        <v>11890</v>
      </c>
    </row>
    <row r="79" spans="1:15" x14ac:dyDescent="0.35">
      <c r="A79" s="1535" t="s">
        <v>97</v>
      </c>
      <c r="B79" s="1536"/>
      <c r="C79" s="1537"/>
      <c r="D79" s="957" t="s">
        <v>198</v>
      </c>
      <c r="E79" s="924">
        <f>'21'!F79</f>
        <v>813722</v>
      </c>
      <c r="F79" s="1017">
        <v>807994</v>
      </c>
      <c r="G79" s="925">
        <f t="shared" si="6"/>
        <v>-5728</v>
      </c>
      <c r="H79" s="926">
        <f>G79+'21'!H79</f>
        <v>1168</v>
      </c>
      <c r="I79" s="988"/>
      <c r="J79" s="928">
        <f>H79/DAY(B2)</f>
        <v>53.090909090909093</v>
      </c>
      <c r="K79" s="1010"/>
      <c r="L79" s="903"/>
      <c r="N79" s="1092">
        <v>139</v>
      </c>
      <c r="O79" s="930">
        <f t="shared" si="7"/>
        <v>5867</v>
      </c>
    </row>
    <row r="80" spans="1:15" x14ac:dyDescent="0.35">
      <c r="A80" s="1535" t="s">
        <v>209</v>
      </c>
      <c r="B80" s="1536"/>
      <c r="C80" s="1537"/>
      <c r="D80" s="957" t="s">
        <v>198</v>
      </c>
      <c r="E80" s="924">
        <f>'21'!F80</f>
        <v>492045</v>
      </c>
      <c r="F80" s="1016">
        <v>482321</v>
      </c>
      <c r="G80" s="925">
        <f t="shared" si="6"/>
        <v>-9724</v>
      </c>
      <c r="H80" s="926">
        <f>G80+'21'!H80</f>
        <v>-4260.679999999993</v>
      </c>
      <c r="I80" s="988"/>
      <c r="J80" s="928">
        <f>H80/DAY(B2)</f>
        <v>-193.6672727272724</v>
      </c>
      <c r="K80" s="1010"/>
      <c r="L80" s="903"/>
      <c r="N80" s="1092">
        <v>177</v>
      </c>
      <c r="O80" s="930">
        <f t="shared" si="7"/>
        <v>9901</v>
      </c>
    </row>
    <row r="81" spans="1:15" x14ac:dyDescent="0.35">
      <c r="A81" s="1535" t="s">
        <v>210</v>
      </c>
      <c r="B81" s="1536"/>
      <c r="C81" s="1537"/>
      <c r="D81" s="957" t="s">
        <v>198</v>
      </c>
      <c r="E81" s="924">
        <f>'21'!F81</f>
        <v>624998</v>
      </c>
      <c r="F81" s="1016">
        <v>621800</v>
      </c>
      <c r="G81" s="925">
        <f t="shared" si="6"/>
        <v>-3198</v>
      </c>
      <c r="H81" s="926">
        <f>G81+'21'!H81</f>
        <v>-975</v>
      </c>
      <c r="I81" s="988"/>
      <c r="J81" s="928">
        <f>H81/DAY(B2)</f>
        <v>-44.31818181818182</v>
      </c>
      <c r="K81" s="1010"/>
      <c r="L81" s="903"/>
      <c r="N81" s="1092">
        <v>86</v>
      </c>
      <c r="O81" s="930">
        <f t="shared" si="7"/>
        <v>3284</v>
      </c>
    </row>
    <row r="82" spans="1:15" x14ac:dyDescent="0.35">
      <c r="A82" s="1535" t="s">
        <v>100</v>
      </c>
      <c r="B82" s="1536"/>
      <c r="C82" s="1537"/>
      <c r="D82" s="958" t="s">
        <v>143</v>
      </c>
      <c r="E82" s="924">
        <f>'21'!F82</f>
        <v>106038</v>
      </c>
      <c r="F82" s="1019">
        <v>105016</v>
      </c>
      <c r="G82" s="925">
        <f t="shared" si="6"/>
        <v>-1022</v>
      </c>
      <c r="H82" s="926">
        <f>G82+'21'!H82</f>
        <v>-424</v>
      </c>
      <c r="I82" s="959"/>
      <c r="J82" s="928">
        <f>H82/DAY(B2)</f>
        <v>-19.272727272727273</v>
      </c>
      <c r="K82" s="1010"/>
      <c r="L82" s="903"/>
      <c r="N82" s="1092">
        <v>29</v>
      </c>
      <c r="O82" s="930">
        <f t="shared" si="7"/>
        <v>1051</v>
      </c>
    </row>
    <row r="83" spans="1:15" x14ac:dyDescent="0.35">
      <c r="A83" s="1535" t="s">
        <v>211</v>
      </c>
      <c r="B83" s="1536"/>
      <c r="C83" s="1537"/>
      <c r="D83" s="1020" t="s">
        <v>143</v>
      </c>
      <c r="E83" s="924">
        <f>'21'!F83</f>
        <v>992869</v>
      </c>
      <c r="F83" s="910">
        <v>981140</v>
      </c>
      <c r="G83" s="925">
        <f t="shared" si="6"/>
        <v>-11729</v>
      </c>
      <c r="H83" s="926">
        <f>G83+'21'!H83</f>
        <v>-2601</v>
      </c>
      <c r="I83" s="948"/>
      <c r="J83" s="928">
        <f>H83/DAY(B2)</f>
        <v>-118.22727272727273</v>
      </c>
      <c r="K83" s="951"/>
      <c r="L83" s="903"/>
      <c r="N83" s="1092">
        <v>228</v>
      </c>
      <c r="O83" s="930">
        <f t="shared" si="7"/>
        <v>11957</v>
      </c>
    </row>
    <row r="84" spans="1:15" x14ac:dyDescent="0.35">
      <c r="A84" s="1021" t="s">
        <v>212</v>
      </c>
      <c r="B84" s="1022"/>
      <c r="C84" s="1022"/>
      <c r="D84" s="942" t="s">
        <v>143</v>
      </c>
      <c r="E84" s="924">
        <f>'21'!F84</f>
        <v>426516</v>
      </c>
      <c r="F84" s="1023">
        <v>411317</v>
      </c>
      <c r="G84" s="925">
        <f t="shared" si="6"/>
        <v>-15199</v>
      </c>
      <c r="H84" s="926">
        <f>G84+'21'!H84</f>
        <v>-4756</v>
      </c>
      <c r="I84" s="948"/>
      <c r="J84" s="928">
        <f>H84/DAY(B2)</f>
        <v>-216.18181818181819</v>
      </c>
      <c r="K84" s="1024"/>
      <c r="L84" s="903"/>
      <c r="N84" s="1092">
        <v>423</v>
      </c>
      <c r="O84" s="930">
        <f t="shared" si="7"/>
        <v>15622</v>
      </c>
    </row>
    <row r="85" spans="1:15" s="1028" customFormat="1" x14ac:dyDescent="0.35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2238072</v>
      </c>
      <c r="H85" s="926">
        <f>G85+'21'!H85</f>
        <v>2287128.65</v>
      </c>
      <c r="I85" s="948"/>
      <c r="J85" s="928">
        <f>H85/DAY(B2)</f>
        <v>103960.39318181817</v>
      </c>
      <c r="K85" s="1024"/>
      <c r="L85" s="1027"/>
      <c r="N85" s="1095">
        <v>1190</v>
      </c>
      <c r="O85" s="930">
        <f t="shared" si="7"/>
        <v>-2236882</v>
      </c>
    </row>
    <row r="86" spans="1:15" s="1038" customFormat="1" x14ac:dyDescent="0.35">
      <c r="A86" s="1029" t="s">
        <v>102</v>
      </c>
      <c r="B86" s="1030"/>
      <c r="C86" s="1030"/>
      <c r="D86" s="1031" t="s">
        <v>194</v>
      </c>
      <c r="E86" s="924">
        <f>'21'!F86</f>
        <v>449543</v>
      </c>
      <c r="F86" s="1032">
        <v>446349</v>
      </c>
      <c r="G86" s="1033">
        <f t="shared" ref="G86:G88" si="8">F86-E86</f>
        <v>-3194</v>
      </c>
      <c r="H86" s="1033">
        <f t="shared" ref="H86:H88" si="9">G86</f>
        <v>-3194</v>
      </c>
      <c r="I86" s="1034"/>
      <c r="J86" s="1035">
        <f>H86/DAY(B2)</f>
        <v>-145.18181818181819</v>
      </c>
      <c r="K86" s="1036"/>
      <c r="L86" s="1037"/>
      <c r="N86" s="1096">
        <v>171</v>
      </c>
      <c r="O86" s="930">
        <f t="shared" si="7"/>
        <v>3365</v>
      </c>
    </row>
    <row r="87" spans="1:15" s="1038" customFormat="1" x14ac:dyDescent="0.35">
      <c r="A87" s="1029" t="s">
        <v>103</v>
      </c>
      <c r="B87" s="1030"/>
      <c r="C87" s="1030"/>
      <c r="D87" s="1031" t="s">
        <v>194</v>
      </c>
      <c r="E87" s="924">
        <f>'21'!F87</f>
        <v>78987</v>
      </c>
      <c r="F87" s="1032">
        <v>78262.7</v>
      </c>
      <c r="G87" s="1033">
        <f t="shared" si="8"/>
        <v>-724.30000000000291</v>
      </c>
      <c r="H87" s="1033">
        <f t="shared" si="9"/>
        <v>-724.30000000000291</v>
      </c>
      <c r="I87" s="1034"/>
      <c r="J87" s="1035">
        <f>H87/DAY(B2)</f>
        <v>-32.922727272727407</v>
      </c>
      <c r="K87" s="1036"/>
      <c r="L87" s="1037"/>
      <c r="N87" s="1096">
        <v>21</v>
      </c>
      <c r="O87" s="930">
        <f t="shared" si="7"/>
        <v>745.30000000000291</v>
      </c>
    </row>
    <row r="88" spans="1:15" s="1038" customFormat="1" x14ac:dyDescent="0.35">
      <c r="A88" s="1029" t="s">
        <v>104</v>
      </c>
      <c r="B88" s="1030"/>
      <c r="C88" s="1030"/>
      <c r="D88" s="1031" t="s">
        <v>194</v>
      </c>
      <c r="E88" s="924">
        <f>'21'!F88</f>
        <v>147909</v>
      </c>
      <c r="F88" s="1023">
        <v>145938</v>
      </c>
      <c r="G88" s="1033">
        <f t="shared" si="8"/>
        <v>-1971</v>
      </c>
      <c r="H88" s="1033">
        <f t="shared" si="9"/>
        <v>-1971</v>
      </c>
      <c r="I88" s="1034"/>
      <c r="J88" s="1035">
        <f>H88/DAY(B2)</f>
        <v>-89.590909090909093</v>
      </c>
      <c r="K88" s="1036"/>
      <c r="L88" s="1037"/>
      <c r="N88" s="1096">
        <v>86</v>
      </c>
      <c r="O88" s="930">
        <f t="shared" si="7"/>
        <v>2057</v>
      </c>
    </row>
    <row r="89" spans="1:15" s="1038" customFormat="1" x14ac:dyDescent="0.35">
      <c r="A89" s="1029" t="s">
        <v>215</v>
      </c>
      <c r="B89" s="1030"/>
      <c r="C89" s="1030"/>
      <c r="D89" s="1031" t="s">
        <v>194</v>
      </c>
      <c r="E89" s="924">
        <f>'21'!F89</f>
        <v>61159</v>
      </c>
      <c r="F89" s="1032">
        <v>59200</v>
      </c>
      <c r="G89" s="1033">
        <f t="shared" ref="G89:G90" si="10">F89-E89</f>
        <v>-1959</v>
      </c>
      <c r="H89" s="1033">
        <f t="shared" ref="H89:H90" si="11">G89</f>
        <v>-1959</v>
      </c>
      <c r="I89" s="1034"/>
      <c r="J89" s="1035" t="e">
        <f t="shared" ref="J89:J90" si="12">H89/DAY(B3)</f>
        <v>#DIV/0!</v>
      </c>
      <c r="K89" s="1036"/>
      <c r="L89" s="1037"/>
      <c r="N89" s="1097">
        <v>25</v>
      </c>
      <c r="O89" s="930">
        <f t="shared" si="7"/>
        <v>1984</v>
      </c>
    </row>
    <row r="90" spans="1:15" s="1038" customFormat="1" x14ac:dyDescent="0.35">
      <c r="A90" s="1029" t="s">
        <v>215</v>
      </c>
      <c r="B90" s="1030"/>
      <c r="C90" s="1030"/>
      <c r="D90" s="1031" t="s">
        <v>194</v>
      </c>
      <c r="E90" s="924">
        <f>'21'!F90</f>
        <v>3136</v>
      </c>
      <c r="F90" s="1032">
        <v>3044</v>
      </c>
      <c r="G90" s="1033">
        <f t="shared" si="10"/>
        <v>-92</v>
      </c>
      <c r="H90" s="1033">
        <f t="shared" si="11"/>
        <v>-92</v>
      </c>
      <c r="I90" s="1034"/>
      <c r="J90" s="1035" t="e">
        <f t="shared" si="12"/>
        <v>#DIV/0!</v>
      </c>
      <c r="K90" s="1036"/>
      <c r="L90" s="1037"/>
      <c r="N90" s="1097">
        <v>1</v>
      </c>
      <c r="O90" s="930">
        <f t="shared" si="7"/>
        <v>93</v>
      </c>
    </row>
    <row r="91" spans="1:15" s="1028" customFormat="1" x14ac:dyDescent="0.35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 x14ac:dyDescent="0.35">
      <c r="A92" s="1512" t="s">
        <v>217</v>
      </c>
      <c r="B92" s="1513"/>
      <c r="C92" s="1514"/>
      <c r="D92" s="923" t="s">
        <v>155</v>
      </c>
      <c r="E92" s="924">
        <f>'21'!F92</f>
        <v>238919</v>
      </c>
      <c r="F92" s="954">
        <v>235779</v>
      </c>
      <c r="G92" s="925">
        <f t="shared" ref="G92:G93" si="13">F92-E92</f>
        <v>-3140</v>
      </c>
      <c r="H92" s="926">
        <f>G92+'21'!H92</f>
        <v>-791</v>
      </c>
      <c r="I92" s="945"/>
      <c r="J92" s="928">
        <f>H92/DAY(B2)</f>
        <v>-35.954545454545453</v>
      </c>
      <c r="K92" s="951"/>
      <c r="L92" s="903"/>
      <c r="N92" s="1092">
        <v>29</v>
      </c>
      <c r="O92" s="930">
        <f t="shared" si="7"/>
        <v>3169</v>
      </c>
    </row>
    <row r="93" spans="1:15" x14ac:dyDescent="0.35">
      <c r="A93" s="1512" t="s">
        <v>218</v>
      </c>
      <c r="B93" s="1513"/>
      <c r="C93" s="1514"/>
      <c r="D93" s="923" t="s">
        <v>155</v>
      </c>
      <c r="E93" s="924">
        <f>'21'!F93</f>
        <v>174453</v>
      </c>
      <c r="F93" s="954">
        <v>169933</v>
      </c>
      <c r="G93" s="925">
        <f t="shared" si="13"/>
        <v>-4520</v>
      </c>
      <c r="H93" s="926">
        <f>G93+'21'!H93</f>
        <v>-1243</v>
      </c>
      <c r="I93" s="945"/>
      <c r="J93" s="928">
        <f>H93/DAY(B2)</f>
        <v>-56.5</v>
      </c>
      <c r="K93" s="1024"/>
      <c r="L93" s="903"/>
      <c r="N93" s="1092">
        <v>40</v>
      </c>
      <c r="O93" s="930">
        <f t="shared" si="7"/>
        <v>4560</v>
      </c>
    </row>
    <row r="94" spans="1:15" x14ac:dyDescent="0.35">
      <c r="A94" s="1538" t="s">
        <v>219</v>
      </c>
      <c r="B94" s="1539"/>
      <c r="C94" s="1540"/>
      <c r="D94" s="923"/>
      <c r="E94" s="924">
        <f>'21'!F94</f>
        <v>0</v>
      </c>
      <c r="F94" s="954"/>
      <c r="G94" s="925">
        <f>G92+G93</f>
        <v>-7660</v>
      </c>
      <c r="H94" s="926">
        <f>G94+'21'!H94</f>
        <v>-2321</v>
      </c>
      <c r="I94" s="945"/>
      <c r="J94" s="928">
        <f>H94/DAY(B2)</f>
        <v>-105.5</v>
      </c>
      <c r="K94" s="1024"/>
      <c r="L94" s="903"/>
      <c r="N94" s="1092">
        <v>69</v>
      </c>
      <c r="O94" s="930">
        <f t="shared" si="7"/>
        <v>7729</v>
      </c>
    </row>
    <row r="95" spans="1:15" x14ac:dyDescent="0.35">
      <c r="A95" s="1512" t="s">
        <v>220</v>
      </c>
      <c r="B95" s="1513"/>
      <c r="C95" s="1514"/>
      <c r="D95" s="923" t="s">
        <v>155</v>
      </c>
      <c r="E95" s="924">
        <f>'21'!F95</f>
        <v>407520</v>
      </c>
      <c r="F95" s="954">
        <v>405285</v>
      </c>
      <c r="G95" s="925">
        <f t="shared" ref="G95:G100" si="14">F95-E95</f>
        <v>-2235</v>
      </c>
      <c r="H95" s="926">
        <f>G95+'21'!H95</f>
        <v>-591</v>
      </c>
      <c r="I95" s="945"/>
      <c r="J95" s="928">
        <f>H95/DAY(B2)</f>
        <v>-26.863636363636363</v>
      </c>
      <c r="K95" s="1024"/>
      <c r="L95" s="903"/>
      <c r="N95" s="1092">
        <v>49</v>
      </c>
      <c r="O95" s="930">
        <f t="shared" si="7"/>
        <v>2284</v>
      </c>
    </row>
    <row r="96" spans="1:15" x14ac:dyDescent="0.35">
      <c r="A96" s="952" t="s">
        <v>221</v>
      </c>
      <c r="B96" s="953"/>
      <c r="C96" s="953"/>
      <c r="D96" s="923" t="s">
        <v>155</v>
      </c>
      <c r="E96" s="924">
        <f>'21'!F96</f>
        <v>101198</v>
      </c>
      <c r="F96" s="954">
        <v>100313</v>
      </c>
      <c r="G96" s="925">
        <f t="shared" si="14"/>
        <v>-885</v>
      </c>
      <c r="H96" s="926">
        <f>G96+'21'!H96</f>
        <v>-221</v>
      </c>
      <c r="I96" s="945"/>
      <c r="J96" s="928">
        <f>H96/DAY(B2)</f>
        <v>-10.045454545454545</v>
      </c>
      <c r="K96" s="920"/>
      <c r="L96" s="903"/>
      <c r="N96" s="1092">
        <v>7</v>
      </c>
      <c r="O96" s="930">
        <f t="shared" si="7"/>
        <v>892</v>
      </c>
    </row>
    <row r="97" spans="1:15" x14ac:dyDescent="0.35">
      <c r="A97" s="952" t="s">
        <v>222</v>
      </c>
      <c r="B97" s="953"/>
      <c r="C97" s="953"/>
      <c r="D97" s="923" t="s">
        <v>155</v>
      </c>
      <c r="E97" s="924">
        <f>'21'!F97</f>
        <v>96305</v>
      </c>
      <c r="F97" s="954">
        <v>95473</v>
      </c>
      <c r="G97" s="925">
        <f t="shared" si="14"/>
        <v>-832</v>
      </c>
      <c r="H97" s="926">
        <f>G97+'21'!H97</f>
        <v>-204</v>
      </c>
      <c r="I97" s="945"/>
      <c r="J97" s="928">
        <f>H97/DAY(B2)</f>
        <v>-9.2727272727272734</v>
      </c>
      <c r="K97" s="1040"/>
      <c r="L97" s="903"/>
      <c r="N97" s="1092">
        <v>12</v>
      </c>
      <c r="O97" s="930">
        <f t="shared" si="7"/>
        <v>844</v>
      </c>
    </row>
    <row r="98" spans="1:15" x14ac:dyDescent="0.35">
      <c r="A98" s="952" t="s">
        <v>223</v>
      </c>
      <c r="B98" s="953"/>
      <c r="C98" s="953"/>
      <c r="D98" s="923" t="s">
        <v>155</v>
      </c>
      <c r="E98" s="924">
        <f>'21'!F98</f>
        <v>146993</v>
      </c>
      <c r="F98" s="954">
        <v>145021</v>
      </c>
      <c r="G98" s="925">
        <f t="shared" si="14"/>
        <v>-1972</v>
      </c>
      <c r="H98" s="926">
        <f>G98+'21'!H98</f>
        <v>-533</v>
      </c>
      <c r="I98" s="945"/>
      <c r="J98" s="928">
        <f>H98/DAY(B2)</f>
        <v>-24.227272727272727</v>
      </c>
      <c r="K98" s="1024"/>
      <c r="L98" s="903"/>
      <c r="N98" s="1092">
        <v>16</v>
      </c>
      <c r="O98" s="930">
        <f t="shared" si="7"/>
        <v>1988</v>
      </c>
    </row>
    <row r="99" spans="1:15" x14ac:dyDescent="0.35">
      <c r="A99" s="952" t="s">
        <v>224</v>
      </c>
      <c r="B99" s="953"/>
      <c r="C99" s="953"/>
      <c r="D99" s="923" t="s">
        <v>155</v>
      </c>
      <c r="E99" s="924">
        <f>'21'!F99</f>
        <v>6279</v>
      </c>
      <c r="F99" s="954">
        <v>5804</v>
      </c>
      <c r="G99" s="925">
        <f t="shared" si="14"/>
        <v>-475</v>
      </c>
      <c r="H99" s="926">
        <f>G99+'21'!H99</f>
        <v>-170</v>
      </c>
      <c r="I99" s="945"/>
      <c r="J99" s="928">
        <f>H99/DAY(B2)</f>
        <v>-7.7272727272727275</v>
      </c>
      <c r="K99" s="1024"/>
      <c r="L99" s="903"/>
      <c r="N99" s="1092">
        <v>3</v>
      </c>
      <c r="O99" s="930">
        <f t="shared" si="7"/>
        <v>478</v>
      </c>
    </row>
    <row r="100" spans="1:15" x14ac:dyDescent="0.35">
      <c r="A100" s="952" t="s">
        <v>225</v>
      </c>
      <c r="B100" s="953"/>
      <c r="C100" s="953"/>
      <c r="D100" s="923" t="s">
        <v>155</v>
      </c>
      <c r="E100" s="924">
        <f>'21'!F100</f>
        <v>4432</v>
      </c>
      <c r="F100" s="954">
        <v>4165</v>
      </c>
      <c r="G100" s="925">
        <f t="shared" si="14"/>
        <v>-267</v>
      </c>
      <c r="H100" s="926">
        <f>G100+'21'!H100</f>
        <v>-72</v>
      </c>
      <c r="I100" s="945"/>
      <c r="J100" s="928">
        <f>H100/DAY(B2)</f>
        <v>-3.2727272727272729</v>
      </c>
      <c r="K100" s="1024"/>
      <c r="L100" s="903"/>
      <c r="N100" s="1092">
        <v>0</v>
      </c>
      <c r="O100" s="930">
        <f t="shared" si="7"/>
        <v>267</v>
      </c>
    </row>
    <row r="101" spans="1:15" x14ac:dyDescent="0.35">
      <c r="A101" s="1538" t="s">
        <v>227</v>
      </c>
      <c r="B101" s="1539"/>
      <c r="C101" s="1540"/>
      <c r="D101" s="957"/>
      <c r="E101" s="957"/>
      <c r="F101" s="957"/>
      <c r="G101" s="1041">
        <f>SUM(G95:G100)</f>
        <v>-6666</v>
      </c>
      <c r="H101" s="926">
        <f>G101+'21'!H101</f>
        <v>-1791</v>
      </c>
      <c r="I101" s="1042"/>
      <c r="J101" s="928">
        <f>H101/DAY(B2)</f>
        <v>-81.409090909090907</v>
      </c>
      <c r="K101" s="1024"/>
      <c r="L101" s="903"/>
      <c r="N101" s="1092">
        <v>87</v>
      </c>
      <c r="O101" s="930">
        <f t="shared" si="7"/>
        <v>6753</v>
      </c>
    </row>
    <row r="102" spans="1:15" s="975" customFormat="1" x14ac:dyDescent="0.25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 x14ac:dyDescent="0.35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 x14ac:dyDescent="0.35">
      <c r="A104" s="1548" t="s">
        <v>230</v>
      </c>
      <c r="B104" s="1549"/>
      <c r="C104" s="1057"/>
      <c r="D104" s="1053" t="s">
        <v>155</v>
      </c>
      <c r="E104" s="1054">
        <f>'21'!F104</f>
        <v>7097</v>
      </c>
      <c r="F104" s="1054">
        <v>7010</v>
      </c>
      <c r="G104" s="1054">
        <f>F104-E104</f>
        <v>-87</v>
      </c>
      <c r="H104" s="1055">
        <f>SUM(G104+'1'!G76)</f>
        <v>-13</v>
      </c>
      <c r="I104" s="1054"/>
      <c r="J104" s="1056">
        <f>H104/DAY(B2)</f>
        <v>-0.59090909090909094</v>
      </c>
      <c r="N104" s="1093">
        <v>0</v>
      </c>
      <c r="O104" s="930">
        <f t="shared" si="7"/>
        <v>87</v>
      </c>
    </row>
    <row r="105" spans="1:15" s="975" customFormat="1" x14ac:dyDescent="0.35">
      <c r="A105" s="1548" t="s">
        <v>77</v>
      </c>
      <c r="B105" s="1549"/>
      <c r="C105" s="1057"/>
      <c r="D105" s="1053" t="s">
        <v>155</v>
      </c>
      <c r="E105" s="1054">
        <f>'21'!F105</f>
        <v>35341</v>
      </c>
      <c r="F105" s="1058">
        <v>35091</v>
      </c>
      <c r="G105" s="1054">
        <f t="shared" ref="G105:G106" si="15">F105-E105</f>
        <v>-250</v>
      </c>
      <c r="H105" s="1055">
        <f>SUM(G105+'1'!G77)</f>
        <v>-202</v>
      </c>
      <c r="I105" s="1054"/>
      <c r="J105" s="1056">
        <f>H105/DAY(B2)</f>
        <v>-9.1818181818181817</v>
      </c>
      <c r="N105" s="1093">
        <v>12</v>
      </c>
      <c r="O105" s="930">
        <f t="shared" si="7"/>
        <v>262</v>
      </c>
    </row>
    <row r="106" spans="1:15" s="975" customFormat="1" x14ac:dyDescent="0.35">
      <c r="A106" s="1548" t="s">
        <v>78</v>
      </c>
      <c r="B106" s="1550"/>
      <c r="C106" s="1549"/>
      <c r="D106" s="1053" t="s">
        <v>155</v>
      </c>
      <c r="E106" s="1054">
        <f>'21'!F106</f>
        <v>19209</v>
      </c>
      <c r="F106" s="1054">
        <v>19036</v>
      </c>
      <c r="G106" s="1054">
        <f t="shared" si="15"/>
        <v>-173</v>
      </c>
      <c r="H106" s="1055">
        <f>SUM(G106+'1'!G78)</f>
        <v>161</v>
      </c>
      <c r="I106" s="1054"/>
      <c r="J106" s="1056">
        <f>H106/DAY(B2)</f>
        <v>7.3181818181818183</v>
      </c>
      <c r="N106" s="1093">
        <v>4</v>
      </c>
      <c r="O106" s="930">
        <f t="shared" si="7"/>
        <v>177</v>
      </c>
    </row>
    <row r="107" spans="1:15" s="975" customFormat="1" x14ac:dyDescent="0.35">
      <c r="A107" s="1551" t="s">
        <v>213</v>
      </c>
      <c r="B107" s="1552"/>
      <c r="C107" s="1057"/>
      <c r="D107" s="1053"/>
      <c r="E107" s="1054">
        <f>'21'!F107</f>
        <v>0</v>
      </c>
      <c r="F107" s="1054"/>
      <c r="G107" s="1054">
        <f>SUM(G104:G106)</f>
        <v>-510</v>
      </c>
      <c r="H107" s="1055">
        <f>SUM(G107+'1'!G79)</f>
        <v>-305</v>
      </c>
      <c r="I107" s="1054"/>
      <c r="J107" s="1056">
        <f>H107/DAY(B2)</f>
        <v>-13.863636363636363</v>
      </c>
      <c r="N107" s="1093">
        <v>16</v>
      </c>
      <c r="O107" s="930">
        <f t="shared" si="7"/>
        <v>526</v>
      </c>
    </row>
    <row r="108" spans="1:15" s="975" customFormat="1" x14ac:dyDescent="0.35">
      <c r="A108" s="1553" t="s">
        <v>79</v>
      </c>
      <c r="B108" s="1554"/>
      <c r="C108" s="1057"/>
      <c r="D108" s="1053" t="s">
        <v>155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 x14ac:dyDescent="0.35">
      <c r="A109" s="1548" t="s">
        <v>231</v>
      </c>
      <c r="B109" s="1549"/>
      <c r="C109" s="1057"/>
      <c r="D109" s="1053" t="s">
        <v>155</v>
      </c>
      <c r="E109" s="1054">
        <f>'21'!F109</f>
        <v>55907</v>
      </c>
      <c r="F109" s="1054">
        <v>54208</v>
      </c>
      <c r="G109" s="1054">
        <f>F109-E109</f>
        <v>-1699</v>
      </c>
      <c r="H109" s="1055">
        <f>SUM(G109+'1'!G81)</f>
        <v>-1623</v>
      </c>
      <c r="I109" s="1054"/>
      <c r="J109" s="1056">
        <f>H109/DAY(B2)</f>
        <v>-73.772727272727266</v>
      </c>
      <c r="N109" s="1093">
        <v>39</v>
      </c>
      <c r="O109" s="930">
        <f t="shared" si="7"/>
        <v>1738</v>
      </c>
    </row>
    <row r="110" spans="1:15" s="975" customFormat="1" x14ac:dyDescent="0.35">
      <c r="A110" s="1548" t="s">
        <v>232</v>
      </c>
      <c r="B110" s="1549"/>
      <c r="C110" s="1057"/>
      <c r="D110" s="1053" t="s">
        <v>155</v>
      </c>
      <c r="E110" s="1054">
        <f>'21'!F110</f>
        <v>29912</v>
      </c>
      <c r="F110" s="1054">
        <v>28045</v>
      </c>
      <c r="G110" s="1054">
        <f t="shared" ref="G110:G111" si="16">F110-E110</f>
        <v>-1867</v>
      </c>
      <c r="H110" s="1055">
        <f>SUM(G110+'1'!G82)</f>
        <v>-1822</v>
      </c>
      <c r="I110" s="1054"/>
      <c r="J110" s="1056">
        <f>H110/DAY(B2)</f>
        <v>-82.818181818181813</v>
      </c>
      <c r="N110" s="1093">
        <v>8</v>
      </c>
      <c r="O110" s="930">
        <f t="shared" si="7"/>
        <v>1875</v>
      </c>
    </row>
    <row r="111" spans="1:15" s="975" customFormat="1" x14ac:dyDescent="0.35">
      <c r="A111" s="1548" t="s">
        <v>233</v>
      </c>
      <c r="B111" s="1549"/>
      <c r="C111" s="1057"/>
      <c r="D111" s="1053" t="s">
        <v>155</v>
      </c>
      <c r="E111" s="1054">
        <f>'21'!F111</f>
        <v>3938</v>
      </c>
      <c r="F111" s="1054">
        <v>3694</v>
      </c>
      <c r="G111" s="1054">
        <f t="shared" si="16"/>
        <v>-244</v>
      </c>
      <c r="H111" s="1055">
        <f>SUM(G111+'1'!G83)</f>
        <v>189</v>
      </c>
      <c r="I111" s="1054"/>
      <c r="J111" s="1056">
        <f>H111/DAY(B2)</f>
        <v>8.5909090909090917</v>
      </c>
      <c r="N111" s="1093">
        <v>0</v>
      </c>
      <c r="O111" s="930">
        <f t="shared" si="7"/>
        <v>244</v>
      </c>
    </row>
    <row r="112" spans="1:15" s="975" customFormat="1" x14ac:dyDescent="0.35">
      <c r="A112" s="1558" t="s">
        <v>121</v>
      </c>
      <c r="B112" s="1559"/>
      <c r="C112" s="1057"/>
      <c r="D112" s="1053"/>
      <c r="E112" s="1054">
        <f>'21'!F112</f>
        <v>0</v>
      </c>
      <c r="F112" s="1054"/>
      <c r="G112" s="1054">
        <f>SUM(G109:G111)</f>
        <v>-3810</v>
      </c>
      <c r="H112" s="1055">
        <f>SUM(G112+'1'!G84)</f>
        <v>-3289</v>
      </c>
      <c r="I112" s="1054"/>
      <c r="J112" s="1056">
        <f>H112/DAY(B2)</f>
        <v>-149.5</v>
      </c>
      <c r="N112" s="1093">
        <v>47</v>
      </c>
      <c r="O112" s="930">
        <f t="shared" si="7"/>
        <v>3857</v>
      </c>
    </row>
    <row r="113" spans="1:15" s="975" customFormat="1" x14ac:dyDescent="0.35">
      <c r="A113" s="1553" t="s">
        <v>234</v>
      </c>
      <c r="B113" s="1554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 x14ac:dyDescent="0.35">
      <c r="A114" s="1548" t="s">
        <v>235</v>
      </c>
      <c r="B114" s="1549"/>
      <c r="C114" s="1059"/>
      <c r="D114" s="1053" t="s">
        <v>155</v>
      </c>
      <c r="E114" s="1054">
        <f>'21'!F114</f>
        <v>10168</v>
      </c>
      <c r="F114" s="1058">
        <v>9602</v>
      </c>
      <c r="G114" s="1058">
        <f>F114-E114</f>
        <v>-566</v>
      </c>
      <c r="H114" s="1055">
        <f>SUM(G114+'1'!G91)</f>
        <v>-566</v>
      </c>
      <c r="I114" s="1054"/>
      <c r="J114" s="1056">
        <f>H114/DAY(B2)</f>
        <v>-25.727272727272727</v>
      </c>
      <c r="N114" s="1093">
        <v>3</v>
      </c>
      <c r="O114" s="930">
        <f t="shared" si="7"/>
        <v>569</v>
      </c>
    </row>
    <row r="115" spans="1:15" s="975" customFormat="1" x14ac:dyDescent="0.35">
      <c r="A115" s="1548" t="s">
        <v>236</v>
      </c>
      <c r="B115" s="1549"/>
      <c r="C115" s="1059"/>
      <c r="D115" s="1053" t="s">
        <v>155</v>
      </c>
      <c r="E115" s="1054">
        <f>'21'!F115</f>
        <v>7585</v>
      </c>
      <c r="F115" s="1058">
        <v>7362</v>
      </c>
      <c r="G115" s="1058">
        <f t="shared" ref="G115:G116" si="17">F115-E115</f>
        <v>-223</v>
      </c>
      <c r="H115" s="1055">
        <f>SUM(G115+'1'!G92)</f>
        <v>-136</v>
      </c>
      <c r="I115" s="1054"/>
      <c r="J115" s="1056">
        <f>H115/DAY(B2)</f>
        <v>-6.1818181818181817</v>
      </c>
      <c r="N115" s="1093">
        <v>4</v>
      </c>
      <c r="O115" s="930">
        <f t="shared" si="7"/>
        <v>227</v>
      </c>
    </row>
    <row r="116" spans="1:15" s="975" customFormat="1" x14ac:dyDescent="0.35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7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 x14ac:dyDescent="0.35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-789</v>
      </c>
      <c r="H117" s="1055">
        <f>SUM(G117+'1'!G95)</f>
        <v>-717</v>
      </c>
      <c r="I117" s="1058"/>
      <c r="J117" s="1056">
        <f>H117/DAY(B2)</f>
        <v>-32.590909090909093</v>
      </c>
      <c r="N117" s="1098">
        <v>7</v>
      </c>
      <c r="O117" s="930">
        <f t="shared" si="7"/>
        <v>796</v>
      </c>
    </row>
    <row r="118" spans="1:15" s="851" customFormat="1" x14ac:dyDescent="0.35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-4655</v>
      </c>
      <c r="G118" s="1065">
        <f>SUM(G19+G92)</f>
        <v>-4655</v>
      </c>
      <c r="H118" s="1055">
        <f>SUM(G118+'1'!G96)</f>
        <v>-4632</v>
      </c>
      <c r="I118" s="1064"/>
      <c r="J118" s="1066">
        <f>H118/DAY(B2)</f>
        <v>-210.54545454545453</v>
      </c>
      <c r="N118" s="1099">
        <v>82</v>
      </c>
      <c r="O118" s="930">
        <f t="shared" si="7"/>
        <v>4737</v>
      </c>
    </row>
    <row r="119" spans="1:15" s="851" customFormat="1" x14ac:dyDescent="0.35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-4694</v>
      </c>
      <c r="G119" s="1065">
        <f>SUM(G95,G96,G97,G99,G100)</f>
        <v>-4694</v>
      </c>
      <c r="H119" s="1055">
        <f>SUM(G119+'1'!G98)</f>
        <v>-4611</v>
      </c>
      <c r="I119" s="1064"/>
      <c r="J119" s="1066">
        <f>H119/DAY(B2)</f>
        <v>-209.59090909090909</v>
      </c>
      <c r="N119" s="1099">
        <v>71</v>
      </c>
      <c r="O119" s="930">
        <f t="shared" si="7"/>
        <v>4765</v>
      </c>
    </row>
    <row r="120" spans="1:15" s="851" customFormat="1" x14ac:dyDescent="0.35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-3810</v>
      </c>
      <c r="G120" s="1058">
        <f>SUM(G112)</f>
        <v>-3810</v>
      </c>
      <c r="H120" s="1055">
        <f>SUM(G120+'1'!G100)</f>
        <v>-3804</v>
      </c>
      <c r="I120" s="1064"/>
      <c r="J120" s="1066">
        <f>H120/DAY(B2)</f>
        <v>-172.90909090909091</v>
      </c>
      <c r="N120" s="1099">
        <v>47</v>
      </c>
      <c r="O120" s="930">
        <f t="shared" si="7"/>
        <v>3857</v>
      </c>
    </row>
    <row r="121" spans="1:15" s="975" customFormat="1" x14ac:dyDescent="0.35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 x14ac:dyDescent="0.3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 x14ac:dyDescent="0.35">
      <c r="A123" s="952" t="s">
        <v>242</v>
      </c>
      <c r="B123" s="953"/>
      <c r="C123" s="953"/>
      <c r="D123" s="923" t="s">
        <v>152</v>
      </c>
      <c r="E123" s="924">
        <f>'21'!F123</f>
        <v>809201</v>
      </c>
      <c r="F123" s="942">
        <v>800972.08</v>
      </c>
      <c r="G123" s="925">
        <f t="shared" ref="G123:G127" si="18">F123-E123</f>
        <v>-8228.9200000000419</v>
      </c>
      <c r="H123" s="926">
        <f>G123+'21'!H123</f>
        <v>-2363.3200000000652</v>
      </c>
      <c r="I123" s="1042"/>
      <c r="J123" s="928">
        <f>H123/DAY(B2)</f>
        <v>-107.42363636363933</v>
      </c>
      <c r="K123" s="1024"/>
      <c r="L123" s="903"/>
      <c r="N123" s="1092">
        <v>100.59000000008382</v>
      </c>
      <c r="O123" s="930">
        <f t="shared" si="7"/>
        <v>8329.5100000001257</v>
      </c>
    </row>
    <row r="124" spans="1:15" x14ac:dyDescent="0.35">
      <c r="A124" s="952" t="s">
        <v>243</v>
      </c>
      <c r="B124" s="953"/>
      <c r="C124" s="953"/>
      <c r="D124" s="923" t="s">
        <v>152</v>
      </c>
      <c r="E124" s="924">
        <f>'21'!F124</f>
        <v>73583</v>
      </c>
      <c r="F124" s="958">
        <v>73582.3</v>
      </c>
      <c r="G124" s="925">
        <f t="shared" si="18"/>
        <v>-0.69999999999708962</v>
      </c>
      <c r="H124" s="926">
        <f>G124+'21'!H124</f>
        <v>0.30000000000291038</v>
      </c>
      <c r="I124" s="1042"/>
      <c r="J124" s="928">
        <f>H124/DAY(B2)</f>
        <v>1.3636363636495926E-2</v>
      </c>
      <c r="K124" s="1024"/>
      <c r="L124" s="903"/>
      <c r="N124" s="1092">
        <v>0</v>
      </c>
      <c r="O124" s="930">
        <f t="shared" si="7"/>
        <v>0.69999999999708962</v>
      </c>
    </row>
    <row r="125" spans="1:15" x14ac:dyDescent="0.35">
      <c r="A125" s="1509" t="s">
        <v>244</v>
      </c>
      <c r="B125" s="1510"/>
      <c r="C125" s="1511"/>
      <c r="D125" s="923" t="s">
        <v>152</v>
      </c>
      <c r="E125" s="924">
        <f>'21'!F125</f>
        <v>139482</v>
      </c>
      <c r="F125" s="942">
        <v>137241.04999999999</v>
      </c>
      <c r="G125" s="925">
        <f t="shared" si="18"/>
        <v>-2240.9500000000116</v>
      </c>
      <c r="H125" s="926">
        <f>G125+'21'!H125</f>
        <v>-606.95000000001164</v>
      </c>
      <c r="I125" s="1042"/>
      <c r="J125" s="928">
        <f>H125/DAY(B2)</f>
        <v>-27.588636363636894</v>
      </c>
      <c r="K125" s="1024"/>
      <c r="L125" s="903"/>
      <c r="N125" s="1092">
        <v>62</v>
      </c>
      <c r="O125" s="930">
        <f t="shared" si="7"/>
        <v>2302.9500000000116</v>
      </c>
    </row>
    <row r="126" spans="1:15" x14ac:dyDescent="0.35">
      <c r="A126" s="1071" t="s">
        <v>245</v>
      </c>
      <c r="B126" s="953"/>
      <c r="C126" s="953"/>
      <c r="D126" s="923" t="s">
        <v>152</v>
      </c>
      <c r="E126" s="924">
        <f>'21'!F126</f>
        <v>59139</v>
      </c>
      <c r="F126" s="958">
        <v>58105</v>
      </c>
      <c r="G126" s="925">
        <f t="shared" si="18"/>
        <v>-1034</v>
      </c>
      <c r="H126" s="926">
        <f>G126+'21'!H126</f>
        <v>-286.69999999999709</v>
      </c>
      <c r="I126" s="1042"/>
      <c r="J126" s="928">
        <f>H126/DAY(B2)</f>
        <v>-13.03181818181805</v>
      </c>
      <c r="K126" s="1024"/>
      <c r="L126" s="903"/>
      <c r="N126" s="1092">
        <v>0</v>
      </c>
      <c r="O126" s="930">
        <f t="shared" si="7"/>
        <v>1034</v>
      </c>
    </row>
    <row r="127" spans="1:15" x14ac:dyDescent="0.35">
      <c r="A127" s="1071" t="s">
        <v>246</v>
      </c>
      <c r="B127" s="953"/>
      <c r="C127" s="953"/>
      <c r="D127" s="923" t="s">
        <v>152</v>
      </c>
      <c r="E127" s="924">
        <f>'21'!F127</f>
        <v>8876</v>
      </c>
      <c r="F127" s="958">
        <v>8785</v>
      </c>
      <c r="G127" s="925">
        <f t="shared" si="18"/>
        <v>-91</v>
      </c>
      <c r="H127" s="926">
        <f>G127+'21'!H127</f>
        <v>-31</v>
      </c>
      <c r="I127" s="945"/>
      <c r="J127" s="928">
        <f>H127/DAY(B2)</f>
        <v>-1.4090909090909092</v>
      </c>
      <c r="K127" s="1024"/>
      <c r="L127" s="903"/>
      <c r="N127" s="1092">
        <v>0</v>
      </c>
      <c r="O127" s="930">
        <f t="shared" si="7"/>
        <v>91</v>
      </c>
    </row>
    <row r="128" spans="1:15" x14ac:dyDescent="0.3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-14538.490000000005</v>
      </c>
      <c r="H128" s="926">
        <f>G128+'21'!H128</f>
        <v>-11118.980000000152</v>
      </c>
      <c r="I128" s="945"/>
      <c r="J128" s="928">
        <f>H128/DAY(B2)</f>
        <v>-505.40818181818872</v>
      </c>
      <c r="K128" s="1024"/>
      <c r="L128" s="903"/>
      <c r="N128" s="1092">
        <v>336.61999999987893</v>
      </c>
      <c r="O128" s="930">
        <f t="shared" si="7"/>
        <v>14875.109999999884</v>
      </c>
    </row>
    <row r="129" spans="1:15" x14ac:dyDescent="0.3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 x14ac:dyDescent="0.35">
      <c r="A130" s="952" t="s">
        <v>249</v>
      </c>
      <c r="B130" s="953"/>
      <c r="C130" s="953"/>
      <c r="D130" s="923" t="s">
        <v>250</v>
      </c>
      <c r="E130" s="924">
        <f>'21'!F130</f>
        <v>0</v>
      </c>
      <c r="F130" s="954">
        <v>0</v>
      </c>
      <c r="G130" s="925">
        <f t="shared" ref="G130:G140" si="19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 x14ac:dyDescent="0.35">
      <c r="A131" s="952" t="s">
        <v>251</v>
      </c>
      <c r="B131" s="953"/>
      <c r="C131" s="953"/>
      <c r="D131" s="923" t="s">
        <v>250</v>
      </c>
      <c r="E131" s="924">
        <f>'21'!F131</f>
        <v>0</v>
      </c>
      <c r="F131" s="954">
        <v>0</v>
      </c>
      <c r="G131" s="925">
        <f t="shared" si="19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 x14ac:dyDescent="0.35">
      <c r="A132" s="952" t="s">
        <v>252</v>
      </c>
      <c r="B132" s="953"/>
      <c r="C132" s="953"/>
      <c r="D132" s="923" t="s">
        <v>250</v>
      </c>
      <c r="E132" s="924">
        <f>'21'!F132</f>
        <v>38829.480000000003</v>
      </c>
      <c r="F132" s="1075">
        <v>38889.06</v>
      </c>
      <c r="G132" s="925">
        <f t="shared" si="19"/>
        <v>59.57999999999447</v>
      </c>
      <c r="H132" s="926">
        <f>G132+'21'!H132</f>
        <v>170.66999999999098</v>
      </c>
      <c r="I132" s="945"/>
      <c r="J132" s="928">
        <f>H132/DAY(B2)</f>
        <v>7.7577272727268625</v>
      </c>
      <c r="N132" s="1092">
        <v>0</v>
      </c>
      <c r="O132" s="930">
        <f t="shared" si="7"/>
        <v>-59.57999999999447</v>
      </c>
    </row>
    <row r="133" spans="1:15" x14ac:dyDescent="0.35">
      <c r="A133" s="952" t="s">
        <v>253</v>
      </c>
      <c r="B133" s="953"/>
      <c r="C133" s="953"/>
      <c r="D133" s="923" t="s">
        <v>250</v>
      </c>
      <c r="E133" s="924">
        <f>'21'!F133</f>
        <v>299.52</v>
      </c>
      <c r="F133" s="1075">
        <v>299.02</v>
      </c>
      <c r="G133" s="925">
        <f t="shared" si="19"/>
        <v>-0.5</v>
      </c>
      <c r="H133" s="926">
        <f>G133+'21'!H133</f>
        <v>1.999999999998181E-2</v>
      </c>
      <c r="I133" s="945">
        <f>G130+G131+G132+G133</f>
        <v>59.07999999999447</v>
      </c>
      <c r="J133" s="928">
        <f>H133/DAY(B2)</f>
        <v>9.0909090909008228E-4</v>
      </c>
      <c r="N133" s="1092">
        <v>24.040000000000873</v>
      </c>
      <c r="O133" s="930">
        <f t="shared" si="7"/>
        <v>24.540000000000873</v>
      </c>
    </row>
    <row r="134" spans="1:15" x14ac:dyDescent="0.35">
      <c r="A134" s="952" t="s">
        <v>254</v>
      </c>
      <c r="B134" s="953"/>
      <c r="C134" s="953"/>
      <c r="D134" s="923" t="s">
        <v>250</v>
      </c>
      <c r="E134" s="924">
        <f>'21'!F134</f>
        <v>40260.519999999997</v>
      </c>
      <c r="F134" s="1075">
        <v>39951.050000000003</v>
      </c>
      <c r="G134" s="925">
        <f t="shared" si="19"/>
        <v>-309.46999999999389</v>
      </c>
      <c r="H134" s="926">
        <f>G134+'21'!H134</f>
        <v>5.0000000002910383E-2</v>
      </c>
      <c r="I134" s="945"/>
      <c r="J134" s="928">
        <f>H134/DAY(B2)</f>
        <v>2.2727272728595631E-3</v>
      </c>
      <c r="N134" s="1092">
        <v>0</v>
      </c>
      <c r="O134" s="930">
        <f t="shared" si="7"/>
        <v>309.46999999999389</v>
      </c>
    </row>
    <row r="135" spans="1:15" x14ac:dyDescent="0.35">
      <c r="A135" s="952" t="s">
        <v>255</v>
      </c>
      <c r="B135" s="953"/>
      <c r="C135" s="953"/>
      <c r="D135" s="923" t="s">
        <v>250</v>
      </c>
      <c r="E135" s="924">
        <f>'21'!F135</f>
        <v>32506</v>
      </c>
      <c r="F135" s="1075">
        <v>32423</v>
      </c>
      <c r="G135" s="925">
        <f t="shared" si="19"/>
        <v>-83</v>
      </c>
      <c r="H135" s="926">
        <f>G135+'21'!H135</f>
        <v>0</v>
      </c>
      <c r="I135" s="945"/>
      <c r="J135" s="928">
        <f>H135/DAY(B2)</f>
        <v>0</v>
      </c>
      <c r="N135" s="1092">
        <v>0</v>
      </c>
      <c r="O135" s="930">
        <f t="shared" si="7"/>
        <v>83</v>
      </c>
    </row>
    <row r="136" spans="1:15" x14ac:dyDescent="0.35">
      <c r="A136" s="952" t="s">
        <v>256</v>
      </c>
      <c r="B136" s="953"/>
      <c r="C136" s="953"/>
      <c r="D136" s="923" t="s">
        <v>250</v>
      </c>
      <c r="E136" s="924">
        <f>'21'!F136</f>
        <v>22163</v>
      </c>
      <c r="F136" s="1075">
        <v>21935.87</v>
      </c>
      <c r="G136" s="925">
        <f t="shared" si="19"/>
        <v>-227.13000000000102</v>
      </c>
      <c r="H136" s="926">
        <f>G136+'21'!H136</f>
        <v>-66.090000000000146</v>
      </c>
      <c r="I136" s="945">
        <f>G134+G135+G136</f>
        <v>-619.59999999999491</v>
      </c>
      <c r="J136" s="928">
        <f>H136/DAY(B2)</f>
        <v>-3.0040909090909156</v>
      </c>
      <c r="N136" s="1092">
        <v>0</v>
      </c>
      <c r="O136" s="930">
        <f t="shared" ref="O136:O154" si="20">N136-G136</f>
        <v>227.13000000000102</v>
      </c>
    </row>
    <row r="137" spans="1:15" x14ac:dyDescent="0.35">
      <c r="A137" s="952" t="s">
        <v>257</v>
      </c>
      <c r="B137" s="953"/>
      <c r="C137" s="953"/>
      <c r="D137" s="923" t="s">
        <v>250</v>
      </c>
      <c r="E137" s="924">
        <f>'21'!F137</f>
        <v>25036.560000000001</v>
      </c>
      <c r="F137" s="1075">
        <v>25019.94</v>
      </c>
      <c r="G137" s="925">
        <f t="shared" si="19"/>
        <v>-16.620000000002619</v>
      </c>
      <c r="H137" s="926">
        <f>G137+'21'!H137</f>
        <v>0</v>
      </c>
      <c r="I137" s="945"/>
      <c r="J137" s="928">
        <f>H137/DAY(B2)</f>
        <v>0</v>
      </c>
      <c r="N137" s="1092">
        <v>7.2299999999995634</v>
      </c>
      <c r="O137" s="930">
        <f t="shared" si="20"/>
        <v>23.850000000002183</v>
      </c>
    </row>
    <row r="138" spans="1:15" x14ac:dyDescent="0.35">
      <c r="A138" s="952" t="s">
        <v>258</v>
      </c>
      <c r="B138" s="953"/>
      <c r="C138" s="953"/>
      <c r="D138" s="923" t="s">
        <v>250</v>
      </c>
      <c r="E138" s="924">
        <f>'21'!F138</f>
        <v>70120.179999999993</v>
      </c>
      <c r="F138" s="1075">
        <v>70057.8</v>
      </c>
      <c r="G138" s="925">
        <f t="shared" si="19"/>
        <v>-62.379999999990105</v>
      </c>
      <c r="H138" s="926">
        <f>G138+'21'!H138</f>
        <v>-6.0899999999965075</v>
      </c>
      <c r="I138" s="945">
        <f>G137+G138</f>
        <v>-78.999999999992724</v>
      </c>
      <c r="J138" s="928">
        <f>H138/DAY(B2)</f>
        <v>-0.27681818181802309</v>
      </c>
      <c r="N138" s="1092">
        <v>0</v>
      </c>
      <c r="O138" s="930">
        <f t="shared" si="20"/>
        <v>62.379999999990105</v>
      </c>
    </row>
    <row r="139" spans="1:15" x14ac:dyDescent="0.35">
      <c r="A139" s="952" t="s">
        <v>259</v>
      </c>
      <c r="B139" s="953"/>
      <c r="C139" s="953"/>
      <c r="D139" s="923" t="s">
        <v>250</v>
      </c>
      <c r="E139" s="924">
        <f>'21'!F139</f>
        <v>1370.98</v>
      </c>
      <c r="F139" s="954">
        <v>1131.52</v>
      </c>
      <c r="G139" s="925">
        <f t="shared" si="19"/>
        <v>-239.46000000000004</v>
      </c>
      <c r="H139" s="926">
        <f>G139+'21'!H139</f>
        <v>-69.069999999999936</v>
      </c>
      <c r="I139" s="1076"/>
      <c r="J139" s="928">
        <f>H139/DAY(B2)</f>
        <v>-3.1395454545454515</v>
      </c>
      <c r="N139" s="1092">
        <v>0</v>
      </c>
      <c r="O139" s="930">
        <f t="shared" si="20"/>
        <v>239.46000000000004</v>
      </c>
    </row>
    <row r="140" spans="1:15" x14ac:dyDescent="0.35">
      <c r="A140" s="952" t="s">
        <v>260</v>
      </c>
      <c r="B140" s="953"/>
      <c r="C140" s="953"/>
      <c r="D140" s="923" t="s">
        <v>250</v>
      </c>
      <c r="E140" s="924">
        <f>'21'!F140</f>
        <v>4333.53</v>
      </c>
      <c r="F140" s="954">
        <v>4333.53</v>
      </c>
      <c r="G140" s="925">
        <f t="shared" si="19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20"/>
        <v>3.3299999999999272</v>
      </c>
    </row>
    <row r="141" spans="1:15" x14ac:dyDescent="0.3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20"/>
        <v>0</v>
      </c>
    </row>
    <row r="142" spans="1:15" x14ac:dyDescent="0.3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-155416.21999999997</v>
      </c>
      <c r="H142" s="926">
        <f>G142+'21'!H142</f>
        <v>-50572.289999999979</v>
      </c>
      <c r="I142" s="945"/>
      <c r="J142" s="928">
        <f>H142/DAY(B2)</f>
        <v>-2298.7404545454538</v>
      </c>
      <c r="K142" s="1024"/>
      <c r="L142" s="903"/>
      <c r="N142" s="1092">
        <v>3116.0800000000163</v>
      </c>
      <c r="O142" s="930">
        <f t="shared" si="20"/>
        <v>158532.29999999999</v>
      </c>
    </row>
    <row r="143" spans="1:15" x14ac:dyDescent="0.3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0.2676309214049673</v>
      </c>
      <c r="H143" s="926">
        <f>G143+'21'!H143</f>
        <v>5.4745563334264649</v>
      </c>
      <c r="I143" s="1078"/>
      <c r="J143" s="928">
        <f>H143/DAY(B2)</f>
        <v>0.24884346970120294</v>
      </c>
      <c r="K143" s="1024"/>
      <c r="L143" s="903"/>
      <c r="N143" s="1092">
        <v>0.24942607860401955</v>
      </c>
      <c r="O143" s="930">
        <f t="shared" si="20"/>
        <v>-1.8204842800947751E-2</v>
      </c>
    </row>
    <row r="144" spans="1:15" x14ac:dyDescent="0.3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-123700.16</v>
      </c>
      <c r="H144" s="926">
        <f>G144+'21'!H144</f>
        <v>-34168.170000000042</v>
      </c>
      <c r="I144" s="945"/>
      <c r="J144" s="928">
        <f>H144/DAY(B2)</f>
        <v>-1553.0986363636382</v>
      </c>
      <c r="K144" s="1024"/>
      <c r="L144" s="903"/>
      <c r="N144" s="1092">
        <v>3271.0800000000127</v>
      </c>
      <c r="O144" s="930">
        <f t="shared" si="20"/>
        <v>126971.24000000002</v>
      </c>
    </row>
    <row r="145" spans="1:15" x14ac:dyDescent="0.3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0.21301501090904082</v>
      </c>
      <c r="H145" s="926">
        <f>G145+'21'!H145</f>
        <v>4.7988393612459861</v>
      </c>
      <c r="I145" s="1078"/>
      <c r="J145" s="928">
        <f>H145/DAY(B2)</f>
        <v>0.21812906187481754</v>
      </c>
      <c r="K145" s="1024"/>
      <c r="L145" s="903"/>
      <c r="N145" s="1092">
        <v>0.26183302649483814</v>
      </c>
      <c r="O145" s="930">
        <f t="shared" si="20"/>
        <v>4.881801558579732E-2</v>
      </c>
    </row>
    <row r="146" spans="1:15" x14ac:dyDescent="0.3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785694.29</v>
      </c>
      <c r="H146" s="926">
        <f>G146+'21'!H146</f>
        <v>874731.02</v>
      </c>
      <c r="I146" s="1079"/>
      <c r="J146" s="928">
        <f>H146/DAY(B2)</f>
        <v>39760.500909090908</v>
      </c>
      <c r="K146" s="1024"/>
      <c r="L146" s="903"/>
      <c r="N146" s="1092">
        <v>2151.6400000000085</v>
      </c>
      <c r="O146" s="930">
        <f t="shared" si="20"/>
        <v>-783542.65</v>
      </c>
    </row>
    <row r="147" spans="1:15" x14ac:dyDescent="0.3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-1.35298675244657</v>
      </c>
      <c r="H147" s="926">
        <f>G147+'21'!H147</f>
        <v>3.2364207553483992</v>
      </c>
      <c r="I147" s="1079"/>
      <c r="J147" s="928">
        <f>H147/DAY(B2)</f>
        <v>0.14711003433401815</v>
      </c>
      <c r="N147" s="1092">
        <v>0.17222764748259092</v>
      </c>
      <c r="O147" s="930">
        <f t="shared" si="20"/>
        <v>1.525214399929161</v>
      </c>
    </row>
    <row r="148" spans="1:15" x14ac:dyDescent="0.3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90472.93</v>
      </c>
      <c r="H148" s="926">
        <f>G148+'21'!H148</f>
        <v>133646.38</v>
      </c>
      <c r="I148" s="945"/>
      <c r="J148" s="928">
        <f>H148/DAY(B2)</f>
        <v>6074.8354545454549</v>
      </c>
      <c r="K148" s="1080"/>
      <c r="N148" s="1092">
        <v>1058.2600000000093</v>
      </c>
      <c r="O148" s="930">
        <f t="shared" si="20"/>
        <v>-89414.669999999984</v>
      </c>
    </row>
    <row r="149" spans="1:15" x14ac:dyDescent="0.3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-0.1557968249266847</v>
      </c>
      <c r="H149" s="926">
        <f>G149+'21'!H149</f>
        <v>2.0651053621849358</v>
      </c>
      <c r="I149" s="1079"/>
      <c r="J149" s="928">
        <f>H149/DAY(B2)</f>
        <v>9.3868425553860713E-2</v>
      </c>
      <c r="N149" s="1092">
        <v>8.4708236612503748E-2</v>
      </c>
      <c r="O149" s="930">
        <f t="shared" si="20"/>
        <v>0.24050506153918844</v>
      </c>
    </row>
    <row r="150" spans="1:15" x14ac:dyDescent="0.3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-55844.860000000044</v>
      </c>
      <c r="H150" s="926">
        <f>G150+'21'!H150</f>
        <v>-15913.620000000054</v>
      </c>
      <c r="I150" s="1079"/>
      <c r="J150" s="928">
        <f>H150/DAY(B2)</f>
        <v>-723.34636363636605</v>
      </c>
      <c r="N150" s="1092">
        <v>1278.2299999999814</v>
      </c>
      <c r="O150" s="930">
        <f t="shared" si="20"/>
        <v>57123.090000000026</v>
      </c>
    </row>
    <row r="151" spans="1:15" x14ac:dyDescent="0.3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9.6166354692781855E-2</v>
      </c>
      <c r="H151" s="926">
        <f>G151+'21'!H151</f>
        <v>2.1409063379339557</v>
      </c>
      <c r="I151" s="945"/>
      <c r="J151" s="928">
        <f>H151/DAY(B2)</f>
        <v>9.7313924451543438E-2</v>
      </c>
      <c r="N151" s="1092">
        <v>0.10231569679020103</v>
      </c>
      <c r="O151" s="930">
        <f t="shared" si="20"/>
        <v>6.149342097419172E-3</v>
      </c>
    </row>
    <row r="152" spans="1:15" x14ac:dyDescent="0.3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369999.97</v>
      </c>
      <c r="H152" s="926">
        <f>G152+'21'!H152</f>
        <v>401689.23</v>
      </c>
      <c r="I152" s="945"/>
      <c r="J152" s="928">
        <f>H152/DAY(B2)</f>
        <v>18258.601363636364</v>
      </c>
      <c r="N152" s="1092">
        <v>1215.359999999986</v>
      </c>
      <c r="O152" s="930">
        <f t="shared" si="20"/>
        <v>-368784.61</v>
      </c>
    </row>
    <row r="153" spans="1:15" ht="21" thickBot="1" x14ac:dyDescent="0.4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-0.63714992483352295</v>
      </c>
      <c r="H153" s="926">
        <f>G153+'21'!H153</f>
        <v>1.0010911121130608</v>
      </c>
      <c r="I153" s="1084"/>
      <c r="J153" s="1085">
        <f>H153/DAY(B2)</f>
        <v>4.550414145968458E-2</v>
      </c>
      <c r="N153" s="1092">
        <v>9.7283278636035059E-2</v>
      </c>
      <c r="O153" s="930">
        <f t="shared" si="20"/>
        <v>0.73443320346955798</v>
      </c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20"/>
        <v>0</v>
      </c>
    </row>
    <row r="160" spans="1:15" x14ac:dyDescent="0.35">
      <c r="A160" s="1076" t="s">
        <v>274</v>
      </c>
      <c r="B160" s="1076"/>
      <c r="C160" s="1076"/>
      <c r="D160" s="910" t="s">
        <v>198</v>
      </c>
      <c r="E160" s="924">
        <f>'21'!F160</f>
        <v>30199</v>
      </c>
      <c r="F160" s="1100">
        <v>27694.720000000001</v>
      </c>
      <c r="G160" s="925">
        <f t="shared" ref="G160:G163" si="21">F160-E160</f>
        <v>-2504.2799999999988</v>
      </c>
      <c r="H160" s="1090">
        <v>68.809999999999491</v>
      </c>
      <c r="N160" s="1092">
        <v>68.809999999999491</v>
      </c>
    </row>
    <row r="161" spans="1:14" x14ac:dyDescent="0.35">
      <c r="A161" s="1076" t="s">
        <v>275</v>
      </c>
      <c r="B161" s="1076"/>
      <c r="C161" s="1076"/>
      <c r="D161" s="910" t="s">
        <v>198</v>
      </c>
      <c r="E161" s="924">
        <f>'21'!F161</f>
        <v>51963</v>
      </c>
      <c r="F161" s="1100">
        <v>38562.980000000003</v>
      </c>
      <c r="G161" s="925">
        <f t="shared" si="21"/>
        <v>-13400.019999999997</v>
      </c>
      <c r="H161" s="1090">
        <v>128.56999999999994</v>
      </c>
      <c r="N161" s="1092">
        <v>128.56999999999994</v>
      </c>
    </row>
    <row r="162" spans="1:14" x14ac:dyDescent="0.35">
      <c r="A162" s="1076" t="s">
        <v>276</v>
      </c>
      <c r="B162" s="1076"/>
      <c r="C162" s="1076"/>
      <c r="D162" s="910" t="s">
        <v>198</v>
      </c>
      <c r="E162" s="924">
        <f>'21'!F162</f>
        <v>18691</v>
      </c>
      <c r="F162" s="1100">
        <v>10487.3</v>
      </c>
      <c r="G162" s="925">
        <f t="shared" si="21"/>
        <v>-8203.7000000000007</v>
      </c>
      <c r="H162" s="1090">
        <v>141.49</v>
      </c>
      <c r="N162" s="1092">
        <v>141.49</v>
      </c>
    </row>
    <row r="163" spans="1:14" x14ac:dyDescent="0.35">
      <c r="A163" s="1076" t="s">
        <v>277</v>
      </c>
      <c r="B163" s="1076"/>
      <c r="C163" s="1076"/>
      <c r="D163" s="910" t="s">
        <v>198</v>
      </c>
      <c r="E163" s="924">
        <f>'21'!F163</f>
        <v>5298</v>
      </c>
      <c r="F163" s="1100">
        <v>4812.28</v>
      </c>
      <c r="G163" s="925">
        <f t="shared" si="21"/>
        <v>-485.72000000000025</v>
      </c>
      <c r="H163" s="1090">
        <v>45.430000000000007</v>
      </c>
      <c r="N163" s="1092">
        <v>45.430000000000007</v>
      </c>
    </row>
    <row r="164" spans="1:14" x14ac:dyDescent="0.35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20419.2</v>
      </c>
      <c r="G164" s="925">
        <f t="shared" ref="G164:G171" si="22">F164-E164</f>
        <v>0</v>
      </c>
      <c r="H164" s="1090">
        <v>0</v>
      </c>
      <c r="N164" s="1092">
        <v>0</v>
      </c>
    </row>
    <row r="165" spans="1:14" x14ac:dyDescent="0.35">
      <c r="A165" s="1006" t="s">
        <v>199</v>
      </c>
      <c r="B165" s="1006"/>
      <c r="C165" s="1006"/>
      <c r="D165" s="910" t="s">
        <v>198</v>
      </c>
      <c r="E165" s="1007">
        <f t="shared" ref="E165:E171" si="23">E63</f>
        <v>1611</v>
      </c>
      <c r="F165" s="1007">
        <f t="shared" ref="F165:F171" si="24">F63</f>
        <v>1236.99</v>
      </c>
      <c r="G165" s="925">
        <f t="shared" si="22"/>
        <v>-374.01</v>
      </c>
      <c r="H165" s="1090">
        <v>0</v>
      </c>
      <c r="N165" s="1092">
        <v>0</v>
      </c>
    </row>
    <row r="166" spans="1:14" x14ac:dyDescent="0.35">
      <c r="A166" s="1564" t="s">
        <v>107</v>
      </c>
      <c r="B166" s="1564"/>
      <c r="C166" s="1564"/>
      <c r="D166" s="923" t="s">
        <v>198</v>
      </c>
      <c r="E166" s="1007">
        <f t="shared" si="23"/>
        <v>120038</v>
      </c>
      <c r="F166" s="1007">
        <f t="shared" si="24"/>
        <v>107473.88</v>
      </c>
      <c r="G166" s="925">
        <f t="shared" si="22"/>
        <v>-12564.119999999995</v>
      </c>
      <c r="H166" s="1090">
        <v>178.5199999999968</v>
      </c>
      <c r="N166" s="1092">
        <v>178.5199999999968</v>
      </c>
    </row>
    <row r="167" spans="1:14" x14ac:dyDescent="0.35">
      <c r="A167" s="1564" t="s">
        <v>108</v>
      </c>
      <c r="B167" s="1564"/>
      <c r="C167" s="1564"/>
      <c r="D167" s="923" t="s">
        <v>198</v>
      </c>
      <c r="E167" s="1007">
        <f t="shared" si="23"/>
        <v>129852</v>
      </c>
      <c r="F167" s="1007">
        <f t="shared" si="24"/>
        <v>118098.62</v>
      </c>
      <c r="G167" s="925">
        <f t="shared" si="22"/>
        <v>-11753.380000000005</v>
      </c>
      <c r="H167" s="1090">
        <v>198.38999999999942</v>
      </c>
      <c r="N167" s="1092">
        <v>198.38999999999942</v>
      </c>
    </row>
    <row r="168" spans="1:14" x14ac:dyDescent="0.35">
      <c r="A168" s="1564" t="s">
        <v>109</v>
      </c>
      <c r="B168" s="1564"/>
      <c r="C168" s="1564"/>
      <c r="D168" s="923" t="s">
        <v>198</v>
      </c>
      <c r="E168" s="1007">
        <f t="shared" si="23"/>
        <v>22440</v>
      </c>
      <c r="F168" s="1007">
        <f t="shared" si="24"/>
        <v>10482.780000000001</v>
      </c>
      <c r="G168" s="925">
        <f t="shared" si="22"/>
        <v>-11957.22</v>
      </c>
      <c r="H168" s="1090">
        <v>226.35000000000582</v>
      </c>
      <c r="N168" s="1092">
        <v>226.35000000000582</v>
      </c>
    </row>
    <row r="169" spans="1:14" x14ac:dyDescent="0.35">
      <c r="A169" s="1564" t="s">
        <v>110</v>
      </c>
      <c r="B169" s="1564"/>
      <c r="C169" s="1564"/>
      <c r="D169" s="923" t="s">
        <v>198</v>
      </c>
      <c r="E169" s="1007">
        <f t="shared" si="23"/>
        <v>203311</v>
      </c>
      <c r="F169" s="1007">
        <f t="shared" si="24"/>
        <v>182726</v>
      </c>
      <c r="G169" s="925">
        <f t="shared" si="22"/>
        <v>-20585</v>
      </c>
      <c r="H169" s="1090">
        <v>312.47000000000116</v>
      </c>
      <c r="N169" s="1092">
        <v>312.47000000000116</v>
      </c>
    </row>
    <row r="170" spans="1:14" x14ac:dyDescent="0.35">
      <c r="A170" s="1564" t="s">
        <v>111</v>
      </c>
      <c r="B170" s="1564"/>
      <c r="C170" s="1564"/>
      <c r="D170" s="923" t="s">
        <v>198</v>
      </c>
      <c r="E170" s="1007">
        <f t="shared" si="23"/>
        <v>71485</v>
      </c>
      <c r="F170" s="1007">
        <f t="shared" si="24"/>
        <v>60387.56</v>
      </c>
      <c r="G170" s="925">
        <f t="shared" si="22"/>
        <v>-11097.440000000002</v>
      </c>
      <c r="H170" s="1090">
        <v>142.1200000000008</v>
      </c>
      <c r="N170" s="1092">
        <v>142.1200000000008</v>
      </c>
    </row>
    <row r="171" spans="1:14" x14ac:dyDescent="0.35">
      <c r="A171" s="1564" t="s">
        <v>112</v>
      </c>
      <c r="B171" s="1564"/>
      <c r="C171" s="1564"/>
      <c r="D171" s="923" t="s">
        <v>198</v>
      </c>
      <c r="E171" s="1007">
        <f t="shared" si="23"/>
        <v>62157</v>
      </c>
      <c r="F171" s="1007">
        <f t="shared" si="24"/>
        <v>52947.14</v>
      </c>
      <c r="G171" s="925">
        <f t="shared" si="22"/>
        <v>-9209.86</v>
      </c>
      <c r="H171" s="1090">
        <v>12.869999999998981</v>
      </c>
      <c r="N171" s="1092">
        <v>12.869999999998981</v>
      </c>
    </row>
    <row r="172" spans="1:14" x14ac:dyDescent="0.35">
      <c r="G172" s="1091">
        <f>SUM(G160:G171)</f>
        <v>-102134.75</v>
      </c>
      <c r="N172" s="1092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76"/>
  <sheetViews>
    <sheetView view="pageBreakPreview" topLeftCell="A73" zoomScale="70" zoomScaleNormal="80" zoomScaleSheetLayoutView="70" workbookViewId="0">
      <selection activeCell="F28" sqref="F28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 x14ac:dyDescent="0.4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  <c r="K1" s="890">
        <v>10002.799999999999</v>
      </c>
    </row>
    <row r="2" spans="1:15" x14ac:dyDescent="0.35">
      <c r="A2" s="891" t="s">
        <v>330</v>
      </c>
      <c r="B2" s="1165">
        <v>44219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x14ac:dyDescent="0.35">
      <c r="A3" s="896"/>
      <c r="B3" s="897"/>
      <c r="C3" s="892" t="s">
        <v>131</v>
      </c>
      <c r="D3" s="898">
        <v>30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 x14ac:dyDescent="0.35">
      <c r="A4" s="904"/>
      <c r="B4" s="905"/>
      <c r="C4" s="892" t="s">
        <v>133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x14ac:dyDescent="0.3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142</v>
      </c>
      <c r="B7" s="922"/>
      <c r="C7" s="922"/>
      <c r="D7" s="923" t="s">
        <v>143</v>
      </c>
      <c r="E7" s="924">
        <f>'22'!F7</f>
        <v>3716712</v>
      </c>
      <c r="F7" s="924">
        <v>3736421</v>
      </c>
      <c r="G7" s="925">
        <f>F7-E7</f>
        <v>19709</v>
      </c>
      <c r="H7" s="926">
        <f>G7+'22'!H7</f>
        <v>-151777</v>
      </c>
      <c r="I7" s="927">
        <f>'1'!I7</f>
        <v>12000</v>
      </c>
      <c r="J7" s="928">
        <f>H7/DAY(B2)</f>
        <v>-6599</v>
      </c>
      <c r="K7" s="929"/>
      <c r="L7" s="903"/>
      <c r="O7" s="930"/>
    </row>
    <row r="8" spans="1:15" ht="21" thickBot="1" x14ac:dyDescent="0.4">
      <c r="A8" s="931" t="s">
        <v>144</v>
      </c>
      <c r="B8" s="932"/>
      <c r="C8" s="933"/>
      <c r="D8" s="934" t="s">
        <v>25</v>
      </c>
      <c r="E8" s="924">
        <f>'22'!F8</f>
        <v>3739801</v>
      </c>
      <c r="F8" s="935">
        <v>3759656</v>
      </c>
      <c r="G8" s="936">
        <f>F8-E8</f>
        <v>19855</v>
      </c>
      <c r="H8" s="926">
        <f>G8+'22'!H8</f>
        <v>-153195</v>
      </c>
      <c r="I8" s="937">
        <f>'1'!I8</f>
        <v>12000</v>
      </c>
      <c r="J8" s="928">
        <f>H8/DAY(B2)</f>
        <v>-6660.652173913043</v>
      </c>
      <c r="K8" s="929"/>
      <c r="L8" s="938"/>
      <c r="M8" s="939"/>
      <c r="O8" s="930"/>
    </row>
    <row r="9" spans="1:15" x14ac:dyDescent="0.35">
      <c r="A9" s="940" t="s">
        <v>145</v>
      </c>
      <c r="B9" s="941"/>
      <c r="C9" s="941"/>
      <c r="D9" s="923" t="s">
        <v>143</v>
      </c>
      <c r="E9" s="924">
        <f>'22'!F9</f>
        <v>2476558.7000000002</v>
      </c>
      <c r="F9" s="942">
        <v>2483664.2999999998</v>
      </c>
      <c r="G9" s="925">
        <f t="shared" ref="G9:G12" si="0">F9-E9</f>
        <v>7105.5999999996275</v>
      </c>
      <c r="H9" s="926">
        <f>G9+'22'!H9</f>
        <v>2520776.5499999998</v>
      </c>
      <c r="I9" s="943">
        <f>I8-J8</f>
        <v>18660.652173913044</v>
      </c>
      <c r="J9" s="928">
        <f>H9/DAY(B2)</f>
        <v>109598.9804347826</v>
      </c>
      <c r="K9" s="944"/>
      <c r="L9" s="903"/>
      <c r="O9" s="930"/>
    </row>
    <row r="10" spans="1:15" x14ac:dyDescent="0.35">
      <c r="A10" s="921" t="s">
        <v>146</v>
      </c>
      <c r="B10" s="922"/>
      <c r="C10" s="922"/>
      <c r="D10" s="923" t="s">
        <v>143</v>
      </c>
      <c r="E10" s="924">
        <f>'22'!F10</f>
        <v>1093781.5</v>
      </c>
      <c r="F10" s="942">
        <v>1105724.3</v>
      </c>
      <c r="G10" s="925">
        <f t="shared" si="0"/>
        <v>11942.800000000047</v>
      </c>
      <c r="H10" s="926">
        <f>G10+'22'!H10</f>
        <v>-95150.09999999986</v>
      </c>
      <c r="I10" s="945"/>
      <c r="J10" s="928">
        <f>H10/DAY(B2)</f>
        <v>-4136.9608695652114</v>
      </c>
      <c r="K10" s="944"/>
      <c r="L10" s="903"/>
      <c r="O10" s="930"/>
    </row>
    <row r="11" spans="1:15" x14ac:dyDescent="0.35">
      <c r="A11" s="921" t="s">
        <v>147</v>
      </c>
      <c r="B11" s="922"/>
      <c r="C11" s="922"/>
      <c r="D11" s="923" t="s">
        <v>143</v>
      </c>
      <c r="E11" s="924">
        <f>'22'!F11</f>
        <v>35390</v>
      </c>
      <c r="F11" s="924">
        <v>35390</v>
      </c>
      <c r="G11" s="925">
        <f t="shared" si="0"/>
        <v>0</v>
      </c>
      <c r="H11" s="926">
        <f>G11+'22'!H11</f>
        <v>0</v>
      </c>
      <c r="I11" s="945"/>
      <c r="J11" s="928">
        <f>H11/DAY(B2)</f>
        <v>0</v>
      </c>
      <c r="K11" s="944"/>
      <c r="L11" s="903"/>
      <c r="O11" s="930"/>
    </row>
    <row r="12" spans="1:15" x14ac:dyDescent="0.35">
      <c r="A12" s="921" t="s">
        <v>148</v>
      </c>
      <c r="B12" s="922"/>
      <c r="C12" s="922"/>
      <c r="D12" s="923" t="s">
        <v>143</v>
      </c>
      <c r="E12" s="924">
        <f>'22'!F12</f>
        <v>37630</v>
      </c>
      <c r="F12" s="942">
        <v>37630</v>
      </c>
      <c r="G12" s="925">
        <f t="shared" si="0"/>
        <v>0</v>
      </c>
      <c r="H12" s="926">
        <f>G12+'22'!H12</f>
        <v>0</v>
      </c>
      <c r="I12" s="945"/>
      <c r="J12" s="928">
        <f>H12/DAY(B2)</f>
        <v>0</v>
      </c>
      <c r="K12" s="944"/>
      <c r="L12" s="903"/>
      <c r="O12" s="930"/>
    </row>
    <row r="13" spans="1:15" x14ac:dyDescent="0.35">
      <c r="A13" s="946" t="s">
        <v>149</v>
      </c>
      <c r="B13" s="947"/>
      <c r="C13" s="947"/>
      <c r="D13" s="923"/>
      <c r="E13" s="924"/>
      <c r="F13" s="924"/>
      <c r="G13" s="948">
        <f>G9+G10+G11+G12</f>
        <v>19048.399999999674</v>
      </c>
      <c r="H13" s="926">
        <f>G13+'22'!H13</f>
        <v>2407320.4500000002</v>
      </c>
      <c r="I13" s="949">
        <f>G7-G13</f>
        <v>660.60000000032596</v>
      </c>
      <c r="J13" s="928">
        <f>H13/DAY(B2)</f>
        <v>104666.10652173914</v>
      </c>
      <c r="K13" s="944"/>
      <c r="L13" s="903"/>
      <c r="O13" s="930"/>
    </row>
    <row r="14" spans="1:15" x14ac:dyDescent="0.3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 x14ac:dyDescent="0.35">
      <c r="A15" s="952" t="s">
        <v>151</v>
      </c>
      <c r="B15" s="953"/>
      <c r="C15" s="953"/>
      <c r="D15" s="923" t="s">
        <v>152</v>
      </c>
      <c r="E15" s="924">
        <f>'22'!F15</f>
        <v>1587326.94</v>
      </c>
      <c r="F15" s="954">
        <v>1588261.88</v>
      </c>
      <c r="G15" s="1102">
        <f>(F15-E15)</f>
        <v>934.93999999994412</v>
      </c>
      <c r="H15" s="926">
        <f>G15+'22'!H15</f>
        <v>-6175.2700000000186</v>
      </c>
      <c r="I15" s="927">
        <f>'1'!I15</f>
        <v>800</v>
      </c>
      <c r="J15" s="928">
        <f>H15/DAY(B2)</f>
        <v>-268.4900000000008</v>
      </c>
      <c r="K15" s="944"/>
      <c r="L15" s="903"/>
      <c r="O15" s="930"/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1068.4900000000007</v>
      </c>
      <c r="J16" s="961"/>
      <c r="K16" s="944"/>
      <c r="L16" s="903"/>
      <c r="O16" s="930"/>
    </row>
    <row r="17" spans="1:15" x14ac:dyDescent="0.3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x14ac:dyDescent="0.35">
      <c r="A18" s="1512" t="s">
        <v>154</v>
      </c>
      <c r="B18" s="1513"/>
      <c r="C18" s="1514"/>
      <c r="D18" s="923" t="s">
        <v>155</v>
      </c>
      <c r="E18" s="924">
        <f>'22'!F18</f>
        <v>12</v>
      </c>
      <c r="F18" s="954">
        <v>16</v>
      </c>
      <c r="G18" s="948">
        <f>F18*10</f>
        <v>160</v>
      </c>
      <c r="H18" s="926">
        <f>G18+'22'!H18</f>
        <v>3720</v>
      </c>
      <c r="I18" s="927">
        <f>'1'!I18</f>
        <v>65</v>
      </c>
      <c r="J18" s="928">
        <f>H18/DAY(B2)</f>
        <v>161.7391304347826</v>
      </c>
      <c r="K18" s="944"/>
      <c r="L18" s="903"/>
      <c r="O18" s="930"/>
    </row>
    <row r="19" spans="1:15" x14ac:dyDescent="0.35">
      <c r="A19" s="1512" t="s">
        <v>71</v>
      </c>
      <c r="B19" s="1513"/>
      <c r="C19" s="1514"/>
      <c r="D19" s="923" t="s">
        <v>155</v>
      </c>
      <c r="E19" s="924">
        <f>'22'!F19</f>
        <v>132590</v>
      </c>
      <c r="F19" s="954">
        <v>132633</v>
      </c>
      <c r="G19" s="925">
        <f t="shared" ref="G19" si="1">F19-E19</f>
        <v>43</v>
      </c>
      <c r="H19" s="926">
        <f>G19+'22'!H19</f>
        <v>-415</v>
      </c>
      <c r="I19" s="927">
        <f>'1'!I19</f>
        <v>0</v>
      </c>
      <c r="J19" s="928">
        <f>H19/DAY(B2)</f>
        <v>-18.043478260869566</v>
      </c>
      <c r="K19" s="944"/>
      <c r="L19" s="903"/>
      <c r="N19" s="1092">
        <v>126171</v>
      </c>
      <c r="O19" s="930"/>
    </row>
    <row r="20" spans="1:15" x14ac:dyDescent="0.35">
      <c r="A20" s="946" t="s">
        <v>156</v>
      </c>
      <c r="B20" s="947"/>
      <c r="C20" s="947"/>
      <c r="D20" s="964"/>
      <c r="E20" s="964"/>
      <c r="F20" s="964"/>
      <c r="G20" s="965">
        <f>G18+G19</f>
        <v>203</v>
      </c>
      <c r="H20" s="926">
        <f>G20+'22'!H20</f>
        <v>3305</v>
      </c>
      <c r="I20" s="966">
        <f>I18-J20</f>
        <v>-78.695652173913032</v>
      </c>
      <c r="J20" s="928">
        <f>H20/DAY(B2)</f>
        <v>143.69565217391303</v>
      </c>
      <c r="K20" s="944"/>
      <c r="L20" s="903"/>
      <c r="N20" s="1092">
        <f>N19-F19</f>
        <v>-6462</v>
      </c>
      <c r="O20" s="930"/>
    </row>
    <row r="21" spans="1:15" x14ac:dyDescent="0.3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 x14ac:dyDescent="0.35">
      <c r="A22" s="952" t="s">
        <v>158</v>
      </c>
      <c r="B22" s="953"/>
      <c r="C22" s="953"/>
      <c r="D22" s="923" t="s">
        <v>159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 x14ac:dyDescent="0.35">
      <c r="A23" s="952" t="s">
        <v>160</v>
      </c>
      <c r="B23" s="953"/>
      <c r="C23" s="953"/>
      <c r="D23" s="923" t="s">
        <v>159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 x14ac:dyDescent="0.35">
      <c r="A24" s="967" t="s">
        <v>161</v>
      </c>
      <c r="B24" s="968"/>
      <c r="C24" s="968"/>
      <c r="D24" s="910" t="s">
        <v>159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x14ac:dyDescent="0.3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x14ac:dyDescent="0.35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19855</v>
      </c>
      <c r="F27" s="577">
        <v>9</v>
      </c>
      <c r="G27" s="986">
        <f>E27*F27</f>
        <v>178695</v>
      </c>
      <c r="H27" s="926">
        <f>G27+'22'!H27</f>
        <v>-1378755</v>
      </c>
      <c r="I27" s="987"/>
      <c r="J27" s="928">
        <f>H27/DAY(B2)</f>
        <v>-59945.869565217392</v>
      </c>
      <c r="K27" s="944"/>
      <c r="L27" s="974"/>
      <c r="N27" s="1093"/>
      <c r="O27" s="930"/>
    </row>
    <row r="28" spans="1:15" s="975" customFormat="1" ht="22.5" x14ac:dyDescent="0.4">
      <c r="A28" s="976" t="s">
        <v>165</v>
      </c>
      <c r="B28" s="977"/>
      <c r="C28" s="978"/>
      <c r="D28" s="983" t="s">
        <v>166</v>
      </c>
      <c r="E28" s="984">
        <f>G15</f>
        <v>934.93999999994412</v>
      </c>
      <c r="F28" s="577">
        <v>43.5</v>
      </c>
      <c r="G28" s="986">
        <f>E28*F28</f>
        <v>40669.889999997569</v>
      </c>
      <c r="H28" s="926">
        <f>G28+'22'!H28</f>
        <v>-268624.24500000081</v>
      </c>
      <c r="I28" s="988"/>
      <c r="J28" s="928">
        <f>H28/DAY(B2)</f>
        <v>-11679.315000000035</v>
      </c>
      <c r="K28" s="944"/>
      <c r="L28" s="974"/>
      <c r="N28" s="1093"/>
      <c r="O28" s="930"/>
    </row>
    <row r="29" spans="1:15" s="975" customFormat="1" x14ac:dyDescent="0.35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 x14ac:dyDescent="0.35">
      <c r="A30" s="976" t="s">
        <v>169</v>
      </c>
      <c r="B30" s="977"/>
      <c r="C30" s="978"/>
      <c r="D30" s="983" t="s">
        <v>170</v>
      </c>
      <c r="E30" s="984">
        <f>G19</f>
        <v>43</v>
      </c>
      <c r="F30" s="985">
        <v>134</v>
      </c>
      <c r="G30" s="986">
        <f>E30*F30</f>
        <v>5762</v>
      </c>
      <c r="H30" s="926">
        <f>G30+'22'!H30</f>
        <v>-55610</v>
      </c>
      <c r="I30" s="988"/>
      <c r="J30" s="928">
        <f>H30/DAY(B2)</f>
        <v>-2417.8260869565215</v>
      </c>
      <c r="K30" s="944"/>
      <c r="L30" s="974"/>
      <c r="N30" s="1093"/>
      <c r="O30" s="930"/>
    </row>
    <row r="31" spans="1:15" s="975" customFormat="1" x14ac:dyDescent="0.35">
      <c r="A31" s="976" t="s">
        <v>171</v>
      </c>
      <c r="B31" s="977"/>
      <c r="C31" s="978"/>
      <c r="D31" s="983" t="s">
        <v>155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297600</v>
      </c>
      <c r="I31" s="988"/>
      <c r="J31" s="928"/>
      <c r="K31" s="944"/>
      <c r="L31" s="974"/>
      <c r="N31" s="1093"/>
      <c r="O31" s="930"/>
    </row>
    <row r="32" spans="1:15" s="975" customFormat="1" x14ac:dyDescent="0.35">
      <c r="A32" s="989" t="s">
        <v>172</v>
      </c>
      <c r="B32" s="990"/>
      <c r="C32" s="991"/>
      <c r="D32" s="992"/>
      <c r="E32" s="992"/>
      <c r="F32" s="992"/>
      <c r="G32" s="993">
        <f>G27+G28+G29+G30+G31</f>
        <v>237926.88999999757</v>
      </c>
      <c r="H32" s="926">
        <f>G32+'22'!H32</f>
        <v>-1243239.2450000003</v>
      </c>
      <c r="I32" s="994"/>
      <c r="J32" s="928">
        <f>H32/DAY(B2)</f>
        <v>-54053.880217391321</v>
      </c>
      <c r="K32" s="944"/>
      <c r="L32" s="974"/>
      <c r="N32" s="1093"/>
      <c r="O32" s="930"/>
    </row>
    <row r="33" spans="1:15" ht="18.75" x14ac:dyDescent="0.3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 x14ac:dyDescent="0.3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x14ac:dyDescent="0.35">
      <c r="A35" s="921" t="s">
        <v>175</v>
      </c>
      <c r="B35" s="922"/>
      <c r="C35" s="922"/>
      <c r="D35" s="923" t="s">
        <v>143</v>
      </c>
      <c r="E35" s="924">
        <f>'22'!F35</f>
        <v>629027.67000000004</v>
      </c>
      <c r="F35" s="997">
        <v>629027.67000000004</v>
      </c>
      <c r="G35" s="925">
        <f t="shared" ref="G35:G46" si="3">F35-E35</f>
        <v>0</v>
      </c>
      <c r="H35" s="926">
        <f>G35+'22'!H35</f>
        <v>0</v>
      </c>
      <c r="I35" s="924"/>
      <c r="J35" s="928">
        <f>H35/DAY(B2)</f>
        <v>0</v>
      </c>
      <c r="K35" s="944"/>
      <c r="L35" s="903"/>
      <c r="O35" s="930"/>
    </row>
    <row r="36" spans="1:15" x14ac:dyDescent="0.35">
      <c r="A36" s="921" t="s">
        <v>176</v>
      </c>
      <c r="B36" s="922"/>
      <c r="C36" s="922"/>
      <c r="D36" s="923" t="s">
        <v>143</v>
      </c>
      <c r="E36" s="924">
        <f>'22'!F36</f>
        <v>270339.78999999998</v>
      </c>
      <c r="F36" s="997">
        <v>270994.01</v>
      </c>
      <c r="G36" s="925">
        <f t="shared" si="3"/>
        <v>654.22000000003027</v>
      </c>
      <c r="H36" s="926">
        <f>G36+'22'!H36</f>
        <v>-5497.4400000000023</v>
      </c>
      <c r="I36" s="924"/>
      <c r="J36" s="928">
        <f>H36/DAY(B2)</f>
        <v>-239.01913043478271</v>
      </c>
      <c r="K36" s="944"/>
      <c r="L36" s="903"/>
      <c r="O36" s="930"/>
    </row>
    <row r="37" spans="1:15" x14ac:dyDescent="0.35">
      <c r="A37" s="921" t="s">
        <v>177</v>
      </c>
      <c r="B37" s="922"/>
      <c r="C37" s="922"/>
      <c r="D37" s="923" t="s">
        <v>143</v>
      </c>
      <c r="E37" s="924">
        <f>'22'!F37</f>
        <v>415066</v>
      </c>
      <c r="F37" s="997">
        <v>415066</v>
      </c>
      <c r="G37" s="925">
        <f t="shared" si="3"/>
        <v>0</v>
      </c>
      <c r="H37" s="926">
        <f>G37+'22'!H37</f>
        <v>415066</v>
      </c>
      <c r="I37" s="924"/>
      <c r="J37" s="928">
        <f>H37/DAY(B2)</f>
        <v>18046.347826086956</v>
      </c>
      <c r="K37" s="944"/>
      <c r="L37" s="903"/>
      <c r="O37" s="930"/>
    </row>
    <row r="38" spans="1:15" x14ac:dyDescent="0.35">
      <c r="A38" s="921" t="s">
        <v>178</v>
      </c>
      <c r="B38" s="922"/>
      <c r="C38" s="922"/>
      <c r="D38" s="923" t="s">
        <v>143</v>
      </c>
      <c r="E38" s="924">
        <f>'22'!F38</f>
        <v>150714.38</v>
      </c>
      <c r="F38" s="913">
        <v>150714.38</v>
      </c>
      <c r="G38" s="925">
        <f t="shared" si="3"/>
        <v>0</v>
      </c>
      <c r="H38" s="926">
        <f>G38+'22'!H38</f>
        <v>150616.5</v>
      </c>
      <c r="I38" s="924"/>
      <c r="J38" s="928">
        <f>H38/DAY(B2)</f>
        <v>6548.54347826087</v>
      </c>
      <c r="K38" s="944"/>
      <c r="L38" s="903"/>
      <c r="O38" s="930"/>
    </row>
    <row r="39" spans="1:15" x14ac:dyDescent="0.35">
      <c r="A39" s="921" t="s">
        <v>179</v>
      </c>
      <c r="B39" s="922"/>
      <c r="C39" s="922"/>
      <c r="D39" s="923" t="s">
        <v>143</v>
      </c>
      <c r="E39" s="924">
        <f>'22'!F39</f>
        <v>912480</v>
      </c>
      <c r="F39" s="997">
        <v>912480</v>
      </c>
      <c r="G39" s="925">
        <f t="shared" si="3"/>
        <v>0</v>
      </c>
      <c r="H39" s="926">
        <f>G39+'22'!H39</f>
        <v>912480</v>
      </c>
      <c r="I39" s="924"/>
      <c r="J39" s="928">
        <f>H39/DAY(B2)</f>
        <v>39673.043478260872</v>
      </c>
      <c r="K39" s="944"/>
      <c r="L39" s="903"/>
      <c r="O39" s="930"/>
    </row>
    <row r="40" spans="1:15" x14ac:dyDescent="0.35">
      <c r="A40" s="998" t="s">
        <v>180</v>
      </c>
      <c r="B40" s="999"/>
      <c r="C40" s="999"/>
      <c r="D40" s="923" t="s">
        <v>143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 x14ac:dyDescent="0.35">
      <c r="A41" s="921" t="s">
        <v>181</v>
      </c>
      <c r="B41" s="922"/>
      <c r="C41" s="922"/>
      <c r="D41" s="923" t="s">
        <v>143</v>
      </c>
      <c r="E41" s="924">
        <f>'22'!F41</f>
        <v>10456.540000000001</v>
      </c>
      <c r="F41" s="997">
        <v>14802.68</v>
      </c>
      <c r="G41" s="925">
        <f t="shared" si="3"/>
        <v>4346.1399999999994</v>
      </c>
      <c r="H41" s="926">
        <f>G41+'22'!H41</f>
        <v>-29819.839999999997</v>
      </c>
      <c r="I41" s="924"/>
      <c r="J41" s="928">
        <f>H41/DAY(B2)</f>
        <v>-1296.5147826086954</v>
      </c>
      <c r="K41" s="944"/>
      <c r="L41" s="903"/>
      <c r="O41" s="930"/>
    </row>
    <row r="42" spans="1:15" x14ac:dyDescent="0.35">
      <c r="A42" s="921" t="s">
        <v>182</v>
      </c>
      <c r="B42" s="922"/>
      <c r="C42" s="922"/>
      <c r="D42" s="923" t="s">
        <v>143</v>
      </c>
      <c r="E42" s="924">
        <f>'22'!F42</f>
        <v>58926.09</v>
      </c>
      <c r="F42" s="997">
        <v>58926.09</v>
      </c>
      <c r="G42" s="925">
        <f t="shared" si="3"/>
        <v>0</v>
      </c>
      <c r="H42" s="926">
        <f>G42+'22'!H42</f>
        <v>8.999999999650754E-2</v>
      </c>
      <c r="I42" s="924"/>
      <c r="J42" s="928">
        <f>H42/DAY(B2)</f>
        <v>3.9130434781090235E-3</v>
      </c>
      <c r="K42" s="944"/>
      <c r="L42" s="903"/>
      <c r="O42" s="930"/>
    </row>
    <row r="43" spans="1:15" x14ac:dyDescent="0.35">
      <c r="A43" s="921" t="s">
        <v>183</v>
      </c>
      <c r="B43" s="922"/>
      <c r="C43" s="922"/>
      <c r="D43" s="923" t="s">
        <v>143</v>
      </c>
      <c r="E43" s="924">
        <f>'22'!F43</f>
        <v>746869.11</v>
      </c>
      <c r="F43" s="997">
        <v>749232.63</v>
      </c>
      <c r="G43" s="925">
        <f t="shared" si="3"/>
        <v>2363.5200000000186</v>
      </c>
      <c r="H43" s="926">
        <f>G43+'22'!H43</f>
        <v>-18579.280000000028</v>
      </c>
      <c r="I43" s="924"/>
      <c r="J43" s="928">
        <f>H43/DAY(B2)</f>
        <v>-807.79478260869689</v>
      </c>
      <c r="K43" s="944"/>
      <c r="L43" s="903"/>
      <c r="O43" s="930"/>
    </row>
    <row r="44" spans="1:15" x14ac:dyDescent="0.35">
      <c r="A44" s="921" t="s">
        <v>184</v>
      </c>
      <c r="B44" s="922"/>
      <c r="C44" s="922"/>
      <c r="D44" s="923" t="s">
        <v>143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 x14ac:dyDescent="0.35">
      <c r="A45" s="921" t="s">
        <v>185</v>
      </c>
      <c r="B45" s="922"/>
      <c r="C45" s="922"/>
      <c r="D45" s="923" t="s">
        <v>143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 x14ac:dyDescent="0.35">
      <c r="A46" s="921" t="s">
        <v>186</v>
      </c>
      <c r="B46" s="922"/>
      <c r="C46" s="922"/>
      <c r="D46" s="923" t="s">
        <v>143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 x14ac:dyDescent="0.3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7363.8800000000483</v>
      </c>
      <c r="H47" s="926">
        <f>G47+'22'!H47</f>
        <v>1424265.0000000002</v>
      </c>
      <c r="I47" s="924"/>
      <c r="J47" s="928">
        <f>H47/DAY(B2)</f>
        <v>61924.565217391311</v>
      </c>
      <c r="K47" s="944"/>
      <c r="L47" s="903"/>
      <c r="N47" s="1094"/>
      <c r="O47" s="930"/>
    </row>
    <row r="48" spans="1:15" x14ac:dyDescent="0.3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x14ac:dyDescent="0.35">
      <c r="A49" s="921" t="s">
        <v>175</v>
      </c>
      <c r="B49" s="1000"/>
      <c r="C49" s="1000"/>
      <c r="D49" s="923" t="s">
        <v>143</v>
      </c>
      <c r="E49" s="924">
        <f>'22'!F49</f>
        <v>217967</v>
      </c>
      <c r="F49" s="997">
        <v>221005.57</v>
      </c>
      <c r="G49" s="925">
        <f t="shared" ref="G49:G58" si="4">F49-E49</f>
        <v>3038.570000000007</v>
      </c>
      <c r="H49" s="926">
        <f>G49+'22'!H49</f>
        <v>-24893.479999999981</v>
      </c>
      <c r="I49" s="924"/>
      <c r="J49" s="928">
        <f>H49/DAY(B2)</f>
        <v>-1082.3252173913036</v>
      </c>
      <c r="K49" s="944"/>
      <c r="L49" s="903"/>
      <c r="O49" s="930"/>
    </row>
    <row r="50" spans="1:15" x14ac:dyDescent="0.35">
      <c r="A50" s="921" t="s">
        <v>189</v>
      </c>
      <c r="B50" s="1000"/>
      <c r="C50" s="1000"/>
      <c r="D50" s="923" t="s">
        <v>143</v>
      </c>
      <c r="E50" s="924">
        <f>'22'!F50</f>
        <v>358855.35</v>
      </c>
      <c r="F50" s="997">
        <v>359903.71</v>
      </c>
      <c r="G50" s="925">
        <f t="shared" si="4"/>
        <v>1048.3600000000442</v>
      </c>
      <c r="H50" s="926">
        <f>G50+'22'!H50</f>
        <v>-9756.5999999999767</v>
      </c>
      <c r="I50" s="924"/>
      <c r="J50" s="928">
        <f>H50/DAY(B2)</f>
        <v>-424.19999999999897</v>
      </c>
      <c r="K50" s="944"/>
      <c r="L50" s="903"/>
      <c r="O50" s="930"/>
    </row>
    <row r="51" spans="1:15" x14ac:dyDescent="0.35">
      <c r="A51" s="921" t="s">
        <v>177</v>
      </c>
      <c r="B51" s="1000"/>
      <c r="C51" s="1000"/>
      <c r="D51" s="923" t="s">
        <v>143</v>
      </c>
      <c r="E51" s="924">
        <f>'22'!F51</f>
        <v>96722.97</v>
      </c>
      <c r="F51" s="997">
        <v>98185.64</v>
      </c>
      <c r="G51" s="925">
        <f t="shared" si="4"/>
        <v>1462.6699999999983</v>
      </c>
      <c r="H51" s="926">
        <f>G51+'22'!H51</f>
        <v>-11914.100000000006</v>
      </c>
      <c r="I51" s="924"/>
      <c r="J51" s="928">
        <f>H51/DAY(B2)</f>
        <v>-518.00434782608716</v>
      </c>
      <c r="K51" s="944"/>
      <c r="L51" s="903"/>
      <c r="O51" s="930"/>
    </row>
    <row r="52" spans="1:15" x14ac:dyDescent="0.35">
      <c r="A52" s="921" t="s">
        <v>190</v>
      </c>
      <c r="B52" s="1000"/>
      <c r="C52" s="1000"/>
      <c r="D52" s="923" t="s">
        <v>143</v>
      </c>
      <c r="E52" s="924">
        <f>'22'!F52</f>
        <v>476838.55</v>
      </c>
      <c r="F52" s="997">
        <v>478782.59</v>
      </c>
      <c r="G52" s="925">
        <f t="shared" si="4"/>
        <v>1944.0400000000373</v>
      </c>
      <c r="H52" s="926">
        <f>G52+'22'!H52</f>
        <v>-15026.079999999958</v>
      </c>
      <c r="I52" s="924"/>
      <c r="J52" s="928">
        <f>H52/DAY(B2)</f>
        <v>-653.30782608695472</v>
      </c>
      <c r="K52" s="944"/>
      <c r="L52" s="903"/>
      <c r="O52" s="930"/>
    </row>
    <row r="53" spans="1:15" x14ac:dyDescent="0.35">
      <c r="A53" s="921" t="s">
        <v>179</v>
      </c>
      <c r="B53" s="1000"/>
      <c r="C53" s="1000"/>
      <c r="D53" s="923" t="s">
        <v>143</v>
      </c>
      <c r="E53" s="924">
        <f>'22'!F53</f>
        <v>266549.28999999998</v>
      </c>
      <c r="F53" s="997">
        <v>270812.05</v>
      </c>
      <c r="G53" s="925">
        <f t="shared" si="4"/>
        <v>4262.7600000000093</v>
      </c>
      <c r="H53" s="926">
        <f>G53+'22'!H53</f>
        <v>-33486.22000000003</v>
      </c>
      <c r="I53" s="924"/>
      <c r="J53" s="928">
        <f>H53/DAY(B2)</f>
        <v>-1455.9226086956535</v>
      </c>
      <c r="K53" s="944"/>
      <c r="L53" s="903"/>
      <c r="O53" s="930"/>
    </row>
    <row r="54" spans="1:15" x14ac:dyDescent="0.35">
      <c r="A54" s="921" t="s">
        <v>191</v>
      </c>
      <c r="B54" s="1000"/>
      <c r="C54" s="1000"/>
      <c r="D54" s="923" t="s">
        <v>143</v>
      </c>
      <c r="E54" s="924">
        <f>'22'!F54</f>
        <v>5859.71</v>
      </c>
      <c r="F54" s="997">
        <v>5926.83</v>
      </c>
      <c r="G54" s="925">
        <f t="shared" si="4"/>
        <v>67.119999999999891</v>
      </c>
      <c r="H54" s="926">
        <f>G54+'22'!H54</f>
        <v>-461.97000000000025</v>
      </c>
      <c r="I54" s="924"/>
      <c r="J54" s="928">
        <f>H54/DAY(B2)</f>
        <v>-20.085652173913054</v>
      </c>
      <c r="K54" s="944"/>
      <c r="L54" s="903"/>
      <c r="O54" s="930"/>
    </row>
    <row r="55" spans="1:15" x14ac:dyDescent="0.35">
      <c r="A55" s="921" t="s">
        <v>192</v>
      </c>
      <c r="B55" s="1000"/>
      <c r="C55" s="1000"/>
      <c r="D55" s="923" t="s">
        <v>143</v>
      </c>
      <c r="E55" s="924">
        <f>'22'!F55</f>
        <v>39120.58</v>
      </c>
      <c r="F55" s="997">
        <v>39120.58</v>
      </c>
      <c r="G55" s="925">
        <f t="shared" si="4"/>
        <v>0</v>
      </c>
      <c r="H55" s="926">
        <f>G55+'22'!H55</f>
        <v>-3867.4000000000015</v>
      </c>
      <c r="I55" s="924"/>
      <c r="J55" s="928">
        <f>H55/DAY(B2)</f>
        <v>-168.1478260869566</v>
      </c>
      <c r="K55" s="944"/>
      <c r="L55" s="903"/>
      <c r="O55" s="930"/>
    </row>
    <row r="56" spans="1:15" x14ac:dyDescent="0.35">
      <c r="A56" s="921" t="s">
        <v>193</v>
      </c>
      <c r="B56" s="1000"/>
      <c r="C56" s="1000"/>
      <c r="D56" s="923" t="s">
        <v>194</v>
      </c>
      <c r="E56" s="924">
        <f>'22'!F56</f>
        <v>557729.63</v>
      </c>
      <c r="F56" s="997">
        <v>557730.15</v>
      </c>
      <c r="G56" s="925">
        <f t="shared" si="4"/>
        <v>0.52000000001862645</v>
      </c>
      <c r="H56" s="926">
        <f>G56+'22'!H56</f>
        <v>-1.7600000000093132</v>
      </c>
      <c r="I56" s="924"/>
      <c r="J56" s="928">
        <f>H56/DAY(B2)</f>
        <v>-7.6521739130839705E-2</v>
      </c>
      <c r="K56" s="920"/>
      <c r="L56" s="903"/>
      <c r="O56" s="930"/>
    </row>
    <row r="57" spans="1:15" x14ac:dyDescent="0.35">
      <c r="A57" s="921" t="s">
        <v>183</v>
      </c>
      <c r="B57" s="1000"/>
      <c r="C57" s="1000"/>
      <c r="D57" s="923" t="s">
        <v>143</v>
      </c>
      <c r="E57" s="924">
        <f>'22'!F57</f>
        <v>0</v>
      </c>
      <c r="F57" s="997">
        <v>0</v>
      </c>
      <c r="G57" s="925">
        <f t="shared" si="4"/>
        <v>0</v>
      </c>
      <c r="H57" s="926">
        <f>G57+'22'!H57</f>
        <v>0</v>
      </c>
      <c r="I57" s="924"/>
      <c r="J57" s="928">
        <f>H57/DAY(B2)</f>
        <v>0</v>
      </c>
      <c r="K57" s="944"/>
      <c r="L57" s="903"/>
      <c r="O57" s="930"/>
    </row>
    <row r="58" spans="1:15" x14ac:dyDescent="0.35">
      <c r="A58" s="921" t="s">
        <v>195</v>
      </c>
      <c r="B58" s="1000"/>
      <c r="C58" s="1000"/>
      <c r="D58" s="923" t="s">
        <v>143</v>
      </c>
      <c r="E58" s="924">
        <f>'22'!F58</f>
        <v>29072.28</v>
      </c>
      <c r="F58" s="997">
        <v>29277.06</v>
      </c>
      <c r="G58" s="925">
        <f t="shared" si="4"/>
        <v>204.78000000000247</v>
      </c>
      <c r="H58" s="926">
        <f>G58+'22'!H58</f>
        <v>-1452.4799999999959</v>
      </c>
      <c r="I58" s="924"/>
      <c r="J58" s="928">
        <f>H58/DAY(B2)</f>
        <v>-63.151304347825906</v>
      </c>
      <c r="K58" s="944"/>
      <c r="L58" s="903"/>
      <c r="O58" s="930"/>
    </row>
    <row r="59" spans="1:15" x14ac:dyDescent="0.3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12028.820000000116</v>
      </c>
      <c r="H59" s="926">
        <f>G59+'22'!H59</f>
        <v>-100860.08999999988</v>
      </c>
      <c r="I59" s="924">
        <f>G7-G60</f>
        <v>316.29999999983556</v>
      </c>
      <c r="J59" s="928">
        <f>H59/DAY(B2)</f>
        <v>-4385.2213043478205</v>
      </c>
      <c r="K59" s="944"/>
      <c r="L59" s="903"/>
      <c r="O59" s="930"/>
    </row>
    <row r="60" spans="1:15" x14ac:dyDescent="0.35">
      <c r="A60" s="921"/>
      <c r="B60" s="922"/>
      <c r="C60" s="922"/>
      <c r="D60" s="910" t="s">
        <v>196</v>
      </c>
      <c r="E60" s="910"/>
      <c r="F60" s="910"/>
      <c r="G60" s="948">
        <f>G47+G59</f>
        <v>19392.700000000164</v>
      </c>
      <c r="H60" s="926">
        <f>G60+'22'!H60</f>
        <v>1328585.1000000001</v>
      </c>
      <c r="I60" s="924">
        <f>G13-G60</f>
        <v>-344.3000000004904</v>
      </c>
      <c r="J60" s="928">
        <f>H60/DAY(B2)</f>
        <v>57764.569565217396</v>
      </c>
      <c r="K60" s="944"/>
      <c r="L60" s="903"/>
      <c r="O60" s="930"/>
    </row>
    <row r="61" spans="1:15" x14ac:dyDescent="0.3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x14ac:dyDescent="0.35">
      <c r="A62" s="1005" t="s">
        <v>106</v>
      </c>
      <c r="B62" s="1006"/>
      <c r="C62" s="1006"/>
      <c r="D62" s="910" t="s">
        <v>198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 x14ac:dyDescent="0.35">
      <c r="A63" s="1005" t="s">
        <v>199</v>
      </c>
      <c r="B63" s="1006"/>
      <c r="C63" s="1006"/>
      <c r="D63" s="910" t="s">
        <v>198</v>
      </c>
      <c r="E63" s="924">
        <f>'22'!F63</f>
        <v>1236.99</v>
      </c>
      <c r="F63" s="1007">
        <v>1245.43</v>
      </c>
      <c r="G63" s="925">
        <f t="shared" si="5"/>
        <v>8.4400000000000546</v>
      </c>
      <c r="H63" s="926">
        <f>G63+'22'!H63</f>
        <v>-87.099999999999909</v>
      </c>
      <c r="I63" s="1008"/>
      <c r="J63" s="928">
        <f>H63/DAY(B2)</f>
        <v>-3.7869565217391266</v>
      </c>
      <c r="K63" s="944"/>
      <c r="L63" s="903"/>
      <c r="O63" s="930"/>
    </row>
    <row r="64" spans="1:15" x14ac:dyDescent="0.35">
      <c r="A64" s="1509" t="s">
        <v>107</v>
      </c>
      <c r="B64" s="1510"/>
      <c r="C64" s="1511"/>
      <c r="D64" s="923" t="s">
        <v>198</v>
      </c>
      <c r="E64" s="924">
        <f>'22'!F64</f>
        <v>107473.88</v>
      </c>
      <c r="F64" s="954">
        <v>107901.1</v>
      </c>
      <c r="G64" s="925">
        <f t="shared" si="5"/>
        <v>427.22000000000116</v>
      </c>
      <c r="H64" s="926">
        <f>G64+'22'!H64</f>
        <v>-3382.3600000000006</v>
      </c>
      <c r="I64" s="945"/>
      <c r="J64" s="928">
        <f>H64/DAY(B2)</f>
        <v>-147.05913043478265</v>
      </c>
      <c r="K64" s="944"/>
      <c r="L64" s="903"/>
      <c r="O64" s="930"/>
    </row>
    <row r="65" spans="1:15" x14ac:dyDescent="0.35">
      <c r="A65" s="1509" t="s">
        <v>108</v>
      </c>
      <c r="B65" s="1510"/>
      <c r="C65" s="1511"/>
      <c r="D65" s="923" t="s">
        <v>198</v>
      </c>
      <c r="E65" s="924">
        <f>'22'!F65</f>
        <v>118098.62</v>
      </c>
      <c r="F65" s="954">
        <v>118512.05</v>
      </c>
      <c r="G65" s="925">
        <f t="shared" si="5"/>
        <v>413.43000000000757</v>
      </c>
      <c r="H65" s="926">
        <f>G65+'22'!H65</f>
        <v>-3221.0599999999977</v>
      </c>
      <c r="I65" s="963"/>
      <c r="J65" s="928">
        <f>H65/DAY(B2)</f>
        <v>-140.04608695652163</v>
      </c>
      <c r="K65" s="944"/>
      <c r="L65" s="903"/>
      <c r="O65" s="930"/>
    </row>
    <row r="66" spans="1:15" x14ac:dyDescent="0.35">
      <c r="A66" s="1509" t="s">
        <v>109</v>
      </c>
      <c r="B66" s="1510"/>
      <c r="C66" s="1511"/>
      <c r="D66" s="923" t="s">
        <v>198</v>
      </c>
      <c r="E66" s="924">
        <f>'22'!F66</f>
        <v>10482.780000000001</v>
      </c>
      <c r="F66" s="954">
        <v>10824.81</v>
      </c>
      <c r="G66" s="925">
        <f t="shared" si="5"/>
        <v>342.02999999999884</v>
      </c>
      <c r="H66" s="926">
        <f>G66+'22'!H66</f>
        <v>-3334.9300000000003</v>
      </c>
      <c r="I66" s="945"/>
      <c r="J66" s="928">
        <f>H66/DAY(B2)</f>
        <v>-144.99695652173915</v>
      </c>
      <c r="K66" s="944"/>
      <c r="L66" s="903"/>
      <c r="O66" s="930"/>
    </row>
    <row r="67" spans="1:15" x14ac:dyDescent="0.35">
      <c r="A67" s="1509" t="s">
        <v>110</v>
      </c>
      <c r="B67" s="1510"/>
      <c r="C67" s="1511"/>
      <c r="D67" s="923" t="s">
        <v>198</v>
      </c>
      <c r="E67" s="924">
        <f>'22'!F67</f>
        <v>182726</v>
      </c>
      <c r="F67" s="954">
        <v>183352.45</v>
      </c>
      <c r="G67" s="925">
        <f t="shared" si="5"/>
        <v>626.45000000001164</v>
      </c>
      <c r="H67" s="926">
        <f>G67+'22'!H67</f>
        <v>-5322.0799999999872</v>
      </c>
      <c r="I67" s="963"/>
      <c r="J67" s="928">
        <f>H67/DAY(B2)</f>
        <v>-231.3947826086951</v>
      </c>
      <c r="K67" s="951"/>
      <c r="L67" s="903"/>
      <c r="O67" s="930"/>
    </row>
    <row r="68" spans="1:15" x14ac:dyDescent="0.35">
      <c r="A68" s="1509" t="s">
        <v>111</v>
      </c>
      <c r="B68" s="1510"/>
      <c r="C68" s="1511"/>
      <c r="D68" s="923" t="s">
        <v>198</v>
      </c>
      <c r="E68" s="924">
        <f>'22'!F68</f>
        <v>60387.56</v>
      </c>
      <c r="F68" s="954">
        <v>60703.31</v>
      </c>
      <c r="G68" s="925">
        <f t="shared" si="5"/>
        <v>315.75</v>
      </c>
      <c r="H68" s="926">
        <f>G68+'22'!H68</f>
        <v>-2596.5500000000029</v>
      </c>
      <c r="I68" s="1009"/>
      <c r="J68" s="928">
        <f>H68/DAY(B2)</f>
        <v>-112.89347826086968</v>
      </c>
      <c r="K68" s="1010"/>
      <c r="L68" s="903"/>
      <c r="O68" s="930"/>
    </row>
    <row r="69" spans="1:15" x14ac:dyDescent="0.35">
      <c r="A69" s="1509" t="s">
        <v>112</v>
      </c>
      <c r="B69" s="1510"/>
      <c r="C69" s="1511"/>
      <c r="D69" s="923" t="s">
        <v>198</v>
      </c>
      <c r="E69" s="924">
        <f>'22'!F69</f>
        <v>52947.14</v>
      </c>
      <c r="F69" s="954">
        <v>53249.27</v>
      </c>
      <c r="G69" s="925">
        <f t="shared" si="5"/>
        <v>302.12999999999738</v>
      </c>
      <c r="H69" s="926">
        <f>G69+'22'!H69</f>
        <v>-2474.4400000000023</v>
      </c>
      <c r="I69" s="1009"/>
      <c r="J69" s="928">
        <f>H69/DAY(B2)</f>
        <v>-107.58434782608705</v>
      </c>
      <c r="K69" s="1011"/>
      <c r="L69" s="903"/>
      <c r="O69" s="930"/>
    </row>
    <row r="70" spans="1:15" x14ac:dyDescent="0.3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 x14ac:dyDescent="0.4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 x14ac:dyDescent="0.35">
      <c r="A72" s="1509" t="s">
        <v>202</v>
      </c>
      <c r="B72" s="1510"/>
      <c r="C72" s="1511"/>
      <c r="D72" s="923" t="s">
        <v>198</v>
      </c>
      <c r="E72" s="924">
        <f>'22'!F72</f>
        <v>847827</v>
      </c>
      <c r="F72" s="1015">
        <v>847867</v>
      </c>
      <c r="G72" s="925">
        <f t="shared" ref="G72:G84" si="6">F72-E72</f>
        <v>40</v>
      </c>
      <c r="H72" s="926">
        <f>G72+'22'!H72</f>
        <v>-685</v>
      </c>
      <c r="I72" s="945"/>
      <c r="J72" s="928">
        <f>H72/DAY(B2)</f>
        <v>-29.782608695652176</v>
      </c>
      <c r="K72" s="1011"/>
      <c r="L72" s="903"/>
      <c r="O72" s="930"/>
    </row>
    <row r="73" spans="1:15" x14ac:dyDescent="0.35">
      <c r="A73" s="1509" t="s">
        <v>203</v>
      </c>
      <c r="B73" s="1510"/>
      <c r="C73" s="1511"/>
      <c r="D73" s="923" t="s">
        <v>198</v>
      </c>
      <c r="E73" s="924">
        <f>'22'!F73</f>
        <v>885711</v>
      </c>
      <c r="F73" s="1016">
        <v>885724</v>
      </c>
      <c r="G73" s="925">
        <f t="shared" si="6"/>
        <v>13</v>
      </c>
      <c r="H73" s="926">
        <f>G73+'22'!H73</f>
        <v>943</v>
      </c>
      <c r="I73" s="945"/>
      <c r="J73" s="928">
        <f>H73/DAY(B2)</f>
        <v>41</v>
      </c>
      <c r="K73" s="1010"/>
      <c r="L73" s="903"/>
      <c r="O73" s="930"/>
    </row>
    <row r="74" spans="1:15" x14ac:dyDescent="0.35">
      <c r="A74" s="1509" t="s">
        <v>204</v>
      </c>
      <c r="B74" s="1510"/>
      <c r="C74" s="1511"/>
      <c r="D74" s="923" t="s">
        <v>198</v>
      </c>
      <c r="E74" s="924">
        <f>'22'!F74</f>
        <v>882071</v>
      </c>
      <c r="F74" s="1017">
        <v>882110</v>
      </c>
      <c r="G74" s="925">
        <f t="shared" si="6"/>
        <v>39</v>
      </c>
      <c r="H74" s="926">
        <f>G74+'22'!H74</f>
        <v>882339.1</v>
      </c>
      <c r="I74" s="945"/>
      <c r="J74" s="928">
        <f>H74/DAY(B2)</f>
        <v>38362.569565217389</v>
      </c>
      <c r="K74" s="1011"/>
      <c r="L74" s="903"/>
      <c r="O74" s="930"/>
    </row>
    <row r="75" spans="1:15" x14ac:dyDescent="0.35">
      <c r="A75" s="1535" t="s">
        <v>205</v>
      </c>
      <c r="B75" s="1536"/>
      <c r="C75" s="1537"/>
      <c r="D75" s="923" t="s">
        <v>198</v>
      </c>
      <c r="E75" s="924">
        <f>'22'!F75</f>
        <v>735747</v>
      </c>
      <c r="F75" s="1017">
        <v>735968</v>
      </c>
      <c r="G75" s="925">
        <f t="shared" si="6"/>
        <v>221</v>
      </c>
      <c r="H75" s="926">
        <f>G75+'22'!H75</f>
        <v>737504.4</v>
      </c>
      <c r="I75" s="945"/>
      <c r="J75" s="928">
        <f>H75/DAY(B2)</f>
        <v>32065.408695652175</v>
      </c>
      <c r="K75" s="1010"/>
      <c r="L75" s="903"/>
      <c r="O75" s="930"/>
    </row>
    <row r="76" spans="1:15" x14ac:dyDescent="0.35">
      <c r="A76" s="1535" t="s">
        <v>206</v>
      </c>
      <c r="B76" s="1536"/>
      <c r="C76" s="1537"/>
      <c r="D76" s="923" t="s">
        <v>198</v>
      </c>
      <c r="E76" s="924">
        <f>'22'!F76</f>
        <v>686309</v>
      </c>
      <c r="F76" s="1016">
        <v>686389</v>
      </c>
      <c r="G76" s="925">
        <f t="shared" si="6"/>
        <v>80</v>
      </c>
      <c r="H76" s="926">
        <f>G76+'22'!H76</f>
        <v>688386.2</v>
      </c>
      <c r="I76" s="988"/>
      <c r="J76" s="928">
        <f>H76/DAY(B2)</f>
        <v>29929.834782608694</v>
      </c>
      <c r="K76" s="1010"/>
      <c r="L76" s="903"/>
      <c r="O76" s="930"/>
    </row>
    <row r="77" spans="1:15" x14ac:dyDescent="0.35">
      <c r="A77" s="1509" t="s">
        <v>207</v>
      </c>
      <c r="B77" s="1510"/>
      <c r="C77" s="1511"/>
      <c r="D77" s="923" t="s">
        <v>198</v>
      </c>
      <c r="E77" s="924">
        <f>'22'!F77</f>
        <v>696624</v>
      </c>
      <c r="F77" s="1016">
        <v>696679</v>
      </c>
      <c r="G77" s="925">
        <f t="shared" si="6"/>
        <v>55</v>
      </c>
      <c r="H77" s="926">
        <f>G77+'22'!H77</f>
        <v>-428</v>
      </c>
      <c r="I77" s="988"/>
      <c r="J77" s="928">
        <f>H77/DAY(B2)</f>
        <v>-18.608695652173914</v>
      </c>
      <c r="K77" s="1010"/>
      <c r="L77" s="903"/>
      <c r="O77" s="930"/>
    </row>
    <row r="78" spans="1:15" x14ac:dyDescent="0.35">
      <c r="A78" s="1018" t="s">
        <v>208</v>
      </c>
      <c r="B78" s="1227"/>
      <c r="C78" s="1227"/>
      <c r="D78" s="923" t="s">
        <v>198</v>
      </c>
      <c r="E78" s="924">
        <f>'22'!F78</f>
        <v>638622</v>
      </c>
      <c r="F78" s="1017">
        <v>638961</v>
      </c>
      <c r="G78" s="925">
        <f t="shared" si="6"/>
        <v>339</v>
      </c>
      <c r="H78" s="926">
        <f>G78+'22'!H78</f>
        <v>-2992</v>
      </c>
      <c r="I78" s="988"/>
      <c r="J78" s="928">
        <f>H78/DAY(B2)</f>
        <v>-130.08695652173913</v>
      </c>
      <c r="K78" s="1010"/>
      <c r="L78" s="903"/>
      <c r="O78" s="930"/>
    </row>
    <row r="79" spans="1:15" x14ac:dyDescent="0.35">
      <c r="A79" s="1535" t="s">
        <v>97</v>
      </c>
      <c r="B79" s="1536"/>
      <c r="C79" s="1537"/>
      <c r="D79" s="957" t="s">
        <v>198</v>
      </c>
      <c r="E79" s="924">
        <f>'22'!F79</f>
        <v>807994</v>
      </c>
      <c r="F79" s="1017">
        <v>808187</v>
      </c>
      <c r="G79" s="925">
        <f t="shared" si="6"/>
        <v>193</v>
      </c>
      <c r="H79" s="926">
        <f>G79+'22'!H79</f>
        <v>1361</v>
      </c>
      <c r="I79" s="988"/>
      <c r="J79" s="928">
        <f>H79/DAY(B2)</f>
        <v>59.173913043478258</v>
      </c>
      <c r="K79" s="1010"/>
      <c r="L79" s="903"/>
      <c r="O79" s="930"/>
    </row>
    <row r="80" spans="1:15" x14ac:dyDescent="0.35">
      <c r="A80" s="1535" t="s">
        <v>209</v>
      </c>
      <c r="B80" s="1536"/>
      <c r="C80" s="1537"/>
      <c r="D80" s="957" t="s">
        <v>198</v>
      </c>
      <c r="E80" s="924">
        <f>'22'!F80</f>
        <v>482321</v>
      </c>
      <c r="F80" s="1016">
        <v>482640</v>
      </c>
      <c r="G80" s="925">
        <f t="shared" si="6"/>
        <v>319</v>
      </c>
      <c r="H80" s="926">
        <f>G80+'22'!H80</f>
        <v>-3941.679999999993</v>
      </c>
      <c r="I80" s="988"/>
      <c r="J80" s="928">
        <f>H80/DAY(B2)</f>
        <v>-171.37739130434753</v>
      </c>
      <c r="K80" s="1010"/>
      <c r="L80" s="903"/>
      <c r="O80" s="930"/>
    </row>
    <row r="81" spans="1:15" x14ac:dyDescent="0.35">
      <c r="A81" s="1535" t="s">
        <v>210</v>
      </c>
      <c r="B81" s="1536"/>
      <c r="C81" s="1537"/>
      <c r="D81" s="957" t="s">
        <v>198</v>
      </c>
      <c r="E81" s="924">
        <f>'22'!F81</f>
        <v>621800</v>
      </c>
      <c r="F81" s="1016">
        <v>621883</v>
      </c>
      <c r="G81" s="925">
        <f t="shared" si="6"/>
        <v>83</v>
      </c>
      <c r="H81" s="926">
        <f>G81+'22'!H81</f>
        <v>-892</v>
      </c>
      <c r="I81" s="988"/>
      <c r="J81" s="928">
        <f>H81/DAY(B2)</f>
        <v>-38.782608695652172</v>
      </c>
      <c r="K81" s="1010"/>
      <c r="L81" s="903"/>
      <c r="O81" s="930"/>
    </row>
    <row r="82" spans="1:15" x14ac:dyDescent="0.35">
      <c r="A82" s="1535" t="s">
        <v>100</v>
      </c>
      <c r="B82" s="1536"/>
      <c r="C82" s="1537"/>
      <c r="D82" s="958" t="s">
        <v>143</v>
      </c>
      <c r="E82" s="924">
        <f>'22'!F82</f>
        <v>105016</v>
      </c>
      <c r="F82" s="1019">
        <v>105074</v>
      </c>
      <c r="G82" s="925">
        <f t="shared" si="6"/>
        <v>58</v>
      </c>
      <c r="H82" s="926">
        <f>G82+'22'!H82</f>
        <v>-366</v>
      </c>
      <c r="I82" s="959"/>
      <c r="J82" s="928">
        <f>H82/DAY(B2)</f>
        <v>-15.913043478260869</v>
      </c>
      <c r="K82" s="1010"/>
      <c r="L82" s="903"/>
      <c r="O82" s="930"/>
    </row>
    <row r="83" spans="1:15" x14ac:dyDescent="0.35">
      <c r="A83" s="1535" t="s">
        <v>211</v>
      </c>
      <c r="B83" s="1536"/>
      <c r="C83" s="1537"/>
      <c r="D83" s="1020" t="s">
        <v>143</v>
      </c>
      <c r="E83" s="924">
        <f>'22'!F83</f>
        <v>981140</v>
      </c>
      <c r="F83" s="910">
        <v>981368</v>
      </c>
      <c r="G83" s="925">
        <f t="shared" si="6"/>
        <v>228</v>
      </c>
      <c r="H83" s="926">
        <f>G83+'22'!H83</f>
        <v>-2373</v>
      </c>
      <c r="I83" s="948"/>
      <c r="J83" s="928">
        <f>H83/DAY(B2)</f>
        <v>-103.17391304347827</v>
      </c>
      <c r="K83" s="951"/>
      <c r="L83" s="903"/>
      <c r="O83" s="930"/>
    </row>
    <row r="84" spans="1:15" x14ac:dyDescent="0.35">
      <c r="A84" s="1021" t="s">
        <v>212</v>
      </c>
      <c r="B84" s="1022"/>
      <c r="C84" s="1022"/>
      <c r="D84" s="942" t="s">
        <v>143</v>
      </c>
      <c r="E84" s="924">
        <f>'22'!F84</f>
        <v>411317</v>
      </c>
      <c r="F84" s="1023">
        <v>411869</v>
      </c>
      <c r="G84" s="925">
        <f t="shared" si="6"/>
        <v>552</v>
      </c>
      <c r="H84" s="926">
        <f>G84+'22'!H84</f>
        <v>-4204</v>
      </c>
      <c r="I84" s="948"/>
      <c r="J84" s="928">
        <f>H84/DAY(B2)</f>
        <v>-182.78260869565219</v>
      </c>
      <c r="K84" s="1024"/>
      <c r="L84" s="903"/>
      <c r="O84" s="930"/>
    </row>
    <row r="85" spans="1:15" s="1028" customFormat="1" x14ac:dyDescent="0.35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2220</v>
      </c>
      <c r="H85" s="926">
        <f>G85+'22'!H85</f>
        <v>2289348.65</v>
      </c>
      <c r="I85" s="948"/>
      <c r="J85" s="928">
        <f>H85/DAY(B2)</f>
        <v>99536.897826086948</v>
      </c>
      <c r="K85" s="1024"/>
      <c r="L85" s="1027"/>
      <c r="N85" s="1095"/>
      <c r="O85" s="930"/>
    </row>
    <row r="86" spans="1:15" s="1038" customFormat="1" x14ac:dyDescent="0.35">
      <c r="A86" s="1029" t="s">
        <v>102</v>
      </c>
      <c r="B86" s="1030"/>
      <c r="C86" s="1030"/>
      <c r="D86" s="1031" t="s">
        <v>194</v>
      </c>
      <c r="E86" s="924">
        <f>'22'!F86</f>
        <v>446349</v>
      </c>
      <c r="F86" s="1032">
        <v>446419</v>
      </c>
      <c r="G86" s="1033">
        <f t="shared" ref="G86:G88" si="7">F86-E86</f>
        <v>70</v>
      </c>
      <c r="H86" s="1033">
        <f t="shared" ref="H86:H88" si="8">G86</f>
        <v>70</v>
      </c>
      <c r="I86" s="1034"/>
      <c r="J86" s="1035">
        <f>H86/DAY(B2)</f>
        <v>3.0434782608695654</v>
      </c>
      <c r="K86" s="1036"/>
      <c r="L86" s="1037"/>
      <c r="N86" s="1096"/>
      <c r="O86" s="930"/>
    </row>
    <row r="87" spans="1:15" s="1038" customFormat="1" x14ac:dyDescent="0.35">
      <c r="A87" s="1029" t="s">
        <v>103</v>
      </c>
      <c r="B87" s="1030"/>
      <c r="C87" s="1030"/>
      <c r="D87" s="1031" t="s">
        <v>194</v>
      </c>
      <c r="E87" s="924">
        <f>'22'!F87</f>
        <v>78262.7</v>
      </c>
      <c r="F87" s="1032">
        <v>78272.3</v>
      </c>
      <c r="G87" s="1033">
        <f t="shared" si="7"/>
        <v>9.6000000000058208</v>
      </c>
      <c r="H87" s="1033">
        <f t="shared" si="8"/>
        <v>9.6000000000058208</v>
      </c>
      <c r="I87" s="1034"/>
      <c r="J87" s="1035">
        <f>H87/DAY(B2)</f>
        <v>0.41739130434807914</v>
      </c>
      <c r="K87" s="1036"/>
      <c r="L87" s="1037"/>
      <c r="N87" s="1096"/>
      <c r="O87" s="930"/>
    </row>
    <row r="88" spans="1:15" s="1038" customFormat="1" x14ac:dyDescent="0.35">
      <c r="A88" s="1029" t="s">
        <v>104</v>
      </c>
      <c r="B88" s="1030"/>
      <c r="C88" s="1030"/>
      <c r="D88" s="1031" t="s">
        <v>194</v>
      </c>
      <c r="E88" s="924">
        <f>'22'!F88</f>
        <v>145938</v>
      </c>
      <c r="F88" s="1032">
        <v>145988.60999999999</v>
      </c>
      <c r="G88" s="1033">
        <f t="shared" si="7"/>
        <v>50.60999999998603</v>
      </c>
      <c r="H88" s="1033">
        <f t="shared" si="8"/>
        <v>50.60999999998603</v>
      </c>
      <c r="I88" s="1034"/>
      <c r="J88" s="1035">
        <f>H88/DAY(B2)</f>
        <v>2.2004347826080881</v>
      </c>
      <c r="K88" s="1036"/>
      <c r="L88" s="1037"/>
      <c r="N88" s="1096"/>
      <c r="O88" s="930"/>
    </row>
    <row r="89" spans="1:15" s="1038" customFormat="1" x14ac:dyDescent="0.35">
      <c r="A89" s="1029" t="s">
        <v>215</v>
      </c>
      <c r="B89" s="1030"/>
      <c r="C89" s="1030"/>
      <c r="D89" s="1031" t="s">
        <v>194</v>
      </c>
      <c r="E89" s="924">
        <f>'22'!F89</f>
        <v>59200</v>
      </c>
      <c r="F89" s="1032">
        <v>59252</v>
      </c>
      <c r="G89" s="1033">
        <f t="shared" ref="G89:G90" si="9">F89-E89</f>
        <v>52</v>
      </c>
      <c r="H89" s="1033">
        <f>G89</f>
        <v>52</v>
      </c>
      <c r="I89" s="1034"/>
      <c r="J89" s="1035">
        <f>H89/DAY(B2)</f>
        <v>2.2608695652173911</v>
      </c>
      <c r="K89" s="1036"/>
      <c r="L89" s="1037"/>
      <c r="N89" s="1097"/>
      <c r="O89" s="930"/>
    </row>
    <row r="90" spans="1:15" s="1038" customFormat="1" x14ac:dyDescent="0.35">
      <c r="A90" s="1029" t="s">
        <v>215</v>
      </c>
      <c r="B90" s="1030"/>
      <c r="C90" s="1030"/>
      <c r="D90" s="1031" t="s">
        <v>194</v>
      </c>
      <c r="E90" s="924">
        <f>'22'!F90</f>
        <v>3044</v>
      </c>
      <c r="F90" s="1032">
        <v>3045</v>
      </c>
      <c r="G90" s="1033">
        <f t="shared" si="9"/>
        <v>1</v>
      </c>
      <c r="H90" s="1033">
        <f>G90</f>
        <v>1</v>
      </c>
      <c r="I90" s="1034"/>
      <c r="J90" s="1035">
        <f>H90/DAY(B2)</f>
        <v>4.3478260869565216E-2</v>
      </c>
      <c r="K90" s="1036"/>
      <c r="L90" s="1037"/>
      <c r="N90" s="1097"/>
      <c r="O90" s="930"/>
    </row>
    <row r="91" spans="1:15" s="1028" customFormat="1" x14ac:dyDescent="0.35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x14ac:dyDescent="0.35">
      <c r="A92" s="1512" t="s">
        <v>217</v>
      </c>
      <c r="B92" s="1513"/>
      <c r="C92" s="1514"/>
      <c r="D92" s="923" t="s">
        <v>155</v>
      </c>
      <c r="E92" s="924">
        <f>'22'!F92</f>
        <v>235779</v>
      </c>
      <c r="F92" s="954">
        <v>235882</v>
      </c>
      <c r="G92" s="925">
        <f t="shared" ref="G92:G93" si="10">F92-E92</f>
        <v>103</v>
      </c>
      <c r="H92" s="926">
        <f>G92+'22'!H92</f>
        <v>-688</v>
      </c>
      <c r="I92" s="945"/>
      <c r="J92" s="928">
        <f>H92/DAY(B2)</f>
        <v>-29.913043478260871</v>
      </c>
      <c r="K92" s="951"/>
      <c r="L92" s="903"/>
      <c r="O92" s="930"/>
    </row>
    <row r="93" spans="1:15" x14ac:dyDescent="0.35">
      <c r="A93" s="1512" t="s">
        <v>218</v>
      </c>
      <c r="B93" s="1513"/>
      <c r="C93" s="1514"/>
      <c r="D93" s="923" t="s">
        <v>155</v>
      </c>
      <c r="E93" s="924">
        <f>'22'!F93</f>
        <v>169933</v>
      </c>
      <c r="F93" s="954">
        <v>170053</v>
      </c>
      <c r="G93" s="925">
        <f t="shared" si="10"/>
        <v>120</v>
      </c>
      <c r="H93" s="926">
        <f>G93+'22'!H93</f>
        <v>-1123</v>
      </c>
      <c r="I93" s="945"/>
      <c r="J93" s="928">
        <f>H93/DAY(B2)</f>
        <v>-48.826086956521742</v>
      </c>
      <c r="K93" s="1024"/>
      <c r="L93" s="903"/>
      <c r="O93" s="930"/>
    </row>
    <row r="94" spans="1:15" x14ac:dyDescent="0.35">
      <c r="A94" s="1538" t="s">
        <v>219</v>
      </c>
      <c r="B94" s="1539"/>
      <c r="C94" s="1540"/>
      <c r="D94" s="923"/>
      <c r="E94" s="924">
        <f>'22'!F94</f>
        <v>0</v>
      </c>
      <c r="F94" s="954"/>
      <c r="G94" s="925">
        <f>G92+G93</f>
        <v>223</v>
      </c>
      <c r="H94" s="926">
        <f>G94+'22'!H94</f>
        <v>-2098</v>
      </c>
      <c r="I94" s="945"/>
      <c r="J94" s="928">
        <f>H94/DAY(B2)</f>
        <v>-91.217391304347828</v>
      </c>
      <c r="K94" s="1024"/>
      <c r="L94" s="903"/>
      <c r="O94" s="930"/>
    </row>
    <row r="95" spans="1:15" x14ac:dyDescent="0.35">
      <c r="A95" s="1512" t="s">
        <v>220</v>
      </c>
      <c r="B95" s="1513"/>
      <c r="C95" s="1514"/>
      <c r="D95" s="923" t="s">
        <v>155</v>
      </c>
      <c r="E95" s="924">
        <f>'22'!F95</f>
        <v>405285</v>
      </c>
      <c r="F95" s="954">
        <v>405360</v>
      </c>
      <c r="G95" s="925">
        <f t="shared" ref="G95:G100" si="11">F95-E95</f>
        <v>75</v>
      </c>
      <c r="H95" s="926">
        <f>G95+'22'!H95</f>
        <v>-516</v>
      </c>
      <c r="I95" s="945"/>
      <c r="J95" s="928">
        <f>H95/DAY(B2)</f>
        <v>-22.434782608695652</v>
      </c>
      <c r="K95" s="1024"/>
      <c r="L95" s="903"/>
      <c r="O95" s="930"/>
    </row>
    <row r="96" spans="1:15" x14ac:dyDescent="0.35">
      <c r="A96" s="952" t="s">
        <v>221</v>
      </c>
      <c r="B96" s="953"/>
      <c r="C96" s="953"/>
      <c r="D96" s="923" t="s">
        <v>155</v>
      </c>
      <c r="E96" s="924">
        <f>'22'!F96</f>
        <v>100313</v>
      </c>
      <c r="F96" s="954">
        <v>100331</v>
      </c>
      <c r="G96" s="925">
        <f t="shared" si="11"/>
        <v>18</v>
      </c>
      <c r="H96" s="926">
        <f>G96+'22'!H96</f>
        <v>-203</v>
      </c>
      <c r="I96" s="945"/>
      <c r="J96" s="928">
        <f>H96/DAY(B2)</f>
        <v>-8.8260869565217384</v>
      </c>
      <c r="K96" s="920"/>
      <c r="L96" s="903"/>
      <c r="O96" s="930"/>
    </row>
    <row r="97" spans="1:15" x14ac:dyDescent="0.35">
      <c r="A97" s="952" t="s">
        <v>222</v>
      </c>
      <c r="B97" s="953"/>
      <c r="C97" s="953"/>
      <c r="D97" s="923" t="s">
        <v>155</v>
      </c>
      <c r="E97" s="924">
        <f>'22'!F97</f>
        <v>95473</v>
      </c>
      <c r="F97" s="954">
        <v>95499</v>
      </c>
      <c r="G97" s="925">
        <f t="shared" si="11"/>
        <v>26</v>
      </c>
      <c r="H97" s="926">
        <f>G97+'22'!H97</f>
        <v>-178</v>
      </c>
      <c r="I97" s="945"/>
      <c r="J97" s="928">
        <f>H97/DAY(B2)</f>
        <v>-7.7391304347826084</v>
      </c>
      <c r="K97" s="1040"/>
      <c r="L97" s="903"/>
      <c r="O97" s="930"/>
    </row>
    <row r="98" spans="1:15" x14ac:dyDescent="0.35">
      <c r="A98" s="952" t="s">
        <v>223</v>
      </c>
      <c r="B98" s="953"/>
      <c r="C98" s="953"/>
      <c r="D98" s="923" t="s">
        <v>155</v>
      </c>
      <c r="E98" s="924">
        <f>'22'!F98</f>
        <v>145021</v>
      </c>
      <c r="F98" s="954">
        <v>145077</v>
      </c>
      <c r="G98" s="925">
        <f t="shared" si="11"/>
        <v>56</v>
      </c>
      <c r="H98" s="926">
        <f>G98+'22'!H98</f>
        <v>-477</v>
      </c>
      <c r="I98" s="945"/>
      <c r="J98" s="928">
        <f>H98/DAY(B2)</f>
        <v>-20.739130434782609</v>
      </c>
      <c r="K98" s="1024"/>
      <c r="L98" s="903"/>
      <c r="O98" s="930"/>
    </row>
    <row r="99" spans="1:15" x14ac:dyDescent="0.35">
      <c r="A99" s="952" t="s">
        <v>224</v>
      </c>
      <c r="B99" s="953"/>
      <c r="C99" s="953"/>
      <c r="D99" s="923" t="s">
        <v>155</v>
      </c>
      <c r="E99" s="924">
        <f>'22'!F99</f>
        <v>5804</v>
      </c>
      <c r="F99" s="954">
        <v>5814</v>
      </c>
      <c r="G99" s="925">
        <f t="shared" si="11"/>
        <v>10</v>
      </c>
      <c r="H99" s="926">
        <f>G99+'22'!H99</f>
        <v>-160</v>
      </c>
      <c r="I99" s="945"/>
      <c r="J99" s="928">
        <f>H99/DAY(B2)</f>
        <v>-6.9565217391304346</v>
      </c>
      <c r="K99" s="1024"/>
      <c r="L99" s="903"/>
      <c r="O99" s="930"/>
    </row>
    <row r="100" spans="1:15" x14ac:dyDescent="0.35">
      <c r="A100" s="952" t="s">
        <v>225</v>
      </c>
      <c r="B100" s="953"/>
      <c r="C100" s="953"/>
      <c r="D100" s="923" t="s">
        <v>155</v>
      </c>
      <c r="E100" s="924">
        <f>'22'!F100</f>
        <v>4165</v>
      </c>
      <c r="F100" s="954">
        <v>4178</v>
      </c>
      <c r="G100" s="925">
        <f t="shared" si="11"/>
        <v>13</v>
      </c>
      <c r="H100" s="926">
        <f>G100+'22'!H100</f>
        <v>-59</v>
      </c>
      <c r="I100" s="945"/>
      <c r="J100" s="928">
        <f>H100/DAY(B2)</f>
        <v>-2.5652173913043477</v>
      </c>
      <c r="K100" s="1024"/>
      <c r="L100" s="903"/>
      <c r="O100" s="930"/>
    </row>
    <row r="101" spans="1:15" x14ac:dyDescent="0.35">
      <c r="A101" s="1538" t="s">
        <v>227</v>
      </c>
      <c r="B101" s="1539"/>
      <c r="C101" s="1540"/>
      <c r="D101" s="957"/>
      <c r="E101" s="957"/>
      <c r="F101" s="957"/>
      <c r="G101" s="1041">
        <f>SUM(G95:G100)</f>
        <v>198</v>
      </c>
      <c r="H101" s="926">
        <f>G101+'22'!H101</f>
        <v>-1593</v>
      </c>
      <c r="I101" s="1042"/>
      <c r="J101" s="928">
        <f>H101/DAY(B2)</f>
        <v>-69.260869565217391</v>
      </c>
      <c r="K101" s="1024"/>
      <c r="L101" s="903"/>
      <c r="O101" s="930"/>
    </row>
    <row r="102" spans="1:15" s="975" customFormat="1" x14ac:dyDescent="0.25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x14ac:dyDescent="0.35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x14ac:dyDescent="0.35">
      <c r="A104" s="1548" t="s">
        <v>230</v>
      </c>
      <c r="B104" s="1549"/>
      <c r="C104" s="1057"/>
      <c r="D104" s="1053" t="s">
        <v>155</v>
      </c>
      <c r="E104" s="1054">
        <f>'22'!F104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3.2173913043478262</v>
      </c>
      <c r="N104" s="1093"/>
      <c r="O104" s="930"/>
    </row>
    <row r="105" spans="1:15" s="975" customFormat="1" x14ac:dyDescent="0.35">
      <c r="A105" s="1548" t="s">
        <v>77</v>
      </c>
      <c r="B105" s="1549"/>
      <c r="C105" s="1057"/>
      <c r="D105" s="1053" t="s">
        <v>155</v>
      </c>
      <c r="E105" s="1054">
        <f>'22'!F105</f>
        <v>35091</v>
      </c>
      <c r="F105" s="1058">
        <v>35097</v>
      </c>
      <c r="G105" s="1054">
        <f t="shared" ref="G105:G106" si="12">F105-E105</f>
        <v>6</v>
      </c>
      <c r="H105" s="1055">
        <f>SUM(G105+'1'!G77)</f>
        <v>54</v>
      </c>
      <c r="I105" s="1054"/>
      <c r="J105" s="1056">
        <f>H105/DAY(B2)</f>
        <v>2.347826086956522</v>
      </c>
      <c r="N105" s="1093"/>
      <c r="O105" s="930"/>
    </row>
    <row r="106" spans="1:15" s="975" customFormat="1" x14ac:dyDescent="0.35">
      <c r="A106" s="1548" t="s">
        <v>78</v>
      </c>
      <c r="B106" s="1550"/>
      <c r="C106" s="1549"/>
      <c r="D106" s="1053" t="s">
        <v>155</v>
      </c>
      <c r="E106" s="1054">
        <f>'22'!F106</f>
        <v>19036</v>
      </c>
      <c r="F106" s="1054">
        <v>19044</v>
      </c>
      <c r="G106" s="1054">
        <f t="shared" si="12"/>
        <v>8</v>
      </c>
      <c r="H106" s="1055">
        <f>SUM(G106+'1'!G78)</f>
        <v>342</v>
      </c>
      <c r="I106" s="1054"/>
      <c r="J106" s="1056">
        <f>H106/DAY(B2)</f>
        <v>14.869565217391305</v>
      </c>
      <c r="N106" s="1093"/>
      <c r="O106" s="930"/>
    </row>
    <row r="107" spans="1:15" s="975" customFormat="1" x14ac:dyDescent="0.35">
      <c r="A107" s="1551" t="s">
        <v>213</v>
      </c>
      <c r="B107" s="1552"/>
      <c r="C107" s="1057"/>
      <c r="D107" s="1053"/>
      <c r="E107" s="1054">
        <f>'22'!F107</f>
        <v>0</v>
      </c>
      <c r="F107" s="1054"/>
      <c r="G107" s="1054">
        <f>SUM(G104:G106)</f>
        <v>14</v>
      </c>
      <c r="H107" s="1055">
        <f>SUM(G107+'1'!G79)</f>
        <v>219</v>
      </c>
      <c r="I107" s="1054"/>
      <c r="J107" s="1056">
        <f>H107/DAY(B2)</f>
        <v>9.5217391304347831</v>
      </c>
      <c r="N107" s="1093"/>
      <c r="O107" s="930"/>
    </row>
    <row r="108" spans="1:15" s="975" customFormat="1" x14ac:dyDescent="0.35">
      <c r="A108" s="1553" t="s">
        <v>79</v>
      </c>
      <c r="B108" s="1554"/>
      <c r="C108" s="1057"/>
      <c r="D108" s="1053" t="s">
        <v>155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x14ac:dyDescent="0.35">
      <c r="A109" s="1548" t="s">
        <v>231</v>
      </c>
      <c r="B109" s="1549"/>
      <c r="C109" s="1057"/>
      <c r="D109" s="1053" t="s">
        <v>155</v>
      </c>
      <c r="E109" s="1054">
        <f>'22'!F109</f>
        <v>54208</v>
      </c>
      <c r="F109" s="1054">
        <v>54253</v>
      </c>
      <c r="G109" s="1054">
        <f>F109-E109</f>
        <v>45</v>
      </c>
      <c r="H109" s="1055">
        <f>SUM(G109+'1'!G81)</f>
        <v>121</v>
      </c>
      <c r="I109" s="1054"/>
      <c r="J109" s="1056">
        <f>H109/DAY(B2)</f>
        <v>5.2608695652173916</v>
      </c>
      <c r="N109" s="1093"/>
      <c r="O109" s="930"/>
    </row>
    <row r="110" spans="1:15" s="975" customFormat="1" x14ac:dyDescent="0.35">
      <c r="A110" s="1548" t="s">
        <v>232</v>
      </c>
      <c r="B110" s="1549"/>
      <c r="C110" s="1057"/>
      <c r="D110" s="1053" t="s">
        <v>155</v>
      </c>
      <c r="E110" s="1054">
        <f>'22'!F110</f>
        <v>28045</v>
      </c>
      <c r="F110" s="1054">
        <v>28086</v>
      </c>
      <c r="G110" s="1054">
        <f t="shared" ref="G110:G111" si="13">F110-E110</f>
        <v>41</v>
      </c>
      <c r="H110" s="1055">
        <f>SUM(G110+'1'!G82)</f>
        <v>86</v>
      </c>
      <c r="I110" s="1054"/>
      <c r="J110" s="1056">
        <f>H110/DAY(B2)</f>
        <v>3.7391304347826089</v>
      </c>
      <c r="N110" s="1093"/>
      <c r="O110" s="930"/>
    </row>
    <row r="111" spans="1:15" s="975" customFormat="1" x14ac:dyDescent="0.35">
      <c r="A111" s="1548" t="s">
        <v>233</v>
      </c>
      <c r="B111" s="1549"/>
      <c r="C111" s="1057"/>
      <c r="D111" s="1053" t="s">
        <v>155</v>
      </c>
      <c r="E111" s="1054">
        <f>'22'!F111</f>
        <v>3694</v>
      </c>
      <c r="F111" s="1054">
        <v>3707</v>
      </c>
      <c r="G111" s="1054">
        <f t="shared" si="13"/>
        <v>13</v>
      </c>
      <c r="H111" s="1055">
        <f>SUM(G111+'1'!G83)</f>
        <v>446</v>
      </c>
      <c r="I111" s="1054"/>
      <c r="J111" s="1056">
        <f>H111/DAY(B2)</f>
        <v>19.391304347826086</v>
      </c>
      <c r="N111" s="1093"/>
      <c r="O111" s="930"/>
    </row>
    <row r="112" spans="1:15" s="975" customFormat="1" x14ac:dyDescent="0.35">
      <c r="A112" s="1558" t="s">
        <v>121</v>
      </c>
      <c r="B112" s="1559"/>
      <c r="C112" s="1057"/>
      <c r="D112" s="1053"/>
      <c r="E112" s="1054">
        <f>'22'!F112</f>
        <v>0</v>
      </c>
      <c r="F112" s="1054"/>
      <c r="G112" s="1054">
        <f>SUM(G109:G111)</f>
        <v>99</v>
      </c>
      <c r="H112" s="1055">
        <f>SUM(G112+'1'!G84)</f>
        <v>620</v>
      </c>
      <c r="I112" s="1054"/>
      <c r="J112" s="1056">
        <f>H112/DAY(B2)</f>
        <v>26.956521739130434</v>
      </c>
      <c r="N112" s="1093"/>
      <c r="O112" s="930"/>
    </row>
    <row r="113" spans="1:15" s="975" customFormat="1" x14ac:dyDescent="0.35">
      <c r="A113" s="1553" t="s">
        <v>234</v>
      </c>
      <c r="B113" s="1554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x14ac:dyDescent="0.35">
      <c r="A114" s="1548" t="s">
        <v>235</v>
      </c>
      <c r="B114" s="1549"/>
      <c r="C114" s="1059"/>
      <c r="D114" s="1053" t="s">
        <v>155</v>
      </c>
      <c r="E114" s="1054">
        <f>'22'!F114</f>
        <v>9602</v>
      </c>
      <c r="F114" s="1058">
        <v>9614</v>
      </c>
      <c r="G114" s="1058">
        <f>F114-E114</f>
        <v>12</v>
      </c>
      <c r="H114" s="1055">
        <f>SUM(G114+'1'!G91)</f>
        <v>12</v>
      </c>
      <c r="I114" s="1054"/>
      <c r="J114" s="1056">
        <f>H114/DAY(B2)</f>
        <v>0.52173913043478259</v>
      </c>
      <c r="N114" s="1093"/>
      <c r="O114" s="930"/>
    </row>
    <row r="115" spans="1:15" s="975" customFormat="1" x14ac:dyDescent="0.35">
      <c r="A115" s="1548" t="s">
        <v>236</v>
      </c>
      <c r="B115" s="1549"/>
      <c r="C115" s="1059"/>
      <c r="D115" s="1053" t="s">
        <v>155</v>
      </c>
      <c r="E115" s="1054">
        <f>'22'!F115</f>
        <v>7362</v>
      </c>
      <c r="F115" s="1058">
        <v>7374</v>
      </c>
      <c r="G115" s="1058">
        <f t="shared" ref="G115:G116" si="14">F115-E115</f>
        <v>12</v>
      </c>
      <c r="H115" s="1055">
        <f>SUM(G115+'1'!G92)</f>
        <v>99</v>
      </c>
      <c r="I115" s="1054"/>
      <c r="J115" s="1056">
        <f>H115/DAY(B2)</f>
        <v>4.3043478260869561</v>
      </c>
      <c r="N115" s="1093"/>
      <c r="O115" s="930"/>
    </row>
    <row r="116" spans="1:15" s="975" customFormat="1" x14ac:dyDescent="0.35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 x14ac:dyDescent="0.35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4.1739130434782608</v>
      </c>
      <c r="N117" s="1098"/>
      <c r="O117" s="930"/>
    </row>
    <row r="118" spans="1:15" s="851" customFormat="1" x14ac:dyDescent="0.35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146</v>
      </c>
      <c r="G118" s="1065">
        <f>SUM(G19+G92)</f>
        <v>146</v>
      </c>
      <c r="H118" s="1055">
        <f>SUM(G118+'1'!G96)</f>
        <v>169</v>
      </c>
      <c r="I118" s="1064"/>
      <c r="J118" s="1066">
        <f>H118/DAY(B2)</f>
        <v>7.3478260869565215</v>
      </c>
      <c r="N118" s="1099" t="s">
        <v>226</v>
      </c>
      <c r="O118" s="930"/>
    </row>
    <row r="119" spans="1:15" s="851" customFormat="1" x14ac:dyDescent="0.35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142</v>
      </c>
      <c r="G119" s="1065">
        <f>SUM(G95,G96,G97,G99,G100)</f>
        <v>142</v>
      </c>
      <c r="H119" s="1055">
        <f>SUM(G119+'1'!G98)</f>
        <v>225</v>
      </c>
      <c r="I119" s="1064"/>
      <c r="J119" s="1066">
        <f>H119/DAY(B2)</f>
        <v>9.7826086956521738</v>
      </c>
      <c r="N119" s="1099"/>
      <c r="O119" s="930"/>
    </row>
    <row r="120" spans="1:15" s="851" customFormat="1" x14ac:dyDescent="0.35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99</v>
      </c>
      <c r="G120" s="1058">
        <f>SUM(G112)</f>
        <v>99</v>
      </c>
      <c r="H120" s="1055">
        <f>SUM(G120+'1'!G100)</f>
        <v>105</v>
      </c>
      <c r="I120" s="1064"/>
      <c r="J120" s="1066">
        <f>H120/DAY(B2)</f>
        <v>4.5652173913043477</v>
      </c>
      <c r="N120" s="1099"/>
      <c r="O120" s="930"/>
    </row>
    <row r="121" spans="1:15" s="975" customFormat="1" x14ac:dyDescent="0.35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x14ac:dyDescent="0.3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x14ac:dyDescent="0.35">
      <c r="A123" s="952" t="s">
        <v>242</v>
      </c>
      <c r="B123" s="953"/>
      <c r="C123" s="953"/>
      <c r="D123" s="923" t="s">
        <v>152</v>
      </c>
      <c r="E123" s="924">
        <f>'22'!F123</f>
        <v>800972.08</v>
      </c>
      <c r="F123" s="942">
        <v>801217.94</v>
      </c>
      <c r="G123" s="925">
        <f>F123-E123</f>
        <v>245.85999999998603</v>
      </c>
      <c r="H123" s="926">
        <f>G123+'22'!H123</f>
        <v>-2117.4600000000792</v>
      </c>
      <c r="I123" s="1042"/>
      <c r="J123" s="928">
        <f>H123/DAY(B2)</f>
        <v>-92.063478260873012</v>
      </c>
      <c r="K123" s="1024"/>
      <c r="L123" s="903"/>
      <c r="O123" s="930"/>
    </row>
    <row r="124" spans="1:15" x14ac:dyDescent="0.35">
      <c r="A124" s="952" t="s">
        <v>243</v>
      </c>
      <c r="B124" s="953"/>
      <c r="C124" s="953"/>
      <c r="D124" s="923" t="s">
        <v>152</v>
      </c>
      <c r="E124" s="924">
        <f>'22'!F124</f>
        <v>73582.3</v>
      </c>
      <c r="F124" s="1070">
        <v>73582.3</v>
      </c>
      <c r="G124" s="925">
        <f t="shared" ref="G124:G127" si="15">F124-E124</f>
        <v>0</v>
      </c>
      <c r="H124" s="926">
        <f>G124+'22'!H124</f>
        <v>0.30000000000291038</v>
      </c>
      <c r="I124" s="1042"/>
      <c r="J124" s="928">
        <f>H124/DAY(B2)</f>
        <v>1.3043478260996104E-2</v>
      </c>
      <c r="K124" s="1024"/>
      <c r="L124" s="903"/>
      <c r="O124" s="930"/>
    </row>
    <row r="125" spans="1:15" x14ac:dyDescent="0.35">
      <c r="A125" s="1509" t="s">
        <v>244</v>
      </c>
      <c r="B125" s="1510"/>
      <c r="C125" s="1511"/>
      <c r="D125" s="923" t="s">
        <v>152</v>
      </c>
      <c r="E125" s="924">
        <f>'22'!F125</f>
        <v>137241.04999999999</v>
      </c>
      <c r="F125" s="942">
        <v>137324.48000000001</v>
      </c>
      <c r="G125" s="925">
        <f t="shared" si="15"/>
        <v>83.430000000022119</v>
      </c>
      <c r="H125" s="926">
        <f>G125+'22'!H125</f>
        <v>-523.51999999998952</v>
      </c>
      <c r="I125" s="1042"/>
      <c r="J125" s="928">
        <f>H125/DAY(B2)</f>
        <v>-22.761739130434329</v>
      </c>
      <c r="K125" s="1024"/>
      <c r="L125" s="903"/>
      <c r="O125" s="930"/>
    </row>
    <row r="126" spans="1:15" x14ac:dyDescent="0.35">
      <c r="A126" s="1071" t="s">
        <v>245</v>
      </c>
      <c r="B126" s="953"/>
      <c r="C126" s="953"/>
      <c r="D126" s="923" t="s">
        <v>152</v>
      </c>
      <c r="E126" s="924">
        <f>'22'!F126</f>
        <v>58105</v>
      </c>
      <c r="F126" s="1070">
        <v>58145.4</v>
      </c>
      <c r="G126" s="925">
        <f t="shared" si="15"/>
        <v>40.400000000001455</v>
      </c>
      <c r="H126" s="926">
        <f>G126+'22'!H126</f>
        <v>-246.29999999999563</v>
      </c>
      <c r="I126" s="1042"/>
      <c r="J126" s="928">
        <f>H126/DAY(B2)</f>
        <v>-10.708695652173724</v>
      </c>
      <c r="K126" s="1024"/>
      <c r="L126" s="903"/>
      <c r="O126" s="930"/>
    </row>
    <row r="127" spans="1:15" x14ac:dyDescent="0.35">
      <c r="A127" s="1071" t="s">
        <v>246</v>
      </c>
      <c r="B127" s="953"/>
      <c r="C127" s="953"/>
      <c r="D127" s="923" t="s">
        <v>152</v>
      </c>
      <c r="E127" s="924">
        <f>'22'!F127</f>
        <v>8785</v>
      </c>
      <c r="F127" s="1070">
        <v>8789.1</v>
      </c>
      <c r="G127" s="925">
        <f t="shared" si="15"/>
        <v>4.1000000000003638</v>
      </c>
      <c r="H127" s="926">
        <f>G127+'22'!H127</f>
        <v>-26.899999999999636</v>
      </c>
      <c r="I127" s="945"/>
      <c r="J127" s="928">
        <f>H127/DAY(B2)</f>
        <v>-1.1695652173912885</v>
      </c>
      <c r="K127" s="1024"/>
      <c r="L127" s="903"/>
      <c r="O127" s="930"/>
    </row>
    <row r="128" spans="1:15" x14ac:dyDescent="0.3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561.14999999993415</v>
      </c>
      <c r="H128" s="926">
        <f>G128+'22'!H128</f>
        <v>-10557.830000000218</v>
      </c>
      <c r="I128" s="945"/>
      <c r="J128" s="928">
        <f>H128/DAY(B2)</f>
        <v>-459.03608695653122</v>
      </c>
      <c r="K128" s="1024"/>
      <c r="L128" s="903"/>
      <c r="O128" s="930"/>
    </row>
    <row r="129" spans="1:15" x14ac:dyDescent="0.3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 x14ac:dyDescent="0.35">
      <c r="A130" s="952" t="s">
        <v>249</v>
      </c>
      <c r="B130" s="953"/>
      <c r="C130" s="953"/>
      <c r="D130" s="923" t="s">
        <v>250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 x14ac:dyDescent="0.35">
      <c r="A131" s="952" t="s">
        <v>251</v>
      </c>
      <c r="B131" s="953"/>
      <c r="C131" s="953"/>
      <c r="D131" s="923" t="s">
        <v>250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 x14ac:dyDescent="0.35">
      <c r="A132" s="952" t="s">
        <v>252</v>
      </c>
      <c r="B132" s="953"/>
      <c r="C132" s="953"/>
      <c r="D132" s="923" t="s">
        <v>250</v>
      </c>
      <c r="E132" s="924">
        <f>'22'!F132</f>
        <v>38889.06</v>
      </c>
      <c r="F132" s="1075">
        <v>38913.01</v>
      </c>
      <c r="G132" s="925">
        <f t="shared" si="16"/>
        <v>23.950000000004366</v>
      </c>
      <c r="H132" s="926">
        <f>G132+'22'!H132</f>
        <v>194.61999999999534</v>
      </c>
      <c r="I132" s="945"/>
      <c r="J132" s="928">
        <f>H132/DAY(B2)</f>
        <v>8.4617391304345801</v>
      </c>
      <c r="O132" s="930"/>
    </row>
    <row r="133" spans="1:15" x14ac:dyDescent="0.35">
      <c r="A133" s="952" t="s">
        <v>253</v>
      </c>
      <c r="B133" s="953"/>
      <c r="C133" s="953"/>
      <c r="D133" s="923" t="s">
        <v>250</v>
      </c>
      <c r="E133" s="924">
        <f>'22'!F133</f>
        <v>299.02</v>
      </c>
      <c r="F133" s="1075">
        <v>299.01</v>
      </c>
      <c r="G133" s="925">
        <f t="shared" si="16"/>
        <v>-9.9999999999909051E-3</v>
      </c>
      <c r="H133" s="926">
        <f>G133+'22'!H133</f>
        <v>9.9999999999909051E-3</v>
      </c>
      <c r="I133" s="945">
        <f>G130+G131+G132+G133</f>
        <v>23.940000000004375</v>
      </c>
      <c r="J133" s="928">
        <f>H133/DAY(B2)</f>
        <v>4.3478260869525673E-4</v>
      </c>
      <c r="O133" s="930"/>
    </row>
    <row r="134" spans="1:15" x14ac:dyDescent="0.35">
      <c r="A134" s="952" t="s">
        <v>254</v>
      </c>
      <c r="B134" s="953"/>
      <c r="C134" s="953"/>
      <c r="D134" s="923" t="s">
        <v>250</v>
      </c>
      <c r="E134" s="924">
        <f>'22'!F134</f>
        <v>39951.050000000003</v>
      </c>
      <c r="F134" s="1075">
        <v>39951.050000000003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 x14ac:dyDescent="0.35">
      <c r="A135" s="952" t="s">
        <v>255</v>
      </c>
      <c r="B135" s="953"/>
      <c r="C135" s="953"/>
      <c r="D135" s="923" t="s">
        <v>250</v>
      </c>
      <c r="E135" s="924">
        <f>'22'!F135</f>
        <v>32423</v>
      </c>
      <c r="F135" s="1075">
        <v>32423</v>
      </c>
      <c r="G135" s="925">
        <f t="shared" si="16"/>
        <v>0</v>
      </c>
      <c r="H135" s="926">
        <v>13</v>
      </c>
      <c r="I135" s="945"/>
      <c r="J135" s="928">
        <f>H135/DAY(B2)</f>
        <v>0.56521739130434778</v>
      </c>
      <c r="O135" s="930"/>
    </row>
    <row r="136" spans="1:15" x14ac:dyDescent="0.35">
      <c r="A136" s="952" t="s">
        <v>256</v>
      </c>
      <c r="B136" s="953"/>
      <c r="C136" s="953"/>
      <c r="D136" s="923" t="s">
        <v>250</v>
      </c>
      <c r="E136" s="924">
        <f>'22'!F136</f>
        <v>21935.87</v>
      </c>
      <c r="F136" s="1075">
        <v>21946.05</v>
      </c>
      <c r="G136" s="925">
        <f t="shared" si="16"/>
        <v>10.180000000000291</v>
      </c>
      <c r="H136" s="926">
        <f>G136+'22'!H136</f>
        <v>-55.909999999999854</v>
      </c>
      <c r="I136" s="945">
        <f>G134+G135+G136</f>
        <v>10.180000000000291</v>
      </c>
      <c r="J136" s="928">
        <f>H136/DAY(B2)</f>
        <v>-2.4308695652173848</v>
      </c>
      <c r="O136" s="930"/>
    </row>
    <row r="137" spans="1:15" x14ac:dyDescent="0.35">
      <c r="A137" s="952" t="s">
        <v>257</v>
      </c>
      <c r="B137" s="953"/>
      <c r="C137" s="953"/>
      <c r="D137" s="923" t="s">
        <v>250</v>
      </c>
      <c r="E137" s="924">
        <f>'22'!F137</f>
        <v>25019.94</v>
      </c>
      <c r="F137" s="1075">
        <v>25019.94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 x14ac:dyDescent="0.35">
      <c r="A138" s="952" t="s">
        <v>258</v>
      </c>
      <c r="B138" s="953"/>
      <c r="C138" s="953"/>
      <c r="D138" s="923" t="s">
        <v>250</v>
      </c>
      <c r="E138" s="924">
        <f>'22'!F138</f>
        <v>70057.8</v>
      </c>
      <c r="F138" s="1075">
        <v>70057.8</v>
      </c>
      <c r="G138" s="925">
        <f t="shared" si="16"/>
        <v>0</v>
      </c>
      <c r="H138" s="926">
        <v>15</v>
      </c>
      <c r="I138" s="945">
        <f>G137+G138</f>
        <v>0</v>
      </c>
      <c r="J138" s="928">
        <f>H138/DAY(B2)</f>
        <v>0.65217391304347827</v>
      </c>
      <c r="O138" s="930"/>
    </row>
    <row r="139" spans="1:15" x14ac:dyDescent="0.35">
      <c r="A139" s="952" t="s">
        <v>259</v>
      </c>
      <c r="B139" s="953"/>
      <c r="C139" s="953"/>
      <c r="D139" s="923" t="s">
        <v>250</v>
      </c>
      <c r="E139" s="924">
        <f>'22'!F139</f>
        <v>1131.52</v>
      </c>
      <c r="F139" s="954">
        <v>1138.53</v>
      </c>
      <c r="G139" s="925">
        <f t="shared" si="16"/>
        <v>7.0099999999999909</v>
      </c>
      <c r="H139" s="926">
        <f>G139+'22'!H139</f>
        <v>-62.059999999999945</v>
      </c>
      <c r="I139" s="1076"/>
      <c r="J139" s="928">
        <f>H139/DAY(B2)</f>
        <v>-2.6982608695652148</v>
      </c>
      <c r="O139" s="930"/>
    </row>
    <row r="140" spans="1:15" x14ac:dyDescent="0.35">
      <c r="A140" s="952" t="s">
        <v>260</v>
      </c>
      <c r="B140" s="953"/>
      <c r="C140" s="953"/>
      <c r="D140" s="923" t="s">
        <v>250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 x14ac:dyDescent="0.3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 x14ac:dyDescent="0.3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5402.0900000000256</v>
      </c>
      <c r="H142" s="926">
        <f>G142+'22'!H142</f>
        <v>-45170.199999999953</v>
      </c>
      <c r="I142" s="945"/>
      <c r="J142" s="928">
        <f>H142/DAY(B2)</f>
        <v>-1963.9217391304328</v>
      </c>
      <c r="K142" s="1024"/>
      <c r="L142" s="903"/>
      <c r="O142" s="930"/>
    </row>
    <row r="143" spans="1:15" x14ac:dyDescent="0.3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0.27409254655233778</v>
      </c>
      <c r="H143" s="926">
        <f>G143+'22'!H143</f>
        <v>5.7486488799788029</v>
      </c>
      <c r="I143" s="1078"/>
      <c r="J143" s="928">
        <f>H143/DAY(B2)</f>
        <v>0.2499412556512523</v>
      </c>
      <c r="K143" s="1024"/>
      <c r="L143" s="903"/>
      <c r="O143" s="930"/>
    </row>
    <row r="144" spans="1:15" x14ac:dyDescent="0.3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4346.660000000018</v>
      </c>
      <c r="H144" s="926">
        <f>G144+'22'!H144</f>
        <v>-29821.510000000024</v>
      </c>
      <c r="I144" s="945"/>
      <c r="J144" s="928">
        <f>H144/DAY(B2)</f>
        <v>-1296.5873913043488</v>
      </c>
      <c r="K144" s="1024"/>
      <c r="L144" s="903"/>
      <c r="O144" s="930"/>
    </row>
    <row r="145" spans="1:15" x14ac:dyDescent="0.3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0.22054188441828698</v>
      </c>
      <c r="H145" s="926">
        <f>G145+'22'!H145</f>
        <v>5.019381245664273</v>
      </c>
      <c r="I145" s="1078"/>
      <c r="J145" s="928">
        <f>H145/DAY(B2)</f>
        <v>0.21823396720279448</v>
      </c>
      <c r="K145" s="1024"/>
      <c r="L145" s="903"/>
      <c r="O145" s="930"/>
    </row>
    <row r="146" spans="1:15" x14ac:dyDescent="0.3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4262.7600000000093</v>
      </c>
      <c r="H146" s="926">
        <f>G146+'22'!H146</f>
        <v>878993.78</v>
      </c>
      <c r="I146" s="1079"/>
      <c r="J146" s="928">
        <f>H146/DAY(B2)</f>
        <v>38217.120869565217</v>
      </c>
      <c r="K146" s="1024"/>
      <c r="L146" s="903"/>
      <c r="O146" s="930"/>
    </row>
    <row r="147" spans="1:15" x14ac:dyDescent="0.3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0.21628494596377337</v>
      </c>
      <c r="H147" s="926">
        <f>G147+'22'!H147</f>
        <v>3.4527057013121727</v>
      </c>
      <c r="I147" s="1079"/>
      <c r="J147" s="928">
        <f>H147/DAY(B2)</f>
        <v>0.15011763918748577</v>
      </c>
      <c r="O147" s="930"/>
    </row>
    <row r="148" spans="1:15" x14ac:dyDescent="0.3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1944.0400000000373</v>
      </c>
      <c r="H148" s="926">
        <f>G148+'22'!H148</f>
        <v>135590.42000000004</v>
      </c>
      <c r="I148" s="945"/>
      <c r="J148" s="928">
        <f>H148/DAY(B2)</f>
        <v>5895.2356521739148</v>
      </c>
      <c r="K148" s="1080"/>
      <c r="O148" s="930"/>
    </row>
    <row r="149" spans="1:15" x14ac:dyDescent="0.3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9.8637170835660731E-2</v>
      </c>
      <c r="H149" s="926">
        <f>G149+'22'!H149</f>
        <v>2.1637425330205966</v>
      </c>
      <c r="I149" s="1079"/>
      <c r="J149" s="928">
        <f>H149/DAY(B2)</f>
        <v>9.4075762305243324E-2</v>
      </c>
      <c r="O149" s="930"/>
    </row>
    <row r="150" spans="1:15" x14ac:dyDescent="0.3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1702.5800000000745</v>
      </c>
      <c r="H150" s="926">
        <f>G150+'22'!H150</f>
        <v>-14211.039999999979</v>
      </c>
      <c r="I150" s="1079"/>
      <c r="J150" s="928">
        <f>H150/DAY(B2)</f>
        <v>-617.87130434782523</v>
      </c>
      <c r="O150" s="930"/>
    </row>
    <row r="151" spans="1:15" x14ac:dyDescent="0.3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8.6385915064187649E-2</v>
      </c>
      <c r="H151" s="926">
        <f>G151+'22'!H151</f>
        <v>2.2272922529981432</v>
      </c>
      <c r="I151" s="945"/>
      <c r="J151" s="928">
        <f>H151/DAY(B2)</f>
        <v>9.6838793608614915E-2</v>
      </c>
      <c r="O151" s="930"/>
    </row>
    <row r="152" spans="1:15" x14ac:dyDescent="0.3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1462.6699999999983</v>
      </c>
      <c r="H152" s="926">
        <f>G152+'22'!H152</f>
        <v>403151.89999999997</v>
      </c>
      <c r="I152" s="945"/>
      <c r="J152" s="928">
        <f>H152/DAY(B2)</f>
        <v>17528.343478260867</v>
      </c>
      <c r="O152" s="930"/>
    </row>
    <row r="153" spans="1:15" ht="21" thickBot="1" x14ac:dyDescent="0.4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7.4213303566898287E-2</v>
      </c>
      <c r="H153" s="926">
        <f>G153+'22'!H153</f>
        <v>1.0753044156799592</v>
      </c>
      <c r="I153" s="1084"/>
      <c r="J153" s="1085">
        <f>H153/DAY(B2)</f>
        <v>4.6752365899128658E-2</v>
      </c>
      <c r="O153" s="930"/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 x14ac:dyDescent="0.35">
      <c r="A160" s="1076" t="s">
        <v>274</v>
      </c>
      <c r="B160" s="1076"/>
      <c r="C160" s="1076"/>
      <c r="D160" s="910" t="s">
        <v>198</v>
      </c>
      <c r="E160" s="924">
        <f>'22'!F160</f>
        <v>27694.720000000001</v>
      </c>
      <c r="F160" s="1101">
        <v>27778.69</v>
      </c>
      <c r="G160" s="925">
        <f t="shared" ref="G160:G163" si="17">F160-E160</f>
        <v>83.969999999997526</v>
      </c>
    </row>
    <row r="161" spans="1:10" ht="21.75" customHeight="1" x14ac:dyDescent="0.35">
      <c r="A161" s="1076" t="s">
        <v>275</v>
      </c>
      <c r="B161" s="1076"/>
      <c r="C161" s="1076"/>
      <c r="D161" s="910" t="s">
        <v>198</v>
      </c>
      <c r="E161" s="924">
        <f>'22'!F161</f>
        <v>38562.980000000003</v>
      </c>
      <c r="F161" s="1101">
        <v>39033.03</v>
      </c>
      <c r="G161" s="925">
        <f t="shared" si="17"/>
        <v>470.04999999999563</v>
      </c>
    </row>
    <row r="162" spans="1:10" ht="21.75" customHeight="1" x14ac:dyDescent="0.35">
      <c r="A162" s="1076" t="s">
        <v>276</v>
      </c>
      <c r="B162" s="1076"/>
      <c r="C162" s="1076"/>
      <c r="D162" s="910" t="s">
        <v>198</v>
      </c>
      <c r="E162" s="924">
        <f>'22'!F162</f>
        <v>10487.3</v>
      </c>
      <c r="F162" s="1101">
        <v>10882.5</v>
      </c>
      <c r="G162" s="925">
        <f t="shared" si="17"/>
        <v>395.20000000000073</v>
      </c>
    </row>
    <row r="163" spans="1:10" ht="21.75" customHeight="1" x14ac:dyDescent="0.35">
      <c r="A163" s="1076" t="s">
        <v>277</v>
      </c>
      <c r="B163" s="1076"/>
      <c r="C163" s="1076"/>
      <c r="D163" s="910" t="s">
        <v>198</v>
      </c>
      <c r="E163" s="924">
        <f>'22'!F163</f>
        <v>4812.28</v>
      </c>
      <c r="F163" s="1101">
        <v>4833.93</v>
      </c>
      <c r="G163" s="925">
        <f t="shared" si="17"/>
        <v>21.650000000000546</v>
      </c>
    </row>
    <row r="164" spans="1:10" ht="21.75" customHeight="1" x14ac:dyDescent="0.35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1"/>
    </row>
    <row r="165" spans="1:10" ht="21.75" customHeight="1" x14ac:dyDescent="0.35">
      <c r="A165" s="1006" t="s">
        <v>199</v>
      </c>
      <c r="B165" s="1006"/>
      <c r="C165" s="1006"/>
      <c r="D165" s="910" t="s">
        <v>198</v>
      </c>
      <c r="E165" s="1007">
        <f t="shared" ref="E165:E171" si="19">E63</f>
        <v>1236.99</v>
      </c>
      <c r="F165" s="1007">
        <f t="shared" ref="F165:F171" si="20">F63</f>
        <v>1245.43</v>
      </c>
      <c r="G165" s="925">
        <f t="shared" si="18"/>
        <v>8.4400000000000546</v>
      </c>
    </row>
    <row r="166" spans="1:10" ht="21.75" customHeight="1" x14ac:dyDescent="0.35">
      <c r="A166" s="1564" t="s">
        <v>107</v>
      </c>
      <c r="B166" s="1564"/>
      <c r="C166" s="1564"/>
      <c r="D166" s="923" t="s">
        <v>198</v>
      </c>
      <c r="E166" s="1007">
        <f t="shared" si="19"/>
        <v>107473.88</v>
      </c>
      <c r="F166" s="1007">
        <f t="shared" si="20"/>
        <v>107901.1</v>
      </c>
      <c r="G166" s="925">
        <f t="shared" si="18"/>
        <v>427.22000000000116</v>
      </c>
    </row>
    <row r="167" spans="1:10" ht="21.75" customHeight="1" x14ac:dyDescent="0.35">
      <c r="A167" s="1564" t="s">
        <v>108</v>
      </c>
      <c r="B167" s="1564"/>
      <c r="C167" s="1564"/>
      <c r="D167" s="923" t="s">
        <v>198</v>
      </c>
      <c r="E167" s="1007">
        <f t="shared" si="19"/>
        <v>118098.62</v>
      </c>
      <c r="F167" s="1007">
        <f t="shared" si="20"/>
        <v>118512.05</v>
      </c>
      <c r="G167" s="925">
        <f t="shared" si="18"/>
        <v>413.43000000000757</v>
      </c>
    </row>
    <row r="168" spans="1:10" ht="21.75" customHeight="1" x14ac:dyDescent="0.35">
      <c r="A168" s="1564" t="s">
        <v>109</v>
      </c>
      <c r="B168" s="1564"/>
      <c r="C168" s="1564"/>
      <c r="D168" s="923" t="s">
        <v>198</v>
      </c>
      <c r="E168" s="1007">
        <f t="shared" si="19"/>
        <v>10482.780000000001</v>
      </c>
      <c r="F168" s="1007">
        <f t="shared" si="20"/>
        <v>10824.81</v>
      </c>
      <c r="G168" s="925">
        <f t="shared" si="18"/>
        <v>342.02999999999884</v>
      </c>
    </row>
    <row r="169" spans="1:10" x14ac:dyDescent="0.35">
      <c r="A169" s="1564" t="s">
        <v>110</v>
      </c>
      <c r="B169" s="1564"/>
      <c r="C169" s="1564"/>
      <c r="D169" s="923" t="s">
        <v>198</v>
      </c>
      <c r="E169" s="1007">
        <f t="shared" si="19"/>
        <v>182726</v>
      </c>
      <c r="F169" s="1007">
        <f t="shared" si="20"/>
        <v>183352.45</v>
      </c>
      <c r="G169" s="925">
        <f t="shared" si="18"/>
        <v>626.45000000001164</v>
      </c>
    </row>
    <row r="170" spans="1:10" ht="24" customHeight="1" x14ac:dyDescent="0.55000000000000004">
      <c r="A170" s="1564" t="s">
        <v>111</v>
      </c>
      <c r="B170" s="1564"/>
      <c r="C170" s="1564"/>
      <c r="D170" s="923" t="s">
        <v>198</v>
      </c>
      <c r="E170" s="1007">
        <f t="shared" si="19"/>
        <v>60387.56</v>
      </c>
      <c r="F170" s="1007">
        <f t="shared" si="20"/>
        <v>60703.31</v>
      </c>
      <c r="G170" s="925">
        <f t="shared" si="18"/>
        <v>315.75</v>
      </c>
      <c r="J170" s="1162"/>
    </row>
    <row r="171" spans="1:10" x14ac:dyDescent="0.35">
      <c r="A171" s="1564" t="s">
        <v>112</v>
      </c>
      <c r="B171" s="1564"/>
      <c r="C171" s="1564"/>
      <c r="D171" s="923" t="s">
        <v>198</v>
      </c>
      <c r="E171" s="1007">
        <f t="shared" si="19"/>
        <v>52947.14</v>
      </c>
      <c r="F171" s="1007">
        <f t="shared" si="20"/>
        <v>53249.27</v>
      </c>
      <c r="G171" s="925">
        <f t="shared" si="18"/>
        <v>302.12999999999738</v>
      </c>
    </row>
    <row r="172" spans="1:10" x14ac:dyDescent="0.35">
      <c r="G172" s="1091">
        <f>SUM(G160:G171)</f>
        <v>3406.1200000000104</v>
      </c>
    </row>
    <row r="173" spans="1:10" x14ac:dyDescent="0.35">
      <c r="J173" s="1163"/>
    </row>
    <row r="176" spans="1:10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76"/>
  <sheetViews>
    <sheetView view="pageBreakPreview" topLeftCell="A82" zoomScale="68" zoomScaleNormal="44" zoomScaleSheetLayoutView="68" workbookViewId="0">
      <selection activeCell="F28" sqref="F28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 x14ac:dyDescent="0.4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 x14ac:dyDescent="0.35">
      <c r="A2" s="891" t="s">
        <v>331</v>
      </c>
      <c r="B2" s="1165">
        <v>43854</v>
      </c>
      <c r="C2" s="892" t="s">
        <v>69</v>
      </c>
      <c r="D2" s="893">
        <v>0.33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x14ac:dyDescent="0.35">
      <c r="A3" s="896"/>
      <c r="B3" s="897"/>
      <c r="C3" s="892" t="s">
        <v>131</v>
      </c>
      <c r="D3" s="898">
        <v>27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 x14ac:dyDescent="0.3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 t="s">
        <v>292</v>
      </c>
      <c r="K4" s="908"/>
      <c r="L4" s="903"/>
    </row>
    <row r="5" spans="1:15" x14ac:dyDescent="0.3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x14ac:dyDescent="0.3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142</v>
      </c>
      <c r="B7" s="922"/>
      <c r="C7" s="922"/>
      <c r="D7" s="923" t="s">
        <v>143</v>
      </c>
      <c r="E7" s="924">
        <f>'23'!F7</f>
        <v>3736421</v>
      </c>
      <c r="F7" s="924">
        <v>3755812</v>
      </c>
      <c r="G7" s="925">
        <f>F7-E7</f>
        <v>19391</v>
      </c>
      <c r="H7" s="926">
        <f>G7+'23'!H7</f>
        <v>-132386</v>
      </c>
      <c r="I7" s="927">
        <f>'1'!I7</f>
        <v>12000</v>
      </c>
      <c r="J7" s="928">
        <f>H7/DAY(B2)</f>
        <v>-5516.083333333333</v>
      </c>
      <c r="K7" s="929"/>
      <c r="L7" s="903"/>
      <c r="O7" s="930"/>
    </row>
    <row r="8" spans="1:15" ht="21" thickBot="1" x14ac:dyDescent="0.4">
      <c r="A8" s="931" t="s">
        <v>144</v>
      </c>
      <c r="B8" s="932"/>
      <c r="C8" s="933"/>
      <c r="D8" s="934" t="s">
        <v>25</v>
      </c>
      <c r="E8" s="924">
        <f>'23'!F8</f>
        <v>3759656</v>
      </c>
      <c r="F8" s="935">
        <v>3779214</v>
      </c>
      <c r="G8" s="936">
        <f>F8-E8</f>
        <v>19558</v>
      </c>
      <c r="H8" s="926">
        <f>G8+'23'!H8</f>
        <v>-133637</v>
      </c>
      <c r="I8" s="937">
        <f>'1'!I8</f>
        <v>12000</v>
      </c>
      <c r="J8" s="928">
        <f>H8/DAY(B2)</f>
        <v>-5568.208333333333</v>
      </c>
      <c r="K8" s="929"/>
      <c r="L8" s="938"/>
      <c r="M8" s="939"/>
      <c r="O8" s="930"/>
    </row>
    <row r="9" spans="1:15" x14ac:dyDescent="0.35">
      <c r="A9" s="940" t="s">
        <v>145</v>
      </c>
      <c r="B9" s="941"/>
      <c r="C9" s="941"/>
      <c r="D9" s="923" t="s">
        <v>143</v>
      </c>
      <c r="E9" s="924">
        <f>'23'!F9</f>
        <v>2483664.2999999998</v>
      </c>
      <c r="F9" s="942">
        <v>2490697</v>
      </c>
      <c r="G9" s="925">
        <f t="shared" ref="G9:G12" si="0">F9-E9</f>
        <v>7032.7000000001863</v>
      </c>
      <c r="H9" s="926">
        <f>G9+'23'!H9</f>
        <v>2527809.25</v>
      </c>
      <c r="I9" s="943">
        <f>I8-J8</f>
        <v>17568.208333333332</v>
      </c>
      <c r="J9" s="928">
        <f>H9/DAY(B2)</f>
        <v>105325.38541666667</v>
      </c>
      <c r="K9" s="944"/>
      <c r="L9" s="903"/>
      <c r="O9" s="930"/>
    </row>
    <row r="10" spans="1:15" x14ac:dyDescent="0.35">
      <c r="A10" s="921" t="s">
        <v>146</v>
      </c>
      <c r="B10" s="922"/>
      <c r="C10" s="922"/>
      <c r="D10" s="923" t="s">
        <v>143</v>
      </c>
      <c r="E10" s="924">
        <f>'23'!F10</f>
        <v>1105724.3</v>
      </c>
      <c r="F10" s="942">
        <v>1117423</v>
      </c>
      <c r="G10" s="925">
        <f t="shared" si="0"/>
        <v>11698.699999999953</v>
      </c>
      <c r="H10" s="926">
        <f>G10+'23'!H10</f>
        <v>-83451.399999999907</v>
      </c>
      <c r="I10" s="945"/>
      <c r="J10" s="928">
        <f>H10/DAY(B2)</f>
        <v>-3477.1416666666628</v>
      </c>
      <c r="K10" s="944"/>
      <c r="L10" s="903"/>
      <c r="M10" s="890" t="s">
        <v>293</v>
      </c>
      <c r="O10" s="930"/>
    </row>
    <row r="11" spans="1:15" x14ac:dyDescent="0.35">
      <c r="A11" s="921" t="s">
        <v>147</v>
      </c>
      <c r="B11" s="922"/>
      <c r="C11" s="922"/>
      <c r="D11" s="923" t="s">
        <v>143</v>
      </c>
      <c r="E11" s="924">
        <f>'23'!F11</f>
        <v>35390</v>
      </c>
      <c r="F11" s="924">
        <v>35390</v>
      </c>
      <c r="G11" s="925">
        <f t="shared" si="0"/>
        <v>0</v>
      </c>
      <c r="H11" s="926">
        <f>G11+'23'!H11</f>
        <v>0</v>
      </c>
      <c r="I11" s="945"/>
      <c r="J11" s="928">
        <f>H11/DAY(B2)</f>
        <v>0</v>
      </c>
      <c r="K11" s="944"/>
      <c r="L11" s="903"/>
      <c r="O11" s="930"/>
    </row>
    <row r="12" spans="1:15" x14ac:dyDescent="0.35">
      <c r="A12" s="921" t="s">
        <v>148</v>
      </c>
      <c r="B12" s="922"/>
      <c r="C12" s="922"/>
      <c r="D12" s="923" t="s">
        <v>143</v>
      </c>
      <c r="E12" s="924">
        <f>'23'!F12</f>
        <v>37630</v>
      </c>
      <c r="F12" s="942">
        <v>37630</v>
      </c>
      <c r="G12" s="925">
        <f t="shared" si="0"/>
        <v>0</v>
      </c>
      <c r="H12" s="926">
        <f>G12+'23'!H12</f>
        <v>0</v>
      </c>
      <c r="I12" s="945"/>
      <c r="J12" s="928">
        <f>H12/DAY(B2)</f>
        <v>0</v>
      </c>
      <c r="K12" s="944"/>
      <c r="L12" s="903"/>
      <c r="O12" s="930"/>
    </row>
    <row r="13" spans="1:15" x14ac:dyDescent="0.35">
      <c r="A13" s="946" t="s">
        <v>149</v>
      </c>
      <c r="B13" s="947"/>
      <c r="C13" s="947"/>
      <c r="D13" s="923"/>
      <c r="E13" s="924"/>
      <c r="F13" s="924"/>
      <c r="G13" s="948">
        <f>G9+G10+G11+G12</f>
        <v>18731.40000000014</v>
      </c>
      <c r="H13" s="926">
        <f>G13+'23'!H13</f>
        <v>2426051.8500000006</v>
      </c>
      <c r="I13" s="949">
        <f>G7-G13</f>
        <v>659.5999999998603</v>
      </c>
      <c r="J13" s="928">
        <f>H13/DAY(B2)</f>
        <v>101085.49375000002</v>
      </c>
      <c r="K13" s="944"/>
      <c r="L13" s="903"/>
      <c r="O13" s="930"/>
    </row>
    <row r="14" spans="1:15" x14ac:dyDescent="0.3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 x14ac:dyDescent="0.35">
      <c r="A15" s="952" t="s">
        <v>151</v>
      </c>
      <c r="B15" s="953"/>
      <c r="C15" s="953"/>
      <c r="D15" s="923" t="s">
        <v>152</v>
      </c>
      <c r="E15" s="924">
        <f>'23'!F15</f>
        <v>1588261.88</v>
      </c>
      <c r="F15" s="954">
        <v>1589010</v>
      </c>
      <c r="G15" s="1102">
        <f>(F15-E15)</f>
        <v>748.12000000011176</v>
      </c>
      <c r="H15" s="926">
        <f>G15+'23'!H15</f>
        <v>-5427.1499999999069</v>
      </c>
      <c r="I15" s="927">
        <f>'1'!I15</f>
        <v>800</v>
      </c>
      <c r="J15" s="928">
        <f>H15/DAY(B2)</f>
        <v>-226.13124999999613</v>
      </c>
      <c r="K15" s="944"/>
      <c r="L15" s="903"/>
      <c r="O15" s="930"/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1026.131249999996</v>
      </c>
      <c r="J16" s="961"/>
      <c r="K16" s="944"/>
      <c r="L16" s="903"/>
      <c r="N16" s="1094"/>
      <c r="O16" s="930"/>
    </row>
    <row r="17" spans="1:15" x14ac:dyDescent="0.35">
      <c r="A17" s="1515" t="s">
        <v>153</v>
      </c>
      <c r="B17" s="1516"/>
      <c r="C17" s="1517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 x14ac:dyDescent="0.35">
      <c r="A18" s="1512" t="s">
        <v>154</v>
      </c>
      <c r="B18" s="1513"/>
      <c r="C18" s="1514"/>
      <c r="D18" s="923" t="s">
        <v>155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3860</v>
      </c>
      <c r="I18" s="927">
        <f>'1'!I18</f>
        <v>65</v>
      </c>
      <c r="J18" s="928">
        <f>H18/DAY(B2)</f>
        <v>160.83333333333334</v>
      </c>
      <c r="K18" s="944"/>
      <c r="L18" s="903"/>
      <c r="O18" s="930"/>
    </row>
    <row r="19" spans="1:15" x14ac:dyDescent="0.35">
      <c r="A19" s="1512" t="s">
        <v>71</v>
      </c>
      <c r="B19" s="1513"/>
      <c r="C19" s="1514"/>
      <c r="D19" s="923" t="s">
        <v>155</v>
      </c>
      <c r="E19" s="924">
        <f>'23'!F19</f>
        <v>132633</v>
      </c>
      <c r="F19" s="954">
        <v>132683</v>
      </c>
      <c r="G19" s="925">
        <f t="shared" ref="G19" si="1">F19-E19</f>
        <v>50</v>
      </c>
      <c r="H19" s="926">
        <f>G19+'23'!H19</f>
        <v>-365</v>
      </c>
      <c r="I19" s="963"/>
      <c r="J19" s="928">
        <f>H19/DAY(B2)</f>
        <v>-15.208333333333334</v>
      </c>
      <c r="K19" s="944"/>
      <c r="L19" s="903"/>
      <c r="O19" s="930"/>
    </row>
    <row r="20" spans="1:15" x14ac:dyDescent="0.35">
      <c r="A20" s="946" t="s">
        <v>156</v>
      </c>
      <c r="B20" s="947"/>
      <c r="C20" s="947"/>
      <c r="D20" s="964"/>
      <c r="E20" s="964"/>
      <c r="F20" s="964"/>
      <c r="G20" s="965">
        <f>G18+G19</f>
        <v>190</v>
      </c>
      <c r="H20" s="926">
        <f>G20+'23'!H20</f>
        <v>3495</v>
      </c>
      <c r="I20" s="966">
        <f>I18-J20</f>
        <v>-80.625</v>
      </c>
      <c r="J20" s="928">
        <f>H20/DAY(B2)</f>
        <v>145.625</v>
      </c>
      <c r="K20" s="944"/>
      <c r="L20" s="903"/>
      <c r="O20" s="930"/>
    </row>
    <row r="21" spans="1:15" x14ac:dyDescent="0.3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 x14ac:dyDescent="0.35">
      <c r="A22" s="952" t="s">
        <v>158</v>
      </c>
      <c r="B22" s="953"/>
      <c r="C22" s="953"/>
      <c r="D22" s="923" t="s">
        <v>159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 x14ac:dyDescent="0.35">
      <c r="A23" s="952" t="s">
        <v>160</v>
      </c>
      <c r="B23" s="953"/>
      <c r="C23" s="953"/>
      <c r="D23" s="923" t="s">
        <v>159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 x14ac:dyDescent="0.35">
      <c r="A24" s="967" t="s">
        <v>161</v>
      </c>
      <c r="B24" s="968"/>
      <c r="C24" s="968"/>
      <c r="D24" s="910" t="s">
        <v>159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x14ac:dyDescent="0.3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x14ac:dyDescent="0.35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19558</v>
      </c>
      <c r="F27" s="577">
        <v>9</v>
      </c>
      <c r="G27" s="986">
        <f>E27*F27</f>
        <v>176022</v>
      </c>
      <c r="H27" s="926">
        <f>G27+'23'!H27</f>
        <v>-1202733</v>
      </c>
      <c r="I27" s="987"/>
      <c r="J27" s="928">
        <f>H27/DAY(B2)</f>
        <v>-50113.875</v>
      </c>
      <c r="K27" s="944"/>
      <c r="L27" s="974"/>
      <c r="N27" s="1093"/>
      <c r="O27" s="930"/>
    </row>
    <row r="28" spans="1:15" s="975" customFormat="1" ht="22.5" x14ac:dyDescent="0.4">
      <c r="A28" s="976" t="s">
        <v>165</v>
      </c>
      <c r="B28" s="977"/>
      <c r="C28" s="978"/>
      <c r="D28" s="983" t="s">
        <v>166</v>
      </c>
      <c r="E28" s="984">
        <f>G15</f>
        <v>748.12000000011176</v>
      </c>
      <c r="F28" s="577">
        <v>43.5</v>
      </c>
      <c r="G28" s="986">
        <f>E28*F28</f>
        <v>32543.220000004862</v>
      </c>
      <c r="H28" s="926">
        <f>G28+'23'!H28</f>
        <v>-236081.02499999595</v>
      </c>
      <c r="I28" s="988"/>
      <c r="J28" s="928">
        <f>H28/DAY(B2)</f>
        <v>-9836.7093749998312</v>
      </c>
      <c r="K28" s="944"/>
      <c r="L28" s="974"/>
      <c r="N28" s="1093"/>
      <c r="O28" s="930"/>
    </row>
    <row r="29" spans="1:15" s="975" customFormat="1" x14ac:dyDescent="0.35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 x14ac:dyDescent="0.35">
      <c r="A30" s="976" t="s">
        <v>169</v>
      </c>
      <c r="B30" s="977"/>
      <c r="C30" s="978"/>
      <c r="D30" s="983" t="s">
        <v>170</v>
      </c>
      <c r="E30" s="984">
        <f>G19</f>
        <v>50</v>
      </c>
      <c r="F30" s="985">
        <v>134</v>
      </c>
      <c r="G30" s="986">
        <f>E30*F30</f>
        <v>6700</v>
      </c>
      <c r="H30" s="926">
        <f>G30+'23'!H30</f>
        <v>-48910</v>
      </c>
      <c r="I30" s="988"/>
      <c r="J30" s="928">
        <f>H30/DAY(B2)</f>
        <v>-2037.9166666666667</v>
      </c>
      <c r="K30" s="944"/>
      <c r="L30" s="974"/>
      <c r="N30" s="1093"/>
      <c r="O30" s="930"/>
    </row>
    <row r="31" spans="1:15" s="975" customFormat="1" x14ac:dyDescent="0.35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308800</v>
      </c>
      <c r="I31" s="988"/>
      <c r="J31" s="928"/>
      <c r="K31" s="944"/>
      <c r="L31" s="974"/>
      <c r="N31" s="1093"/>
      <c r="O31" s="930"/>
    </row>
    <row r="32" spans="1:15" s="975" customFormat="1" x14ac:dyDescent="0.35">
      <c r="A32" s="989" t="s">
        <v>172</v>
      </c>
      <c r="B32" s="990"/>
      <c r="C32" s="991"/>
      <c r="D32" s="992"/>
      <c r="E32" s="992"/>
      <c r="F32" s="992"/>
      <c r="G32" s="993">
        <f>G27+G28+G29+G30+G31</f>
        <v>226465.22000000486</v>
      </c>
      <c r="H32" s="926">
        <f>G32+'23'!H32</f>
        <v>-1016774.0249999955</v>
      </c>
      <c r="I32" s="994"/>
      <c r="J32" s="928">
        <f>H32/DAY(B2)</f>
        <v>-42365.584374999809</v>
      </c>
      <c r="K32" s="944"/>
      <c r="L32" s="974"/>
      <c r="N32" s="1093"/>
      <c r="O32" s="930"/>
    </row>
    <row r="33" spans="1:15" ht="18.75" x14ac:dyDescent="0.3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 x14ac:dyDescent="0.3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x14ac:dyDescent="0.35">
      <c r="A35" s="921" t="s">
        <v>175</v>
      </c>
      <c r="B35" s="922"/>
      <c r="C35" s="922"/>
      <c r="D35" s="923" t="s">
        <v>143</v>
      </c>
      <c r="E35" s="924">
        <f>'23'!F35</f>
        <v>629027.67000000004</v>
      </c>
      <c r="F35" s="997">
        <v>629027.67000000004</v>
      </c>
      <c r="G35" s="925">
        <f t="shared" ref="G35:G46" si="3">F35-E35</f>
        <v>0</v>
      </c>
      <c r="H35" s="926">
        <f>G35+'23'!H35</f>
        <v>0</v>
      </c>
      <c r="I35" s="924"/>
      <c r="J35" s="928">
        <f>H35/DAY(B2)</f>
        <v>0</v>
      </c>
      <c r="K35" s="944"/>
      <c r="L35" s="903"/>
      <c r="O35" s="930"/>
    </row>
    <row r="36" spans="1:15" x14ac:dyDescent="0.35">
      <c r="A36" s="921" t="s">
        <v>176</v>
      </c>
      <c r="B36" s="922"/>
      <c r="C36" s="922"/>
      <c r="D36" s="923" t="s">
        <v>143</v>
      </c>
      <c r="E36" s="924">
        <f>'23'!F36</f>
        <v>270994.01</v>
      </c>
      <c r="F36" s="997">
        <v>271719.90999999997</v>
      </c>
      <c r="G36" s="925">
        <f t="shared" si="3"/>
        <v>725.89999999996508</v>
      </c>
      <c r="H36" s="926">
        <f>G36+'23'!H36</f>
        <v>-4771.5400000000373</v>
      </c>
      <c r="I36" s="924"/>
      <c r="J36" s="928">
        <f>H36/DAY(B2)</f>
        <v>-198.81416666666823</v>
      </c>
      <c r="K36" s="944"/>
      <c r="L36" s="903"/>
      <c r="O36" s="930"/>
    </row>
    <row r="37" spans="1:15" x14ac:dyDescent="0.35">
      <c r="A37" s="921" t="s">
        <v>177</v>
      </c>
      <c r="B37" s="922"/>
      <c r="C37" s="922"/>
      <c r="D37" s="923" t="s">
        <v>143</v>
      </c>
      <c r="E37" s="924">
        <f>'23'!F37</f>
        <v>415066</v>
      </c>
      <c r="F37" s="997">
        <v>415066</v>
      </c>
      <c r="G37" s="925">
        <f t="shared" si="3"/>
        <v>0</v>
      </c>
      <c r="H37" s="926">
        <f>G37+'23'!H37</f>
        <v>415066</v>
      </c>
      <c r="I37" s="924"/>
      <c r="J37" s="928">
        <f>H37/DAY(B2)</f>
        <v>17294.416666666668</v>
      </c>
      <c r="K37" s="944"/>
      <c r="L37" s="903"/>
      <c r="O37" s="930"/>
    </row>
    <row r="38" spans="1:15" x14ac:dyDescent="0.35">
      <c r="A38" s="921" t="s">
        <v>178</v>
      </c>
      <c r="B38" s="922"/>
      <c r="C38" s="922"/>
      <c r="D38" s="923" t="s">
        <v>143</v>
      </c>
      <c r="E38" s="924">
        <f>'23'!F38</f>
        <v>150714.38</v>
      </c>
      <c r="F38" s="913">
        <v>150714.38</v>
      </c>
      <c r="G38" s="925">
        <f t="shared" si="3"/>
        <v>0</v>
      </c>
      <c r="H38" s="926">
        <f>G38+'23'!H38</f>
        <v>150616.5</v>
      </c>
      <c r="I38" s="924"/>
      <c r="J38" s="928">
        <f>H38/DAY(B2)</f>
        <v>6275.6875</v>
      </c>
      <c r="K38" s="944"/>
      <c r="L38" s="903"/>
      <c r="O38" s="930"/>
    </row>
    <row r="39" spans="1:15" x14ac:dyDescent="0.35">
      <c r="A39" s="921" t="s">
        <v>179</v>
      </c>
      <c r="B39" s="922"/>
      <c r="C39" s="922"/>
      <c r="D39" s="923" t="s">
        <v>143</v>
      </c>
      <c r="E39" s="924">
        <f>'23'!F39</f>
        <v>912480</v>
      </c>
      <c r="F39" s="997">
        <v>912480</v>
      </c>
      <c r="G39" s="925">
        <f t="shared" si="3"/>
        <v>0</v>
      </c>
      <c r="H39" s="926">
        <f>G39+'23'!H39</f>
        <v>912480</v>
      </c>
      <c r="I39" s="924"/>
      <c r="J39" s="928">
        <f>H39/DAY(B2)</f>
        <v>38020</v>
      </c>
      <c r="K39" s="944"/>
      <c r="L39" s="903"/>
      <c r="N39" s="1092">
        <f>20*38.64</f>
        <v>772.8</v>
      </c>
      <c r="O39" s="930"/>
    </row>
    <row r="40" spans="1:15" x14ac:dyDescent="0.35">
      <c r="A40" s="998" t="s">
        <v>180</v>
      </c>
      <c r="B40" s="999"/>
      <c r="C40" s="999"/>
      <c r="D40" s="923" t="s">
        <v>143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 x14ac:dyDescent="0.35">
      <c r="A41" s="921" t="s">
        <v>181</v>
      </c>
      <c r="B41" s="922"/>
      <c r="C41" s="922"/>
      <c r="D41" s="923" t="s">
        <v>143</v>
      </c>
      <c r="E41" s="924">
        <f>'23'!F41</f>
        <v>14802.68</v>
      </c>
      <c r="F41" s="997">
        <v>19024</v>
      </c>
      <c r="G41" s="925">
        <f t="shared" si="3"/>
        <v>4221.32</v>
      </c>
      <c r="H41" s="926">
        <f>G41+'23'!H41</f>
        <v>-25598.519999999997</v>
      </c>
      <c r="I41" s="924"/>
      <c r="J41" s="928">
        <f>H41/DAY(B2)</f>
        <v>-1066.6049999999998</v>
      </c>
      <c r="K41" s="944"/>
      <c r="L41" s="903"/>
      <c r="O41" s="930"/>
    </row>
    <row r="42" spans="1:15" x14ac:dyDescent="0.35">
      <c r="A42" s="921" t="s">
        <v>182</v>
      </c>
      <c r="B42" s="922"/>
      <c r="C42" s="922"/>
      <c r="D42" s="923" t="s">
        <v>143</v>
      </c>
      <c r="E42" s="924">
        <f>'23'!F42</f>
        <v>58926.09</v>
      </c>
      <c r="F42" s="997">
        <v>58926</v>
      </c>
      <c r="G42" s="925">
        <f t="shared" si="3"/>
        <v>-8.999999999650754E-2</v>
      </c>
      <c r="H42" s="926">
        <f>G42+'23'!H42</f>
        <v>0</v>
      </c>
      <c r="I42" s="924"/>
      <c r="J42" s="928">
        <f>H42/DAY(B2)</f>
        <v>0</v>
      </c>
      <c r="K42" s="944"/>
      <c r="L42" s="903"/>
      <c r="O42" s="930"/>
    </row>
    <row r="43" spans="1:15" x14ac:dyDescent="0.35">
      <c r="A43" s="921" t="s">
        <v>183</v>
      </c>
      <c r="B43" s="922"/>
      <c r="C43" s="922"/>
      <c r="D43" s="923" t="s">
        <v>143</v>
      </c>
      <c r="E43" s="924">
        <f>'23'!F43</f>
        <v>749232.63</v>
      </c>
      <c r="F43" s="997">
        <v>751611</v>
      </c>
      <c r="G43" s="925">
        <f t="shared" si="3"/>
        <v>2378.3699999999953</v>
      </c>
      <c r="H43" s="926">
        <f>G43+'23'!H43</f>
        <v>-16200.910000000033</v>
      </c>
      <c r="I43" s="924"/>
      <c r="J43" s="928">
        <f>H43/DAY(B2)</f>
        <v>-675.03791666666802</v>
      </c>
      <c r="K43" s="944"/>
      <c r="L43" s="903"/>
      <c r="O43" s="930"/>
    </row>
    <row r="44" spans="1:15" x14ac:dyDescent="0.35">
      <c r="A44" s="921" t="s">
        <v>184</v>
      </c>
      <c r="B44" s="922"/>
      <c r="C44" s="922"/>
      <c r="D44" s="923" t="s">
        <v>143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 x14ac:dyDescent="0.35">
      <c r="A45" s="921" t="s">
        <v>185</v>
      </c>
      <c r="B45" s="922"/>
      <c r="C45" s="922"/>
      <c r="D45" s="923" t="s">
        <v>143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 x14ac:dyDescent="0.35">
      <c r="A46" s="921" t="s">
        <v>186</v>
      </c>
      <c r="B46" s="922"/>
      <c r="C46" s="922"/>
      <c r="D46" s="923" t="s">
        <v>143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 x14ac:dyDescent="0.3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7325.4999999999636</v>
      </c>
      <c r="H47" s="926">
        <f>G47+'23'!H47</f>
        <v>1431590.5000000002</v>
      </c>
      <c r="I47" s="924"/>
      <c r="J47" s="928">
        <f>H47/DAY(B2)</f>
        <v>59649.604166666679</v>
      </c>
      <c r="K47" s="944"/>
      <c r="L47" s="903"/>
      <c r="N47" s="1094"/>
      <c r="O47" s="930"/>
    </row>
    <row r="48" spans="1:15" x14ac:dyDescent="0.3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x14ac:dyDescent="0.35">
      <c r="A49" s="921" t="s">
        <v>175</v>
      </c>
      <c r="B49" s="1000"/>
      <c r="C49" s="1000"/>
      <c r="D49" s="923" t="s">
        <v>143</v>
      </c>
      <c r="E49" s="924">
        <f>'23'!F49</f>
        <v>221005.57</v>
      </c>
      <c r="F49" s="997">
        <v>224081</v>
      </c>
      <c r="G49" s="925">
        <f t="shared" ref="G49:G58" si="4">F49-E49</f>
        <v>3075.429999999993</v>
      </c>
      <c r="H49" s="926">
        <f>G49+'23'!H49</f>
        <v>-21818.049999999988</v>
      </c>
      <c r="I49" s="924"/>
      <c r="J49" s="928">
        <f>H49/DAY(B2)</f>
        <v>-909.08541666666622</v>
      </c>
      <c r="K49" s="944"/>
      <c r="L49" s="903"/>
      <c r="O49" s="930"/>
    </row>
    <row r="50" spans="1:15" x14ac:dyDescent="0.35">
      <c r="A50" s="921" t="s">
        <v>189</v>
      </c>
      <c r="B50" s="1000"/>
      <c r="C50" s="1000"/>
      <c r="D50" s="923" t="s">
        <v>143</v>
      </c>
      <c r="E50" s="924">
        <f>'23'!F50</f>
        <v>359903.71</v>
      </c>
      <c r="F50" s="997">
        <v>360902.71</v>
      </c>
      <c r="G50" s="925">
        <f t="shared" si="4"/>
        <v>999</v>
      </c>
      <c r="H50" s="926">
        <f>G50+'23'!H50</f>
        <v>-8757.5999999999767</v>
      </c>
      <c r="I50" s="924"/>
      <c r="J50" s="928">
        <f>H50/DAY(B2)</f>
        <v>-364.89999999999901</v>
      </c>
      <c r="K50" s="944"/>
      <c r="L50" s="903"/>
      <c r="O50" s="930"/>
    </row>
    <row r="51" spans="1:15" x14ac:dyDescent="0.35">
      <c r="A51" s="921" t="s">
        <v>177</v>
      </c>
      <c r="B51" s="1000"/>
      <c r="C51" s="1000"/>
      <c r="D51" s="923" t="s">
        <v>143</v>
      </c>
      <c r="E51" s="924">
        <f>'23'!F51</f>
        <v>98185.64</v>
      </c>
      <c r="F51" s="997">
        <v>99664</v>
      </c>
      <c r="G51" s="925">
        <f t="shared" si="4"/>
        <v>1478.3600000000006</v>
      </c>
      <c r="H51" s="926">
        <f>G51+'23'!H51</f>
        <v>-10435.740000000005</v>
      </c>
      <c r="I51" s="924"/>
      <c r="J51" s="928">
        <f>H51/DAY(B2)</f>
        <v>-434.82250000000022</v>
      </c>
      <c r="K51" s="944"/>
      <c r="L51" s="903"/>
      <c r="O51" s="930"/>
    </row>
    <row r="52" spans="1:15" x14ac:dyDescent="0.35">
      <c r="A52" s="921" t="s">
        <v>190</v>
      </c>
      <c r="B52" s="1000"/>
      <c r="C52" s="1000"/>
      <c r="D52" s="923" t="s">
        <v>143</v>
      </c>
      <c r="E52" s="924">
        <f>'23'!F52</f>
        <v>478782.59</v>
      </c>
      <c r="F52" s="997">
        <v>480616.51</v>
      </c>
      <c r="G52" s="925">
        <f t="shared" si="4"/>
        <v>1833.9199999999837</v>
      </c>
      <c r="H52" s="926">
        <f>G52+'23'!H52</f>
        <v>-13192.159999999974</v>
      </c>
      <c r="I52" s="924"/>
      <c r="J52" s="928">
        <f>H52/DAY(B2)</f>
        <v>-549.67333333333227</v>
      </c>
      <c r="K52" s="944"/>
      <c r="L52" s="903"/>
      <c r="O52" s="930"/>
    </row>
    <row r="53" spans="1:15" x14ac:dyDescent="0.35">
      <c r="A53" s="921" t="s">
        <v>179</v>
      </c>
      <c r="B53" s="1000"/>
      <c r="C53" s="1000"/>
      <c r="D53" s="923" t="s">
        <v>143</v>
      </c>
      <c r="E53" s="924">
        <f>'23'!F53</f>
        <v>270812.05</v>
      </c>
      <c r="F53" s="997">
        <v>275016</v>
      </c>
      <c r="G53" s="925">
        <f t="shared" si="4"/>
        <v>4203.9500000000116</v>
      </c>
      <c r="H53" s="926">
        <f>G53+'23'!H53</f>
        <v>-29282.270000000019</v>
      </c>
      <c r="I53" s="924"/>
      <c r="J53" s="928">
        <f>H53/DAY(B2)</f>
        <v>-1220.0945833333342</v>
      </c>
      <c r="K53" s="944"/>
      <c r="L53" s="903"/>
      <c r="O53" s="930"/>
    </row>
    <row r="54" spans="1:15" x14ac:dyDescent="0.35">
      <c r="A54" s="921" t="s">
        <v>191</v>
      </c>
      <c r="B54" s="1000"/>
      <c r="C54" s="1000"/>
      <c r="D54" s="923" t="s">
        <v>143</v>
      </c>
      <c r="E54" s="924">
        <f>'23'!F54</f>
        <v>5926.83</v>
      </c>
      <c r="F54" s="997">
        <v>5974</v>
      </c>
      <c r="G54" s="925">
        <f t="shared" si="4"/>
        <v>47.170000000000073</v>
      </c>
      <c r="H54" s="926">
        <f>G54+'23'!H54</f>
        <v>-414.80000000000018</v>
      </c>
      <c r="I54" s="924"/>
      <c r="J54" s="928">
        <f>H54/DAY(B2)</f>
        <v>-17.283333333333342</v>
      </c>
      <c r="K54" s="944"/>
      <c r="L54" s="903"/>
      <c r="O54" s="930"/>
    </row>
    <row r="55" spans="1:15" x14ac:dyDescent="0.35">
      <c r="A55" s="921" t="s">
        <v>192</v>
      </c>
      <c r="B55" s="1000"/>
      <c r="C55" s="1000"/>
      <c r="D55" s="923" t="s">
        <v>143</v>
      </c>
      <c r="E55" s="924">
        <f>'23'!F55</f>
        <v>39120.58</v>
      </c>
      <c r="F55" s="997">
        <v>39120.58</v>
      </c>
      <c r="G55" s="925">
        <f t="shared" si="4"/>
        <v>0</v>
      </c>
      <c r="H55" s="926">
        <f>G55+'23'!H55</f>
        <v>-3867.4000000000015</v>
      </c>
      <c r="I55" s="924"/>
      <c r="J55" s="928">
        <f>H55/DAY(B2)</f>
        <v>-161.14166666666674</v>
      </c>
      <c r="K55" s="944"/>
      <c r="L55" s="903"/>
      <c r="O55" s="930"/>
    </row>
    <row r="56" spans="1:15" x14ac:dyDescent="0.35">
      <c r="A56" s="921" t="s">
        <v>193</v>
      </c>
      <c r="B56" s="1000"/>
      <c r="C56" s="1000"/>
      <c r="D56" s="923" t="s">
        <v>194</v>
      </c>
      <c r="E56" s="924">
        <f>'23'!F56</f>
        <v>557730.15</v>
      </c>
      <c r="F56" s="997">
        <v>557730.15</v>
      </c>
      <c r="G56" s="925">
        <f t="shared" si="4"/>
        <v>0</v>
      </c>
      <c r="H56" s="926">
        <f>G56+'23'!H56</f>
        <v>-1.7600000000093132</v>
      </c>
      <c r="I56" s="924"/>
      <c r="J56" s="928">
        <f>H56/DAY(B2)</f>
        <v>-7.3333333333721384E-2</v>
      </c>
      <c r="K56" s="920"/>
      <c r="L56" s="903"/>
      <c r="O56" s="930"/>
    </row>
    <row r="57" spans="1:15" x14ac:dyDescent="0.35">
      <c r="A57" s="921" t="s">
        <v>183</v>
      </c>
      <c r="B57" s="1000"/>
      <c r="C57" s="1000"/>
      <c r="D57" s="923" t="s">
        <v>143</v>
      </c>
      <c r="E57" s="924">
        <f>'23'!F57</f>
        <v>0</v>
      </c>
      <c r="F57" s="997">
        <v>0</v>
      </c>
      <c r="G57" s="925">
        <f t="shared" si="4"/>
        <v>0</v>
      </c>
      <c r="H57" s="926">
        <f>G57+'23'!H57</f>
        <v>0</v>
      </c>
      <c r="I57" s="924"/>
      <c r="J57" s="928">
        <f>H57/DAY(B2)</f>
        <v>0</v>
      </c>
      <c r="K57" s="944"/>
      <c r="L57" s="903"/>
      <c r="O57" s="930"/>
    </row>
    <row r="58" spans="1:15" x14ac:dyDescent="0.35">
      <c r="A58" s="921" t="s">
        <v>195</v>
      </c>
      <c r="B58" s="1000"/>
      <c r="C58" s="1000"/>
      <c r="D58" s="923" t="s">
        <v>143</v>
      </c>
      <c r="E58" s="924">
        <f>'23'!F58</f>
        <v>29277.06</v>
      </c>
      <c r="F58" s="997">
        <v>29400</v>
      </c>
      <c r="G58" s="925">
        <f t="shared" si="4"/>
        <v>122.93999999999869</v>
      </c>
      <c r="H58" s="926">
        <f>G58+'23'!H58</f>
        <v>-1329.5399999999972</v>
      </c>
      <c r="I58" s="924"/>
      <c r="J58" s="928">
        <f>H58/DAY(B2)</f>
        <v>-55.397499999999887</v>
      </c>
      <c r="K58" s="944"/>
      <c r="L58" s="903"/>
      <c r="O58" s="930"/>
    </row>
    <row r="59" spans="1:15" x14ac:dyDescent="0.3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11760.769999999988</v>
      </c>
      <c r="H59" s="926">
        <f>G59+'23'!H59</f>
        <v>-89099.319999999891</v>
      </c>
      <c r="I59" s="924">
        <f>G7-G60</f>
        <v>304.73000000004686</v>
      </c>
      <c r="J59" s="928">
        <f>H59/DAY(B2)</f>
        <v>-3712.4716666666623</v>
      </c>
      <c r="K59" s="944"/>
      <c r="L59" s="903"/>
      <c r="O59" s="930"/>
    </row>
    <row r="60" spans="1:15" x14ac:dyDescent="0.35">
      <c r="A60" s="921"/>
      <c r="B60" s="922"/>
      <c r="C60" s="922"/>
      <c r="D60" s="910" t="s">
        <v>196</v>
      </c>
      <c r="E60" s="910"/>
      <c r="F60" s="910"/>
      <c r="G60" s="948">
        <f>G47+G59</f>
        <v>19086.269999999953</v>
      </c>
      <c r="H60" s="926">
        <f>G60+'23'!H60</f>
        <v>1347671.37</v>
      </c>
      <c r="I60" s="924">
        <f>G13-G60</f>
        <v>-354.86999999981344</v>
      </c>
      <c r="J60" s="928">
        <f>H60/DAY(B2)</f>
        <v>56152.973750000005</v>
      </c>
      <c r="K60" s="944"/>
      <c r="L60" s="903"/>
      <c r="O60" s="930"/>
    </row>
    <row r="61" spans="1:15" x14ac:dyDescent="0.3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x14ac:dyDescent="0.35">
      <c r="A62" s="1005" t="s">
        <v>106</v>
      </c>
      <c r="B62" s="1006"/>
      <c r="C62" s="1006"/>
      <c r="D62" s="910" t="s">
        <v>198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 x14ac:dyDescent="0.35">
      <c r="A63" s="1005" t="s">
        <v>199</v>
      </c>
      <c r="B63" s="1006"/>
      <c r="C63" s="1006"/>
      <c r="D63" s="910" t="s">
        <v>198</v>
      </c>
      <c r="E63" s="924">
        <f>'23'!F63</f>
        <v>1245.43</v>
      </c>
      <c r="F63" s="1007">
        <v>1254</v>
      </c>
      <c r="G63" s="925">
        <f t="shared" si="5"/>
        <v>8.5699999999999363</v>
      </c>
      <c r="H63" s="926">
        <f>G63+'23'!H63</f>
        <v>-78.529999999999973</v>
      </c>
      <c r="I63" s="1008"/>
      <c r="J63" s="928">
        <f>H63/DAY(B2)</f>
        <v>-3.2720833333333323</v>
      </c>
      <c r="K63" s="944"/>
      <c r="L63" s="903"/>
      <c r="O63" s="930"/>
    </row>
    <row r="64" spans="1:15" x14ac:dyDescent="0.35">
      <c r="A64" s="1509" t="s">
        <v>107</v>
      </c>
      <c r="B64" s="1510"/>
      <c r="C64" s="1511"/>
      <c r="D64" s="923" t="s">
        <v>198</v>
      </c>
      <c r="E64" s="924">
        <f>'23'!F64</f>
        <v>107901.1</v>
      </c>
      <c r="F64" s="954">
        <v>108305</v>
      </c>
      <c r="G64" s="925">
        <f t="shared" si="5"/>
        <v>403.89999999999418</v>
      </c>
      <c r="H64" s="926">
        <f>G64+'23'!H64</f>
        <v>-2978.4600000000064</v>
      </c>
      <c r="I64" s="945"/>
      <c r="J64" s="928">
        <f>H64/DAY(B2)</f>
        <v>-124.10250000000026</v>
      </c>
      <c r="K64" s="944"/>
      <c r="L64" s="903"/>
      <c r="O64" s="930"/>
    </row>
    <row r="65" spans="1:15" x14ac:dyDescent="0.35">
      <c r="A65" s="1509" t="s">
        <v>108</v>
      </c>
      <c r="B65" s="1510"/>
      <c r="C65" s="1511"/>
      <c r="D65" s="923" t="s">
        <v>198</v>
      </c>
      <c r="E65" s="924">
        <f>'23'!F65</f>
        <v>118512.05</v>
      </c>
      <c r="F65" s="954">
        <v>118952</v>
      </c>
      <c r="G65" s="925">
        <f t="shared" si="5"/>
        <v>439.94999999999709</v>
      </c>
      <c r="H65" s="926">
        <f>G65+'23'!H65</f>
        <v>-2781.1100000000006</v>
      </c>
      <c r="I65" s="963"/>
      <c r="J65" s="928">
        <f>H65/DAY(B2)</f>
        <v>-115.87958333333336</v>
      </c>
      <c r="K65" s="944"/>
      <c r="L65" s="903"/>
      <c r="O65" s="930"/>
    </row>
    <row r="66" spans="1:15" x14ac:dyDescent="0.35">
      <c r="A66" s="1509" t="s">
        <v>109</v>
      </c>
      <c r="B66" s="1510"/>
      <c r="C66" s="1511"/>
      <c r="D66" s="923" t="s">
        <v>198</v>
      </c>
      <c r="E66" s="924">
        <f>'23'!F66</f>
        <v>10824.81</v>
      </c>
      <c r="F66" s="954">
        <v>11222</v>
      </c>
      <c r="G66" s="925">
        <f t="shared" si="5"/>
        <v>397.19000000000051</v>
      </c>
      <c r="H66" s="926">
        <f>G66+'23'!H66</f>
        <v>-2937.74</v>
      </c>
      <c r="I66" s="945"/>
      <c r="J66" s="928">
        <f>H66/DAY(B2)</f>
        <v>-122.40583333333332</v>
      </c>
      <c r="K66" s="944"/>
      <c r="L66" s="903"/>
      <c r="O66" s="930"/>
    </row>
    <row r="67" spans="1:15" x14ac:dyDescent="0.35">
      <c r="A67" s="1509" t="s">
        <v>110</v>
      </c>
      <c r="B67" s="1510"/>
      <c r="C67" s="1511"/>
      <c r="D67" s="923" t="s">
        <v>198</v>
      </c>
      <c r="E67" s="924">
        <f>'23'!F67</f>
        <v>183352.45</v>
      </c>
      <c r="F67" s="954">
        <v>183973</v>
      </c>
      <c r="G67" s="925">
        <f t="shared" si="5"/>
        <v>620.54999999998836</v>
      </c>
      <c r="H67" s="926">
        <f>G67+'23'!H67</f>
        <v>-4701.5299999999988</v>
      </c>
      <c r="I67" s="963"/>
      <c r="J67" s="928">
        <f>H67/DAY(B2)</f>
        <v>-195.89708333333328</v>
      </c>
      <c r="K67" s="951"/>
      <c r="L67" s="903"/>
      <c r="O67" s="930"/>
    </row>
    <row r="68" spans="1:15" x14ac:dyDescent="0.35">
      <c r="A68" s="1509" t="s">
        <v>111</v>
      </c>
      <c r="B68" s="1510"/>
      <c r="C68" s="1511"/>
      <c r="D68" s="923" t="s">
        <v>198</v>
      </c>
      <c r="E68" s="924">
        <f>'23'!F68</f>
        <v>60703.31</v>
      </c>
      <c r="F68" s="954">
        <v>61054</v>
      </c>
      <c r="G68" s="925">
        <f t="shared" si="5"/>
        <v>350.69000000000233</v>
      </c>
      <c r="H68" s="926">
        <f>G68+'23'!H68</f>
        <v>-2245.8600000000006</v>
      </c>
      <c r="I68" s="1009"/>
      <c r="J68" s="928">
        <f>H68/DAY(B2)</f>
        <v>-93.577500000000029</v>
      </c>
      <c r="K68" s="1010"/>
      <c r="L68" s="903"/>
      <c r="O68" s="930"/>
    </row>
    <row r="69" spans="1:15" x14ac:dyDescent="0.35">
      <c r="A69" s="1509" t="s">
        <v>112</v>
      </c>
      <c r="B69" s="1510"/>
      <c r="C69" s="1511"/>
      <c r="D69" s="923" t="s">
        <v>198</v>
      </c>
      <c r="E69" s="924">
        <f>'23'!F69</f>
        <v>53249.27</v>
      </c>
      <c r="F69" s="954">
        <v>53549</v>
      </c>
      <c r="G69" s="925">
        <f t="shared" si="5"/>
        <v>299.7300000000032</v>
      </c>
      <c r="H69" s="926">
        <f>G69+'23'!H69</f>
        <v>-2174.7099999999991</v>
      </c>
      <c r="I69" s="1009"/>
      <c r="J69" s="928">
        <f>H69/DAY(B2)</f>
        <v>-90.612916666666635</v>
      </c>
      <c r="K69" s="1011"/>
      <c r="L69" s="903"/>
      <c r="O69" s="930"/>
    </row>
    <row r="70" spans="1:15" x14ac:dyDescent="0.3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 x14ac:dyDescent="0.4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 x14ac:dyDescent="0.35">
      <c r="A72" s="1509" t="s">
        <v>202</v>
      </c>
      <c r="B72" s="1510"/>
      <c r="C72" s="1511"/>
      <c r="D72" s="923" t="s">
        <v>198</v>
      </c>
      <c r="E72" s="924">
        <f>'23'!F72</f>
        <v>847867</v>
      </c>
      <c r="F72" s="1015">
        <v>847917</v>
      </c>
      <c r="G72" s="925">
        <f t="shared" ref="G72:G90" si="6">F72-E72</f>
        <v>50</v>
      </c>
      <c r="H72" s="926">
        <f>G72+'23'!H72</f>
        <v>-635</v>
      </c>
      <c r="I72" s="945"/>
      <c r="J72" s="928">
        <f>H72/DAY(B2)</f>
        <v>-26.458333333333332</v>
      </c>
      <c r="K72" s="1011"/>
      <c r="L72" s="903"/>
      <c r="O72" s="930"/>
    </row>
    <row r="73" spans="1:15" x14ac:dyDescent="0.35">
      <c r="A73" s="1509" t="s">
        <v>203</v>
      </c>
      <c r="B73" s="1510"/>
      <c r="C73" s="1511"/>
      <c r="D73" s="923" t="s">
        <v>198</v>
      </c>
      <c r="E73" s="924">
        <f>'23'!F73</f>
        <v>885724</v>
      </c>
      <c r="F73" s="1016">
        <v>885726</v>
      </c>
      <c r="G73" s="925">
        <f t="shared" si="6"/>
        <v>2</v>
      </c>
      <c r="H73" s="926">
        <f>G73+'23'!H73</f>
        <v>945</v>
      </c>
      <c r="I73" s="945"/>
      <c r="J73" s="928">
        <f>H73/DAY(B2)</f>
        <v>39.375</v>
      </c>
      <c r="K73" s="1010"/>
      <c r="L73" s="903"/>
      <c r="O73" s="930"/>
    </row>
    <row r="74" spans="1:15" x14ac:dyDescent="0.35">
      <c r="A74" s="1509" t="s">
        <v>204</v>
      </c>
      <c r="B74" s="1510"/>
      <c r="C74" s="1511"/>
      <c r="D74" s="923" t="s">
        <v>198</v>
      </c>
      <c r="E74" s="924">
        <f>'23'!F74</f>
        <v>882110</v>
      </c>
      <c r="F74" s="1017">
        <v>882148</v>
      </c>
      <c r="G74" s="925">
        <f t="shared" si="6"/>
        <v>38</v>
      </c>
      <c r="H74" s="926">
        <f>G74+'23'!H74</f>
        <v>882377.1</v>
      </c>
      <c r="I74" s="945"/>
      <c r="J74" s="928">
        <f>H74/DAY(B2)</f>
        <v>36765.712500000001</v>
      </c>
      <c r="K74" s="1011"/>
      <c r="L74" s="903"/>
      <c r="O74" s="930"/>
    </row>
    <row r="75" spans="1:15" x14ac:dyDescent="0.35">
      <c r="A75" s="1535" t="s">
        <v>205</v>
      </c>
      <c r="B75" s="1536"/>
      <c r="C75" s="1537"/>
      <c r="D75" s="923" t="s">
        <v>198</v>
      </c>
      <c r="E75" s="924">
        <f>'23'!F75</f>
        <v>735968</v>
      </c>
      <c r="F75" s="1017">
        <v>736153</v>
      </c>
      <c r="G75" s="925">
        <f t="shared" si="6"/>
        <v>185</v>
      </c>
      <c r="H75" s="926">
        <f>G75+'23'!H75</f>
        <v>737689.4</v>
      </c>
      <c r="I75" s="945"/>
      <c r="J75" s="928">
        <f>H75/DAY(B2)</f>
        <v>30737.058333333334</v>
      </c>
      <c r="K75" s="1010"/>
      <c r="L75" s="903"/>
      <c r="O75" s="930"/>
    </row>
    <row r="76" spans="1:15" x14ac:dyDescent="0.35">
      <c r="A76" s="1535" t="s">
        <v>206</v>
      </c>
      <c r="B76" s="1536"/>
      <c r="C76" s="1537"/>
      <c r="D76" s="923" t="s">
        <v>198</v>
      </c>
      <c r="E76" s="924">
        <f>'23'!F76</f>
        <v>686389</v>
      </c>
      <c r="F76" s="1016">
        <v>686471</v>
      </c>
      <c r="G76" s="925">
        <f t="shared" si="6"/>
        <v>82</v>
      </c>
      <c r="H76" s="926">
        <f>G76+'23'!H76</f>
        <v>688468.2</v>
      </c>
      <c r="I76" s="988"/>
      <c r="J76" s="928">
        <f>H76/DAY(B2)</f>
        <v>28686.174999999999</v>
      </c>
      <c r="K76" s="1010"/>
      <c r="L76" s="903"/>
      <c r="O76" s="930"/>
    </row>
    <row r="77" spans="1:15" x14ac:dyDescent="0.35">
      <c r="A77" s="1509" t="s">
        <v>207</v>
      </c>
      <c r="B77" s="1510"/>
      <c r="C77" s="1511"/>
      <c r="D77" s="923" t="s">
        <v>198</v>
      </c>
      <c r="E77" s="924">
        <f>'23'!F77</f>
        <v>696679</v>
      </c>
      <c r="F77" s="1016">
        <v>696734</v>
      </c>
      <c r="G77" s="925">
        <f t="shared" si="6"/>
        <v>55</v>
      </c>
      <c r="H77" s="926">
        <f>G77+'23'!H77</f>
        <v>-373</v>
      </c>
      <c r="I77" s="988"/>
      <c r="J77" s="928">
        <f>H77/DAY(B2)</f>
        <v>-15.541666666666666</v>
      </c>
      <c r="K77" s="1010"/>
      <c r="L77" s="903"/>
      <c r="O77" s="930"/>
    </row>
    <row r="78" spans="1:15" x14ac:dyDescent="0.35">
      <c r="A78" s="1018" t="s">
        <v>208</v>
      </c>
      <c r="B78" s="1227"/>
      <c r="C78" s="1227"/>
      <c r="D78" s="923" t="s">
        <v>198</v>
      </c>
      <c r="E78" s="924">
        <f>'23'!F78</f>
        <v>638961</v>
      </c>
      <c r="F78" s="1017">
        <v>639294</v>
      </c>
      <c r="G78" s="925">
        <f t="shared" si="6"/>
        <v>333</v>
      </c>
      <c r="H78" s="926">
        <f>G78+'23'!H78</f>
        <v>-2659</v>
      </c>
      <c r="I78" s="988"/>
      <c r="J78" s="928">
        <f>H78/DAY(B2)</f>
        <v>-110.79166666666667</v>
      </c>
      <c r="K78" s="1010"/>
      <c r="L78" s="903"/>
      <c r="O78" s="930"/>
    </row>
    <row r="79" spans="1:15" x14ac:dyDescent="0.35">
      <c r="A79" s="1535" t="s">
        <v>97</v>
      </c>
      <c r="B79" s="1536"/>
      <c r="C79" s="1537"/>
      <c r="D79" s="957" t="s">
        <v>198</v>
      </c>
      <c r="E79" s="924">
        <f>'23'!F79</f>
        <v>808187</v>
      </c>
      <c r="F79" s="1017">
        <v>808363</v>
      </c>
      <c r="G79" s="925">
        <f t="shared" si="6"/>
        <v>176</v>
      </c>
      <c r="H79" s="926">
        <f>G79+'23'!H79</f>
        <v>1537</v>
      </c>
      <c r="I79" s="988"/>
      <c r="J79" s="928">
        <f>H79/DAY(B2)</f>
        <v>64.041666666666671</v>
      </c>
      <c r="K79" s="1010"/>
      <c r="L79" s="903"/>
      <c r="O79" s="930"/>
    </row>
    <row r="80" spans="1:15" x14ac:dyDescent="0.35">
      <c r="A80" s="1535" t="s">
        <v>209</v>
      </c>
      <c r="B80" s="1536"/>
      <c r="C80" s="1537"/>
      <c r="D80" s="957" t="s">
        <v>198</v>
      </c>
      <c r="E80" s="924">
        <f>'23'!F80</f>
        <v>482640</v>
      </c>
      <c r="F80" s="1323">
        <v>482957</v>
      </c>
      <c r="G80" s="925">
        <f t="shared" si="6"/>
        <v>317</v>
      </c>
      <c r="H80" s="926">
        <f>G80+'23'!H80</f>
        <v>-3624.679999999993</v>
      </c>
      <c r="I80" s="988"/>
      <c r="J80" s="928">
        <f>H80/DAY(B2)</f>
        <v>-151.02833333333305</v>
      </c>
      <c r="K80" s="1010"/>
      <c r="L80" s="903"/>
      <c r="O80" s="930"/>
    </row>
    <row r="81" spans="1:15" x14ac:dyDescent="0.35">
      <c r="A81" s="1535" t="s">
        <v>210</v>
      </c>
      <c r="B81" s="1536"/>
      <c r="C81" s="1537"/>
      <c r="D81" s="957" t="s">
        <v>198</v>
      </c>
      <c r="E81" s="924">
        <f>'23'!F81</f>
        <v>621883</v>
      </c>
      <c r="F81" s="1016">
        <v>621979</v>
      </c>
      <c r="G81" s="925">
        <f t="shared" si="6"/>
        <v>96</v>
      </c>
      <c r="H81" s="926">
        <f>G81+'23'!H81</f>
        <v>-796</v>
      </c>
      <c r="I81" s="988"/>
      <c r="J81" s="928">
        <f>H81/DAY(B2)</f>
        <v>-33.166666666666664</v>
      </c>
      <c r="K81" s="1010"/>
      <c r="L81" s="903"/>
      <c r="O81" s="930"/>
    </row>
    <row r="82" spans="1:15" x14ac:dyDescent="0.35">
      <c r="A82" s="1535" t="s">
        <v>100</v>
      </c>
      <c r="B82" s="1536"/>
      <c r="C82" s="1537"/>
      <c r="D82" s="958" t="s">
        <v>143</v>
      </c>
      <c r="E82" s="924">
        <f>'23'!F82</f>
        <v>105074</v>
      </c>
      <c r="F82" s="1019">
        <v>105111</v>
      </c>
      <c r="G82" s="925">
        <f t="shared" si="6"/>
        <v>37</v>
      </c>
      <c r="H82" s="926">
        <f>G82+'23'!H82</f>
        <v>-329</v>
      </c>
      <c r="I82" s="959"/>
      <c r="J82" s="928">
        <f>H82/DAY(B2)</f>
        <v>-13.708333333333334</v>
      </c>
      <c r="K82" s="1010"/>
      <c r="L82" s="903"/>
      <c r="O82" s="930"/>
    </row>
    <row r="83" spans="1:15" x14ac:dyDescent="0.35">
      <c r="A83" s="1535" t="s">
        <v>211</v>
      </c>
      <c r="B83" s="1536"/>
      <c r="C83" s="1537"/>
      <c r="D83" s="1020" t="s">
        <v>143</v>
      </c>
      <c r="E83" s="924">
        <f>'23'!F83</f>
        <v>981368</v>
      </c>
      <c r="F83" s="910">
        <v>981601</v>
      </c>
      <c r="G83" s="925">
        <f>F83-E83</f>
        <v>233</v>
      </c>
      <c r="H83" s="926">
        <f>G83+'23'!H83</f>
        <v>-2140</v>
      </c>
      <c r="I83" s="948"/>
      <c r="J83" s="928">
        <f>H83/DAY(B2)</f>
        <v>-89.166666666666671</v>
      </c>
      <c r="K83" s="951"/>
      <c r="L83" s="903"/>
      <c r="O83" s="930"/>
    </row>
    <row r="84" spans="1:15" x14ac:dyDescent="0.35">
      <c r="A84" s="1021" t="s">
        <v>212</v>
      </c>
      <c r="B84" s="1022"/>
      <c r="C84" s="1022"/>
      <c r="D84" s="942" t="s">
        <v>143</v>
      </c>
      <c r="E84" s="924">
        <f>'23'!F84</f>
        <v>411869</v>
      </c>
      <c r="F84" s="1023">
        <v>412393</v>
      </c>
      <c r="G84" s="925">
        <f t="shared" si="6"/>
        <v>524</v>
      </c>
      <c r="H84" s="926">
        <f>G84+'23'!H84</f>
        <v>-3680</v>
      </c>
      <c r="I84" s="948"/>
      <c r="J84" s="928">
        <f>H84/DAY(B2)</f>
        <v>-153.33333333333334</v>
      </c>
      <c r="K84" s="1024"/>
      <c r="L84" s="903"/>
      <c r="O84" s="930"/>
    </row>
    <row r="85" spans="1:15" s="1028" customFormat="1" x14ac:dyDescent="0.35">
      <c r="A85" s="1025" t="s">
        <v>213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2128</v>
      </c>
      <c r="H85" s="926">
        <f>G85+'23'!H85</f>
        <v>2291476.65</v>
      </c>
      <c r="I85" s="948"/>
      <c r="J85" s="928">
        <f>H85/DAY(B2)</f>
        <v>95478.193749999991</v>
      </c>
      <c r="K85" s="1024"/>
      <c r="L85" s="1027"/>
      <c r="N85" s="1095"/>
      <c r="O85" s="930"/>
    </row>
    <row r="86" spans="1:15" s="1038" customFormat="1" x14ac:dyDescent="0.35">
      <c r="A86" s="1029" t="s">
        <v>102</v>
      </c>
      <c r="B86" s="1030"/>
      <c r="C86" s="1030"/>
      <c r="D86" s="1031" t="s">
        <v>194</v>
      </c>
      <c r="E86" s="924">
        <f>'23'!F86</f>
        <v>446419</v>
      </c>
      <c r="F86" s="1032">
        <v>446461</v>
      </c>
      <c r="G86" s="1033">
        <f t="shared" si="6"/>
        <v>42</v>
      </c>
      <c r="H86" s="1033">
        <f t="shared" ref="H86:H88" si="7">G86</f>
        <v>42</v>
      </c>
      <c r="I86" s="1034"/>
      <c r="J86" s="1035">
        <f>H86/DAY(B2)</f>
        <v>1.75</v>
      </c>
      <c r="K86" s="1036"/>
      <c r="L86" s="1037"/>
      <c r="N86" s="1096"/>
      <c r="O86" s="930"/>
    </row>
    <row r="87" spans="1:15" s="1038" customFormat="1" x14ac:dyDescent="0.35">
      <c r="A87" s="1029" t="s">
        <v>103</v>
      </c>
      <c r="B87" s="1030"/>
      <c r="C87" s="1030"/>
      <c r="D87" s="1031" t="s">
        <v>194</v>
      </c>
      <c r="E87" s="924">
        <f>'23'!F87</f>
        <v>78272.3</v>
      </c>
      <c r="F87" s="1032">
        <v>78279</v>
      </c>
      <c r="G87" s="1033">
        <f t="shared" si="6"/>
        <v>6.6999999999970896</v>
      </c>
      <c r="H87" s="1033">
        <f t="shared" si="7"/>
        <v>6.6999999999970896</v>
      </c>
      <c r="I87" s="1034"/>
      <c r="J87" s="1035">
        <f>H87/DAY(B2)</f>
        <v>0.27916666666654538</v>
      </c>
      <c r="K87" s="1036"/>
      <c r="L87" s="1037"/>
      <c r="N87" s="1096"/>
      <c r="O87" s="930"/>
    </row>
    <row r="88" spans="1:15" s="1038" customFormat="1" x14ac:dyDescent="0.35">
      <c r="A88" s="1029" t="s">
        <v>104</v>
      </c>
      <c r="B88" s="1030"/>
      <c r="C88" s="1030"/>
      <c r="D88" s="1031" t="s">
        <v>194</v>
      </c>
      <c r="E88" s="924">
        <f>'23'!F88</f>
        <v>145988.60999999999</v>
      </c>
      <c r="F88" s="1032">
        <v>146024</v>
      </c>
      <c r="G88" s="1033">
        <f t="shared" si="6"/>
        <v>35.39000000001397</v>
      </c>
      <c r="H88" s="1033">
        <f t="shared" si="7"/>
        <v>35.39000000001397</v>
      </c>
      <c r="I88" s="1034"/>
      <c r="J88" s="1035">
        <f>H88/DAY(B2)</f>
        <v>1.4745833333339153</v>
      </c>
      <c r="K88" s="1036"/>
      <c r="L88" s="1037"/>
      <c r="N88" s="1096"/>
      <c r="O88" s="930"/>
    </row>
    <row r="89" spans="1:15" s="1038" customFormat="1" x14ac:dyDescent="0.35">
      <c r="A89" s="1029" t="s">
        <v>215</v>
      </c>
      <c r="B89" s="1030"/>
      <c r="C89" s="1030"/>
      <c r="D89" s="1031" t="s">
        <v>194</v>
      </c>
      <c r="E89" s="924">
        <f>'23'!F89</f>
        <v>59252</v>
      </c>
      <c r="F89" s="1032">
        <v>59304</v>
      </c>
      <c r="G89" s="1033">
        <f t="shared" si="6"/>
        <v>52</v>
      </c>
      <c r="H89" s="1033">
        <f>G89</f>
        <v>52</v>
      </c>
      <c r="I89" s="1034"/>
      <c r="J89" s="1035">
        <f>H89/DAY(B2)</f>
        <v>2.1666666666666665</v>
      </c>
      <c r="K89" s="1036"/>
      <c r="L89" s="1037"/>
      <c r="N89" s="1097"/>
      <c r="O89" s="930"/>
    </row>
    <row r="90" spans="1:15" s="1038" customFormat="1" x14ac:dyDescent="0.35">
      <c r="A90" s="1029" t="s">
        <v>215</v>
      </c>
      <c r="B90" s="1030"/>
      <c r="C90" s="1030"/>
      <c r="D90" s="1031" t="s">
        <v>194</v>
      </c>
      <c r="E90" s="924">
        <f>'23'!F90</f>
        <v>3045</v>
      </c>
      <c r="F90" s="1032">
        <v>3047</v>
      </c>
      <c r="G90" s="1033">
        <f t="shared" si="6"/>
        <v>2</v>
      </c>
      <c r="H90" s="1033">
        <f>G90</f>
        <v>2</v>
      </c>
      <c r="I90" s="1034"/>
      <c r="J90" s="1035">
        <f>H90/DAY(B2)</f>
        <v>8.3333333333333329E-2</v>
      </c>
      <c r="K90" s="1036"/>
      <c r="L90" s="1037"/>
      <c r="N90" s="1097"/>
      <c r="O90" s="930"/>
    </row>
    <row r="91" spans="1:15" s="1028" customFormat="1" x14ac:dyDescent="0.35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x14ac:dyDescent="0.35">
      <c r="A92" s="1512" t="s">
        <v>217</v>
      </c>
      <c r="B92" s="1513"/>
      <c r="C92" s="1514"/>
      <c r="D92" s="923" t="s">
        <v>155</v>
      </c>
      <c r="E92" s="924">
        <f>'23'!F92</f>
        <v>235882</v>
      </c>
      <c r="F92" s="954">
        <v>235985</v>
      </c>
      <c r="G92" s="925">
        <f t="shared" ref="G92:G93" si="8">F92-E92</f>
        <v>103</v>
      </c>
      <c r="H92" s="926">
        <f>G92+'23'!H92</f>
        <v>-585</v>
      </c>
      <c r="I92" s="945"/>
      <c r="J92" s="928">
        <f>H92/DAY(B2)</f>
        <v>-24.375</v>
      </c>
      <c r="K92" s="951"/>
      <c r="L92" s="903"/>
      <c r="O92" s="930"/>
    </row>
    <row r="93" spans="1:15" x14ac:dyDescent="0.35">
      <c r="A93" s="1512" t="s">
        <v>218</v>
      </c>
      <c r="B93" s="1513"/>
      <c r="C93" s="1514"/>
      <c r="D93" s="923" t="s">
        <v>155</v>
      </c>
      <c r="E93" s="924">
        <f>'23'!F93</f>
        <v>170053</v>
      </c>
      <c r="F93" s="954">
        <v>170202</v>
      </c>
      <c r="G93" s="925">
        <f t="shared" si="8"/>
        <v>149</v>
      </c>
      <c r="H93" s="926">
        <f>G93+'23'!H93</f>
        <v>-974</v>
      </c>
      <c r="I93" s="945"/>
      <c r="J93" s="928">
        <f>H93/DAY(B2)</f>
        <v>-40.583333333333336</v>
      </c>
      <c r="K93" s="1024"/>
      <c r="L93" s="903"/>
      <c r="O93" s="930"/>
    </row>
    <row r="94" spans="1:15" x14ac:dyDescent="0.35">
      <c r="A94" s="1538" t="s">
        <v>219</v>
      </c>
      <c r="B94" s="1539"/>
      <c r="C94" s="1540"/>
      <c r="D94" s="923"/>
      <c r="E94" s="924">
        <f>'23'!F94</f>
        <v>0</v>
      </c>
      <c r="F94" s="954"/>
      <c r="G94" s="925">
        <f>G92+G93</f>
        <v>252</v>
      </c>
      <c r="H94" s="926">
        <f>G94+'23'!H94</f>
        <v>-1846</v>
      </c>
      <c r="I94" s="945"/>
      <c r="J94" s="928">
        <f>H94/DAY(B2)</f>
        <v>-76.916666666666671</v>
      </c>
      <c r="K94" s="1024"/>
      <c r="L94" s="903"/>
      <c r="O94" s="930"/>
    </row>
    <row r="95" spans="1:15" x14ac:dyDescent="0.35">
      <c r="A95" s="1512" t="s">
        <v>220</v>
      </c>
      <c r="B95" s="1513"/>
      <c r="C95" s="1514"/>
      <c r="D95" s="923" t="s">
        <v>155</v>
      </c>
      <c r="E95" s="924">
        <f>'23'!F95</f>
        <v>405360</v>
      </c>
      <c r="F95" s="954">
        <v>405431</v>
      </c>
      <c r="G95" s="925">
        <f t="shared" ref="G95:G100" si="9">F95-E95</f>
        <v>71</v>
      </c>
      <c r="H95" s="926">
        <f>G95+'23'!H95</f>
        <v>-445</v>
      </c>
      <c r="I95" s="945"/>
      <c r="J95" s="928">
        <f>H95/DAY(B2)</f>
        <v>-18.541666666666668</v>
      </c>
      <c r="K95" s="1024"/>
      <c r="L95" s="903"/>
      <c r="O95" s="930"/>
    </row>
    <row r="96" spans="1:15" x14ac:dyDescent="0.35">
      <c r="A96" s="952" t="s">
        <v>221</v>
      </c>
      <c r="B96" s="953"/>
      <c r="C96" s="953"/>
      <c r="D96" s="923" t="s">
        <v>155</v>
      </c>
      <c r="E96" s="924">
        <f>'23'!F96</f>
        <v>100331</v>
      </c>
      <c r="F96" s="954">
        <v>100356</v>
      </c>
      <c r="G96" s="925">
        <f t="shared" si="9"/>
        <v>25</v>
      </c>
      <c r="H96" s="926">
        <f>G96+'23'!H96</f>
        <v>-178</v>
      </c>
      <c r="I96" s="945"/>
      <c r="J96" s="928">
        <f>H96/DAY(B2)</f>
        <v>-7.416666666666667</v>
      </c>
      <c r="K96" s="920"/>
      <c r="L96" s="903"/>
      <c r="O96" s="930"/>
    </row>
    <row r="97" spans="1:15" x14ac:dyDescent="0.35">
      <c r="A97" s="952" t="s">
        <v>222</v>
      </c>
      <c r="B97" s="953"/>
      <c r="C97" s="953"/>
      <c r="D97" s="923" t="s">
        <v>155</v>
      </c>
      <c r="E97" s="924">
        <f>'23'!F97</f>
        <v>95499</v>
      </c>
      <c r="F97" s="954">
        <v>95532</v>
      </c>
      <c r="G97" s="925">
        <f t="shared" si="9"/>
        <v>33</v>
      </c>
      <c r="H97" s="926">
        <f>G97+'23'!H97</f>
        <v>-145</v>
      </c>
      <c r="I97" s="945"/>
      <c r="J97" s="928">
        <f>H97/DAY(B2)</f>
        <v>-6.041666666666667</v>
      </c>
      <c r="K97" s="1040"/>
      <c r="L97" s="903"/>
      <c r="O97" s="930"/>
    </row>
    <row r="98" spans="1:15" x14ac:dyDescent="0.35">
      <c r="A98" s="952" t="s">
        <v>223</v>
      </c>
      <c r="B98" s="953"/>
      <c r="C98" s="953"/>
      <c r="D98" s="923" t="s">
        <v>155</v>
      </c>
      <c r="E98" s="924">
        <f>'23'!F98</f>
        <v>145077</v>
      </c>
      <c r="F98" s="954">
        <v>145122</v>
      </c>
      <c r="G98" s="925">
        <f t="shared" si="9"/>
        <v>45</v>
      </c>
      <c r="H98" s="926">
        <f>G98+'23'!H98</f>
        <v>-432</v>
      </c>
      <c r="I98" s="945"/>
      <c r="J98" s="928">
        <f>H98/DAY(B2)</f>
        <v>-18</v>
      </c>
      <c r="K98" s="1024"/>
      <c r="L98" s="903"/>
      <c r="O98" s="930"/>
    </row>
    <row r="99" spans="1:15" x14ac:dyDescent="0.35">
      <c r="A99" s="952" t="s">
        <v>224</v>
      </c>
      <c r="B99" s="953"/>
      <c r="C99" s="953"/>
      <c r="D99" s="923" t="s">
        <v>155</v>
      </c>
      <c r="E99" s="924">
        <f>'23'!F99</f>
        <v>5814</v>
      </c>
      <c r="F99" s="954">
        <v>5826</v>
      </c>
      <c r="G99" s="925">
        <f t="shared" si="9"/>
        <v>12</v>
      </c>
      <c r="H99" s="926">
        <f>G99+'23'!H99</f>
        <v>-148</v>
      </c>
      <c r="I99" s="945"/>
      <c r="J99" s="928">
        <f>H99/DAY(B2)</f>
        <v>-6.166666666666667</v>
      </c>
      <c r="K99" s="1024"/>
      <c r="L99" s="903"/>
      <c r="O99" s="930"/>
    </row>
    <row r="100" spans="1:15" x14ac:dyDescent="0.35">
      <c r="A100" s="952" t="s">
        <v>225</v>
      </c>
      <c r="B100" s="953"/>
      <c r="C100" s="953"/>
      <c r="D100" s="923" t="s">
        <v>155</v>
      </c>
      <c r="E100" s="924">
        <f>'23'!F100</f>
        <v>4178</v>
      </c>
      <c r="F100" s="954">
        <v>4187</v>
      </c>
      <c r="G100" s="925">
        <f t="shared" si="9"/>
        <v>9</v>
      </c>
      <c r="H100" s="926">
        <f>G100+'23'!H100</f>
        <v>-50</v>
      </c>
      <c r="I100" s="945"/>
      <c r="J100" s="928">
        <f>H100/DAY(B2)</f>
        <v>-2.0833333333333335</v>
      </c>
      <c r="K100" s="1024"/>
      <c r="L100" s="903"/>
      <c r="O100" s="930"/>
    </row>
    <row r="101" spans="1:15" x14ac:dyDescent="0.35">
      <c r="A101" s="1538" t="s">
        <v>227</v>
      </c>
      <c r="B101" s="1539"/>
      <c r="C101" s="1540"/>
      <c r="D101" s="957"/>
      <c r="E101" s="957"/>
      <c r="F101" s="957"/>
      <c r="G101" s="1041">
        <f>SUM(G95:G100)</f>
        <v>195</v>
      </c>
      <c r="H101" s="926">
        <f>G101+'23'!H101</f>
        <v>-1398</v>
      </c>
      <c r="I101" s="1042"/>
      <c r="J101" s="928">
        <f>H101/DAY(B2)</f>
        <v>-58.25</v>
      </c>
      <c r="K101" s="1024"/>
      <c r="L101" s="903"/>
      <c r="O101" s="930"/>
    </row>
    <row r="102" spans="1:15" s="975" customFormat="1" x14ac:dyDescent="0.25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x14ac:dyDescent="0.35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x14ac:dyDescent="0.35">
      <c r="A104" s="1548" t="s">
        <v>230</v>
      </c>
      <c r="B104" s="1549"/>
      <c r="C104" s="1057"/>
      <c r="D104" s="1053" t="s">
        <v>155</v>
      </c>
      <c r="E104" s="1054">
        <f>'23'!F104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3.0833333333333335</v>
      </c>
      <c r="N104" s="1093"/>
      <c r="O104" s="930"/>
    </row>
    <row r="105" spans="1:15" s="975" customFormat="1" x14ac:dyDescent="0.35">
      <c r="A105" s="1548" t="s">
        <v>77</v>
      </c>
      <c r="B105" s="1549"/>
      <c r="C105" s="1057"/>
      <c r="D105" s="1053" t="s">
        <v>155</v>
      </c>
      <c r="E105" s="1054">
        <f>'23'!F105</f>
        <v>35097</v>
      </c>
      <c r="F105" s="1058">
        <v>35103</v>
      </c>
      <c r="G105" s="1054">
        <f t="shared" ref="G105:G106" si="10">F105-E105</f>
        <v>6</v>
      </c>
      <c r="H105" s="1055">
        <f>SUM(G105+'1'!G77)</f>
        <v>54</v>
      </c>
      <c r="I105" s="1054"/>
      <c r="J105" s="1056">
        <f>H105/DAY(B2)</f>
        <v>2.25</v>
      </c>
      <c r="N105" s="1093"/>
      <c r="O105" s="930"/>
    </row>
    <row r="106" spans="1:15" s="975" customFormat="1" x14ac:dyDescent="0.35">
      <c r="A106" s="1548" t="s">
        <v>78</v>
      </c>
      <c r="B106" s="1550"/>
      <c r="C106" s="1549"/>
      <c r="D106" s="1053" t="s">
        <v>155</v>
      </c>
      <c r="E106" s="1054">
        <f>'23'!F106</f>
        <v>19044</v>
      </c>
      <c r="F106" s="1054">
        <v>19049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 x14ac:dyDescent="0.35">
      <c r="A107" s="1551" t="s">
        <v>213</v>
      </c>
      <c r="B107" s="1552"/>
      <c r="C107" s="1057"/>
      <c r="D107" s="1053"/>
      <c r="E107" s="1054"/>
      <c r="F107" s="1054"/>
      <c r="G107" s="1054">
        <f>SUM(G104:G106)</f>
        <v>11</v>
      </c>
      <c r="H107" s="1055">
        <f>SUM(G107+'1'!G79)</f>
        <v>216</v>
      </c>
      <c r="I107" s="1054"/>
      <c r="J107" s="1056">
        <f>H107/DAY(B2)</f>
        <v>9</v>
      </c>
      <c r="N107" s="1093"/>
      <c r="O107" s="930"/>
    </row>
    <row r="108" spans="1:15" s="975" customFormat="1" x14ac:dyDescent="0.35">
      <c r="A108" s="1553" t="s">
        <v>79</v>
      </c>
      <c r="B108" s="1554"/>
      <c r="C108" s="1057"/>
      <c r="D108" s="1053" t="s">
        <v>155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x14ac:dyDescent="0.35">
      <c r="A109" s="1548" t="s">
        <v>231</v>
      </c>
      <c r="B109" s="1549"/>
      <c r="C109" s="1057"/>
      <c r="D109" s="1053" t="s">
        <v>155</v>
      </c>
      <c r="E109" s="1054">
        <f>'23'!F109</f>
        <v>54253</v>
      </c>
      <c r="F109" s="1054">
        <v>54314</v>
      </c>
      <c r="G109" s="1054">
        <f>F109-E109</f>
        <v>61</v>
      </c>
      <c r="H109" s="1055">
        <f>SUM(G109+'1'!G81)</f>
        <v>137</v>
      </c>
      <c r="I109" s="1054"/>
      <c r="J109" s="1056">
        <f>H109/DAY(B2)</f>
        <v>5.708333333333333</v>
      </c>
      <c r="N109" s="1093"/>
      <c r="O109" s="930"/>
    </row>
    <row r="110" spans="1:15" s="975" customFormat="1" x14ac:dyDescent="0.35">
      <c r="A110" s="1548" t="s">
        <v>232</v>
      </c>
      <c r="B110" s="1549"/>
      <c r="C110" s="1057"/>
      <c r="D110" s="1053" t="s">
        <v>155</v>
      </c>
      <c r="E110" s="1054">
        <f>'23'!F110</f>
        <v>28086</v>
      </c>
      <c r="F110" s="1054">
        <v>28121</v>
      </c>
      <c r="G110" s="1054">
        <f t="shared" ref="G110:G111" si="11">F110-E110</f>
        <v>35</v>
      </c>
      <c r="H110" s="1055">
        <f>SUM(G110+'1'!G82)</f>
        <v>80</v>
      </c>
      <c r="I110" s="1054"/>
      <c r="J110" s="1056">
        <f>H110/DAY(B2)</f>
        <v>3.3333333333333335</v>
      </c>
      <c r="N110" s="1093"/>
      <c r="O110" s="930"/>
    </row>
    <row r="111" spans="1:15" s="975" customFormat="1" x14ac:dyDescent="0.35">
      <c r="A111" s="1548" t="s">
        <v>233</v>
      </c>
      <c r="B111" s="1549"/>
      <c r="C111" s="1057"/>
      <c r="D111" s="1053" t="s">
        <v>155</v>
      </c>
      <c r="E111" s="1054">
        <f>'23'!F111</f>
        <v>3707</v>
      </c>
      <c r="F111" s="1054">
        <v>3707</v>
      </c>
      <c r="G111" s="1054">
        <f t="shared" si="11"/>
        <v>0</v>
      </c>
      <c r="H111" s="1055">
        <f>SUM(G111+'1'!G83)</f>
        <v>433</v>
      </c>
      <c r="I111" s="1054"/>
      <c r="J111" s="1056">
        <f>H111/DAY(B2)</f>
        <v>18.041666666666668</v>
      </c>
      <c r="N111" s="1093"/>
      <c r="O111" s="930"/>
    </row>
    <row r="112" spans="1:15" s="975" customFormat="1" x14ac:dyDescent="0.35">
      <c r="A112" s="1558" t="s">
        <v>121</v>
      </c>
      <c r="B112" s="1559"/>
      <c r="C112" s="1057"/>
      <c r="D112" s="1053"/>
      <c r="E112" s="1054">
        <f>'23'!F112</f>
        <v>0</v>
      </c>
      <c r="F112" s="1054"/>
      <c r="G112" s="1054">
        <f>SUM(G109:G111)</f>
        <v>96</v>
      </c>
      <c r="H112" s="1055">
        <f>SUM(G112+'1'!G84)</f>
        <v>617</v>
      </c>
      <c r="I112" s="1054"/>
      <c r="J112" s="1056">
        <f>H112/DAY(B2)</f>
        <v>25.708333333333332</v>
      </c>
      <c r="N112" s="1093"/>
      <c r="O112" s="930"/>
    </row>
    <row r="113" spans="1:15" s="975" customFormat="1" x14ac:dyDescent="0.35">
      <c r="A113" s="1553" t="s">
        <v>234</v>
      </c>
      <c r="B113" s="1554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x14ac:dyDescent="0.35">
      <c r="A114" s="1548" t="s">
        <v>235</v>
      </c>
      <c r="B114" s="1549"/>
      <c r="C114" s="1059"/>
      <c r="D114" s="1053" t="s">
        <v>155</v>
      </c>
      <c r="E114" s="1054">
        <f>'23'!F114</f>
        <v>9614</v>
      </c>
      <c r="F114" s="1058">
        <v>9629</v>
      </c>
      <c r="G114" s="1058">
        <f>F114-E114</f>
        <v>15</v>
      </c>
      <c r="H114" s="1055">
        <f>SUM(G114+'1'!G91)</f>
        <v>15</v>
      </c>
      <c r="I114" s="1054"/>
      <c r="J114" s="1056">
        <f>H114/DAY(B2)</f>
        <v>0.625</v>
      </c>
      <c r="N114" s="1093"/>
      <c r="O114" s="930"/>
    </row>
    <row r="115" spans="1:15" s="975" customFormat="1" x14ac:dyDescent="0.35">
      <c r="A115" s="1548" t="s">
        <v>236</v>
      </c>
      <c r="B115" s="1549"/>
      <c r="C115" s="1059"/>
      <c r="D115" s="1053" t="s">
        <v>155</v>
      </c>
      <c r="E115" s="1054">
        <f>'23'!F115</f>
        <v>7374</v>
      </c>
      <c r="F115" s="1058">
        <v>7382</v>
      </c>
      <c r="G115" s="1058">
        <f t="shared" ref="G115:G116" si="12">F115-E115</f>
        <v>8</v>
      </c>
      <c r="H115" s="1055">
        <f>SUM(G115+'1'!G92)</f>
        <v>95</v>
      </c>
      <c r="I115" s="1054"/>
      <c r="J115" s="1056">
        <f>H115/DAY(B2)</f>
        <v>3.9583333333333335</v>
      </c>
      <c r="N115" s="1093"/>
      <c r="O115" s="930"/>
    </row>
    <row r="116" spans="1:15" s="975" customFormat="1" x14ac:dyDescent="0.35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 x14ac:dyDescent="0.35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23</v>
      </c>
      <c r="H117" s="1055">
        <f>SUM(G117+'1'!G95)</f>
        <v>95</v>
      </c>
      <c r="I117" s="1058"/>
      <c r="J117" s="1056">
        <f>H117/DAY(B2)</f>
        <v>3.9583333333333335</v>
      </c>
      <c r="N117" s="1098"/>
      <c r="O117" s="930"/>
    </row>
    <row r="118" spans="1:15" s="851" customFormat="1" x14ac:dyDescent="0.35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153</v>
      </c>
      <c r="G118" s="1065">
        <f>SUM(G19+G92)</f>
        <v>153</v>
      </c>
      <c r="H118" s="1055">
        <f>SUM(G118+'1'!G96)</f>
        <v>176</v>
      </c>
      <c r="I118" s="1064"/>
      <c r="J118" s="1066">
        <f>H118/DAY(B2)</f>
        <v>7.333333333333333</v>
      </c>
      <c r="N118" s="1099"/>
      <c r="O118" s="930"/>
    </row>
    <row r="119" spans="1:15" s="851" customFormat="1" x14ac:dyDescent="0.35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150</v>
      </c>
      <c r="G119" s="1065">
        <f>SUM(G95,G96,G97,G99,G100)</f>
        <v>150</v>
      </c>
      <c r="H119" s="1055">
        <f>SUM(G119+'1'!G98)</f>
        <v>233</v>
      </c>
      <c r="I119" s="1064"/>
      <c r="J119" s="1066">
        <f>H119/DAY(B2)</f>
        <v>9.7083333333333339</v>
      </c>
      <c r="N119" s="1099"/>
      <c r="O119" s="930"/>
    </row>
    <row r="120" spans="1:15" s="851" customFormat="1" x14ac:dyDescent="0.35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96</v>
      </c>
      <c r="G120" s="1058">
        <f>SUM(G112)</f>
        <v>96</v>
      </c>
      <c r="H120" s="1055">
        <f>SUM(G120+'1'!G100)</f>
        <v>102</v>
      </c>
      <c r="I120" s="1064"/>
      <c r="J120" s="1066">
        <f>H120/DAY(B2)</f>
        <v>4.25</v>
      </c>
      <c r="N120" s="1099"/>
      <c r="O120" s="930"/>
    </row>
    <row r="121" spans="1:15" s="975" customFormat="1" x14ac:dyDescent="0.35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x14ac:dyDescent="0.3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x14ac:dyDescent="0.35">
      <c r="A123" s="952" t="s">
        <v>242</v>
      </c>
      <c r="B123" s="953"/>
      <c r="C123" s="953"/>
      <c r="D123" s="923" t="s">
        <v>152</v>
      </c>
      <c r="E123" s="924">
        <f>'23'!F123</f>
        <v>801217.94</v>
      </c>
      <c r="F123" s="942">
        <v>801487</v>
      </c>
      <c r="G123" s="925">
        <f t="shared" ref="G123:G127" si="13">F123-E123</f>
        <v>269.06000000005588</v>
      </c>
      <c r="H123" s="926">
        <f>G123+'23'!H123</f>
        <v>-1848.4000000000233</v>
      </c>
      <c r="I123" s="1042"/>
      <c r="J123" s="928">
        <f>H123/DAY(B2)</f>
        <v>-77.016666666667632</v>
      </c>
      <c r="K123" s="1024"/>
      <c r="L123" s="903"/>
      <c r="O123" s="930"/>
    </row>
    <row r="124" spans="1:15" x14ac:dyDescent="0.35">
      <c r="A124" s="952" t="s">
        <v>243</v>
      </c>
      <c r="B124" s="953"/>
      <c r="C124" s="953"/>
      <c r="D124" s="923" t="s">
        <v>152</v>
      </c>
      <c r="E124" s="924">
        <f>'23'!F124</f>
        <v>73582.3</v>
      </c>
      <c r="F124" s="1070">
        <v>73582</v>
      </c>
      <c r="G124" s="925">
        <f t="shared" si="13"/>
        <v>-0.30000000000291038</v>
      </c>
      <c r="H124" s="926">
        <f>G124+'23'!H124</f>
        <v>0</v>
      </c>
      <c r="I124" s="1042"/>
      <c r="J124" s="928">
        <f>H124/DAY(B2)</f>
        <v>0</v>
      </c>
      <c r="K124" s="1024"/>
      <c r="L124" s="903"/>
      <c r="O124" s="930"/>
    </row>
    <row r="125" spans="1:15" x14ac:dyDescent="0.35">
      <c r="A125" s="1509" t="s">
        <v>244</v>
      </c>
      <c r="B125" s="1510"/>
      <c r="C125" s="1511"/>
      <c r="D125" s="923" t="s">
        <v>152</v>
      </c>
      <c r="E125" s="924">
        <f>'23'!F125</f>
        <v>137324.48000000001</v>
      </c>
      <c r="F125" s="942">
        <v>137389.37</v>
      </c>
      <c r="G125" s="925">
        <f t="shared" si="13"/>
        <v>64.889999999984866</v>
      </c>
      <c r="H125" s="926">
        <f>G125+'23'!H125</f>
        <v>-458.63000000000466</v>
      </c>
      <c r="I125" s="1042"/>
      <c r="J125" s="928">
        <f>H125/DAY(B2)</f>
        <v>-19.109583333333529</v>
      </c>
      <c r="K125" s="1024"/>
      <c r="L125" s="903"/>
      <c r="O125" s="930"/>
    </row>
    <row r="126" spans="1:15" x14ac:dyDescent="0.35">
      <c r="A126" s="1071" t="s">
        <v>245</v>
      </c>
      <c r="B126" s="953"/>
      <c r="C126" s="953"/>
      <c r="D126" s="923" t="s">
        <v>152</v>
      </c>
      <c r="E126" s="924">
        <f>'23'!F126</f>
        <v>58145.4</v>
      </c>
      <c r="F126" s="1070">
        <v>58180</v>
      </c>
      <c r="G126" s="925">
        <f t="shared" si="13"/>
        <v>34.599999999998545</v>
      </c>
      <c r="H126" s="926">
        <f>G126+'23'!H126</f>
        <v>-211.69999999999709</v>
      </c>
      <c r="I126" s="1042"/>
      <c r="J126" s="928">
        <f>H126/DAY(B2)</f>
        <v>-8.8208333333332121</v>
      </c>
      <c r="K126" s="1024"/>
      <c r="L126" s="903"/>
      <c r="O126" s="930"/>
    </row>
    <row r="127" spans="1:15" x14ac:dyDescent="0.35">
      <c r="A127" s="1071" t="s">
        <v>246</v>
      </c>
      <c r="B127" s="953"/>
      <c r="C127" s="953"/>
      <c r="D127" s="923" t="s">
        <v>152</v>
      </c>
      <c r="E127" s="924">
        <f>'23'!F127</f>
        <v>8789.1</v>
      </c>
      <c r="F127" s="1070">
        <v>8793</v>
      </c>
      <c r="G127" s="925">
        <f t="shared" si="13"/>
        <v>3.8999999999996362</v>
      </c>
      <c r="H127" s="926">
        <f>G127+'23'!H127</f>
        <v>-23</v>
      </c>
      <c r="I127" s="945"/>
      <c r="J127" s="928">
        <f>H127/DAY(B2)</f>
        <v>-0.95833333333333337</v>
      </c>
      <c r="K127" s="1024"/>
      <c r="L127" s="903"/>
      <c r="O127" s="930"/>
    </row>
    <row r="128" spans="1:15" x14ac:dyDescent="0.3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375.97000000007574</v>
      </c>
      <c r="H128" s="926">
        <f>G128+'23'!H128</f>
        <v>-10181.860000000142</v>
      </c>
      <c r="I128" s="945"/>
      <c r="J128" s="928">
        <f>H128/DAY(B2)</f>
        <v>-424.24416666667258</v>
      </c>
      <c r="K128" s="1024"/>
      <c r="L128" s="903"/>
      <c r="O128" s="930"/>
    </row>
    <row r="129" spans="1:15" x14ac:dyDescent="0.3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 x14ac:dyDescent="0.35">
      <c r="A130" s="952" t="s">
        <v>249</v>
      </c>
      <c r="B130" s="953"/>
      <c r="C130" s="953"/>
      <c r="D130" s="923" t="s">
        <v>250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 x14ac:dyDescent="0.35">
      <c r="A131" s="952" t="s">
        <v>251</v>
      </c>
      <c r="B131" s="953"/>
      <c r="C131" s="953"/>
      <c r="D131" s="923" t="s">
        <v>250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 x14ac:dyDescent="0.35">
      <c r="A132" s="952" t="s">
        <v>252</v>
      </c>
      <c r="B132" s="953"/>
      <c r="C132" s="953"/>
      <c r="D132" s="923" t="s">
        <v>250</v>
      </c>
      <c r="E132" s="924">
        <f>'23'!F132</f>
        <v>38913.01</v>
      </c>
      <c r="F132" s="1075">
        <v>38936.559999999998</v>
      </c>
      <c r="G132" s="925">
        <f t="shared" si="14"/>
        <v>23.549999999995634</v>
      </c>
      <c r="H132" s="926">
        <f>G132+'23'!H132</f>
        <v>218.16999999999098</v>
      </c>
      <c r="I132" s="945"/>
      <c r="J132" s="928">
        <f>H132/DAY(B2)</f>
        <v>9.0904166666662913</v>
      </c>
      <c r="O132" s="930"/>
    </row>
    <row r="133" spans="1:15" x14ac:dyDescent="0.35">
      <c r="A133" s="952" t="s">
        <v>253</v>
      </c>
      <c r="B133" s="953"/>
      <c r="C133" s="953"/>
      <c r="D133" s="923" t="s">
        <v>250</v>
      </c>
      <c r="E133" s="924">
        <f>'23'!F133</f>
        <v>299.01</v>
      </c>
      <c r="F133" s="1075">
        <v>299.01</v>
      </c>
      <c r="G133" s="925">
        <f t="shared" si="14"/>
        <v>0</v>
      </c>
      <c r="H133" s="926">
        <f>G133+'23'!H133</f>
        <v>9.9999999999909051E-3</v>
      </c>
      <c r="I133" s="945">
        <f>G130+G131+G132+G133</f>
        <v>23.549999999995634</v>
      </c>
      <c r="J133" s="928">
        <f>H133/DAY(B2)</f>
        <v>4.1666666666628771E-4</v>
      </c>
      <c r="O133" s="930"/>
    </row>
    <row r="134" spans="1:15" x14ac:dyDescent="0.35">
      <c r="A134" s="952" t="s">
        <v>254</v>
      </c>
      <c r="B134" s="953"/>
      <c r="C134" s="953"/>
      <c r="D134" s="923" t="s">
        <v>250</v>
      </c>
      <c r="E134" s="924">
        <f>'23'!F134</f>
        <v>39951.050000000003</v>
      </c>
      <c r="F134" s="1075">
        <v>39951.050000000003</v>
      </c>
      <c r="G134" s="925">
        <f t="shared" si="14"/>
        <v>0</v>
      </c>
      <c r="H134" s="926">
        <f>G134+'23'!H134</f>
        <v>24</v>
      </c>
      <c r="I134" s="945"/>
      <c r="J134" s="928">
        <f>H134/DAY(B2)</f>
        <v>1</v>
      </c>
      <c r="O134" s="930"/>
    </row>
    <row r="135" spans="1:15" x14ac:dyDescent="0.35">
      <c r="A135" s="952" t="s">
        <v>255</v>
      </c>
      <c r="B135" s="953"/>
      <c r="C135" s="953"/>
      <c r="D135" s="923" t="s">
        <v>250</v>
      </c>
      <c r="E135" s="924">
        <f>'23'!F135</f>
        <v>32423</v>
      </c>
      <c r="F135" s="1075">
        <v>32423</v>
      </c>
      <c r="G135" s="925">
        <f t="shared" si="14"/>
        <v>0</v>
      </c>
      <c r="H135" s="926">
        <f>G135+'23'!H135</f>
        <v>13</v>
      </c>
      <c r="I135" s="945"/>
      <c r="J135" s="928">
        <f>H135/DAY(B2)</f>
        <v>0.54166666666666663</v>
      </c>
      <c r="O135" s="930"/>
    </row>
    <row r="136" spans="1:15" x14ac:dyDescent="0.35">
      <c r="A136" s="952" t="s">
        <v>256</v>
      </c>
      <c r="B136" s="953"/>
      <c r="C136" s="953"/>
      <c r="D136" s="923" t="s">
        <v>250</v>
      </c>
      <c r="E136" s="924">
        <f>'23'!F136</f>
        <v>21946.05</v>
      </c>
      <c r="F136" s="1075">
        <v>21952.93</v>
      </c>
      <c r="G136" s="925">
        <f t="shared" si="14"/>
        <v>6.8800000000010186</v>
      </c>
      <c r="H136" s="926">
        <f>G136+'23'!H136</f>
        <v>-49.029999999998836</v>
      </c>
      <c r="I136" s="945">
        <f>G134+G135+G136</f>
        <v>6.8800000000010186</v>
      </c>
      <c r="J136" s="928">
        <f>H136/DAY(B2)</f>
        <v>-2.0429166666666183</v>
      </c>
      <c r="O136" s="930"/>
    </row>
    <row r="137" spans="1:15" x14ac:dyDescent="0.35">
      <c r="A137" s="952" t="s">
        <v>257</v>
      </c>
      <c r="B137" s="953"/>
      <c r="C137" s="953"/>
      <c r="D137" s="923" t="s">
        <v>250</v>
      </c>
      <c r="E137" s="924">
        <f>'23'!F137</f>
        <v>25019.94</v>
      </c>
      <c r="F137" s="1075">
        <v>25019.94</v>
      </c>
      <c r="G137" s="925">
        <f t="shared" si="14"/>
        <v>0</v>
      </c>
      <c r="H137" s="926">
        <f>G137+'23'!H137</f>
        <v>8</v>
      </c>
      <c r="I137" s="945"/>
      <c r="J137" s="928">
        <f>H137/DAY(B2)</f>
        <v>0.33333333333333331</v>
      </c>
      <c r="O137" s="930"/>
    </row>
    <row r="138" spans="1:15" x14ac:dyDescent="0.35">
      <c r="A138" s="952" t="s">
        <v>258</v>
      </c>
      <c r="B138" s="953"/>
      <c r="C138" s="953"/>
      <c r="D138" s="923" t="s">
        <v>250</v>
      </c>
      <c r="E138" s="924">
        <f>'23'!F138</f>
        <v>70057.8</v>
      </c>
      <c r="F138" s="1075">
        <v>70057.8</v>
      </c>
      <c r="G138" s="925">
        <f t="shared" si="14"/>
        <v>0</v>
      </c>
      <c r="H138" s="926">
        <f>G138+'23'!H138</f>
        <v>15</v>
      </c>
      <c r="I138" s="945">
        <f>G137+G138</f>
        <v>0</v>
      </c>
      <c r="J138" s="928">
        <f>H138/DAY(B2)</f>
        <v>0.625</v>
      </c>
      <c r="O138" s="930"/>
    </row>
    <row r="139" spans="1:15" x14ac:dyDescent="0.35">
      <c r="A139" s="952" t="s">
        <v>259</v>
      </c>
      <c r="B139" s="953"/>
      <c r="C139" s="953"/>
      <c r="D139" s="923" t="s">
        <v>250</v>
      </c>
      <c r="E139" s="924">
        <f>'23'!F139</f>
        <v>1138.53</v>
      </c>
      <c r="F139" s="954">
        <v>1146.44</v>
      </c>
      <c r="G139" s="925">
        <f t="shared" si="14"/>
        <v>7.9100000000000819</v>
      </c>
      <c r="H139" s="926">
        <f>G139+'23'!H139</f>
        <v>-54.149999999999864</v>
      </c>
      <c r="I139" s="1076"/>
      <c r="J139" s="928">
        <f>H139/DAY(B2)</f>
        <v>-2.2562499999999943</v>
      </c>
      <c r="O139" s="930"/>
    </row>
    <row r="140" spans="1:15" x14ac:dyDescent="0.35">
      <c r="A140" s="952" t="s">
        <v>260</v>
      </c>
      <c r="B140" s="953"/>
      <c r="C140" s="953"/>
      <c r="D140" s="923" t="s">
        <v>250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 x14ac:dyDescent="0.3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 x14ac:dyDescent="0.3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5453.7999999999884</v>
      </c>
      <c r="H142" s="926">
        <f>G142+'23'!H142</f>
        <v>-39716.399999999965</v>
      </c>
      <c r="I142" s="945"/>
      <c r="J142" s="928">
        <f>H142/DAY(B2)</f>
        <v>-1654.8499999999985</v>
      </c>
      <c r="K142" s="1024"/>
      <c r="L142" s="903"/>
      <c r="O142" s="930"/>
    </row>
    <row r="143" spans="1:15" x14ac:dyDescent="0.3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0.28125419008818464</v>
      </c>
      <c r="H143" s="926">
        <f>G143+'23'!H143</f>
        <v>6.0299030700669878</v>
      </c>
      <c r="I143" s="1078"/>
      <c r="J143" s="928">
        <f>H143/DAY(B2)</f>
        <v>0.25124596125279114</v>
      </c>
      <c r="K143" s="1024"/>
      <c r="L143" s="903"/>
      <c r="O143" s="930"/>
    </row>
    <row r="144" spans="1:15" x14ac:dyDescent="0.3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4221.2300000000032</v>
      </c>
      <c r="H144" s="926">
        <f>G144+'23'!H144</f>
        <v>-25600.280000000021</v>
      </c>
      <c r="I144" s="945"/>
      <c r="J144" s="928">
        <f>H144/DAY(B2)</f>
        <v>-1066.6783333333342</v>
      </c>
      <c r="K144" s="1024"/>
      <c r="L144" s="903"/>
      <c r="O144" s="930"/>
    </row>
    <row r="145" spans="1:15" x14ac:dyDescent="0.3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0.21769016554071494</v>
      </c>
      <c r="H145" s="926">
        <f>G145+'23'!H145</f>
        <v>5.2370714112049876</v>
      </c>
      <c r="I145" s="1078"/>
      <c r="J145" s="928">
        <f>H145/DAY(B2)</f>
        <v>0.21821130880020781</v>
      </c>
      <c r="K145" s="1024"/>
      <c r="L145" s="903"/>
      <c r="O145" s="930"/>
    </row>
    <row r="146" spans="1:15" x14ac:dyDescent="0.3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4203.9500000000116</v>
      </c>
      <c r="H146" s="926">
        <f>G146+'23'!H146</f>
        <v>883197.73</v>
      </c>
      <c r="I146" s="1079"/>
      <c r="J146" s="928">
        <f>H146/DAY(B2)</f>
        <v>36799.905416666668</v>
      </c>
      <c r="K146" s="1024"/>
      <c r="L146" s="903"/>
      <c r="O146" s="930"/>
    </row>
    <row r="147" spans="1:15" x14ac:dyDescent="0.3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0.21679903047805743</v>
      </c>
      <c r="H147" s="926">
        <f>G147+'23'!H147</f>
        <v>3.6695047317902301</v>
      </c>
      <c r="I147" s="1079"/>
      <c r="J147" s="928">
        <f>H147/DAY(B2)</f>
        <v>0.15289603049125958</v>
      </c>
      <c r="O147" s="930"/>
    </row>
    <row r="148" spans="1:15" x14ac:dyDescent="0.3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1833.9199999999837</v>
      </c>
      <c r="H148" s="926">
        <f>G148+'23'!H148</f>
        <v>137424.34000000003</v>
      </c>
      <c r="I148" s="945"/>
      <c r="J148" s="928">
        <f>H148/DAY(B2)</f>
        <v>5726.0141666666677</v>
      </c>
      <c r="K148" s="1080"/>
      <c r="O148" s="930"/>
    </row>
    <row r="149" spans="1:15" x14ac:dyDescent="0.3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9.4575834149862495E-2</v>
      </c>
      <c r="H149" s="926">
        <f>G149+'23'!H149</f>
        <v>2.258318367170459</v>
      </c>
      <c r="I149" s="1079"/>
      <c r="J149" s="928">
        <f>H149/DAY(B2)</f>
        <v>9.4096598632102457E-2</v>
      </c>
      <c r="O149" s="930"/>
    </row>
    <row r="150" spans="1:15" x14ac:dyDescent="0.3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1724.8999999999651</v>
      </c>
      <c r="H150" s="926">
        <f>G150+'23'!H150</f>
        <v>-12486.140000000014</v>
      </c>
      <c r="I150" s="1079"/>
      <c r="J150" s="928">
        <f>H150/DAY(B2)</f>
        <v>-520.25583333333395</v>
      </c>
      <c r="O150" s="930"/>
    </row>
    <row r="151" spans="1:15" x14ac:dyDescent="0.3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8.8953638285800884E-2</v>
      </c>
      <c r="H151" s="926">
        <f>G151+'23'!H151</f>
        <v>2.3162458912839439</v>
      </c>
      <c r="I151" s="945"/>
      <c r="J151" s="928">
        <f>H151/DAY(B2)</f>
        <v>9.6510245470164333E-2</v>
      </c>
      <c r="O151" s="930"/>
    </row>
    <row r="152" spans="1:15" x14ac:dyDescent="0.3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1478.3600000000006</v>
      </c>
      <c r="H152" s="926">
        <f>G152+'23'!H152</f>
        <v>404630.25999999995</v>
      </c>
      <c r="I152" s="945"/>
      <c r="J152" s="928">
        <f>H152/DAY(B2)</f>
        <v>16859.594166666666</v>
      </c>
      <c r="O152" s="930"/>
    </row>
    <row r="153" spans="1:15" ht="21" thickBot="1" x14ac:dyDescent="0.4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7.6239492548089344E-2</v>
      </c>
      <c r="H153" s="926">
        <f>G153+'23'!H153</f>
        <v>1.1515439082280485</v>
      </c>
      <c r="I153" s="1084"/>
      <c r="J153" s="1085">
        <f>H153/DAY(B2)</f>
        <v>4.7980996176168689E-2</v>
      </c>
      <c r="O153" s="930"/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 x14ac:dyDescent="0.35">
      <c r="A160" s="1076" t="s">
        <v>274</v>
      </c>
      <c r="B160" s="1076"/>
      <c r="C160" s="1076"/>
      <c r="D160" s="910" t="s">
        <v>198</v>
      </c>
      <c r="E160" s="924">
        <f>'23'!F160</f>
        <v>27778.69</v>
      </c>
      <c r="F160" s="1101">
        <v>27861</v>
      </c>
      <c r="G160" s="925">
        <f t="shared" ref="G160:G163" si="15">F160-E160</f>
        <v>82.31000000000131</v>
      </c>
    </row>
    <row r="161" spans="1:7" ht="21.75" customHeight="1" x14ac:dyDescent="0.35">
      <c r="A161" s="1076" t="s">
        <v>275</v>
      </c>
      <c r="B161" s="1076"/>
      <c r="C161" s="1076"/>
      <c r="D161" s="910" t="s">
        <v>198</v>
      </c>
      <c r="E161" s="924">
        <f>'23'!F161</f>
        <v>39033.03</v>
      </c>
      <c r="F161" s="1101">
        <v>39461</v>
      </c>
      <c r="G161" s="925">
        <f t="shared" si="15"/>
        <v>427.97000000000116</v>
      </c>
    </row>
    <row r="162" spans="1:7" ht="21.75" customHeight="1" x14ac:dyDescent="0.35">
      <c r="A162" s="1076" t="s">
        <v>276</v>
      </c>
      <c r="B162" s="1076"/>
      <c r="C162" s="1076"/>
      <c r="D162" s="910" t="s">
        <v>198</v>
      </c>
      <c r="E162" s="924">
        <f>'23'!F162</f>
        <v>10882.5</v>
      </c>
      <c r="F162" s="1101">
        <v>11157</v>
      </c>
      <c r="G162" s="925">
        <f t="shared" si="15"/>
        <v>274.5</v>
      </c>
    </row>
    <row r="163" spans="1:7" ht="21.75" customHeight="1" x14ac:dyDescent="0.35">
      <c r="A163" s="1076" t="s">
        <v>277</v>
      </c>
      <c r="B163" s="1076"/>
      <c r="C163" s="1076"/>
      <c r="D163" s="910" t="s">
        <v>198</v>
      </c>
      <c r="E163" s="924">
        <f>'23'!F163</f>
        <v>4833.93</v>
      </c>
      <c r="F163" s="1101">
        <v>4855</v>
      </c>
      <c r="G163" s="925">
        <f t="shared" si="15"/>
        <v>21.069999999999709</v>
      </c>
    </row>
    <row r="164" spans="1:7" ht="21.75" customHeight="1" x14ac:dyDescent="0.35">
      <c r="A164" s="1006" t="s">
        <v>106</v>
      </c>
      <c r="B164" s="1006"/>
      <c r="C164" s="1006"/>
      <c r="D164" s="910" t="s">
        <v>198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 x14ac:dyDescent="0.35">
      <c r="A165" s="1006" t="s">
        <v>199</v>
      </c>
      <c r="B165" s="1006"/>
      <c r="C165" s="1006"/>
      <c r="D165" s="910" t="s">
        <v>198</v>
      </c>
      <c r="E165" s="1007">
        <f t="shared" ref="E165:E171" si="17">E63</f>
        <v>1245.43</v>
      </c>
      <c r="F165" s="1007">
        <f t="shared" ref="F165:F171" si="18">F63</f>
        <v>1254</v>
      </c>
      <c r="G165" s="925">
        <f t="shared" si="16"/>
        <v>8.5699999999999363</v>
      </c>
    </row>
    <row r="166" spans="1:7" ht="21.75" customHeight="1" x14ac:dyDescent="0.35">
      <c r="A166" s="1564" t="s">
        <v>107</v>
      </c>
      <c r="B166" s="1564"/>
      <c r="C166" s="1564"/>
      <c r="D166" s="923" t="s">
        <v>198</v>
      </c>
      <c r="E166" s="1007">
        <f t="shared" si="17"/>
        <v>107901.1</v>
      </c>
      <c r="F166" s="1007">
        <f t="shared" si="18"/>
        <v>108305</v>
      </c>
      <c r="G166" s="925">
        <f t="shared" si="16"/>
        <v>403.89999999999418</v>
      </c>
    </row>
    <row r="167" spans="1:7" ht="21.75" customHeight="1" x14ac:dyDescent="0.35">
      <c r="A167" s="1564" t="s">
        <v>108</v>
      </c>
      <c r="B167" s="1564"/>
      <c r="C167" s="1564"/>
      <c r="D167" s="923" t="s">
        <v>198</v>
      </c>
      <c r="E167" s="1007">
        <f t="shared" si="17"/>
        <v>118512.05</v>
      </c>
      <c r="F167" s="1007">
        <f t="shared" si="18"/>
        <v>118952</v>
      </c>
      <c r="G167" s="925">
        <f t="shared" si="16"/>
        <v>439.94999999999709</v>
      </c>
    </row>
    <row r="168" spans="1:7" ht="21.75" customHeight="1" x14ac:dyDescent="0.35">
      <c r="A168" s="1564" t="s">
        <v>109</v>
      </c>
      <c r="B168" s="1564"/>
      <c r="C168" s="1564"/>
      <c r="D168" s="923" t="s">
        <v>198</v>
      </c>
      <c r="E168" s="1007">
        <f t="shared" si="17"/>
        <v>10824.81</v>
      </c>
      <c r="F168" s="1007">
        <f t="shared" si="18"/>
        <v>11222</v>
      </c>
      <c r="G168" s="925">
        <f t="shared" si="16"/>
        <v>397.19000000000051</v>
      </c>
    </row>
    <row r="169" spans="1:7" x14ac:dyDescent="0.35">
      <c r="A169" s="1564" t="s">
        <v>110</v>
      </c>
      <c r="B169" s="1564"/>
      <c r="C169" s="1564"/>
      <c r="D169" s="923" t="s">
        <v>198</v>
      </c>
      <c r="E169" s="1007">
        <f t="shared" si="17"/>
        <v>183352.45</v>
      </c>
      <c r="F169" s="1007">
        <f t="shared" si="18"/>
        <v>183973</v>
      </c>
      <c r="G169" s="925">
        <f t="shared" si="16"/>
        <v>620.54999999998836</v>
      </c>
    </row>
    <row r="170" spans="1:7" ht="24" customHeight="1" x14ac:dyDescent="0.35">
      <c r="A170" s="1564" t="s">
        <v>111</v>
      </c>
      <c r="B170" s="1564"/>
      <c r="C170" s="1564"/>
      <c r="D170" s="923" t="s">
        <v>198</v>
      </c>
      <c r="E170" s="1007">
        <f t="shared" si="17"/>
        <v>60703.31</v>
      </c>
      <c r="F170" s="1007">
        <f t="shared" si="18"/>
        <v>61054</v>
      </c>
      <c r="G170" s="925">
        <f t="shared" si="16"/>
        <v>350.69000000000233</v>
      </c>
    </row>
    <row r="171" spans="1:7" x14ac:dyDescent="0.35">
      <c r="A171" s="1564" t="s">
        <v>112</v>
      </c>
      <c r="B171" s="1564"/>
      <c r="C171" s="1564"/>
      <c r="D171" s="923" t="s">
        <v>198</v>
      </c>
      <c r="E171" s="1007">
        <f t="shared" si="17"/>
        <v>53249.27</v>
      </c>
      <c r="F171" s="1007">
        <f t="shared" si="18"/>
        <v>53549</v>
      </c>
      <c r="G171" s="925">
        <f t="shared" si="16"/>
        <v>299.7300000000032</v>
      </c>
    </row>
    <row r="172" spans="1:7" x14ac:dyDescent="0.35">
      <c r="G172" s="1091">
        <f>SUM(G160:G171)</f>
        <v>3326.6099999999878</v>
      </c>
    </row>
    <row r="176" spans="1:7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P176"/>
  <sheetViews>
    <sheetView view="pageBreakPreview" topLeftCell="A79" zoomScale="70" zoomScaleNormal="49" zoomScaleSheetLayoutView="70" workbookViewId="0">
      <selection activeCell="F28" sqref="F28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 x14ac:dyDescent="0.4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 x14ac:dyDescent="0.35">
      <c r="A2" s="891" t="s">
        <v>284</v>
      </c>
      <c r="B2" s="1119">
        <v>43855</v>
      </c>
      <c r="C2" s="892" t="s">
        <v>69</v>
      </c>
      <c r="D2" s="1106">
        <v>0.65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x14ac:dyDescent="0.35">
      <c r="A3" s="896"/>
      <c r="B3" s="897"/>
      <c r="C3" s="892" t="s">
        <v>131</v>
      </c>
      <c r="D3" s="892">
        <v>31</v>
      </c>
      <c r="E3" s="1527" t="s">
        <v>132</v>
      </c>
      <c r="F3" s="1528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 x14ac:dyDescent="0.35">
      <c r="A4" s="904"/>
      <c r="B4" s="905"/>
      <c r="C4" s="892" t="s">
        <v>133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x14ac:dyDescent="0.3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142</v>
      </c>
      <c r="B7" s="922"/>
      <c r="C7" s="922"/>
      <c r="D7" s="923" t="s">
        <v>143</v>
      </c>
      <c r="E7" s="924">
        <f>'24'!F7</f>
        <v>3755812</v>
      </c>
      <c r="F7" s="924">
        <v>3774981</v>
      </c>
      <c r="G7" s="925">
        <f>F7-E7</f>
        <v>19169</v>
      </c>
      <c r="H7" s="926">
        <f>G7+'24'!H7</f>
        <v>-113217</v>
      </c>
      <c r="I7" s="927">
        <f>'1'!I7</f>
        <v>12000</v>
      </c>
      <c r="J7" s="928">
        <f>H7/DAY(B2)</f>
        <v>-4528.68</v>
      </c>
      <c r="K7" s="929"/>
      <c r="L7" s="903"/>
      <c r="N7" s="1104">
        <f>G7/G8</f>
        <v>0.99105573363664567</v>
      </c>
      <c r="O7" s="930"/>
    </row>
    <row r="8" spans="1:15" ht="21" thickBot="1" x14ac:dyDescent="0.4">
      <c r="A8" s="931" t="s">
        <v>144</v>
      </c>
      <c r="B8" s="932"/>
      <c r="C8" s="933"/>
      <c r="D8" s="934" t="s">
        <v>25</v>
      </c>
      <c r="E8" s="924">
        <f>'24'!F8</f>
        <v>3779214</v>
      </c>
      <c r="F8" s="935">
        <v>3798556</v>
      </c>
      <c r="G8" s="936">
        <f>F8-E8</f>
        <v>19342</v>
      </c>
      <c r="H8" s="926">
        <f>G8+'24'!H8</f>
        <v>-114295</v>
      </c>
      <c r="I8" s="937">
        <f>'1'!I8</f>
        <v>12000</v>
      </c>
      <c r="J8" s="928">
        <f>H8/DAY(B2)</f>
        <v>-4571.8</v>
      </c>
      <c r="K8" s="929">
        <v>1375467</v>
      </c>
      <c r="L8" s="938">
        <v>1667461</v>
      </c>
      <c r="M8" s="939"/>
      <c r="O8" s="930"/>
    </row>
    <row r="9" spans="1:15" x14ac:dyDescent="0.35">
      <c r="A9" s="940" t="s">
        <v>145</v>
      </c>
      <c r="B9" s="941"/>
      <c r="C9" s="941"/>
      <c r="D9" s="923" t="s">
        <v>143</v>
      </c>
      <c r="E9" s="924">
        <f>'24'!F9</f>
        <v>2490697</v>
      </c>
      <c r="F9" s="942">
        <v>2497166</v>
      </c>
      <c r="G9" s="925">
        <f t="shared" ref="G9:G12" si="0">F9-E9</f>
        <v>6469</v>
      </c>
      <c r="H9" s="926">
        <f>G9+'24'!H9</f>
        <v>2534278.25</v>
      </c>
      <c r="I9" s="943">
        <f>I8-J8</f>
        <v>16571.8</v>
      </c>
      <c r="J9" s="928">
        <f>H9/DAY(B2)</f>
        <v>101371.13</v>
      </c>
      <c r="K9" s="944"/>
      <c r="L9" s="903"/>
      <c r="O9" s="930"/>
    </row>
    <row r="10" spans="1:15" x14ac:dyDescent="0.35">
      <c r="A10" s="921" t="s">
        <v>146</v>
      </c>
      <c r="B10" s="922"/>
      <c r="C10" s="922"/>
      <c r="D10" s="923" t="s">
        <v>143</v>
      </c>
      <c r="E10" s="924">
        <f>'24'!F10</f>
        <v>1117423</v>
      </c>
      <c r="F10" s="942">
        <v>1129479</v>
      </c>
      <c r="G10" s="925">
        <f t="shared" si="0"/>
        <v>12056</v>
      </c>
      <c r="H10" s="926">
        <f>G10+'24'!H10</f>
        <v>-71395.399999999907</v>
      </c>
      <c r="I10" s="945"/>
      <c r="J10" s="928">
        <f>H10/DAY(B2)</f>
        <v>-2855.8159999999962</v>
      </c>
      <c r="K10" s="944"/>
      <c r="L10" s="903">
        <f>L8-K8</f>
        <v>291994</v>
      </c>
      <c r="O10" s="930"/>
    </row>
    <row r="11" spans="1:15" x14ac:dyDescent="0.35">
      <c r="A11" s="921" t="s">
        <v>147</v>
      </c>
      <c r="B11" s="922"/>
      <c r="C11" s="922"/>
      <c r="D11" s="923" t="s">
        <v>143</v>
      </c>
      <c r="E11" s="924">
        <f>'24'!F11</f>
        <v>35390</v>
      </c>
      <c r="F11" s="924">
        <v>35390</v>
      </c>
      <c r="G11" s="925">
        <f t="shared" si="0"/>
        <v>0</v>
      </c>
      <c r="H11" s="926">
        <f>G11+'24'!H11</f>
        <v>0</v>
      </c>
      <c r="I11" s="945"/>
      <c r="J11" s="928">
        <f>H11/DAY(B2)</f>
        <v>0</v>
      </c>
      <c r="K11" s="944"/>
      <c r="L11" s="903"/>
      <c r="N11" s="1105">
        <f>G7*N7</f>
        <v>18997.547358080861</v>
      </c>
      <c r="O11" s="930"/>
    </row>
    <row r="12" spans="1:15" x14ac:dyDescent="0.35">
      <c r="A12" s="921" t="s">
        <v>148</v>
      </c>
      <c r="B12" s="922"/>
      <c r="C12" s="922"/>
      <c r="D12" s="923" t="s">
        <v>143</v>
      </c>
      <c r="E12" s="924">
        <f>'24'!F12</f>
        <v>37630</v>
      </c>
      <c r="F12" s="942">
        <v>37630</v>
      </c>
      <c r="G12" s="925">
        <f t="shared" si="0"/>
        <v>0</v>
      </c>
      <c r="H12" s="926">
        <f>G12+'24'!H12</f>
        <v>0</v>
      </c>
      <c r="I12" s="945"/>
      <c r="J12" s="928">
        <f>H12/DAY(B2)</f>
        <v>0</v>
      </c>
      <c r="K12" s="944"/>
      <c r="L12" s="903"/>
      <c r="O12" s="930"/>
    </row>
    <row r="13" spans="1:15" x14ac:dyDescent="0.35">
      <c r="A13" s="946" t="s">
        <v>149</v>
      </c>
      <c r="B13" s="947"/>
      <c r="C13" s="947"/>
      <c r="D13" s="923"/>
      <c r="E13" s="924"/>
      <c r="F13" s="924"/>
      <c r="G13" s="948">
        <f>G9+G10+G11+G12</f>
        <v>18525</v>
      </c>
      <c r="H13" s="926">
        <f>G13+'24'!H13</f>
        <v>2444576.8500000006</v>
      </c>
      <c r="I13" s="949">
        <f>G7-G13</f>
        <v>644</v>
      </c>
      <c r="J13" s="928">
        <f>H13/DAY(B2)</f>
        <v>97783.074000000022</v>
      </c>
      <c r="K13" s="944"/>
      <c r="L13" s="903">
        <f>L10-H7</f>
        <v>405211</v>
      </c>
      <c r="O13" s="930"/>
    </row>
    <row r="14" spans="1:15" x14ac:dyDescent="0.3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 x14ac:dyDescent="0.35">
      <c r="A15" s="952" t="s">
        <v>151</v>
      </c>
      <c r="B15" s="953"/>
      <c r="C15" s="953"/>
      <c r="D15" s="923" t="s">
        <v>152</v>
      </c>
      <c r="E15" s="924">
        <f>'24'!F15</f>
        <v>1589010</v>
      </c>
      <c r="F15" s="954">
        <v>1589940.86</v>
      </c>
      <c r="G15" s="1102">
        <f>(F15-E15)</f>
        <v>930.86000000010245</v>
      </c>
      <c r="H15" s="926">
        <f>G15+'24'!H15</f>
        <v>-4496.2899999998044</v>
      </c>
      <c r="I15" s="927">
        <f>'1'!I15</f>
        <v>800</v>
      </c>
      <c r="J15" s="928">
        <f>H15/DAY(B2)</f>
        <v>-179.85159999999217</v>
      </c>
      <c r="K15" s="944"/>
      <c r="L15" s="903"/>
      <c r="O15" s="930"/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979.85159999999223</v>
      </c>
      <c r="J16" s="961"/>
      <c r="K16" s="944"/>
      <c r="L16" s="903"/>
      <c r="O16" s="930"/>
    </row>
    <row r="17" spans="1:15" x14ac:dyDescent="0.3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x14ac:dyDescent="0.35">
      <c r="A18" s="1512" t="s">
        <v>154</v>
      </c>
      <c r="B18" s="1513"/>
      <c r="C18" s="1514"/>
      <c r="D18" s="923" t="s">
        <v>155</v>
      </c>
      <c r="E18" s="924">
        <f>'24'!F18</f>
        <v>14</v>
      </c>
      <c r="F18" s="954">
        <v>13</v>
      </c>
      <c r="G18" s="948">
        <f>F18*10</f>
        <v>130</v>
      </c>
      <c r="H18" s="926">
        <f>G18+'24'!H18</f>
        <v>3990</v>
      </c>
      <c r="I18" s="927">
        <f>'1'!I18</f>
        <v>65</v>
      </c>
      <c r="J18" s="928">
        <f>H18/DAY(B2)</f>
        <v>159.6</v>
      </c>
      <c r="K18" s="944"/>
      <c r="L18" s="903"/>
      <c r="O18" s="930"/>
    </row>
    <row r="19" spans="1:15" x14ac:dyDescent="0.35">
      <c r="A19" s="1512" t="s">
        <v>71</v>
      </c>
      <c r="B19" s="1513"/>
      <c r="C19" s="1514"/>
      <c r="D19" s="923" t="s">
        <v>155</v>
      </c>
      <c r="E19" s="924">
        <f>'24'!F19</f>
        <v>132683</v>
      </c>
      <c r="F19" s="954">
        <v>132736</v>
      </c>
      <c r="G19" s="925">
        <f t="shared" ref="G19" si="1">F19-E19</f>
        <v>53</v>
      </c>
      <c r="H19" s="926">
        <f>G19+'24'!H19</f>
        <v>-312</v>
      </c>
      <c r="I19" s="963"/>
      <c r="J19" s="928">
        <f>H19/DAY(B2)</f>
        <v>-12.48</v>
      </c>
      <c r="K19" s="944"/>
      <c r="L19" s="903"/>
      <c r="O19" s="930"/>
    </row>
    <row r="20" spans="1:15" x14ac:dyDescent="0.35">
      <c r="A20" s="946" t="s">
        <v>156</v>
      </c>
      <c r="B20" s="947"/>
      <c r="C20" s="947"/>
      <c r="D20" s="964"/>
      <c r="E20" s="964"/>
      <c r="F20" s="964"/>
      <c r="G20" s="965">
        <f>G18+G19</f>
        <v>183</v>
      </c>
      <c r="H20" s="926">
        <f>G20+'24'!H20</f>
        <v>3678</v>
      </c>
      <c r="I20" s="966">
        <f>I18-J20</f>
        <v>-82.12</v>
      </c>
      <c r="J20" s="928">
        <f>H20/DAY(B2)</f>
        <v>147.12</v>
      </c>
      <c r="K20" s="944"/>
      <c r="L20" s="903"/>
      <c r="O20" s="930"/>
    </row>
    <row r="21" spans="1:15" x14ac:dyDescent="0.3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 x14ac:dyDescent="0.35">
      <c r="A22" s="952" t="s">
        <v>158</v>
      </c>
      <c r="B22" s="953"/>
      <c r="C22" s="953"/>
      <c r="D22" s="923" t="s">
        <v>159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 x14ac:dyDescent="0.35">
      <c r="A23" s="952" t="s">
        <v>160</v>
      </c>
      <c r="B23" s="953"/>
      <c r="C23" s="953"/>
      <c r="D23" s="923" t="s">
        <v>159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 x14ac:dyDescent="0.35">
      <c r="A24" s="967" t="s">
        <v>161</v>
      </c>
      <c r="B24" s="968"/>
      <c r="C24" s="968"/>
      <c r="D24" s="910" t="s">
        <v>159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x14ac:dyDescent="0.3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x14ac:dyDescent="0.35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19342</v>
      </c>
      <c r="F27" s="577">
        <v>9</v>
      </c>
      <c r="G27" s="986">
        <f>E27*F27</f>
        <v>174078</v>
      </c>
      <c r="H27" s="926">
        <f>G27+'24'!H27</f>
        <v>-1028655</v>
      </c>
      <c r="I27" s="987"/>
      <c r="J27" s="928">
        <f>H27/DAY(B2)</f>
        <v>-41146.199999999997</v>
      </c>
      <c r="K27" s="944"/>
      <c r="L27" s="974"/>
      <c r="N27" s="1093"/>
      <c r="O27" s="930"/>
    </row>
    <row r="28" spans="1:15" s="975" customFormat="1" ht="22.5" x14ac:dyDescent="0.4">
      <c r="A28" s="976" t="s">
        <v>165</v>
      </c>
      <c r="B28" s="977"/>
      <c r="C28" s="978"/>
      <c r="D28" s="983" t="s">
        <v>166</v>
      </c>
      <c r="E28" s="984">
        <f>G15</f>
        <v>930.86000000010245</v>
      </c>
      <c r="F28" s="577">
        <v>43.5</v>
      </c>
      <c r="G28" s="986">
        <f>E28*F28</f>
        <v>40492.410000004456</v>
      </c>
      <c r="H28" s="926">
        <f>G28+'24'!H28</f>
        <v>-195588.61499999149</v>
      </c>
      <c r="I28" s="988"/>
      <c r="J28" s="928">
        <f>H28/DAY(B2)</f>
        <v>-7823.54459999966</v>
      </c>
      <c r="K28" s="944"/>
      <c r="L28" s="974"/>
      <c r="N28" s="1093"/>
      <c r="O28" s="930"/>
    </row>
    <row r="29" spans="1:15" s="975" customFormat="1" x14ac:dyDescent="0.35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 x14ac:dyDescent="0.35">
      <c r="A30" s="976" t="s">
        <v>169</v>
      </c>
      <c r="B30" s="977"/>
      <c r="C30" s="978"/>
      <c r="D30" s="983" t="s">
        <v>170</v>
      </c>
      <c r="E30" s="984">
        <f>G19</f>
        <v>53</v>
      </c>
      <c r="F30" s="985">
        <v>134</v>
      </c>
      <c r="G30" s="986">
        <f>E30*F30</f>
        <v>7102</v>
      </c>
      <c r="H30" s="926">
        <f>G30+'24'!H30</f>
        <v>-41808</v>
      </c>
      <c r="I30" s="988"/>
      <c r="J30" s="928">
        <f>H30/DAY(B2)</f>
        <v>-1672.32</v>
      </c>
      <c r="K30" s="944"/>
      <c r="L30" s="974"/>
      <c r="N30" s="1093"/>
      <c r="O30" s="930"/>
    </row>
    <row r="31" spans="1:15" s="975" customFormat="1" x14ac:dyDescent="0.35">
      <c r="A31" s="976" t="s">
        <v>171</v>
      </c>
      <c r="B31" s="977"/>
      <c r="C31" s="978"/>
      <c r="D31" s="983" t="s">
        <v>155</v>
      </c>
      <c r="E31" s="984">
        <f>G18</f>
        <v>130</v>
      </c>
      <c r="F31" s="985">
        <v>80</v>
      </c>
      <c r="G31" s="986">
        <f>E31*F31</f>
        <v>10400</v>
      </c>
      <c r="H31" s="926">
        <f>G31+'24'!H31</f>
        <v>319200</v>
      </c>
      <c r="I31" s="988"/>
      <c r="J31" s="928"/>
      <c r="K31" s="944"/>
      <c r="L31" s="974"/>
      <c r="N31" s="1093"/>
      <c r="O31" s="930"/>
    </row>
    <row r="32" spans="1:15" s="975" customFormat="1" x14ac:dyDescent="0.35">
      <c r="A32" s="989" t="s">
        <v>172</v>
      </c>
      <c r="B32" s="990"/>
      <c r="C32" s="991"/>
      <c r="D32" s="992"/>
      <c r="E32" s="992"/>
      <c r="F32" s="992"/>
      <c r="G32" s="993">
        <f>G27+G28+G29+G30+G31</f>
        <v>232072.41000000446</v>
      </c>
      <c r="H32" s="926">
        <f>G32+'24'!H32</f>
        <v>-784701.61499999103</v>
      </c>
      <c r="I32" s="994"/>
      <c r="J32" s="928">
        <f>H32/DAY(B2)</f>
        <v>-31388.064599999641</v>
      </c>
      <c r="K32" s="944"/>
      <c r="L32" s="974"/>
      <c r="N32" s="1093"/>
      <c r="O32" s="930"/>
    </row>
    <row r="33" spans="1:15" ht="18.75" x14ac:dyDescent="0.3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 x14ac:dyDescent="0.3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x14ac:dyDescent="0.35">
      <c r="A35" s="921" t="s">
        <v>175</v>
      </c>
      <c r="B35" s="922"/>
      <c r="C35" s="922"/>
      <c r="D35" s="923" t="s">
        <v>143</v>
      </c>
      <c r="E35" s="924">
        <f>'24'!F35</f>
        <v>629027.67000000004</v>
      </c>
      <c r="F35" s="997">
        <v>629027.67000000004</v>
      </c>
      <c r="G35" s="925">
        <f t="shared" ref="G35:G46" si="3">F35-E35</f>
        <v>0</v>
      </c>
      <c r="H35" s="926">
        <f>G35+'24'!H35</f>
        <v>0</v>
      </c>
      <c r="I35" s="924"/>
      <c r="J35" s="928">
        <f>H35/DAY(B2)</f>
        <v>0</v>
      </c>
      <c r="K35" s="944"/>
      <c r="L35" s="903"/>
      <c r="O35" s="930"/>
    </row>
    <row r="36" spans="1:15" x14ac:dyDescent="0.35">
      <c r="A36" s="921" t="s">
        <v>176</v>
      </c>
      <c r="B36" s="922"/>
      <c r="C36" s="922"/>
      <c r="D36" s="923" t="s">
        <v>143</v>
      </c>
      <c r="E36" s="924">
        <f>'24'!F36</f>
        <v>271719.90999999997</v>
      </c>
      <c r="F36" s="997">
        <v>272676</v>
      </c>
      <c r="G36" s="925">
        <f t="shared" si="3"/>
        <v>956.09000000002561</v>
      </c>
      <c r="H36" s="926">
        <f>G36+'24'!H36</f>
        <v>-3815.4500000000116</v>
      </c>
      <c r="I36" s="924"/>
      <c r="J36" s="928">
        <f>H36/DAY(B2)</f>
        <v>-152.61800000000048</v>
      </c>
      <c r="K36" s="944"/>
      <c r="L36" s="903"/>
      <c r="O36" s="930"/>
    </row>
    <row r="37" spans="1:15" x14ac:dyDescent="0.35">
      <c r="A37" s="921" t="s">
        <v>177</v>
      </c>
      <c r="B37" s="922"/>
      <c r="C37" s="922"/>
      <c r="D37" s="923" t="s">
        <v>143</v>
      </c>
      <c r="E37" s="924">
        <f>'24'!F37</f>
        <v>415066</v>
      </c>
      <c r="F37" s="997">
        <v>415066</v>
      </c>
      <c r="G37" s="925">
        <f t="shared" si="3"/>
        <v>0</v>
      </c>
      <c r="H37" s="926">
        <f>G37+'24'!H37</f>
        <v>415066</v>
      </c>
      <c r="I37" s="924"/>
      <c r="J37" s="928">
        <f>H37/DAY(B2)</f>
        <v>16602.64</v>
      </c>
      <c r="K37" s="944"/>
      <c r="L37" s="903"/>
      <c r="O37" s="930"/>
    </row>
    <row r="38" spans="1:15" x14ac:dyDescent="0.35">
      <c r="A38" s="921" t="s">
        <v>178</v>
      </c>
      <c r="B38" s="922"/>
      <c r="C38" s="922"/>
      <c r="D38" s="923" t="s">
        <v>143</v>
      </c>
      <c r="E38" s="924">
        <f>'24'!F38</f>
        <v>150714.38</v>
      </c>
      <c r="F38" s="913">
        <v>150714.38</v>
      </c>
      <c r="G38" s="925">
        <f t="shared" si="3"/>
        <v>0</v>
      </c>
      <c r="H38" s="926">
        <f>G38+'24'!H38</f>
        <v>150616.5</v>
      </c>
      <c r="I38" s="924"/>
      <c r="J38" s="928">
        <f>H38/DAY(B2)</f>
        <v>6024.66</v>
      </c>
      <c r="K38" s="944"/>
      <c r="L38" s="903"/>
      <c r="O38" s="930"/>
    </row>
    <row r="39" spans="1:15" x14ac:dyDescent="0.35">
      <c r="A39" s="921" t="s">
        <v>179</v>
      </c>
      <c r="B39" s="922"/>
      <c r="C39" s="922"/>
      <c r="D39" s="923" t="s">
        <v>143</v>
      </c>
      <c r="E39" s="924">
        <f>'24'!F39</f>
        <v>912480</v>
      </c>
      <c r="F39" s="997">
        <v>912480</v>
      </c>
      <c r="G39" s="925">
        <f t="shared" si="3"/>
        <v>0</v>
      </c>
      <c r="H39" s="926">
        <f>G39+'24'!H39</f>
        <v>912480</v>
      </c>
      <c r="I39" s="924"/>
      <c r="J39" s="928">
        <f>H39/DAY(B2)</f>
        <v>36499.199999999997</v>
      </c>
      <c r="K39" s="944"/>
      <c r="L39" s="903"/>
      <c r="O39" s="930"/>
    </row>
    <row r="40" spans="1:15" x14ac:dyDescent="0.35">
      <c r="A40" s="998" t="s">
        <v>180</v>
      </c>
      <c r="B40" s="999"/>
      <c r="C40" s="999"/>
      <c r="D40" s="923" t="s">
        <v>143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 x14ac:dyDescent="0.35">
      <c r="A41" s="921" t="s">
        <v>181</v>
      </c>
      <c r="B41" s="922"/>
      <c r="C41" s="922"/>
      <c r="D41" s="923" t="s">
        <v>143</v>
      </c>
      <c r="E41" s="924">
        <f>'24'!F41</f>
        <v>19024</v>
      </c>
      <c r="F41" s="997">
        <v>22539.11</v>
      </c>
      <c r="G41" s="925">
        <f t="shared" si="3"/>
        <v>3515.1100000000006</v>
      </c>
      <c r="H41" s="926">
        <f>G41+'24'!H41</f>
        <v>-22083.409999999996</v>
      </c>
      <c r="I41" s="924"/>
      <c r="J41" s="928">
        <f>H41/DAY(B2)</f>
        <v>-883.3363999999998</v>
      </c>
      <c r="K41" s="944"/>
      <c r="L41" s="903"/>
      <c r="O41" s="930"/>
    </row>
    <row r="42" spans="1:15" x14ac:dyDescent="0.35">
      <c r="A42" s="921" t="s">
        <v>182</v>
      </c>
      <c r="B42" s="922"/>
      <c r="C42" s="922"/>
      <c r="D42" s="923" t="s">
        <v>143</v>
      </c>
      <c r="E42" s="924">
        <f>'24'!F42</f>
        <v>58926</v>
      </c>
      <c r="F42" s="997">
        <v>58926</v>
      </c>
      <c r="G42" s="925">
        <f t="shared" si="3"/>
        <v>0</v>
      </c>
      <c r="H42" s="926">
        <f>G42+'24'!H42</f>
        <v>0</v>
      </c>
      <c r="I42" s="924"/>
      <c r="J42" s="928">
        <f>H42/DAY(B2)</f>
        <v>0</v>
      </c>
      <c r="K42" s="944"/>
      <c r="L42" s="903"/>
      <c r="O42" s="930"/>
    </row>
    <row r="43" spans="1:15" x14ac:dyDescent="0.35">
      <c r="A43" s="921" t="s">
        <v>183</v>
      </c>
      <c r="B43" s="922"/>
      <c r="C43" s="922"/>
      <c r="D43" s="923" t="s">
        <v>143</v>
      </c>
      <c r="E43" s="924">
        <f>'24'!F43</f>
        <v>751611</v>
      </c>
      <c r="F43" s="997">
        <v>753864.31</v>
      </c>
      <c r="G43" s="925">
        <f t="shared" si="3"/>
        <v>2253.3100000000559</v>
      </c>
      <c r="H43" s="926">
        <f>G43+'24'!H43</f>
        <v>-13947.599999999977</v>
      </c>
      <c r="I43" s="924"/>
      <c r="J43" s="928">
        <f>H43/DAY(B2)</f>
        <v>-557.90399999999909</v>
      </c>
      <c r="K43" s="944"/>
      <c r="L43" s="903"/>
      <c r="O43" s="930"/>
    </row>
    <row r="44" spans="1:15" x14ac:dyDescent="0.35">
      <c r="A44" s="921" t="s">
        <v>184</v>
      </c>
      <c r="B44" s="922"/>
      <c r="C44" s="922"/>
      <c r="D44" s="923" t="s">
        <v>143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 x14ac:dyDescent="0.35">
      <c r="A45" s="921" t="s">
        <v>185</v>
      </c>
      <c r="B45" s="922"/>
      <c r="C45" s="922"/>
      <c r="D45" s="923" t="s">
        <v>143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 x14ac:dyDescent="0.35">
      <c r="A46" s="921" t="s">
        <v>186</v>
      </c>
      <c r="B46" s="922"/>
      <c r="C46" s="922"/>
      <c r="D46" s="923" t="s">
        <v>143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 x14ac:dyDescent="0.3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6724.5100000000821</v>
      </c>
      <c r="H47" s="926">
        <f>G47+'24'!H47</f>
        <v>1438315.0100000002</v>
      </c>
      <c r="I47" s="924"/>
      <c r="J47" s="928">
        <f>H47/DAY(B2)</f>
        <v>57532.60040000001</v>
      </c>
      <c r="K47" s="944"/>
      <c r="L47" s="903"/>
      <c r="N47" s="1094"/>
      <c r="O47" s="930"/>
    </row>
    <row r="48" spans="1:15" x14ac:dyDescent="0.3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x14ac:dyDescent="0.35">
      <c r="A49" s="921" t="s">
        <v>175</v>
      </c>
      <c r="B49" s="1000"/>
      <c r="C49" s="1000"/>
      <c r="D49" s="923" t="s">
        <v>143</v>
      </c>
      <c r="E49" s="924">
        <f>'24'!F49</f>
        <v>224081</v>
      </c>
      <c r="F49" s="997">
        <v>227268.61</v>
      </c>
      <c r="G49" s="925">
        <f t="shared" ref="G49:G58" si="4">F49-E49</f>
        <v>3187.609999999986</v>
      </c>
      <c r="H49" s="926">
        <f>G49+'24'!H49</f>
        <v>-18630.440000000002</v>
      </c>
      <c r="I49" s="924"/>
      <c r="J49" s="928">
        <f>H49/DAY(B2)</f>
        <v>-745.21760000000006</v>
      </c>
      <c r="K49" s="944"/>
      <c r="L49" s="903"/>
      <c r="O49" s="930"/>
    </row>
    <row r="50" spans="1:15" x14ac:dyDescent="0.35">
      <c r="A50" s="921" t="s">
        <v>189</v>
      </c>
      <c r="B50" s="1000"/>
      <c r="C50" s="1000"/>
      <c r="D50" s="923" t="s">
        <v>143</v>
      </c>
      <c r="E50" s="924">
        <f>'24'!F50</f>
        <v>360902.71</v>
      </c>
      <c r="F50" s="997">
        <v>361944.67</v>
      </c>
      <c r="G50" s="925">
        <f t="shared" si="4"/>
        <v>1041.9599999999627</v>
      </c>
      <c r="H50" s="926">
        <f>G50+'24'!H50</f>
        <v>-7715.640000000014</v>
      </c>
      <c r="I50" s="924"/>
      <c r="J50" s="928">
        <f>H50/DAY(B2)</f>
        <v>-308.62560000000053</v>
      </c>
      <c r="K50" s="944"/>
      <c r="L50" s="903"/>
      <c r="O50" s="930"/>
    </row>
    <row r="51" spans="1:15" x14ac:dyDescent="0.35">
      <c r="A51" s="921" t="s">
        <v>177</v>
      </c>
      <c r="B51" s="1000"/>
      <c r="C51" s="1000"/>
      <c r="D51" s="923" t="s">
        <v>143</v>
      </c>
      <c r="E51" s="924">
        <f>'24'!F51</f>
        <v>99664</v>
      </c>
      <c r="F51" s="997">
        <v>101167.88</v>
      </c>
      <c r="G51" s="925">
        <f t="shared" si="4"/>
        <v>1503.8800000000047</v>
      </c>
      <c r="H51" s="926">
        <f>G51+'24'!H51</f>
        <v>-8931.86</v>
      </c>
      <c r="I51" s="924"/>
      <c r="J51" s="928">
        <f>H51/DAY(B2)</f>
        <v>-357.27440000000001</v>
      </c>
      <c r="K51" s="944"/>
      <c r="L51" s="903"/>
      <c r="O51" s="930"/>
    </row>
    <row r="52" spans="1:15" x14ac:dyDescent="0.35">
      <c r="A52" s="921" t="s">
        <v>190</v>
      </c>
      <c r="B52" s="1000"/>
      <c r="C52" s="1000"/>
      <c r="D52" s="923" t="s">
        <v>143</v>
      </c>
      <c r="E52" s="924">
        <f>'24'!F52</f>
        <v>480616.51</v>
      </c>
      <c r="F52" s="997">
        <v>482441.51</v>
      </c>
      <c r="G52" s="925">
        <f t="shared" si="4"/>
        <v>1825</v>
      </c>
      <c r="H52" s="926">
        <f>G52+'24'!H52</f>
        <v>-11367.159999999974</v>
      </c>
      <c r="I52" s="924"/>
      <c r="J52" s="928">
        <f>H52/DAY(B2)</f>
        <v>-454.68639999999897</v>
      </c>
      <c r="K52" s="944"/>
      <c r="L52" s="903"/>
      <c r="O52" s="930"/>
    </row>
    <row r="53" spans="1:15" x14ac:dyDescent="0.35">
      <c r="A53" s="921" t="s">
        <v>179</v>
      </c>
      <c r="B53" s="1000"/>
      <c r="C53" s="1000"/>
      <c r="D53" s="923" t="s">
        <v>143</v>
      </c>
      <c r="E53" s="924">
        <f>'24'!F53</f>
        <v>275016</v>
      </c>
      <c r="F53" s="997">
        <v>279342</v>
      </c>
      <c r="G53" s="925">
        <f t="shared" si="4"/>
        <v>4326</v>
      </c>
      <c r="H53" s="926">
        <f>G53+'24'!H53</f>
        <v>-24956.270000000019</v>
      </c>
      <c r="I53" s="924"/>
      <c r="J53" s="928">
        <f>H53/DAY(B2)</f>
        <v>-998.25080000000071</v>
      </c>
      <c r="K53" s="944"/>
      <c r="L53" s="903"/>
      <c r="O53" s="930"/>
    </row>
    <row r="54" spans="1:15" x14ac:dyDescent="0.35">
      <c r="A54" s="921" t="s">
        <v>191</v>
      </c>
      <c r="B54" s="1000"/>
      <c r="C54" s="1000"/>
      <c r="D54" s="923" t="s">
        <v>143</v>
      </c>
      <c r="E54" s="924">
        <f>'24'!F54</f>
        <v>5974</v>
      </c>
      <c r="F54" s="997">
        <v>6024</v>
      </c>
      <c r="G54" s="925">
        <f t="shared" si="4"/>
        <v>50</v>
      </c>
      <c r="H54" s="926">
        <f>G54+'24'!H54</f>
        <v>-364.80000000000018</v>
      </c>
      <c r="I54" s="924"/>
      <c r="J54" s="928">
        <f>H54/DAY(B2)</f>
        <v>-14.592000000000008</v>
      </c>
      <c r="K54" s="944"/>
      <c r="L54" s="903"/>
      <c r="O54" s="930"/>
    </row>
    <row r="55" spans="1:15" x14ac:dyDescent="0.35">
      <c r="A55" s="921" t="s">
        <v>192</v>
      </c>
      <c r="B55" s="1000"/>
      <c r="C55" s="1000"/>
      <c r="D55" s="923" t="s">
        <v>143</v>
      </c>
      <c r="E55" s="924">
        <f>'24'!F55</f>
        <v>39120.58</v>
      </c>
      <c r="F55" s="997">
        <v>39120.58</v>
      </c>
      <c r="G55" s="925">
        <f t="shared" si="4"/>
        <v>0</v>
      </c>
      <c r="H55" s="926">
        <f>G55+'24'!H55</f>
        <v>-3867.4000000000015</v>
      </c>
      <c r="I55" s="924"/>
      <c r="J55" s="928">
        <f>H55/DAY(B2)</f>
        <v>-154.69600000000005</v>
      </c>
      <c r="K55" s="944"/>
      <c r="L55" s="903"/>
      <c r="O55" s="930"/>
    </row>
    <row r="56" spans="1:15" x14ac:dyDescent="0.35">
      <c r="A56" s="921" t="s">
        <v>193</v>
      </c>
      <c r="B56" s="1000"/>
      <c r="C56" s="1000"/>
      <c r="D56" s="923" t="s">
        <v>194</v>
      </c>
      <c r="E56" s="924">
        <f>'24'!F56</f>
        <v>557730.15</v>
      </c>
      <c r="F56" s="997">
        <v>557730.15</v>
      </c>
      <c r="G56" s="925">
        <f t="shared" si="4"/>
        <v>0</v>
      </c>
      <c r="H56" s="926">
        <f>G56+'24'!H56</f>
        <v>-1.7600000000093132</v>
      </c>
      <c r="I56" s="924"/>
      <c r="J56" s="928">
        <f>H56/DAY(B2)</f>
        <v>-7.0400000000372526E-2</v>
      </c>
      <c r="K56" s="920"/>
      <c r="L56" s="903"/>
      <c r="O56" s="930"/>
    </row>
    <row r="57" spans="1:15" x14ac:dyDescent="0.35">
      <c r="A57" s="921" t="s">
        <v>183</v>
      </c>
      <c r="B57" s="1000"/>
      <c r="C57" s="1000"/>
      <c r="D57" s="923" t="s">
        <v>143</v>
      </c>
      <c r="E57" s="924">
        <f>'24'!F57</f>
        <v>0</v>
      </c>
      <c r="F57" s="997">
        <v>0</v>
      </c>
      <c r="G57" s="925">
        <f t="shared" si="4"/>
        <v>0</v>
      </c>
      <c r="H57" s="926">
        <f>G57+'24'!H57</f>
        <v>0</v>
      </c>
      <c r="I57" s="924"/>
      <c r="J57" s="928">
        <f>H57/DAY(B2)</f>
        <v>0</v>
      </c>
      <c r="K57" s="944"/>
      <c r="L57" s="903"/>
      <c r="O57" s="930"/>
    </row>
    <row r="58" spans="1:15" x14ac:dyDescent="0.35">
      <c r="A58" s="921" t="s">
        <v>195</v>
      </c>
      <c r="B58" s="1000"/>
      <c r="C58" s="1000"/>
      <c r="D58" s="923" t="s">
        <v>143</v>
      </c>
      <c r="E58" s="924">
        <f>'24'!F58</f>
        <v>29400</v>
      </c>
      <c r="F58" s="997">
        <v>29579.14</v>
      </c>
      <c r="G58" s="925">
        <f t="shared" si="4"/>
        <v>179.13999999999942</v>
      </c>
      <c r="H58" s="926">
        <f>G58+'24'!H58</f>
        <v>-1150.3999999999978</v>
      </c>
      <c r="I58" s="924"/>
      <c r="J58" s="928">
        <f>H58/DAY(B2)</f>
        <v>-46.015999999999913</v>
      </c>
      <c r="K58" s="944"/>
      <c r="L58" s="903"/>
      <c r="O58" s="930"/>
    </row>
    <row r="59" spans="1:15" x14ac:dyDescent="0.3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12113.589999999953</v>
      </c>
      <c r="H59" s="926">
        <f>G59+'24'!H59</f>
        <v>-76985.729999999938</v>
      </c>
      <c r="I59" s="924">
        <f>G7-G60</f>
        <v>330.89999999996508</v>
      </c>
      <c r="J59" s="928">
        <f>H59/DAY(B2)</f>
        <v>-3079.4291999999973</v>
      </c>
      <c r="K59" s="944"/>
      <c r="L59" s="903"/>
      <c r="O59" s="930"/>
    </row>
    <row r="60" spans="1:15" x14ac:dyDescent="0.35">
      <c r="A60" s="921"/>
      <c r="B60" s="922"/>
      <c r="C60" s="922"/>
      <c r="D60" s="910" t="s">
        <v>196</v>
      </c>
      <c r="E60" s="910"/>
      <c r="F60" s="910"/>
      <c r="G60" s="948">
        <f>G47+G59</f>
        <v>18838.100000000035</v>
      </c>
      <c r="H60" s="926">
        <f>G60+'24'!H60</f>
        <v>1366509.4700000002</v>
      </c>
      <c r="I60" s="924">
        <f>G13-G60</f>
        <v>-313.10000000003492</v>
      </c>
      <c r="J60" s="928">
        <f>H60/DAY(B2)</f>
        <v>54660.378800000006</v>
      </c>
      <c r="K60" s="944"/>
      <c r="L60" s="903"/>
      <c r="O60" s="930"/>
    </row>
    <row r="61" spans="1:15" x14ac:dyDescent="0.3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x14ac:dyDescent="0.35">
      <c r="A62" s="1005" t="s">
        <v>106</v>
      </c>
      <c r="B62" s="1006"/>
      <c r="C62" s="1006"/>
      <c r="D62" s="910" t="s">
        <v>198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 x14ac:dyDescent="0.35">
      <c r="A63" s="1005" t="s">
        <v>199</v>
      </c>
      <c r="B63" s="1006"/>
      <c r="C63" s="1006"/>
      <c r="D63" s="910" t="s">
        <v>198</v>
      </c>
      <c r="E63" s="924">
        <f>'24'!F63</f>
        <v>1254</v>
      </c>
      <c r="F63" s="1007">
        <v>1264.31</v>
      </c>
      <c r="G63" s="925">
        <f t="shared" si="5"/>
        <v>10.309999999999945</v>
      </c>
      <c r="H63" s="926">
        <f>G63+'24'!H63</f>
        <v>-68.220000000000027</v>
      </c>
      <c r="I63" s="1008"/>
      <c r="J63" s="928">
        <f>H63/DAY(B2)</f>
        <v>-2.728800000000001</v>
      </c>
      <c r="K63" s="944"/>
      <c r="L63" s="903"/>
      <c r="O63" s="930"/>
    </row>
    <row r="64" spans="1:15" x14ac:dyDescent="0.35">
      <c r="A64" s="1509" t="s">
        <v>107</v>
      </c>
      <c r="B64" s="1510"/>
      <c r="C64" s="1511"/>
      <c r="D64" s="923" t="s">
        <v>198</v>
      </c>
      <c r="E64" s="924">
        <f>'24'!F64</f>
        <v>108305</v>
      </c>
      <c r="F64" s="954">
        <v>108728</v>
      </c>
      <c r="G64" s="925">
        <f t="shared" si="5"/>
        <v>423</v>
      </c>
      <c r="H64" s="926">
        <f>G64+'24'!H64</f>
        <v>-2555.4600000000064</v>
      </c>
      <c r="I64" s="945"/>
      <c r="J64" s="928">
        <f>H64/DAY(B2)</f>
        <v>-102.21840000000026</v>
      </c>
      <c r="K64" s="944"/>
      <c r="L64" s="903"/>
      <c r="O64" s="930"/>
    </row>
    <row r="65" spans="1:15" x14ac:dyDescent="0.35">
      <c r="A65" s="1509" t="s">
        <v>108</v>
      </c>
      <c r="B65" s="1510"/>
      <c r="C65" s="1511"/>
      <c r="D65" s="923" t="s">
        <v>198</v>
      </c>
      <c r="E65" s="924">
        <f>'24'!F65</f>
        <v>118952</v>
      </c>
      <c r="F65" s="954">
        <v>119368</v>
      </c>
      <c r="G65" s="925">
        <f t="shared" si="5"/>
        <v>416</v>
      </c>
      <c r="H65" s="926">
        <f>G65+'24'!H65</f>
        <v>-2365.1100000000006</v>
      </c>
      <c r="I65" s="963"/>
      <c r="J65" s="928">
        <f>H65/DAY(B2)</f>
        <v>-94.604400000000027</v>
      </c>
      <c r="K65" s="944"/>
      <c r="L65" s="903"/>
      <c r="O65" s="930"/>
    </row>
    <row r="66" spans="1:15" x14ac:dyDescent="0.35">
      <c r="A66" s="1509" t="s">
        <v>109</v>
      </c>
      <c r="B66" s="1510"/>
      <c r="C66" s="1511"/>
      <c r="D66" s="923" t="s">
        <v>198</v>
      </c>
      <c r="E66" s="924">
        <f>'24'!F66</f>
        <v>11222</v>
      </c>
      <c r="F66" s="954">
        <v>11656.69</v>
      </c>
      <c r="G66" s="925">
        <f t="shared" si="5"/>
        <v>434.69000000000051</v>
      </c>
      <c r="H66" s="926">
        <f>G66+'24'!H66</f>
        <v>-2503.0499999999993</v>
      </c>
      <c r="I66" s="945"/>
      <c r="J66" s="928">
        <f>H66/DAY(B2)</f>
        <v>-100.12199999999997</v>
      </c>
      <c r="K66" s="944"/>
      <c r="L66" s="903"/>
      <c r="O66" s="930"/>
    </row>
    <row r="67" spans="1:15" x14ac:dyDescent="0.35">
      <c r="A67" s="1509" t="s">
        <v>110</v>
      </c>
      <c r="B67" s="1510"/>
      <c r="C67" s="1511"/>
      <c r="D67" s="923" t="s">
        <v>198</v>
      </c>
      <c r="E67" s="924">
        <f>'24'!F67</f>
        <v>183973</v>
      </c>
      <c r="F67" s="954">
        <v>184645</v>
      </c>
      <c r="G67" s="925">
        <f t="shared" si="5"/>
        <v>672</v>
      </c>
      <c r="H67" s="926">
        <f>G67+'24'!H67</f>
        <v>-4029.5299999999988</v>
      </c>
      <c r="I67" s="963"/>
      <c r="J67" s="928">
        <f>H67/DAY(B2)</f>
        <v>-161.18119999999996</v>
      </c>
      <c r="K67" s="951"/>
      <c r="L67" s="903"/>
      <c r="O67" s="930"/>
    </row>
    <row r="68" spans="1:15" x14ac:dyDescent="0.35">
      <c r="A68" s="1509" t="s">
        <v>111</v>
      </c>
      <c r="B68" s="1510"/>
      <c r="C68" s="1511"/>
      <c r="D68" s="923" t="s">
        <v>198</v>
      </c>
      <c r="E68" s="924">
        <f>'24'!F68</f>
        <v>61054</v>
      </c>
      <c r="F68" s="954">
        <v>61404.85</v>
      </c>
      <c r="G68" s="925">
        <f t="shared" si="5"/>
        <v>350.84999999999854</v>
      </c>
      <c r="H68" s="926">
        <f>G68+'24'!H68</f>
        <v>-1895.010000000002</v>
      </c>
      <c r="I68" s="1009"/>
      <c r="J68" s="928">
        <f>H68/DAY(B2)</f>
        <v>-75.800400000000081</v>
      </c>
      <c r="K68" s="1010"/>
      <c r="L68" s="903"/>
      <c r="O68" s="930"/>
    </row>
    <row r="69" spans="1:15" x14ac:dyDescent="0.35">
      <c r="A69" s="1509" t="s">
        <v>112</v>
      </c>
      <c r="B69" s="1510"/>
      <c r="C69" s="1511"/>
      <c r="D69" s="923" t="s">
        <v>198</v>
      </c>
      <c r="E69" s="924">
        <f>'24'!F69</f>
        <v>53549</v>
      </c>
      <c r="F69" s="954">
        <v>53853</v>
      </c>
      <c r="G69" s="925">
        <f t="shared" si="5"/>
        <v>304</v>
      </c>
      <c r="H69" s="926">
        <f>G69+'24'!H69</f>
        <v>-1870.7099999999991</v>
      </c>
      <c r="I69" s="1009"/>
      <c r="J69" s="928">
        <f>H69/DAY(B2)</f>
        <v>-74.828399999999959</v>
      </c>
      <c r="K69" s="1011"/>
      <c r="L69" s="903"/>
      <c r="O69" s="930"/>
    </row>
    <row r="70" spans="1:15" x14ac:dyDescent="0.3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 x14ac:dyDescent="0.4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 x14ac:dyDescent="0.35">
      <c r="A72" s="1509" t="s">
        <v>202</v>
      </c>
      <c r="B72" s="1510"/>
      <c r="C72" s="1511"/>
      <c r="D72" s="923" t="s">
        <v>198</v>
      </c>
      <c r="E72" s="924">
        <f>'24'!F72</f>
        <v>847917</v>
      </c>
      <c r="F72" s="1015">
        <v>847965</v>
      </c>
      <c r="G72" s="925">
        <f t="shared" ref="G72:G84" si="6">F72-E72</f>
        <v>48</v>
      </c>
      <c r="H72" s="926">
        <f>G72+'24'!H72</f>
        <v>-587</v>
      </c>
      <c r="I72" s="945"/>
      <c r="J72" s="928">
        <f>H72/DAY(B2)</f>
        <v>-23.48</v>
      </c>
      <c r="K72" s="1011"/>
      <c r="L72" s="903"/>
      <c r="O72" s="930"/>
    </row>
    <row r="73" spans="1:15" x14ac:dyDescent="0.35">
      <c r="A73" s="1509" t="s">
        <v>203</v>
      </c>
      <c r="B73" s="1510"/>
      <c r="C73" s="1511"/>
      <c r="D73" s="923" t="s">
        <v>198</v>
      </c>
      <c r="E73" s="924">
        <f>'24'!F73</f>
        <v>885726</v>
      </c>
      <c r="F73" s="1016">
        <v>885726</v>
      </c>
      <c r="G73" s="925">
        <f t="shared" si="6"/>
        <v>0</v>
      </c>
      <c r="H73" s="926">
        <f>G73+'24'!H73</f>
        <v>945</v>
      </c>
      <c r="I73" s="945"/>
      <c r="J73" s="928">
        <f>H73/DAY(B2)</f>
        <v>37.799999999999997</v>
      </c>
      <c r="K73" s="1010"/>
      <c r="L73" s="903"/>
      <c r="O73" s="930"/>
    </row>
    <row r="74" spans="1:15" x14ac:dyDescent="0.35">
      <c r="A74" s="1509" t="s">
        <v>204</v>
      </c>
      <c r="B74" s="1510"/>
      <c r="C74" s="1511"/>
      <c r="D74" s="923" t="s">
        <v>198</v>
      </c>
      <c r="E74" s="924">
        <f>'24'!F74</f>
        <v>882148</v>
      </c>
      <c r="F74" s="1017">
        <v>882181</v>
      </c>
      <c r="G74" s="925">
        <f t="shared" si="6"/>
        <v>33</v>
      </c>
      <c r="H74" s="926">
        <f>G74+'24'!H74</f>
        <v>882410.1</v>
      </c>
      <c r="I74" s="945"/>
      <c r="J74" s="928">
        <f>H74/DAY(B2)</f>
        <v>35296.404000000002</v>
      </c>
      <c r="K74" s="1011"/>
      <c r="L74" s="903"/>
      <c r="O74" s="930"/>
    </row>
    <row r="75" spans="1:15" x14ac:dyDescent="0.35">
      <c r="A75" s="1535" t="s">
        <v>205</v>
      </c>
      <c r="B75" s="1536"/>
      <c r="C75" s="1537"/>
      <c r="D75" s="923" t="s">
        <v>198</v>
      </c>
      <c r="E75" s="924">
        <f>'24'!F75</f>
        <v>736153</v>
      </c>
      <c r="F75" s="1017">
        <v>736353</v>
      </c>
      <c r="G75" s="925">
        <f t="shared" si="6"/>
        <v>200</v>
      </c>
      <c r="H75" s="926">
        <f>G75+'24'!H75</f>
        <v>737889.4</v>
      </c>
      <c r="I75" s="945"/>
      <c r="J75" s="928">
        <f>H75/DAY(B2)</f>
        <v>29515.576000000001</v>
      </c>
      <c r="K75" s="1010"/>
      <c r="L75" s="903"/>
      <c r="O75" s="930"/>
    </row>
    <row r="76" spans="1:15" x14ac:dyDescent="0.35">
      <c r="A76" s="1535" t="s">
        <v>206</v>
      </c>
      <c r="B76" s="1536"/>
      <c r="C76" s="1537"/>
      <c r="D76" s="923" t="s">
        <v>198</v>
      </c>
      <c r="E76" s="924">
        <f>'24'!F76</f>
        <v>686471</v>
      </c>
      <c r="F76" s="1016">
        <v>686566</v>
      </c>
      <c r="G76" s="925">
        <f t="shared" si="6"/>
        <v>95</v>
      </c>
      <c r="H76" s="926">
        <f>G76+'24'!H76</f>
        <v>688563.19999999995</v>
      </c>
      <c r="I76" s="988"/>
      <c r="J76" s="928">
        <f>H76/DAY(B2)</f>
        <v>27542.527999999998</v>
      </c>
      <c r="K76" s="1010"/>
      <c r="L76" s="903"/>
      <c r="O76" s="930"/>
    </row>
    <row r="77" spans="1:15" x14ac:dyDescent="0.35">
      <c r="A77" s="1509" t="s">
        <v>207</v>
      </c>
      <c r="B77" s="1510"/>
      <c r="C77" s="1511"/>
      <c r="D77" s="923" t="s">
        <v>198</v>
      </c>
      <c r="E77" s="924">
        <f>'24'!F77</f>
        <v>696734</v>
      </c>
      <c r="F77" s="1016">
        <v>696795</v>
      </c>
      <c r="G77" s="925">
        <f t="shared" si="6"/>
        <v>61</v>
      </c>
      <c r="H77" s="926">
        <f>G77+'24'!H77</f>
        <v>-312</v>
      </c>
      <c r="I77" s="988"/>
      <c r="J77" s="928">
        <f>H77/DAY(B2)</f>
        <v>-12.48</v>
      </c>
      <c r="K77" s="1010"/>
      <c r="L77" s="903"/>
      <c r="O77" s="930"/>
    </row>
    <row r="78" spans="1:15" x14ac:dyDescent="0.35">
      <c r="A78" s="1018" t="s">
        <v>208</v>
      </c>
      <c r="B78" s="1227"/>
      <c r="C78" s="1227"/>
      <c r="D78" s="923" t="s">
        <v>198</v>
      </c>
      <c r="E78" s="924">
        <f>'24'!F78</f>
        <v>639294</v>
      </c>
      <c r="F78" s="1017">
        <v>639639</v>
      </c>
      <c r="G78" s="925">
        <f t="shared" si="6"/>
        <v>345</v>
      </c>
      <c r="H78" s="926">
        <f>G78+'24'!H78</f>
        <v>-2314</v>
      </c>
      <c r="I78" s="988"/>
      <c r="J78" s="928">
        <f>H78/DAY(B2)</f>
        <v>-92.56</v>
      </c>
      <c r="K78" s="1010"/>
      <c r="L78" s="903"/>
      <c r="O78" s="930"/>
    </row>
    <row r="79" spans="1:15" x14ac:dyDescent="0.35">
      <c r="A79" s="1535" t="s">
        <v>97</v>
      </c>
      <c r="B79" s="1536"/>
      <c r="C79" s="1537"/>
      <c r="D79" s="957" t="s">
        <v>198</v>
      </c>
      <c r="E79" s="924">
        <f>'24'!F79</f>
        <v>808363</v>
      </c>
      <c r="F79" s="1017">
        <v>808559</v>
      </c>
      <c r="G79" s="925">
        <f t="shared" si="6"/>
        <v>196</v>
      </c>
      <c r="H79" s="926">
        <f>G79+'24'!H79</f>
        <v>1733</v>
      </c>
      <c r="I79" s="988"/>
      <c r="J79" s="928">
        <f>H79/DAY(B2)</f>
        <v>69.319999999999993</v>
      </c>
      <c r="K79" s="1010"/>
      <c r="L79" s="903"/>
      <c r="O79" s="930"/>
    </row>
    <row r="80" spans="1:15" x14ac:dyDescent="0.35">
      <c r="A80" s="1535" t="s">
        <v>209</v>
      </c>
      <c r="B80" s="1536"/>
      <c r="C80" s="1537"/>
      <c r="D80" s="957" t="s">
        <v>198</v>
      </c>
      <c r="E80" s="924">
        <f>'24'!F80</f>
        <v>482957</v>
      </c>
      <c r="F80" s="1015">
        <v>483285.56</v>
      </c>
      <c r="G80" s="925">
        <f t="shared" si="6"/>
        <v>328.55999999999767</v>
      </c>
      <c r="H80" s="926">
        <f>G80+'24'!H80</f>
        <v>-3296.1199999999953</v>
      </c>
      <c r="I80" s="988"/>
      <c r="J80" s="928">
        <f>H80/DAY(B2)</f>
        <v>-131.84479999999982</v>
      </c>
      <c r="K80" s="1010"/>
      <c r="L80" s="903"/>
      <c r="O80" s="930"/>
    </row>
    <row r="81" spans="1:15" x14ac:dyDescent="0.35">
      <c r="A81" s="1535" t="s">
        <v>210</v>
      </c>
      <c r="B81" s="1536"/>
      <c r="C81" s="1537"/>
      <c r="D81" s="957" t="s">
        <v>198</v>
      </c>
      <c r="E81" s="924">
        <f>'24'!F81</f>
        <v>621979</v>
      </c>
      <c r="F81" s="1016">
        <v>622131.56000000006</v>
      </c>
      <c r="G81" s="925">
        <f t="shared" si="6"/>
        <v>152.56000000005588</v>
      </c>
      <c r="H81" s="926">
        <f>G81+'24'!H81</f>
        <v>-643.43999999994412</v>
      </c>
      <c r="I81" s="988"/>
      <c r="J81" s="928">
        <f>H81/DAY(B2)</f>
        <v>-25.737599999997766</v>
      </c>
      <c r="K81" s="1010"/>
      <c r="L81" s="903"/>
      <c r="O81" s="930"/>
    </row>
    <row r="82" spans="1:15" x14ac:dyDescent="0.35">
      <c r="A82" s="1535" t="s">
        <v>100</v>
      </c>
      <c r="B82" s="1536"/>
      <c r="C82" s="1537"/>
      <c r="D82" s="958" t="s">
        <v>143</v>
      </c>
      <c r="E82" s="924">
        <f>'24'!F82</f>
        <v>105111</v>
      </c>
      <c r="F82" s="1019">
        <v>105169</v>
      </c>
      <c r="G82" s="925">
        <f t="shared" si="6"/>
        <v>58</v>
      </c>
      <c r="H82" s="926">
        <f>G82+'24'!H82</f>
        <v>-271</v>
      </c>
      <c r="I82" s="959"/>
      <c r="J82" s="928">
        <f>H82/DAY(B2)</f>
        <v>-10.84</v>
      </c>
      <c r="K82" s="1010"/>
      <c r="L82" s="903"/>
      <c r="N82" s="1092">
        <f>371*0.99</f>
        <v>367.29</v>
      </c>
      <c r="O82" s="930"/>
    </row>
    <row r="83" spans="1:15" x14ac:dyDescent="0.35">
      <c r="A83" s="1535" t="s">
        <v>211</v>
      </c>
      <c r="B83" s="1536"/>
      <c r="C83" s="1537"/>
      <c r="D83" s="1020" t="s">
        <v>143</v>
      </c>
      <c r="E83" s="924">
        <f>'24'!F83</f>
        <v>981601</v>
      </c>
      <c r="F83" s="910">
        <v>981841</v>
      </c>
      <c r="G83" s="925">
        <f t="shared" si="6"/>
        <v>240</v>
      </c>
      <c r="H83" s="926">
        <f>G83+'24'!H83</f>
        <v>-1900</v>
      </c>
      <c r="I83" s="948"/>
      <c r="J83" s="928">
        <f>H83/DAY(B2)</f>
        <v>-76</v>
      </c>
      <c r="K83" s="951"/>
      <c r="L83" s="903"/>
      <c r="O83" s="930"/>
    </row>
    <row r="84" spans="1:15" x14ac:dyDescent="0.35">
      <c r="A84" s="1021" t="s">
        <v>212</v>
      </c>
      <c r="B84" s="1022"/>
      <c r="C84" s="1022"/>
      <c r="D84" s="942" t="s">
        <v>143</v>
      </c>
      <c r="E84" s="924">
        <f>'24'!F84</f>
        <v>412393</v>
      </c>
      <c r="F84" s="1023">
        <v>412909</v>
      </c>
      <c r="G84" s="925">
        <f t="shared" si="6"/>
        <v>516</v>
      </c>
      <c r="H84" s="926">
        <f>G84+'24'!H84</f>
        <v>-3164</v>
      </c>
      <c r="I84" s="948"/>
      <c r="J84" s="928">
        <f>H84/DAY(B2)</f>
        <v>-126.56</v>
      </c>
      <c r="K84" s="1024"/>
      <c r="L84" s="903"/>
      <c r="O84" s="930"/>
    </row>
    <row r="85" spans="1:15" s="1028" customFormat="1" x14ac:dyDescent="0.35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2273.1200000000536</v>
      </c>
      <c r="H85" s="926">
        <f>G85+'24'!H85</f>
        <v>2293749.77</v>
      </c>
      <c r="I85" s="948"/>
      <c r="J85" s="928">
        <f>H85/DAY(B2)</f>
        <v>91749.9908</v>
      </c>
      <c r="K85" s="1024"/>
      <c r="L85" s="1027"/>
      <c r="N85" s="1095"/>
      <c r="O85" s="930"/>
    </row>
    <row r="86" spans="1:15" s="1038" customFormat="1" x14ac:dyDescent="0.35">
      <c r="A86" s="1029" t="s">
        <v>102</v>
      </c>
      <c r="B86" s="1030"/>
      <c r="C86" s="1030"/>
      <c r="D86" s="1031" t="s">
        <v>194</v>
      </c>
      <c r="E86" s="924">
        <f>'24'!F86</f>
        <v>446461</v>
      </c>
      <c r="F86" s="1032">
        <v>446558.69</v>
      </c>
      <c r="G86" s="1033">
        <f t="shared" ref="G86:G90" si="7">F86-E86</f>
        <v>97.690000000002328</v>
      </c>
      <c r="H86" s="1033">
        <f t="shared" ref="H86:H88" si="8">G86</f>
        <v>97.690000000002328</v>
      </c>
      <c r="I86" s="1034"/>
      <c r="J86" s="1035">
        <f>H86/DAY(B2)</f>
        <v>3.9076000000000932</v>
      </c>
      <c r="K86" s="1036"/>
      <c r="L86" s="1037"/>
      <c r="N86" s="1096">
        <f>G86/0.995</f>
        <v>98.180904522615407</v>
      </c>
      <c r="O86" s="930"/>
    </row>
    <row r="87" spans="1:15" s="1038" customFormat="1" x14ac:dyDescent="0.35">
      <c r="A87" s="1029" t="s">
        <v>103</v>
      </c>
      <c r="B87" s="1030"/>
      <c r="C87" s="1030"/>
      <c r="D87" s="1031" t="s">
        <v>194</v>
      </c>
      <c r="E87" s="924">
        <f>'24'!F87</f>
        <v>78279</v>
      </c>
      <c r="F87" s="1032">
        <v>78306.8</v>
      </c>
      <c r="G87" s="1033">
        <f t="shared" si="7"/>
        <v>27.80000000000291</v>
      </c>
      <c r="H87" s="1033">
        <f t="shared" si="8"/>
        <v>27.80000000000291</v>
      </c>
      <c r="I87" s="1034"/>
      <c r="J87" s="1035">
        <f>H87/DAY(B2)</f>
        <v>1.1120000000001165</v>
      </c>
      <c r="K87" s="1036"/>
      <c r="L87" s="1037"/>
      <c r="N87" s="1096"/>
      <c r="O87" s="930"/>
    </row>
    <row r="88" spans="1:15" s="1038" customFormat="1" x14ac:dyDescent="0.35">
      <c r="A88" s="1029" t="s">
        <v>104</v>
      </c>
      <c r="B88" s="1030"/>
      <c r="C88" s="1030"/>
      <c r="D88" s="1031" t="s">
        <v>194</v>
      </c>
      <c r="E88" s="924">
        <f>'24'!F88</f>
        <v>146024</v>
      </c>
      <c r="F88" s="1032">
        <v>146075.76</v>
      </c>
      <c r="G88" s="1033">
        <f t="shared" si="7"/>
        <v>51.760000000009313</v>
      </c>
      <c r="H88" s="1033">
        <f t="shared" si="8"/>
        <v>51.760000000009313</v>
      </c>
      <c r="I88" s="1034"/>
      <c r="J88" s="1035">
        <f>H88/DAY(B2)</f>
        <v>2.0704000000003724</v>
      </c>
      <c r="K88" s="1036"/>
      <c r="L88" s="1037"/>
      <c r="N88" s="1096"/>
      <c r="O88" s="930"/>
    </row>
    <row r="89" spans="1:15" s="1038" customFormat="1" x14ac:dyDescent="0.35">
      <c r="A89" s="1029" t="s">
        <v>215</v>
      </c>
      <c r="B89" s="1030"/>
      <c r="C89" s="1030"/>
      <c r="D89" s="1031" t="s">
        <v>194</v>
      </c>
      <c r="E89" s="924">
        <f>'24'!F89</f>
        <v>59304</v>
      </c>
      <c r="F89" s="1032">
        <v>59361.4</v>
      </c>
      <c r="G89" s="1033">
        <f t="shared" si="7"/>
        <v>57.400000000001455</v>
      </c>
      <c r="H89" s="1033">
        <f>G89</f>
        <v>57.400000000001455</v>
      </c>
      <c r="I89" s="1034"/>
      <c r="J89" s="1035">
        <f>H89/DAY(B2)</f>
        <v>2.296000000000058</v>
      </c>
      <c r="K89" s="1036"/>
      <c r="L89" s="1037"/>
      <c r="N89" s="1103">
        <f>204/205</f>
        <v>0.99512195121951219</v>
      </c>
      <c r="O89" s="930"/>
    </row>
    <row r="90" spans="1:15" s="1038" customFormat="1" x14ac:dyDescent="0.35">
      <c r="A90" s="1029" t="s">
        <v>215</v>
      </c>
      <c r="B90" s="1030"/>
      <c r="C90" s="1030"/>
      <c r="D90" s="1031" t="s">
        <v>194</v>
      </c>
      <c r="E90" s="924">
        <f>'24'!F90</f>
        <v>3047</v>
      </c>
      <c r="F90" s="1032">
        <v>3049</v>
      </c>
      <c r="G90" s="1033">
        <f t="shared" si="7"/>
        <v>2</v>
      </c>
      <c r="H90" s="1033">
        <f>G90</f>
        <v>2</v>
      </c>
      <c r="I90" s="1034"/>
      <c r="J90" s="1035">
        <f>H90/DAY(B2)</f>
        <v>0.08</v>
      </c>
      <c r="K90" s="1036"/>
      <c r="L90" s="1037"/>
      <c r="N90" s="1097"/>
      <c r="O90" s="930"/>
    </row>
    <row r="91" spans="1:15" s="1028" customFormat="1" x14ac:dyDescent="0.35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x14ac:dyDescent="0.35">
      <c r="A92" s="1512" t="s">
        <v>217</v>
      </c>
      <c r="B92" s="1513"/>
      <c r="C92" s="1514"/>
      <c r="D92" s="923" t="s">
        <v>155</v>
      </c>
      <c r="E92" s="924">
        <f>'24'!F92</f>
        <v>235985</v>
      </c>
      <c r="F92" s="954">
        <v>236081</v>
      </c>
      <c r="G92" s="925">
        <f t="shared" ref="G92:G93" si="9">F92-E92</f>
        <v>96</v>
      </c>
      <c r="H92" s="926">
        <f>G92+'24'!H92</f>
        <v>-489</v>
      </c>
      <c r="I92" s="945"/>
      <c r="J92" s="928">
        <f>H92/DAY(B2)</f>
        <v>-19.559999999999999</v>
      </c>
      <c r="K92" s="951"/>
      <c r="L92" s="903"/>
      <c r="O92" s="930"/>
    </row>
    <row r="93" spans="1:15" x14ac:dyDescent="0.35">
      <c r="A93" s="1512" t="s">
        <v>218</v>
      </c>
      <c r="B93" s="1513"/>
      <c r="C93" s="1514"/>
      <c r="D93" s="923" t="s">
        <v>155</v>
      </c>
      <c r="E93" s="924">
        <f>'24'!F93</f>
        <v>170202</v>
      </c>
      <c r="F93" s="954">
        <v>170363</v>
      </c>
      <c r="G93" s="925">
        <f t="shared" si="9"/>
        <v>161</v>
      </c>
      <c r="H93" s="926">
        <f>G93+'24'!H93</f>
        <v>-813</v>
      </c>
      <c r="I93" s="945"/>
      <c r="J93" s="928">
        <f>H93/DAY(B2)</f>
        <v>-32.520000000000003</v>
      </c>
      <c r="K93" s="1024"/>
      <c r="L93" s="903"/>
      <c r="O93" s="930"/>
    </row>
    <row r="94" spans="1:15" x14ac:dyDescent="0.35">
      <c r="A94" s="1538" t="s">
        <v>219</v>
      </c>
      <c r="B94" s="1539"/>
      <c r="C94" s="1540"/>
      <c r="D94" s="923"/>
      <c r="E94" s="924">
        <f>'24'!F94</f>
        <v>0</v>
      </c>
      <c r="F94" s="954"/>
      <c r="G94" s="925">
        <f>G92+G93</f>
        <v>257</v>
      </c>
      <c r="H94" s="926">
        <f>G94+'24'!H94</f>
        <v>-1589</v>
      </c>
      <c r="I94" s="945"/>
      <c r="J94" s="928">
        <f>H94/DAY(B2)</f>
        <v>-63.56</v>
      </c>
      <c r="K94" s="1024"/>
      <c r="L94" s="903"/>
      <c r="O94" s="930"/>
    </row>
    <row r="95" spans="1:15" x14ac:dyDescent="0.35">
      <c r="A95" s="1512" t="s">
        <v>220</v>
      </c>
      <c r="B95" s="1513"/>
      <c r="C95" s="1514"/>
      <c r="D95" s="923" t="s">
        <v>155</v>
      </c>
      <c r="E95" s="924">
        <f>'24'!F95</f>
        <v>405431</v>
      </c>
      <c r="F95" s="954">
        <v>405514</v>
      </c>
      <c r="G95" s="925">
        <f t="shared" ref="G95:G100" si="10">F95-E95</f>
        <v>83</v>
      </c>
      <c r="H95" s="926">
        <f>G95+'24'!H95</f>
        <v>-362</v>
      </c>
      <c r="I95" s="945"/>
      <c r="J95" s="928">
        <f>H95/DAY(B2)</f>
        <v>-14.48</v>
      </c>
      <c r="K95" s="1024"/>
      <c r="L95" s="903"/>
      <c r="O95" s="930"/>
    </row>
    <row r="96" spans="1:15" x14ac:dyDescent="0.35">
      <c r="A96" s="952" t="s">
        <v>221</v>
      </c>
      <c r="B96" s="953"/>
      <c r="C96" s="953"/>
      <c r="D96" s="923" t="s">
        <v>155</v>
      </c>
      <c r="E96" s="924">
        <f>'24'!F96</f>
        <v>100356</v>
      </c>
      <c r="F96" s="954">
        <v>100380</v>
      </c>
      <c r="G96" s="925">
        <f t="shared" si="10"/>
        <v>24</v>
      </c>
      <c r="H96" s="926">
        <f>G96+'24'!H96</f>
        <v>-154</v>
      </c>
      <c r="I96" s="945"/>
      <c r="J96" s="928">
        <f>H96/DAY(B2)</f>
        <v>-6.16</v>
      </c>
      <c r="K96" s="920"/>
      <c r="L96" s="903"/>
      <c r="O96" s="930"/>
    </row>
    <row r="97" spans="1:15" x14ac:dyDescent="0.35">
      <c r="A97" s="952" t="s">
        <v>222</v>
      </c>
      <c r="B97" s="953"/>
      <c r="C97" s="953"/>
      <c r="D97" s="923" t="s">
        <v>155</v>
      </c>
      <c r="E97" s="924">
        <f>'24'!F97</f>
        <v>95532</v>
      </c>
      <c r="F97" s="1075">
        <v>95557</v>
      </c>
      <c r="G97" s="925">
        <f t="shared" si="10"/>
        <v>25</v>
      </c>
      <c r="H97" s="926">
        <f>G97+'24'!H97</f>
        <v>-120</v>
      </c>
      <c r="I97" s="945"/>
      <c r="J97" s="928">
        <f>H97/DAY(B2)</f>
        <v>-4.8</v>
      </c>
      <c r="K97" s="1040"/>
      <c r="L97" s="903"/>
      <c r="O97" s="930"/>
    </row>
    <row r="98" spans="1:15" x14ac:dyDescent="0.35">
      <c r="A98" s="952" t="s">
        <v>223</v>
      </c>
      <c r="B98" s="953"/>
      <c r="C98" s="953"/>
      <c r="D98" s="923" t="s">
        <v>155</v>
      </c>
      <c r="E98" s="924">
        <f>'24'!F98</f>
        <v>145122</v>
      </c>
      <c r="F98" s="954">
        <v>145172</v>
      </c>
      <c r="G98" s="925">
        <f t="shared" si="10"/>
        <v>50</v>
      </c>
      <c r="H98" s="926">
        <f>G98+'24'!H98</f>
        <v>-382</v>
      </c>
      <c r="I98" s="945"/>
      <c r="J98" s="928">
        <f>H98/DAY(B2)</f>
        <v>-15.28</v>
      </c>
      <c r="K98" s="1024"/>
      <c r="L98" s="903"/>
      <c r="O98" s="930"/>
    </row>
    <row r="99" spans="1:15" x14ac:dyDescent="0.35">
      <c r="A99" s="952" t="s">
        <v>224</v>
      </c>
      <c r="B99" s="953"/>
      <c r="C99" s="953"/>
      <c r="D99" s="923" t="s">
        <v>155</v>
      </c>
      <c r="E99" s="924">
        <f>'24'!F99</f>
        <v>5826</v>
      </c>
      <c r="F99" s="954">
        <v>5843</v>
      </c>
      <c r="G99" s="925">
        <f t="shared" si="10"/>
        <v>17</v>
      </c>
      <c r="H99" s="926">
        <f>G99+'24'!H99</f>
        <v>-131</v>
      </c>
      <c r="I99" s="945"/>
      <c r="J99" s="928">
        <f>H99/DAY(B2)</f>
        <v>-5.24</v>
      </c>
      <c r="K99" s="1024"/>
      <c r="L99" s="903"/>
      <c r="O99" s="930"/>
    </row>
    <row r="100" spans="1:15" x14ac:dyDescent="0.35">
      <c r="A100" s="952" t="s">
        <v>225</v>
      </c>
      <c r="B100" s="953"/>
      <c r="C100" s="953"/>
      <c r="D100" s="923" t="s">
        <v>155</v>
      </c>
      <c r="E100" s="924">
        <f>'24'!F100</f>
        <v>4187</v>
      </c>
      <c r="F100" s="954">
        <v>4195</v>
      </c>
      <c r="G100" s="925">
        <f t="shared" si="10"/>
        <v>8</v>
      </c>
      <c r="H100" s="926">
        <f>G100+'24'!H100</f>
        <v>-42</v>
      </c>
      <c r="I100" s="945"/>
      <c r="J100" s="928">
        <f>H100/DAY(B2)</f>
        <v>-1.68</v>
      </c>
      <c r="K100" s="1024"/>
      <c r="L100" s="903"/>
      <c r="O100" s="930"/>
    </row>
    <row r="101" spans="1:15" x14ac:dyDescent="0.35">
      <c r="A101" s="1538" t="s">
        <v>227</v>
      </c>
      <c r="B101" s="1539"/>
      <c r="C101" s="1540"/>
      <c r="D101" s="957"/>
      <c r="E101" s="957"/>
      <c r="F101" s="957"/>
      <c r="G101" s="1041">
        <f>SUM(G95:G100)</f>
        <v>207</v>
      </c>
      <c r="H101" s="926">
        <f>G101+'24'!H101</f>
        <v>-1191</v>
      </c>
      <c r="I101" s="1042"/>
      <c r="J101" s="928">
        <f>H101/DAY(B2)</f>
        <v>-47.64</v>
      </c>
      <c r="K101" s="1024"/>
      <c r="L101" s="903"/>
      <c r="O101" s="930"/>
    </row>
    <row r="102" spans="1:15" s="975" customFormat="1" x14ac:dyDescent="0.25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x14ac:dyDescent="0.35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x14ac:dyDescent="0.35">
      <c r="A104" s="1548" t="s">
        <v>230</v>
      </c>
      <c r="B104" s="1549"/>
      <c r="C104" s="1057"/>
      <c r="D104" s="1053" t="s">
        <v>155</v>
      </c>
      <c r="E104" s="1054">
        <f>'24'!F104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 x14ac:dyDescent="0.35">
      <c r="A105" s="1548" t="s">
        <v>77</v>
      </c>
      <c r="B105" s="1549"/>
      <c r="C105" s="1057"/>
      <c r="D105" s="1053" t="s">
        <v>155</v>
      </c>
      <c r="E105" s="1054">
        <f>'24'!F105</f>
        <v>35103</v>
      </c>
      <c r="F105" s="1058">
        <v>35117</v>
      </c>
      <c r="G105" s="1054">
        <f t="shared" ref="G105:G106" si="11">F105-E105</f>
        <v>14</v>
      </c>
      <c r="H105" s="1055">
        <f>SUM(G105+'1'!G77)</f>
        <v>62</v>
      </c>
      <c r="I105" s="1054"/>
      <c r="J105" s="1056">
        <f>H105/DAY(B2)</f>
        <v>2.48</v>
      </c>
      <c r="N105" s="1093"/>
      <c r="O105" s="930"/>
    </row>
    <row r="106" spans="1:15" s="975" customFormat="1" x14ac:dyDescent="0.35">
      <c r="A106" s="1548" t="s">
        <v>78</v>
      </c>
      <c r="B106" s="1550"/>
      <c r="C106" s="1549"/>
      <c r="D106" s="1053" t="s">
        <v>155</v>
      </c>
      <c r="E106" s="1054">
        <f>'24'!F106</f>
        <v>19049</v>
      </c>
      <c r="F106" s="1054">
        <v>19056</v>
      </c>
      <c r="G106" s="1054">
        <f t="shared" si="11"/>
        <v>7</v>
      </c>
      <c r="H106" s="1055">
        <f>SUM(G106+'1'!G78)</f>
        <v>341</v>
      </c>
      <c r="I106" s="1054"/>
      <c r="J106" s="1056">
        <f>H106/DAY(B2)</f>
        <v>13.64</v>
      </c>
      <c r="N106" s="1093"/>
      <c r="O106" s="930"/>
    </row>
    <row r="107" spans="1:15" s="975" customFormat="1" x14ac:dyDescent="0.35">
      <c r="A107" s="1551" t="s">
        <v>213</v>
      </c>
      <c r="B107" s="1552"/>
      <c r="C107" s="1057"/>
      <c r="D107" s="1053"/>
      <c r="E107" s="1054">
        <f>'24'!F107</f>
        <v>0</v>
      </c>
      <c r="F107" s="1054"/>
      <c r="G107" s="1054">
        <f>SUM(G104:G106)</f>
        <v>21</v>
      </c>
      <c r="H107" s="1055">
        <f>SUM(G107+'1'!G79)</f>
        <v>226</v>
      </c>
      <c r="I107" s="1054"/>
      <c r="J107" s="1056">
        <f>H107/DAY(B2)</f>
        <v>9.0399999999999991</v>
      </c>
      <c r="N107" s="1093"/>
      <c r="O107" s="930"/>
    </row>
    <row r="108" spans="1:15" s="975" customFormat="1" x14ac:dyDescent="0.35">
      <c r="A108" s="1553" t="s">
        <v>79</v>
      </c>
      <c r="B108" s="1554"/>
      <c r="C108" s="1057"/>
      <c r="D108" s="1053" t="s">
        <v>155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x14ac:dyDescent="0.35">
      <c r="A109" s="1548" t="s">
        <v>231</v>
      </c>
      <c r="B109" s="1549"/>
      <c r="C109" s="1057"/>
      <c r="D109" s="1053" t="s">
        <v>155</v>
      </c>
      <c r="E109" s="1054">
        <f>'24'!F109</f>
        <v>54314</v>
      </c>
      <c r="F109" s="1054">
        <v>54355</v>
      </c>
      <c r="G109" s="1054">
        <f>F109-E109</f>
        <v>41</v>
      </c>
      <c r="H109" s="1055">
        <f>SUM(G109+'1'!G81)</f>
        <v>117</v>
      </c>
      <c r="I109" s="1054"/>
      <c r="J109" s="1056">
        <f>H109/DAY(B2)</f>
        <v>4.68</v>
      </c>
      <c r="N109" s="1093"/>
      <c r="O109" s="930"/>
    </row>
    <row r="110" spans="1:15" s="975" customFormat="1" x14ac:dyDescent="0.35">
      <c r="A110" s="1548" t="s">
        <v>232</v>
      </c>
      <c r="B110" s="1549"/>
      <c r="C110" s="1057"/>
      <c r="D110" s="1053" t="s">
        <v>155</v>
      </c>
      <c r="E110" s="1054">
        <f>'24'!F110</f>
        <v>28121</v>
      </c>
      <c r="F110" s="1054">
        <v>28181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4.2</v>
      </c>
      <c r="N110" s="1093"/>
      <c r="O110" s="930"/>
    </row>
    <row r="111" spans="1:15" s="975" customFormat="1" x14ac:dyDescent="0.35">
      <c r="A111" s="1548" t="s">
        <v>233</v>
      </c>
      <c r="B111" s="1549"/>
      <c r="C111" s="1057"/>
      <c r="D111" s="1053" t="s">
        <v>155</v>
      </c>
      <c r="E111" s="1054">
        <f>'24'!F111</f>
        <v>3707</v>
      </c>
      <c r="F111" s="1054">
        <v>3721</v>
      </c>
      <c r="G111" s="1054">
        <f t="shared" si="12"/>
        <v>14</v>
      </c>
      <c r="H111" s="1055">
        <f>SUM(G111+'1'!G83)</f>
        <v>447</v>
      </c>
      <c r="I111" s="1054"/>
      <c r="J111" s="1056">
        <f>H111/DAY(B2)</f>
        <v>17.88</v>
      </c>
      <c r="N111" s="1093"/>
      <c r="O111" s="930"/>
    </row>
    <row r="112" spans="1:15" s="975" customFormat="1" x14ac:dyDescent="0.35">
      <c r="A112" s="1558" t="s">
        <v>121</v>
      </c>
      <c r="B112" s="1559"/>
      <c r="C112" s="1057"/>
      <c r="D112" s="1053"/>
      <c r="E112" s="1054">
        <f>'24'!F112</f>
        <v>0</v>
      </c>
      <c r="F112" s="1054"/>
      <c r="G112" s="1054">
        <f>SUM(G109:G111)</f>
        <v>115</v>
      </c>
      <c r="H112" s="1055">
        <f>SUM(G112+'1'!G84)</f>
        <v>636</v>
      </c>
      <c r="I112" s="1054"/>
      <c r="J112" s="1056">
        <f>H112/DAY(B2)</f>
        <v>25.44</v>
      </c>
      <c r="N112" s="1093"/>
      <c r="O112" s="930"/>
    </row>
    <row r="113" spans="1:15" s="975" customFormat="1" x14ac:dyDescent="0.35">
      <c r="A113" s="1553" t="s">
        <v>234</v>
      </c>
      <c r="B113" s="1554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x14ac:dyDescent="0.35">
      <c r="A114" s="1548" t="s">
        <v>235</v>
      </c>
      <c r="B114" s="1549"/>
      <c r="C114" s="1059"/>
      <c r="D114" s="1053" t="s">
        <v>155</v>
      </c>
      <c r="E114" s="1054">
        <f>'24'!F114</f>
        <v>9629</v>
      </c>
      <c r="F114" s="1058">
        <v>9649</v>
      </c>
      <c r="G114" s="1058">
        <f>F114-E114</f>
        <v>20</v>
      </c>
      <c r="H114" s="1055">
        <f>SUM(G114+'1'!G91)</f>
        <v>20</v>
      </c>
      <c r="I114" s="1054"/>
      <c r="J114" s="1056">
        <f>H114/DAY(B2)</f>
        <v>0.8</v>
      </c>
      <c r="N114" s="1093"/>
      <c r="O114" s="930"/>
    </row>
    <row r="115" spans="1:15" s="975" customFormat="1" x14ac:dyDescent="0.35">
      <c r="A115" s="1548" t="s">
        <v>236</v>
      </c>
      <c r="B115" s="1549"/>
      <c r="C115" s="1059"/>
      <c r="D115" s="1053" t="s">
        <v>155</v>
      </c>
      <c r="E115" s="1054">
        <f>'24'!F115</f>
        <v>7382</v>
      </c>
      <c r="F115" s="1058">
        <v>7388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3.72</v>
      </c>
      <c r="N115" s="1093"/>
      <c r="O115" s="930"/>
    </row>
    <row r="116" spans="1:15" s="975" customFormat="1" x14ac:dyDescent="0.35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 x14ac:dyDescent="0.35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26</v>
      </c>
      <c r="H117" s="1055">
        <f>SUM(G117+'1'!G95)</f>
        <v>98</v>
      </c>
      <c r="I117" s="1058"/>
      <c r="J117" s="1056">
        <f>H117/DAY(B2)</f>
        <v>3.92</v>
      </c>
      <c r="N117" s="1098"/>
      <c r="O117" s="930"/>
    </row>
    <row r="118" spans="1:15" s="851" customFormat="1" x14ac:dyDescent="0.35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149</v>
      </c>
      <c r="G118" s="1065">
        <f>SUM(G19+G92)</f>
        <v>149</v>
      </c>
      <c r="H118" s="1055">
        <f>SUM(G118+'1'!G96)</f>
        <v>172</v>
      </c>
      <c r="I118" s="1064"/>
      <c r="J118" s="1066">
        <f>H118/DAY(B2)</f>
        <v>6.88</v>
      </c>
      <c r="N118" s="1099"/>
      <c r="O118" s="930"/>
    </row>
    <row r="119" spans="1:15" s="851" customFormat="1" x14ac:dyDescent="0.35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157</v>
      </c>
      <c r="G119" s="1065">
        <f>SUM(G95,G96,G97,G99,G100)</f>
        <v>157</v>
      </c>
      <c r="H119" s="1055">
        <f>SUM(G119+'1'!G98)</f>
        <v>240</v>
      </c>
      <c r="I119" s="1064"/>
      <c r="J119" s="1066">
        <f>H119/DAY(B2)</f>
        <v>9.6</v>
      </c>
      <c r="N119" s="1099"/>
      <c r="O119" s="930"/>
    </row>
    <row r="120" spans="1:15" s="851" customFormat="1" x14ac:dyDescent="0.35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115</v>
      </c>
      <c r="G120" s="1058">
        <f>SUM(G112)</f>
        <v>115</v>
      </c>
      <c r="H120" s="1055">
        <f>SUM(G120+'1'!G100)</f>
        <v>121</v>
      </c>
      <c r="I120" s="1064"/>
      <c r="J120" s="1066">
        <f>H120/DAY(B2)</f>
        <v>4.84</v>
      </c>
      <c r="N120" s="1099"/>
      <c r="O120" s="930"/>
    </row>
    <row r="121" spans="1:15" s="975" customFormat="1" x14ac:dyDescent="0.35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x14ac:dyDescent="0.3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x14ac:dyDescent="0.35">
      <c r="A123" s="952" t="s">
        <v>242</v>
      </c>
      <c r="B123" s="953"/>
      <c r="C123" s="953"/>
      <c r="D123" s="923" t="s">
        <v>152</v>
      </c>
      <c r="E123" s="924">
        <f>'24'!F123</f>
        <v>801487</v>
      </c>
      <c r="F123" s="942">
        <v>801756.21</v>
      </c>
      <c r="G123" s="925">
        <f t="shared" ref="G123:G127" si="14">F123-E123</f>
        <v>269.20999999996275</v>
      </c>
      <c r="H123" s="926">
        <f>G123+'24'!H123</f>
        <v>-1579.1900000000605</v>
      </c>
      <c r="I123" s="1042"/>
      <c r="J123" s="928">
        <f>H123/DAY(B2)</f>
        <v>-63.167600000002423</v>
      </c>
      <c r="K123" s="1024"/>
      <c r="L123" s="903"/>
      <c r="O123" s="930"/>
    </row>
    <row r="124" spans="1:15" x14ac:dyDescent="0.35">
      <c r="A124" s="952" t="s">
        <v>243</v>
      </c>
      <c r="B124" s="953"/>
      <c r="C124" s="953"/>
      <c r="D124" s="923" t="s">
        <v>152</v>
      </c>
      <c r="E124" s="924">
        <f>'24'!F124</f>
        <v>73582</v>
      </c>
      <c r="F124" s="1070">
        <v>73582</v>
      </c>
      <c r="G124" s="925">
        <f t="shared" si="14"/>
        <v>0</v>
      </c>
      <c r="H124" s="926">
        <f>G124+'24'!H124</f>
        <v>0</v>
      </c>
      <c r="I124" s="1042"/>
      <c r="J124" s="928">
        <f>H124/DAY(B2)</f>
        <v>0</v>
      </c>
      <c r="K124" s="1024"/>
      <c r="L124" s="903"/>
      <c r="O124" s="930"/>
    </row>
    <row r="125" spans="1:15" x14ac:dyDescent="0.35">
      <c r="A125" s="1509" t="s">
        <v>244</v>
      </c>
      <c r="B125" s="1510"/>
      <c r="C125" s="1511"/>
      <c r="D125" s="923" t="s">
        <v>152</v>
      </c>
      <c r="E125" s="924">
        <f>'24'!F125</f>
        <v>137389.37</v>
      </c>
      <c r="F125" s="942">
        <v>137479</v>
      </c>
      <c r="G125" s="925">
        <f t="shared" si="14"/>
        <v>89.630000000004657</v>
      </c>
      <c r="H125" s="926">
        <f>G125+'24'!H125</f>
        <v>-369</v>
      </c>
      <c r="I125" s="1042"/>
      <c r="J125" s="928">
        <f>H125/DAY(B2)</f>
        <v>-14.76</v>
      </c>
      <c r="K125" s="1024"/>
      <c r="L125" s="903"/>
      <c r="O125" s="930"/>
    </row>
    <row r="126" spans="1:15" x14ac:dyDescent="0.35">
      <c r="A126" s="1071" t="s">
        <v>245</v>
      </c>
      <c r="B126" s="953"/>
      <c r="C126" s="953"/>
      <c r="D126" s="923" t="s">
        <v>152</v>
      </c>
      <c r="E126" s="924">
        <f>'24'!F126</f>
        <v>58180</v>
      </c>
      <c r="F126" s="1070">
        <v>58214</v>
      </c>
      <c r="G126" s="925">
        <f t="shared" si="14"/>
        <v>34</v>
      </c>
      <c r="H126" s="926">
        <f>G126+'24'!H126</f>
        <v>-177.69999999999709</v>
      </c>
      <c r="I126" s="1042"/>
      <c r="J126" s="928">
        <f>H126/DAY(B2)</f>
        <v>-7.1079999999998833</v>
      </c>
      <c r="K126" s="1024"/>
      <c r="L126" s="903"/>
      <c r="O126" s="930"/>
    </row>
    <row r="127" spans="1:15" x14ac:dyDescent="0.35">
      <c r="A127" s="1071" t="s">
        <v>246</v>
      </c>
      <c r="B127" s="953"/>
      <c r="C127" s="953"/>
      <c r="D127" s="923" t="s">
        <v>152</v>
      </c>
      <c r="E127" s="924">
        <f>'24'!F127</f>
        <v>8793</v>
      </c>
      <c r="F127" s="1070">
        <v>8796.6</v>
      </c>
      <c r="G127" s="925">
        <f t="shared" si="14"/>
        <v>3.6000000000003638</v>
      </c>
      <c r="H127" s="926">
        <f>G127+'24'!H127</f>
        <v>-19.399999999999636</v>
      </c>
      <c r="I127" s="945"/>
      <c r="J127" s="928">
        <f>H127/DAY(B2)</f>
        <v>-0.77599999999998548</v>
      </c>
      <c r="K127" s="1024"/>
      <c r="L127" s="903"/>
      <c r="O127" s="930"/>
    </row>
    <row r="128" spans="1:15" x14ac:dyDescent="0.3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534.42000000013468</v>
      </c>
      <c r="H128" s="926">
        <f>G128+'24'!H128</f>
        <v>-9647.4400000000078</v>
      </c>
      <c r="I128" s="945"/>
      <c r="J128" s="928">
        <f>H128/DAY(B2)</f>
        <v>-385.8976000000003</v>
      </c>
      <c r="K128" s="1024"/>
      <c r="L128" s="903"/>
      <c r="O128" s="930"/>
    </row>
    <row r="129" spans="1:16" x14ac:dyDescent="0.3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 x14ac:dyDescent="0.35">
      <c r="A130" s="952" t="s">
        <v>249</v>
      </c>
      <c r="B130" s="953"/>
      <c r="C130" s="953"/>
      <c r="D130" s="923" t="s">
        <v>250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 x14ac:dyDescent="0.35">
      <c r="A131" s="952" t="s">
        <v>251</v>
      </c>
      <c r="B131" s="953"/>
      <c r="C131" s="953"/>
      <c r="D131" s="923" t="s">
        <v>250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 x14ac:dyDescent="0.35">
      <c r="A132" s="952" t="s">
        <v>252</v>
      </c>
      <c r="B132" s="953"/>
      <c r="C132" s="953"/>
      <c r="D132" s="923" t="s">
        <v>250</v>
      </c>
      <c r="E132" s="924">
        <f>'24'!F132</f>
        <v>38936.559999999998</v>
      </c>
      <c r="F132" s="1075">
        <v>38960.519999999997</v>
      </c>
      <c r="G132" s="925">
        <f t="shared" si="15"/>
        <v>23.959999999999127</v>
      </c>
      <c r="H132" s="926">
        <f>G132+'24'!H132</f>
        <v>242.1299999999901</v>
      </c>
      <c r="I132" s="945"/>
      <c r="J132" s="928">
        <f>H132/DAY(B2)</f>
        <v>9.6851999999996039</v>
      </c>
      <c r="O132" s="930"/>
      <c r="P132" s="890">
        <f>49-24</f>
        <v>25</v>
      </c>
    </row>
    <row r="133" spans="1:16" x14ac:dyDescent="0.35">
      <c r="A133" s="952" t="s">
        <v>253</v>
      </c>
      <c r="B133" s="953"/>
      <c r="C133" s="953"/>
      <c r="D133" s="923" t="s">
        <v>250</v>
      </c>
      <c r="E133" s="924">
        <f>'24'!F133</f>
        <v>299.01</v>
      </c>
      <c r="F133" s="1075">
        <v>299.01</v>
      </c>
      <c r="G133" s="925">
        <f t="shared" si="15"/>
        <v>0</v>
      </c>
      <c r="H133" s="926">
        <f>G133+'24'!H133</f>
        <v>9.9999999999909051E-3</v>
      </c>
      <c r="I133" s="945">
        <f>G130+G131+G132+G133</f>
        <v>23.959999999999127</v>
      </c>
      <c r="J133" s="928">
        <f>H133/DAY(B2)</f>
        <v>3.9999999999963622E-4</v>
      </c>
      <c r="O133" s="930"/>
    </row>
    <row r="134" spans="1:16" x14ac:dyDescent="0.35">
      <c r="A134" s="952" t="s">
        <v>254</v>
      </c>
      <c r="B134" s="953"/>
      <c r="C134" s="953"/>
      <c r="D134" s="923" t="s">
        <v>250</v>
      </c>
      <c r="E134" s="924">
        <f>'24'!F134</f>
        <v>39951.050000000003</v>
      </c>
      <c r="F134" s="1075">
        <v>39951.050000000003</v>
      </c>
      <c r="G134" s="925">
        <f t="shared" si="15"/>
        <v>0</v>
      </c>
      <c r="H134" s="926">
        <f>G134+'24'!H134</f>
        <v>24</v>
      </c>
      <c r="I134" s="945"/>
      <c r="J134" s="928">
        <f>H134/DAY(B2)</f>
        <v>0.96</v>
      </c>
      <c r="O134" s="930"/>
    </row>
    <row r="135" spans="1:16" x14ac:dyDescent="0.35">
      <c r="A135" s="952" t="s">
        <v>255</v>
      </c>
      <c r="B135" s="953"/>
      <c r="C135" s="953"/>
      <c r="D135" s="923" t="s">
        <v>250</v>
      </c>
      <c r="E135" s="924">
        <f>'24'!F135</f>
        <v>32423</v>
      </c>
      <c r="F135" s="1075">
        <v>32423</v>
      </c>
      <c r="G135" s="925">
        <f t="shared" si="15"/>
        <v>0</v>
      </c>
      <c r="H135" s="926">
        <f>G135+'24'!H135</f>
        <v>13</v>
      </c>
      <c r="I135" s="945"/>
      <c r="J135" s="928">
        <f>H135/DAY(B2)</f>
        <v>0.52</v>
      </c>
      <c r="O135" s="930"/>
    </row>
    <row r="136" spans="1:16" x14ac:dyDescent="0.35">
      <c r="A136" s="952" t="s">
        <v>256</v>
      </c>
      <c r="B136" s="953"/>
      <c r="C136" s="953"/>
      <c r="D136" s="923" t="s">
        <v>250</v>
      </c>
      <c r="E136" s="924">
        <f>'24'!F136</f>
        <v>21952.93</v>
      </c>
      <c r="F136" s="1075">
        <v>21961.7</v>
      </c>
      <c r="G136" s="925">
        <f t="shared" si="15"/>
        <v>8.7700000000004366</v>
      </c>
      <c r="H136" s="926">
        <f>G136+'24'!H136</f>
        <v>-40.259999999998399</v>
      </c>
      <c r="I136" s="945">
        <f>G134+G135+G136</f>
        <v>8.7700000000004366</v>
      </c>
      <c r="J136" s="928">
        <f>H136/DAY(B2)</f>
        <v>-1.6103999999999359</v>
      </c>
      <c r="O136" s="930"/>
    </row>
    <row r="137" spans="1:16" x14ac:dyDescent="0.35">
      <c r="A137" s="952" t="s">
        <v>257</v>
      </c>
      <c r="B137" s="953"/>
      <c r="C137" s="953"/>
      <c r="D137" s="923" t="s">
        <v>250</v>
      </c>
      <c r="E137" s="924">
        <f>'24'!F137</f>
        <v>25019.94</v>
      </c>
      <c r="F137" s="1075">
        <v>25019.94</v>
      </c>
      <c r="G137" s="925">
        <f t="shared" si="15"/>
        <v>0</v>
      </c>
      <c r="H137" s="926">
        <f>G137+'24'!H137</f>
        <v>8</v>
      </c>
      <c r="I137" s="945"/>
      <c r="J137" s="928">
        <f>H137/DAY(B2)</f>
        <v>0.32</v>
      </c>
      <c r="O137" s="930"/>
    </row>
    <row r="138" spans="1:16" x14ac:dyDescent="0.35">
      <c r="A138" s="952" t="s">
        <v>258</v>
      </c>
      <c r="B138" s="953"/>
      <c r="C138" s="953"/>
      <c r="D138" s="923" t="s">
        <v>250</v>
      </c>
      <c r="E138" s="924">
        <f>'24'!F138</f>
        <v>70057.8</v>
      </c>
      <c r="F138" s="1075">
        <v>70059.78</v>
      </c>
      <c r="G138" s="925">
        <f t="shared" si="15"/>
        <v>1.9799999999959255</v>
      </c>
      <c r="H138" s="926">
        <f>G138+'24'!H138</f>
        <v>16.979999999995925</v>
      </c>
      <c r="I138" s="945">
        <f>G137+G138</f>
        <v>1.9799999999959255</v>
      </c>
      <c r="J138" s="928">
        <f>H138/DAY(B2)</f>
        <v>0.67919999999983705</v>
      </c>
      <c r="O138" s="930"/>
    </row>
    <row r="139" spans="1:16" x14ac:dyDescent="0.35">
      <c r="A139" s="952" t="s">
        <v>259</v>
      </c>
      <c r="B139" s="953"/>
      <c r="C139" s="953"/>
      <c r="D139" s="923" t="s">
        <v>250</v>
      </c>
      <c r="E139" s="924">
        <f>'24'!F139</f>
        <v>1146.44</v>
      </c>
      <c r="F139" s="954">
        <v>1154.28</v>
      </c>
      <c r="G139" s="925">
        <f t="shared" si="15"/>
        <v>7.8399999999999181</v>
      </c>
      <c r="H139" s="926">
        <f>G139+'24'!H139</f>
        <v>-46.309999999999945</v>
      </c>
      <c r="I139" s="1076"/>
      <c r="J139" s="928">
        <f>H139/DAY(B2)</f>
        <v>-1.8523999999999978</v>
      </c>
      <c r="O139" s="930"/>
    </row>
    <row r="140" spans="1:16" x14ac:dyDescent="0.35">
      <c r="A140" s="952" t="s">
        <v>260</v>
      </c>
      <c r="B140" s="953"/>
      <c r="C140" s="953"/>
      <c r="D140" s="923" t="s">
        <v>250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 x14ac:dyDescent="0.3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 x14ac:dyDescent="0.3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5440.9200000000419</v>
      </c>
      <c r="H142" s="926">
        <f>G142+'24'!H142</f>
        <v>-34275.479999999923</v>
      </c>
      <c r="I142" s="945"/>
      <c r="J142" s="928">
        <f>H142/DAY(B2)</f>
        <v>-1371.019199999997</v>
      </c>
      <c r="K142" s="1024"/>
      <c r="L142" s="903"/>
      <c r="O142" s="930"/>
    </row>
    <row r="143" spans="1:16" x14ac:dyDescent="0.3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0.2838395325786448</v>
      </c>
      <c r="H143" s="926">
        <f>G143+'24'!H143</f>
        <v>6.3137426026456325</v>
      </c>
      <c r="I143" s="1078"/>
      <c r="J143" s="928">
        <f>H143/DAY(B2)</f>
        <v>0.25254970410582528</v>
      </c>
      <c r="K143" s="1024"/>
      <c r="L143" s="903"/>
      <c r="O143" s="930"/>
    </row>
    <row r="144" spans="1:16" x14ac:dyDescent="0.3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3515.1100000000006</v>
      </c>
      <c r="H144" s="926">
        <f>G144+'24'!H144</f>
        <v>-22085.17000000002</v>
      </c>
      <c r="I144" s="945"/>
      <c r="J144" s="928">
        <f>H144/DAY(B2)</f>
        <v>-883.40680000000077</v>
      </c>
      <c r="K144" s="1024"/>
      <c r="L144" s="903"/>
      <c r="O144" s="930"/>
    </row>
    <row r="145" spans="1:15" x14ac:dyDescent="0.3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0.18337471959935314</v>
      </c>
      <c r="H145" s="926">
        <f>G145+'24'!H145</f>
        <v>5.4204461308043408</v>
      </c>
      <c r="I145" s="1078"/>
      <c r="J145" s="928">
        <f>H145/DAY(B2)</f>
        <v>0.21681784523217362</v>
      </c>
      <c r="K145" s="1024"/>
      <c r="L145" s="903"/>
      <c r="O145" s="930"/>
    </row>
    <row r="146" spans="1:15" x14ac:dyDescent="0.3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4326</v>
      </c>
      <c r="H146" s="926">
        <f>G146+'24'!H146</f>
        <v>887523.73</v>
      </c>
      <c r="I146" s="1079"/>
      <c r="J146" s="928">
        <f>H146/DAY(B2)</f>
        <v>35500.949200000003</v>
      </c>
      <c r="K146" s="1024"/>
      <c r="L146" s="903"/>
      <c r="O146" s="930"/>
    </row>
    <row r="147" spans="1:15" x14ac:dyDescent="0.3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0.22567687411967238</v>
      </c>
      <c r="H147" s="926">
        <f>G147+'24'!H147</f>
        <v>3.8951816059099023</v>
      </c>
      <c r="I147" s="1079"/>
      <c r="J147" s="928">
        <f>H147/DAY(B2)</f>
        <v>0.1558072642363961</v>
      </c>
      <c r="O147" s="930"/>
    </row>
    <row r="148" spans="1:15" x14ac:dyDescent="0.3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1825</v>
      </c>
      <c r="H148" s="926">
        <f>G148+'24'!H148</f>
        <v>139249.34000000003</v>
      </c>
      <c r="I148" s="945"/>
      <c r="J148" s="928">
        <f>H148/DAY(B2)</f>
        <v>5569.9736000000012</v>
      </c>
      <c r="K148" s="1080"/>
      <c r="O148" s="930"/>
    </row>
    <row r="149" spans="1:15" x14ac:dyDescent="0.3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9.5205801032917731E-2</v>
      </c>
      <c r="H149" s="926">
        <f>G149+'24'!H149</f>
        <v>2.3535241682033767</v>
      </c>
      <c r="I149" s="1079"/>
      <c r="J149" s="928">
        <f>H149/DAY(B2)</f>
        <v>9.4140966728135073E-2</v>
      </c>
      <c r="O149" s="930"/>
    </row>
    <row r="150" spans="1:15" x14ac:dyDescent="0.3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1998.0499999999884</v>
      </c>
      <c r="H150" s="926">
        <f>G150+'24'!H150</f>
        <v>-10488.090000000026</v>
      </c>
      <c r="I150" s="1079"/>
      <c r="J150" s="928">
        <f>H150/DAY(B2)</f>
        <v>-419.52360000000101</v>
      </c>
      <c r="O150" s="930"/>
    </row>
    <row r="151" spans="1:15" x14ac:dyDescent="0.3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0.10423339767332612</v>
      </c>
      <c r="H151" s="926">
        <f>G151+'24'!H151</f>
        <v>2.4204792889572699</v>
      </c>
      <c r="I151" s="945"/>
      <c r="J151" s="928">
        <f>H151/DAY(B2)</f>
        <v>9.6819171558290798E-2</v>
      </c>
      <c r="O151" s="930"/>
    </row>
    <row r="152" spans="1:15" x14ac:dyDescent="0.3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1503.8800000000047</v>
      </c>
      <c r="H152" s="926">
        <f>G152+'24'!H152</f>
        <v>406134.13999999996</v>
      </c>
      <c r="I152" s="945"/>
      <c r="J152" s="928">
        <f>H152/DAY(B2)</f>
        <v>16245.365599999997</v>
      </c>
      <c r="O152" s="930"/>
    </row>
    <row r="153" spans="1:15" ht="21" thickBot="1" x14ac:dyDescent="0.4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7.8453753456101241E-2</v>
      </c>
      <c r="H153" s="926">
        <f>G153+'24'!H153</f>
        <v>1.2299976616841497</v>
      </c>
      <c r="I153" s="1084"/>
      <c r="J153" s="1085">
        <f>H153/DAY(B2)</f>
        <v>4.9199906467365988E-2</v>
      </c>
      <c r="O153" s="930"/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 x14ac:dyDescent="0.35">
      <c r="A160" s="1076" t="s">
        <v>274</v>
      </c>
      <c r="B160" s="1076"/>
      <c r="C160" s="1076"/>
      <c r="D160" s="910" t="s">
        <v>198</v>
      </c>
      <c r="E160" s="924">
        <f>'24'!F160</f>
        <v>27861</v>
      </c>
      <c r="F160" s="1101">
        <v>27943.41</v>
      </c>
      <c r="G160" s="925">
        <f t="shared" ref="G160:G163" si="16">F160-E160</f>
        <v>82.409999999999854</v>
      </c>
    </row>
    <row r="161" spans="1:7" ht="21.75" customHeight="1" x14ac:dyDescent="0.35">
      <c r="A161" s="1076" t="s">
        <v>275</v>
      </c>
      <c r="B161" s="1076"/>
      <c r="C161" s="1076"/>
      <c r="D161" s="910" t="s">
        <v>198</v>
      </c>
      <c r="E161" s="924">
        <f>'24'!F161</f>
        <v>39461</v>
      </c>
      <c r="F161" s="1101">
        <v>39928</v>
      </c>
      <c r="G161" s="925">
        <f t="shared" si="16"/>
        <v>467</v>
      </c>
    </row>
    <row r="162" spans="1:7" ht="21.75" customHeight="1" x14ac:dyDescent="0.35">
      <c r="A162" s="1076" t="s">
        <v>276</v>
      </c>
      <c r="B162" s="1076"/>
      <c r="C162" s="1076"/>
      <c r="D162" s="910" t="s">
        <v>198</v>
      </c>
      <c r="E162" s="924">
        <f>'24'!F162</f>
        <v>11157</v>
      </c>
      <c r="F162" s="1101">
        <v>11421.65</v>
      </c>
      <c r="G162" s="925">
        <f t="shared" si="16"/>
        <v>264.64999999999964</v>
      </c>
    </row>
    <row r="163" spans="1:7" ht="21.75" customHeight="1" x14ac:dyDescent="0.35">
      <c r="A163" s="1076" t="s">
        <v>277</v>
      </c>
      <c r="B163" s="1076"/>
      <c r="C163" s="1076"/>
      <c r="D163" s="910" t="s">
        <v>198</v>
      </c>
      <c r="E163" s="924">
        <f>'24'!F163</f>
        <v>4855</v>
      </c>
      <c r="F163" s="1101">
        <v>4876.8500000000004</v>
      </c>
      <c r="G163" s="925">
        <f t="shared" si="16"/>
        <v>21.850000000000364</v>
      </c>
    </row>
    <row r="164" spans="1:7" ht="21.75" customHeight="1" x14ac:dyDescent="0.35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 x14ac:dyDescent="0.35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1254</v>
      </c>
      <c r="F165" s="1007">
        <f t="shared" ref="F165:F171" si="19">F63</f>
        <v>1264.31</v>
      </c>
      <c r="G165" s="925">
        <f t="shared" si="17"/>
        <v>10.309999999999945</v>
      </c>
    </row>
    <row r="166" spans="1:7" ht="21.75" customHeight="1" x14ac:dyDescent="0.35">
      <c r="A166" s="1564" t="s">
        <v>107</v>
      </c>
      <c r="B166" s="1564"/>
      <c r="C166" s="1564"/>
      <c r="D166" s="923" t="s">
        <v>198</v>
      </c>
      <c r="E166" s="1007">
        <f t="shared" si="18"/>
        <v>108305</v>
      </c>
      <c r="F166" s="1007">
        <f t="shared" si="19"/>
        <v>108728</v>
      </c>
      <c r="G166" s="925">
        <f t="shared" si="17"/>
        <v>423</v>
      </c>
    </row>
    <row r="167" spans="1:7" ht="21.75" customHeight="1" x14ac:dyDescent="0.35">
      <c r="A167" s="1564" t="s">
        <v>108</v>
      </c>
      <c r="B167" s="1564"/>
      <c r="C167" s="1564"/>
      <c r="D167" s="923" t="s">
        <v>198</v>
      </c>
      <c r="E167" s="1007">
        <f t="shared" si="18"/>
        <v>118952</v>
      </c>
      <c r="F167" s="1007">
        <f t="shared" si="19"/>
        <v>119368</v>
      </c>
      <c r="G167" s="925">
        <f t="shared" si="17"/>
        <v>416</v>
      </c>
    </row>
    <row r="168" spans="1:7" ht="21.75" customHeight="1" x14ac:dyDescent="0.35">
      <c r="A168" s="1564" t="s">
        <v>109</v>
      </c>
      <c r="B168" s="1564"/>
      <c r="C168" s="1564"/>
      <c r="D168" s="923" t="s">
        <v>198</v>
      </c>
      <c r="E168" s="1007">
        <f t="shared" si="18"/>
        <v>11222</v>
      </c>
      <c r="F168" s="1007">
        <f t="shared" si="19"/>
        <v>11656.69</v>
      </c>
      <c r="G168" s="925">
        <f t="shared" si="17"/>
        <v>434.69000000000051</v>
      </c>
    </row>
    <row r="169" spans="1:7" x14ac:dyDescent="0.35">
      <c r="A169" s="1564" t="s">
        <v>110</v>
      </c>
      <c r="B169" s="1564"/>
      <c r="C169" s="1564"/>
      <c r="D169" s="923" t="s">
        <v>198</v>
      </c>
      <c r="E169" s="1007">
        <f t="shared" si="18"/>
        <v>183973</v>
      </c>
      <c r="F169" s="1007">
        <f t="shared" si="19"/>
        <v>184645</v>
      </c>
      <c r="G169" s="925">
        <f t="shared" si="17"/>
        <v>672</v>
      </c>
    </row>
    <row r="170" spans="1:7" ht="24" customHeight="1" x14ac:dyDescent="0.35">
      <c r="A170" s="1564" t="s">
        <v>111</v>
      </c>
      <c r="B170" s="1564"/>
      <c r="C170" s="1564"/>
      <c r="D170" s="923" t="s">
        <v>198</v>
      </c>
      <c r="E170" s="1007">
        <f t="shared" si="18"/>
        <v>61054</v>
      </c>
      <c r="F170" s="1007">
        <f t="shared" si="19"/>
        <v>61404.85</v>
      </c>
      <c r="G170" s="925">
        <f t="shared" si="17"/>
        <v>350.84999999999854</v>
      </c>
    </row>
    <row r="171" spans="1:7" x14ac:dyDescent="0.35">
      <c r="A171" s="1564" t="s">
        <v>112</v>
      </c>
      <c r="B171" s="1564"/>
      <c r="C171" s="1564"/>
      <c r="D171" s="923" t="s">
        <v>198</v>
      </c>
      <c r="E171" s="1007">
        <f t="shared" si="18"/>
        <v>53549</v>
      </c>
      <c r="F171" s="1007">
        <f t="shared" si="19"/>
        <v>53853</v>
      </c>
      <c r="G171" s="925">
        <f t="shared" si="17"/>
        <v>304</v>
      </c>
    </row>
    <row r="172" spans="1:7" x14ac:dyDescent="0.35">
      <c r="G172" s="1091">
        <f>SUM(G160:G171)</f>
        <v>3446.7599999999989</v>
      </c>
    </row>
    <row r="176" spans="1:7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O176"/>
  <sheetViews>
    <sheetView view="pageBreakPreview" topLeftCell="A79" zoomScale="70" zoomScaleSheetLayoutView="70" workbookViewId="0">
      <selection activeCell="F28" sqref="F28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 x14ac:dyDescent="0.45">
      <c r="A1" s="1524" t="s">
        <v>128</v>
      </c>
      <c r="B1" s="1525"/>
      <c r="C1" s="1525"/>
      <c r="D1" s="1525"/>
      <c r="E1" s="1525"/>
      <c r="F1" s="1525"/>
      <c r="G1" s="1525"/>
      <c r="H1" s="1525"/>
      <c r="I1" s="1525"/>
      <c r="J1" s="1526"/>
    </row>
    <row r="2" spans="1:15" ht="30.75" customHeight="1" x14ac:dyDescent="0.35">
      <c r="A2" s="891" t="s">
        <v>332</v>
      </c>
      <c r="B2" s="1165">
        <v>43856</v>
      </c>
      <c r="C2" s="892" t="s">
        <v>69</v>
      </c>
      <c r="D2" s="1106">
        <v>0.44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ht="20.100000000000001" customHeight="1" x14ac:dyDescent="0.35">
      <c r="A3" s="896"/>
      <c r="B3" s="897"/>
      <c r="C3" s="892" t="s">
        <v>131</v>
      </c>
      <c r="D3" s="892">
        <v>23</v>
      </c>
      <c r="E3" s="1527" t="s">
        <v>132</v>
      </c>
      <c r="F3" s="1528"/>
      <c r="G3" s="899"/>
      <c r="H3" s="900"/>
      <c r="I3" s="900"/>
      <c r="J3" s="901"/>
      <c r="K3" s="902"/>
      <c r="L3" s="903"/>
    </row>
    <row r="4" spans="1:15" ht="20.100000000000001" customHeight="1" x14ac:dyDescent="0.35">
      <c r="A4" s="904"/>
      <c r="B4" s="905"/>
      <c r="C4" s="892" t="s">
        <v>133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 x14ac:dyDescent="0.3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ht="20.100000000000001" customHeight="1" x14ac:dyDescent="0.35">
      <c r="A6" s="1521" t="s">
        <v>141</v>
      </c>
      <c r="B6" s="1522"/>
      <c r="C6" s="1523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 x14ac:dyDescent="0.4">
      <c r="A7" s="921" t="s">
        <v>142</v>
      </c>
      <c r="B7" s="922"/>
      <c r="C7" s="922"/>
      <c r="D7" s="923" t="s">
        <v>143</v>
      </c>
      <c r="E7" s="924">
        <f>'25'!F7</f>
        <v>3774981</v>
      </c>
      <c r="F7" s="924">
        <v>3793979</v>
      </c>
      <c r="G7" s="925">
        <f>F7-E7</f>
        <v>18998</v>
      </c>
      <c r="H7" s="926">
        <f>G7+'25'!H7</f>
        <v>-94219</v>
      </c>
      <c r="I7" s="927">
        <f>'1'!I7</f>
        <v>12000</v>
      </c>
      <c r="J7" s="928">
        <f>H7/DAY(B2)</f>
        <v>-3623.8076923076924</v>
      </c>
      <c r="K7" s="929"/>
      <c r="L7" s="903"/>
      <c r="N7" s="1104"/>
      <c r="O7" s="930"/>
    </row>
    <row r="8" spans="1:15" ht="20.100000000000001" customHeight="1" thickBot="1" x14ac:dyDescent="0.4">
      <c r="A8" s="931" t="s">
        <v>144</v>
      </c>
      <c r="B8" s="932"/>
      <c r="C8" s="933"/>
      <c r="D8" s="934" t="s">
        <v>25</v>
      </c>
      <c r="E8" s="924">
        <f>'25'!F8</f>
        <v>3798556</v>
      </c>
      <c r="F8" s="935">
        <v>3817703</v>
      </c>
      <c r="G8" s="936">
        <f>F8-E8</f>
        <v>19147</v>
      </c>
      <c r="H8" s="926">
        <f>G8+'25'!H8</f>
        <v>-95148</v>
      </c>
      <c r="I8" s="937">
        <f>'1'!I8</f>
        <v>12000</v>
      </c>
      <c r="J8" s="928">
        <f>H8/DAY(B2)</f>
        <v>-3659.5384615384614</v>
      </c>
      <c r="K8" s="929"/>
      <c r="L8" s="938"/>
      <c r="M8" s="939"/>
      <c r="O8" s="930"/>
    </row>
    <row r="9" spans="1:15" ht="20.100000000000001" customHeight="1" x14ac:dyDescent="0.35">
      <c r="A9" s="940" t="s">
        <v>145</v>
      </c>
      <c r="B9" s="941"/>
      <c r="C9" s="941"/>
      <c r="D9" s="923" t="s">
        <v>143</v>
      </c>
      <c r="E9" s="924">
        <f>'25'!F9</f>
        <v>2497166</v>
      </c>
      <c r="F9" s="942">
        <v>2503740</v>
      </c>
      <c r="G9" s="925">
        <f>F9-E9</f>
        <v>6574</v>
      </c>
      <c r="H9" s="926">
        <f>G9+'25'!H9</f>
        <v>2540852.25</v>
      </c>
      <c r="I9" s="943">
        <f>I8-J8</f>
        <v>15659.538461538461</v>
      </c>
      <c r="J9" s="928">
        <f>H9/DAY(B2)</f>
        <v>97725.086538461532</v>
      </c>
      <c r="K9" s="944"/>
      <c r="L9" s="903"/>
      <c r="O9" s="930"/>
    </row>
    <row r="10" spans="1:15" ht="20.100000000000001" customHeight="1" x14ac:dyDescent="0.35">
      <c r="A10" s="921" t="s">
        <v>146</v>
      </c>
      <c r="B10" s="922"/>
      <c r="C10" s="922"/>
      <c r="D10" s="923" t="s">
        <v>143</v>
      </c>
      <c r="E10" s="924">
        <f>'25'!F10</f>
        <v>1129479</v>
      </c>
      <c r="F10" s="942">
        <v>1141280</v>
      </c>
      <c r="G10" s="925">
        <f t="shared" ref="G10:G12" si="0">F10-E10</f>
        <v>11801</v>
      </c>
      <c r="H10" s="926">
        <f>G10+'25'!H10</f>
        <v>-59594.399999999907</v>
      </c>
      <c r="I10" s="945"/>
      <c r="J10" s="928">
        <f>H10/DAY(B2)</f>
        <v>-2292.0923076923041</v>
      </c>
      <c r="K10" s="944"/>
      <c r="L10" s="903"/>
      <c r="O10" s="930"/>
    </row>
    <row r="11" spans="1:15" ht="20.100000000000001" customHeight="1" x14ac:dyDescent="0.35">
      <c r="A11" s="921" t="s">
        <v>147</v>
      </c>
      <c r="B11" s="922"/>
      <c r="C11" s="922"/>
      <c r="D11" s="923" t="s">
        <v>143</v>
      </c>
      <c r="E11" s="924">
        <f>'25'!F11</f>
        <v>35390</v>
      </c>
      <c r="F11" s="924">
        <v>35390</v>
      </c>
      <c r="G11" s="925">
        <f t="shared" si="0"/>
        <v>0</v>
      </c>
      <c r="H11" s="926">
        <f>G11+'25'!H11</f>
        <v>0</v>
      </c>
      <c r="I11" s="945"/>
      <c r="J11" s="928">
        <f>H11/DAY(B2)</f>
        <v>0</v>
      </c>
      <c r="K11" s="944"/>
      <c r="L11" s="903">
        <v>1375467</v>
      </c>
      <c r="N11" s="1105"/>
      <c r="O11" s="930"/>
    </row>
    <row r="12" spans="1:15" ht="20.100000000000001" customHeight="1" x14ac:dyDescent="0.35">
      <c r="A12" s="921" t="s">
        <v>148</v>
      </c>
      <c r="B12" s="922"/>
      <c r="C12" s="922"/>
      <c r="D12" s="923" t="s">
        <v>143</v>
      </c>
      <c r="E12" s="924">
        <f>'25'!F12</f>
        <v>37630</v>
      </c>
      <c r="F12" s="942">
        <v>37630</v>
      </c>
      <c r="G12" s="925">
        <f t="shared" si="0"/>
        <v>0</v>
      </c>
      <c r="H12" s="926">
        <f>G12+'25'!H12</f>
        <v>0</v>
      </c>
      <c r="I12" s="945"/>
      <c r="J12" s="928">
        <f>H12/DAY(B2)</f>
        <v>0</v>
      </c>
      <c r="K12" s="944"/>
      <c r="L12" s="903"/>
      <c r="O12" s="930"/>
    </row>
    <row r="13" spans="1:15" ht="20.100000000000001" customHeight="1" x14ac:dyDescent="0.35">
      <c r="A13" s="946" t="s">
        <v>149</v>
      </c>
      <c r="B13" s="947"/>
      <c r="C13" s="947"/>
      <c r="D13" s="923"/>
      <c r="E13" s="924"/>
      <c r="F13" s="924"/>
      <c r="G13" s="948">
        <f>G9+G10+G11+G12</f>
        <v>18375</v>
      </c>
      <c r="H13" s="926">
        <f>G13+'25'!H13</f>
        <v>2462951.8500000006</v>
      </c>
      <c r="I13" s="949">
        <f>G7-G13</f>
        <v>623</v>
      </c>
      <c r="J13" s="928">
        <f>H13/DAY(B2)</f>
        <v>94728.917307692333</v>
      </c>
      <c r="K13" s="944"/>
      <c r="L13" s="903"/>
      <c r="O13" s="930"/>
    </row>
    <row r="14" spans="1:15" ht="28.5" customHeight="1" x14ac:dyDescent="0.35">
      <c r="A14" s="1515" t="s">
        <v>150</v>
      </c>
      <c r="B14" s="1516"/>
      <c r="C14" s="1517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 x14ac:dyDescent="0.35">
      <c r="A15" s="952" t="s">
        <v>151</v>
      </c>
      <c r="B15" s="953"/>
      <c r="C15" s="953"/>
      <c r="D15" s="923" t="s">
        <v>152</v>
      </c>
      <c r="E15" s="924">
        <f>'25'!F15</f>
        <v>1589940.86</v>
      </c>
      <c r="F15" s="954">
        <v>1590796</v>
      </c>
      <c r="G15" s="1102">
        <f>(F15-E15)</f>
        <v>855.13999999989755</v>
      </c>
      <c r="H15" s="926">
        <f>G15+'25'!H15</f>
        <v>-3641.1499999999069</v>
      </c>
      <c r="I15" s="927">
        <f>'1'!I15</f>
        <v>800</v>
      </c>
      <c r="J15" s="928">
        <f>H15/DAY(B2)</f>
        <v>-140.0442307692272</v>
      </c>
      <c r="K15" s="944"/>
      <c r="L15" s="903"/>
      <c r="O15" s="930"/>
    </row>
    <row r="16" spans="1:15" ht="20.100000000000001" customHeight="1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940.04423076922717</v>
      </c>
      <c r="J16" s="961"/>
      <c r="K16" s="944"/>
      <c r="L16" s="903">
        <f>L14-L11</f>
        <v>303877</v>
      </c>
      <c r="O16" s="930"/>
    </row>
    <row r="17" spans="1:15" ht="20.100000000000001" customHeight="1" x14ac:dyDescent="0.35">
      <c r="A17" s="1515" t="s">
        <v>153</v>
      </c>
      <c r="B17" s="1516"/>
      <c r="C17" s="1517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 x14ac:dyDescent="0.35">
      <c r="A18" s="1512" t="s">
        <v>154</v>
      </c>
      <c r="B18" s="1513"/>
      <c r="C18" s="1514"/>
      <c r="D18" s="923" t="s">
        <v>155</v>
      </c>
      <c r="E18" s="924">
        <f>'25'!F18</f>
        <v>13</v>
      </c>
      <c r="F18" s="954">
        <v>14</v>
      </c>
      <c r="G18" s="948">
        <f>F18*10</f>
        <v>140</v>
      </c>
      <c r="H18" s="926">
        <f>G18+'25'!H18</f>
        <v>4130</v>
      </c>
      <c r="I18" s="927">
        <f>'1'!I18</f>
        <v>65</v>
      </c>
      <c r="J18" s="928">
        <f>H18/DAY(B2)</f>
        <v>158.84615384615384</v>
      </c>
      <c r="K18" s="944"/>
      <c r="L18" s="903"/>
      <c r="O18" s="930"/>
    </row>
    <row r="19" spans="1:15" ht="20.100000000000001" customHeight="1" x14ac:dyDescent="0.35">
      <c r="A19" s="1512" t="s">
        <v>71</v>
      </c>
      <c r="B19" s="1513"/>
      <c r="C19" s="1514"/>
      <c r="D19" s="923" t="s">
        <v>155</v>
      </c>
      <c r="E19" s="924">
        <f>'25'!F19</f>
        <v>132736</v>
      </c>
      <c r="F19" s="954">
        <v>132785</v>
      </c>
      <c r="G19" s="925">
        <f t="shared" ref="G19" si="1">F19-E19</f>
        <v>49</v>
      </c>
      <c r="H19" s="926">
        <f>G19+'25'!H19</f>
        <v>-263</v>
      </c>
      <c r="I19" s="963"/>
      <c r="J19" s="928">
        <f>H19/DAY(B2)</f>
        <v>-10.115384615384615</v>
      </c>
      <c r="K19" s="944"/>
      <c r="L19" s="903">
        <f>L16/26</f>
        <v>11687.576923076924</v>
      </c>
      <c r="O19" s="930"/>
    </row>
    <row r="20" spans="1:15" ht="20.100000000000001" customHeight="1" x14ac:dyDescent="0.35">
      <c r="A20" s="946" t="s">
        <v>156</v>
      </c>
      <c r="B20" s="947"/>
      <c r="C20" s="947"/>
      <c r="D20" s="964"/>
      <c r="E20" s="964"/>
      <c r="F20" s="964"/>
      <c r="G20" s="965">
        <f>G18+G19</f>
        <v>189</v>
      </c>
      <c r="H20" s="926">
        <f>G20+'25'!H20</f>
        <v>3867</v>
      </c>
      <c r="I20" s="966">
        <f>I18-J20</f>
        <v>-83.730769230769226</v>
      </c>
      <c r="J20" s="928">
        <f>H20/DAY(B2)</f>
        <v>148.73076923076923</v>
      </c>
      <c r="K20" s="944"/>
      <c r="L20" s="903"/>
      <c r="O20" s="930"/>
    </row>
    <row r="21" spans="1:15" ht="20.100000000000001" customHeight="1" x14ac:dyDescent="0.35">
      <c r="A21" s="1515" t="s">
        <v>157</v>
      </c>
      <c r="B21" s="1516"/>
      <c r="C21" s="1517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 x14ac:dyDescent="0.35">
      <c r="A22" s="952" t="s">
        <v>158</v>
      </c>
      <c r="B22" s="953"/>
      <c r="C22" s="953"/>
      <c r="D22" s="923" t="s">
        <v>159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 x14ac:dyDescent="0.35">
      <c r="A23" s="952" t="s">
        <v>160</v>
      </c>
      <c r="B23" s="953"/>
      <c r="C23" s="953"/>
      <c r="D23" s="923" t="s">
        <v>159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 x14ac:dyDescent="0.35">
      <c r="A24" s="967" t="s">
        <v>161</v>
      </c>
      <c r="B24" s="968"/>
      <c r="C24" s="968"/>
      <c r="D24" s="910" t="s">
        <v>159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 x14ac:dyDescent="0.3">
      <c r="A25" s="1521" t="s">
        <v>162</v>
      </c>
      <c r="B25" s="1522"/>
      <c r="C25" s="1523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 x14ac:dyDescent="0.35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 x14ac:dyDescent="0.4">
      <c r="A27" s="976" t="s">
        <v>6</v>
      </c>
      <c r="B27" s="977"/>
      <c r="C27" s="978"/>
      <c r="D27" s="983" t="s">
        <v>25</v>
      </c>
      <c r="E27" s="984">
        <f>G8</f>
        <v>19147</v>
      </c>
      <c r="F27" s="577">
        <v>9</v>
      </c>
      <c r="G27" s="986">
        <f>E27*F27</f>
        <v>172323</v>
      </c>
      <c r="H27" s="926">
        <f>G27+'25'!H27</f>
        <v>-856332</v>
      </c>
      <c r="I27" s="987"/>
      <c r="J27" s="928">
        <f>H27/DAY(B2)</f>
        <v>-32935.846153846156</v>
      </c>
      <c r="K27" s="944"/>
      <c r="L27" s="974"/>
      <c r="N27" s="1093"/>
      <c r="O27" s="930"/>
    </row>
    <row r="28" spans="1:15" s="975" customFormat="1" ht="18.75" customHeight="1" x14ac:dyDescent="0.4">
      <c r="A28" s="976" t="s">
        <v>165</v>
      </c>
      <c r="B28" s="977"/>
      <c r="C28" s="978"/>
      <c r="D28" s="983" t="s">
        <v>166</v>
      </c>
      <c r="E28" s="984">
        <f>G15</f>
        <v>855.13999999989755</v>
      </c>
      <c r="F28" s="577">
        <v>43.5</v>
      </c>
      <c r="G28" s="986">
        <f>E28*F28</f>
        <v>37198.589999995544</v>
      </c>
      <c r="H28" s="926">
        <f>G28+'25'!H28</f>
        <v>-158390.02499999595</v>
      </c>
      <c r="I28" s="988"/>
      <c r="J28" s="928">
        <f>H28/DAY(B2)</f>
        <v>-6091.9240384613822</v>
      </c>
      <c r="K28" s="944"/>
      <c r="L28" s="974"/>
      <c r="N28" s="1093"/>
      <c r="O28" s="930"/>
    </row>
    <row r="29" spans="1:15" s="975" customFormat="1" ht="18.75" customHeight="1" x14ac:dyDescent="0.35">
      <c r="A29" s="976" t="s">
        <v>167</v>
      </c>
      <c r="B29" s="977"/>
      <c r="C29" s="978"/>
      <c r="D29" s="983" t="s">
        <v>168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 x14ac:dyDescent="0.35">
      <c r="A30" s="976" t="s">
        <v>169</v>
      </c>
      <c r="B30" s="977"/>
      <c r="C30" s="978"/>
      <c r="D30" s="983" t="s">
        <v>170</v>
      </c>
      <c r="E30" s="984">
        <f>G19</f>
        <v>49</v>
      </c>
      <c r="F30" s="985">
        <v>134</v>
      </c>
      <c r="G30" s="986">
        <f>E30*F30</f>
        <v>6566</v>
      </c>
      <c r="H30" s="926">
        <f>G30+'25'!H30</f>
        <v>-35242</v>
      </c>
      <c r="I30" s="988"/>
      <c r="J30" s="928">
        <f>H30/DAY(B2)</f>
        <v>-1355.4615384615386</v>
      </c>
      <c r="K30" s="944"/>
      <c r="L30" s="974"/>
      <c r="N30" s="1093"/>
      <c r="O30" s="930"/>
    </row>
    <row r="31" spans="1:15" s="975" customFormat="1" ht="18.75" customHeight="1" x14ac:dyDescent="0.35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G31+'25'!H31</f>
        <v>330400</v>
      </c>
      <c r="I31" s="988"/>
      <c r="J31" s="928"/>
      <c r="K31" s="944"/>
      <c r="L31" s="974"/>
      <c r="N31" s="1093"/>
      <c r="O31" s="930"/>
    </row>
    <row r="32" spans="1:15" s="975" customFormat="1" ht="18.75" customHeight="1" x14ac:dyDescent="0.35">
      <c r="A32" s="989" t="s">
        <v>172</v>
      </c>
      <c r="B32" s="990"/>
      <c r="C32" s="991"/>
      <c r="D32" s="992"/>
      <c r="E32" s="992"/>
      <c r="F32" s="992"/>
      <c r="G32" s="993">
        <f>G27+G28+G29+G30+G31</f>
        <v>227287.58999999554</v>
      </c>
      <c r="H32" s="926">
        <f>G32+'25'!H32</f>
        <v>-557414.02499999548</v>
      </c>
      <c r="I32" s="994"/>
      <c r="J32" s="928">
        <f>H32/DAY(B2)</f>
        <v>-21439.000961538288</v>
      </c>
      <c r="K32" s="944"/>
      <c r="L32" s="974"/>
      <c r="N32" s="1093"/>
      <c r="O32" s="930"/>
    </row>
    <row r="33" spans="1:15" ht="20.100000000000001" customHeight="1" x14ac:dyDescent="0.3">
      <c r="A33" s="1518" t="s">
        <v>173</v>
      </c>
      <c r="B33" s="1519"/>
      <c r="C33" s="1519"/>
      <c r="D33" s="1519"/>
      <c r="E33" s="1519"/>
      <c r="F33" s="1519"/>
      <c r="G33" s="1519"/>
      <c r="H33" s="1519"/>
      <c r="I33" s="1519"/>
      <c r="J33" s="1520"/>
      <c r="K33" s="944"/>
      <c r="L33" s="903"/>
      <c r="O33" s="930"/>
    </row>
    <row r="34" spans="1:15" ht="20.100000000000001" customHeight="1" x14ac:dyDescent="0.3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 x14ac:dyDescent="0.35">
      <c r="A35" s="921" t="s">
        <v>175</v>
      </c>
      <c r="B35" s="922"/>
      <c r="C35" s="922"/>
      <c r="D35" s="923" t="s">
        <v>143</v>
      </c>
      <c r="E35" s="924">
        <f>'25'!F35</f>
        <v>629027.67000000004</v>
      </c>
      <c r="F35" s="997">
        <v>629027.67000000004</v>
      </c>
      <c r="G35" s="925">
        <f t="shared" ref="G35:G46" si="3">F35-E35</f>
        <v>0</v>
      </c>
      <c r="H35" s="926">
        <f>G35+'25'!H35</f>
        <v>0</v>
      </c>
      <c r="I35" s="924"/>
      <c r="J35" s="928">
        <f>H35/DAY(B2)</f>
        <v>0</v>
      </c>
      <c r="K35" s="944"/>
      <c r="L35" s="903"/>
      <c r="O35" s="930"/>
    </row>
    <row r="36" spans="1:15" ht="20.100000000000001" customHeight="1" x14ac:dyDescent="0.35">
      <c r="A36" s="921" t="s">
        <v>176</v>
      </c>
      <c r="B36" s="922"/>
      <c r="C36" s="922"/>
      <c r="D36" s="923" t="s">
        <v>143</v>
      </c>
      <c r="E36" s="924">
        <f>'25'!F36</f>
        <v>272676</v>
      </c>
      <c r="F36" s="997">
        <v>273424</v>
      </c>
      <c r="G36" s="925">
        <f t="shared" si="3"/>
        <v>748</v>
      </c>
      <c r="H36" s="926">
        <f>G36+'25'!H36</f>
        <v>-3067.4500000000116</v>
      </c>
      <c r="I36" s="924"/>
      <c r="J36" s="928">
        <f>H36/DAY(B2)</f>
        <v>-117.9788461538466</v>
      </c>
      <c r="K36" s="944"/>
      <c r="L36" s="903"/>
      <c r="O36" s="930"/>
    </row>
    <row r="37" spans="1:15" ht="20.100000000000001" customHeight="1" x14ac:dyDescent="0.35">
      <c r="A37" s="921" t="s">
        <v>177</v>
      </c>
      <c r="B37" s="922"/>
      <c r="C37" s="922"/>
      <c r="D37" s="923" t="s">
        <v>143</v>
      </c>
      <c r="E37" s="924">
        <f>'25'!F37</f>
        <v>415066</v>
      </c>
      <c r="F37" s="997">
        <v>415066</v>
      </c>
      <c r="G37" s="925">
        <f t="shared" si="3"/>
        <v>0</v>
      </c>
      <c r="H37" s="926">
        <f>G37+'25'!H37</f>
        <v>415066</v>
      </c>
      <c r="I37" s="924"/>
      <c r="J37" s="928">
        <f>H37/DAY(B2)</f>
        <v>15964.076923076924</v>
      </c>
      <c r="K37" s="944"/>
      <c r="L37" s="903"/>
      <c r="O37" s="930"/>
    </row>
    <row r="38" spans="1:15" ht="20.100000000000001" customHeight="1" x14ac:dyDescent="0.35">
      <c r="A38" s="921" t="s">
        <v>178</v>
      </c>
      <c r="B38" s="922"/>
      <c r="C38" s="922"/>
      <c r="D38" s="923" t="s">
        <v>143</v>
      </c>
      <c r="E38" s="924">
        <f>'25'!F38</f>
        <v>150714.38</v>
      </c>
      <c r="F38" s="913">
        <v>150714</v>
      </c>
      <c r="G38" s="925">
        <f t="shared" si="3"/>
        <v>-0.38000000000465661</v>
      </c>
      <c r="H38" s="926">
        <f>G38+'25'!H38</f>
        <v>150616.12</v>
      </c>
      <c r="I38" s="924"/>
      <c r="J38" s="928">
        <f>H38/DAY(B2)</f>
        <v>5792.9276923076923</v>
      </c>
      <c r="K38" s="944"/>
      <c r="L38" s="903"/>
      <c r="O38" s="930"/>
    </row>
    <row r="39" spans="1:15" ht="20.100000000000001" customHeight="1" x14ac:dyDescent="0.35">
      <c r="A39" s="921" t="s">
        <v>179</v>
      </c>
      <c r="B39" s="922"/>
      <c r="C39" s="922"/>
      <c r="D39" s="923" t="s">
        <v>143</v>
      </c>
      <c r="E39" s="924">
        <f>'25'!F39</f>
        <v>912480</v>
      </c>
      <c r="F39" s="997">
        <v>912480</v>
      </c>
      <c r="G39" s="925">
        <f t="shared" si="3"/>
        <v>0</v>
      </c>
      <c r="H39" s="926">
        <f>G39+'25'!H39</f>
        <v>912480</v>
      </c>
      <c r="I39" s="924"/>
      <c r="J39" s="928">
        <f>H39/DAY(B2)</f>
        <v>35095.384615384617</v>
      </c>
      <c r="K39" s="944"/>
      <c r="L39" s="903"/>
      <c r="O39" s="930"/>
    </row>
    <row r="40" spans="1:15" ht="20.100000000000001" customHeight="1" x14ac:dyDescent="0.35">
      <c r="A40" s="998" t="s">
        <v>180</v>
      </c>
      <c r="B40" s="999"/>
      <c r="C40" s="999"/>
      <c r="D40" s="923" t="s">
        <v>143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 x14ac:dyDescent="0.35">
      <c r="A41" s="921" t="s">
        <v>181</v>
      </c>
      <c r="B41" s="922"/>
      <c r="C41" s="922"/>
      <c r="D41" s="923" t="s">
        <v>143</v>
      </c>
      <c r="E41" s="924">
        <f>'25'!F41</f>
        <v>22539.11</v>
      </c>
      <c r="F41" s="997">
        <v>26299.49</v>
      </c>
      <c r="G41" s="925">
        <f t="shared" si="3"/>
        <v>3760.380000000001</v>
      </c>
      <c r="H41" s="926">
        <f>G41+'25'!H41</f>
        <v>-18323.029999999995</v>
      </c>
      <c r="I41" s="924"/>
      <c r="J41" s="928">
        <f>H41/DAY(B2)</f>
        <v>-704.73192307692284</v>
      </c>
      <c r="K41" s="944"/>
      <c r="L41" s="903"/>
      <c r="O41" s="930"/>
    </row>
    <row r="42" spans="1:15" ht="20.100000000000001" customHeight="1" x14ac:dyDescent="0.35">
      <c r="A42" s="921" t="s">
        <v>182</v>
      </c>
      <c r="B42" s="922"/>
      <c r="C42" s="922"/>
      <c r="D42" s="923" t="s">
        <v>143</v>
      </c>
      <c r="E42" s="924">
        <f>'25'!F42</f>
        <v>58926</v>
      </c>
      <c r="F42" s="997">
        <v>58926</v>
      </c>
      <c r="G42" s="925">
        <f t="shared" si="3"/>
        <v>0</v>
      </c>
      <c r="H42" s="926">
        <f>G42+'25'!H42</f>
        <v>0</v>
      </c>
      <c r="I42" s="924"/>
      <c r="J42" s="928">
        <f>H42/DAY(B2)</f>
        <v>0</v>
      </c>
      <c r="K42" s="944"/>
      <c r="L42" s="903"/>
      <c r="N42" s="1094">
        <f>3450-G42</f>
        <v>3450</v>
      </c>
      <c r="O42" s="930"/>
    </row>
    <row r="43" spans="1:15" ht="20.100000000000001" customHeight="1" x14ac:dyDescent="0.35">
      <c r="A43" s="921" t="s">
        <v>183</v>
      </c>
      <c r="B43" s="922"/>
      <c r="C43" s="922"/>
      <c r="D43" s="923" t="s">
        <v>143</v>
      </c>
      <c r="E43" s="924">
        <f>'25'!F43</f>
        <v>753864.31</v>
      </c>
      <c r="F43" s="997">
        <v>756192.85</v>
      </c>
      <c r="G43" s="925">
        <f t="shared" si="3"/>
        <v>2328.5399999999208</v>
      </c>
      <c r="H43" s="926">
        <f>G43+'25'!H43</f>
        <v>-11619.060000000056</v>
      </c>
      <c r="I43" s="924"/>
      <c r="J43" s="928">
        <f>H43/DAY(B2)</f>
        <v>-446.8869230769252</v>
      </c>
      <c r="K43" s="944"/>
      <c r="L43" s="903"/>
      <c r="O43" s="930"/>
    </row>
    <row r="44" spans="1:15" ht="20.100000000000001" customHeight="1" x14ac:dyDescent="0.35">
      <c r="A44" s="921" t="s">
        <v>184</v>
      </c>
      <c r="B44" s="922"/>
      <c r="C44" s="922"/>
      <c r="D44" s="923" t="s">
        <v>143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 x14ac:dyDescent="0.35">
      <c r="A45" s="921" t="s">
        <v>185</v>
      </c>
      <c r="B45" s="922"/>
      <c r="C45" s="922"/>
      <c r="D45" s="923" t="s">
        <v>143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 x14ac:dyDescent="0.35">
      <c r="A46" s="921" t="s">
        <v>186</v>
      </c>
      <c r="B46" s="922"/>
      <c r="C46" s="922"/>
      <c r="D46" s="923" t="s">
        <v>143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 x14ac:dyDescent="0.3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6836.5399999999172</v>
      </c>
      <c r="H47" s="926">
        <f>G47+'25'!H47</f>
        <v>1445151.55</v>
      </c>
      <c r="I47" s="924"/>
      <c r="J47" s="928">
        <f>H47/DAY(B2)</f>
        <v>55582.751923076925</v>
      </c>
      <c r="K47" s="944"/>
      <c r="L47" s="903"/>
      <c r="N47" s="1094"/>
      <c r="O47" s="930"/>
    </row>
    <row r="48" spans="1:15" ht="20.100000000000001" customHeight="1" x14ac:dyDescent="0.3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 x14ac:dyDescent="0.35">
      <c r="A49" s="921" t="s">
        <v>175</v>
      </c>
      <c r="B49" s="1000"/>
      <c r="C49" s="1000"/>
      <c r="D49" s="923" t="s">
        <v>143</v>
      </c>
      <c r="E49" s="924">
        <f>'25'!F49</f>
        <v>227268.61</v>
      </c>
      <c r="F49" s="997">
        <v>230467</v>
      </c>
      <c r="G49" s="925">
        <f t="shared" ref="G49:G58" si="4">F49-E49</f>
        <v>3198.390000000014</v>
      </c>
      <c r="H49" s="926">
        <f>G49+'25'!H49</f>
        <v>-15432.049999999988</v>
      </c>
      <c r="I49" s="924"/>
      <c r="J49" s="928">
        <f>H49/DAY(B2)</f>
        <v>-593.54038461538414</v>
      </c>
      <c r="K49" s="944"/>
      <c r="L49" s="903"/>
      <c r="O49" s="930"/>
    </row>
    <row r="50" spans="1:15" ht="20.100000000000001" customHeight="1" x14ac:dyDescent="0.35">
      <c r="A50" s="921" t="s">
        <v>189</v>
      </c>
      <c r="B50" s="1000"/>
      <c r="C50" s="1000"/>
      <c r="D50" s="923" t="s">
        <v>143</v>
      </c>
      <c r="E50" s="924">
        <f>'25'!F50</f>
        <v>361944.67</v>
      </c>
      <c r="F50" s="997">
        <v>362882.71</v>
      </c>
      <c r="G50" s="925">
        <f t="shared" si="4"/>
        <v>938.04000000003725</v>
      </c>
      <c r="H50" s="926">
        <f>G50+'25'!H50</f>
        <v>-6777.5999999999767</v>
      </c>
      <c r="I50" s="924"/>
      <c r="J50" s="928">
        <f>H50/DAY(B2)</f>
        <v>-260.67692307692221</v>
      </c>
      <c r="K50" s="944"/>
      <c r="L50" s="903"/>
      <c r="O50" s="930"/>
    </row>
    <row r="51" spans="1:15" ht="20.100000000000001" customHeight="1" x14ac:dyDescent="0.35">
      <c r="A51" s="921" t="s">
        <v>177</v>
      </c>
      <c r="B51" s="1000"/>
      <c r="C51" s="1000"/>
      <c r="D51" s="923" t="s">
        <v>143</v>
      </c>
      <c r="E51" s="924">
        <f>'25'!F51</f>
        <v>101167.88</v>
      </c>
      <c r="F51" s="997">
        <v>102590</v>
      </c>
      <c r="G51" s="925">
        <f t="shared" si="4"/>
        <v>1422.1199999999953</v>
      </c>
      <c r="H51" s="926">
        <f>G51+'25'!H51</f>
        <v>-7509.7400000000052</v>
      </c>
      <c r="I51" s="924"/>
      <c r="J51" s="928">
        <f>H51/DAY(B2)</f>
        <v>-288.83615384615405</v>
      </c>
      <c r="K51" s="944"/>
      <c r="L51" s="903"/>
      <c r="O51" s="930"/>
    </row>
    <row r="52" spans="1:15" ht="20.100000000000001" customHeight="1" x14ac:dyDescent="0.35">
      <c r="A52" s="921" t="s">
        <v>190</v>
      </c>
      <c r="B52" s="1000"/>
      <c r="C52" s="1000"/>
      <c r="D52" s="923" t="s">
        <v>143</v>
      </c>
      <c r="E52" s="924">
        <f>'25'!F52</f>
        <v>482441.51</v>
      </c>
      <c r="F52" s="997">
        <v>484348.63</v>
      </c>
      <c r="G52" s="925">
        <f t="shared" si="4"/>
        <v>1907.1199999999953</v>
      </c>
      <c r="H52" s="926">
        <f>G52+'25'!H52</f>
        <v>-9460.039999999979</v>
      </c>
      <c r="I52" s="924"/>
      <c r="J52" s="928">
        <f>H52/DAY(B2)</f>
        <v>-363.84769230769149</v>
      </c>
      <c r="K52" s="944"/>
      <c r="L52" s="903"/>
      <c r="O52" s="930"/>
    </row>
    <row r="53" spans="1:15" ht="20.100000000000001" customHeight="1" x14ac:dyDescent="0.35">
      <c r="A53" s="921" t="s">
        <v>179</v>
      </c>
      <c r="B53" s="1000"/>
      <c r="C53" s="1000"/>
      <c r="D53" s="923" t="s">
        <v>143</v>
      </c>
      <c r="E53" s="924">
        <f>'25'!F53</f>
        <v>279342</v>
      </c>
      <c r="F53" s="997">
        <v>283493.84999999998</v>
      </c>
      <c r="G53" s="925">
        <f t="shared" si="4"/>
        <v>4151.8499999999767</v>
      </c>
      <c r="H53" s="926">
        <f>G53+'25'!H53</f>
        <v>-20804.420000000042</v>
      </c>
      <c r="I53" s="924"/>
      <c r="J53" s="928">
        <f>H53/DAY(B2)</f>
        <v>-800.17000000000166</v>
      </c>
      <c r="K53" s="944"/>
      <c r="L53" s="903"/>
      <c r="O53" s="930"/>
    </row>
    <row r="54" spans="1:15" ht="20.100000000000001" customHeight="1" x14ac:dyDescent="0.35">
      <c r="A54" s="921" t="s">
        <v>191</v>
      </c>
      <c r="B54" s="1000"/>
      <c r="C54" s="1000"/>
      <c r="D54" s="923" t="s">
        <v>143</v>
      </c>
      <c r="E54" s="924">
        <f>'25'!F54</f>
        <v>6024</v>
      </c>
      <c r="F54" s="997">
        <v>6070</v>
      </c>
      <c r="G54" s="925">
        <f t="shared" si="4"/>
        <v>46</v>
      </c>
      <c r="H54" s="926">
        <f>G54+'25'!H54</f>
        <v>-318.80000000000018</v>
      </c>
      <c r="I54" s="924"/>
      <c r="J54" s="928">
        <f>H54/DAY(B2)</f>
        <v>-12.261538461538468</v>
      </c>
      <c r="K54" s="944"/>
      <c r="L54" s="903"/>
      <c r="O54" s="930"/>
    </row>
    <row r="55" spans="1:15" ht="20.100000000000001" customHeight="1" x14ac:dyDescent="0.35">
      <c r="A55" s="921" t="s">
        <v>192</v>
      </c>
      <c r="B55" s="1000"/>
      <c r="C55" s="1000"/>
      <c r="D55" s="923" t="s">
        <v>143</v>
      </c>
      <c r="E55" s="924">
        <f>'25'!F55</f>
        <v>39120.58</v>
      </c>
      <c r="F55" s="997">
        <v>39120.58</v>
      </c>
      <c r="G55" s="925">
        <f t="shared" si="4"/>
        <v>0</v>
      </c>
      <c r="H55" s="926">
        <f>G55+'25'!H55</f>
        <v>-3867.4000000000015</v>
      </c>
      <c r="I55" s="924"/>
      <c r="J55" s="928">
        <f>H55/DAY(B2)</f>
        <v>-148.7461538461539</v>
      </c>
      <c r="K55" s="944"/>
      <c r="L55" s="903"/>
      <c r="O55" s="930"/>
    </row>
    <row r="56" spans="1:15" ht="20.100000000000001" customHeight="1" x14ac:dyDescent="0.35">
      <c r="A56" s="921" t="s">
        <v>193</v>
      </c>
      <c r="B56" s="1000"/>
      <c r="C56" s="1000"/>
      <c r="D56" s="923" t="s">
        <v>194</v>
      </c>
      <c r="E56" s="924">
        <f>'25'!F56</f>
        <v>557730.15</v>
      </c>
      <c r="F56" s="997">
        <v>557730.15</v>
      </c>
      <c r="G56" s="925">
        <f t="shared" si="4"/>
        <v>0</v>
      </c>
      <c r="H56" s="926">
        <f>G56+'25'!H56</f>
        <v>-1.7600000000093132</v>
      </c>
      <c r="I56" s="924"/>
      <c r="J56" s="928">
        <f>H56/DAY(B2)</f>
        <v>-6.769230769266589E-2</v>
      </c>
      <c r="K56" s="920"/>
      <c r="L56" s="903"/>
      <c r="O56" s="930"/>
    </row>
    <row r="57" spans="1:15" ht="20.100000000000001" customHeight="1" x14ac:dyDescent="0.35">
      <c r="A57" s="921" t="s">
        <v>183</v>
      </c>
      <c r="B57" s="1000"/>
      <c r="C57" s="1000"/>
      <c r="D57" s="923" t="s">
        <v>143</v>
      </c>
      <c r="E57" s="924">
        <f>'25'!F57</f>
        <v>0</v>
      </c>
      <c r="F57" s="997">
        <v>0</v>
      </c>
      <c r="G57" s="925">
        <f t="shared" si="4"/>
        <v>0</v>
      </c>
      <c r="H57" s="926">
        <f>G57+'25'!H57</f>
        <v>0</v>
      </c>
      <c r="I57" s="924"/>
      <c r="J57" s="928">
        <f>H57/DAY(B2)</f>
        <v>0</v>
      </c>
      <c r="K57" s="944"/>
      <c r="L57" s="903"/>
      <c r="O57" s="930"/>
    </row>
    <row r="58" spans="1:15" ht="20.100000000000001" customHeight="1" x14ac:dyDescent="0.35">
      <c r="A58" s="921" t="s">
        <v>195</v>
      </c>
      <c r="B58" s="1000"/>
      <c r="C58" s="1000"/>
      <c r="D58" s="923" t="s">
        <v>143</v>
      </c>
      <c r="E58" s="924">
        <f>'25'!F58</f>
        <v>29579.14</v>
      </c>
      <c r="F58" s="997">
        <v>29765.38</v>
      </c>
      <c r="G58" s="925">
        <f t="shared" si="4"/>
        <v>186.2400000000016</v>
      </c>
      <c r="H58" s="926">
        <f>G58+'25'!H58</f>
        <v>-964.15999999999622</v>
      </c>
      <c r="I58" s="924"/>
      <c r="J58" s="928">
        <f>H58/DAY(B2)</f>
        <v>-37.083076923076774</v>
      </c>
      <c r="K58" s="944"/>
      <c r="L58" s="903"/>
      <c r="O58" s="930"/>
    </row>
    <row r="59" spans="1:15" ht="20.100000000000001" customHeight="1" x14ac:dyDescent="0.3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11849.76000000002</v>
      </c>
      <c r="H59" s="926">
        <f>G59+'25'!H59</f>
        <v>-65135.969999999914</v>
      </c>
      <c r="I59" s="924">
        <f>G7-G60</f>
        <v>311.70000000006257</v>
      </c>
      <c r="J59" s="928">
        <f>H59/DAY(B2)</f>
        <v>-2505.2296153846119</v>
      </c>
      <c r="K59" s="944"/>
      <c r="L59" s="903"/>
      <c r="O59" s="930"/>
    </row>
    <row r="60" spans="1:15" ht="20.100000000000001" customHeight="1" x14ac:dyDescent="0.35">
      <c r="A60" s="921"/>
      <c r="B60" s="922"/>
      <c r="C60" s="922"/>
      <c r="D60" s="910" t="s">
        <v>196</v>
      </c>
      <c r="E60" s="910"/>
      <c r="F60" s="910"/>
      <c r="G60" s="948">
        <f>G47+G59</f>
        <v>18686.299999999937</v>
      </c>
      <c r="H60" s="926">
        <f>G60+'25'!H60</f>
        <v>1385195.7700000003</v>
      </c>
      <c r="I60" s="924">
        <f>G13-G60</f>
        <v>-311.29999999993743</v>
      </c>
      <c r="J60" s="928">
        <f>H60/DAY(B2)</f>
        <v>53276.760384615394</v>
      </c>
      <c r="K60" s="944"/>
      <c r="L60" s="903"/>
      <c r="O60" s="930"/>
    </row>
    <row r="61" spans="1:15" ht="20.100000000000001" customHeight="1" x14ac:dyDescent="0.3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 x14ac:dyDescent="0.35">
      <c r="A62" s="1005" t="s">
        <v>106</v>
      </c>
      <c r="B62" s="1006"/>
      <c r="C62" s="1006"/>
      <c r="D62" s="910" t="s">
        <v>198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 x14ac:dyDescent="0.35">
      <c r="A63" s="1005" t="s">
        <v>199</v>
      </c>
      <c r="B63" s="1006"/>
      <c r="C63" s="1006"/>
      <c r="D63" s="910" t="s">
        <v>198</v>
      </c>
      <c r="E63" s="924">
        <f>'25'!F63</f>
        <v>1264.31</v>
      </c>
      <c r="F63" s="1007">
        <v>1273.71</v>
      </c>
      <c r="G63" s="925">
        <f t="shared" si="5"/>
        <v>9.4000000000000909</v>
      </c>
      <c r="H63" s="926">
        <f>G63+'25'!H63</f>
        <v>-58.819999999999936</v>
      </c>
      <c r="I63" s="1008"/>
      <c r="J63" s="928">
        <f>H63/DAY(B2)</f>
        <v>-2.2623076923076897</v>
      </c>
      <c r="K63" s="944"/>
      <c r="L63" s="903"/>
      <c r="O63" s="930"/>
    </row>
    <row r="64" spans="1:15" ht="20.100000000000001" customHeight="1" x14ac:dyDescent="0.35">
      <c r="A64" s="1509" t="s">
        <v>107</v>
      </c>
      <c r="B64" s="1510"/>
      <c r="C64" s="1511"/>
      <c r="D64" s="923" t="s">
        <v>198</v>
      </c>
      <c r="E64" s="924">
        <f>'25'!F64</f>
        <v>108728</v>
      </c>
      <c r="F64" s="954">
        <v>109117</v>
      </c>
      <c r="G64" s="925">
        <f t="shared" si="5"/>
        <v>389</v>
      </c>
      <c r="H64" s="926">
        <f>G64+'25'!H64</f>
        <v>-2166.4600000000064</v>
      </c>
      <c r="I64" s="945"/>
      <c r="J64" s="928">
        <f>H64/DAY(B2)</f>
        <v>-83.325384615384863</v>
      </c>
      <c r="K64" s="944"/>
      <c r="L64" s="903"/>
      <c r="O64" s="930"/>
    </row>
    <row r="65" spans="1:15" ht="20.100000000000001" customHeight="1" x14ac:dyDescent="0.35">
      <c r="A65" s="1509" t="s">
        <v>108</v>
      </c>
      <c r="B65" s="1510"/>
      <c r="C65" s="1511"/>
      <c r="D65" s="923" t="s">
        <v>198</v>
      </c>
      <c r="E65" s="924">
        <f>'25'!F65</f>
        <v>119368</v>
      </c>
      <c r="F65" s="954">
        <v>119779.76</v>
      </c>
      <c r="G65" s="925">
        <f t="shared" si="5"/>
        <v>411.75999999999476</v>
      </c>
      <c r="H65" s="926">
        <f>G65+'25'!H65</f>
        <v>-1953.3500000000058</v>
      </c>
      <c r="I65" s="963"/>
      <c r="J65" s="928">
        <f>H65/DAY(B2)</f>
        <v>-75.128846153846382</v>
      </c>
      <c r="K65" s="944"/>
      <c r="L65" s="903"/>
      <c r="O65" s="930"/>
    </row>
    <row r="66" spans="1:15" ht="20.100000000000001" customHeight="1" x14ac:dyDescent="0.35">
      <c r="A66" s="1509" t="s">
        <v>109</v>
      </c>
      <c r="B66" s="1510"/>
      <c r="C66" s="1511"/>
      <c r="D66" s="923" t="s">
        <v>198</v>
      </c>
      <c r="E66" s="924">
        <f>'25'!F66</f>
        <v>11656.69</v>
      </c>
      <c r="F66" s="954">
        <v>12070.5</v>
      </c>
      <c r="G66" s="925">
        <f t="shared" si="5"/>
        <v>413.80999999999949</v>
      </c>
      <c r="H66" s="926">
        <f>G66+'25'!H66</f>
        <v>-2089.2399999999998</v>
      </c>
      <c r="I66" s="945"/>
      <c r="J66" s="928">
        <f>H66/DAY(B2)</f>
        <v>-80.355384615384608</v>
      </c>
      <c r="K66" s="944"/>
      <c r="L66" s="903"/>
      <c r="O66" s="930"/>
    </row>
    <row r="67" spans="1:15" ht="20.100000000000001" customHeight="1" x14ac:dyDescent="0.35">
      <c r="A67" s="1509" t="s">
        <v>110</v>
      </c>
      <c r="B67" s="1510"/>
      <c r="C67" s="1511"/>
      <c r="D67" s="923" t="s">
        <v>198</v>
      </c>
      <c r="E67" s="924">
        <f>'25'!F67</f>
        <v>184645</v>
      </c>
      <c r="F67" s="954">
        <v>185312.69</v>
      </c>
      <c r="G67" s="925">
        <f t="shared" si="5"/>
        <v>667.69000000000233</v>
      </c>
      <c r="H67" s="926">
        <f>G67+'25'!H67</f>
        <v>-3361.8399999999965</v>
      </c>
      <c r="I67" s="963"/>
      <c r="J67" s="928">
        <f>H67/DAY(B2)</f>
        <v>-129.30153846153831</v>
      </c>
      <c r="K67" s="951"/>
      <c r="L67" s="903"/>
      <c r="O67" s="930"/>
    </row>
    <row r="68" spans="1:15" ht="20.100000000000001" customHeight="1" x14ac:dyDescent="0.35">
      <c r="A68" s="1509" t="s">
        <v>111</v>
      </c>
      <c r="B68" s="1510"/>
      <c r="C68" s="1511"/>
      <c r="D68" s="923" t="s">
        <v>198</v>
      </c>
      <c r="E68" s="924">
        <f>'25'!F68</f>
        <v>61404.85</v>
      </c>
      <c r="F68" s="954">
        <v>61723.94</v>
      </c>
      <c r="G68" s="925">
        <f t="shared" si="5"/>
        <v>319.09000000000378</v>
      </c>
      <c r="H68" s="926">
        <f>G68+'25'!H68</f>
        <v>-1575.9199999999983</v>
      </c>
      <c r="I68" s="1009"/>
      <c r="J68" s="928">
        <f>H68/DAY(B2)</f>
        <v>-60.612307692307624</v>
      </c>
      <c r="K68" s="1010"/>
      <c r="L68" s="903"/>
      <c r="O68" s="930"/>
    </row>
    <row r="69" spans="1:15" ht="20.100000000000001" customHeight="1" x14ac:dyDescent="0.35">
      <c r="A69" s="1509" t="s">
        <v>112</v>
      </c>
      <c r="B69" s="1510"/>
      <c r="C69" s="1511"/>
      <c r="D69" s="923" t="s">
        <v>198</v>
      </c>
      <c r="E69" s="924">
        <f>'25'!F69</f>
        <v>53853</v>
      </c>
      <c r="F69" s="954">
        <v>54165</v>
      </c>
      <c r="G69" s="925">
        <f t="shared" si="5"/>
        <v>312</v>
      </c>
      <c r="H69" s="926">
        <f>G69+'25'!H69</f>
        <v>-1558.7099999999991</v>
      </c>
      <c r="I69" s="1009"/>
      <c r="J69" s="928">
        <f>H69/DAY(B2)</f>
        <v>-59.950384615384579</v>
      </c>
      <c r="K69" s="1011"/>
      <c r="L69" s="903"/>
      <c r="O69" s="930"/>
    </row>
    <row r="70" spans="1:15" ht="20.100000000000001" customHeight="1" x14ac:dyDescent="0.35">
      <c r="A70" s="1532" t="s">
        <v>200</v>
      </c>
      <c r="B70" s="1533"/>
      <c r="C70" s="1534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 x14ac:dyDescent="0.45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1010"/>
      <c r="L71" s="903"/>
      <c r="O71" s="930"/>
    </row>
    <row r="72" spans="1:15" ht="20.100000000000001" customHeight="1" x14ac:dyDescent="0.35">
      <c r="A72" s="1509" t="s">
        <v>202</v>
      </c>
      <c r="B72" s="1510"/>
      <c r="C72" s="1511"/>
      <c r="D72" s="923" t="s">
        <v>198</v>
      </c>
      <c r="E72" s="924">
        <f>'25'!F72</f>
        <v>847965</v>
      </c>
      <c r="F72" s="1015">
        <v>848048</v>
      </c>
      <c r="G72" s="925">
        <f t="shared" ref="G72:G84" si="6">F72-E72</f>
        <v>83</v>
      </c>
      <c r="H72" s="926">
        <f>G72+'25'!H72</f>
        <v>-504</v>
      </c>
      <c r="I72" s="945"/>
      <c r="J72" s="928">
        <f>H72/DAY(B2)</f>
        <v>-19.384615384615383</v>
      </c>
      <c r="K72" s="1011"/>
      <c r="L72" s="903"/>
      <c r="O72" s="930"/>
    </row>
    <row r="73" spans="1:15" ht="20.100000000000001" customHeight="1" x14ac:dyDescent="0.35">
      <c r="A73" s="1509" t="s">
        <v>203</v>
      </c>
      <c r="B73" s="1510"/>
      <c r="C73" s="1511"/>
      <c r="D73" s="923" t="s">
        <v>198</v>
      </c>
      <c r="E73" s="924">
        <f>'25'!F73</f>
        <v>885726</v>
      </c>
      <c r="F73" s="1016">
        <v>885727</v>
      </c>
      <c r="G73" s="925">
        <f t="shared" si="6"/>
        <v>1</v>
      </c>
      <c r="H73" s="926">
        <f>G73+'25'!H73</f>
        <v>946</v>
      </c>
      <c r="I73" s="945"/>
      <c r="J73" s="928">
        <f>H73/DAY(B2)</f>
        <v>36.384615384615387</v>
      </c>
      <c r="K73" s="1010"/>
      <c r="L73" s="903"/>
      <c r="O73" s="930"/>
    </row>
    <row r="74" spans="1:15" ht="20.100000000000001" customHeight="1" x14ac:dyDescent="0.35">
      <c r="A74" s="1509" t="s">
        <v>204</v>
      </c>
      <c r="B74" s="1510"/>
      <c r="C74" s="1511"/>
      <c r="D74" s="923" t="s">
        <v>198</v>
      </c>
      <c r="E74" s="924">
        <f>'25'!F74</f>
        <v>882181</v>
      </c>
      <c r="F74" s="1017">
        <v>882212</v>
      </c>
      <c r="G74" s="925">
        <f t="shared" si="6"/>
        <v>31</v>
      </c>
      <c r="H74" s="926">
        <f>G74+'25'!H74</f>
        <v>882441.1</v>
      </c>
      <c r="I74" s="945"/>
      <c r="J74" s="928">
        <f>H74/DAY(B2)</f>
        <v>33940.042307692303</v>
      </c>
      <c r="K74" s="1011"/>
      <c r="L74" s="903"/>
      <c r="O74" s="930"/>
    </row>
    <row r="75" spans="1:15" ht="20.100000000000001" customHeight="1" x14ac:dyDescent="0.35">
      <c r="A75" s="1535" t="s">
        <v>205</v>
      </c>
      <c r="B75" s="1536"/>
      <c r="C75" s="1537"/>
      <c r="D75" s="923" t="s">
        <v>198</v>
      </c>
      <c r="E75" s="924">
        <f>'25'!F75</f>
        <v>736353</v>
      </c>
      <c r="F75" s="1017">
        <v>736551</v>
      </c>
      <c r="G75" s="925">
        <f t="shared" si="6"/>
        <v>198</v>
      </c>
      <c r="H75" s="926">
        <f>G75+'25'!H75</f>
        <v>738087.4</v>
      </c>
      <c r="I75" s="945"/>
      <c r="J75" s="928">
        <f>H75/DAY(B2)</f>
        <v>28387.976923076923</v>
      </c>
      <c r="K75" s="1010"/>
      <c r="L75" s="903"/>
      <c r="O75" s="930"/>
    </row>
    <row r="76" spans="1:15" ht="20.100000000000001" customHeight="1" x14ac:dyDescent="0.35">
      <c r="A76" s="1535" t="s">
        <v>206</v>
      </c>
      <c r="B76" s="1536"/>
      <c r="C76" s="1537"/>
      <c r="D76" s="923" t="s">
        <v>198</v>
      </c>
      <c r="E76" s="924">
        <f>'25'!F76</f>
        <v>686566</v>
      </c>
      <c r="F76" s="1016">
        <v>686645</v>
      </c>
      <c r="G76" s="925">
        <f t="shared" si="6"/>
        <v>79</v>
      </c>
      <c r="H76" s="926">
        <f>G76+'25'!H76</f>
        <v>688642.2</v>
      </c>
      <c r="I76" s="988"/>
      <c r="J76" s="928">
        <f>H76/DAY(B2)</f>
        <v>26486.238461538458</v>
      </c>
      <c r="K76" s="1010"/>
      <c r="L76" s="903"/>
      <c r="O76" s="930"/>
    </row>
    <row r="77" spans="1:15" ht="20.100000000000001" customHeight="1" x14ac:dyDescent="0.35">
      <c r="A77" s="1509" t="s">
        <v>207</v>
      </c>
      <c r="B77" s="1510"/>
      <c r="C77" s="1511"/>
      <c r="D77" s="923" t="s">
        <v>198</v>
      </c>
      <c r="E77" s="924">
        <f>'25'!F77</f>
        <v>696795</v>
      </c>
      <c r="F77" s="1016">
        <v>696846</v>
      </c>
      <c r="G77" s="925">
        <f t="shared" si="6"/>
        <v>51</v>
      </c>
      <c r="H77" s="926">
        <f>G77+'25'!H77</f>
        <v>-261</v>
      </c>
      <c r="I77" s="988"/>
      <c r="J77" s="928">
        <f>H77/DAY(B2)</f>
        <v>-10.038461538461538</v>
      </c>
      <c r="K77" s="1010"/>
      <c r="L77" s="903"/>
      <c r="O77" s="930"/>
    </row>
    <row r="78" spans="1:15" ht="18.75" customHeight="1" x14ac:dyDescent="0.35">
      <c r="A78" s="1018" t="s">
        <v>208</v>
      </c>
      <c r="B78" s="1227"/>
      <c r="C78" s="1227"/>
      <c r="D78" s="923" t="s">
        <v>198</v>
      </c>
      <c r="E78" s="924">
        <f>'25'!F78</f>
        <v>639639</v>
      </c>
      <c r="F78" s="1017">
        <v>640010</v>
      </c>
      <c r="G78" s="925">
        <f t="shared" si="6"/>
        <v>371</v>
      </c>
      <c r="H78" s="926">
        <f>G78+'25'!H78</f>
        <v>-1943</v>
      </c>
      <c r="I78" s="988"/>
      <c r="J78" s="928">
        <f>H78/DAY(B2)</f>
        <v>-74.730769230769226</v>
      </c>
      <c r="K78" s="1010"/>
      <c r="L78" s="903"/>
      <c r="O78" s="930"/>
    </row>
    <row r="79" spans="1:15" ht="20.100000000000001" customHeight="1" x14ac:dyDescent="0.35">
      <c r="A79" s="1535" t="s">
        <v>97</v>
      </c>
      <c r="B79" s="1536"/>
      <c r="C79" s="1537"/>
      <c r="D79" s="957" t="s">
        <v>198</v>
      </c>
      <c r="E79" s="924">
        <f>'25'!F79</f>
        <v>808559</v>
      </c>
      <c r="F79" s="1017">
        <v>808754</v>
      </c>
      <c r="G79" s="925">
        <f t="shared" si="6"/>
        <v>195</v>
      </c>
      <c r="H79" s="926">
        <f>G79+'25'!H79</f>
        <v>1928</v>
      </c>
      <c r="I79" s="988"/>
      <c r="J79" s="928">
        <f>H79/DAY(B2)</f>
        <v>74.15384615384616</v>
      </c>
      <c r="K79" s="1010"/>
      <c r="L79" s="903"/>
      <c r="O79" s="930"/>
    </row>
    <row r="80" spans="1:15" ht="20.100000000000001" customHeight="1" x14ac:dyDescent="0.35">
      <c r="A80" s="1535" t="s">
        <v>209</v>
      </c>
      <c r="B80" s="1536"/>
      <c r="C80" s="1537"/>
      <c r="D80" s="957" t="s">
        <v>198</v>
      </c>
      <c r="E80" s="924">
        <f>'25'!F80</f>
        <v>483285.56</v>
      </c>
      <c r="F80" s="1016">
        <v>483563.88</v>
      </c>
      <c r="G80" s="925">
        <f t="shared" si="6"/>
        <v>278.32000000000698</v>
      </c>
      <c r="H80" s="926">
        <f>G80+'25'!H80</f>
        <v>-3017.7999999999884</v>
      </c>
      <c r="I80" s="988"/>
      <c r="J80" s="928">
        <f>H80/DAY(B2)</f>
        <v>-116.06923076923032</v>
      </c>
      <c r="K80" s="1010"/>
      <c r="L80" s="903"/>
      <c r="O80" s="930"/>
    </row>
    <row r="81" spans="1:15" ht="20.100000000000001" customHeight="1" x14ac:dyDescent="0.35">
      <c r="A81" s="1535" t="s">
        <v>210</v>
      </c>
      <c r="B81" s="1536"/>
      <c r="C81" s="1537"/>
      <c r="D81" s="957" t="s">
        <v>198</v>
      </c>
      <c r="E81" s="924">
        <f>'25'!F81</f>
        <v>622131.56000000006</v>
      </c>
      <c r="F81" s="1016">
        <v>622261.64</v>
      </c>
      <c r="G81" s="925">
        <f t="shared" si="6"/>
        <v>130.07999999995809</v>
      </c>
      <c r="H81" s="926">
        <f>G81+'25'!H81</f>
        <v>-513.35999999998603</v>
      </c>
      <c r="I81" s="988"/>
      <c r="J81" s="928">
        <f>H81/DAY(B2)</f>
        <v>-19.744615384614846</v>
      </c>
      <c r="K81" s="1010"/>
      <c r="L81" s="903"/>
      <c r="O81" s="930"/>
    </row>
    <row r="82" spans="1:15" ht="20.100000000000001" customHeight="1" x14ac:dyDescent="0.35">
      <c r="A82" s="1535" t="s">
        <v>100</v>
      </c>
      <c r="B82" s="1536"/>
      <c r="C82" s="1537"/>
      <c r="D82" s="958" t="s">
        <v>143</v>
      </c>
      <c r="E82" s="924">
        <f>'25'!F82</f>
        <v>105169</v>
      </c>
      <c r="F82" s="1019">
        <v>105224.59</v>
      </c>
      <c r="G82" s="925">
        <f t="shared" si="6"/>
        <v>55.589999999996508</v>
      </c>
      <c r="H82" s="926">
        <f>G82+'25'!H82</f>
        <v>-215.41000000000349</v>
      </c>
      <c r="I82" s="959"/>
      <c r="J82" s="928">
        <f>H82/DAY(B2)</f>
        <v>-8.2850000000001351</v>
      </c>
      <c r="K82" s="1010"/>
      <c r="L82" s="903"/>
      <c r="O82" s="930"/>
    </row>
    <row r="83" spans="1:15" ht="20.100000000000001" customHeight="1" x14ac:dyDescent="0.35">
      <c r="A83" s="1535" t="s">
        <v>211</v>
      </c>
      <c r="B83" s="1536"/>
      <c r="C83" s="1537"/>
      <c r="D83" s="1020" t="s">
        <v>143</v>
      </c>
      <c r="E83" s="924">
        <f>'25'!F83</f>
        <v>981841</v>
      </c>
      <c r="F83" s="910">
        <v>982067</v>
      </c>
      <c r="G83" s="925">
        <f t="shared" si="6"/>
        <v>226</v>
      </c>
      <c r="H83" s="926">
        <f>G83+'25'!H83</f>
        <v>-1674</v>
      </c>
      <c r="I83" s="948"/>
      <c r="J83" s="928">
        <f>H83/DAY(B2)</f>
        <v>-64.384615384615387</v>
      </c>
      <c r="K83" s="951"/>
      <c r="L83" s="903"/>
      <c r="O83" s="930"/>
    </row>
    <row r="84" spans="1:15" ht="20.100000000000001" customHeight="1" x14ac:dyDescent="0.35">
      <c r="A84" s="1021" t="s">
        <v>212</v>
      </c>
      <c r="B84" s="1022"/>
      <c r="C84" s="1022"/>
      <c r="D84" s="942" t="s">
        <v>143</v>
      </c>
      <c r="E84" s="924">
        <f>'25'!F84</f>
        <v>412909</v>
      </c>
      <c r="F84" s="1023">
        <v>413437</v>
      </c>
      <c r="G84" s="925">
        <f t="shared" si="6"/>
        <v>528</v>
      </c>
      <c r="H84" s="926">
        <f>G84+'25'!H84</f>
        <v>-2636</v>
      </c>
      <c r="I84" s="948"/>
      <c r="J84" s="928">
        <f>H84/DAY(B2)</f>
        <v>-101.38461538461539</v>
      </c>
      <c r="K84" s="1024"/>
      <c r="L84" s="903"/>
      <c r="O84" s="930"/>
    </row>
    <row r="85" spans="1:15" s="1028" customFormat="1" ht="20.100000000000001" customHeight="1" x14ac:dyDescent="0.35">
      <c r="A85" s="1025" t="s">
        <v>213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2226.9899999999616</v>
      </c>
      <c r="H85" s="926">
        <f>G85+'25'!H85</f>
        <v>2295976.7599999998</v>
      </c>
      <c r="I85" s="948"/>
      <c r="J85" s="928">
        <f>H85/DAY(B2)</f>
        <v>88306.798461538448</v>
      </c>
      <c r="K85" s="1024"/>
      <c r="L85" s="1027"/>
      <c r="N85" s="1095"/>
      <c r="O85" s="930"/>
    </row>
    <row r="86" spans="1:15" s="1038" customFormat="1" x14ac:dyDescent="0.35">
      <c r="A86" s="1029" t="s">
        <v>102</v>
      </c>
      <c r="B86" s="1030"/>
      <c r="C86" s="1030"/>
      <c r="D86" s="1031" t="s">
        <v>194</v>
      </c>
      <c r="E86" s="924">
        <f>'25'!F86</f>
        <v>446558.69</v>
      </c>
      <c r="F86" s="1032">
        <v>446593</v>
      </c>
      <c r="G86" s="1033">
        <f t="shared" ref="G86:G90" si="7">F86-E86</f>
        <v>34.309999999997672</v>
      </c>
      <c r="H86" s="1033">
        <f t="shared" ref="H86:H88" si="8">G86</f>
        <v>34.309999999997672</v>
      </c>
      <c r="I86" s="1034"/>
      <c r="J86" s="1035">
        <f>H86/DAY(B2)</f>
        <v>1.3196153846152952</v>
      </c>
      <c r="K86" s="1036"/>
      <c r="L86" s="1037"/>
      <c r="N86" s="1096"/>
      <c r="O86" s="930"/>
    </row>
    <row r="87" spans="1:15" s="1038" customFormat="1" x14ac:dyDescent="0.35">
      <c r="A87" s="1029" t="s">
        <v>103</v>
      </c>
      <c r="B87" s="1030"/>
      <c r="C87" s="1030"/>
      <c r="D87" s="1031" t="s">
        <v>194</v>
      </c>
      <c r="E87" s="924">
        <f>'25'!F87</f>
        <v>78306.8</v>
      </c>
      <c r="F87" s="1032">
        <v>78317.8</v>
      </c>
      <c r="G87" s="1033">
        <f t="shared" si="7"/>
        <v>11</v>
      </c>
      <c r="H87" s="1033">
        <f t="shared" si="8"/>
        <v>11</v>
      </c>
      <c r="I87" s="1034"/>
      <c r="J87" s="1035">
        <f>H87/DAY(B2)</f>
        <v>0.42307692307692307</v>
      </c>
      <c r="K87" s="1036"/>
      <c r="L87" s="1037"/>
      <c r="N87" s="1096"/>
      <c r="O87" s="930"/>
    </row>
    <row r="88" spans="1:15" s="1038" customFormat="1" x14ac:dyDescent="0.35">
      <c r="A88" s="1029" t="s">
        <v>104</v>
      </c>
      <c r="B88" s="1030"/>
      <c r="C88" s="1030"/>
      <c r="D88" s="1031" t="s">
        <v>194</v>
      </c>
      <c r="E88" s="924">
        <f>'25'!F88</f>
        <v>146075.76</v>
      </c>
      <c r="F88" s="1032">
        <v>146111</v>
      </c>
      <c r="G88" s="1033">
        <f t="shared" si="7"/>
        <v>35.239999999990687</v>
      </c>
      <c r="H88" s="1033">
        <f t="shared" si="8"/>
        <v>35.239999999990687</v>
      </c>
      <c r="I88" s="1034"/>
      <c r="J88" s="1035">
        <f>H88/DAY(B2)</f>
        <v>1.3553846153842573</v>
      </c>
      <c r="K88" s="1036"/>
      <c r="L88" s="1037"/>
      <c r="N88" s="1096"/>
      <c r="O88" s="930"/>
    </row>
    <row r="89" spans="1:15" s="1038" customFormat="1" x14ac:dyDescent="0.35">
      <c r="A89" s="1029" t="s">
        <v>215</v>
      </c>
      <c r="B89" s="1030"/>
      <c r="C89" s="1030"/>
      <c r="D89" s="1031" t="s">
        <v>194</v>
      </c>
      <c r="E89" s="924">
        <f>'25'!F89</f>
        <v>59361.4</v>
      </c>
      <c r="F89" s="1032">
        <v>59414</v>
      </c>
      <c r="G89" s="1033">
        <f t="shared" si="7"/>
        <v>52.599999999998545</v>
      </c>
      <c r="H89" s="1033">
        <f>G89</f>
        <v>52.599999999998545</v>
      </c>
      <c r="I89" s="1034"/>
      <c r="J89" s="1035">
        <f>H89/DAY(B2)</f>
        <v>2.023076923076867</v>
      </c>
      <c r="K89" s="1036"/>
      <c r="L89" s="1037"/>
      <c r="N89" s="1103"/>
      <c r="O89" s="930"/>
    </row>
    <row r="90" spans="1:15" s="1038" customFormat="1" x14ac:dyDescent="0.35">
      <c r="A90" s="1029" t="s">
        <v>215</v>
      </c>
      <c r="B90" s="1030"/>
      <c r="C90" s="1030"/>
      <c r="D90" s="1031" t="s">
        <v>194</v>
      </c>
      <c r="E90" s="924">
        <f>'25'!F90</f>
        <v>3049</v>
      </c>
      <c r="F90" s="1032">
        <v>3049.4</v>
      </c>
      <c r="G90" s="1033">
        <f t="shared" si="7"/>
        <v>0.40000000000009095</v>
      </c>
      <c r="H90" s="1033">
        <f>G90</f>
        <v>0.40000000000009095</v>
      </c>
      <c r="I90" s="1034"/>
      <c r="J90" s="1035">
        <f>H90/DAY(B2)</f>
        <v>1.5384615384618883E-2</v>
      </c>
      <c r="K90" s="1036"/>
      <c r="L90" s="1037"/>
      <c r="N90" s="1097"/>
      <c r="O90" s="930"/>
    </row>
    <row r="91" spans="1:15" s="1028" customFormat="1" ht="20.100000000000001" customHeight="1" x14ac:dyDescent="0.35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 x14ac:dyDescent="0.35">
      <c r="A92" s="1512" t="s">
        <v>217</v>
      </c>
      <c r="B92" s="1513"/>
      <c r="C92" s="1514"/>
      <c r="D92" s="923" t="s">
        <v>155</v>
      </c>
      <c r="E92" s="924">
        <f>'25'!F92</f>
        <v>236081</v>
      </c>
      <c r="F92" s="954">
        <v>236189</v>
      </c>
      <c r="G92" s="925">
        <f t="shared" ref="G92:G93" si="9">F92-E92</f>
        <v>108</v>
      </c>
      <c r="H92" s="926">
        <f>G92+'25'!H92</f>
        <v>-381</v>
      </c>
      <c r="I92" s="945"/>
      <c r="J92" s="928">
        <f>H92/DAY(B2)</f>
        <v>-14.653846153846153</v>
      </c>
      <c r="K92" s="951"/>
      <c r="L92" s="903"/>
      <c r="O92" s="930"/>
    </row>
    <row r="93" spans="1:15" ht="20.100000000000001" customHeight="1" x14ac:dyDescent="0.35">
      <c r="A93" s="1512" t="s">
        <v>218</v>
      </c>
      <c r="B93" s="1513"/>
      <c r="C93" s="1514"/>
      <c r="D93" s="923" t="s">
        <v>155</v>
      </c>
      <c r="E93" s="924">
        <f>'25'!F93</f>
        <v>170363</v>
      </c>
      <c r="F93" s="954">
        <v>170468</v>
      </c>
      <c r="G93" s="925">
        <f t="shared" si="9"/>
        <v>105</v>
      </c>
      <c r="H93" s="926">
        <f>G93+'25'!H93</f>
        <v>-708</v>
      </c>
      <c r="I93" s="945"/>
      <c r="J93" s="928">
        <f>H93/DAY(B2)</f>
        <v>-27.23076923076923</v>
      </c>
      <c r="K93" s="1024"/>
      <c r="L93" s="903"/>
      <c r="O93" s="930"/>
    </row>
    <row r="94" spans="1:15" ht="20.100000000000001" customHeight="1" x14ac:dyDescent="0.35">
      <c r="A94" s="1538" t="s">
        <v>219</v>
      </c>
      <c r="B94" s="1539"/>
      <c r="C94" s="1540"/>
      <c r="D94" s="923"/>
      <c r="E94" s="924">
        <f>'25'!F94</f>
        <v>0</v>
      </c>
      <c r="F94" s="954"/>
      <c r="G94" s="925">
        <f>G92+G93</f>
        <v>213</v>
      </c>
      <c r="H94" s="926">
        <f>G94+'25'!H94</f>
        <v>-1376</v>
      </c>
      <c r="I94" s="945"/>
      <c r="J94" s="928">
        <f>H94/DAY(B2)</f>
        <v>-52.92307692307692</v>
      </c>
      <c r="K94" s="1024"/>
      <c r="L94" s="903"/>
      <c r="O94" s="930"/>
    </row>
    <row r="95" spans="1:15" ht="20.100000000000001" customHeight="1" x14ac:dyDescent="0.35">
      <c r="A95" s="1512" t="s">
        <v>220</v>
      </c>
      <c r="B95" s="1513"/>
      <c r="C95" s="1514"/>
      <c r="D95" s="923" t="s">
        <v>155</v>
      </c>
      <c r="E95" s="924">
        <f>'25'!F95</f>
        <v>405514</v>
      </c>
      <c r="F95" s="954">
        <v>405574</v>
      </c>
      <c r="G95" s="925">
        <f t="shared" ref="G95:G100" si="10">F95-E95</f>
        <v>60</v>
      </c>
      <c r="H95" s="926">
        <f>G95+'25'!H95</f>
        <v>-302</v>
      </c>
      <c r="I95" s="945"/>
      <c r="J95" s="928">
        <f>H95/DAY(B2)</f>
        <v>-11.615384615384615</v>
      </c>
      <c r="K95" s="1024"/>
      <c r="L95" s="903"/>
      <c r="O95" s="930"/>
    </row>
    <row r="96" spans="1:15" ht="20.100000000000001" customHeight="1" x14ac:dyDescent="0.35">
      <c r="A96" s="952" t="s">
        <v>221</v>
      </c>
      <c r="B96" s="953"/>
      <c r="C96" s="953"/>
      <c r="D96" s="923" t="s">
        <v>155</v>
      </c>
      <c r="E96" s="924">
        <f>'25'!F96</f>
        <v>100380</v>
      </c>
      <c r="F96" s="954">
        <v>100399</v>
      </c>
      <c r="G96" s="925">
        <f t="shared" si="10"/>
        <v>19</v>
      </c>
      <c r="H96" s="926">
        <f>G96+'25'!H96</f>
        <v>-135</v>
      </c>
      <c r="I96" s="945"/>
      <c r="J96" s="928">
        <f>H96/DAY(B2)</f>
        <v>-5.1923076923076925</v>
      </c>
      <c r="K96" s="920"/>
      <c r="L96" s="903"/>
      <c r="O96" s="930"/>
    </row>
    <row r="97" spans="1:15" ht="20.100000000000001" customHeight="1" x14ac:dyDescent="0.35">
      <c r="A97" s="952" t="s">
        <v>222</v>
      </c>
      <c r="B97" s="953"/>
      <c r="C97" s="953"/>
      <c r="D97" s="923" t="s">
        <v>155</v>
      </c>
      <c r="E97" s="924">
        <f>'25'!F97</f>
        <v>95557</v>
      </c>
      <c r="F97" s="954">
        <v>95582</v>
      </c>
      <c r="G97" s="925">
        <f t="shared" si="10"/>
        <v>25</v>
      </c>
      <c r="H97" s="926">
        <f>G97+'25'!H97</f>
        <v>-95</v>
      </c>
      <c r="I97" s="945"/>
      <c r="J97" s="928">
        <f>H97/DAY(B2)</f>
        <v>-3.6538461538461537</v>
      </c>
      <c r="K97" s="1040"/>
      <c r="L97" s="903"/>
      <c r="O97" s="930"/>
    </row>
    <row r="98" spans="1:15" ht="20.100000000000001" customHeight="1" x14ac:dyDescent="0.35">
      <c r="A98" s="952" t="s">
        <v>223</v>
      </c>
      <c r="B98" s="953"/>
      <c r="C98" s="953"/>
      <c r="D98" s="923" t="s">
        <v>155</v>
      </c>
      <c r="E98" s="924">
        <f>'25'!F98</f>
        <v>145172</v>
      </c>
      <c r="F98" s="954">
        <v>145234</v>
      </c>
      <c r="G98" s="925">
        <f t="shared" si="10"/>
        <v>62</v>
      </c>
      <c r="H98" s="926">
        <f>G98+'25'!H98</f>
        <v>-320</v>
      </c>
      <c r="I98" s="945"/>
      <c r="J98" s="928">
        <f>H98/DAY(B2)</f>
        <v>-12.307692307692308</v>
      </c>
      <c r="K98" s="1024"/>
      <c r="L98" s="903"/>
      <c r="O98" s="930"/>
    </row>
    <row r="99" spans="1:15" ht="20.100000000000001" customHeight="1" x14ac:dyDescent="0.35">
      <c r="A99" s="952" t="s">
        <v>224</v>
      </c>
      <c r="B99" s="953"/>
      <c r="C99" s="953"/>
      <c r="D99" s="923" t="s">
        <v>155</v>
      </c>
      <c r="E99" s="924">
        <f>'25'!F99</f>
        <v>5843</v>
      </c>
      <c r="F99" s="954">
        <v>5882</v>
      </c>
      <c r="G99" s="925">
        <f t="shared" si="10"/>
        <v>39</v>
      </c>
      <c r="H99" s="926">
        <f>G99+'25'!H99</f>
        <v>-92</v>
      </c>
      <c r="I99" s="945"/>
      <c r="J99" s="928">
        <f>H99/DAY(B2)</f>
        <v>-3.5384615384615383</v>
      </c>
      <c r="K99" s="1024"/>
      <c r="L99" s="903"/>
      <c r="O99" s="930"/>
    </row>
    <row r="100" spans="1:15" ht="20.100000000000001" customHeight="1" x14ac:dyDescent="0.35">
      <c r="A100" s="952" t="s">
        <v>225</v>
      </c>
      <c r="B100" s="953"/>
      <c r="C100" s="953"/>
      <c r="D100" s="923" t="s">
        <v>155</v>
      </c>
      <c r="E100" s="924">
        <f>'25'!F100</f>
        <v>4195</v>
      </c>
      <c r="F100" s="954">
        <v>4205</v>
      </c>
      <c r="G100" s="925">
        <f t="shared" si="10"/>
        <v>10</v>
      </c>
      <c r="H100" s="926">
        <f>G100+'25'!H100</f>
        <v>-32</v>
      </c>
      <c r="I100" s="945"/>
      <c r="J100" s="928">
        <f>H100/DAY(B2)</f>
        <v>-1.2307692307692308</v>
      </c>
      <c r="K100" s="1024"/>
      <c r="L100" s="903"/>
      <c r="O100" s="930"/>
    </row>
    <row r="101" spans="1:15" ht="20.100000000000001" customHeight="1" x14ac:dyDescent="0.35">
      <c r="A101" s="1538" t="s">
        <v>227</v>
      </c>
      <c r="B101" s="1539"/>
      <c r="C101" s="1540"/>
      <c r="D101" s="957"/>
      <c r="E101" s="957"/>
      <c r="F101" s="957"/>
      <c r="G101" s="1041">
        <f>SUM(G95:G100)</f>
        <v>215</v>
      </c>
      <c r="H101" s="926">
        <f>G101+'25'!H101</f>
        <v>-976</v>
      </c>
      <c r="I101" s="1042"/>
      <c r="J101" s="928">
        <f>H101/DAY(B2)</f>
        <v>-37.53846153846154</v>
      </c>
      <c r="K101" s="1024"/>
      <c r="L101" s="903"/>
      <c r="O101" s="930"/>
    </row>
    <row r="102" spans="1:15" s="975" customFormat="1" ht="25.5" customHeight="1" x14ac:dyDescent="0.25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 x14ac:dyDescent="0.35">
      <c r="A103" s="1546" t="s">
        <v>229</v>
      </c>
      <c r="B103" s="1547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 x14ac:dyDescent="0.35">
      <c r="A104" s="1548" t="s">
        <v>230</v>
      </c>
      <c r="B104" s="1549"/>
      <c r="C104" s="1057"/>
      <c r="D104" s="1053" t="s">
        <v>155</v>
      </c>
      <c r="E104" s="1054">
        <f>'25'!F104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2.8461538461538463</v>
      </c>
      <c r="N104" s="1093"/>
      <c r="O104" s="930"/>
    </row>
    <row r="105" spans="1:15" s="975" customFormat="1" ht="21.75" customHeight="1" x14ac:dyDescent="0.35">
      <c r="A105" s="1548" t="s">
        <v>77</v>
      </c>
      <c r="B105" s="1549"/>
      <c r="C105" s="1057"/>
      <c r="D105" s="1053" t="s">
        <v>155</v>
      </c>
      <c r="E105" s="1054">
        <f>'25'!F105</f>
        <v>35117</v>
      </c>
      <c r="F105" s="1058">
        <v>35124</v>
      </c>
      <c r="G105" s="1054">
        <f t="shared" ref="G105:G106" si="11">F105-E105</f>
        <v>7</v>
      </c>
      <c r="H105" s="1055">
        <f>SUM(G105+'1'!G77)</f>
        <v>55</v>
      </c>
      <c r="I105" s="1054"/>
      <c r="J105" s="1056">
        <f>H105/DAY(B2)</f>
        <v>2.1153846153846154</v>
      </c>
      <c r="N105" s="1093"/>
      <c r="O105" s="930"/>
    </row>
    <row r="106" spans="1:15" s="975" customFormat="1" ht="21.75" customHeight="1" x14ac:dyDescent="0.35">
      <c r="A106" s="1548" t="s">
        <v>78</v>
      </c>
      <c r="B106" s="1550"/>
      <c r="C106" s="1549"/>
      <c r="D106" s="1053" t="s">
        <v>155</v>
      </c>
      <c r="E106" s="1054">
        <f>'25'!F106</f>
        <v>19056</v>
      </c>
      <c r="F106" s="1054">
        <v>19059</v>
      </c>
      <c r="G106" s="1054">
        <f t="shared" si="11"/>
        <v>3</v>
      </c>
      <c r="H106" s="1055">
        <f>SUM(G106+'1'!G78)</f>
        <v>337</v>
      </c>
      <c r="I106" s="1054"/>
      <c r="J106" s="1056">
        <f>H106/DAY(B2)</f>
        <v>12.961538461538462</v>
      </c>
      <c r="N106" s="1093"/>
      <c r="O106" s="930"/>
    </row>
    <row r="107" spans="1:15" s="975" customFormat="1" ht="21.75" customHeight="1" x14ac:dyDescent="0.35">
      <c r="A107" s="1551" t="s">
        <v>213</v>
      </c>
      <c r="B107" s="1552"/>
      <c r="C107" s="1057"/>
      <c r="D107" s="1053"/>
      <c r="E107" s="1054">
        <f>'25'!F107</f>
        <v>0</v>
      </c>
      <c r="F107" s="1054"/>
      <c r="G107" s="1054">
        <f>SUM(G104:G106)</f>
        <v>10</v>
      </c>
      <c r="H107" s="1055">
        <f>SUM(G107+'1'!G79)</f>
        <v>215</v>
      </c>
      <c r="I107" s="1054"/>
      <c r="J107" s="1056">
        <f>H107/DAY(B2)</f>
        <v>8.2692307692307701</v>
      </c>
      <c r="N107" s="1093"/>
      <c r="O107" s="930"/>
    </row>
    <row r="108" spans="1:15" s="975" customFormat="1" ht="21.75" customHeight="1" x14ac:dyDescent="0.35">
      <c r="A108" s="1553" t="s">
        <v>79</v>
      </c>
      <c r="B108" s="1554"/>
      <c r="C108" s="1057"/>
      <c r="D108" s="1053" t="s">
        <v>155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 x14ac:dyDescent="0.35">
      <c r="A109" s="1548" t="s">
        <v>231</v>
      </c>
      <c r="B109" s="1549"/>
      <c r="C109" s="1057"/>
      <c r="D109" s="1053" t="s">
        <v>155</v>
      </c>
      <c r="E109" s="1054">
        <f>'25'!F109</f>
        <v>54355</v>
      </c>
      <c r="F109" s="1054">
        <v>54397</v>
      </c>
      <c r="G109" s="1054">
        <f>F109-E109</f>
        <v>42</v>
      </c>
      <c r="H109" s="1055">
        <f>SUM(G109+'1'!G81)</f>
        <v>118</v>
      </c>
      <c r="I109" s="1054"/>
      <c r="J109" s="1056">
        <f>H109/DAY(B2)</f>
        <v>4.5384615384615383</v>
      </c>
      <c r="N109" s="1093"/>
      <c r="O109" s="930"/>
    </row>
    <row r="110" spans="1:15" s="975" customFormat="1" ht="21.75" customHeight="1" x14ac:dyDescent="0.35">
      <c r="A110" s="1548" t="s">
        <v>232</v>
      </c>
      <c r="B110" s="1549"/>
      <c r="C110" s="1057"/>
      <c r="D110" s="1053" t="s">
        <v>155</v>
      </c>
      <c r="E110" s="1054">
        <f>'25'!F110</f>
        <v>28181</v>
      </c>
      <c r="F110" s="1054">
        <v>28241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4.0384615384615383</v>
      </c>
      <c r="N110" s="1093"/>
      <c r="O110" s="930"/>
    </row>
    <row r="111" spans="1:15" s="975" customFormat="1" ht="21.75" customHeight="1" x14ac:dyDescent="0.35">
      <c r="A111" s="1548" t="s">
        <v>233</v>
      </c>
      <c r="B111" s="1549"/>
      <c r="C111" s="1057"/>
      <c r="D111" s="1053" t="s">
        <v>155</v>
      </c>
      <c r="E111" s="1054">
        <f>'25'!F111</f>
        <v>3721</v>
      </c>
      <c r="F111" s="1054">
        <v>3721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16.653846153846153</v>
      </c>
      <c r="N111" s="1093"/>
      <c r="O111" s="930"/>
    </row>
    <row r="112" spans="1:15" s="975" customFormat="1" ht="21.75" customHeight="1" x14ac:dyDescent="0.35">
      <c r="A112" s="1558" t="s">
        <v>121</v>
      </c>
      <c r="B112" s="1559"/>
      <c r="C112" s="1057"/>
      <c r="D112" s="1053"/>
      <c r="E112" s="1054">
        <f>'25'!F112</f>
        <v>0</v>
      </c>
      <c r="F112" s="1054"/>
      <c r="G112" s="1054">
        <f>SUM(G109:G111)</f>
        <v>102</v>
      </c>
      <c r="H112" s="1055">
        <f>SUM(G112+'1'!G84)</f>
        <v>623</v>
      </c>
      <c r="I112" s="1054"/>
      <c r="J112" s="1056">
        <f>H112/DAY(B2)</f>
        <v>23.96153846153846</v>
      </c>
      <c r="N112" s="1093"/>
      <c r="O112" s="930"/>
    </row>
    <row r="113" spans="1:15" s="975" customFormat="1" ht="21.75" customHeight="1" x14ac:dyDescent="0.35">
      <c r="A113" s="1553" t="s">
        <v>234</v>
      </c>
      <c r="B113" s="1554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 x14ac:dyDescent="0.35">
      <c r="A114" s="1548" t="s">
        <v>235</v>
      </c>
      <c r="B114" s="1549"/>
      <c r="C114" s="1059"/>
      <c r="D114" s="1053" t="s">
        <v>155</v>
      </c>
      <c r="E114" s="1054">
        <f>'25'!F114</f>
        <v>9649</v>
      </c>
      <c r="F114" s="1058">
        <v>9693</v>
      </c>
      <c r="G114" s="1058">
        <f>F114-E114</f>
        <v>44</v>
      </c>
      <c r="H114" s="1055">
        <f>SUM(G114+'1'!G91)</f>
        <v>44</v>
      </c>
      <c r="I114" s="1054"/>
      <c r="J114" s="1056">
        <f>H114/DAY(B2)</f>
        <v>1.6923076923076923</v>
      </c>
      <c r="N114" s="1093"/>
      <c r="O114" s="930"/>
    </row>
    <row r="115" spans="1:15" s="975" customFormat="1" ht="21.75" customHeight="1" x14ac:dyDescent="0.35">
      <c r="A115" s="1548" t="s">
        <v>236</v>
      </c>
      <c r="B115" s="1549"/>
      <c r="C115" s="1059"/>
      <c r="D115" s="1053" t="s">
        <v>155</v>
      </c>
      <c r="E115" s="1054">
        <f>'25'!F115</f>
        <v>7388</v>
      </c>
      <c r="F115" s="1058">
        <v>7398</v>
      </c>
      <c r="G115" s="1058">
        <f t="shared" ref="G115:G116" si="13">F115-E115</f>
        <v>10</v>
      </c>
      <c r="H115" s="1055">
        <f>SUM(G115+'1'!G92)</f>
        <v>97</v>
      </c>
      <c r="I115" s="1054"/>
      <c r="J115" s="1056">
        <f>H115/DAY(B2)</f>
        <v>3.7307692307692308</v>
      </c>
      <c r="N115" s="1093"/>
      <c r="O115" s="930"/>
    </row>
    <row r="116" spans="1:15" s="975" customFormat="1" ht="21.75" customHeight="1" x14ac:dyDescent="0.35">
      <c r="A116" s="1548" t="s">
        <v>237</v>
      </c>
      <c r="B116" s="1549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 x14ac:dyDescent="0.35">
      <c r="A117" s="1551" t="s">
        <v>213</v>
      </c>
      <c r="B117" s="1552"/>
      <c r="C117" s="1059"/>
      <c r="D117" s="1060"/>
      <c r="E117" s="1058"/>
      <c r="F117" s="1058"/>
      <c r="G117" s="1058">
        <f>SUM(G114:G116)</f>
        <v>54</v>
      </c>
      <c r="H117" s="1055">
        <f>SUM(G117+'1'!G95)</f>
        <v>126</v>
      </c>
      <c r="I117" s="1058"/>
      <c r="J117" s="1056">
        <f>H117/DAY(B2)</f>
        <v>4.8461538461538458</v>
      </c>
      <c r="N117" s="1098"/>
      <c r="O117" s="930"/>
    </row>
    <row r="118" spans="1:15" s="851" customFormat="1" x14ac:dyDescent="0.35">
      <c r="A118" s="1562" t="s">
        <v>238</v>
      </c>
      <c r="B118" s="1563"/>
      <c r="C118" s="1062"/>
      <c r="D118" s="1063" t="s">
        <v>155</v>
      </c>
      <c r="E118" s="1064"/>
      <c r="F118" s="1065">
        <f>SUM(G19+G92)</f>
        <v>157</v>
      </c>
      <c r="G118" s="1065">
        <f>SUM(G19+G92)</f>
        <v>157</v>
      </c>
      <c r="H118" s="1055">
        <f>SUM(G118+'1'!G96)</f>
        <v>180</v>
      </c>
      <c r="I118" s="1064"/>
      <c r="J118" s="1066">
        <f>H118/DAY(B2)</f>
        <v>6.9230769230769234</v>
      </c>
      <c r="N118" s="1099"/>
      <c r="O118" s="930"/>
    </row>
    <row r="119" spans="1:15" s="851" customFormat="1" x14ac:dyDescent="0.35">
      <c r="A119" s="1562" t="s">
        <v>239</v>
      </c>
      <c r="B119" s="1563"/>
      <c r="C119" s="1062"/>
      <c r="D119" s="1063" t="s">
        <v>155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9.0769230769230766</v>
      </c>
      <c r="N119" s="1099"/>
      <c r="O119" s="930"/>
    </row>
    <row r="120" spans="1:15" s="851" customFormat="1" x14ac:dyDescent="0.35">
      <c r="A120" s="1562" t="s">
        <v>240</v>
      </c>
      <c r="B120" s="1563"/>
      <c r="C120" s="1062"/>
      <c r="D120" s="1063" t="s">
        <v>155</v>
      </c>
      <c r="E120" s="1064"/>
      <c r="F120" s="1058">
        <f>SUM(G112)</f>
        <v>102</v>
      </c>
      <c r="G120" s="1058">
        <f>SUM(G112)</f>
        <v>102</v>
      </c>
      <c r="H120" s="1055">
        <f>SUM(G120+'1'!G100)</f>
        <v>108</v>
      </c>
      <c r="I120" s="1064"/>
      <c r="J120" s="1066">
        <f>H120/DAY(B2)</f>
        <v>4.1538461538461542</v>
      </c>
      <c r="N120" s="1099"/>
      <c r="O120" s="930"/>
    </row>
    <row r="121" spans="1:15" s="975" customFormat="1" ht="18.75" customHeight="1" x14ac:dyDescent="0.35">
      <c r="A121" s="1560"/>
      <c r="B121" s="156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ht="20.100000000000001" customHeight="1" x14ac:dyDescent="0.35">
      <c r="A122" s="1541" t="s">
        <v>241</v>
      </c>
      <c r="B122" s="1542"/>
      <c r="C122" s="1543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 x14ac:dyDescent="0.35">
      <c r="A123" s="952" t="s">
        <v>242</v>
      </c>
      <c r="B123" s="953"/>
      <c r="C123" s="953"/>
      <c r="D123" s="923" t="s">
        <v>152</v>
      </c>
      <c r="E123" s="924">
        <f>'25'!F123</f>
        <v>801756.21</v>
      </c>
      <c r="F123" s="942">
        <v>802022.35</v>
      </c>
      <c r="G123" s="925">
        <f t="shared" ref="G123:G127" si="14">F123-E123</f>
        <v>266.14000000001397</v>
      </c>
      <c r="H123" s="926">
        <f>G123+'25'!H123</f>
        <v>-1313.0500000000466</v>
      </c>
      <c r="I123" s="1042"/>
      <c r="J123" s="928">
        <f>H123/DAY(B2)</f>
        <v>-50.501923076924868</v>
      </c>
      <c r="K123" s="1024"/>
      <c r="L123" s="903"/>
      <c r="O123" s="930"/>
    </row>
    <row r="124" spans="1:15" ht="22.5" customHeight="1" x14ac:dyDescent="0.35">
      <c r="A124" s="952" t="s">
        <v>243</v>
      </c>
      <c r="B124" s="953"/>
      <c r="C124" s="953"/>
      <c r="D124" s="923" t="s">
        <v>152</v>
      </c>
      <c r="E124" s="924">
        <f>'25'!F124</f>
        <v>73582</v>
      </c>
      <c r="F124" s="1070">
        <v>73582</v>
      </c>
      <c r="G124" s="925">
        <f t="shared" si="14"/>
        <v>0</v>
      </c>
      <c r="H124" s="926">
        <f>G124+'25'!H124</f>
        <v>0</v>
      </c>
      <c r="I124" s="1042"/>
      <c r="J124" s="928">
        <f>H124/DAY(B2)</f>
        <v>0</v>
      </c>
      <c r="K124" s="1024"/>
      <c r="L124" s="903"/>
      <c r="O124" s="930"/>
    </row>
    <row r="125" spans="1:15" ht="22.5" customHeight="1" x14ac:dyDescent="0.35">
      <c r="A125" s="1509" t="s">
        <v>244</v>
      </c>
      <c r="B125" s="1510"/>
      <c r="C125" s="1511"/>
      <c r="D125" s="923" t="s">
        <v>152</v>
      </c>
      <c r="E125" s="924">
        <f>'25'!F125</f>
        <v>137479</v>
      </c>
      <c r="F125" s="942">
        <v>137549.56</v>
      </c>
      <c r="G125" s="925">
        <f t="shared" si="14"/>
        <v>70.559999999997672</v>
      </c>
      <c r="H125" s="926">
        <f>G125+'25'!H125</f>
        <v>-298.44000000000233</v>
      </c>
      <c r="I125" s="1042"/>
      <c r="J125" s="928">
        <f>H125/DAY(B2)</f>
        <v>-11.478461538461628</v>
      </c>
      <c r="K125" s="1024"/>
      <c r="L125" s="903"/>
      <c r="O125" s="930"/>
    </row>
    <row r="126" spans="1:15" ht="20.100000000000001" customHeight="1" x14ac:dyDescent="0.35">
      <c r="A126" s="1071" t="s">
        <v>245</v>
      </c>
      <c r="B126" s="953"/>
      <c r="C126" s="953"/>
      <c r="D126" s="923" t="s">
        <v>152</v>
      </c>
      <c r="E126" s="924">
        <f>'25'!F126</f>
        <v>58214</v>
      </c>
      <c r="F126" s="1070">
        <v>58247</v>
      </c>
      <c r="G126" s="925">
        <f t="shared" si="14"/>
        <v>33</v>
      </c>
      <c r="H126" s="926">
        <f>G126+'25'!H126</f>
        <v>-144.69999999999709</v>
      </c>
      <c r="I126" s="1042"/>
      <c r="J126" s="928">
        <f>H126/DAY(B2)</f>
        <v>-5.5653846153845032</v>
      </c>
      <c r="K126" s="1024"/>
      <c r="L126" s="903"/>
      <c r="O126" s="930"/>
    </row>
    <row r="127" spans="1:15" ht="20.100000000000001" customHeight="1" x14ac:dyDescent="0.35">
      <c r="A127" s="1071" t="s">
        <v>246</v>
      </c>
      <c r="B127" s="953"/>
      <c r="C127" s="953"/>
      <c r="D127" s="923" t="s">
        <v>152</v>
      </c>
      <c r="E127" s="924">
        <f>'25'!F127</f>
        <v>8796.6</v>
      </c>
      <c r="F127" s="1070">
        <v>8800</v>
      </c>
      <c r="G127" s="925">
        <f t="shared" si="14"/>
        <v>3.3999999999996362</v>
      </c>
      <c r="H127" s="926">
        <f>G127+'25'!H127</f>
        <v>-16</v>
      </c>
      <c r="I127" s="945"/>
      <c r="J127" s="928">
        <f>H127/DAY(B2)</f>
        <v>-0.61538461538461542</v>
      </c>
      <c r="K127" s="1024"/>
      <c r="L127" s="903"/>
      <c r="O127" s="930"/>
    </row>
    <row r="128" spans="1:15" ht="21.75" customHeight="1" x14ac:dyDescent="0.3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482.03999999988628</v>
      </c>
      <c r="H128" s="926">
        <f>G128+'25'!H128</f>
        <v>-9165.4000000001215</v>
      </c>
      <c r="I128" s="945"/>
      <c r="J128" s="928">
        <f>H128/DAY(B2)</f>
        <v>-352.51538461538928</v>
      </c>
      <c r="K128" s="1024"/>
      <c r="L128" s="903"/>
      <c r="O128" s="930"/>
    </row>
    <row r="129" spans="1:15" x14ac:dyDescent="0.3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 x14ac:dyDescent="0.35">
      <c r="A130" s="952" t="s">
        <v>249</v>
      </c>
      <c r="B130" s="953"/>
      <c r="C130" s="953"/>
      <c r="D130" s="923" t="s">
        <v>250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 x14ac:dyDescent="0.35">
      <c r="A131" s="952" t="s">
        <v>251</v>
      </c>
      <c r="B131" s="953"/>
      <c r="C131" s="953"/>
      <c r="D131" s="923" t="s">
        <v>250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 x14ac:dyDescent="0.35">
      <c r="A132" s="952" t="s">
        <v>252</v>
      </c>
      <c r="B132" s="953"/>
      <c r="C132" s="953"/>
      <c r="D132" s="923" t="s">
        <v>250</v>
      </c>
      <c r="E132" s="924">
        <f>'25'!F132</f>
        <v>38960.519999999997</v>
      </c>
      <c r="F132" s="1075">
        <v>38984.400000000001</v>
      </c>
      <c r="G132" s="925">
        <f t="shared" si="15"/>
        <v>23.880000000004657</v>
      </c>
      <c r="H132" s="926">
        <f>G132+'25'!H132</f>
        <v>266.00999999999476</v>
      </c>
      <c r="I132" s="945"/>
      <c r="J132" s="928">
        <f>H132/DAY(B2)</f>
        <v>10.231153846153644</v>
      </c>
      <c r="O132" s="930"/>
    </row>
    <row r="133" spans="1:15" x14ac:dyDescent="0.35">
      <c r="A133" s="952" t="s">
        <v>253</v>
      </c>
      <c r="B133" s="953"/>
      <c r="C133" s="953"/>
      <c r="D133" s="923" t="s">
        <v>250</v>
      </c>
      <c r="E133" s="924">
        <f>'25'!F133</f>
        <v>299.01</v>
      </c>
      <c r="F133" s="1075">
        <v>299</v>
      </c>
      <c r="G133" s="925">
        <f t="shared" si="15"/>
        <v>-9.9999999999909051E-3</v>
      </c>
      <c r="H133" s="926">
        <f>G133+'25'!H133</f>
        <v>0</v>
      </c>
      <c r="I133" s="945">
        <f>G130+G131+G132+G133</f>
        <v>23.870000000004666</v>
      </c>
      <c r="J133" s="928">
        <f>H133/DAY(B2)</f>
        <v>0</v>
      </c>
      <c r="O133" s="930"/>
    </row>
    <row r="134" spans="1:15" x14ac:dyDescent="0.35">
      <c r="A134" s="952" t="s">
        <v>254</v>
      </c>
      <c r="B134" s="953"/>
      <c r="C134" s="953"/>
      <c r="D134" s="923" t="s">
        <v>250</v>
      </c>
      <c r="E134" s="924">
        <f>'25'!F134</f>
        <v>39951.050000000003</v>
      </c>
      <c r="F134" s="1075">
        <v>39951</v>
      </c>
      <c r="G134" s="925">
        <f t="shared" si="15"/>
        <v>-5.0000000002910383E-2</v>
      </c>
      <c r="H134" s="926">
        <f>G134+'25'!H134</f>
        <v>23.94999999999709</v>
      </c>
      <c r="I134" s="945"/>
      <c r="J134" s="928">
        <f>H134/DAY(B2)</f>
        <v>0.92115384615373419</v>
      </c>
      <c r="O134" s="930"/>
    </row>
    <row r="135" spans="1:15" x14ac:dyDescent="0.35">
      <c r="A135" s="952" t="s">
        <v>255</v>
      </c>
      <c r="B135" s="953"/>
      <c r="C135" s="953"/>
      <c r="D135" s="923" t="s">
        <v>250</v>
      </c>
      <c r="E135" s="924">
        <f>'25'!F135</f>
        <v>32423</v>
      </c>
      <c r="F135" s="1075">
        <v>32423</v>
      </c>
      <c r="G135" s="925">
        <f t="shared" si="15"/>
        <v>0</v>
      </c>
      <c r="H135" s="926">
        <f>G135+'25'!H135</f>
        <v>13</v>
      </c>
      <c r="I135" s="945"/>
      <c r="J135" s="928">
        <f>H135/DAY(B2)</f>
        <v>0.5</v>
      </c>
      <c r="O135" s="930"/>
    </row>
    <row r="136" spans="1:15" x14ac:dyDescent="0.35">
      <c r="A136" s="952" t="s">
        <v>256</v>
      </c>
      <c r="B136" s="953"/>
      <c r="C136" s="953"/>
      <c r="D136" s="923" t="s">
        <v>250</v>
      </c>
      <c r="E136" s="924">
        <f>'25'!F136</f>
        <v>21961.7</v>
      </c>
      <c r="F136" s="1075">
        <v>21970.38</v>
      </c>
      <c r="G136" s="925">
        <f t="shared" si="15"/>
        <v>8.680000000000291</v>
      </c>
      <c r="H136" s="926">
        <f>G136+'25'!H136</f>
        <v>-31.579999999998108</v>
      </c>
      <c r="I136" s="945">
        <f>G134+G135+G136</f>
        <v>8.6299999999973807</v>
      </c>
      <c r="J136" s="928">
        <f>H136/DAY(B2)</f>
        <v>-1.2146153846153118</v>
      </c>
      <c r="O136" s="930"/>
    </row>
    <row r="137" spans="1:15" x14ac:dyDescent="0.35">
      <c r="A137" s="952" t="s">
        <v>257</v>
      </c>
      <c r="B137" s="953"/>
      <c r="C137" s="953"/>
      <c r="D137" s="923" t="s">
        <v>250</v>
      </c>
      <c r="E137" s="924">
        <f>'25'!F137</f>
        <v>25019.94</v>
      </c>
      <c r="F137" s="1075">
        <v>25019.94</v>
      </c>
      <c r="G137" s="925">
        <f t="shared" si="15"/>
        <v>0</v>
      </c>
      <c r="H137" s="926">
        <f>G137+'25'!H137</f>
        <v>8</v>
      </c>
      <c r="I137" s="945"/>
      <c r="J137" s="928">
        <f>H137/DAY(B2)</f>
        <v>0.30769230769230771</v>
      </c>
      <c r="O137" s="930"/>
    </row>
    <row r="138" spans="1:15" x14ac:dyDescent="0.35">
      <c r="A138" s="952" t="s">
        <v>258</v>
      </c>
      <c r="B138" s="953"/>
      <c r="C138" s="953"/>
      <c r="D138" s="923" t="s">
        <v>250</v>
      </c>
      <c r="E138" s="924">
        <f>'25'!F138</f>
        <v>70059.78</v>
      </c>
      <c r="F138" s="1075">
        <v>70059.78</v>
      </c>
      <c r="G138" s="925">
        <f t="shared" si="15"/>
        <v>0</v>
      </c>
      <c r="H138" s="926">
        <f>G138+'25'!H138</f>
        <v>16.979999999995925</v>
      </c>
      <c r="I138" s="945">
        <f>G137+G138</f>
        <v>0</v>
      </c>
      <c r="J138" s="928">
        <f>H138/DAY(B2)</f>
        <v>0.65307692307676635</v>
      </c>
      <c r="O138" s="930"/>
    </row>
    <row r="139" spans="1:15" x14ac:dyDescent="0.35">
      <c r="A139" s="952" t="s">
        <v>259</v>
      </c>
      <c r="B139" s="953"/>
      <c r="C139" s="953"/>
      <c r="D139" s="923" t="s">
        <v>250</v>
      </c>
      <c r="E139" s="924">
        <f>'25'!F139</f>
        <v>1154.28</v>
      </c>
      <c r="F139" s="954">
        <v>1162.04</v>
      </c>
      <c r="G139" s="925">
        <f t="shared" si="15"/>
        <v>7.7599999999999909</v>
      </c>
      <c r="H139" s="926">
        <f>G139+'25'!H139</f>
        <v>-38.549999999999955</v>
      </c>
      <c r="I139" s="1076"/>
      <c r="J139" s="928">
        <f>H139/DAY(B2)</f>
        <v>-1.482692307692306</v>
      </c>
      <c r="O139" s="930"/>
    </row>
    <row r="140" spans="1:15" x14ac:dyDescent="0.35">
      <c r="A140" s="952" t="s">
        <v>260</v>
      </c>
      <c r="B140" s="953"/>
      <c r="C140" s="953"/>
      <c r="D140" s="923" t="s">
        <v>250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 x14ac:dyDescent="0.35">
      <c r="A141" s="1544" t="s">
        <v>261</v>
      </c>
      <c r="B141" s="1545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 x14ac:dyDescent="0.35">
      <c r="A142" s="1512" t="s">
        <v>262</v>
      </c>
      <c r="B142" s="1513"/>
      <c r="C142" s="1514"/>
      <c r="D142" s="923" t="s">
        <v>143</v>
      </c>
      <c r="E142" s="923"/>
      <c r="F142" s="923"/>
      <c r="G142" s="926">
        <f>G35+G43+G49+G57</f>
        <v>5526.9299999999348</v>
      </c>
      <c r="H142" s="926">
        <f>G142+'25'!H142</f>
        <v>-28748.549999999988</v>
      </c>
      <c r="I142" s="945"/>
      <c r="J142" s="928">
        <f>H142/DAY(B2)</f>
        <v>-1105.7134615384612</v>
      </c>
      <c r="K142" s="1024"/>
      <c r="L142" s="903"/>
      <c r="O142" s="930"/>
    </row>
    <row r="143" spans="1:15" x14ac:dyDescent="0.35">
      <c r="A143" s="1512" t="s">
        <v>263</v>
      </c>
      <c r="B143" s="1513"/>
      <c r="C143" s="1514"/>
      <c r="D143" s="923" t="s">
        <v>24</v>
      </c>
      <c r="E143" s="910"/>
      <c r="F143" s="910"/>
      <c r="G143" s="1077">
        <f>G142/G7</f>
        <v>0.29092167596588769</v>
      </c>
      <c r="H143" s="926">
        <f>G143+'25'!H143</f>
        <v>6.6046642786115202</v>
      </c>
      <c r="I143" s="1078"/>
      <c r="J143" s="928">
        <f>H143/DAY(B2)</f>
        <v>0.25402554917736614</v>
      </c>
      <c r="K143" s="1024"/>
      <c r="L143" s="903"/>
      <c r="O143" s="930"/>
    </row>
    <row r="144" spans="1:15" x14ac:dyDescent="0.35">
      <c r="A144" s="1512" t="s">
        <v>264</v>
      </c>
      <c r="B144" s="1513"/>
      <c r="C144" s="1514"/>
      <c r="D144" s="923" t="s">
        <v>143</v>
      </c>
      <c r="E144" s="924"/>
      <c r="F144" s="924"/>
      <c r="G144" s="926">
        <f>G41+G42+G55+G56</f>
        <v>3760.380000000001</v>
      </c>
      <c r="H144" s="926">
        <f>G144+'25'!H144</f>
        <v>-18324.790000000019</v>
      </c>
      <c r="I144" s="945"/>
      <c r="J144" s="928">
        <f>H144/DAY(B2)</f>
        <v>-704.79961538461612</v>
      </c>
      <c r="K144" s="1024"/>
      <c r="L144" s="903"/>
      <c r="O144" s="930"/>
    </row>
    <row r="145" spans="1:15" ht="20.100000000000001" customHeight="1" x14ac:dyDescent="0.35">
      <c r="A145" s="1512" t="s">
        <v>265</v>
      </c>
      <c r="B145" s="1513"/>
      <c r="C145" s="1514"/>
      <c r="D145" s="923" t="s">
        <v>24</v>
      </c>
      <c r="E145" s="924"/>
      <c r="F145" s="924"/>
      <c r="G145" s="1077">
        <f>G144/G7</f>
        <v>0.19793557216549115</v>
      </c>
      <c r="H145" s="926">
        <f>G145+'25'!H145</f>
        <v>5.618381702969832</v>
      </c>
      <c r="I145" s="1078"/>
      <c r="J145" s="928">
        <f>H145/DAY(B2)</f>
        <v>0.21609160396037816</v>
      </c>
      <c r="K145" s="1024"/>
      <c r="L145" s="903"/>
      <c r="O145" s="930"/>
    </row>
    <row r="146" spans="1:15" ht="20.100000000000001" customHeight="1" x14ac:dyDescent="0.35">
      <c r="A146" s="1512" t="s">
        <v>266</v>
      </c>
      <c r="B146" s="1513"/>
      <c r="C146" s="1514"/>
      <c r="D146" s="923" t="s">
        <v>143</v>
      </c>
      <c r="E146" s="924"/>
      <c r="F146" s="924"/>
      <c r="G146" s="926">
        <f>G39+G53</f>
        <v>4151.8499999999767</v>
      </c>
      <c r="H146" s="926">
        <f>G146+'25'!H146</f>
        <v>891675.58</v>
      </c>
      <c r="I146" s="1079"/>
      <c r="J146" s="928">
        <f>H146/DAY(B2)</f>
        <v>34295.214615384612</v>
      </c>
      <c r="K146" s="1024"/>
      <c r="L146" s="903"/>
      <c r="O146" s="930"/>
    </row>
    <row r="147" spans="1:15" ht="20.100000000000001" customHeight="1" x14ac:dyDescent="0.35">
      <c r="A147" s="1512" t="s">
        <v>267</v>
      </c>
      <c r="B147" s="1513"/>
      <c r="C147" s="1514"/>
      <c r="D147" s="923" t="s">
        <v>24</v>
      </c>
      <c r="E147" s="924"/>
      <c r="F147" s="924"/>
      <c r="G147" s="1077">
        <f>G146/G7</f>
        <v>0.21854142541320015</v>
      </c>
      <c r="H147" s="926">
        <f>G147+'25'!H147</f>
        <v>4.1137230313231026</v>
      </c>
      <c r="I147" s="1079"/>
      <c r="J147" s="928">
        <f>H147/DAY(B2)</f>
        <v>0.15822011658935009</v>
      </c>
      <c r="O147" s="930"/>
    </row>
    <row r="148" spans="1:15" ht="20.100000000000001" customHeight="1" x14ac:dyDescent="0.35">
      <c r="A148" s="1512" t="s">
        <v>268</v>
      </c>
      <c r="B148" s="1513"/>
      <c r="C148" s="1514"/>
      <c r="D148" s="923" t="s">
        <v>194</v>
      </c>
      <c r="E148" s="924"/>
      <c r="F148" s="924"/>
      <c r="G148" s="926">
        <f>G38+G52</f>
        <v>1906.7399999999907</v>
      </c>
      <c r="H148" s="926">
        <f>G148+'25'!H148</f>
        <v>141156.08000000002</v>
      </c>
      <c r="I148" s="945"/>
      <c r="J148" s="928">
        <f>H148/DAY(B2)</f>
        <v>5429.0800000000008</v>
      </c>
      <c r="K148" s="1080"/>
      <c r="O148" s="930"/>
    </row>
    <row r="149" spans="1:15" ht="20.100000000000001" customHeight="1" x14ac:dyDescent="0.35">
      <c r="A149" s="1512" t="s">
        <v>269</v>
      </c>
      <c r="B149" s="1513"/>
      <c r="C149" s="1514"/>
      <c r="D149" s="923" t="s">
        <v>24</v>
      </c>
      <c r="E149" s="924"/>
      <c r="F149" s="924"/>
      <c r="G149" s="1077">
        <f>G148/G7</f>
        <v>0.10036530161069537</v>
      </c>
      <c r="H149" s="926">
        <f>G149+'25'!H149</f>
        <v>2.4538894698140723</v>
      </c>
      <c r="I149" s="1079"/>
      <c r="J149" s="928">
        <f>H149/DAY(B2)</f>
        <v>9.438036422361816E-2</v>
      </c>
      <c r="O149" s="930"/>
    </row>
    <row r="150" spans="1:15" ht="20.100000000000001" customHeight="1" x14ac:dyDescent="0.35">
      <c r="A150" s="1512" t="s">
        <v>270</v>
      </c>
      <c r="B150" s="1513"/>
      <c r="C150" s="1514"/>
      <c r="D150" s="923" t="s">
        <v>194</v>
      </c>
      <c r="E150" s="924"/>
      <c r="F150" s="924"/>
      <c r="G150" s="926">
        <f>G36+G50</f>
        <v>1686.0400000000373</v>
      </c>
      <c r="H150" s="926">
        <f>G150+'25'!H150</f>
        <v>-8802.0499999999884</v>
      </c>
      <c r="I150" s="1079"/>
      <c r="J150" s="928">
        <f>H150/DAY(B2)</f>
        <v>-338.54038461538414</v>
      </c>
      <c r="O150" s="930"/>
    </row>
    <row r="151" spans="1:15" ht="20.100000000000001" customHeight="1" x14ac:dyDescent="0.35">
      <c r="A151" s="1512" t="s">
        <v>271</v>
      </c>
      <c r="B151" s="1513"/>
      <c r="C151" s="1514"/>
      <c r="D151" s="923" t="s">
        <v>24</v>
      </c>
      <c r="E151" s="924"/>
      <c r="F151" s="924"/>
      <c r="G151" s="1077">
        <f>G150/G7</f>
        <v>8.874828929361181E-2</v>
      </c>
      <c r="H151" s="926">
        <f>G151+'25'!H151</f>
        <v>2.5092275782508819</v>
      </c>
      <c r="I151" s="945"/>
      <c r="J151" s="928">
        <f>H151/DAY(B2)</f>
        <v>9.6508753009649312E-2</v>
      </c>
      <c r="O151" s="930"/>
    </row>
    <row r="152" spans="1:15" ht="20.100000000000001" customHeight="1" x14ac:dyDescent="0.35">
      <c r="A152" s="1512" t="s">
        <v>272</v>
      </c>
      <c r="B152" s="1513"/>
      <c r="C152" s="1514"/>
      <c r="D152" s="923" t="s">
        <v>194</v>
      </c>
      <c r="E152" s="924"/>
      <c r="F152" s="924"/>
      <c r="G152" s="926">
        <f>G37+G51</f>
        <v>1422.1199999999953</v>
      </c>
      <c r="H152" s="926">
        <f>G152+'25'!H152</f>
        <v>407556.25999999995</v>
      </c>
      <c r="I152" s="945"/>
      <c r="J152" s="928">
        <f>H152/DAY(B2)</f>
        <v>15675.240769230768</v>
      </c>
      <c r="O152" s="930"/>
    </row>
    <row r="153" spans="1:15" ht="20.100000000000001" customHeight="1" thickBot="1" x14ac:dyDescent="0.4">
      <c r="A153" s="1555" t="s">
        <v>273</v>
      </c>
      <c r="B153" s="1556"/>
      <c r="C153" s="1557"/>
      <c r="D153" s="1081" t="s">
        <v>24</v>
      </c>
      <c r="E153" s="1082"/>
      <c r="F153" s="1082"/>
      <c r="G153" s="1083">
        <f>G152/G7</f>
        <v>7.485630066322746E-2</v>
      </c>
      <c r="H153" s="926">
        <f>G153+'25'!H153</f>
        <v>1.3048539623473772</v>
      </c>
      <c r="I153" s="1084"/>
      <c r="J153" s="1085">
        <f>H153/DAY(B2)</f>
        <v>5.0186690859514507E-2</v>
      </c>
      <c r="O153" s="930"/>
    </row>
    <row r="154" spans="1:15" ht="44.25" customHeight="1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 x14ac:dyDescent="0.35"/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>
      <c r="A160" s="1076" t="s">
        <v>274</v>
      </c>
      <c r="B160" s="1076"/>
      <c r="C160" s="1076"/>
      <c r="D160" s="910" t="s">
        <v>198</v>
      </c>
      <c r="E160" s="924">
        <f>'25'!F160</f>
        <v>27943.41</v>
      </c>
      <c r="F160" s="1101">
        <v>28023.95</v>
      </c>
      <c r="G160" s="925">
        <f t="shared" ref="G160:G163" si="16">F160-E160</f>
        <v>80.540000000000873</v>
      </c>
    </row>
    <row r="161" spans="1:7" ht="21.75" customHeight="1" x14ac:dyDescent="0.35">
      <c r="A161" s="1076" t="s">
        <v>275</v>
      </c>
      <c r="B161" s="1076"/>
      <c r="C161" s="1076"/>
      <c r="D161" s="910" t="s">
        <v>198</v>
      </c>
      <c r="E161" s="924">
        <f>'25'!F161</f>
        <v>39928</v>
      </c>
      <c r="F161" s="1101">
        <v>40378</v>
      </c>
      <c r="G161" s="925">
        <f t="shared" si="16"/>
        <v>450</v>
      </c>
    </row>
    <row r="162" spans="1:7" ht="21.75" customHeight="1" x14ac:dyDescent="0.35">
      <c r="A162" s="1076" t="s">
        <v>276</v>
      </c>
      <c r="B162" s="1076"/>
      <c r="C162" s="1076"/>
      <c r="D162" s="910" t="s">
        <v>198</v>
      </c>
      <c r="E162" s="924">
        <f>'25'!F162</f>
        <v>11421.65</v>
      </c>
      <c r="F162" s="1101">
        <v>11645</v>
      </c>
      <c r="G162" s="925">
        <f t="shared" si="16"/>
        <v>223.35000000000036</v>
      </c>
    </row>
    <row r="163" spans="1:7" ht="21.75" customHeight="1" x14ac:dyDescent="0.35">
      <c r="A163" s="1076" t="s">
        <v>277</v>
      </c>
      <c r="B163" s="1076"/>
      <c r="C163" s="1076"/>
      <c r="D163" s="910" t="s">
        <v>198</v>
      </c>
      <c r="E163" s="924">
        <f>'25'!F163</f>
        <v>4876.8500000000004</v>
      </c>
      <c r="F163" s="1101">
        <v>4903.9799999999996</v>
      </c>
      <c r="G163" s="925">
        <f t="shared" si="16"/>
        <v>27.1299999999992</v>
      </c>
    </row>
    <row r="164" spans="1:7" ht="21.75" customHeight="1" x14ac:dyDescent="0.35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 x14ac:dyDescent="0.35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1264.31</v>
      </c>
      <c r="F165" s="1007">
        <f t="shared" ref="F165:F171" si="19">F63</f>
        <v>1273.71</v>
      </c>
      <c r="G165" s="925">
        <f t="shared" si="17"/>
        <v>9.4000000000000909</v>
      </c>
    </row>
    <row r="166" spans="1:7" ht="21.75" customHeight="1" x14ac:dyDescent="0.35">
      <c r="A166" s="1564" t="s">
        <v>107</v>
      </c>
      <c r="B166" s="1564"/>
      <c r="C166" s="1564"/>
      <c r="D166" s="923" t="s">
        <v>198</v>
      </c>
      <c r="E166" s="1007">
        <f t="shared" si="18"/>
        <v>108728</v>
      </c>
      <c r="F166" s="1007">
        <f t="shared" si="19"/>
        <v>109117</v>
      </c>
      <c r="G166" s="925">
        <f t="shared" si="17"/>
        <v>389</v>
      </c>
    </row>
    <row r="167" spans="1:7" ht="21.75" customHeight="1" x14ac:dyDescent="0.35">
      <c r="A167" s="1564" t="s">
        <v>108</v>
      </c>
      <c r="B167" s="1564"/>
      <c r="C167" s="1564"/>
      <c r="D167" s="923" t="s">
        <v>198</v>
      </c>
      <c r="E167" s="1007">
        <f t="shared" si="18"/>
        <v>119368</v>
      </c>
      <c r="F167" s="1007">
        <f t="shared" si="19"/>
        <v>119779.76</v>
      </c>
      <c r="G167" s="925">
        <f t="shared" si="17"/>
        <v>411.75999999999476</v>
      </c>
    </row>
    <row r="168" spans="1:7" ht="21.75" customHeight="1" x14ac:dyDescent="0.35">
      <c r="A168" s="1564" t="s">
        <v>109</v>
      </c>
      <c r="B168" s="1564"/>
      <c r="C168" s="1564"/>
      <c r="D168" s="923" t="s">
        <v>198</v>
      </c>
      <c r="E168" s="1007">
        <f t="shared" si="18"/>
        <v>11656.69</v>
      </c>
      <c r="F168" s="1007">
        <f t="shared" si="19"/>
        <v>12070.5</v>
      </c>
      <c r="G168" s="925">
        <f t="shared" si="17"/>
        <v>413.80999999999949</v>
      </c>
    </row>
    <row r="169" spans="1:7" ht="21.75" customHeight="1" x14ac:dyDescent="0.35">
      <c r="A169" s="1564" t="s">
        <v>110</v>
      </c>
      <c r="B169" s="1564"/>
      <c r="C169" s="1564"/>
      <c r="D169" s="923" t="s">
        <v>198</v>
      </c>
      <c r="E169" s="1007">
        <f t="shared" si="18"/>
        <v>184645</v>
      </c>
      <c r="F169" s="1007">
        <f t="shared" si="19"/>
        <v>185312.69</v>
      </c>
      <c r="G169" s="925">
        <f t="shared" si="17"/>
        <v>667.69000000000233</v>
      </c>
    </row>
    <row r="170" spans="1:7" ht="24" customHeight="1" x14ac:dyDescent="0.35">
      <c r="A170" s="1564" t="s">
        <v>111</v>
      </c>
      <c r="B170" s="1564"/>
      <c r="C170" s="1564"/>
      <c r="D170" s="923" t="s">
        <v>198</v>
      </c>
      <c r="E170" s="1007">
        <f t="shared" si="18"/>
        <v>61404.85</v>
      </c>
      <c r="F170" s="1007">
        <f t="shared" si="19"/>
        <v>61723.94</v>
      </c>
      <c r="G170" s="925">
        <f t="shared" si="17"/>
        <v>319.09000000000378</v>
      </c>
    </row>
    <row r="171" spans="1:7" x14ac:dyDescent="0.35">
      <c r="A171" s="1564" t="s">
        <v>112</v>
      </c>
      <c r="B171" s="1564"/>
      <c r="C171" s="1564"/>
      <c r="D171" s="923" t="s">
        <v>198</v>
      </c>
      <c r="E171" s="1007">
        <f t="shared" si="18"/>
        <v>53853</v>
      </c>
      <c r="F171" s="1007">
        <f t="shared" si="19"/>
        <v>54165</v>
      </c>
      <c r="G171" s="925">
        <f t="shared" si="17"/>
        <v>312</v>
      </c>
    </row>
    <row r="172" spans="1:7" x14ac:dyDescent="0.35">
      <c r="G172" s="1091">
        <f>SUM(G160:G171)</f>
        <v>3303.7700000000009</v>
      </c>
    </row>
    <row r="176" spans="1:7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4" s="281" customFormat="1" ht="27" x14ac:dyDescent="0.5">
      <c r="A2" s="652" t="s">
        <v>326</v>
      </c>
      <c r="B2" s="1165">
        <v>43857</v>
      </c>
      <c r="C2" s="1233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 x14ac:dyDescent="0.5">
      <c r="A3" s="647"/>
      <c r="B3" s="691"/>
      <c r="C3" s="1233" t="s">
        <v>131</v>
      </c>
      <c r="D3" s="689">
        <v>22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4" s="281" customFormat="1" ht="27" x14ac:dyDescent="0.5">
      <c r="A4" s="653"/>
      <c r="B4" s="693"/>
      <c r="C4" s="1233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-75483</v>
      </c>
      <c r="I7" s="761">
        <f>'1'!I7</f>
        <v>12000</v>
      </c>
      <c r="J7" s="762">
        <f>H7/DAY(B2)</f>
        <v>-2795.6666666666665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 x14ac:dyDescent="0.45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-76239</v>
      </c>
      <c r="I8" s="767">
        <f>'1'!I8</f>
        <v>12000</v>
      </c>
      <c r="J8" s="762">
        <f>H8/DAY(B2)</f>
        <v>-2823.6666666666665</v>
      </c>
      <c r="K8" s="626"/>
      <c r="L8" s="464"/>
      <c r="M8" s="479"/>
      <c r="N8" s="784"/>
    </row>
    <row r="9" spans="1:14" x14ac:dyDescent="0.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2547189.25</v>
      </c>
      <c r="I9" s="771">
        <f>I8-J8</f>
        <v>14823.666666666666</v>
      </c>
      <c r="J9" s="762">
        <f>H9/DAY(B2)</f>
        <v>94340.342592592599</v>
      </c>
      <c r="K9" s="467"/>
      <c r="L9" s="408"/>
      <c r="N9" s="413"/>
    </row>
    <row r="10" spans="1:14" x14ac:dyDescent="0.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-47863.399999999907</v>
      </c>
      <c r="I10" s="772"/>
      <c r="J10" s="762">
        <f>H10/DAY(B2)</f>
        <v>-1772.7185185185151</v>
      </c>
      <c r="K10" s="467"/>
      <c r="L10" s="408"/>
      <c r="N10" s="413"/>
    </row>
    <row r="11" spans="1:14" x14ac:dyDescent="0.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 x14ac:dyDescent="0.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 x14ac:dyDescent="0.5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2481019.8500000006</v>
      </c>
      <c r="I13" s="776">
        <f>G7-G13</f>
        <v>668</v>
      </c>
      <c r="J13" s="762">
        <f>H13/DAY(B2)</f>
        <v>91889.62407407409</v>
      </c>
      <c r="K13" s="467"/>
      <c r="L13" s="408"/>
      <c r="N13" s="413"/>
    </row>
    <row r="14" spans="1:14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 x14ac:dyDescent="0.5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-2797.2099999999627</v>
      </c>
      <c r="I15" s="752">
        <v>800</v>
      </c>
      <c r="J15" s="753">
        <f>H15/DAY(B2)</f>
        <v>-103.60037037036899</v>
      </c>
      <c r="K15" s="467"/>
      <c r="L15" s="408"/>
      <c r="N15" s="413"/>
    </row>
    <row r="16" spans="1:14" x14ac:dyDescent="0.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903.60037037036898</v>
      </c>
      <c r="J16" s="753"/>
      <c r="K16" s="467"/>
      <c r="L16" s="408"/>
      <c r="N16" s="413"/>
    </row>
    <row r="17" spans="1:14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43" t="s">
        <v>154</v>
      </c>
      <c r="B18" s="1444"/>
      <c r="C18" s="1445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4250</v>
      </c>
      <c r="I18" s="761">
        <f>'1'!I18</f>
        <v>65</v>
      </c>
      <c r="J18" s="762">
        <f>H18/DAY(B2)</f>
        <v>157.40740740740742</v>
      </c>
      <c r="K18" s="467"/>
      <c r="L18" s="408"/>
      <c r="N18" s="413"/>
    </row>
    <row r="19" spans="1:14" ht="27.75" x14ac:dyDescent="0.5">
      <c r="A19" s="1443" t="s">
        <v>71</v>
      </c>
      <c r="B19" s="1444"/>
      <c r="C19" s="1445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-209</v>
      </c>
      <c r="I19" s="777"/>
      <c r="J19" s="762">
        <f>H19/DAY(B2)</f>
        <v>-7.7407407407407405</v>
      </c>
      <c r="K19" s="467"/>
      <c r="L19" s="408"/>
      <c r="N19" s="413"/>
    </row>
    <row r="20" spans="1:14" x14ac:dyDescent="0.5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4041</v>
      </c>
      <c r="I20" s="779">
        <f>I18-J20</f>
        <v>-84.666666666666657</v>
      </c>
      <c r="J20" s="762">
        <f>H20/DAY(B2)</f>
        <v>149.66666666666666</v>
      </c>
      <c r="K20" s="467"/>
      <c r="L20" s="408"/>
      <c r="N20" s="413"/>
    </row>
    <row r="21" spans="1:14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1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 x14ac:dyDescent="0.5">
      <c r="A23" s="1231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 x14ac:dyDescent="0.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-686151</v>
      </c>
      <c r="I27" s="579"/>
      <c r="J27" s="629">
        <f>H27/DAY(B2)</f>
        <v>-25413</v>
      </c>
      <c r="K27" s="404"/>
      <c r="L27" s="484"/>
      <c r="N27" s="413"/>
    </row>
    <row r="28" spans="1:14" s="481" customFormat="1" ht="27.75" x14ac:dyDescent="0.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43.5</v>
      </c>
      <c r="G28" s="578">
        <f>E28*F28</f>
        <v>36711.389999997569</v>
      </c>
      <c r="H28" s="536">
        <f>G28+'26'!H28</f>
        <v>-121678.63499999838</v>
      </c>
      <c r="I28" s="581"/>
      <c r="J28" s="629">
        <f>H28/DAY(B2)</f>
        <v>-4506.6161111110514</v>
      </c>
      <c r="K28" s="404"/>
      <c r="L28" s="484"/>
      <c r="N28" s="413"/>
    </row>
    <row r="29" spans="1:14" s="481" customFormat="1" ht="27.75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 x14ac:dyDescent="0.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-28006</v>
      </c>
      <c r="I30" s="581"/>
      <c r="J30" s="629">
        <f>H30/DAY(B2)</f>
        <v>-1037.2592592592594</v>
      </c>
      <c r="K30" s="404"/>
      <c r="L30" s="484"/>
      <c r="N30" s="413"/>
    </row>
    <row r="31" spans="1:14" s="481" customFormat="1" ht="27.75" x14ac:dyDescent="0.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340000</v>
      </c>
      <c r="I31" s="581"/>
      <c r="J31" s="629"/>
      <c r="K31" s="404"/>
      <c r="L31" s="484"/>
      <c r="N31" s="413"/>
    </row>
    <row r="32" spans="1:14" s="481" customFormat="1" ht="27.75" x14ac:dyDescent="0.5">
      <c r="A32" s="672" t="s">
        <v>172</v>
      </c>
      <c r="B32" s="673"/>
      <c r="C32" s="674"/>
      <c r="D32" s="583"/>
      <c r="E32" s="583"/>
      <c r="F32" s="600"/>
      <c r="G32" s="584">
        <f>G27+G28+G29+G30+G31</f>
        <v>223728.38999999757</v>
      </c>
      <c r="H32" s="536">
        <f>G32+'26'!H32</f>
        <v>-333685.63499999791</v>
      </c>
      <c r="I32" s="585"/>
      <c r="J32" s="629">
        <f>H32/DAY(B2)</f>
        <v>-12358.727222222145</v>
      </c>
      <c r="K32" s="404"/>
      <c r="L32" s="484"/>
      <c r="N32" s="413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13"/>
    </row>
    <row r="34" spans="1:14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</v>
      </c>
      <c r="I35" s="531"/>
      <c r="J35" s="629">
        <f>H35/DAY(B2)</f>
        <v>0</v>
      </c>
      <c r="K35" s="467"/>
      <c r="L35" s="408"/>
      <c r="N35" s="413"/>
    </row>
    <row r="36" spans="1:14" x14ac:dyDescent="0.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-2440.7200000000303</v>
      </c>
      <c r="I36" s="531"/>
      <c r="J36" s="629">
        <f>H36/DAY(B2)</f>
        <v>-90.39703703703816</v>
      </c>
      <c r="K36" s="467"/>
      <c r="L36" s="408"/>
      <c r="N36" s="705"/>
    </row>
    <row r="37" spans="1:14" x14ac:dyDescent="0.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415066</v>
      </c>
      <c r="I37" s="531"/>
      <c r="J37" s="629">
        <f>H37/DAY(B2)</f>
        <v>15372.814814814816</v>
      </c>
      <c r="K37" s="467"/>
      <c r="L37" s="408"/>
      <c r="N37" s="706"/>
    </row>
    <row r="38" spans="1:14" x14ac:dyDescent="0.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150616.12</v>
      </c>
      <c r="I38" s="531"/>
      <c r="J38" s="629">
        <f>H38/DAY(B2)</f>
        <v>5578.3748148148143</v>
      </c>
      <c r="K38" s="467"/>
      <c r="L38" s="408"/>
      <c r="N38" s="413"/>
    </row>
    <row r="39" spans="1:14" x14ac:dyDescent="0.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912480</v>
      </c>
      <c r="I39" s="531"/>
      <c r="J39" s="629">
        <f>H39/DAY(B2)</f>
        <v>33795.555555555555</v>
      </c>
      <c r="K39" s="467"/>
      <c r="L39" s="408"/>
      <c r="N39" s="413"/>
    </row>
    <row r="40" spans="1:14" x14ac:dyDescent="0.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 x14ac:dyDescent="0.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-14659.519999999997</v>
      </c>
      <c r="I41" s="531"/>
      <c r="J41" s="629">
        <f>H41/DAY(B2)</f>
        <v>-542.9451851851851</v>
      </c>
      <c r="K41" s="467"/>
      <c r="L41" s="408"/>
      <c r="N41" s="413"/>
    </row>
    <row r="42" spans="1:14" x14ac:dyDescent="0.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-9298.9600000000792</v>
      </c>
      <c r="I43" s="531"/>
      <c r="J43" s="629">
        <f>H43/DAY(B2)</f>
        <v>-344.40592592592884</v>
      </c>
      <c r="K43" s="467"/>
      <c r="L43" s="408"/>
      <c r="N43" s="413"/>
    </row>
    <row r="44" spans="1:14" x14ac:dyDescent="0.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 x14ac:dyDescent="0.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1451761.89</v>
      </c>
      <c r="I47" s="531"/>
      <c r="J47" s="629">
        <f>H47/DAY(B2)</f>
        <v>53768.958888888883</v>
      </c>
      <c r="K47" s="467"/>
      <c r="L47" s="408"/>
      <c r="N47" s="413"/>
    </row>
    <row r="48" spans="1:14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-12244.599999999977</v>
      </c>
      <c r="I49" s="531"/>
      <c r="J49" s="629">
        <f>H49/DAY(B2)</f>
        <v>-453.50370370370285</v>
      </c>
      <c r="K49" s="467"/>
      <c r="L49" s="408"/>
      <c r="N49" s="413"/>
    </row>
    <row r="50" spans="1:14" x14ac:dyDescent="0.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-5750.3099999999977</v>
      </c>
      <c r="I50" s="531"/>
      <c r="J50" s="629">
        <f>H50/DAY(B2)</f>
        <v>-212.97444444444434</v>
      </c>
      <c r="K50" s="467"/>
      <c r="L50" s="408"/>
      <c r="N50" s="413"/>
    </row>
    <row r="51" spans="1:14" x14ac:dyDescent="0.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-6073.2000000000116</v>
      </c>
      <c r="I51" s="531"/>
      <c r="J51" s="629">
        <f>H51/DAY(B2)</f>
        <v>-224.93333333333376</v>
      </c>
      <c r="K51" s="467"/>
      <c r="L51" s="408"/>
      <c r="N51" s="413"/>
    </row>
    <row r="52" spans="1:14" x14ac:dyDescent="0.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-7695.8800000000047</v>
      </c>
      <c r="I52" s="531"/>
      <c r="J52" s="629">
        <f>H52/DAY(B2)</f>
        <v>-285.03259259259278</v>
      </c>
      <c r="K52" s="467"/>
      <c r="L52" s="408"/>
      <c r="N52" s="413"/>
    </row>
    <row r="53" spans="1:14" x14ac:dyDescent="0.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-16724.270000000019</v>
      </c>
      <c r="I53" s="531"/>
      <c r="J53" s="629">
        <f>H53/DAY(B2)</f>
        <v>-619.41740740740806</v>
      </c>
      <c r="K53" s="467"/>
      <c r="L53" s="408"/>
      <c r="N53" s="413"/>
    </row>
    <row r="54" spans="1:14" x14ac:dyDescent="0.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-262.25</v>
      </c>
      <c r="I54" s="531"/>
      <c r="J54" s="629">
        <f>H54/DAY(B2)</f>
        <v>-9.7129629629629637</v>
      </c>
      <c r="K54" s="467"/>
      <c r="L54" s="408"/>
      <c r="N54" s="413"/>
    </row>
    <row r="55" spans="1:14" x14ac:dyDescent="0.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787">
        <f>G55+'26'!H55</f>
        <v>-3867.4000000000015</v>
      </c>
      <c r="I55" s="788"/>
      <c r="J55" s="789">
        <f>H55/DAY(B2)</f>
        <v>-143.23703703703708</v>
      </c>
      <c r="K55" s="467"/>
      <c r="L55" s="408"/>
      <c r="N55" s="413"/>
    </row>
    <row r="56" spans="1:14" x14ac:dyDescent="0.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-1.7600000000093132</v>
      </c>
      <c r="I56" s="531"/>
      <c r="J56" s="629">
        <f>H56/DAY(B2)</f>
        <v>-6.5185185185530126E-2</v>
      </c>
      <c r="K56" s="466"/>
      <c r="L56" s="408"/>
      <c r="N56" s="413"/>
    </row>
    <row r="57" spans="1:14" x14ac:dyDescent="0.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 x14ac:dyDescent="0.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-691.53999999999724</v>
      </c>
      <c r="I58" s="531"/>
      <c r="J58" s="629">
        <f>H58/DAY(B2)</f>
        <v>-25.612592592592492</v>
      </c>
      <c r="K58" s="467"/>
      <c r="L58" s="408"/>
      <c r="N58" s="413"/>
    </row>
    <row r="59" spans="1:14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-53311.209999999934</v>
      </c>
      <c r="I59" s="531">
        <f>G7-G60</f>
        <v>300.9000000000633</v>
      </c>
      <c r="J59" s="629">
        <f>H59/DAY(B2)</f>
        <v>-1974.4892592592569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1403630.87</v>
      </c>
      <c r="I60" s="531">
        <f>G13-G60</f>
        <v>-367.0999999999367</v>
      </c>
      <c r="J60" s="629">
        <f>H60/DAY(B2)</f>
        <v>51986.328518518523</v>
      </c>
      <c r="K60" s="467"/>
      <c r="L60" s="408"/>
      <c r="N60" s="413"/>
    </row>
    <row r="61" spans="1:14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-49.529999999999973</v>
      </c>
      <c r="I63" s="591"/>
      <c r="J63" s="629">
        <f>H63/DAY(B2)</f>
        <v>-1.8344444444444434</v>
      </c>
      <c r="K63" s="467"/>
      <c r="L63" s="408"/>
      <c r="N63" s="413"/>
    </row>
    <row r="64" spans="1:14" ht="27.75" x14ac:dyDescent="0.5">
      <c r="A64" s="1387" t="s">
        <v>107</v>
      </c>
      <c r="B64" s="1388"/>
      <c r="C64" s="1389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-1730.6700000000128</v>
      </c>
      <c r="I64" s="556"/>
      <c r="J64" s="629">
        <f>H64/DAY(B2)</f>
        <v>-64.098888888889363</v>
      </c>
      <c r="K64" s="467"/>
      <c r="L64" s="408"/>
      <c r="N64" s="413"/>
    </row>
    <row r="65" spans="1:14" ht="27.75" x14ac:dyDescent="0.5">
      <c r="A65" s="1387" t="s">
        <v>108</v>
      </c>
      <c r="B65" s="1388"/>
      <c r="C65" s="1389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-1558.1100000000006</v>
      </c>
      <c r="I65" s="565"/>
      <c r="J65" s="629">
        <f>H65/DAY(B2)</f>
        <v>-57.7077777777778</v>
      </c>
      <c r="K65" s="467"/>
      <c r="L65" s="408"/>
      <c r="N65" s="413"/>
    </row>
    <row r="66" spans="1:14" ht="27.75" x14ac:dyDescent="0.5">
      <c r="A66" s="1387" t="s">
        <v>109</v>
      </c>
      <c r="B66" s="1388"/>
      <c r="C66" s="1389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-1672.1299999999992</v>
      </c>
      <c r="I66" s="556"/>
      <c r="J66" s="629">
        <f>H66/DAY(B2)</f>
        <v>-61.93074074074071</v>
      </c>
      <c r="K66" s="467"/>
      <c r="L66" s="408"/>
      <c r="N66" s="413"/>
    </row>
    <row r="67" spans="1:14" ht="27.75" x14ac:dyDescent="0.5">
      <c r="A67" s="1387" t="s">
        <v>110</v>
      </c>
      <c r="B67" s="1388"/>
      <c r="C67" s="1389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-2729.5299999999988</v>
      </c>
      <c r="I67" s="565"/>
      <c r="J67" s="629">
        <f>H67/DAY(B2)</f>
        <v>-101.09370370370367</v>
      </c>
      <c r="K67" s="468"/>
      <c r="L67" s="408"/>
      <c r="N67" s="413"/>
    </row>
    <row r="68" spans="1:14" ht="27.75" x14ac:dyDescent="0.5">
      <c r="A68" s="1387" t="s">
        <v>111</v>
      </c>
      <c r="B68" s="1388"/>
      <c r="C68" s="1389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-1269.8600000000006</v>
      </c>
      <c r="I68" s="592"/>
      <c r="J68" s="629">
        <f>H68/DAY(B2)</f>
        <v>-47.031851851851876</v>
      </c>
      <c r="K68" s="469"/>
      <c r="L68" s="408"/>
      <c r="N68" s="413"/>
    </row>
    <row r="69" spans="1:14" ht="27.75" x14ac:dyDescent="0.5">
      <c r="A69" s="1387" t="s">
        <v>112</v>
      </c>
      <c r="B69" s="1388"/>
      <c r="C69" s="1389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-1250.9000000000015</v>
      </c>
      <c r="I69" s="592"/>
      <c r="J69" s="629">
        <f>H69/DAY(B2)</f>
        <v>-46.329629629629686</v>
      </c>
      <c r="K69" s="470"/>
      <c r="L69" s="408"/>
      <c r="N69" s="413"/>
    </row>
    <row r="70" spans="1:14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13"/>
    </row>
    <row r="72" spans="1:14" ht="27.75" x14ac:dyDescent="0.5">
      <c r="A72" s="1387" t="s">
        <v>202</v>
      </c>
      <c r="B72" s="1388"/>
      <c r="C72" s="1389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-413</v>
      </c>
      <c r="I72" s="556"/>
      <c r="J72" s="629">
        <f>H72/DAY(B2)</f>
        <v>-15.296296296296296</v>
      </c>
      <c r="K72" s="470"/>
      <c r="L72" s="408"/>
      <c r="N72" s="413"/>
    </row>
    <row r="73" spans="1:14" ht="27.75" x14ac:dyDescent="0.5">
      <c r="A73" s="1387" t="s">
        <v>203</v>
      </c>
      <c r="B73" s="1388"/>
      <c r="C73" s="1389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 x14ac:dyDescent="0.5">
      <c r="A74" s="1387" t="s">
        <v>204</v>
      </c>
      <c r="B74" s="1388"/>
      <c r="C74" s="1389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882472.1</v>
      </c>
      <c r="I74" s="556"/>
      <c r="J74" s="629">
        <f>H74/DAY(B2)</f>
        <v>32684.15185185185</v>
      </c>
      <c r="K74" s="470"/>
      <c r="L74" s="408"/>
      <c r="N74" s="413"/>
    </row>
    <row r="75" spans="1:14" ht="27.75" x14ac:dyDescent="0.5">
      <c r="A75" s="1436" t="s">
        <v>205</v>
      </c>
      <c r="B75" s="1437"/>
      <c r="C75" s="1438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738273.4</v>
      </c>
      <c r="I75" s="556"/>
      <c r="J75" s="629">
        <f>H75/DAY(B2)</f>
        <v>27343.45925925926</v>
      </c>
      <c r="K75" s="469"/>
      <c r="L75" s="408"/>
      <c r="N75" s="413"/>
    </row>
    <row r="76" spans="1:14" ht="27.75" x14ac:dyDescent="0.5">
      <c r="A76" s="1436" t="s">
        <v>206</v>
      </c>
      <c r="B76" s="1437"/>
      <c r="C76" s="1438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688718.2</v>
      </c>
      <c r="I76" s="581"/>
      <c r="J76" s="629">
        <f>H76/DAY(B2)</f>
        <v>25508.08148148148</v>
      </c>
      <c r="K76" s="469"/>
      <c r="L76" s="408"/>
      <c r="N76" s="413"/>
    </row>
    <row r="77" spans="1:14" ht="27.75" x14ac:dyDescent="0.5">
      <c r="A77" s="1387" t="s">
        <v>207</v>
      </c>
      <c r="B77" s="1388"/>
      <c r="C77" s="1389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-209</v>
      </c>
      <c r="I77" s="581"/>
      <c r="J77" s="629">
        <f>H77/DAY(B2)</f>
        <v>-7.7407407407407405</v>
      </c>
      <c r="K77" s="469"/>
      <c r="L77" s="408"/>
      <c r="N77" s="413"/>
    </row>
    <row r="78" spans="1:14" ht="27.75" x14ac:dyDescent="0.5">
      <c r="A78" s="1234" t="s">
        <v>208</v>
      </c>
      <c r="B78" s="1205"/>
      <c r="C78" s="1205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-1605</v>
      </c>
      <c r="I78" s="581"/>
      <c r="J78" s="629">
        <f>H78/DAY(B2)</f>
        <v>-59.444444444444443</v>
      </c>
      <c r="K78" s="469"/>
      <c r="L78" s="408"/>
      <c r="N78" s="413"/>
    </row>
    <row r="79" spans="1:14" ht="27.75" x14ac:dyDescent="0.5">
      <c r="A79" s="1436" t="s">
        <v>97</v>
      </c>
      <c r="B79" s="1437"/>
      <c r="C79" s="1438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2122</v>
      </c>
      <c r="I79" s="581"/>
      <c r="J79" s="629">
        <f>H79/DAY(B2)</f>
        <v>78.592592592592595</v>
      </c>
      <c r="K79" s="469"/>
      <c r="L79" s="408"/>
      <c r="N79" s="413"/>
    </row>
    <row r="80" spans="1:14" ht="27.75" x14ac:dyDescent="0.5">
      <c r="A80" s="1436" t="s">
        <v>209</v>
      </c>
      <c r="B80" s="1437"/>
      <c r="C80" s="1438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-2729.679999999993</v>
      </c>
      <c r="I80" s="581"/>
      <c r="J80" s="629">
        <f>H80/DAY(B2)</f>
        <v>-101.099259259259</v>
      </c>
      <c r="K80" s="469"/>
      <c r="L80" s="408"/>
      <c r="N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-406</v>
      </c>
      <c r="I81" s="581"/>
      <c r="J81" s="629">
        <f>H81/DAY(B2)</f>
        <v>-15.037037037037036</v>
      </c>
      <c r="K81" s="469"/>
      <c r="L81" s="408"/>
      <c r="N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-168.27999999999884</v>
      </c>
      <c r="I82" s="562"/>
      <c r="J82" s="629">
        <f>H82/DAY(B2)</f>
        <v>-6.2325925925925496</v>
      </c>
      <c r="K82" s="469"/>
      <c r="L82" s="408"/>
      <c r="N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-1467</v>
      </c>
      <c r="I83" s="557"/>
      <c r="J83" s="629">
        <f>H83/DAY(B2)</f>
        <v>-54.333333333333336</v>
      </c>
      <c r="K83" s="468"/>
      <c r="L83" s="408"/>
      <c r="N83" s="413"/>
    </row>
    <row r="84" spans="1:15" x14ac:dyDescent="0.5">
      <c r="A84" s="1235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-2080</v>
      </c>
      <c r="I84" s="557"/>
      <c r="J84" s="629">
        <f>H84/DAY(B2)</f>
        <v>-77.037037037037038</v>
      </c>
      <c r="K84" s="411"/>
      <c r="L84" s="408"/>
      <c r="N84" s="413"/>
    </row>
    <row r="85" spans="1:15" s="410" customFormat="1" x14ac:dyDescent="0.5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2298150.3699999996</v>
      </c>
      <c r="I85" s="557"/>
      <c r="J85" s="629">
        <f>H85/DAY(B2)</f>
        <v>85116.680370370363</v>
      </c>
      <c r="K85" s="411"/>
      <c r="L85" s="409"/>
      <c r="N85" s="413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04">
        <f>'26'!F86</f>
        <v>446593</v>
      </c>
      <c r="F86" s="728">
        <v>446695</v>
      </c>
      <c r="G86" s="787">
        <f>F86-E86</f>
        <v>102</v>
      </c>
      <c r="H86" s="787">
        <f t="shared" ref="H86:H88" si="7">G86</f>
        <v>102</v>
      </c>
      <c r="I86" s="733"/>
      <c r="J86" s="789">
        <f>H86/DAY(B2)</f>
        <v>3.7777777777777777</v>
      </c>
      <c r="K86" s="815"/>
      <c r="L86" s="816"/>
      <c r="O86" s="795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04">
        <f>'26'!F87</f>
        <v>78317.8</v>
      </c>
      <c r="F87" s="728">
        <v>78346.8</v>
      </c>
      <c r="G87" s="787">
        <f t="shared" ref="G87:G90" si="8">F87-E87</f>
        <v>29</v>
      </c>
      <c r="H87" s="787">
        <f t="shared" si="7"/>
        <v>29</v>
      </c>
      <c r="I87" s="733"/>
      <c r="J87" s="789">
        <f>H87/DAY(B2)</f>
        <v>1.0740740740740742</v>
      </c>
      <c r="K87" s="815"/>
      <c r="L87" s="816"/>
      <c r="O87" s="795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04">
        <f>'26'!F88</f>
        <v>146111</v>
      </c>
      <c r="F88" s="728">
        <v>146228</v>
      </c>
      <c r="G88" s="787">
        <f t="shared" si="8"/>
        <v>117</v>
      </c>
      <c r="H88" s="787">
        <f t="shared" si="7"/>
        <v>117</v>
      </c>
      <c r="I88" s="733"/>
      <c r="J88" s="789">
        <f>H88/DAY(B2)</f>
        <v>4.333333333333333</v>
      </c>
      <c r="K88" s="815"/>
      <c r="L88" s="816"/>
      <c r="O88" s="795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04">
        <f>'26'!F89</f>
        <v>59414</v>
      </c>
      <c r="F89" s="728">
        <v>59477</v>
      </c>
      <c r="G89" s="787">
        <f t="shared" si="8"/>
        <v>63</v>
      </c>
      <c r="H89" s="787">
        <f>G89</f>
        <v>63</v>
      </c>
      <c r="I89" s="733"/>
      <c r="J89" s="789">
        <f>H89/DAY(B2)</f>
        <v>2.3333333333333335</v>
      </c>
      <c r="K89" s="815"/>
      <c r="L89" s="816"/>
      <c r="N89" s="860"/>
      <c r="O89" s="413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04">
        <f>'26'!F90</f>
        <v>3049.4</v>
      </c>
      <c r="F90" s="728">
        <v>3054</v>
      </c>
      <c r="G90" s="787">
        <f t="shared" si="8"/>
        <v>4.5999999999999091</v>
      </c>
      <c r="H90" s="787">
        <f>G90</f>
        <v>4.5999999999999091</v>
      </c>
      <c r="I90" s="733"/>
      <c r="J90" s="789">
        <f>H90/DAY(B2)</f>
        <v>0.17037037037036701</v>
      </c>
      <c r="K90" s="815"/>
      <c r="L90" s="816"/>
      <c r="N90" s="860"/>
      <c r="O90" s="413"/>
    </row>
    <row r="91" spans="1:15" s="410" customFormat="1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-291</v>
      </c>
      <c r="I92" s="556"/>
      <c r="J92" s="629">
        <f>H92/DAY(B2)</f>
        <v>-10.777777777777779</v>
      </c>
      <c r="K92" s="468"/>
      <c r="L92" s="408"/>
      <c r="N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-595</v>
      </c>
      <c r="I93" s="556"/>
      <c r="J93" s="629">
        <f>H93/DAY(B2)</f>
        <v>-22.037037037037038</v>
      </c>
      <c r="K93" s="411"/>
      <c r="L93" s="408"/>
      <c r="N93" s="413"/>
    </row>
    <row r="94" spans="1:15" x14ac:dyDescent="0.5">
      <c r="A94" s="1384" t="s">
        <v>219</v>
      </c>
      <c r="B94" s="1385"/>
      <c r="C94" s="1386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-1173</v>
      </c>
      <c r="I94" s="556"/>
      <c r="J94" s="629">
        <f>H94/DAY(B2)</f>
        <v>-43.444444444444443</v>
      </c>
      <c r="K94" s="411"/>
      <c r="L94" s="408"/>
      <c r="N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-231</v>
      </c>
      <c r="I95" s="556"/>
      <c r="J95" s="629">
        <f>H95/DAY(B2)</f>
        <v>-8.5555555555555554</v>
      </c>
      <c r="K95" s="411"/>
      <c r="L95" s="408"/>
      <c r="N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-120</v>
      </c>
      <c r="I96" s="556"/>
      <c r="J96" s="629">
        <f>H96/DAY(B2)</f>
        <v>-4.4444444444444446</v>
      </c>
      <c r="K96" s="466"/>
      <c r="L96" s="408"/>
      <c r="N96" s="413"/>
    </row>
    <row r="97" spans="1:14" ht="27.75" x14ac:dyDescent="0.5">
      <c r="A97" s="1231" t="s">
        <v>222</v>
      </c>
      <c r="B97" s="1232"/>
      <c r="C97" s="1232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-82</v>
      </c>
      <c r="I97" s="556"/>
      <c r="J97" s="629">
        <f>H97/DAY(B2)</f>
        <v>-3.0370370370370372</v>
      </c>
      <c r="K97" s="471"/>
      <c r="L97" s="408"/>
      <c r="N97" s="889"/>
    </row>
    <row r="98" spans="1:14" ht="27.75" x14ac:dyDescent="0.5">
      <c r="A98" s="1231" t="s">
        <v>223</v>
      </c>
      <c r="B98" s="1232"/>
      <c r="C98" s="1232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-256</v>
      </c>
      <c r="I98" s="556"/>
      <c r="J98" s="629">
        <f>H98/DAY(B2)</f>
        <v>-9.481481481481481</v>
      </c>
      <c r="K98" s="411"/>
      <c r="L98" s="408"/>
      <c r="N98" s="1115"/>
    </row>
    <row r="99" spans="1:14" ht="27.75" x14ac:dyDescent="0.5">
      <c r="A99" s="1231" t="s">
        <v>224</v>
      </c>
      <c r="B99" s="1232"/>
      <c r="C99" s="1232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-60</v>
      </c>
      <c r="I99" s="556"/>
      <c r="J99" s="629">
        <f>H99/DAY(B2)</f>
        <v>-2.2222222222222223</v>
      </c>
      <c r="K99" s="411"/>
      <c r="L99" s="408"/>
      <c r="N99" s="889"/>
    </row>
    <row r="100" spans="1:14" ht="27.75" x14ac:dyDescent="0.5">
      <c r="A100" s="1231" t="s">
        <v>225</v>
      </c>
      <c r="B100" s="1232"/>
      <c r="C100" s="1232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-27</v>
      </c>
      <c r="I100" s="556"/>
      <c r="J100" s="629">
        <f>H100/DAY(B2)</f>
        <v>-1</v>
      </c>
      <c r="K100" s="411"/>
      <c r="L100" s="408"/>
      <c r="N100" s="889"/>
    </row>
    <row r="101" spans="1:14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200</v>
      </c>
      <c r="H101" s="536">
        <f>G101+'26'!H101</f>
        <v>-776</v>
      </c>
      <c r="I101" s="602"/>
      <c r="J101" s="629">
        <f>H101/DAY(B2)</f>
        <v>-28.74074074074074</v>
      </c>
      <c r="K101" s="411"/>
      <c r="L101" s="408"/>
      <c r="N101" s="889"/>
    </row>
    <row r="102" spans="1:14" s="481" customFormat="1" ht="27" x14ac:dyDescent="0.35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393" t="s">
        <v>229</v>
      </c>
      <c r="B103" s="1394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395" t="s">
        <v>230</v>
      </c>
      <c r="B104" s="1396"/>
      <c r="C104" s="1230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 x14ac:dyDescent="0.5">
      <c r="A105" s="1395" t="s">
        <v>77</v>
      </c>
      <c r="B105" s="1396"/>
      <c r="C105" s="1230"/>
      <c r="D105" s="699" t="s">
        <v>155</v>
      </c>
      <c r="E105" s="608">
        <f>'26'!F105</f>
        <v>35124</v>
      </c>
      <c r="F105" s="887">
        <v>35136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2.2222222222222223</v>
      </c>
      <c r="N105" s="413"/>
    </row>
    <row r="106" spans="1:14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341</v>
      </c>
      <c r="I106" s="608"/>
      <c r="J106" s="635">
        <f>H106/DAY(B2)</f>
        <v>12.62962962962963</v>
      </c>
      <c r="N106" s="413"/>
    </row>
    <row r="107" spans="1:14" s="481" customFormat="1" ht="27.75" x14ac:dyDescent="0.5">
      <c r="A107" s="1398" t="s">
        <v>213</v>
      </c>
      <c r="B107" s="1399"/>
      <c r="C107" s="1230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224</v>
      </c>
      <c r="I107" s="608"/>
      <c r="J107" s="635">
        <f>H107/DAY(B2)</f>
        <v>8.2962962962962958</v>
      </c>
      <c r="N107" s="413"/>
    </row>
    <row r="108" spans="1:14" s="481" customFormat="1" ht="27.75" x14ac:dyDescent="0.5">
      <c r="A108" s="1400" t="s">
        <v>79</v>
      </c>
      <c r="B108" s="1401"/>
      <c r="C108" s="1230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 x14ac:dyDescent="0.5">
      <c r="A109" s="1395" t="s">
        <v>231</v>
      </c>
      <c r="B109" s="1396"/>
      <c r="C109" s="1230"/>
      <c r="D109" s="699" t="s">
        <v>155</v>
      </c>
      <c r="E109" s="608">
        <f>'26'!F109</f>
        <v>54397</v>
      </c>
      <c r="F109" s="887">
        <v>54439</v>
      </c>
      <c r="G109" s="608">
        <f>F109-E109</f>
        <v>42</v>
      </c>
      <c r="H109" s="609">
        <f>SUM(G109+'1'!G81)</f>
        <v>118</v>
      </c>
      <c r="I109" s="608"/>
      <c r="J109" s="635">
        <f>H109/DAY(B2)</f>
        <v>4.3703703703703702</v>
      </c>
      <c r="N109" s="413"/>
    </row>
    <row r="110" spans="1:14" s="481" customFormat="1" ht="27.75" x14ac:dyDescent="0.5">
      <c r="A110" s="1395" t="s">
        <v>232</v>
      </c>
      <c r="B110" s="1396"/>
      <c r="C110" s="1230"/>
      <c r="D110" s="699" t="s">
        <v>155</v>
      </c>
      <c r="E110" s="608">
        <f>'26'!F110</f>
        <v>28241</v>
      </c>
      <c r="F110" s="887">
        <v>28300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3.8518518518518516</v>
      </c>
      <c r="N110" s="413"/>
    </row>
    <row r="111" spans="1:14" s="481" customFormat="1" ht="27.75" x14ac:dyDescent="0.5">
      <c r="A111" s="1395" t="s">
        <v>233</v>
      </c>
      <c r="B111" s="1396"/>
      <c r="C111" s="1230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438</v>
      </c>
      <c r="I111" s="608"/>
      <c r="J111" s="635">
        <f>H111/DAY(B2)</f>
        <v>16.222222222222221</v>
      </c>
      <c r="N111" s="413"/>
    </row>
    <row r="112" spans="1:14" s="481" customFormat="1" ht="27.75" x14ac:dyDescent="0.5">
      <c r="A112" s="1398" t="s">
        <v>121</v>
      </c>
      <c r="B112" s="1399"/>
      <c r="C112" s="1230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627</v>
      </c>
      <c r="I112" s="608"/>
      <c r="J112" s="635">
        <f>H112/DAY(B2)</f>
        <v>23.222222222222221</v>
      </c>
      <c r="N112" s="413"/>
    </row>
    <row r="113" spans="1:14" s="481" customFormat="1" ht="27.75" x14ac:dyDescent="0.5">
      <c r="A113" s="1400" t="s">
        <v>234</v>
      </c>
      <c r="B113" s="1401"/>
      <c r="C113" s="1230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 x14ac:dyDescent="0.5">
      <c r="A114" s="1395" t="s">
        <v>235</v>
      </c>
      <c r="B114" s="1396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 x14ac:dyDescent="0.5">
      <c r="A115" s="1395" t="s">
        <v>236</v>
      </c>
      <c r="B115" s="1396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3.4074074074074074</v>
      </c>
      <c r="N115" s="413"/>
    </row>
    <row r="116" spans="1:14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 x14ac:dyDescent="0.5">
      <c r="A117" s="1398" t="s">
        <v>213</v>
      </c>
      <c r="B117" s="1399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4.2222222222222223</v>
      </c>
      <c r="N117" s="413"/>
    </row>
    <row r="118" spans="1:14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167</v>
      </c>
      <c r="I118" s="611"/>
      <c r="J118" s="636">
        <f>H118/DAY(B2)</f>
        <v>6.1851851851851851</v>
      </c>
      <c r="N118" s="413"/>
    </row>
    <row r="119" spans="1:14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219</v>
      </c>
      <c r="I119" s="611"/>
      <c r="J119" s="636">
        <f>H119/DAY(B2)</f>
        <v>8.1111111111111107</v>
      </c>
      <c r="N119" s="413"/>
    </row>
    <row r="120" spans="1:14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112</v>
      </c>
      <c r="I120" s="611"/>
      <c r="J120" s="636">
        <f>H120/DAY(B2)</f>
        <v>4.1481481481481479</v>
      </c>
      <c r="N120" s="413"/>
    </row>
    <row r="121" spans="1:14" s="481" customFormat="1" ht="27.75" x14ac:dyDescent="0.5">
      <c r="A121" s="1431"/>
      <c r="B121" s="1432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1" t="s">
        <v>242</v>
      </c>
      <c r="B123" s="1232"/>
      <c r="C123" s="1232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-1062.4400000000605</v>
      </c>
      <c r="I123" s="602">
        <f>G123/5</f>
        <v>50.121999999997207</v>
      </c>
      <c r="J123" s="629">
        <f>H123/DAY(B2)</f>
        <v>-39.34962962963187</v>
      </c>
      <c r="K123" s="411"/>
      <c r="L123" s="408"/>
      <c r="N123" s="413"/>
    </row>
    <row r="124" spans="1:14" ht="27.75" x14ac:dyDescent="0.5">
      <c r="A124" s="1231" t="s">
        <v>243</v>
      </c>
      <c r="B124" s="1232"/>
      <c r="C124" s="1232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387" t="s">
        <v>244</v>
      </c>
      <c r="B125" s="1388"/>
      <c r="C125" s="1389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-238</v>
      </c>
      <c r="I125" s="602"/>
      <c r="J125" s="629">
        <f>H125/DAY(B2)</f>
        <v>-8.8148148148148149</v>
      </c>
      <c r="K125" s="411"/>
      <c r="L125" s="408"/>
      <c r="N125" s="413"/>
    </row>
    <row r="126" spans="1:14" ht="27.75" x14ac:dyDescent="0.5">
      <c r="A126" s="686" t="s">
        <v>245</v>
      </c>
      <c r="B126" s="1232"/>
      <c r="C126" s="1232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-123.69999999999709</v>
      </c>
      <c r="I126" s="602"/>
      <c r="J126" s="629">
        <f>H126/DAY(B2)</f>
        <v>-4.581481481481374</v>
      </c>
      <c r="K126" s="411"/>
      <c r="L126" s="408"/>
      <c r="N126" s="413"/>
    </row>
    <row r="127" spans="1:14" ht="27.75" x14ac:dyDescent="0.5">
      <c r="A127" s="686" t="s">
        <v>246</v>
      </c>
      <c r="B127" s="1232"/>
      <c r="C127" s="1232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-13</v>
      </c>
      <c r="I127" s="556"/>
      <c r="J127" s="629">
        <f>H127/DAY(B2)</f>
        <v>-0.48148148148148145</v>
      </c>
      <c r="K127" s="411"/>
      <c r="L127" s="408"/>
      <c r="N127" s="413"/>
    </row>
    <row r="128" spans="1:14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508.88999999995576</v>
      </c>
      <c r="H128" s="536">
        <f>G128+'26'!H128</f>
        <v>-8656.5100000001657</v>
      </c>
      <c r="I128" s="556"/>
      <c r="J128" s="629">
        <f>H128/DAY(B2)</f>
        <v>-320.6114814814876</v>
      </c>
      <c r="K128" s="391"/>
      <c r="L128" s="293"/>
      <c r="N128" s="413"/>
    </row>
    <row r="129" spans="1:14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1" t="s">
        <v>249</v>
      </c>
      <c r="B130" s="1232"/>
      <c r="C130" s="1232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 x14ac:dyDescent="0.5">
      <c r="A131" s="1231" t="s">
        <v>251</v>
      </c>
      <c r="B131" s="1232"/>
      <c r="C131" s="1232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 x14ac:dyDescent="0.5">
      <c r="A132" s="1231" t="s">
        <v>252</v>
      </c>
      <c r="B132" s="1232"/>
      <c r="C132" s="1232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290.27999999999156</v>
      </c>
      <c r="I132" s="556"/>
      <c r="J132" s="629">
        <f>H132/DAY(B2)</f>
        <v>10.751111111110799</v>
      </c>
      <c r="N132" s="413"/>
    </row>
    <row r="133" spans="1:14" ht="27.75" x14ac:dyDescent="0.5">
      <c r="A133" s="1231" t="s">
        <v>253</v>
      </c>
      <c r="B133" s="1232"/>
      <c r="C133" s="1232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 x14ac:dyDescent="0.5">
      <c r="A134" s="1231" t="s">
        <v>254</v>
      </c>
      <c r="B134" s="1232"/>
      <c r="C134" s="1232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 x14ac:dyDescent="0.5">
      <c r="A135" s="1231" t="s">
        <v>255</v>
      </c>
      <c r="B135" s="1232"/>
      <c r="C135" s="1232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 x14ac:dyDescent="0.5">
      <c r="A136" s="1231" t="s">
        <v>256</v>
      </c>
      <c r="B136" s="1232"/>
      <c r="C136" s="1232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-22.149999999997817</v>
      </c>
      <c r="I136" s="556">
        <f>G134+G135+G136</f>
        <v>9.430000000000291</v>
      </c>
      <c r="J136" s="629">
        <f>H136/DAY(B2)</f>
        <v>-0.82037037037028948</v>
      </c>
      <c r="N136" s="413"/>
    </row>
    <row r="137" spans="1:14" ht="27.75" x14ac:dyDescent="0.5">
      <c r="A137" s="1231" t="s">
        <v>257</v>
      </c>
      <c r="B137" s="1232"/>
      <c r="C137" s="1232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 x14ac:dyDescent="0.5">
      <c r="A138" s="1231" t="s">
        <v>258</v>
      </c>
      <c r="B138" s="1232"/>
      <c r="C138" s="1232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 x14ac:dyDescent="0.5">
      <c r="A139" s="1231" t="s">
        <v>259</v>
      </c>
      <c r="B139" s="1232"/>
      <c r="C139" s="1232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-31.269999999999982</v>
      </c>
      <c r="I139" s="619"/>
      <c r="J139" s="629">
        <f>H139/DAY(B2)</f>
        <v>-1.1581481481481475</v>
      </c>
      <c r="N139" s="413"/>
    </row>
    <row r="140" spans="1:14" ht="27.75" x14ac:dyDescent="0.5">
      <c r="A140" s="1231" t="s">
        <v>260</v>
      </c>
      <c r="B140" s="1232"/>
      <c r="C140" s="1232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 x14ac:dyDescent="0.5">
      <c r="A141" s="1425" t="s">
        <v>261</v>
      </c>
      <c r="B141" s="1426"/>
      <c r="C141" s="1237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-23241</v>
      </c>
      <c r="I142" s="556"/>
      <c r="J142" s="629">
        <f>H142/DAY(B2)</f>
        <v>-860.77777777777783</v>
      </c>
      <c r="K142" s="411"/>
      <c r="L142" s="408"/>
      <c r="N142" s="413"/>
    </row>
    <row r="143" spans="1:14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6.8986197653749697</v>
      </c>
      <c r="I143" s="621"/>
      <c r="J143" s="629">
        <f>H143/DAY(B2)</f>
        <v>0.2555044357546285</v>
      </c>
      <c r="K143" s="411"/>
      <c r="L143" s="408"/>
      <c r="N143" s="413"/>
    </row>
    <row r="144" spans="1:14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-14661.280000000021</v>
      </c>
      <c r="I144" s="556"/>
      <c r="J144" s="629">
        <f>H144/DAY(B2)</f>
        <v>-543.01037037037111</v>
      </c>
      <c r="K144" s="411"/>
      <c r="L144" s="408"/>
      <c r="N144" s="413"/>
    </row>
    <row r="145" spans="1:14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5.8139149010910955</v>
      </c>
      <c r="I145" s="621"/>
      <c r="J145" s="629">
        <f>H145/DAY(B2)</f>
        <v>0.21533018152189243</v>
      </c>
      <c r="K145" s="411"/>
      <c r="L145" s="408"/>
      <c r="N145" s="413"/>
    </row>
    <row r="146" spans="1:14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895755.73</v>
      </c>
      <c r="I146" s="622"/>
      <c r="J146" s="629">
        <f>H146/DAY(B2)</f>
        <v>33176.138148148144</v>
      </c>
      <c r="K146" s="411"/>
      <c r="L146" s="408"/>
      <c r="N146" s="413"/>
    </row>
    <row r="147" spans="1:14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4.3314936333726344</v>
      </c>
      <c r="I147" s="622"/>
      <c r="J147" s="629">
        <f>H147/DAY(B2)</f>
        <v>0.1604256901249124</v>
      </c>
      <c r="N147" s="413"/>
    </row>
    <row r="148" spans="1:14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142920.24</v>
      </c>
      <c r="I148" s="556"/>
      <c r="J148" s="629">
        <f>H148/DAY(B2)</f>
        <v>5293.3422222222216</v>
      </c>
      <c r="K148" s="412"/>
      <c r="N148" s="413"/>
    </row>
    <row r="149" spans="1:14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2.5480483084135583</v>
      </c>
      <c r="I149" s="622"/>
      <c r="J149" s="629">
        <f>H149/DAY(B2)</f>
        <v>9.4372159570872527E-2</v>
      </c>
      <c r="N149" s="413"/>
    </row>
    <row r="150" spans="1:14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-7148.0300000000279</v>
      </c>
      <c r="I150" s="622"/>
      <c r="J150" s="629">
        <f>H150/DAY(B2)</f>
        <v>-264.74185185185291</v>
      </c>
      <c r="N150" s="413"/>
    </row>
    <row r="151" spans="1:14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2.5975078942201368</v>
      </c>
      <c r="I151" s="556"/>
      <c r="J151" s="629">
        <f>H151/DAY(B2)</f>
        <v>9.6203996082227294E-2</v>
      </c>
      <c r="N151" s="413"/>
    </row>
    <row r="152" spans="1:14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408992.79999999993</v>
      </c>
      <c r="I152" s="556"/>
      <c r="J152" s="629">
        <f>H152/DAY(B2)</f>
        <v>15147.88148148148</v>
      </c>
      <c r="N152" s="413"/>
    </row>
    <row r="153" spans="1:14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1.3815266779750455</v>
      </c>
      <c r="I153" s="645"/>
      <c r="J153" s="646">
        <f>H153/DAY(B2)</f>
        <v>5.11676547398165E-2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 x14ac:dyDescent="0.5">
      <c r="A160" s="868" t="s">
        <v>274</v>
      </c>
      <c r="B160" s="869"/>
      <c r="C160" s="869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 x14ac:dyDescent="0.5">
      <c r="G172" s="616">
        <f>SUM(G160:G171)</f>
        <v>3274.1399999999931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Q172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 x14ac:dyDescent="0.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90" customWidth="1"/>
    <col min="15" max="17" width="22.33203125" style="852"/>
    <col min="18" max="16384" width="22.33203125" style="407"/>
  </cols>
  <sheetData>
    <row r="1" spans="1:17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7" s="281" customFormat="1" ht="27" x14ac:dyDescent="0.5">
      <c r="A2" s="652" t="s">
        <v>333</v>
      </c>
      <c r="B2" s="891">
        <v>43858</v>
      </c>
      <c r="C2" s="1233" t="s">
        <v>69</v>
      </c>
      <c r="D2" s="688">
        <v>0.52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1190"/>
      <c r="O2" s="852"/>
      <c r="P2" s="852"/>
      <c r="Q2" s="852"/>
    </row>
    <row r="3" spans="1:17" s="281" customFormat="1" ht="27" x14ac:dyDescent="0.5">
      <c r="A3" s="647"/>
      <c r="B3" s="691"/>
      <c r="C3" s="1233" t="s">
        <v>131</v>
      </c>
      <c r="D3" s="689">
        <v>23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1190"/>
      <c r="O3" s="852"/>
      <c r="P3" s="852"/>
      <c r="Q3" s="852"/>
    </row>
    <row r="4" spans="1:17" s="281" customFormat="1" ht="27" x14ac:dyDescent="0.5">
      <c r="A4" s="653"/>
      <c r="B4" s="693"/>
      <c r="C4" s="1233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90"/>
      <c r="O4" s="852"/>
      <c r="P4" s="854"/>
      <c r="Q4" s="852"/>
    </row>
    <row r="5" spans="1:17" x14ac:dyDescent="0.4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54"/>
    </row>
    <row r="6" spans="1:17" x14ac:dyDescent="0.4">
      <c r="A6" s="1405" t="s">
        <v>141</v>
      </c>
      <c r="B6" s="1406"/>
      <c r="C6" s="1407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 x14ac:dyDescent="0.45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-56126</v>
      </c>
      <c r="I7" s="761">
        <f>'1'!I7</f>
        <v>12000</v>
      </c>
      <c r="J7" s="762">
        <f>H7/DAY(B2)</f>
        <v>-2004.5</v>
      </c>
      <c r="K7" s="626"/>
      <c r="L7" s="408"/>
      <c r="N7" s="1191">
        <f>F7-'1'!E7</f>
        <v>-56126</v>
      </c>
    </row>
    <row r="8" spans="1:17" ht="27.75" thickBot="1" x14ac:dyDescent="0.45">
      <c r="A8" s="763" t="s">
        <v>144</v>
      </c>
      <c r="B8" s="764"/>
      <c r="C8" s="765"/>
      <c r="D8" s="766" t="s">
        <v>25</v>
      </c>
      <c r="E8" s="760">
        <f>'27'!F8</f>
        <v>3836612</v>
      </c>
      <c r="F8" s="819">
        <v>3856131</v>
      </c>
      <c r="G8" s="770">
        <f>F8-E8</f>
        <v>19519</v>
      </c>
      <c r="H8" s="760">
        <f>G8+'27'!H8</f>
        <v>-56720</v>
      </c>
      <c r="I8" s="767">
        <f>'1'!I8</f>
        <v>12000</v>
      </c>
      <c r="J8" s="762">
        <f>H8/DAY(B2)</f>
        <v>-2025.7142857142858</v>
      </c>
      <c r="K8" s="626"/>
      <c r="L8" s="464">
        <v>1375467</v>
      </c>
      <c r="M8" s="479">
        <v>1703438</v>
      </c>
      <c r="N8" s="1191">
        <f>F8-'1'!E8</f>
        <v>-56720</v>
      </c>
    </row>
    <row r="9" spans="1:17" x14ac:dyDescent="0.4">
      <c r="A9" s="768" t="s">
        <v>145</v>
      </c>
      <c r="B9" s="769"/>
      <c r="C9" s="769"/>
      <c r="D9" s="715" t="s">
        <v>143</v>
      </c>
      <c r="E9" s="760">
        <f>'27'!F9</f>
        <v>2510077</v>
      </c>
      <c r="F9" s="820">
        <v>2516698.5</v>
      </c>
      <c r="G9" s="783">
        <f t="shared" ref="G9:G12" si="0">F9-E9</f>
        <v>6621.5</v>
      </c>
      <c r="H9" s="760">
        <f>G9+'27'!H9</f>
        <v>2553810.75</v>
      </c>
      <c r="I9" s="771">
        <f>I8-J8</f>
        <v>14025.714285714286</v>
      </c>
      <c r="J9" s="762">
        <f>H9/DAY(B2)</f>
        <v>91207.52678571429</v>
      </c>
      <c r="K9" s="467"/>
      <c r="L9" s="408"/>
      <c r="N9" s="1191">
        <f>F9-'1'!E9</f>
        <v>-18430</v>
      </c>
    </row>
    <row r="10" spans="1:17" x14ac:dyDescent="0.4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20">
        <v>1165093.3999999999</v>
      </c>
      <c r="G10" s="770">
        <f t="shared" si="0"/>
        <v>12082.399999999907</v>
      </c>
      <c r="H10" s="760">
        <f>G10+'27'!H10</f>
        <v>-35781</v>
      </c>
      <c r="I10" s="772"/>
      <c r="J10" s="762">
        <f>H10/DAY(B2)</f>
        <v>-1277.8928571428571</v>
      </c>
      <c r="K10" s="467"/>
      <c r="L10" s="408"/>
      <c r="M10" s="407">
        <f>170</f>
        <v>170</v>
      </c>
      <c r="N10" s="1191">
        <f>F10-'1'!E10</f>
        <v>-35781</v>
      </c>
    </row>
    <row r="11" spans="1:17" x14ac:dyDescent="0.4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191">
        <f>F11-'1'!E11</f>
        <v>0</v>
      </c>
    </row>
    <row r="12" spans="1:17" x14ac:dyDescent="0.4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20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191">
        <f>F12-'1'!E12</f>
        <v>0</v>
      </c>
    </row>
    <row r="13" spans="1:17" x14ac:dyDescent="0.5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2499723.7500000005</v>
      </c>
      <c r="I13" s="776">
        <f>G7-G13</f>
        <v>653.10000000009313</v>
      </c>
      <c r="J13" s="762">
        <f>H13/DAY(B2)</f>
        <v>89275.848214285725</v>
      </c>
      <c r="K13" s="467"/>
      <c r="L13" s="408"/>
      <c r="N13" s="1191">
        <f>F13-'1'!E13</f>
        <v>0</v>
      </c>
    </row>
    <row r="14" spans="1:17" x14ac:dyDescent="0.5">
      <c r="A14" s="1408" t="s">
        <v>150</v>
      </c>
      <c r="B14" s="1409"/>
      <c r="C14" s="1410"/>
      <c r="D14" s="548"/>
      <c r="E14" s="821"/>
      <c r="F14" s="821"/>
      <c r="G14" s="559"/>
      <c r="H14" s="548"/>
      <c r="I14" s="548"/>
      <c r="J14" s="628"/>
      <c r="K14" s="468"/>
      <c r="L14" s="408"/>
      <c r="N14" s="1191">
        <f>F14-'1'!E14</f>
        <v>0</v>
      </c>
    </row>
    <row r="15" spans="1:17" x14ac:dyDescent="0.5">
      <c r="A15" s="746" t="s">
        <v>151</v>
      </c>
      <c r="B15" s="747"/>
      <c r="C15" s="747"/>
      <c r="D15" s="748" t="s">
        <v>152</v>
      </c>
      <c r="E15" s="839">
        <f>'27'!F15</f>
        <v>1591639.94</v>
      </c>
      <c r="F15" s="822">
        <v>1592074</v>
      </c>
      <c r="G15" s="745">
        <f>(F15-E15)</f>
        <v>434.06000000005588</v>
      </c>
      <c r="H15" s="1176">
        <f>G15+'27'!H15</f>
        <v>-2363.1499999999069</v>
      </c>
      <c r="I15" s="1177">
        <v>800</v>
      </c>
      <c r="J15" s="1178">
        <f>H15/DAY(B2)</f>
        <v>-84.398214285710964</v>
      </c>
      <c r="K15" s="467"/>
      <c r="L15" s="408"/>
      <c r="N15" s="1191">
        <f>F15-'1'!E15</f>
        <v>-2363.1499999999069</v>
      </c>
    </row>
    <row r="16" spans="1:17" x14ac:dyDescent="0.4">
      <c r="A16" s="754"/>
      <c r="B16" s="755"/>
      <c r="C16" s="755"/>
      <c r="D16" s="748"/>
      <c r="E16" s="839"/>
      <c r="F16" s="822"/>
      <c r="G16" s="750"/>
      <c r="H16" s="1176"/>
      <c r="I16" s="1179">
        <f>I15-J15</f>
        <v>884.39821428571099</v>
      </c>
      <c r="J16" s="1178"/>
      <c r="K16" s="467"/>
      <c r="L16" s="408"/>
      <c r="N16" s="1191">
        <f>F16-'1'!E16</f>
        <v>0</v>
      </c>
    </row>
    <row r="17" spans="1:17" x14ac:dyDescent="0.5">
      <c r="A17" s="1408" t="s">
        <v>153</v>
      </c>
      <c r="B17" s="1409"/>
      <c r="C17" s="1410"/>
      <c r="D17" s="548"/>
      <c r="E17" s="821"/>
      <c r="F17" s="821"/>
      <c r="G17" s="564"/>
      <c r="H17" s="548"/>
      <c r="I17" s="548"/>
      <c r="J17" s="628"/>
      <c r="K17" s="467"/>
      <c r="L17" s="408"/>
      <c r="N17" s="1191">
        <f>F17-'1'!E17</f>
        <v>0</v>
      </c>
    </row>
    <row r="18" spans="1:17" ht="27.75" x14ac:dyDescent="0.5">
      <c r="A18" s="1443" t="s">
        <v>154</v>
      </c>
      <c r="B18" s="1444"/>
      <c r="C18" s="1445"/>
      <c r="D18" s="715" t="s">
        <v>155</v>
      </c>
      <c r="E18" s="840">
        <f>'27'!F18</f>
        <v>12</v>
      </c>
      <c r="F18" s="820">
        <v>12</v>
      </c>
      <c r="G18" s="775">
        <f>F18*10</f>
        <v>120</v>
      </c>
      <c r="H18" s="760">
        <f>G18+'27'!H18</f>
        <v>4370</v>
      </c>
      <c r="I18" s="761">
        <f>'1'!I18</f>
        <v>65</v>
      </c>
      <c r="J18" s="762">
        <f>H18/DAY(B2)</f>
        <v>156.07142857142858</v>
      </c>
      <c r="K18" s="467"/>
      <c r="L18" s="408"/>
      <c r="N18" s="1191">
        <f>F18-'1'!E18</f>
        <v>0</v>
      </c>
    </row>
    <row r="19" spans="1:17" ht="27.75" x14ac:dyDescent="0.5">
      <c r="A19" s="1443" t="s">
        <v>71</v>
      </c>
      <c r="B19" s="1444"/>
      <c r="C19" s="1445"/>
      <c r="D19" s="715" t="s">
        <v>155</v>
      </c>
      <c r="E19" s="840">
        <f>'27'!F19</f>
        <v>132839</v>
      </c>
      <c r="F19" s="820">
        <v>132892</v>
      </c>
      <c r="G19" s="770">
        <f t="shared" ref="G19" si="1">F19-E19</f>
        <v>53</v>
      </c>
      <c r="H19" s="760">
        <f>G19+'27'!H19</f>
        <v>-156</v>
      </c>
      <c r="I19" s="777"/>
      <c r="J19" s="762">
        <f>H19/DAY(B2)</f>
        <v>-5.5714285714285712</v>
      </c>
      <c r="K19" s="467"/>
      <c r="L19" s="408"/>
      <c r="N19" s="1191">
        <f>F19-'1'!E19</f>
        <v>-156</v>
      </c>
    </row>
    <row r="20" spans="1:17" x14ac:dyDescent="0.5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4214</v>
      </c>
      <c r="I20" s="779">
        <f>I18-J20</f>
        <v>-85.5</v>
      </c>
      <c r="J20" s="762">
        <f>H20/DAY(B2)</f>
        <v>150.5</v>
      </c>
      <c r="K20" s="467"/>
      <c r="L20" s="408"/>
      <c r="N20" s="1191">
        <f>F20-'1'!E20</f>
        <v>0</v>
      </c>
    </row>
    <row r="21" spans="1:17" x14ac:dyDescent="0.5">
      <c r="A21" s="1408" t="s">
        <v>157</v>
      </c>
      <c r="B21" s="1409"/>
      <c r="C21" s="1410"/>
      <c r="D21" s="548"/>
      <c r="E21" s="821"/>
      <c r="F21" s="821"/>
      <c r="G21" s="559"/>
      <c r="H21" s="548"/>
      <c r="I21" s="548"/>
      <c r="J21" s="628"/>
      <c r="K21" s="467"/>
      <c r="L21" s="408"/>
      <c r="N21" s="1191">
        <f>F21-'1'!E21</f>
        <v>0</v>
      </c>
    </row>
    <row r="22" spans="1:17" x14ac:dyDescent="0.5">
      <c r="A22" s="1231" t="s">
        <v>158</v>
      </c>
      <c r="B22" s="666"/>
      <c r="C22" s="666"/>
      <c r="D22" s="599" t="s">
        <v>159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1">
        <f>F22-'1'!E22</f>
        <v>720</v>
      </c>
    </row>
    <row r="23" spans="1:17" x14ac:dyDescent="0.5">
      <c r="A23" s="1231" t="s">
        <v>160</v>
      </c>
      <c r="B23" s="666"/>
      <c r="C23" s="666"/>
      <c r="D23" s="599" t="s">
        <v>159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1">
        <f>F23-'1'!E23</f>
        <v>-100</v>
      </c>
    </row>
    <row r="24" spans="1:17" x14ac:dyDescent="0.4">
      <c r="A24" s="667" t="s">
        <v>161</v>
      </c>
      <c r="B24" s="668"/>
      <c r="C24" s="668"/>
      <c r="D24" s="587" t="s">
        <v>159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1">
        <f>F24-'1'!E24</f>
        <v>720</v>
      </c>
    </row>
    <row r="25" spans="1:17" s="481" customFormat="1" ht="27" x14ac:dyDescent="0.35">
      <c r="A25" s="1413" t="s">
        <v>162</v>
      </c>
      <c r="B25" s="1414"/>
      <c r="C25" s="1415"/>
      <c r="D25" s="547"/>
      <c r="E25" s="571"/>
      <c r="F25" s="571"/>
      <c r="G25" s="570"/>
      <c r="H25" s="571"/>
      <c r="I25" s="572"/>
      <c r="J25" s="631"/>
      <c r="K25" s="404"/>
      <c r="L25" s="484"/>
      <c r="N25" s="1191">
        <f>F25-'1'!E25</f>
        <v>0</v>
      </c>
      <c r="O25" s="852"/>
      <c r="P25" s="852"/>
      <c r="Q25" s="852"/>
    </row>
    <row r="26" spans="1:17" s="481" customFormat="1" ht="27" x14ac:dyDescent="0.5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1191">
        <f>F26-'1'!E26</f>
        <v>0</v>
      </c>
      <c r="O26" s="852"/>
      <c r="P26" s="852"/>
      <c r="Q26" s="852"/>
    </row>
    <row r="27" spans="1:17" s="481" customFormat="1" ht="27" x14ac:dyDescent="0.5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-510480</v>
      </c>
      <c r="I27" s="579"/>
      <c r="J27" s="629">
        <f>H27/DAY(B2)</f>
        <v>-18231.428571428572</v>
      </c>
      <c r="K27" s="404"/>
      <c r="L27" s="484"/>
      <c r="N27" s="1191">
        <f>F27-'1'!E27</f>
        <v>-19465</v>
      </c>
      <c r="O27" s="852"/>
      <c r="P27" s="852"/>
      <c r="Q27" s="852"/>
    </row>
    <row r="28" spans="1:17" s="481" customFormat="1" ht="27" x14ac:dyDescent="0.5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43.5</v>
      </c>
      <c r="G28" s="578">
        <f>E28*F28</f>
        <v>18881.610000002431</v>
      </c>
      <c r="H28" s="536">
        <f>G28+'27'!H28</f>
        <v>-102797.02499999595</v>
      </c>
      <c r="I28" s="581"/>
      <c r="J28" s="629">
        <f>H28/DAY(B2)</f>
        <v>-3671.3223214284267</v>
      </c>
      <c r="K28" s="404"/>
      <c r="L28" s="484"/>
      <c r="N28" s="1191">
        <f>F28-'1'!E28</f>
        <v>-754.45000000018626</v>
      </c>
      <c r="O28" s="852"/>
      <c r="P28" s="852"/>
      <c r="Q28" s="852"/>
    </row>
    <row r="29" spans="1:17" s="481" customFormat="1" ht="27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1">
        <f>F29-'1'!E29</f>
        <v>69</v>
      </c>
      <c r="O29" s="852"/>
      <c r="P29" s="852"/>
      <c r="Q29" s="852"/>
    </row>
    <row r="30" spans="1:17" s="481" customFormat="1" ht="27" x14ac:dyDescent="0.5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-20904</v>
      </c>
      <c r="I30" s="581"/>
      <c r="J30" s="629">
        <f>H30/DAY(B2)</f>
        <v>-746.57142857142856</v>
      </c>
      <c r="K30" s="404"/>
      <c r="L30" s="484"/>
      <c r="N30" s="1191">
        <f>F30-'1'!E30</f>
        <v>83</v>
      </c>
      <c r="O30" s="852"/>
      <c r="P30" s="852"/>
      <c r="Q30" s="852"/>
    </row>
    <row r="31" spans="1:17" s="481" customFormat="1" ht="27" x14ac:dyDescent="0.5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349600</v>
      </c>
      <c r="I31" s="581"/>
      <c r="J31" s="629"/>
      <c r="K31" s="404"/>
      <c r="L31" s="484"/>
      <c r="N31" s="1191">
        <f>F31-'1'!E31</f>
        <v>-40</v>
      </c>
      <c r="O31" s="852"/>
      <c r="P31" s="852"/>
      <c r="Q31" s="852"/>
    </row>
    <row r="32" spans="1:17" s="481" customFormat="1" ht="27" x14ac:dyDescent="0.5">
      <c r="A32" s="672" t="s">
        <v>172</v>
      </c>
      <c r="B32" s="673"/>
      <c r="C32" s="674"/>
      <c r="D32" s="583"/>
      <c r="E32" s="844"/>
      <c r="F32" s="562"/>
      <c r="G32" s="584">
        <f>G27+G28+G29+G30+G31</f>
        <v>211254.61000000243</v>
      </c>
      <c r="H32" s="536">
        <f>G32+'27'!H32</f>
        <v>-122431.02499999548</v>
      </c>
      <c r="I32" s="585"/>
      <c r="J32" s="629">
        <f>H32/DAY(B2)</f>
        <v>-4372.5366071426961</v>
      </c>
      <c r="K32" s="404"/>
      <c r="L32" s="484"/>
      <c r="N32" s="1191">
        <f>F32-'1'!E32</f>
        <v>0</v>
      </c>
      <c r="O32" s="852"/>
      <c r="P32" s="852"/>
      <c r="Q32" s="852"/>
    </row>
    <row r="33" spans="1:14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1191">
        <f>F33-'1'!E33</f>
        <v>0</v>
      </c>
    </row>
    <row r="34" spans="1:14" x14ac:dyDescent="0.5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  <c r="N34" s="1191">
        <f>F34-'1'!E34</f>
        <v>0</v>
      </c>
    </row>
    <row r="35" spans="1:14" x14ac:dyDescent="0.4">
      <c r="A35" s="655" t="s">
        <v>175</v>
      </c>
      <c r="B35" s="656"/>
      <c r="C35" s="656"/>
      <c r="D35" s="599" t="s">
        <v>143</v>
      </c>
      <c r="E35" s="824">
        <f>'27'!F35</f>
        <v>629027.67000000004</v>
      </c>
      <c r="F35" s="824">
        <v>629028</v>
      </c>
      <c r="G35" s="549">
        <f t="shared" ref="G35:G46" si="3">F35-E35</f>
        <v>0.32999999995809048</v>
      </c>
      <c r="H35" s="536">
        <f>G35+'27'!H35</f>
        <v>0.32999999995809048</v>
      </c>
      <c r="I35" s="531"/>
      <c r="J35" s="629">
        <f>H35/DAY(B2)</f>
        <v>1.1785714284217517E-2</v>
      </c>
      <c r="K35" s="467"/>
      <c r="L35" s="408"/>
      <c r="N35" s="1191">
        <f>F35-'1'!E35</f>
        <v>0.32999999995809048</v>
      </c>
    </row>
    <row r="36" spans="1:14" x14ac:dyDescent="0.4">
      <c r="A36" s="655" t="s">
        <v>176</v>
      </c>
      <c r="B36" s="656"/>
      <c r="C36" s="656"/>
      <c r="D36" s="599" t="s">
        <v>143</v>
      </c>
      <c r="E36" s="824">
        <f>'27'!F36</f>
        <v>274050.73</v>
      </c>
      <c r="F36" s="824">
        <v>274786</v>
      </c>
      <c r="G36" s="549">
        <f t="shared" si="3"/>
        <v>735.27000000001863</v>
      </c>
      <c r="H36" s="536">
        <f>G36+'27'!H36</f>
        <v>-1705.4500000000116</v>
      </c>
      <c r="I36" s="531"/>
      <c r="J36" s="629">
        <f>H36/DAY(B2)</f>
        <v>-60.908928571428987</v>
      </c>
      <c r="K36" s="467"/>
      <c r="L36" s="408"/>
      <c r="N36" s="1191">
        <f>F36-'1'!E36</f>
        <v>-1705.4500000000116</v>
      </c>
    </row>
    <row r="37" spans="1:14" x14ac:dyDescent="0.4">
      <c r="A37" s="655" t="s">
        <v>177</v>
      </c>
      <c r="B37" s="656"/>
      <c r="C37" s="656"/>
      <c r="D37" s="599" t="s">
        <v>143</v>
      </c>
      <c r="E37" s="824">
        <f>'27'!F37</f>
        <v>415066</v>
      </c>
      <c r="F37" s="824">
        <v>415066</v>
      </c>
      <c r="G37" s="549">
        <f t="shared" si="3"/>
        <v>0</v>
      </c>
      <c r="H37" s="536">
        <f>G37+'27'!H37</f>
        <v>415066</v>
      </c>
      <c r="I37" s="531"/>
      <c r="J37" s="629">
        <f>H37/DAY(B2)</f>
        <v>14823.785714285714</v>
      </c>
      <c r="K37" s="467"/>
      <c r="L37" s="408"/>
      <c r="N37" s="1191">
        <f>F37-'1'!E37</f>
        <v>0</v>
      </c>
    </row>
    <row r="38" spans="1:14" x14ac:dyDescent="0.4">
      <c r="A38" s="655" t="s">
        <v>178</v>
      </c>
      <c r="B38" s="656"/>
      <c r="C38" s="656"/>
      <c r="D38" s="599" t="s">
        <v>143</v>
      </c>
      <c r="E38" s="824">
        <f>'27'!F38</f>
        <v>150714</v>
      </c>
      <c r="F38" s="546">
        <v>150714</v>
      </c>
      <c r="G38" s="549">
        <f t="shared" si="3"/>
        <v>0</v>
      </c>
      <c r="H38" s="536">
        <f>G38+'27'!H38</f>
        <v>150616.12</v>
      </c>
      <c r="I38" s="531"/>
      <c r="J38" s="629">
        <f>H38/DAY(B2)</f>
        <v>5379.1471428571431</v>
      </c>
      <c r="K38" s="467"/>
      <c r="L38" s="408"/>
      <c r="N38" s="1191">
        <f>F38-'1'!E38</f>
        <v>150616.12</v>
      </c>
    </row>
    <row r="39" spans="1:14" x14ac:dyDescent="0.4">
      <c r="A39" s="655" t="s">
        <v>179</v>
      </c>
      <c r="B39" s="656"/>
      <c r="C39" s="656"/>
      <c r="D39" s="599" t="s">
        <v>143</v>
      </c>
      <c r="E39" s="824">
        <f>'27'!F39</f>
        <v>912480</v>
      </c>
      <c r="F39" s="824">
        <v>912480</v>
      </c>
      <c r="G39" s="549">
        <f>F39-E39</f>
        <v>0</v>
      </c>
      <c r="H39" s="536">
        <f>G39+'27'!H39</f>
        <v>912480</v>
      </c>
      <c r="I39" s="531"/>
      <c r="J39" s="629">
        <f>H39/DAY(B2)</f>
        <v>32588.571428571428</v>
      </c>
      <c r="K39" s="467"/>
      <c r="L39" s="408"/>
      <c r="N39" s="1191">
        <f>F39-'1'!E39</f>
        <v>0</v>
      </c>
    </row>
    <row r="40" spans="1:14" x14ac:dyDescent="0.4">
      <c r="A40" s="676" t="s">
        <v>180</v>
      </c>
      <c r="B40" s="677"/>
      <c r="C40" s="677"/>
      <c r="D40" s="599" t="s">
        <v>143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1">
        <f>F40-'1'!E40</f>
        <v>0</v>
      </c>
    </row>
    <row r="41" spans="1:14" x14ac:dyDescent="0.4">
      <c r="A41" s="655" t="s">
        <v>181</v>
      </c>
      <c r="B41" s="656"/>
      <c r="C41" s="656"/>
      <c r="D41" s="599" t="s">
        <v>143</v>
      </c>
      <c r="E41" s="824">
        <f>'27'!F41</f>
        <v>29963</v>
      </c>
      <c r="F41" s="824">
        <v>33797.56</v>
      </c>
      <c r="G41" s="549">
        <f t="shared" si="3"/>
        <v>3834.5599999999977</v>
      </c>
      <c r="H41" s="536">
        <f>G41+'27'!H41</f>
        <v>-10824.96</v>
      </c>
      <c r="I41" s="531"/>
      <c r="J41" s="629">
        <f>H41/DAY(B2)</f>
        <v>-386.60571428571427</v>
      </c>
      <c r="K41" s="467"/>
      <c r="L41" s="408"/>
      <c r="N41" s="1191">
        <f>F41-'1'!E41</f>
        <v>-10824.96</v>
      </c>
    </row>
    <row r="42" spans="1:14" x14ac:dyDescent="0.4">
      <c r="A42" s="655" t="s">
        <v>182</v>
      </c>
      <c r="B42" s="656"/>
      <c r="C42" s="656"/>
      <c r="D42" s="599" t="s">
        <v>143</v>
      </c>
      <c r="E42" s="824">
        <f>'27'!F42</f>
        <v>58926</v>
      </c>
      <c r="F42" s="824">
        <v>58926</v>
      </c>
      <c r="G42" s="549">
        <f t="shared" si="3"/>
        <v>0</v>
      </c>
      <c r="H42" s="536">
        <f>G42+'27'!H42</f>
        <v>0</v>
      </c>
      <c r="I42" s="531"/>
      <c r="J42" s="629">
        <f>H42/DAY(B2)</f>
        <v>0</v>
      </c>
      <c r="K42" s="467"/>
      <c r="L42" s="408"/>
      <c r="N42" s="1191">
        <f>F42-'1'!E42</f>
        <v>0</v>
      </c>
    </row>
    <row r="43" spans="1:14" x14ac:dyDescent="0.4">
      <c r="A43" s="655" t="s">
        <v>183</v>
      </c>
      <c r="B43" s="656"/>
      <c r="C43" s="656"/>
      <c r="D43" s="599" t="s">
        <v>143</v>
      </c>
      <c r="E43" s="824">
        <f>'27'!F43</f>
        <v>758512.95</v>
      </c>
      <c r="F43" s="824">
        <v>760836</v>
      </c>
      <c r="G43" s="549">
        <f t="shared" si="3"/>
        <v>2323.0500000000466</v>
      </c>
      <c r="H43" s="536">
        <f>G43+'27'!H43</f>
        <v>-6975.9100000000326</v>
      </c>
      <c r="I43" s="531"/>
      <c r="J43" s="629">
        <f>H43/DAY(B2)</f>
        <v>-249.13964285714403</v>
      </c>
      <c r="K43" s="467"/>
      <c r="L43" s="408"/>
      <c r="N43" s="1191">
        <f>F43-'1'!E43</f>
        <v>-6975.9100000000326</v>
      </c>
    </row>
    <row r="44" spans="1:14" x14ac:dyDescent="0.4">
      <c r="A44" s="655" t="s">
        <v>184</v>
      </c>
      <c r="B44" s="656"/>
      <c r="C44" s="656"/>
      <c r="D44" s="599" t="s">
        <v>143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1">
        <f>F44-'1'!E44</f>
        <v>0</v>
      </c>
    </row>
    <row r="45" spans="1:14" x14ac:dyDescent="0.4">
      <c r="A45" s="655" t="s">
        <v>185</v>
      </c>
      <c r="B45" s="656"/>
      <c r="C45" s="656"/>
      <c r="D45" s="599" t="s">
        <v>143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1">
        <f>F45-'1'!E45</f>
        <v>-0.48000000000001819</v>
      </c>
    </row>
    <row r="46" spans="1:14" x14ac:dyDescent="0.4">
      <c r="A46" s="655" t="s">
        <v>186</v>
      </c>
      <c r="B46" s="656"/>
      <c r="C46" s="656"/>
      <c r="D46" s="599" t="s">
        <v>143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1">
        <f>F46-'1'!E46</f>
        <v>-0.49000000000000909</v>
      </c>
    </row>
    <row r="47" spans="1:14" x14ac:dyDescent="0.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1458655.0999999999</v>
      </c>
      <c r="I47" s="531"/>
      <c r="J47" s="629">
        <f>H47/DAY(B2)</f>
        <v>52094.824999999997</v>
      </c>
      <c r="K47" s="467"/>
      <c r="L47" s="408"/>
      <c r="N47" s="1191">
        <f>F47-'1'!E47</f>
        <v>0</v>
      </c>
    </row>
    <row r="48" spans="1:14" x14ac:dyDescent="0.5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  <c r="N48" s="1191">
        <f>F48-'1'!E48</f>
        <v>0</v>
      </c>
    </row>
    <row r="49" spans="1:14" x14ac:dyDescent="0.4">
      <c r="A49" s="655" t="s">
        <v>175</v>
      </c>
      <c r="B49" s="678"/>
      <c r="C49" s="678"/>
      <c r="D49" s="599" t="s">
        <v>143</v>
      </c>
      <c r="E49" s="824">
        <f>'27'!F49</f>
        <v>233654.45</v>
      </c>
      <c r="F49" s="824">
        <v>236927</v>
      </c>
      <c r="G49" s="549">
        <f t="shared" ref="G49:G58" si="4">F49-E49</f>
        <v>3272.5499999999884</v>
      </c>
      <c r="H49" s="536">
        <f>G49+'27'!H49</f>
        <v>-8972.0499999999884</v>
      </c>
      <c r="I49" s="531"/>
      <c r="J49" s="629">
        <f>H49/DAY(B2)</f>
        <v>-320.43035714285674</v>
      </c>
      <c r="K49" s="467"/>
      <c r="L49" s="408"/>
      <c r="N49" s="1191">
        <f>F49-'1'!E49</f>
        <v>-8972.0499999999884</v>
      </c>
    </row>
    <row r="50" spans="1:14" x14ac:dyDescent="0.4">
      <c r="A50" s="655" t="s">
        <v>189</v>
      </c>
      <c r="B50" s="678"/>
      <c r="C50" s="678"/>
      <c r="D50" s="599" t="s">
        <v>143</v>
      </c>
      <c r="E50" s="824">
        <f>'27'!F50</f>
        <v>363910</v>
      </c>
      <c r="F50" s="824">
        <v>365372</v>
      </c>
      <c r="G50" s="549">
        <f t="shared" si="4"/>
        <v>1462</v>
      </c>
      <c r="H50" s="536">
        <f>G50+'27'!H50</f>
        <v>-4288.3099999999977</v>
      </c>
      <c r="I50" s="531"/>
      <c r="J50" s="629">
        <f>H50/DAY(B2)</f>
        <v>-153.15392857142848</v>
      </c>
      <c r="K50" s="467"/>
      <c r="L50" s="408"/>
      <c r="N50" s="1191">
        <f>F50-'1'!E50</f>
        <v>-3245.3099999999977</v>
      </c>
    </row>
    <row r="51" spans="1:14" x14ac:dyDescent="0.4">
      <c r="A51" s="655" t="s">
        <v>177</v>
      </c>
      <c r="B51" s="678"/>
      <c r="C51" s="678"/>
      <c r="D51" s="599" t="s">
        <v>143</v>
      </c>
      <c r="E51" s="824">
        <f>'27'!F51</f>
        <v>104026.54</v>
      </c>
      <c r="F51" s="824">
        <v>105472</v>
      </c>
      <c r="G51" s="549">
        <f t="shared" si="4"/>
        <v>1445.4600000000064</v>
      </c>
      <c r="H51" s="536">
        <f>G51+'27'!H51</f>
        <v>-4627.7400000000052</v>
      </c>
      <c r="I51" s="531"/>
      <c r="J51" s="629">
        <f>H51/DAY(B2)</f>
        <v>-165.27642857142877</v>
      </c>
      <c r="K51" s="467"/>
      <c r="L51" s="408"/>
      <c r="N51" s="1191">
        <f>F51-'1'!E51</f>
        <v>-4627.7400000000052</v>
      </c>
    </row>
    <row r="52" spans="1:14" x14ac:dyDescent="0.4">
      <c r="A52" s="655" t="s">
        <v>190</v>
      </c>
      <c r="B52" s="678"/>
      <c r="C52" s="678"/>
      <c r="D52" s="599" t="s">
        <v>143</v>
      </c>
      <c r="E52" s="824">
        <f>'27'!F52</f>
        <v>486112.79</v>
      </c>
      <c r="F52" s="824">
        <v>487847</v>
      </c>
      <c r="G52" s="549">
        <f t="shared" si="4"/>
        <v>1734.210000000021</v>
      </c>
      <c r="H52" s="536">
        <f>G52+'27'!H52</f>
        <v>-5961.6699999999837</v>
      </c>
      <c r="I52" s="531"/>
      <c r="J52" s="629">
        <f>H52/DAY(B2)</f>
        <v>-212.91678571428514</v>
      </c>
      <c r="K52" s="467"/>
      <c r="L52" s="408"/>
      <c r="N52" s="1191">
        <f>F52-'1'!E52</f>
        <v>-5961.6699999999837</v>
      </c>
    </row>
    <row r="53" spans="1:14" x14ac:dyDescent="0.4">
      <c r="A53" s="655" t="s">
        <v>179</v>
      </c>
      <c r="B53" s="678"/>
      <c r="C53" s="678"/>
      <c r="D53" s="599" t="s">
        <v>143</v>
      </c>
      <c r="E53" s="824">
        <f>'27'!F53</f>
        <v>287574</v>
      </c>
      <c r="F53" s="824">
        <v>291747</v>
      </c>
      <c r="G53" s="549">
        <f t="shared" si="4"/>
        <v>4173</v>
      </c>
      <c r="H53" s="536">
        <f>G53+'27'!H53</f>
        <v>-12551.270000000019</v>
      </c>
      <c r="I53" s="531"/>
      <c r="J53" s="629">
        <f>H53/DAY(B2)</f>
        <v>-448.25964285714355</v>
      </c>
      <c r="K53" s="467"/>
      <c r="L53" s="408"/>
      <c r="N53" s="1191">
        <f>F53-'1'!E53</f>
        <v>-12551.270000000019</v>
      </c>
    </row>
    <row r="54" spans="1:14" x14ac:dyDescent="0.4">
      <c r="A54" s="655" t="s">
        <v>191</v>
      </c>
      <c r="B54" s="678"/>
      <c r="C54" s="678"/>
      <c r="D54" s="599" t="s">
        <v>143</v>
      </c>
      <c r="E54" s="824">
        <f>'27'!F54</f>
        <v>6126.55</v>
      </c>
      <c r="F54" s="824">
        <v>6177</v>
      </c>
      <c r="G54" s="549">
        <f t="shared" si="4"/>
        <v>50.449999999999818</v>
      </c>
      <c r="H54" s="536">
        <f>G54+'27'!H54</f>
        <v>-211.80000000000018</v>
      </c>
      <c r="I54" s="531"/>
      <c r="J54" s="629">
        <f>H54/DAY(B2)</f>
        <v>-7.5642857142857212</v>
      </c>
      <c r="K54" s="467"/>
      <c r="L54" s="408"/>
      <c r="N54" s="1191">
        <f>F54-'1'!E54</f>
        <v>-139.64000000000033</v>
      </c>
    </row>
    <row r="55" spans="1:14" x14ac:dyDescent="0.4">
      <c r="A55" s="655" t="s">
        <v>192</v>
      </c>
      <c r="B55" s="678"/>
      <c r="C55" s="678"/>
      <c r="D55" s="599" t="s">
        <v>143</v>
      </c>
      <c r="E55" s="824">
        <f>'27'!F55</f>
        <v>39120.58</v>
      </c>
      <c r="F55" s="825">
        <v>39121</v>
      </c>
      <c r="G55" s="733">
        <f t="shared" si="4"/>
        <v>0.41999999999825377</v>
      </c>
      <c r="H55" s="787">
        <f>G55+'27'!H55</f>
        <v>-3866.9800000000032</v>
      </c>
      <c r="I55" s="788"/>
      <c r="J55" s="789">
        <f>H55/DAY(B2)</f>
        <v>-138.10642857142869</v>
      </c>
      <c r="K55" s="467"/>
      <c r="L55" s="408"/>
      <c r="N55" s="1191">
        <f>F55-'1'!E55</f>
        <v>0.41999999999825377</v>
      </c>
    </row>
    <row r="56" spans="1:14" x14ac:dyDescent="0.4">
      <c r="A56" s="655" t="s">
        <v>193</v>
      </c>
      <c r="B56" s="678"/>
      <c r="C56" s="678"/>
      <c r="D56" s="599" t="s">
        <v>194</v>
      </c>
      <c r="E56" s="824">
        <f>'27'!F56</f>
        <v>557730.15</v>
      </c>
      <c r="F56" s="825">
        <v>557730</v>
      </c>
      <c r="G56" s="549">
        <f t="shared" si="4"/>
        <v>-0.15000000002328306</v>
      </c>
      <c r="H56" s="536">
        <f>G56+'27'!H56</f>
        <v>-1.9100000000325963</v>
      </c>
      <c r="I56" s="531"/>
      <c r="J56" s="629">
        <f>H56/DAY(B2)</f>
        <v>-6.8214285715449866E-2</v>
      </c>
      <c r="K56" s="466"/>
      <c r="L56" s="408"/>
      <c r="N56" s="1191">
        <f>F56-'1'!E56</f>
        <v>-1.9100000000325963</v>
      </c>
    </row>
    <row r="57" spans="1:14" x14ac:dyDescent="0.4">
      <c r="A57" s="655" t="s">
        <v>183</v>
      </c>
      <c r="B57" s="678"/>
      <c r="C57" s="678"/>
      <c r="D57" s="599" t="s">
        <v>143</v>
      </c>
      <c r="E57" s="824">
        <f>'27'!F57</f>
        <v>0</v>
      </c>
      <c r="F57" s="824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191">
        <f>F57-'1'!E57</f>
        <v>0</v>
      </c>
    </row>
    <row r="58" spans="1:14" x14ac:dyDescent="0.4">
      <c r="A58" s="655" t="s">
        <v>195</v>
      </c>
      <c r="B58" s="678"/>
      <c r="C58" s="678"/>
      <c r="D58" s="599" t="s">
        <v>143</v>
      </c>
      <c r="E58" s="824">
        <f>'27'!F58</f>
        <v>30038</v>
      </c>
      <c r="F58" s="1324">
        <v>30038</v>
      </c>
      <c r="G58" s="549">
        <f t="shared" si="4"/>
        <v>0</v>
      </c>
      <c r="H58" s="536">
        <f>G58+'27'!H58</f>
        <v>-691.53999999999724</v>
      </c>
      <c r="I58" s="531"/>
      <c r="J58" s="629">
        <f>H58/DAY(B2)</f>
        <v>-24.697857142857043</v>
      </c>
      <c r="K58" s="467"/>
      <c r="L58" s="408"/>
      <c r="N58" s="1191">
        <f>F58-'1'!E58</f>
        <v>-493.90999999999985</v>
      </c>
    </row>
    <row r="59" spans="1:14" x14ac:dyDescent="0.5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-41173.269999999946</v>
      </c>
      <c r="I59" s="531">
        <f>G7-G60</f>
        <v>325.84999999998763</v>
      </c>
      <c r="J59" s="629">
        <f>H59/DAY(B2)</f>
        <v>-1470.4739285714265</v>
      </c>
      <c r="K59" s="467"/>
      <c r="L59" s="408"/>
      <c r="N59" s="1191">
        <f>F59-'1'!E59</f>
        <v>0</v>
      </c>
    </row>
    <row r="60" spans="1:14" x14ac:dyDescent="0.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1422662.02</v>
      </c>
      <c r="I60" s="531">
        <f>G13-G60</f>
        <v>-327.2500000001055</v>
      </c>
      <c r="J60" s="629">
        <f>H60/DAY(B2)</f>
        <v>50809.357857142859</v>
      </c>
      <c r="K60" s="467"/>
      <c r="L60" s="408"/>
      <c r="N60" s="1191">
        <f>F60-'1'!E60</f>
        <v>0</v>
      </c>
    </row>
    <row r="61" spans="1:14" x14ac:dyDescent="0.5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1">
        <f>F61-'1'!E61</f>
        <v>0</v>
      </c>
    </row>
    <row r="62" spans="1:14" x14ac:dyDescent="0.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1">
        <f>F62-'1'!E62</f>
        <v>-1.9999999967694748E-3</v>
      </c>
    </row>
    <row r="63" spans="1:14" x14ac:dyDescent="0.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-38.869999999999891</v>
      </c>
      <c r="I63" s="591"/>
      <c r="J63" s="629">
        <f>H63/DAY(B2)</f>
        <v>-1.3882142857142818</v>
      </c>
      <c r="K63" s="467"/>
      <c r="L63" s="408"/>
      <c r="N63" s="1191">
        <f>F63-'1'!E63</f>
        <v>-38.869999999999891</v>
      </c>
    </row>
    <row r="64" spans="1:14" ht="27.75" x14ac:dyDescent="0.5">
      <c r="A64" s="1387" t="s">
        <v>107</v>
      </c>
      <c r="B64" s="1388"/>
      <c r="C64" s="1389"/>
      <c r="D64" s="599" t="s">
        <v>198</v>
      </c>
      <c r="E64" s="590">
        <f>'27'!F64</f>
        <v>109552.79</v>
      </c>
      <c r="F64" s="820">
        <v>110016</v>
      </c>
      <c r="G64" s="549">
        <f t="shared" si="5"/>
        <v>463.2100000000064</v>
      </c>
      <c r="H64" s="536">
        <f>G64+'27'!H64</f>
        <v>-1267.4600000000064</v>
      </c>
      <c r="I64" s="556"/>
      <c r="J64" s="629">
        <f>H64/DAY(B2)</f>
        <v>-45.266428571428797</v>
      </c>
      <c r="K64" s="467"/>
      <c r="L64" s="408"/>
      <c r="N64" s="1191">
        <f>F64-'1'!E64</f>
        <v>-1267.4600000000064</v>
      </c>
    </row>
    <row r="65" spans="1:14" ht="27.75" x14ac:dyDescent="0.5">
      <c r="A65" s="1387" t="s">
        <v>108</v>
      </c>
      <c r="B65" s="1388"/>
      <c r="C65" s="1389"/>
      <c r="D65" s="599" t="s">
        <v>198</v>
      </c>
      <c r="E65" s="590">
        <f>'27'!F65</f>
        <v>120175</v>
      </c>
      <c r="F65" s="827">
        <v>120566.18</v>
      </c>
      <c r="G65" s="549">
        <f t="shared" si="5"/>
        <v>391.17999999999302</v>
      </c>
      <c r="H65" s="536">
        <f>G65+'27'!H65</f>
        <v>-1166.9300000000076</v>
      </c>
      <c r="I65" s="565"/>
      <c r="J65" s="629">
        <f>H65/DAY(B2)</f>
        <v>-41.676071428571696</v>
      </c>
      <c r="K65" s="467"/>
      <c r="L65" s="408"/>
      <c r="N65" s="1191">
        <f>F65-'1'!E65</f>
        <v>-1166.9300000000076</v>
      </c>
    </row>
    <row r="66" spans="1:14" ht="27.75" x14ac:dyDescent="0.5">
      <c r="A66" s="1387" t="s">
        <v>109</v>
      </c>
      <c r="B66" s="1388"/>
      <c r="C66" s="1389"/>
      <c r="D66" s="599" t="s">
        <v>198</v>
      </c>
      <c r="E66" s="590">
        <f>'27'!F66</f>
        <v>12487.61</v>
      </c>
      <c r="F66" s="820">
        <v>12904</v>
      </c>
      <c r="G66" s="549">
        <f t="shared" si="5"/>
        <v>416.38999999999942</v>
      </c>
      <c r="H66" s="536">
        <f>G66+'27'!H66</f>
        <v>-1255.7399999999998</v>
      </c>
      <c r="I66" s="556"/>
      <c r="J66" s="629">
        <f>H66/DAY(B2)</f>
        <v>-44.847857142857137</v>
      </c>
      <c r="K66" s="467"/>
      <c r="L66" s="408"/>
      <c r="N66" s="1191">
        <f>F66-'1'!E66</f>
        <v>-1255.7399999999998</v>
      </c>
    </row>
    <row r="67" spans="1:14" ht="27.75" x14ac:dyDescent="0.5">
      <c r="A67" s="1387" t="s">
        <v>110</v>
      </c>
      <c r="B67" s="1388"/>
      <c r="C67" s="1389"/>
      <c r="D67" s="599" t="s">
        <v>198</v>
      </c>
      <c r="E67" s="590">
        <f>'27'!F67</f>
        <v>185945</v>
      </c>
      <c r="F67" s="820">
        <v>186593</v>
      </c>
      <c r="G67" s="549">
        <f t="shared" si="5"/>
        <v>648</v>
      </c>
      <c r="H67" s="536">
        <f>G67+'27'!H67</f>
        <v>-2081.5299999999988</v>
      </c>
      <c r="I67" s="565"/>
      <c r="J67" s="629">
        <f>H67/DAY(B2)</f>
        <v>-74.340357142857101</v>
      </c>
      <c r="K67" s="468"/>
      <c r="L67" s="408"/>
      <c r="N67" s="1191">
        <f>F67-'1'!E67</f>
        <v>-2081.5299999999988</v>
      </c>
    </row>
    <row r="68" spans="1:14" ht="27.75" x14ac:dyDescent="0.5">
      <c r="A68" s="1387" t="s">
        <v>111</v>
      </c>
      <c r="B68" s="1388"/>
      <c r="C68" s="1389"/>
      <c r="D68" s="599" t="s">
        <v>198</v>
      </c>
      <c r="E68" s="590">
        <f>'27'!F68</f>
        <v>62030</v>
      </c>
      <c r="F68" s="820">
        <v>62358</v>
      </c>
      <c r="G68" s="549">
        <f t="shared" si="5"/>
        <v>328</v>
      </c>
      <c r="H68" s="536">
        <f>G68+'27'!H68</f>
        <v>-941.86000000000058</v>
      </c>
      <c r="I68" s="592"/>
      <c r="J68" s="629">
        <f>H68/DAY(B2)</f>
        <v>-33.637857142857165</v>
      </c>
      <c r="K68" s="469"/>
      <c r="L68" s="408"/>
      <c r="N68" s="1191">
        <f>F68-'1'!E68</f>
        <v>-941.86000000000058</v>
      </c>
    </row>
    <row r="69" spans="1:14" ht="27.75" x14ac:dyDescent="0.5">
      <c r="A69" s="1387" t="s">
        <v>112</v>
      </c>
      <c r="B69" s="1388"/>
      <c r="C69" s="1389"/>
      <c r="D69" s="599" t="s">
        <v>198</v>
      </c>
      <c r="E69" s="590">
        <f>'27'!F69</f>
        <v>54472.81</v>
      </c>
      <c r="F69" s="820">
        <v>54778</v>
      </c>
      <c r="G69" s="549">
        <f t="shared" si="5"/>
        <v>305.19000000000233</v>
      </c>
      <c r="H69" s="536">
        <f>G69+'27'!H69</f>
        <v>-945.70999999999913</v>
      </c>
      <c r="I69" s="592"/>
      <c r="J69" s="629">
        <f>H69/DAY(B2)</f>
        <v>-33.775357142857111</v>
      </c>
      <c r="K69" s="470"/>
      <c r="L69" s="408"/>
      <c r="N69" s="1191">
        <f>F69-'1'!E69</f>
        <v>-945.70999999999913</v>
      </c>
    </row>
    <row r="70" spans="1:14" ht="27.75" x14ac:dyDescent="0.5">
      <c r="A70" s="1419" t="s">
        <v>200</v>
      </c>
      <c r="B70" s="1420"/>
      <c r="C70" s="1421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1">
        <f>F70-'1'!E70</f>
        <v>0</v>
      </c>
    </row>
    <row r="71" spans="1:14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1191">
        <f>F71-'1'!E71</f>
        <v>0</v>
      </c>
    </row>
    <row r="72" spans="1:14" ht="27.75" x14ac:dyDescent="0.5">
      <c r="A72" s="1387" t="s">
        <v>202</v>
      </c>
      <c r="B72" s="1388"/>
      <c r="C72" s="1389"/>
      <c r="D72" s="599" t="s">
        <v>198</v>
      </c>
      <c r="E72" s="845">
        <f>'27'!F72</f>
        <v>848139</v>
      </c>
      <c r="F72" s="829">
        <v>848208</v>
      </c>
      <c r="G72" s="549">
        <f t="shared" ref="G72:G84" si="6">F72-E72</f>
        <v>69</v>
      </c>
      <c r="H72" s="536">
        <f>G72+'27'!H72</f>
        <v>-344</v>
      </c>
      <c r="I72" s="556"/>
      <c r="J72" s="629">
        <f>H72/DAY(B2)</f>
        <v>-12.285714285714286</v>
      </c>
      <c r="K72" s="470"/>
      <c r="L72" s="408"/>
      <c r="N72" s="1191">
        <f>F72-'1'!E72</f>
        <v>-257</v>
      </c>
    </row>
    <row r="73" spans="1:14" ht="27.75" x14ac:dyDescent="0.5">
      <c r="A73" s="1387" t="s">
        <v>203</v>
      </c>
      <c r="B73" s="1388"/>
      <c r="C73" s="1389"/>
      <c r="D73" s="599" t="s">
        <v>198</v>
      </c>
      <c r="E73" s="845">
        <f>'27'!F73</f>
        <v>885727</v>
      </c>
      <c r="F73" s="830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191">
        <f>F73-'1'!E73</f>
        <v>-1</v>
      </c>
    </row>
    <row r="74" spans="1:14" ht="27.75" x14ac:dyDescent="0.5">
      <c r="A74" s="1387" t="s">
        <v>204</v>
      </c>
      <c r="B74" s="1388"/>
      <c r="C74" s="1389"/>
      <c r="D74" s="599" t="s">
        <v>198</v>
      </c>
      <c r="E74" s="845">
        <f>'27'!F74</f>
        <v>882243</v>
      </c>
      <c r="F74" s="830">
        <v>882274</v>
      </c>
      <c r="G74" s="549">
        <f t="shared" si="6"/>
        <v>31</v>
      </c>
      <c r="H74" s="536">
        <f>G74+'27'!H74</f>
        <v>882503.1</v>
      </c>
      <c r="I74" s="556"/>
      <c r="J74" s="629">
        <f>H74/DAY(B2)</f>
        <v>31517.967857142856</v>
      </c>
      <c r="K74" s="470"/>
      <c r="L74" s="408"/>
      <c r="N74" s="1191">
        <f>F74-'1'!E74</f>
        <v>-95</v>
      </c>
    </row>
    <row r="75" spans="1:14" ht="27.75" x14ac:dyDescent="0.5">
      <c r="A75" s="1436" t="s">
        <v>205</v>
      </c>
      <c r="B75" s="1437"/>
      <c r="C75" s="1438"/>
      <c r="D75" s="599" t="s">
        <v>198</v>
      </c>
      <c r="E75" s="845">
        <f>'27'!F75</f>
        <v>736737</v>
      </c>
      <c r="F75" s="830">
        <v>736927</v>
      </c>
      <c r="G75" s="549">
        <f t="shared" si="6"/>
        <v>190</v>
      </c>
      <c r="H75" s="536">
        <f>G75+'27'!H75</f>
        <v>738463.4</v>
      </c>
      <c r="I75" s="556"/>
      <c r="J75" s="629">
        <f>H75/DAY(B2)</f>
        <v>26373.692857142858</v>
      </c>
      <c r="K75" s="469"/>
      <c r="L75" s="408"/>
      <c r="N75" s="1191">
        <f>F75-'1'!E75</f>
        <v>-592</v>
      </c>
    </row>
    <row r="76" spans="1:14" ht="27.75" x14ac:dyDescent="0.5">
      <c r="A76" s="1436" t="s">
        <v>206</v>
      </c>
      <c r="B76" s="1437"/>
      <c r="C76" s="1438"/>
      <c r="D76" s="599" t="s">
        <v>198</v>
      </c>
      <c r="E76" s="845">
        <f>'27'!F76</f>
        <v>686721</v>
      </c>
      <c r="F76" s="830">
        <v>686795</v>
      </c>
      <c r="G76" s="549">
        <f t="shared" si="6"/>
        <v>74</v>
      </c>
      <c r="H76" s="536">
        <f>G76+'27'!H76</f>
        <v>688792.2</v>
      </c>
      <c r="I76" s="581"/>
      <c r="J76" s="629">
        <f>H76/DAY(B2)</f>
        <v>24599.721428571425</v>
      </c>
      <c r="K76" s="469"/>
      <c r="L76" s="408"/>
      <c r="N76" s="1191">
        <f>F76-'1'!E76</f>
        <v>-219</v>
      </c>
    </row>
    <row r="77" spans="1:14" ht="27.75" x14ac:dyDescent="0.5">
      <c r="A77" s="1387" t="s">
        <v>207</v>
      </c>
      <c r="B77" s="1388"/>
      <c r="C77" s="1389"/>
      <c r="D77" s="599" t="s">
        <v>198</v>
      </c>
      <c r="E77" s="845">
        <f>'27'!F77</f>
        <v>696898</v>
      </c>
      <c r="F77" s="830">
        <v>696952</v>
      </c>
      <c r="G77" s="733">
        <f t="shared" si="6"/>
        <v>54</v>
      </c>
      <c r="H77" s="536">
        <f>G77+'27'!H77</f>
        <v>-155</v>
      </c>
      <c r="I77" s="581"/>
      <c r="J77" s="629">
        <f>H77/DAY(B2)</f>
        <v>-5.5357142857142856</v>
      </c>
      <c r="K77" s="469"/>
      <c r="L77" s="408"/>
      <c r="N77" s="1191">
        <f>F77-'1'!E77</f>
        <v>-155</v>
      </c>
    </row>
    <row r="78" spans="1:14" ht="27.75" x14ac:dyDescent="0.5">
      <c r="A78" s="1234" t="s">
        <v>208</v>
      </c>
      <c r="B78" s="1205"/>
      <c r="C78" s="1205"/>
      <c r="D78" s="599" t="s">
        <v>198</v>
      </c>
      <c r="E78" s="845">
        <f>'27'!F78</f>
        <v>640348</v>
      </c>
      <c r="F78" s="830">
        <v>640706</v>
      </c>
      <c r="G78" s="733">
        <f t="shared" si="6"/>
        <v>358</v>
      </c>
      <c r="H78" s="536">
        <f>G78+'27'!H78</f>
        <v>-1247</v>
      </c>
      <c r="I78" s="581"/>
      <c r="J78" s="629">
        <f>H78/DAY(B2)</f>
        <v>-44.535714285714285</v>
      </c>
      <c r="K78" s="469"/>
      <c r="L78" s="408"/>
      <c r="N78" s="1191">
        <f>F78-'1'!E78</f>
        <v>-1247</v>
      </c>
    </row>
    <row r="79" spans="1:14" ht="27.75" x14ac:dyDescent="0.5">
      <c r="A79" s="1436" t="s">
        <v>97</v>
      </c>
      <c r="B79" s="1437"/>
      <c r="C79" s="1438"/>
      <c r="D79" s="600" t="s">
        <v>198</v>
      </c>
      <c r="E79" s="845">
        <f>'27'!F79</f>
        <v>808948</v>
      </c>
      <c r="F79" s="831">
        <v>809124</v>
      </c>
      <c r="G79" s="549">
        <f t="shared" si="6"/>
        <v>176</v>
      </c>
      <c r="H79" s="536">
        <f>G79+'27'!H79</f>
        <v>2298</v>
      </c>
      <c r="I79" s="581"/>
      <c r="J79" s="629">
        <f>H79/DAY(B2)</f>
        <v>82.071428571428569</v>
      </c>
      <c r="K79" s="469"/>
      <c r="L79" s="408"/>
      <c r="N79" s="1191">
        <f>F79-'1'!E79</f>
        <v>-567</v>
      </c>
    </row>
    <row r="80" spans="1:14" ht="27.75" x14ac:dyDescent="0.5">
      <c r="A80" s="1436" t="s">
        <v>209</v>
      </c>
      <c r="B80" s="1437"/>
      <c r="C80" s="1438"/>
      <c r="D80" s="600" t="s">
        <v>198</v>
      </c>
      <c r="E80" s="845">
        <f>'27'!F80</f>
        <v>483852</v>
      </c>
      <c r="F80" s="830">
        <v>484187</v>
      </c>
      <c r="G80" s="549">
        <f t="shared" si="6"/>
        <v>335</v>
      </c>
      <c r="H80" s="536">
        <f>G80+'27'!H80</f>
        <v>-2394.679999999993</v>
      </c>
      <c r="I80" s="581"/>
      <c r="J80" s="629">
        <f>H80/DAY(B2)</f>
        <v>-85.524285714285469</v>
      </c>
      <c r="K80" s="469"/>
      <c r="L80" s="408"/>
      <c r="N80" s="1191">
        <f>F80-'1'!E80</f>
        <v>-940</v>
      </c>
    </row>
    <row r="81" spans="1:17" ht="27.75" x14ac:dyDescent="0.5">
      <c r="A81" s="1436" t="s">
        <v>210</v>
      </c>
      <c r="B81" s="1437"/>
      <c r="C81" s="1438"/>
      <c r="D81" s="600" t="s">
        <v>198</v>
      </c>
      <c r="E81" s="845">
        <f>'27'!F81</f>
        <v>622369</v>
      </c>
      <c r="F81" s="830">
        <v>622474</v>
      </c>
      <c r="G81" s="549">
        <f t="shared" si="6"/>
        <v>105</v>
      </c>
      <c r="H81" s="536">
        <f>G81+'27'!H81</f>
        <v>-301</v>
      </c>
      <c r="I81" s="581"/>
      <c r="J81" s="629">
        <f>H81/DAY(B2)</f>
        <v>-10.75</v>
      </c>
      <c r="K81" s="469"/>
      <c r="L81" s="408"/>
      <c r="N81" s="1191">
        <f>F81-'1'!E81</f>
        <v>-301</v>
      </c>
    </row>
    <row r="82" spans="1:17" ht="27.75" x14ac:dyDescent="0.5">
      <c r="A82" s="1436" t="s">
        <v>100</v>
      </c>
      <c r="B82" s="1437"/>
      <c r="C82" s="1438"/>
      <c r="D82" s="561" t="s">
        <v>143</v>
      </c>
      <c r="E82" s="845">
        <f>'27'!F82</f>
        <v>105271.72</v>
      </c>
      <c r="F82" s="827">
        <v>105280.37</v>
      </c>
      <c r="G82" s="549">
        <f t="shared" si="6"/>
        <v>8.6499999999941792</v>
      </c>
      <c r="H82" s="536">
        <f>G82+'27'!H82</f>
        <v>-159.63000000000466</v>
      </c>
      <c r="I82" s="562"/>
      <c r="J82" s="629">
        <f>H82/DAY(B2)</f>
        <v>-5.7010714285715949</v>
      </c>
      <c r="K82" s="469"/>
      <c r="L82" s="408"/>
      <c r="N82" s="1191">
        <f>F82-'1'!E82</f>
        <v>-159.63000000000466</v>
      </c>
    </row>
    <row r="83" spans="1:17" ht="27.75" x14ac:dyDescent="0.5">
      <c r="A83" s="1436" t="s">
        <v>211</v>
      </c>
      <c r="B83" s="1437"/>
      <c r="C83" s="1438"/>
      <c r="D83" s="697" t="s">
        <v>143</v>
      </c>
      <c r="E83" s="845">
        <f>'27'!F83</f>
        <v>982274</v>
      </c>
      <c r="F83" s="546">
        <v>982567</v>
      </c>
      <c r="G83" s="549">
        <f t="shared" si="6"/>
        <v>293</v>
      </c>
      <c r="H83" s="536">
        <f>G83+'27'!H83</f>
        <v>-1174</v>
      </c>
      <c r="I83" s="557"/>
      <c r="J83" s="629">
        <f>H83/DAY(B2)</f>
        <v>-41.928571428571431</v>
      </c>
      <c r="K83" s="468"/>
      <c r="L83" s="408"/>
      <c r="N83" s="1191">
        <f>F83-'1'!E83</f>
        <v>-1174</v>
      </c>
    </row>
    <row r="84" spans="1:17" x14ac:dyDescent="0.5">
      <c r="A84" s="1235" t="s">
        <v>212</v>
      </c>
      <c r="B84" s="648"/>
      <c r="C84" s="648"/>
      <c r="D84" s="554" t="s">
        <v>143</v>
      </c>
      <c r="E84" s="845">
        <f>'27'!F84</f>
        <v>413993</v>
      </c>
      <c r="F84" s="787">
        <v>414533</v>
      </c>
      <c r="G84" s="549">
        <f t="shared" si="6"/>
        <v>540</v>
      </c>
      <c r="H84" s="536">
        <f>G84+'27'!H84</f>
        <v>-1540</v>
      </c>
      <c r="I84" s="557"/>
      <c r="J84" s="629">
        <f>H84/DAY(B2)</f>
        <v>-55</v>
      </c>
      <c r="K84" s="411"/>
      <c r="L84" s="408"/>
      <c r="N84" s="1191">
        <f>F84-'1'!E84</f>
        <v>-1540</v>
      </c>
    </row>
    <row r="85" spans="1:17" s="410" customFormat="1" x14ac:dyDescent="0.5">
      <c r="A85" s="682" t="s">
        <v>213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2233.6499999999942</v>
      </c>
      <c r="H85" s="536">
        <f>G85+'27'!H85</f>
        <v>2300384.0199999996</v>
      </c>
      <c r="I85" s="557"/>
      <c r="J85" s="629">
        <f>H85/DAY(B2)</f>
        <v>82156.572142857127</v>
      </c>
      <c r="K85" s="411"/>
      <c r="L85" s="409"/>
      <c r="N85" s="1191">
        <f>F85-'1'!E85</f>
        <v>0</v>
      </c>
      <c r="O85" s="852"/>
      <c r="P85" s="852"/>
      <c r="Q85" s="852"/>
    </row>
    <row r="86" spans="1:17" s="817" customFormat="1" x14ac:dyDescent="0.5">
      <c r="A86" s="812" t="s">
        <v>102</v>
      </c>
      <c r="B86" s="813"/>
      <c r="C86" s="813"/>
      <c r="D86" s="814" t="s">
        <v>194</v>
      </c>
      <c r="E86" s="787">
        <f>'27'!F86</f>
        <v>446695</v>
      </c>
      <c r="F86" s="832">
        <v>446801</v>
      </c>
      <c r="G86" s="787">
        <f t="shared" ref="G86:G88" si="7">F86-E86</f>
        <v>106</v>
      </c>
      <c r="H86" s="787">
        <f t="shared" ref="H86:H88" si="8">G86</f>
        <v>106</v>
      </c>
      <c r="I86" s="733"/>
      <c r="J86" s="789">
        <f>H86/DAY(B2)</f>
        <v>3.7857142857142856</v>
      </c>
      <c r="K86" s="815"/>
      <c r="L86" s="816"/>
      <c r="N86" s="1191">
        <f>F86-'1'!E86</f>
        <v>-305</v>
      </c>
      <c r="O86" s="852"/>
      <c r="P86" s="852"/>
      <c r="Q86" s="853"/>
    </row>
    <row r="87" spans="1:17" s="817" customFormat="1" x14ac:dyDescent="0.5">
      <c r="A87" s="812" t="s">
        <v>103</v>
      </c>
      <c r="B87" s="813"/>
      <c r="C87" s="813"/>
      <c r="D87" s="814" t="s">
        <v>194</v>
      </c>
      <c r="E87" s="787">
        <f>'27'!F87</f>
        <v>78346.8</v>
      </c>
      <c r="F87" s="832">
        <v>78375.899999999994</v>
      </c>
      <c r="G87" s="787">
        <f t="shared" si="7"/>
        <v>29.099999999991269</v>
      </c>
      <c r="H87" s="787">
        <f t="shared" si="8"/>
        <v>29.099999999991269</v>
      </c>
      <c r="I87" s="733"/>
      <c r="J87" s="789">
        <f>H87/DAY(B2)</f>
        <v>1.0392857142854024</v>
      </c>
      <c r="K87" s="815"/>
      <c r="L87" s="816"/>
      <c r="N87" s="1191">
        <f>F87-'1'!E87</f>
        <v>-70.400000000008731</v>
      </c>
      <c r="O87" s="852"/>
      <c r="P87" s="852"/>
      <c r="Q87" s="853"/>
    </row>
    <row r="88" spans="1:17" s="817" customFormat="1" x14ac:dyDescent="0.5">
      <c r="A88" s="812" t="s">
        <v>104</v>
      </c>
      <c r="B88" s="813"/>
      <c r="C88" s="813"/>
      <c r="D88" s="814" t="s">
        <v>194</v>
      </c>
      <c r="E88" s="787">
        <f>'27'!F88</f>
        <v>146228</v>
      </c>
      <c r="F88" s="832">
        <v>146266</v>
      </c>
      <c r="G88" s="787">
        <f t="shared" si="7"/>
        <v>38</v>
      </c>
      <c r="H88" s="787">
        <f t="shared" si="8"/>
        <v>38</v>
      </c>
      <c r="I88" s="733"/>
      <c r="J88" s="789">
        <f>H88/DAY(B2)</f>
        <v>1.3571428571428572</v>
      </c>
      <c r="K88" s="815"/>
      <c r="L88" s="816"/>
      <c r="N88" s="1191">
        <f>F88-'1'!E88</f>
        <v>-236</v>
      </c>
      <c r="O88" s="852"/>
      <c r="P88" s="852"/>
      <c r="Q88" s="853"/>
    </row>
    <row r="89" spans="1:17" s="817" customFormat="1" x14ac:dyDescent="0.5">
      <c r="A89" s="812" t="s">
        <v>215</v>
      </c>
      <c r="B89" s="813"/>
      <c r="C89" s="813"/>
      <c r="D89" s="814" t="s">
        <v>194</v>
      </c>
      <c r="E89" s="787">
        <f>'27'!F89</f>
        <v>59477</v>
      </c>
      <c r="F89" s="832">
        <v>59582</v>
      </c>
      <c r="G89" s="787">
        <f t="shared" ref="G89:G90" si="9">F89-E89</f>
        <v>105</v>
      </c>
      <c r="H89" s="787">
        <f t="shared" ref="H89:H90" si="10">G89</f>
        <v>105</v>
      </c>
      <c r="I89" s="733"/>
      <c r="J89" s="789">
        <f>H89/DAY(B2)</f>
        <v>3.75</v>
      </c>
      <c r="K89" s="815"/>
      <c r="L89" s="816"/>
      <c r="N89" s="1191">
        <f>F89-'1'!E89</f>
        <v>-220</v>
      </c>
      <c r="O89" s="413"/>
    </row>
    <row r="90" spans="1:17" s="817" customFormat="1" x14ac:dyDescent="0.5">
      <c r="A90" s="812" t="s">
        <v>215</v>
      </c>
      <c r="B90" s="813"/>
      <c r="C90" s="813"/>
      <c r="D90" s="814" t="s">
        <v>194</v>
      </c>
      <c r="E90" s="787">
        <f>'27'!F90</f>
        <v>3054</v>
      </c>
      <c r="F90" s="832">
        <v>3057.8</v>
      </c>
      <c r="G90" s="787">
        <f t="shared" si="9"/>
        <v>3.8000000000001819</v>
      </c>
      <c r="H90" s="787">
        <f t="shared" si="10"/>
        <v>3.8000000000001819</v>
      </c>
      <c r="I90" s="733"/>
      <c r="J90" s="789">
        <f>H90/DAY(B2)</f>
        <v>0.1357142857142922</v>
      </c>
      <c r="K90" s="815"/>
      <c r="L90" s="816"/>
      <c r="N90" s="1191">
        <f>F90-'1'!E90</f>
        <v>-8.0999999999999091</v>
      </c>
      <c r="O90" s="413"/>
    </row>
    <row r="91" spans="1:17" s="410" customFormat="1" x14ac:dyDescent="0.5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1191">
        <f>F91-'1'!E91</f>
        <v>0</v>
      </c>
      <c r="O91" s="852"/>
      <c r="P91" s="852"/>
      <c r="Q91" s="852"/>
    </row>
    <row r="92" spans="1:17" ht="27.75" x14ac:dyDescent="0.5">
      <c r="A92" s="1390" t="s">
        <v>217</v>
      </c>
      <c r="B92" s="1391"/>
      <c r="C92" s="1392"/>
      <c r="D92" s="599" t="s">
        <v>155</v>
      </c>
      <c r="E92" s="841">
        <f>'27'!F92</f>
        <v>236279</v>
      </c>
      <c r="F92" s="820">
        <v>236336</v>
      </c>
      <c r="G92" s="549">
        <f t="shared" ref="G92:G93" si="11">F92-E92</f>
        <v>57</v>
      </c>
      <c r="H92" s="536">
        <f>G92+'27'!H92</f>
        <v>-234</v>
      </c>
      <c r="I92" s="556"/>
      <c r="J92" s="629">
        <f>H92/DAY(B2)</f>
        <v>-8.3571428571428577</v>
      </c>
      <c r="K92" s="468"/>
      <c r="L92" s="408"/>
      <c r="N92" s="1191">
        <f>F92-'1'!E92</f>
        <v>-234</v>
      </c>
    </row>
    <row r="93" spans="1:17" ht="27.75" x14ac:dyDescent="0.5">
      <c r="A93" s="1390" t="s">
        <v>218</v>
      </c>
      <c r="B93" s="1391"/>
      <c r="C93" s="1392"/>
      <c r="D93" s="599" t="s">
        <v>155</v>
      </c>
      <c r="E93" s="841">
        <f>'27'!F93</f>
        <v>170581</v>
      </c>
      <c r="F93" s="820">
        <v>170681</v>
      </c>
      <c r="G93" s="549">
        <f t="shared" si="11"/>
        <v>100</v>
      </c>
      <c r="H93" s="536">
        <f>G93+'27'!H93</f>
        <v>-495</v>
      </c>
      <c r="I93" s="556"/>
      <c r="J93" s="629">
        <f>H93/DAY(B2)</f>
        <v>-17.678571428571427</v>
      </c>
      <c r="K93" s="411"/>
      <c r="L93" s="408"/>
      <c r="N93" s="1191">
        <f>F93-'1'!E93</f>
        <v>-495</v>
      </c>
    </row>
    <row r="94" spans="1:17" x14ac:dyDescent="0.5">
      <c r="A94" s="1384" t="s">
        <v>219</v>
      </c>
      <c r="B94" s="1385"/>
      <c r="C94" s="1386"/>
      <c r="D94" s="599"/>
      <c r="E94" s="841">
        <f>'27'!F94</f>
        <v>0</v>
      </c>
      <c r="F94" s="820"/>
      <c r="G94" s="549">
        <f>G92+G93</f>
        <v>157</v>
      </c>
      <c r="H94" s="536">
        <f>G94+'27'!H94</f>
        <v>-1016</v>
      </c>
      <c r="I94" s="556"/>
      <c r="J94" s="629">
        <f>H94/DAY(B2)</f>
        <v>-36.285714285714285</v>
      </c>
      <c r="K94" s="411"/>
      <c r="L94" s="408"/>
      <c r="N94" s="1191">
        <f>F94-'1'!E94</f>
        <v>0</v>
      </c>
    </row>
    <row r="95" spans="1:17" ht="27.75" x14ac:dyDescent="0.5">
      <c r="A95" s="1390" t="s">
        <v>220</v>
      </c>
      <c r="B95" s="1391"/>
      <c r="C95" s="1392"/>
      <c r="D95" s="599" t="s">
        <v>155</v>
      </c>
      <c r="E95" s="841">
        <f>'27'!F95</f>
        <v>405645</v>
      </c>
      <c r="F95" s="820">
        <v>405688</v>
      </c>
      <c r="G95" s="549">
        <f t="shared" ref="G95:G100" si="12">F95-E95</f>
        <v>43</v>
      </c>
      <c r="H95" s="536">
        <f>G95+'27'!H95</f>
        <v>-188</v>
      </c>
      <c r="I95" s="556"/>
      <c r="J95" s="629">
        <f>H95/DAY(B2)</f>
        <v>-6.7142857142857144</v>
      </c>
      <c r="K95" s="411"/>
      <c r="L95" s="408"/>
      <c r="N95" s="1191">
        <f>F95-'1'!E95</f>
        <v>-188</v>
      </c>
    </row>
    <row r="96" spans="1:17" ht="27.75" x14ac:dyDescent="0.5">
      <c r="A96" s="1231" t="s">
        <v>221</v>
      </c>
      <c r="B96" s="1232"/>
      <c r="C96" s="1232"/>
      <c r="D96" s="599" t="s">
        <v>155</v>
      </c>
      <c r="E96" s="841">
        <f>'27'!F96</f>
        <v>100414</v>
      </c>
      <c r="F96" s="820">
        <v>100437</v>
      </c>
      <c r="G96" s="549">
        <f t="shared" si="12"/>
        <v>23</v>
      </c>
      <c r="H96" s="536">
        <f>G96+'27'!H96</f>
        <v>-97</v>
      </c>
      <c r="I96" s="556"/>
      <c r="J96" s="629">
        <f>H96/DAY(B2)</f>
        <v>-3.4642857142857144</v>
      </c>
      <c r="K96" s="466"/>
      <c r="L96" s="408"/>
      <c r="N96" s="1191">
        <f>F96-'1'!E96</f>
        <v>-97</v>
      </c>
    </row>
    <row r="97" spans="1:17" ht="27.75" x14ac:dyDescent="0.5">
      <c r="A97" s="1231" t="s">
        <v>222</v>
      </c>
      <c r="B97" s="1232"/>
      <c r="C97" s="1232"/>
      <c r="D97" s="599" t="s">
        <v>155</v>
      </c>
      <c r="E97" s="841">
        <f>'27'!F97</f>
        <v>95595</v>
      </c>
      <c r="F97" s="820">
        <v>95606</v>
      </c>
      <c r="G97" s="549">
        <f t="shared" si="12"/>
        <v>11</v>
      </c>
      <c r="H97" s="536">
        <f>G97+'27'!H97</f>
        <v>-71</v>
      </c>
      <c r="I97" s="556"/>
      <c r="J97" s="629">
        <f>H97/DAY(B2)</f>
        <v>-2.5357142857142856</v>
      </c>
      <c r="K97" s="471"/>
      <c r="L97" s="408"/>
      <c r="N97" s="1191">
        <f>F97-'1'!E97</f>
        <v>-71</v>
      </c>
    </row>
    <row r="98" spans="1:17" ht="27.75" x14ac:dyDescent="0.5">
      <c r="A98" s="1231" t="s">
        <v>223</v>
      </c>
      <c r="B98" s="1232"/>
      <c r="C98" s="1232"/>
      <c r="D98" s="599" t="s">
        <v>155</v>
      </c>
      <c r="E98" s="841">
        <f>'27'!F98</f>
        <v>145298</v>
      </c>
      <c r="F98" s="820">
        <v>145357</v>
      </c>
      <c r="G98" s="549">
        <f t="shared" si="12"/>
        <v>59</v>
      </c>
      <c r="H98" s="536">
        <f>G98+'27'!H98</f>
        <v>-197</v>
      </c>
      <c r="I98" s="556"/>
      <c r="J98" s="629">
        <f>H98/DAY(B2)</f>
        <v>-7.0357142857142856</v>
      </c>
      <c r="K98" s="411"/>
      <c r="L98" s="408"/>
      <c r="N98" s="1191">
        <f>F98-'1'!E98</f>
        <v>-197</v>
      </c>
    </row>
    <row r="99" spans="1:17" ht="27.75" x14ac:dyDescent="0.5">
      <c r="A99" s="1231" t="s">
        <v>224</v>
      </c>
      <c r="B99" s="1232"/>
      <c r="C99" s="1232"/>
      <c r="D99" s="599" t="s">
        <v>155</v>
      </c>
      <c r="E99" s="841">
        <f>'27'!F99</f>
        <v>5914</v>
      </c>
      <c r="F99" s="820">
        <v>5936</v>
      </c>
      <c r="G99" s="549">
        <f t="shared" si="12"/>
        <v>22</v>
      </c>
      <c r="H99" s="536">
        <f>G99+'27'!H99</f>
        <v>-38</v>
      </c>
      <c r="I99" s="556"/>
      <c r="J99" s="629">
        <f>H99/DAY(B2)</f>
        <v>-1.3571428571428572</v>
      </c>
      <c r="K99" s="411"/>
      <c r="L99" s="408"/>
      <c r="N99" s="1191">
        <f>F99-'1'!E99</f>
        <v>-38</v>
      </c>
    </row>
    <row r="100" spans="1:17" ht="27.75" x14ac:dyDescent="0.5">
      <c r="A100" s="1231" t="s">
        <v>225</v>
      </c>
      <c r="B100" s="1232"/>
      <c r="C100" s="1232"/>
      <c r="D100" s="599" t="s">
        <v>155</v>
      </c>
      <c r="E100" s="841">
        <f>'27'!F100</f>
        <v>4210</v>
      </c>
      <c r="F100" s="820">
        <v>4218</v>
      </c>
      <c r="G100" s="549">
        <f t="shared" si="12"/>
        <v>8</v>
      </c>
      <c r="H100" s="536">
        <f>G100+'27'!H100</f>
        <v>-19</v>
      </c>
      <c r="I100" s="556"/>
      <c r="J100" s="629">
        <f>H100/DAY(B2)</f>
        <v>-0.6785714285714286</v>
      </c>
      <c r="K100" s="411"/>
      <c r="L100" s="408"/>
      <c r="N100" s="1191">
        <f>F100-'1'!E100</f>
        <v>-19</v>
      </c>
    </row>
    <row r="101" spans="1:17" x14ac:dyDescent="0.5">
      <c r="A101" s="1384" t="s">
        <v>227</v>
      </c>
      <c r="B101" s="1385"/>
      <c r="C101" s="1386"/>
      <c r="D101" s="600"/>
      <c r="E101" s="562"/>
      <c r="F101" s="562"/>
      <c r="G101" s="601">
        <f>SUM(G95:G100)</f>
        <v>166</v>
      </c>
      <c r="H101" s="536">
        <f>G101+'27'!H101</f>
        <v>-610</v>
      </c>
      <c r="I101" s="602"/>
      <c r="J101" s="629">
        <f>H101/DAY(B2)</f>
        <v>-21.785714285714285</v>
      </c>
      <c r="K101" s="411"/>
      <c r="L101" s="408"/>
      <c r="N101" s="1191">
        <f>F101-'1'!E101</f>
        <v>0</v>
      </c>
    </row>
    <row r="102" spans="1:17" s="481" customFormat="1" ht="27" x14ac:dyDescent="0.35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1">
        <f>F102-'1'!E102</f>
        <v>0</v>
      </c>
      <c r="O102" s="852"/>
      <c r="P102" s="852"/>
      <c r="Q102" s="852"/>
    </row>
    <row r="103" spans="1:17" s="481" customFormat="1" ht="27" x14ac:dyDescent="0.5">
      <c r="A103" s="1393" t="s">
        <v>229</v>
      </c>
      <c r="B103" s="1394"/>
      <c r="C103" s="650"/>
      <c r="D103" s="699"/>
      <c r="E103" s="609"/>
      <c r="F103" s="834"/>
      <c r="G103" s="608"/>
      <c r="H103" s="609"/>
      <c r="I103" s="608"/>
      <c r="J103" s="635"/>
      <c r="N103" s="1191">
        <f>F103-'1'!E103</f>
        <v>0</v>
      </c>
      <c r="O103" s="852"/>
      <c r="P103" s="852"/>
      <c r="Q103" s="852"/>
    </row>
    <row r="104" spans="1:17" s="481" customFormat="1" ht="27" x14ac:dyDescent="0.5">
      <c r="A104" s="1395" t="s">
        <v>230</v>
      </c>
      <c r="B104" s="1396"/>
      <c r="C104" s="1230"/>
      <c r="D104" s="699" t="s">
        <v>155</v>
      </c>
      <c r="E104" s="609">
        <f>'27'!F104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1">
        <f>F104-'1'!E104</f>
        <v>0</v>
      </c>
      <c r="O104" s="852"/>
      <c r="P104" s="852"/>
      <c r="Q104" s="852"/>
    </row>
    <row r="105" spans="1:17" s="481" customFormat="1" ht="27" x14ac:dyDescent="0.5">
      <c r="A105" s="1395" t="s">
        <v>77</v>
      </c>
      <c r="B105" s="1396"/>
      <c r="C105" s="1230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48</v>
      </c>
      <c r="I105" s="608"/>
      <c r="J105" s="635">
        <f>H105/DAY(B2)</f>
        <v>1.7142857142857142</v>
      </c>
      <c r="N105" s="1191">
        <f>F105-'1'!E105</f>
        <v>-25</v>
      </c>
      <c r="O105" s="852"/>
      <c r="P105" s="852"/>
      <c r="Q105" s="852"/>
    </row>
    <row r="106" spans="1:17" s="481" customFormat="1" ht="27" x14ac:dyDescent="0.5">
      <c r="A106" s="1395" t="s">
        <v>78</v>
      </c>
      <c r="B106" s="1397"/>
      <c r="C106" s="1396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334</v>
      </c>
      <c r="I106" s="608"/>
      <c r="J106" s="635">
        <f>H106/DAY(B2)</f>
        <v>11.928571428571429</v>
      </c>
      <c r="N106" s="1191">
        <f>F106-'1'!E106</f>
        <v>-14</v>
      </c>
      <c r="O106" s="852"/>
      <c r="P106" s="852"/>
      <c r="Q106" s="852"/>
    </row>
    <row r="107" spans="1:17" s="481" customFormat="1" ht="27" x14ac:dyDescent="0.5">
      <c r="A107" s="1398" t="s">
        <v>213</v>
      </c>
      <c r="B107" s="1399"/>
      <c r="C107" s="1230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205</v>
      </c>
      <c r="I107" s="608"/>
      <c r="J107" s="635">
        <f>H107/DAY(B2)</f>
        <v>7.3214285714285712</v>
      </c>
      <c r="N107" s="1191">
        <f>F107-'1'!E107</f>
        <v>0</v>
      </c>
      <c r="O107" s="852"/>
      <c r="P107" s="852"/>
      <c r="Q107" s="852"/>
    </row>
    <row r="108" spans="1:17" s="481" customFormat="1" ht="27" x14ac:dyDescent="0.5">
      <c r="A108" s="1400" t="s">
        <v>79</v>
      </c>
      <c r="B108" s="1401"/>
      <c r="C108" s="1230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191">
        <f>F108-'1'!E108</f>
        <v>0</v>
      </c>
      <c r="O108" s="852"/>
      <c r="P108" s="852"/>
      <c r="Q108" s="852"/>
    </row>
    <row r="109" spans="1:17" s="481" customFormat="1" ht="27" x14ac:dyDescent="0.5">
      <c r="A109" s="1395" t="s">
        <v>231</v>
      </c>
      <c r="B109" s="1396"/>
      <c r="C109" s="1230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4.9642857142857144</v>
      </c>
      <c r="N109" s="1191">
        <f>F109-'1'!E109</f>
        <v>-172</v>
      </c>
      <c r="O109" s="852"/>
      <c r="P109" s="852"/>
      <c r="Q109" s="852"/>
    </row>
    <row r="110" spans="1:17" s="481" customFormat="1" ht="27" x14ac:dyDescent="0.5">
      <c r="A110" s="1395" t="s">
        <v>232</v>
      </c>
      <c r="B110" s="1396"/>
      <c r="C110" s="1230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93</v>
      </c>
      <c r="I110" s="608"/>
      <c r="J110" s="635">
        <f>H110/DAY(B2)</f>
        <v>3.3214285714285716</v>
      </c>
      <c r="N110" s="1191">
        <f>F110-'1'!E110</f>
        <v>-193</v>
      </c>
      <c r="O110" s="852"/>
      <c r="P110" s="852"/>
      <c r="Q110" s="852"/>
    </row>
    <row r="111" spans="1:17" s="481" customFormat="1" ht="27" x14ac:dyDescent="0.5">
      <c r="A111" s="1395" t="s">
        <v>233</v>
      </c>
      <c r="B111" s="1396"/>
      <c r="C111" s="1230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1">
        <f>F111-'1'!E111</f>
        <v>-28</v>
      </c>
      <c r="O111" s="852"/>
      <c r="P111" s="852"/>
      <c r="Q111" s="852"/>
    </row>
    <row r="112" spans="1:17" s="481" customFormat="1" ht="27" x14ac:dyDescent="0.5">
      <c r="A112" s="1398" t="s">
        <v>121</v>
      </c>
      <c r="B112" s="1399"/>
      <c r="C112" s="1230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632</v>
      </c>
      <c r="I112" s="608"/>
      <c r="J112" s="635">
        <f>H112/DAY(B2)</f>
        <v>22.571428571428573</v>
      </c>
      <c r="N112" s="1191">
        <f>F112-'1'!E112</f>
        <v>0</v>
      </c>
      <c r="O112" s="852"/>
      <c r="P112" s="852"/>
      <c r="Q112" s="852"/>
    </row>
    <row r="113" spans="1:17" s="481" customFormat="1" ht="27" x14ac:dyDescent="0.5">
      <c r="A113" s="1400" t="s">
        <v>234</v>
      </c>
      <c r="B113" s="1401"/>
      <c r="C113" s="1230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1">
        <f>F113-'1'!E113</f>
        <v>0</v>
      </c>
      <c r="O113" s="852"/>
      <c r="P113" s="852"/>
      <c r="Q113" s="852"/>
    </row>
    <row r="114" spans="1:17" s="481" customFormat="1" ht="27" x14ac:dyDescent="0.5">
      <c r="A114" s="1395" t="s">
        <v>235</v>
      </c>
      <c r="B114" s="1396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191">
        <f>F114-'1'!E114</f>
        <v>-46</v>
      </c>
      <c r="O114" s="852"/>
      <c r="P114" s="852"/>
      <c r="Q114" s="852"/>
    </row>
    <row r="115" spans="1:17" s="481" customFormat="1" ht="27" x14ac:dyDescent="0.5">
      <c r="A115" s="1395" t="s">
        <v>236</v>
      </c>
      <c r="B115" s="1396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94</v>
      </c>
      <c r="I115" s="608"/>
      <c r="J115" s="635">
        <f>H115/DAY(B2)</f>
        <v>3.3571428571428572</v>
      </c>
      <c r="N115" s="1191">
        <f>F115-'1'!E115</f>
        <v>-17</v>
      </c>
      <c r="O115" s="852"/>
      <c r="P115" s="852"/>
      <c r="Q115" s="852"/>
    </row>
    <row r="116" spans="1:17" s="481" customFormat="1" ht="27" x14ac:dyDescent="0.5">
      <c r="A116" s="1395" t="s">
        <v>237</v>
      </c>
      <c r="B116" s="1396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1">
        <f>F116-'1'!E116</f>
        <v>0</v>
      </c>
      <c r="O116" s="852"/>
      <c r="P116" s="852"/>
      <c r="Q116" s="852"/>
    </row>
    <row r="117" spans="1:17" s="494" customFormat="1" ht="27" x14ac:dyDescent="0.5">
      <c r="A117" s="1398" t="s">
        <v>213</v>
      </c>
      <c r="B117" s="1399"/>
      <c r="C117" s="651"/>
      <c r="D117" s="700"/>
      <c r="E117" s="612"/>
      <c r="F117" s="741"/>
      <c r="G117" s="610">
        <f>SUM(G114:G116)</f>
        <v>32</v>
      </c>
      <c r="H117" s="609">
        <f>SUM(G117+'1'!G95)</f>
        <v>104</v>
      </c>
      <c r="I117" s="610"/>
      <c r="J117" s="635">
        <f>H117/DAY(B2)</f>
        <v>3.7142857142857144</v>
      </c>
      <c r="N117" s="1191">
        <f>F117-'1'!E117</f>
        <v>0</v>
      </c>
      <c r="O117" s="852"/>
      <c r="P117" s="852"/>
      <c r="Q117" s="853"/>
    </row>
    <row r="118" spans="1:17" s="495" customFormat="1" ht="27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133</v>
      </c>
      <c r="I118" s="611"/>
      <c r="J118" s="636">
        <f>H118/DAY(B2)</f>
        <v>4.75</v>
      </c>
      <c r="N118" s="1191">
        <f>F118-'1'!E118</f>
        <v>-369646</v>
      </c>
      <c r="O118" s="852"/>
      <c r="P118" s="852"/>
      <c r="Q118" s="853"/>
    </row>
    <row r="119" spans="1:17" s="495" customFormat="1" ht="27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190</v>
      </c>
      <c r="I119" s="611"/>
      <c r="J119" s="636">
        <f>H119/DAY(B2)</f>
        <v>6.7857142857142856</v>
      </c>
      <c r="N119" s="1191">
        <f>F119-'1'!E119</f>
        <v>-612323</v>
      </c>
      <c r="O119" s="852"/>
      <c r="P119" s="852"/>
      <c r="Q119" s="853"/>
    </row>
    <row r="120" spans="1:17" s="495" customFormat="1" ht="27" x14ac:dyDescent="0.5">
      <c r="A120" s="1429" t="s">
        <v>240</v>
      </c>
      <c r="B120" s="1430"/>
      <c r="C120" s="1228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117</v>
      </c>
      <c r="I120" s="611"/>
      <c r="J120" s="636">
        <f>H120/DAY(B2)</f>
        <v>4.1785714285714288</v>
      </c>
      <c r="N120" s="1191">
        <f>F120-'1'!E120</f>
        <v>111</v>
      </c>
      <c r="O120" s="852"/>
      <c r="P120" s="852"/>
      <c r="Q120" s="853"/>
    </row>
    <row r="121" spans="1:17" s="481" customFormat="1" ht="27" x14ac:dyDescent="0.5">
      <c r="A121" s="1431"/>
      <c r="B121" s="1432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1191" t="e">
        <f>F121-'1'!E121</f>
        <v>#VALUE!</v>
      </c>
      <c r="O121" s="852"/>
      <c r="P121" s="852"/>
      <c r="Q121" s="852"/>
    </row>
    <row r="122" spans="1:17" x14ac:dyDescent="0.5">
      <c r="A122" s="1381" t="s">
        <v>241</v>
      </c>
      <c r="B122" s="1382"/>
      <c r="C122" s="1383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1">
        <f>F122-'1'!E122</f>
        <v>0</v>
      </c>
    </row>
    <row r="123" spans="1:17" ht="27.75" x14ac:dyDescent="0.5">
      <c r="A123" s="1231" t="s">
        <v>242</v>
      </c>
      <c r="B123" s="1232"/>
      <c r="C123" s="1232"/>
      <c r="D123" s="599" t="s">
        <v>152</v>
      </c>
      <c r="E123" s="820">
        <f>'27'!F123</f>
        <v>802272.96</v>
      </c>
      <c r="F123" s="820">
        <v>802540</v>
      </c>
      <c r="G123" s="549">
        <f t="shared" ref="G123:G127" si="16">F123-E123</f>
        <v>267.04000000003725</v>
      </c>
      <c r="H123" s="536">
        <f>G123+'27'!H123</f>
        <v>-795.40000000002328</v>
      </c>
      <c r="I123" s="602"/>
      <c r="J123" s="629">
        <f>H123/DAY(B2)</f>
        <v>-28.40714285714369</v>
      </c>
      <c r="K123" s="411"/>
      <c r="L123" s="408"/>
      <c r="N123" s="1191">
        <f>F123-'1'!E123</f>
        <v>-795.40000000002328</v>
      </c>
    </row>
    <row r="124" spans="1:17" ht="27.75" x14ac:dyDescent="0.5">
      <c r="A124" s="1231" t="s">
        <v>243</v>
      </c>
      <c r="B124" s="1232"/>
      <c r="C124" s="1232"/>
      <c r="D124" s="599" t="s">
        <v>152</v>
      </c>
      <c r="E124" s="820">
        <f>'27'!F124</f>
        <v>73582</v>
      </c>
      <c r="F124" s="836">
        <v>73582</v>
      </c>
      <c r="G124" s="549">
        <f t="shared" si="16"/>
        <v>0</v>
      </c>
      <c r="H124" s="536">
        <f>G124+'27'!H124</f>
        <v>0</v>
      </c>
      <c r="I124" s="602"/>
      <c r="J124" s="629">
        <f>H124/DAY(B2)</f>
        <v>0</v>
      </c>
      <c r="K124" s="411"/>
      <c r="L124" s="408"/>
      <c r="N124" s="1191">
        <f>F124-'1'!E124</f>
        <v>0</v>
      </c>
    </row>
    <row r="125" spans="1:17" ht="27.75" x14ac:dyDescent="0.5">
      <c r="A125" s="1387" t="s">
        <v>244</v>
      </c>
      <c r="B125" s="1388"/>
      <c r="C125" s="1389"/>
      <c r="D125" s="599" t="s">
        <v>152</v>
      </c>
      <c r="E125" s="820">
        <f>'27'!F125</f>
        <v>137610</v>
      </c>
      <c r="F125" s="820">
        <v>137669</v>
      </c>
      <c r="G125" s="549">
        <f t="shared" si="16"/>
        <v>59</v>
      </c>
      <c r="H125" s="536">
        <f>G125+'27'!H125</f>
        <v>-179</v>
      </c>
      <c r="I125" s="602"/>
      <c r="J125" s="629">
        <f>H125/DAY(B2)</f>
        <v>-6.3928571428571432</v>
      </c>
      <c r="K125" s="411"/>
      <c r="L125" s="408"/>
      <c r="N125" s="1191">
        <f>F125-'1'!E125</f>
        <v>-179</v>
      </c>
    </row>
    <row r="126" spans="1:17" ht="27.75" x14ac:dyDescent="0.5">
      <c r="A126" s="686" t="s">
        <v>245</v>
      </c>
      <c r="B126" s="1232"/>
      <c r="C126" s="1232"/>
      <c r="D126" s="599" t="s">
        <v>152</v>
      </c>
      <c r="E126" s="820">
        <f>'27'!F126</f>
        <v>58268</v>
      </c>
      <c r="F126" s="836">
        <v>58288</v>
      </c>
      <c r="G126" s="549">
        <f t="shared" si="16"/>
        <v>20</v>
      </c>
      <c r="H126" s="536">
        <f>G126+'27'!H126</f>
        <v>-103.69999999999709</v>
      </c>
      <c r="I126" s="602"/>
      <c r="J126" s="629">
        <f>H126/DAY(B2)</f>
        <v>-3.7035714285713248</v>
      </c>
      <c r="K126" s="411"/>
      <c r="L126" s="408"/>
      <c r="N126" s="1191">
        <f>F126-'1'!E126</f>
        <v>-103.69999999999709</v>
      </c>
    </row>
    <row r="127" spans="1:17" ht="27.75" x14ac:dyDescent="0.5">
      <c r="A127" s="686" t="s">
        <v>246</v>
      </c>
      <c r="B127" s="1232"/>
      <c r="C127" s="1232"/>
      <c r="D127" s="599" t="s">
        <v>152</v>
      </c>
      <c r="E127" s="820">
        <f>'27'!F127</f>
        <v>8803</v>
      </c>
      <c r="F127" s="836">
        <v>8805</v>
      </c>
      <c r="G127" s="549">
        <f t="shared" si="16"/>
        <v>2</v>
      </c>
      <c r="H127" s="536">
        <f>G127+'27'!H127</f>
        <v>-11</v>
      </c>
      <c r="I127" s="556"/>
      <c r="J127" s="629">
        <f>H127/DAY(B2)</f>
        <v>-0.39285714285714285</v>
      </c>
      <c r="K127" s="411"/>
      <c r="L127" s="408"/>
      <c r="N127" s="1191">
        <f>F127-'1'!E127</f>
        <v>-11</v>
      </c>
    </row>
    <row r="128" spans="1:17" s="281" customFormat="1" ht="27" x14ac:dyDescent="0.5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86.020000000018626</v>
      </c>
      <c r="H128" s="536"/>
      <c r="I128" s="556"/>
      <c r="J128" s="629"/>
      <c r="K128" s="391"/>
      <c r="L128" s="293"/>
      <c r="N128" s="1191">
        <f>F128-'1'!E128</f>
        <v>0</v>
      </c>
      <c r="O128" s="852"/>
      <c r="P128" s="852"/>
      <c r="Q128" s="852"/>
    </row>
    <row r="129" spans="1:12" x14ac:dyDescent="0.4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 x14ac:dyDescent="0.5">
      <c r="A130" s="1231" t="s">
        <v>249</v>
      </c>
      <c r="B130" s="1232"/>
      <c r="C130" s="1232"/>
      <c r="D130" s="599" t="s">
        <v>250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 x14ac:dyDescent="0.5">
      <c r="A131" s="1231" t="s">
        <v>251</v>
      </c>
      <c r="B131" s="1232"/>
      <c r="C131" s="1232"/>
      <c r="D131" s="599" t="s">
        <v>250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 x14ac:dyDescent="0.5">
      <c r="A132" s="1231" t="s">
        <v>252</v>
      </c>
      <c r="B132" s="1232"/>
      <c r="C132" s="1232"/>
      <c r="D132" s="599" t="s">
        <v>250</v>
      </c>
      <c r="E132" s="850">
        <f>'27'!F132</f>
        <v>39008.67</v>
      </c>
      <c r="F132" s="836">
        <v>39032.480000000003</v>
      </c>
      <c r="G132" s="549">
        <f t="shared" si="17"/>
        <v>23.810000000004948</v>
      </c>
      <c r="H132" s="536">
        <f>G132+'27'!H132</f>
        <v>314.08999999999651</v>
      </c>
      <c r="I132" s="556"/>
      <c r="J132" s="629">
        <f>H132/DAY(B2)</f>
        <v>11.217499999999875</v>
      </c>
    </row>
    <row r="133" spans="1:12" ht="27.75" x14ac:dyDescent="0.5">
      <c r="A133" s="1231" t="s">
        <v>253</v>
      </c>
      <c r="B133" s="1232"/>
      <c r="C133" s="1232"/>
      <c r="D133" s="599" t="s">
        <v>250</v>
      </c>
      <c r="E133" s="850">
        <f>'27'!F133</f>
        <v>299</v>
      </c>
      <c r="F133" s="836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 x14ac:dyDescent="0.5">
      <c r="A134" s="1231" t="s">
        <v>254</v>
      </c>
      <c r="B134" s="1232"/>
      <c r="C134" s="1232"/>
      <c r="D134" s="599" t="s">
        <v>250</v>
      </c>
      <c r="E134" s="850">
        <f>'27'!F134</f>
        <v>39951</v>
      </c>
      <c r="F134" s="836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 x14ac:dyDescent="0.5">
      <c r="A135" s="1231" t="s">
        <v>255</v>
      </c>
      <c r="B135" s="1232"/>
      <c r="C135" s="1232"/>
      <c r="D135" s="599" t="s">
        <v>250</v>
      </c>
      <c r="E135" s="849">
        <f>'27'!F135</f>
        <v>32423</v>
      </c>
      <c r="F135" s="827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 x14ac:dyDescent="0.5">
      <c r="A136" s="1231" t="s">
        <v>256</v>
      </c>
      <c r="B136" s="1232"/>
      <c r="C136" s="1232"/>
      <c r="D136" s="599" t="s">
        <v>250</v>
      </c>
      <c r="E136" s="849">
        <f>'27'!F136</f>
        <v>21979.81</v>
      </c>
      <c r="F136" s="827">
        <v>21979.8</v>
      </c>
      <c r="G136" s="549">
        <f t="shared" si="17"/>
        <v>-1.0000000002037268E-2</v>
      </c>
      <c r="H136" s="536">
        <f>G136+'27'!H136</f>
        <v>-22.159999999999854</v>
      </c>
      <c r="I136" s="556">
        <f>G134+G135+G136</f>
        <v>-1.0000000002037268E-2</v>
      </c>
      <c r="J136" s="629">
        <f>H136/DAY(B2)</f>
        <v>-0.79142857142856626</v>
      </c>
    </row>
    <row r="137" spans="1:12" ht="27.75" x14ac:dyDescent="0.5">
      <c r="A137" s="1231" t="s">
        <v>257</v>
      </c>
      <c r="B137" s="1232"/>
      <c r="C137" s="1232"/>
      <c r="D137" s="599" t="s">
        <v>250</v>
      </c>
      <c r="E137" s="849">
        <f>'27'!F137</f>
        <v>25019.94</v>
      </c>
      <c r="F137" s="827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 x14ac:dyDescent="0.5">
      <c r="A138" s="1231" t="s">
        <v>258</v>
      </c>
      <c r="B138" s="1232"/>
      <c r="C138" s="1232"/>
      <c r="D138" s="599" t="s">
        <v>250</v>
      </c>
      <c r="E138" s="849">
        <f>'27'!F138</f>
        <v>70059.78</v>
      </c>
      <c r="F138" s="827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 x14ac:dyDescent="0.5">
      <c r="A139" s="1231" t="s">
        <v>259</v>
      </c>
      <c r="B139" s="1232"/>
      <c r="C139" s="1232"/>
      <c r="D139" s="599" t="s">
        <v>250</v>
      </c>
      <c r="E139" s="850">
        <f>'27'!F139</f>
        <v>1169.32</v>
      </c>
      <c r="F139" s="836">
        <v>1177.29</v>
      </c>
      <c r="G139" s="549">
        <f t="shared" si="17"/>
        <v>7.9700000000000273</v>
      </c>
      <c r="H139" s="536">
        <f>G139+'27'!H139</f>
        <v>-23.299999999999955</v>
      </c>
      <c r="I139" s="619"/>
      <c r="J139" s="629">
        <f>H139/DAY(B2)</f>
        <v>-0.83214285714285552</v>
      </c>
    </row>
    <row r="140" spans="1:12" ht="27.75" x14ac:dyDescent="0.5">
      <c r="A140" s="1231" t="s">
        <v>260</v>
      </c>
      <c r="B140" s="1232"/>
      <c r="C140" s="1232"/>
      <c r="D140" s="599" t="s">
        <v>250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 x14ac:dyDescent="0.5">
      <c r="A141" s="1425" t="s">
        <v>261</v>
      </c>
      <c r="B141" s="1426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 x14ac:dyDescent="0.5">
      <c r="A142" s="1390" t="s">
        <v>262</v>
      </c>
      <c r="B142" s="1391"/>
      <c r="C142" s="1392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-17645.070000000007</v>
      </c>
      <c r="I142" s="556"/>
      <c r="J142" s="629">
        <f>H142/DAY(B2)</f>
        <v>-630.18107142857173</v>
      </c>
      <c r="K142" s="411"/>
      <c r="L142" s="408"/>
    </row>
    <row r="143" spans="1:12" ht="27.75" x14ac:dyDescent="0.5">
      <c r="A143" s="1390" t="s">
        <v>263</v>
      </c>
      <c r="B143" s="1391"/>
      <c r="C143" s="1392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7.1877105335725204</v>
      </c>
      <c r="I143" s="621"/>
      <c r="J143" s="629">
        <f>H143/DAY(B2)</f>
        <v>0.25670394762759002</v>
      </c>
      <c r="K143" s="411"/>
      <c r="L143" s="408"/>
    </row>
    <row r="144" spans="1:12" ht="27.75" x14ac:dyDescent="0.5">
      <c r="A144" s="1390" t="s">
        <v>264</v>
      </c>
      <c r="B144" s="1391"/>
      <c r="C144" s="1392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-10826.450000000048</v>
      </c>
      <c r="I144" s="556"/>
      <c r="J144" s="629">
        <f>H144/DAY(B2)</f>
        <v>-386.65892857143029</v>
      </c>
      <c r="K144" s="411"/>
      <c r="L144" s="408"/>
    </row>
    <row r="145" spans="1:12" ht="27.75" x14ac:dyDescent="0.5">
      <c r="A145" s="1390" t="s">
        <v>265</v>
      </c>
      <c r="B145" s="1391"/>
      <c r="C145" s="1392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6.0120256620561197</v>
      </c>
      <c r="I145" s="621"/>
      <c r="J145" s="629">
        <f>H145/DAY(B2)</f>
        <v>0.21471520221628998</v>
      </c>
      <c r="K145" s="411"/>
      <c r="L145" s="408"/>
    </row>
    <row r="146" spans="1:12" ht="27.75" x14ac:dyDescent="0.5">
      <c r="A146" s="1390" t="s">
        <v>266</v>
      </c>
      <c r="B146" s="1391"/>
      <c r="C146" s="1392"/>
      <c r="D146" s="599" t="s">
        <v>143</v>
      </c>
      <c r="E146" s="536"/>
      <c r="F146" s="536"/>
      <c r="G146" s="536">
        <f>G39+G53</f>
        <v>4173</v>
      </c>
      <c r="H146" s="536">
        <f>G146+'27'!H146</f>
        <v>899928.73</v>
      </c>
      <c r="I146" s="622"/>
      <c r="J146" s="629">
        <f>H146/DAY(B2)</f>
        <v>32140.311785714286</v>
      </c>
      <c r="K146" s="411"/>
      <c r="L146" s="408"/>
    </row>
    <row r="147" spans="1:12" ht="27.75" x14ac:dyDescent="0.5">
      <c r="A147" s="1390" t="s">
        <v>267</v>
      </c>
      <c r="B147" s="1391"/>
      <c r="C147" s="1392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4.5470745601691425</v>
      </c>
      <c r="I147" s="622"/>
      <c r="J147" s="629">
        <f>H147/DAY(B2)</f>
        <v>0.16239552000604079</v>
      </c>
    </row>
    <row r="148" spans="1:12" ht="27.75" x14ac:dyDescent="0.5">
      <c r="A148" s="1390" t="s">
        <v>268</v>
      </c>
      <c r="B148" s="1391"/>
      <c r="C148" s="1392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144654.45000000001</v>
      </c>
      <c r="I148" s="556"/>
      <c r="J148" s="629">
        <f>H148/DAY(B2)</f>
        <v>5166.2303571428574</v>
      </c>
      <c r="K148" s="412"/>
    </row>
    <row r="149" spans="1:12" ht="27.75" x14ac:dyDescent="0.5">
      <c r="A149" s="1390" t="s">
        <v>269</v>
      </c>
      <c r="B149" s="1391"/>
      <c r="C149" s="1392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2.6376391541024575</v>
      </c>
      <c r="I149" s="622"/>
      <c r="J149" s="629">
        <f>H149/DAY(B2)</f>
        <v>9.4201398360802061E-2</v>
      </c>
    </row>
    <row r="150" spans="1:12" ht="27.75" x14ac:dyDescent="0.5">
      <c r="A150" s="1390" t="s">
        <v>270</v>
      </c>
      <c r="B150" s="1391"/>
      <c r="C150" s="1392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-4950.7600000000093</v>
      </c>
      <c r="I150" s="622"/>
      <c r="J150" s="629">
        <f>H150/DAY(B2)</f>
        <v>-176.81285714285747</v>
      </c>
    </row>
    <row r="151" spans="1:12" ht="27.75" x14ac:dyDescent="0.5">
      <c r="A151" s="1390" t="s">
        <v>271</v>
      </c>
      <c r="B151" s="1391"/>
      <c r="C151" s="1392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2.7110208352750531</v>
      </c>
      <c r="I151" s="556"/>
      <c r="J151" s="629">
        <f>H151/DAY(B2)</f>
        <v>9.6822172688394756E-2</v>
      </c>
    </row>
    <row r="152" spans="1:12" ht="27.75" x14ac:dyDescent="0.5">
      <c r="A152" s="1390" t="s">
        <v>272</v>
      </c>
      <c r="B152" s="1391"/>
      <c r="C152" s="1392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410438.25999999995</v>
      </c>
      <c r="I152" s="556"/>
      <c r="J152" s="629">
        <f>H152/DAY(B2)</f>
        <v>14658.509285714284</v>
      </c>
    </row>
    <row r="153" spans="1:12" ht="28.5" thickBot="1" x14ac:dyDescent="0.55000000000000004">
      <c r="A153" s="1422" t="s">
        <v>273</v>
      </c>
      <c r="B153" s="1423"/>
      <c r="C153" s="1424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1.4562004394050194</v>
      </c>
      <c r="I153" s="645"/>
      <c r="J153" s="646">
        <f>H153/DAY(B2)</f>
        <v>5.2007158550179268E-2</v>
      </c>
    </row>
    <row r="154" spans="1:12" x14ac:dyDescent="0.5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 x14ac:dyDescent="0.5">
      <c r="A160" s="868" t="s">
        <v>274</v>
      </c>
      <c r="B160" s="869"/>
      <c r="C160" s="869"/>
      <c r="D160" s="587" t="s">
        <v>198</v>
      </c>
      <c r="E160" s="849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 x14ac:dyDescent="0.5">
      <c r="A161" s="868" t="s">
        <v>275</v>
      </c>
      <c r="B161" s="869"/>
      <c r="C161" s="869"/>
      <c r="D161" s="587" t="s">
        <v>198</v>
      </c>
      <c r="E161" s="849">
        <f>'27'!F161</f>
        <v>40826.79</v>
      </c>
      <c r="F161" s="739">
        <v>41255.49</v>
      </c>
      <c r="G161" s="549">
        <f t="shared" si="18"/>
        <v>428.69999999999709</v>
      </c>
    </row>
    <row r="162" spans="1:7" x14ac:dyDescent="0.5">
      <c r="A162" s="868" t="s">
        <v>276</v>
      </c>
      <c r="B162" s="869"/>
      <c r="C162" s="869"/>
      <c r="D162" s="587" t="s">
        <v>198</v>
      </c>
      <c r="E162" s="849">
        <f>'27'!F162</f>
        <v>11859.34</v>
      </c>
      <c r="F162" s="739">
        <v>12092</v>
      </c>
      <c r="G162" s="549">
        <f t="shared" si="18"/>
        <v>232.65999999999985</v>
      </c>
    </row>
    <row r="163" spans="1:7" x14ac:dyDescent="0.5">
      <c r="A163" s="868" t="s">
        <v>277</v>
      </c>
      <c r="B163" s="869"/>
      <c r="C163" s="869"/>
      <c r="D163" s="587" t="s">
        <v>198</v>
      </c>
      <c r="E163" s="849">
        <f>'27'!F163</f>
        <v>4929.76</v>
      </c>
      <c r="F163" s="739">
        <v>4939.6899999999996</v>
      </c>
      <c r="G163" s="549">
        <f t="shared" si="18"/>
        <v>9.9299999999993815</v>
      </c>
    </row>
    <row r="164" spans="1:7" x14ac:dyDescent="0.4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 x14ac:dyDescent="0.4">
      <c r="A165" s="870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 x14ac:dyDescent="0.5">
      <c r="G172" s="616">
        <f>SUM(G160:G171)</f>
        <v>3314.2570000000005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284</v>
      </c>
      <c r="B2" s="1165">
        <v>43859</v>
      </c>
      <c r="C2" s="1233" t="s">
        <v>69</v>
      </c>
      <c r="D2" s="688">
        <v>0.66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852"/>
      <c r="O2" s="852"/>
    </row>
    <row r="3" spans="1:15" s="281" customFormat="1" ht="27" x14ac:dyDescent="0.5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 x14ac:dyDescent="0.5">
      <c r="A4" s="653"/>
      <c r="B4" s="693"/>
      <c r="C4" s="1233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 x14ac:dyDescent="0.4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54"/>
    </row>
    <row r="6" spans="1:15" x14ac:dyDescent="0.4">
      <c r="A6" s="1405" t="s">
        <v>141</v>
      </c>
      <c r="B6" s="1406"/>
      <c r="C6" s="1407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 x14ac:dyDescent="0.45">
      <c r="A8" s="763" t="s">
        <v>144</v>
      </c>
      <c r="B8" s="764"/>
      <c r="C8" s="765"/>
      <c r="D8" s="766" t="s">
        <v>25</v>
      </c>
      <c r="E8" s="760">
        <f>'28'!F8</f>
        <v>3856131</v>
      </c>
      <c r="F8" s="819">
        <v>3875075</v>
      </c>
      <c r="G8" s="770">
        <f>F8-E8</f>
        <v>18944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 x14ac:dyDescent="0.4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20">
        <v>2522775</v>
      </c>
      <c r="G9" s="783">
        <f t="shared" ref="G9:G12" si="0">F9-E9</f>
        <v>6076.5</v>
      </c>
      <c r="H9" s="760">
        <f>G9+'28'!H9</f>
        <v>2559887.25</v>
      </c>
      <c r="I9" s="771">
        <f>I7-J7</f>
        <v>13288.896551724138</v>
      </c>
      <c r="J9" s="762">
        <f>H9/DAY(B2)</f>
        <v>88271.974137931029</v>
      </c>
      <c r="K9" s="467"/>
      <c r="L9" s="408"/>
      <c r="O9" s="855"/>
    </row>
    <row r="10" spans="1:15" x14ac:dyDescent="0.4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20">
        <v>1177122</v>
      </c>
      <c r="G10" s="770">
        <f t="shared" si="0"/>
        <v>12028.600000000093</v>
      </c>
      <c r="H10" s="760">
        <f>G10+'28'!H10</f>
        <v>-23752.399999999907</v>
      </c>
      <c r="I10" s="772"/>
      <c r="J10" s="762">
        <f>H10/DAY(B2)</f>
        <v>-819.04827586206579</v>
      </c>
      <c r="K10" s="467"/>
      <c r="L10" s="408"/>
    </row>
    <row r="11" spans="1:15" x14ac:dyDescent="0.4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 x14ac:dyDescent="0.4">
      <c r="A12" s="757" t="s">
        <v>148</v>
      </c>
      <c r="B12" s="758"/>
      <c r="C12" s="758"/>
      <c r="D12" s="1186" t="s">
        <v>143</v>
      </c>
      <c r="E12" s="1180">
        <f>'28'!F12</f>
        <v>37630</v>
      </c>
      <c r="F12" s="820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 x14ac:dyDescent="0.5">
      <c r="A13" s="773" t="s">
        <v>149</v>
      </c>
      <c r="B13" s="774"/>
      <c r="C13" s="774"/>
      <c r="D13" s="1186"/>
      <c r="E13" s="1180"/>
      <c r="F13" s="536"/>
      <c r="G13" s="775">
        <f>G9+G10+G11+G12</f>
        <v>18105.100000000093</v>
      </c>
      <c r="H13" s="1180">
        <f>G13+'28'!H13</f>
        <v>2517828.8500000006</v>
      </c>
      <c r="I13" s="1181">
        <f>G7-G13</f>
        <v>642.89999999990687</v>
      </c>
      <c r="J13" s="1182">
        <f>H13/DAY(B2)</f>
        <v>86821.684482758646</v>
      </c>
      <c r="K13" s="467"/>
      <c r="L13" s="408"/>
    </row>
    <row r="14" spans="1:15" x14ac:dyDescent="0.5">
      <c r="A14" s="1408" t="s">
        <v>150</v>
      </c>
      <c r="B14" s="1409"/>
      <c r="C14" s="1410"/>
      <c r="D14" s="1183"/>
      <c r="E14" s="1187"/>
      <c r="F14" s="821"/>
      <c r="G14" s="559"/>
      <c r="H14" s="1183"/>
      <c r="I14" s="1183"/>
      <c r="J14" s="1184"/>
      <c r="K14" s="468"/>
      <c r="L14" s="408"/>
    </row>
    <row r="15" spans="1:15" x14ac:dyDescent="0.5">
      <c r="A15" s="746" t="s">
        <v>151</v>
      </c>
      <c r="B15" s="747"/>
      <c r="C15" s="747"/>
      <c r="D15" s="1188" t="s">
        <v>152</v>
      </c>
      <c r="E15" s="1189">
        <f>'28'!F15</f>
        <v>1592074</v>
      </c>
      <c r="F15" s="822">
        <v>1592900.97</v>
      </c>
      <c r="G15" s="745">
        <f>(F15-E15)</f>
        <v>826.96999999997206</v>
      </c>
      <c r="H15" s="1176">
        <f>G15+'28'!H15</f>
        <v>-1536.1799999999348</v>
      </c>
      <c r="I15" s="1177">
        <f>'1'!I15</f>
        <v>800</v>
      </c>
      <c r="J15" s="1178">
        <f>H15/DAY(B2)</f>
        <v>-52.971724137928788</v>
      </c>
      <c r="K15" s="467"/>
      <c r="L15" s="408"/>
    </row>
    <row r="16" spans="1:15" x14ac:dyDescent="0.4">
      <c r="A16" s="754"/>
      <c r="B16" s="755"/>
      <c r="C16" s="755"/>
      <c r="D16" s="1188"/>
      <c r="E16" s="1189"/>
      <c r="F16" s="822"/>
      <c r="G16" s="750"/>
      <c r="H16" s="1176"/>
      <c r="I16" s="1179">
        <f>I15-J15</f>
        <v>852.97172413792873</v>
      </c>
      <c r="J16" s="1178"/>
      <c r="K16" s="467"/>
      <c r="L16" s="408"/>
    </row>
    <row r="17" spans="1:15" x14ac:dyDescent="0.5">
      <c r="A17" s="1408" t="s">
        <v>153</v>
      </c>
      <c r="B17" s="1409"/>
      <c r="C17" s="1410"/>
      <c r="D17" s="1183"/>
      <c r="E17" s="1187"/>
      <c r="F17" s="821"/>
      <c r="G17" s="564"/>
      <c r="H17" s="1183"/>
      <c r="I17" s="1183"/>
      <c r="J17" s="1184"/>
      <c r="K17" s="467"/>
      <c r="L17" s="408"/>
    </row>
    <row r="18" spans="1:15" ht="27.75" x14ac:dyDescent="0.5">
      <c r="A18" s="1443" t="s">
        <v>154</v>
      </c>
      <c r="B18" s="1444"/>
      <c r="C18" s="1445"/>
      <c r="D18" s="715" t="s">
        <v>155</v>
      </c>
      <c r="E18" s="840">
        <f>'28'!F18</f>
        <v>12</v>
      </c>
      <c r="F18" s="820">
        <v>10</v>
      </c>
      <c r="G18" s="775">
        <f>F18*10</f>
        <v>100</v>
      </c>
      <c r="H18" s="1180">
        <f>G18+'28'!H18</f>
        <v>4470</v>
      </c>
      <c r="I18" s="1185">
        <f>'1'!I18</f>
        <v>65</v>
      </c>
      <c r="J18" s="1182">
        <f>H18/DAY(B2)</f>
        <v>154.13793103448276</v>
      </c>
      <c r="K18" s="467"/>
      <c r="L18" s="408"/>
    </row>
    <row r="19" spans="1:15" ht="27.75" x14ac:dyDescent="0.5">
      <c r="A19" s="1443" t="s">
        <v>71</v>
      </c>
      <c r="B19" s="1444"/>
      <c r="C19" s="1445"/>
      <c r="D19" s="715" t="s">
        <v>155</v>
      </c>
      <c r="E19" s="840">
        <f>'28'!F19</f>
        <v>132892</v>
      </c>
      <c r="F19" s="820">
        <v>132943</v>
      </c>
      <c r="G19" s="770">
        <f t="shared" ref="G19" si="1">F19-E19</f>
        <v>51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 x14ac:dyDescent="0.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4365</v>
      </c>
      <c r="I20" s="779">
        <f>I18-J20</f>
        <v>-85.517241379310349</v>
      </c>
      <c r="J20" s="762">
        <f>H20/DAY(B2)</f>
        <v>150.51724137931035</v>
      </c>
      <c r="K20" s="467"/>
      <c r="L20" s="408"/>
    </row>
    <row r="21" spans="1:15" x14ac:dyDescent="0.5">
      <c r="A21" s="1408" t="s">
        <v>157</v>
      </c>
      <c r="B21" s="1409"/>
      <c r="C21" s="1410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 x14ac:dyDescent="0.5">
      <c r="A22" s="1231" t="s">
        <v>158</v>
      </c>
      <c r="B22" s="666"/>
      <c r="C22" s="666"/>
      <c r="D22" s="599" t="s">
        <v>159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 x14ac:dyDescent="0.5">
      <c r="A23" s="1231" t="s">
        <v>160</v>
      </c>
      <c r="B23" s="666"/>
      <c r="C23" s="666"/>
      <c r="D23" s="599" t="s">
        <v>159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 x14ac:dyDescent="0.4">
      <c r="A24" s="667" t="s">
        <v>161</v>
      </c>
      <c r="B24" s="668"/>
      <c r="C24" s="668"/>
      <c r="D24" s="587" t="s">
        <v>159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 x14ac:dyDescent="0.35">
      <c r="A25" s="1413" t="s">
        <v>162</v>
      </c>
      <c r="B25" s="1414"/>
      <c r="C25" s="1415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 x14ac:dyDescent="0.5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 x14ac:dyDescent="0.5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 x14ac:dyDescent="0.5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43.5</v>
      </c>
      <c r="G28" s="578">
        <f>E28*F28</f>
        <v>35973.194999998785</v>
      </c>
      <c r="H28" s="536">
        <f>G28+'28'!H28</f>
        <v>-66823.829999997164</v>
      </c>
      <c r="I28" s="581"/>
      <c r="J28" s="629">
        <f>H28/DAY(B2)</f>
        <v>-2304.2699999999022</v>
      </c>
      <c r="K28" s="404"/>
      <c r="L28" s="484"/>
      <c r="N28" s="852"/>
      <c r="O28" s="852"/>
    </row>
    <row r="29" spans="1:15" s="481" customFormat="1" ht="27" x14ac:dyDescent="0.5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 x14ac:dyDescent="0.5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 x14ac:dyDescent="0.5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357600</v>
      </c>
      <c r="I31" s="581"/>
      <c r="J31" s="629"/>
      <c r="K31" s="404"/>
      <c r="L31" s="484"/>
      <c r="N31" s="852"/>
      <c r="O31" s="852"/>
    </row>
    <row r="32" spans="1:15" s="481" customFormat="1" ht="27" x14ac:dyDescent="0.5">
      <c r="A32" s="672" t="s">
        <v>172</v>
      </c>
      <c r="B32" s="673"/>
      <c r="C32" s="674"/>
      <c r="D32" s="583"/>
      <c r="E32" s="844"/>
      <c r="F32" s="562"/>
      <c r="G32" s="584">
        <f>G27+G28+G29+G30+G31</f>
        <v>221303.19499999878</v>
      </c>
      <c r="H32" s="536">
        <f>G32+'28'!H32</f>
        <v>98872.170000003302</v>
      </c>
      <c r="I32" s="585"/>
      <c r="J32" s="629">
        <f>H32/DAY(B2)</f>
        <v>3409.3851724139067</v>
      </c>
      <c r="K32" s="404"/>
      <c r="L32" s="484"/>
      <c r="N32" s="852"/>
      <c r="O32" s="852"/>
    </row>
    <row r="33" spans="1:15" ht="25.5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</row>
    <row r="34" spans="1:15" x14ac:dyDescent="0.5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 x14ac:dyDescent="0.4">
      <c r="A35" s="655" t="s">
        <v>175</v>
      </c>
      <c r="B35" s="656"/>
      <c r="C35" s="656"/>
      <c r="D35" s="599" t="s">
        <v>143</v>
      </c>
      <c r="E35" s="824">
        <f>'28'!F35</f>
        <v>629028</v>
      </c>
      <c r="F35" s="824">
        <v>629028</v>
      </c>
      <c r="G35" s="549">
        <f t="shared" ref="G35:G46" si="3">F35-E35</f>
        <v>0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 x14ac:dyDescent="0.4">
      <c r="A36" s="655" t="s">
        <v>176</v>
      </c>
      <c r="B36" s="656"/>
      <c r="C36" s="656"/>
      <c r="D36" s="599" t="s">
        <v>143</v>
      </c>
      <c r="E36" s="824">
        <f>'28'!F36</f>
        <v>274786</v>
      </c>
      <c r="F36" s="824">
        <v>275372.73</v>
      </c>
      <c r="G36" s="549">
        <f t="shared" si="3"/>
        <v>586.72999999998137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 x14ac:dyDescent="0.4">
      <c r="A37" s="1192" t="s">
        <v>177</v>
      </c>
      <c r="B37" s="1196"/>
      <c r="C37" s="1196"/>
      <c r="D37" s="704" t="s">
        <v>143</v>
      </c>
      <c r="E37" s="825">
        <f>'28'!F37</f>
        <v>415066</v>
      </c>
      <c r="F37" s="825">
        <v>415066</v>
      </c>
      <c r="G37" s="733">
        <f t="shared" si="3"/>
        <v>0</v>
      </c>
      <c r="H37" s="787">
        <f>G37+'28'!H37</f>
        <v>415066</v>
      </c>
      <c r="I37" s="788"/>
      <c r="J37" s="789">
        <f>H37/DAY(B2)</f>
        <v>14312.620689655172</v>
      </c>
      <c r="K37" s="1194"/>
      <c r="L37" s="1195"/>
      <c r="N37" s="853"/>
      <c r="O37" s="853"/>
    </row>
    <row r="38" spans="1:15" s="480" customFormat="1" x14ac:dyDescent="0.4">
      <c r="A38" s="1192" t="s">
        <v>178</v>
      </c>
      <c r="B38" s="1196"/>
      <c r="C38" s="1196"/>
      <c r="D38" s="704" t="s">
        <v>143</v>
      </c>
      <c r="E38" s="825">
        <f>'28'!F38</f>
        <v>150714</v>
      </c>
      <c r="F38" s="1197">
        <v>150714</v>
      </c>
      <c r="G38" s="733">
        <f t="shared" si="3"/>
        <v>0</v>
      </c>
      <c r="H38" s="787">
        <f>G38+'28'!H38</f>
        <v>150616.12</v>
      </c>
      <c r="I38" s="788"/>
      <c r="J38" s="789">
        <f>H38/DAY(B2)</f>
        <v>5193.6593103448276</v>
      </c>
      <c r="K38" s="1194"/>
      <c r="L38" s="1195"/>
      <c r="N38" s="853"/>
      <c r="O38" s="853"/>
    </row>
    <row r="39" spans="1:15" s="480" customFormat="1" x14ac:dyDescent="0.4">
      <c r="A39" s="1192" t="s">
        <v>179</v>
      </c>
      <c r="B39" s="1196"/>
      <c r="C39" s="1196"/>
      <c r="D39" s="704" t="s">
        <v>143</v>
      </c>
      <c r="E39" s="825">
        <f>'28'!F39</f>
        <v>912480</v>
      </c>
      <c r="F39" s="825">
        <v>912480</v>
      </c>
      <c r="G39" s="733">
        <f t="shared" si="3"/>
        <v>0</v>
      </c>
      <c r="H39" s="787">
        <f>G39+'28'!H39</f>
        <v>912480</v>
      </c>
      <c r="I39" s="788"/>
      <c r="J39" s="789">
        <f>H39/DAY(B2)</f>
        <v>31464.827586206895</v>
      </c>
      <c r="K39" s="1194"/>
      <c r="L39" s="1195"/>
      <c r="N39" s="853"/>
      <c r="O39" s="853"/>
    </row>
    <row r="40" spans="1:15" s="480" customFormat="1" x14ac:dyDescent="0.4">
      <c r="A40" s="1198" t="s">
        <v>180</v>
      </c>
      <c r="B40" s="1199"/>
      <c r="C40" s="1199"/>
      <c r="D40" s="704" t="s">
        <v>143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200"/>
      <c r="L40" s="1195"/>
      <c r="N40" s="853"/>
      <c r="O40" s="853"/>
    </row>
    <row r="41" spans="1:15" s="480" customFormat="1" x14ac:dyDescent="0.4">
      <c r="A41" s="1192" t="s">
        <v>181</v>
      </c>
      <c r="B41" s="1196"/>
      <c r="C41" s="1196"/>
      <c r="D41" s="704" t="s">
        <v>143</v>
      </c>
      <c r="E41" s="825">
        <f>'28'!F41</f>
        <v>33797.56</v>
      </c>
      <c r="F41" s="825">
        <v>37220</v>
      </c>
      <c r="G41" s="733">
        <f>F41-E41</f>
        <v>3422.4400000000023</v>
      </c>
      <c r="H41" s="787">
        <f>G41+'28'!H41</f>
        <v>-7402.5199999999968</v>
      </c>
      <c r="I41" s="788"/>
      <c r="J41" s="789">
        <f>H41/DAY(B2)</f>
        <v>-255.25931034482747</v>
      </c>
      <c r="K41" s="1194"/>
      <c r="L41" s="1195"/>
      <c r="N41" s="853"/>
      <c r="O41" s="853"/>
    </row>
    <row r="42" spans="1:15" x14ac:dyDescent="0.4">
      <c r="A42" s="655" t="s">
        <v>182</v>
      </c>
      <c r="B42" s="656"/>
      <c r="C42" s="656"/>
      <c r="D42" s="599" t="s">
        <v>143</v>
      </c>
      <c r="E42" s="824">
        <f>'28'!F42</f>
        <v>58926</v>
      </c>
      <c r="F42" s="824">
        <v>58926</v>
      </c>
      <c r="G42" s="549">
        <f t="shared" si="3"/>
        <v>0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 x14ac:dyDescent="0.4">
      <c r="A43" s="655" t="s">
        <v>183</v>
      </c>
      <c r="B43" s="656"/>
      <c r="C43" s="656"/>
      <c r="D43" s="599" t="s">
        <v>143</v>
      </c>
      <c r="E43" s="824">
        <f>'28'!F43</f>
        <v>760836</v>
      </c>
      <c r="F43" s="824">
        <v>763162.63</v>
      </c>
      <c r="G43" s="549">
        <f t="shared" si="3"/>
        <v>2326.6300000000047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 x14ac:dyDescent="0.4">
      <c r="A44" s="655" t="s">
        <v>184</v>
      </c>
      <c r="B44" s="656"/>
      <c r="C44" s="656"/>
      <c r="D44" s="599" t="s">
        <v>143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 x14ac:dyDescent="0.4">
      <c r="A45" s="655" t="s">
        <v>185</v>
      </c>
      <c r="B45" s="656"/>
      <c r="C45" s="656"/>
      <c r="D45" s="599" t="s">
        <v>143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 x14ac:dyDescent="0.4">
      <c r="A46" s="655" t="s">
        <v>186</v>
      </c>
      <c r="B46" s="656"/>
      <c r="C46" s="656"/>
      <c r="D46" s="599" t="s">
        <v>143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 x14ac:dyDescent="0.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1464991.8699999999</v>
      </c>
      <c r="I47" s="531"/>
      <c r="J47" s="629">
        <f>H47/DAY(B2)</f>
        <v>50516.961034482752</v>
      </c>
      <c r="K47" s="467"/>
      <c r="L47" s="408"/>
    </row>
    <row r="48" spans="1:15" x14ac:dyDescent="0.5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 x14ac:dyDescent="0.4">
      <c r="A49" s="1192" t="s">
        <v>175</v>
      </c>
      <c r="B49" s="1193"/>
      <c r="C49" s="1193"/>
      <c r="D49" s="704" t="s">
        <v>143</v>
      </c>
      <c r="E49" s="825">
        <f>'28'!F49</f>
        <v>236927</v>
      </c>
      <c r="F49" s="825">
        <v>239985.55</v>
      </c>
      <c r="G49" s="733">
        <f t="shared" ref="G49:G58" si="4">F49-E49</f>
        <v>3058.5499999999884</v>
      </c>
      <c r="H49" s="787">
        <f>G49+'28'!H49</f>
        <v>-5913.5</v>
      </c>
      <c r="I49" s="788"/>
      <c r="J49" s="789">
        <f>H49/DAY(B2)</f>
        <v>-203.91379310344828</v>
      </c>
      <c r="K49" s="1194"/>
      <c r="L49" s="1195"/>
      <c r="N49" s="853"/>
      <c r="O49" s="853"/>
    </row>
    <row r="50" spans="1:15" s="480" customFormat="1" x14ac:dyDescent="0.4">
      <c r="A50" s="1192" t="s">
        <v>189</v>
      </c>
      <c r="B50" s="1193" t="s">
        <v>294</v>
      </c>
      <c r="C50" s="1193"/>
      <c r="D50" s="704" t="s">
        <v>143</v>
      </c>
      <c r="E50" s="825">
        <f>'28'!F50</f>
        <v>365372</v>
      </c>
      <c r="F50" s="825">
        <v>366480.97</v>
      </c>
      <c r="G50" s="733">
        <f t="shared" si="4"/>
        <v>1108.9699999999721</v>
      </c>
      <c r="H50" s="787">
        <f>G50+'28'!H50</f>
        <v>-3179.3400000000256</v>
      </c>
      <c r="I50" s="788"/>
      <c r="J50" s="789">
        <f>H50/DAY(B2)</f>
        <v>-109.63241379310433</v>
      </c>
      <c r="K50" s="1194"/>
      <c r="L50" s="1195"/>
      <c r="N50" s="853"/>
      <c r="O50" s="853"/>
    </row>
    <row r="51" spans="1:15" s="480" customFormat="1" x14ac:dyDescent="0.4">
      <c r="A51" s="1192" t="s">
        <v>177</v>
      </c>
      <c r="B51" s="1193"/>
      <c r="C51" s="1193"/>
      <c r="D51" s="704" t="s">
        <v>143</v>
      </c>
      <c r="E51" s="825">
        <f>'28'!F51</f>
        <v>105472</v>
      </c>
      <c r="F51" s="825">
        <v>107035</v>
      </c>
      <c r="G51" s="733">
        <f t="shared" si="4"/>
        <v>1563</v>
      </c>
      <c r="H51" s="787">
        <f>G51+'28'!H51</f>
        <v>-3064.7400000000052</v>
      </c>
      <c r="I51" s="788"/>
      <c r="J51" s="789">
        <f>H51/DAY(B2)</f>
        <v>-105.6806896551726</v>
      </c>
      <c r="K51" s="1194"/>
      <c r="L51" s="1195"/>
      <c r="N51" s="853"/>
      <c r="O51" s="853"/>
    </row>
    <row r="52" spans="1:15" s="480" customFormat="1" x14ac:dyDescent="0.4">
      <c r="A52" s="1192" t="s">
        <v>190</v>
      </c>
      <c r="B52" s="1193"/>
      <c r="C52" s="1193"/>
      <c r="D52" s="704" t="s">
        <v>143</v>
      </c>
      <c r="E52" s="825">
        <f>'28'!F52</f>
        <v>487847</v>
      </c>
      <c r="F52" s="825">
        <v>489802</v>
      </c>
      <c r="G52" s="733">
        <f t="shared" si="4"/>
        <v>1955</v>
      </c>
      <c r="H52" s="787">
        <f>G52+'28'!H52</f>
        <v>-4006.6699999999837</v>
      </c>
      <c r="I52" s="788"/>
      <c r="J52" s="789">
        <f>H52/DAY(B2)</f>
        <v>-138.16103448275805</v>
      </c>
      <c r="K52" s="1194"/>
      <c r="L52" s="1195"/>
      <c r="N52" s="853"/>
      <c r="O52" s="853"/>
    </row>
    <row r="53" spans="1:15" s="480" customFormat="1" x14ac:dyDescent="0.4">
      <c r="A53" s="1192" t="s">
        <v>179</v>
      </c>
      <c r="B53" s="1193"/>
      <c r="C53" s="1193"/>
      <c r="D53" s="704" t="s">
        <v>143</v>
      </c>
      <c r="E53" s="825">
        <f>'28'!F53</f>
        <v>291747</v>
      </c>
      <c r="F53" s="825">
        <v>295932.96999999997</v>
      </c>
      <c r="G53" s="733">
        <f t="shared" si="4"/>
        <v>4185.9699999999721</v>
      </c>
      <c r="H53" s="787">
        <f>G53+'28'!H53</f>
        <v>-8365.3000000000466</v>
      </c>
      <c r="I53" s="788"/>
      <c r="J53" s="789">
        <f>H53/DAY(B2)</f>
        <v>-288.45862068965675</v>
      </c>
      <c r="K53" s="1194"/>
      <c r="L53" s="1195"/>
      <c r="N53" s="853"/>
      <c r="O53" s="853"/>
    </row>
    <row r="54" spans="1:15" x14ac:dyDescent="0.4">
      <c r="A54" s="655" t="s">
        <v>191</v>
      </c>
      <c r="B54" s="678"/>
      <c r="C54" s="678"/>
      <c r="D54" s="599" t="s">
        <v>143</v>
      </c>
      <c r="E54" s="825">
        <f>'28'!F54</f>
        <v>6177</v>
      </c>
      <c r="F54" s="824">
        <v>6228.8</v>
      </c>
      <c r="G54" s="549">
        <f t="shared" si="4"/>
        <v>51.800000000000182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 x14ac:dyDescent="0.4">
      <c r="A55" s="655" t="s">
        <v>192</v>
      </c>
      <c r="B55" s="678"/>
      <c r="C55" s="678"/>
      <c r="D55" s="599" t="s">
        <v>143</v>
      </c>
      <c r="E55" s="825">
        <f>'28'!F55</f>
        <v>39121</v>
      </c>
      <c r="F55" s="825">
        <v>39121</v>
      </c>
      <c r="G55" s="733">
        <f t="shared" si="4"/>
        <v>0</v>
      </c>
      <c r="H55" s="787">
        <f>G55+'28'!H55</f>
        <v>-3866.9800000000032</v>
      </c>
      <c r="I55" s="788"/>
      <c r="J55" s="789">
        <f>H55/DAY(B2)</f>
        <v>-133.3441379310346</v>
      </c>
      <c r="K55" s="467"/>
      <c r="L55" s="408"/>
    </row>
    <row r="56" spans="1:15" x14ac:dyDescent="0.4">
      <c r="A56" s="655" t="s">
        <v>193</v>
      </c>
      <c r="B56" s="678"/>
      <c r="C56" s="678"/>
      <c r="D56" s="599" t="s">
        <v>194</v>
      </c>
      <c r="E56" s="825">
        <f>'28'!F56</f>
        <v>557730</v>
      </c>
      <c r="F56" s="825">
        <v>557730</v>
      </c>
      <c r="G56" s="549">
        <f t="shared" si="4"/>
        <v>0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 x14ac:dyDescent="0.4">
      <c r="A57" s="655" t="s">
        <v>183</v>
      </c>
      <c r="B57" s="678"/>
      <c r="C57" s="678"/>
      <c r="D57" s="599" t="s">
        <v>143</v>
      </c>
      <c r="E57" s="825">
        <f>'28'!F57</f>
        <v>0</v>
      </c>
      <c r="F57" s="824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 x14ac:dyDescent="0.4">
      <c r="A58" s="655" t="s">
        <v>195</v>
      </c>
      <c r="B58" s="678"/>
      <c r="C58" s="678"/>
      <c r="D58" s="599" t="s">
        <v>143</v>
      </c>
      <c r="E58" s="825">
        <f>'28'!F58</f>
        <v>30038</v>
      </c>
      <c r="F58" s="825">
        <v>30214.39</v>
      </c>
      <c r="G58" s="549">
        <f t="shared" si="4"/>
        <v>176.38999999999942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 x14ac:dyDescent="0.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-29073.590000000015</v>
      </c>
      <c r="I59" s="531">
        <f>G7-G60</f>
        <v>311.55000000008295</v>
      </c>
      <c r="J59" s="629">
        <f>H59/DAY(B2)</f>
        <v>-1002.537586206897</v>
      </c>
      <c r="K59" s="467"/>
      <c r="L59" s="408"/>
      <c r="O59" s="852">
        <f>159+122+341+154</f>
        <v>776</v>
      </c>
    </row>
    <row r="60" spans="1:15" x14ac:dyDescent="0.4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1441098.47</v>
      </c>
      <c r="I60" s="531">
        <f>G13-G60</f>
        <v>-331.34999999982392</v>
      </c>
      <c r="J60" s="629">
        <f>H60/DAY(B2)</f>
        <v>49693.050689655174</v>
      </c>
      <c r="K60" s="467"/>
      <c r="L60" s="408"/>
    </row>
    <row r="61" spans="1:15" x14ac:dyDescent="0.5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 x14ac:dyDescent="0.4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 x14ac:dyDescent="0.4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90">
        <f>'28'!F64</f>
        <v>110016</v>
      </c>
      <c r="F64" s="820">
        <v>110461.4</v>
      </c>
      <c r="G64" s="549">
        <f t="shared" si="5"/>
        <v>445.39999999999418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 x14ac:dyDescent="0.5">
      <c r="A65" s="1387" t="s">
        <v>108</v>
      </c>
      <c r="B65" s="1388"/>
      <c r="C65" s="1389"/>
      <c r="D65" s="599" t="s">
        <v>198</v>
      </c>
      <c r="E65" s="590">
        <f>'28'!F65</f>
        <v>120566.18</v>
      </c>
      <c r="F65" s="827">
        <v>120948.65</v>
      </c>
      <c r="G65" s="549">
        <f t="shared" si="5"/>
        <v>382.47000000000116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 x14ac:dyDescent="0.5">
      <c r="A66" s="1387" t="s">
        <v>109</v>
      </c>
      <c r="B66" s="1388"/>
      <c r="C66" s="1389"/>
      <c r="D66" s="599" t="s">
        <v>198</v>
      </c>
      <c r="E66" s="590">
        <f>'28'!F66</f>
        <v>12904</v>
      </c>
      <c r="F66" s="820">
        <v>13320.84</v>
      </c>
      <c r="G66" s="549">
        <f t="shared" si="5"/>
        <v>416.84000000000015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 x14ac:dyDescent="0.5">
      <c r="A67" s="1387" t="s">
        <v>110</v>
      </c>
      <c r="B67" s="1388"/>
      <c r="C67" s="1389"/>
      <c r="D67" s="599" t="s">
        <v>198</v>
      </c>
      <c r="E67" s="590">
        <f>'28'!F67</f>
        <v>186593</v>
      </c>
      <c r="F67" s="820">
        <v>187269.37</v>
      </c>
      <c r="G67" s="549">
        <f t="shared" si="5"/>
        <v>676.36999999999534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 x14ac:dyDescent="0.5">
      <c r="A68" s="1387" t="s">
        <v>111</v>
      </c>
      <c r="B68" s="1388"/>
      <c r="C68" s="1389"/>
      <c r="D68" s="599" t="s">
        <v>198</v>
      </c>
      <c r="E68" s="590">
        <f>'28'!F68</f>
        <v>62358</v>
      </c>
      <c r="F68" s="820">
        <v>62687.79</v>
      </c>
      <c r="G68" s="549">
        <f t="shared" si="5"/>
        <v>329.79000000000087</v>
      </c>
      <c r="H68" s="536">
        <f>G68+'28'!H68</f>
        <v>-612.06999999999971</v>
      </c>
      <c r="I68" s="592"/>
      <c r="J68" s="629">
        <f>H68/DAY(B2)</f>
        <v>-21.105862068965507</v>
      </c>
      <c r="K68" s="469"/>
      <c r="L68" s="408"/>
    </row>
    <row r="69" spans="1:12" ht="27.75" x14ac:dyDescent="0.5">
      <c r="A69" s="1387" t="s">
        <v>112</v>
      </c>
      <c r="B69" s="1388"/>
      <c r="C69" s="1389"/>
      <c r="D69" s="599" t="s">
        <v>198</v>
      </c>
      <c r="E69" s="590">
        <f>'28'!F69</f>
        <v>54778</v>
      </c>
      <c r="F69" s="820">
        <v>55093</v>
      </c>
      <c r="G69" s="549">
        <f t="shared" si="5"/>
        <v>315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 x14ac:dyDescent="0.5">
      <c r="A70" s="1419" t="s">
        <v>200</v>
      </c>
      <c r="B70" s="1420"/>
      <c r="C70" s="1421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</row>
    <row r="72" spans="1:12" ht="27.75" x14ac:dyDescent="0.5">
      <c r="A72" s="1387" t="s">
        <v>202</v>
      </c>
      <c r="B72" s="1388"/>
      <c r="C72" s="1389"/>
      <c r="D72" s="599" t="s">
        <v>198</v>
      </c>
      <c r="E72" s="845">
        <f>'28'!F72</f>
        <v>848208</v>
      </c>
      <c r="F72" s="829">
        <v>848280</v>
      </c>
      <c r="G72" s="549">
        <f t="shared" ref="G72:G84" si="6">F72-E72</f>
        <v>72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 x14ac:dyDescent="0.5">
      <c r="A73" s="1387" t="s">
        <v>203</v>
      </c>
      <c r="B73" s="1388"/>
      <c r="C73" s="1389"/>
      <c r="D73" s="599" t="s">
        <v>198</v>
      </c>
      <c r="E73" s="845">
        <f>'28'!F73</f>
        <v>885727</v>
      </c>
      <c r="F73" s="830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 x14ac:dyDescent="0.5">
      <c r="A74" s="1387" t="s">
        <v>204</v>
      </c>
      <c r="B74" s="1388"/>
      <c r="C74" s="1389"/>
      <c r="D74" s="599" t="s">
        <v>198</v>
      </c>
      <c r="E74" s="845">
        <f>'28'!F74</f>
        <v>882274</v>
      </c>
      <c r="F74" s="830">
        <v>882303</v>
      </c>
      <c r="G74" s="549">
        <f t="shared" si="6"/>
        <v>29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 x14ac:dyDescent="0.5">
      <c r="A75" s="1436" t="s">
        <v>205</v>
      </c>
      <c r="B75" s="1437"/>
      <c r="C75" s="1438"/>
      <c r="D75" s="599" t="s">
        <v>198</v>
      </c>
      <c r="E75" s="845">
        <f>'28'!F75</f>
        <v>736927</v>
      </c>
      <c r="F75" s="830">
        <v>737120</v>
      </c>
      <c r="G75" s="549">
        <f t="shared" si="6"/>
        <v>193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 x14ac:dyDescent="0.5">
      <c r="A76" s="1436" t="s">
        <v>206</v>
      </c>
      <c r="B76" s="1437"/>
      <c r="C76" s="1438"/>
      <c r="D76" s="599" t="s">
        <v>198</v>
      </c>
      <c r="E76" s="845">
        <f>'28'!F76</f>
        <v>686795</v>
      </c>
      <c r="F76" s="830">
        <v>686870</v>
      </c>
      <c r="G76" s="549">
        <f t="shared" si="6"/>
        <v>75</v>
      </c>
      <c r="H76" s="536">
        <f>G76+'28'!H76</f>
        <v>688867.2</v>
      </c>
      <c r="I76" s="581"/>
      <c r="J76" s="629">
        <f>H76/DAY(B2)</f>
        <v>23754.041379310343</v>
      </c>
      <c r="K76" s="469"/>
      <c r="L76" s="408"/>
    </row>
    <row r="77" spans="1:12" ht="27.75" x14ac:dyDescent="0.5">
      <c r="A77" s="1387" t="s">
        <v>207</v>
      </c>
      <c r="B77" s="1388"/>
      <c r="C77" s="1389"/>
      <c r="D77" s="599" t="s">
        <v>198</v>
      </c>
      <c r="E77" s="845">
        <f>'28'!F77</f>
        <v>696952</v>
      </c>
      <c r="F77" s="830">
        <v>697002</v>
      </c>
      <c r="G77" s="733">
        <f t="shared" si="6"/>
        <v>50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 x14ac:dyDescent="0.5">
      <c r="A78" s="1234" t="s">
        <v>208</v>
      </c>
      <c r="B78" s="1205"/>
      <c r="C78" s="1205"/>
      <c r="D78" s="599" t="s">
        <v>198</v>
      </c>
      <c r="E78" s="845">
        <f>'28'!F78</f>
        <v>640706</v>
      </c>
      <c r="F78" s="830">
        <v>641105</v>
      </c>
      <c r="G78" s="733">
        <f t="shared" si="6"/>
        <v>399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 x14ac:dyDescent="0.5">
      <c r="A79" s="1436" t="s">
        <v>97</v>
      </c>
      <c r="B79" s="1437"/>
      <c r="C79" s="1438"/>
      <c r="D79" s="600" t="s">
        <v>198</v>
      </c>
      <c r="E79" s="845">
        <f>'28'!F79</f>
        <v>809124</v>
      </c>
      <c r="F79" s="831">
        <v>809323</v>
      </c>
      <c r="G79" s="549">
        <f t="shared" si="6"/>
        <v>199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 x14ac:dyDescent="0.5">
      <c r="A80" s="1436" t="s">
        <v>209</v>
      </c>
      <c r="B80" s="1437"/>
      <c r="C80" s="1438"/>
      <c r="D80" s="600" t="s">
        <v>198</v>
      </c>
      <c r="E80" s="845">
        <f>'28'!F80</f>
        <v>484187</v>
      </c>
      <c r="F80" s="830">
        <v>484503</v>
      </c>
      <c r="G80" s="549">
        <f t="shared" si="6"/>
        <v>316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 x14ac:dyDescent="0.5">
      <c r="A81" s="1436" t="s">
        <v>210</v>
      </c>
      <c r="B81" s="1437"/>
      <c r="C81" s="1438"/>
      <c r="D81" s="600" t="s">
        <v>198</v>
      </c>
      <c r="E81" s="845">
        <f>'28'!F81</f>
        <v>622474</v>
      </c>
      <c r="F81" s="830">
        <v>622568</v>
      </c>
      <c r="G81" s="549">
        <f t="shared" si="6"/>
        <v>94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 x14ac:dyDescent="0.5">
      <c r="A82" s="1436" t="s">
        <v>100</v>
      </c>
      <c r="B82" s="1437"/>
      <c r="C82" s="1438"/>
      <c r="D82" s="561" t="s">
        <v>143</v>
      </c>
      <c r="E82" s="845">
        <f>'28'!F82</f>
        <v>105280.37</v>
      </c>
      <c r="F82" s="827">
        <v>105339.54</v>
      </c>
      <c r="G82" s="549">
        <f t="shared" si="6"/>
        <v>59.169999999998254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 x14ac:dyDescent="0.5">
      <c r="A83" s="1436" t="s">
        <v>211</v>
      </c>
      <c r="B83" s="1437"/>
      <c r="C83" s="1438"/>
      <c r="D83" s="697" t="s">
        <v>143</v>
      </c>
      <c r="E83" s="845">
        <f>'28'!F83</f>
        <v>982567</v>
      </c>
      <c r="F83" s="546">
        <v>982952</v>
      </c>
      <c r="G83" s="549">
        <f t="shared" si="6"/>
        <v>385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 x14ac:dyDescent="0.5">
      <c r="A84" s="1235" t="s">
        <v>212</v>
      </c>
      <c r="B84" s="648"/>
      <c r="C84" s="648"/>
      <c r="D84" s="554" t="s">
        <v>143</v>
      </c>
      <c r="E84" s="845">
        <f>'28'!F84</f>
        <v>414533</v>
      </c>
      <c r="F84" s="787">
        <v>415080</v>
      </c>
      <c r="G84" s="549">
        <f t="shared" si="6"/>
        <v>547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 x14ac:dyDescent="0.5">
      <c r="A85" s="682" t="s">
        <v>213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2419.1699999999983</v>
      </c>
      <c r="H85" s="536">
        <f>G85+'28'!H85</f>
        <v>2302803.1899999995</v>
      </c>
      <c r="I85" s="557"/>
      <c r="J85" s="629">
        <f>H85/DAY(B2)</f>
        <v>79407.006551724116</v>
      </c>
      <c r="K85" s="411"/>
      <c r="L85" s="409"/>
      <c r="N85" s="852"/>
      <c r="O85" s="852"/>
    </row>
    <row r="86" spans="1:15" s="817" customFormat="1" x14ac:dyDescent="0.5">
      <c r="A86" s="812" t="s">
        <v>102</v>
      </c>
      <c r="B86" s="813"/>
      <c r="C86" s="813"/>
      <c r="D86" s="814" t="s">
        <v>194</v>
      </c>
      <c r="E86" s="787">
        <f>'28'!F86</f>
        <v>446801</v>
      </c>
      <c r="F86" s="832">
        <v>446888</v>
      </c>
      <c r="G86" s="787">
        <f t="shared" ref="G86:G90" si="7">F86-E86</f>
        <v>87</v>
      </c>
      <c r="H86" s="787">
        <f t="shared" ref="H86:H88" si="8">G86</f>
        <v>87</v>
      </c>
      <c r="I86" s="733"/>
      <c r="J86" s="789">
        <f>H86/DAY(B2)</f>
        <v>3</v>
      </c>
      <c r="K86" s="815"/>
      <c r="L86" s="816"/>
      <c r="N86" s="853"/>
      <c r="O86" s="853"/>
    </row>
    <row r="87" spans="1:15" s="817" customFormat="1" x14ac:dyDescent="0.5">
      <c r="A87" s="812" t="s">
        <v>103</v>
      </c>
      <c r="B87" s="813"/>
      <c r="C87" s="813"/>
      <c r="D87" s="814" t="s">
        <v>194</v>
      </c>
      <c r="E87" s="787">
        <f>'28'!F87</f>
        <v>78375.899999999994</v>
      </c>
      <c r="F87" s="832">
        <v>78411</v>
      </c>
      <c r="G87" s="787">
        <f t="shared" si="7"/>
        <v>35.100000000005821</v>
      </c>
      <c r="H87" s="787">
        <f t="shared" si="8"/>
        <v>35.100000000005821</v>
      </c>
      <c r="I87" s="733"/>
      <c r="J87" s="789">
        <f>H87/DAY(B2)</f>
        <v>1.2103448275864077</v>
      </c>
      <c r="K87" s="815"/>
      <c r="L87" s="816"/>
      <c r="N87" s="853"/>
      <c r="O87" s="853"/>
    </row>
    <row r="88" spans="1:15" s="817" customFormat="1" x14ac:dyDescent="0.5">
      <c r="A88" s="812" t="s">
        <v>104</v>
      </c>
      <c r="B88" s="813"/>
      <c r="C88" s="813"/>
      <c r="D88" s="814" t="s">
        <v>194</v>
      </c>
      <c r="E88" s="787">
        <f>'28'!F88</f>
        <v>146266</v>
      </c>
      <c r="F88" s="832">
        <v>146382.95000000001</v>
      </c>
      <c r="G88" s="787">
        <f t="shared" si="7"/>
        <v>116.95000000001164</v>
      </c>
      <c r="H88" s="787">
        <f t="shared" si="8"/>
        <v>116.95000000001164</v>
      </c>
      <c r="I88" s="733"/>
      <c r="J88" s="789">
        <f>H88/DAY(B2)</f>
        <v>4.032758620690057</v>
      </c>
      <c r="K88" s="815"/>
      <c r="L88" s="816"/>
      <c r="N88" s="853">
        <f>122+359</f>
        <v>481</v>
      </c>
      <c r="O88" s="853"/>
    </row>
    <row r="89" spans="1:15" s="817" customFormat="1" x14ac:dyDescent="0.5">
      <c r="A89" s="812" t="s">
        <v>215</v>
      </c>
      <c r="B89" s="813"/>
      <c r="C89" s="813"/>
      <c r="D89" s="814" t="s">
        <v>194</v>
      </c>
      <c r="E89" s="787">
        <f>'28'!F89</f>
        <v>59582</v>
      </c>
      <c r="F89" s="728">
        <v>59670.8</v>
      </c>
      <c r="G89" s="787">
        <f t="shared" si="7"/>
        <v>88.80000000000291</v>
      </c>
      <c r="H89" s="787">
        <f>G89</f>
        <v>88.80000000000291</v>
      </c>
      <c r="I89" s="733"/>
      <c r="J89" s="789">
        <f>H89/DAY(B2)</f>
        <v>3.0620689655173416</v>
      </c>
      <c r="K89" s="815"/>
      <c r="L89" s="816"/>
    </row>
    <row r="90" spans="1:15" s="817" customFormat="1" x14ac:dyDescent="0.5">
      <c r="A90" s="812" t="s">
        <v>215</v>
      </c>
      <c r="B90" s="813"/>
      <c r="C90" s="813"/>
      <c r="D90" s="814" t="s">
        <v>194</v>
      </c>
      <c r="E90" s="787">
        <f>'28'!F90</f>
        <v>3057.8</v>
      </c>
      <c r="F90" s="728">
        <v>3061.9</v>
      </c>
      <c r="G90" s="787">
        <f t="shared" si="7"/>
        <v>4.0999999999999091</v>
      </c>
      <c r="H90" s="787">
        <f>G90</f>
        <v>4.0999999999999091</v>
      </c>
      <c r="I90" s="733"/>
      <c r="J90" s="789">
        <f>H90/DAY(B2)</f>
        <v>0.14137931034482445</v>
      </c>
      <c r="K90" s="815"/>
      <c r="L90" s="816"/>
    </row>
    <row r="91" spans="1:15" s="410" customFormat="1" x14ac:dyDescent="0.5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 x14ac:dyDescent="0.5">
      <c r="A92" s="1390" t="s">
        <v>217</v>
      </c>
      <c r="B92" s="1391"/>
      <c r="C92" s="1392"/>
      <c r="D92" s="599" t="s">
        <v>155</v>
      </c>
      <c r="E92" s="841">
        <f>'28'!F92</f>
        <v>236336</v>
      </c>
      <c r="F92" s="820">
        <v>236405</v>
      </c>
      <c r="G92" s="549">
        <f t="shared" ref="G92:G93" si="9">F92-E92</f>
        <v>69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 x14ac:dyDescent="0.5">
      <c r="A93" s="1390" t="s">
        <v>218</v>
      </c>
      <c r="B93" s="1391"/>
      <c r="C93" s="1392"/>
      <c r="D93" s="599" t="s">
        <v>155</v>
      </c>
      <c r="E93" s="841">
        <f>'28'!F93</f>
        <v>170681</v>
      </c>
      <c r="F93" s="820">
        <v>170864</v>
      </c>
      <c r="G93" s="549">
        <f t="shared" si="9"/>
        <v>183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 x14ac:dyDescent="0.5">
      <c r="A94" s="1384" t="s">
        <v>219</v>
      </c>
      <c r="B94" s="1385"/>
      <c r="C94" s="1386"/>
      <c r="D94" s="599"/>
      <c r="E94" s="841"/>
      <c r="F94" s="820"/>
      <c r="G94" s="549">
        <f>G92+G93</f>
        <v>252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 x14ac:dyDescent="0.5">
      <c r="A95" s="1390" t="s">
        <v>220</v>
      </c>
      <c r="B95" s="1391"/>
      <c r="C95" s="1392"/>
      <c r="D95" s="599" t="s">
        <v>155</v>
      </c>
      <c r="E95" s="841">
        <f>'28'!F95</f>
        <v>405688</v>
      </c>
      <c r="F95" s="820">
        <v>405753</v>
      </c>
      <c r="G95" s="549">
        <f t="shared" ref="G95:G100" si="10">F95-E95</f>
        <v>65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 x14ac:dyDescent="0.5">
      <c r="A96" s="1231" t="s">
        <v>221</v>
      </c>
      <c r="B96" s="1232"/>
      <c r="C96" s="1232"/>
      <c r="D96" s="599" t="s">
        <v>155</v>
      </c>
      <c r="E96" s="841">
        <f>'28'!F96</f>
        <v>100437</v>
      </c>
      <c r="F96" s="820">
        <v>100470</v>
      </c>
      <c r="G96" s="549">
        <f t="shared" si="10"/>
        <v>33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 x14ac:dyDescent="0.5">
      <c r="A97" s="1231" t="s">
        <v>222</v>
      </c>
      <c r="B97" s="1232"/>
      <c r="C97" s="1232"/>
      <c r="D97" s="599" t="s">
        <v>155</v>
      </c>
      <c r="E97" s="841">
        <f>'28'!F97</f>
        <v>95606</v>
      </c>
      <c r="F97" s="820">
        <v>95625</v>
      </c>
      <c r="G97" s="549">
        <f t="shared" si="10"/>
        <v>19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 x14ac:dyDescent="0.5">
      <c r="A98" s="1231" t="s">
        <v>223</v>
      </c>
      <c r="B98" s="1232"/>
      <c r="C98" s="1232"/>
      <c r="D98" s="599" t="s">
        <v>155</v>
      </c>
      <c r="E98" s="841">
        <f>'28'!F98</f>
        <v>145357</v>
      </c>
      <c r="F98" s="820">
        <v>145422</v>
      </c>
      <c r="G98" s="549">
        <f t="shared" si="10"/>
        <v>65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 x14ac:dyDescent="0.5">
      <c r="A99" s="1231" t="s">
        <v>224</v>
      </c>
      <c r="B99" s="1232"/>
      <c r="C99" s="1232"/>
      <c r="D99" s="599" t="s">
        <v>155</v>
      </c>
      <c r="E99" s="841">
        <f>'28'!F99</f>
        <v>5936</v>
      </c>
      <c r="F99" s="820">
        <v>5946</v>
      </c>
      <c r="G99" s="549">
        <f t="shared" si="10"/>
        <v>10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841">
        <f>'28'!F100</f>
        <v>4218</v>
      </c>
      <c r="F100" s="820">
        <v>4225</v>
      </c>
      <c r="G100" s="549">
        <f t="shared" si="10"/>
        <v>7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 x14ac:dyDescent="0.5">
      <c r="A101" s="1384" t="s">
        <v>227</v>
      </c>
      <c r="B101" s="1385"/>
      <c r="C101" s="1386"/>
      <c r="D101" s="600"/>
      <c r="E101" s="562"/>
      <c r="F101" s="562"/>
      <c r="G101" s="601">
        <f>SUM(G95:G100)</f>
        <v>199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 x14ac:dyDescent="0.35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 x14ac:dyDescent="0.5">
      <c r="A103" s="1393" t="s">
        <v>229</v>
      </c>
      <c r="B103" s="1394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 x14ac:dyDescent="0.5">
      <c r="A104" s="1395" t="s">
        <v>230</v>
      </c>
      <c r="B104" s="1396"/>
      <c r="C104" s="1230"/>
      <c r="D104" s="699" t="s">
        <v>155</v>
      </c>
      <c r="E104" s="609">
        <f>'28'!F104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2.5517241379310347</v>
      </c>
      <c r="N104" s="852"/>
      <c r="O104" s="852"/>
    </row>
    <row r="105" spans="1:15" s="481" customFormat="1" ht="27" x14ac:dyDescent="0.5">
      <c r="A105" s="1395" t="s">
        <v>77</v>
      </c>
      <c r="B105" s="1396"/>
      <c r="C105" s="1230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58</v>
      </c>
      <c r="I105" s="608"/>
      <c r="J105" s="635">
        <f>H105/DAY(B2)</f>
        <v>2</v>
      </c>
      <c r="N105" s="852"/>
      <c r="O105" s="852"/>
    </row>
    <row r="106" spans="1:15" s="481" customFormat="1" ht="27" x14ac:dyDescent="0.5">
      <c r="A106" s="1395" t="s">
        <v>78</v>
      </c>
      <c r="B106" s="1397"/>
      <c r="C106" s="1396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338</v>
      </c>
      <c r="I106" s="608"/>
      <c r="J106" s="635">
        <f>H106/DAY(B2)</f>
        <v>11.655172413793103</v>
      </c>
      <c r="N106" s="852"/>
      <c r="O106" s="852"/>
    </row>
    <row r="107" spans="1:15" s="481" customFormat="1" ht="27" x14ac:dyDescent="0.5">
      <c r="A107" s="1398" t="s">
        <v>213</v>
      </c>
      <c r="B107" s="1399"/>
      <c r="C107" s="1230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219</v>
      </c>
      <c r="I107" s="608"/>
      <c r="J107" s="635">
        <f>H107/DAY(B2)</f>
        <v>7.5517241379310347</v>
      </c>
      <c r="N107" s="852"/>
      <c r="O107" s="852"/>
    </row>
    <row r="108" spans="1:15" s="481" customFormat="1" ht="27" x14ac:dyDescent="0.5">
      <c r="A108" s="1400" t="s">
        <v>79</v>
      </c>
      <c r="B108" s="1401"/>
      <c r="C108" s="1230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 x14ac:dyDescent="0.5">
      <c r="A109" s="1395" t="s">
        <v>231</v>
      </c>
      <c r="B109" s="1396"/>
      <c r="C109" s="1230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119</v>
      </c>
      <c r="I109" s="608"/>
      <c r="J109" s="635">
        <f>H109/DAY(B2)</f>
        <v>4.1034482758620694</v>
      </c>
      <c r="N109" s="852"/>
      <c r="O109" s="852"/>
    </row>
    <row r="110" spans="1:15" s="481" customFormat="1" ht="27" x14ac:dyDescent="0.5">
      <c r="A110" s="1395" t="s">
        <v>232</v>
      </c>
      <c r="B110" s="1396"/>
      <c r="C110" s="1230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80</v>
      </c>
      <c r="I110" s="608"/>
      <c r="J110" s="635">
        <f>H110/DAY(B2)</f>
        <v>2.7586206896551726</v>
      </c>
      <c r="N110" s="852"/>
      <c r="O110" s="852"/>
    </row>
    <row r="111" spans="1:15" s="481" customFormat="1" ht="27" x14ac:dyDescent="0.5">
      <c r="A111" s="1395" t="s">
        <v>233</v>
      </c>
      <c r="B111" s="1396"/>
      <c r="C111" s="1230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433</v>
      </c>
      <c r="I111" s="608"/>
      <c r="J111" s="635">
        <f>H111/DAY(B2)</f>
        <v>14.931034482758621</v>
      </c>
      <c r="N111" s="852"/>
      <c r="O111" s="852"/>
    </row>
    <row r="112" spans="1:15" s="481" customFormat="1" ht="27" x14ac:dyDescent="0.5">
      <c r="A112" s="1398" t="s">
        <v>121</v>
      </c>
      <c r="B112" s="1399"/>
      <c r="C112" s="1230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599</v>
      </c>
      <c r="I112" s="608"/>
      <c r="J112" s="635">
        <f>H112/DAY(B2)</f>
        <v>20.655172413793103</v>
      </c>
      <c r="N112" s="852"/>
      <c r="O112" s="852"/>
    </row>
    <row r="113" spans="1:15" s="481" customFormat="1" ht="27" x14ac:dyDescent="0.5">
      <c r="A113" s="1400" t="s">
        <v>234</v>
      </c>
      <c r="B113" s="1401"/>
      <c r="C113" s="1230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 x14ac:dyDescent="0.5">
      <c r="A114" s="1395" t="s">
        <v>235</v>
      </c>
      <c r="B114" s="1396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52"/>
      <c r="O114" s="852"/>
    </row>
    <row r="115" spans="1:15" s="481" customFormat="1" ht="27" x14ac:dyDescent="0.5">
      <c r="A115" s="1395" t="s">
        <v>236</v>
      </c>
      <c r="B115" s="1396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3.1724137931034484</v>
      </c>
      <c r="N115" s="852"/>
      <c r="O115" s="852"/>
    </row>
    <row r="116" spans="1:15" s="481" customFormat="1" ht="27" x14ac:dyDescent="0.5">
      <c r="A116" s="1395" t="s">
        <v>237</v>
      </c>
      <c r="B116" s="1396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 x14ac:dyDescent="0.5">
      <c r="A117" s="1398" t="s">
        <v>213</v>
      </c>
      <c r="B117" s="1399"/>
      <c r="C117" s="651"/>
      <c r="D117" s="700"/>
      <c r="E117" s="612"/>
      <c r="F117" s="741"/>
      <c r="G117" s="610">
        <f>SUM(G114:G116)</f>
        <v>18</v>
      </c>
      <c r="H117" s="609">
        <f>SUM(G117+'1'!G95)</f>
        <v>90</v>
      </c>
      <c r="I117" s="610"/>
      <c r="J117" s="635">
        <f>H117/DAY(B2)</f>
        <v>3.103448275862069</v>
      </c>
      <c r="N117" s="852"/>
      <c r="O117" s="853"/>
    </row>
    <row r="118" spans="1:15" s="495" customFormat="1" ht="27" x14ac:dyDescent="0.5">
      <c r="A118" s="1429" t="s">
        <v>238</v>
      </c>
      <c r="B118" s="1430"/>
      <c r="C118" s="1228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143</v>
      </c>
      <c r="I118" s="611"/>
      <c r="J118" s="636">
        <f>H118/DAY(B2)</f>
        <v>4.931034482758621</v>
      </c>
      <c r="N118" s="852"/>
      <c r="O118" s="853"/>
    </row>
    <row r="119" spans="1:15" s="495" customFormat="1" ht="27" x14ac:dyDescent="0.5">
      <c r="A119" s="1429" t="s">
        <v>239</v>
      </c>
      <c r="B119" s="1430"/>
      <c r="C119" s="1228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217</v>
      </c>
      <c r="I119" s="611"/>
      <c r="J119" s="636">
        <f>H119/DAY(B2)</f>
        <v>7.4827586206896548</v>
      </c>
      <c r="N119" s="852"/>
      <c r="O119" s="853"/>
    </row>
    <row r="120" spans="1:15" s="495" customFormat="1" ht="27" x14ac:dyDescent="0.5">
      <c r="A120" s="1429" t="s">
        <v>240</v>
      </c>
      <c r="B120" s="1430"/>
      <c r="C120" s="1228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84</v>
      </c>
      <c r="I120" s="611"/>
      <c r="J120" s="636">
        <f>H120/DAY(B2)</f>
        <v>2.896551724137931</v>
      </c>
      <c r="N120" s="852"/>
      <c r="O120" s="853"/>
    </row>
    <row r="121" spans="1:15" s="481" customFormat="1" ht="27" x14ac:dyDescent="0.5">
      <c r="A121" s="1431"/>
      <c r="B121" s="1432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852"/>
      <c r="O121" s="852"/>
    </row>
    <row r="122" spans="1:15" x14ac:dyDescent="0.5">
      <c r="A122" s="1381" t="s">
        <v>241</v>
      </c>
      <c r="B122" s="1382"/>
      <c r="C122" s="1383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820">
        <f>'28'!F123</f>
        <v>802540</v>
      </c>
      <c r="F123" s="820">
        <v>802782.99</v>
      </c>
      <c r="G123" s="549">
        <f t="shared" ref="G123:G127" si="14">F123-E123</f>
        <v>242.98999999999069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820">
        <f>'28'!F124</f>
        <v>73582</v>
      </c>
      <c r="F124" s="836">
        <v>73582</v>
      </c>
      <c r="G124" s="549">
        <f t="shared" si="14"/>
        <v>0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820">
        <f>'28'!F125</f>
        <v>137669</v>
      </c>
      <c r="F125" s="820">
        <v>137739.76999999999</v>
      </c>
      <c r="G125" s="549">
        <f t="shared" si="14"/>
        <v>70.769999999989523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820">
        <f>'28'!F126</f>
        <v>58288</v>
      </c>
      <c r="F126" s="836">
        <v>58320</v>
      </c>
      <c r="G126" s="549">
        <f t="shared" si="14"/>
        <v>32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820">
        <f>'28'!F127</f>
        <v>8805</v>
      </c>
      <c r="F127" s="836">
        <v>8807</v>
      </c>
      <c r="G127" s="549">
        <f t="shared" si="14"/>
        <v>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 x14ac:dyDescent="0.5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479.20999999999185</v>
      </c>
      <c r="H128" s="536"/>
      <c r="I128" s="556"/>
      <c r="J128" s="629"/>
      <c r="K128" s="391"/>
      <c r="L128" s="293"/>
      <c r="N128" s="852"/>
      <c r="O128" s="852"/>
    </row>
    <row r="129" spans="1:12" x14ac:dyDescent="0.4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 x14ac:dyDescent="0.5">
      <c r="A130" s="1231" t="s">
        <v>249</v>
      </c>
      <c r="B130" s="1232"/>
      <c r="C130" s="1232"/>
      <c r="D130" s="599" t="s">
        <v>250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 x14ac:dyDescent="0.5">
      <c r="A131" s="1231" t="s">
        <v>251</v>
      </c>
      <c r="B131" s="1232"/>
      <c r="C131" s="1232"/>
      <c r="D131" s="599" t="s">
        <v>250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 x14ac:dyDescent="0.5">
      <c r="A132" s="1231" t="s">
        <v>252</v>
      </c>
      <c r="B132" s="1232"/>
      <c r="C132" s="1232"/>
      <c r="D132" s="599" t="s">
        <v>250</v>
      </c>
      <c r="E132" s="850">
        <f>'28'!F132</f>
        <v>39032.480000000003</v>
      </c>
      <c r="F132" s="836">
        <v>39056.54</v>
      </c>
      <c r="G132" s="549">
        <f t="shared" si="15"/>
        <v>24.059999999997672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 x14ac:dyDescent="0.5">
      <c r="A133" s="1231" t="s">
        <v>253</v>
      </c>
      <c r="B133" s="1232"/>
      <c r="C133" s="1232"/>
      <c r="D133" s="599" t="s">
        <v>250</v>
      </c>
      <c r="E133" s="850">
        <f>'28'!F133</f>
        <v>299</v>
      </c>
      <c r="F133" s="836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 x14ac:dyDescent="0.5">
      <c r="A134" s="1231" t="s">
        <v>254</v>
      </c>
      <c r="B134" s="1232"/>
      <c r="C134" s="1232"/>
      <c r="D134" s="599" t="s">
        <v>250</v>
      </c>
      <c r="E134" s="850">
        <f>'28'!F134</f>
        <v>39951</v>
      </c>
      <c r="F134" s="836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 x14ac:dyDescent="0.5">
      <c r="A135" s="1231" t="s">
        <v>255</v>
      </c>
      <c r="B135" s="1232"/>
      <c r="C135" s="1232"/>
      <c r="D135" s="599" t="s">
        <v>250</v>
      </c>
      <c r="E135" s="846">
        <f>'28'!F135</f>
        <v>32423</v>
      </c>
      <c r="F135" s="823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 x14ac:dyDescent="0.5">
      <c r="A136" s="1231" t="s">
        <v>256</v>
      </c>
      <c r="B136" s="1232"/>
      <c r="C136" s="1232"/>
      <c r="D136" s="599" t="s">
        <v>250</v>
      </c>
      <c r="E136" s="849">
        <f>'28'!F136</f>
        <v>21979.8</v>
      </c>
      <c r="F136" s="827">
        <v>21988.73</v>
      </c>
      <c r="G136" s="549">
        <f t="shared" si="15"/>
        <v>8.930000000000291</v>
      </c>
      <c r="H136" s="536">
        <f>G136+'28'!H136</f>
        <v>-13.229999999999563</v>
      </c>
      <c r="I136" s="556">
        <f>G134+G135+G136</f>
        <v>8.930000000000291</v>
      </c>
      <c r="J136" s="629">
        <f>H136/DAY(B2)</f>
        <v>-0.4562068965517091</v>
      </c>
    </row>
    <row r="137" spans="1:12" ht="27.75" x14ac:dyDescent="0.5">
      <c r="A137" s="1231" t="s">
        <v>257</v>
      </c>
      <c r="B137" s="1232"/>
      <c r="C137" s="1232"/>
      <c r="D137" s="599" t="s">
        <v>250</v>
      </c>
      <c r="E137" s="849">
        <f>'28'!F137</f>
        <v>25019.94</v>
      </c>
      <c r="F137" s="827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 x14ac:dyDescent="0.5">
      <c r="A138" s="1231" t="s">
        <v>258</v>
      </c>
      <c r="B138" s="1232"/>
      <c r="C138" s="1232"/>
      <c r="D138" s="599" t="s">
        <v>250</v>
      </c>
      <c r="E138" s="849">
        <f>'28'!F138</f>
        <v>70059.78</v>
      </c>
      <c r="F138" s="827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 x14ac:dyDescent="0.5">
      <c r="A139" s="1231" t="s">
        <v>259</v>
      </c>
      <c r="B139" s="1232"/>
      <c r="C139" s="1232"/>
      <c r="D139" s="599" t="s">
        <v>250</v>
      </c>
      <c r="E139" s="850">
        <f>'28'!F139</f>
        <v>1177.29</v>
      </c>
      <c r="F139" s="836">
        <v>1184.42</v>
      </c>
      <c r="G139" s="549">
        <f t="shared" si="15"/>
        <v>7.1300000000001091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 x14ac:dyDescent="0.5">
      <c r="A140" s="1231" t="s">
        <v>260</v>
      </c>
      <c r="B140" s="1232"/>
      <c r="C140" s="1232"/>
      <c r="D140" s="599" t="s">
        <v>250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 x14ac:dyDescent="0.5">
      <c r="A141" s="1425" t="s">
        <v>261</v>
      </c>
      <c r="B141" s="1426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 x14ac:dyDescent="0.5">
      <c r="A142" s="1390" t="s">
        <v>262</v>
      </c>
      <c r="B142" s="1391"/>
      <c r="C142" s="1392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 x14ac:dyDescent="0.5">
      <c r="A143" s="1390" t="s">
        <v>263</v>
      </c>
      <c r="B143" s="1391"/>
      <c r="C143" s="1392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7.4749507725313427</v>
      </c>
      <c r="I143" s="621"/>
      <c r="J143" s="629">
        <f>H143/DAY(B2)</f>
        <v>0.25775692319073595</v>
      </c>
      <c r="K143" s="411"/>
      <c r="L143" s="408"/>
    </row>
    <row r="144" spans="1:12" ht="27.75" x14ac:dyDescent="0.5">
      <c r="A144" s="1390" t="s">
        <v>264</v>
      </c>
      <c r="B144" s="1391"/>
      <c r="C144" s="1392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-7404.0100000000457</v>
      </c>
      <c r="I144" s="556"/>
      <c r="J144" s="629">
        <f>H144/DAY(B2)</f>
        <v>-255.310689655174</v>
      </c>
      <c r="K144" s="411"/>
      <c r="L144" s="408"/>
    </row>
    <row r="145" spans="1:12" ht="27.75" x14ac:dyDescent="0.5">
      <c r="A145" s="1390" t="s">
        <v>265</v>
      </c>
      <c r="B145" s="1391"/>
      <c r="C145" s="1392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6.1945752673473509</v>
      </c>
      <c r="I145" s="621"/>
      <c r="J145" s="629">
        <f>H145/DAY(B2)</f>
        <v>0.21360604370163278</v>
      </c>
      <c r="K145" s="411"/>
      <c r="L145" s="408"/>
    </row>
    <row r="146" spans="1:12" ht="27.75" x14ac:dyDescent="0.5">
      <c r="A146" s="1390" t="s">
        <v>266</v>
      </c>
      <c r="B146" s="1391"/>
      <c r="C146" s="1392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 x14ac:dyDescent="0.5">
      <c r="A147" s="1390" t="s">
        <v>267</v>
      </c>
      <c r="B147" s="1391"/>
      <c r="C147" s="1392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4.7703501095610763</v>
      </c>
      <c r="I147" s="622"/>
      <c r="J147" s="629">
        <f>H147/DAY(B2)</f>
        <v>0.16449483136417503</v>
      </c>
    </row>
    <row r="148" spans="1:12" ht="27.75" x14ac:dyDescent="0.5">
      <c r="A148" s="1390" t="s">
        <v>268</v>
      </c>
      <c r="B148" s="1391"/>
      <c r="C148" s="1392"/>
      <c r="D148" s="599" t="s">
        <v>194</v>
      </c>
      <c r="E148" s="536"/>
      <c r="F148" s="536"/>
      <c r="G148" s="536">
        <f>G38+G52</f>
        <v>1955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 x14ac:dyDescent="0.5">
      <c r="A149" s="1390" t="s">
        <v>269</v>
      </c>
      <c r="B149" s="1391"/>
      <c r="C149" s="1392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2.7419169437333517</v>
      </c>
      <c r="I149" s="622"/>
      <c r="J149" s="629">
        <f>H149/DAY(B2)</f>
        <v>9.454886012873627E-2</v>
      </c>
    </row>
    <row r="150" spans="1:12" ht="27.75" x14ac:dyDescent="0.5">
      <c r="A150" s="1390" t="s">
        <v>270</v>
      </c>
      <c r="B150" s="1391"/>
      <c r="C150" s="1392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 x14ac:dyDescent="0.5">
      <c r="A151" s="1390" t="s">
        <v>271</v>
      </c>
      <c r="B151" s="1391"/>
      <c r="C151" s="1392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2.8014678162863587</v>
      </c>
      <c r="I151" s="556"/>
      <c r="J151" s="629">
        <f>H151/DAY(B2)</f>
        <v>9.6602338492633055E-2</v>
      </c>
    </row>
    <row r="152" spans="1:12" ht="27.75" x14ac:dyDescent="0.5">
      <c r="A152" s="1390" t="s">
        <v>272</v>
      </c>
      <c r="B152" s="1391"/>
      <c r="C152" s="1392"/>
      <c r="D152" s="599" t="s">
        <v>194</v>
      </c>
      <c r="E152" s="536"/>
      <c r="F152" s="536"/>
      <c r="G152" s="536">
        <f>G37+G51</f>
        <v>1563</v>
      </c>
      <c r="H152" s="536">
        <f>G152+'28'!H152</f>
        <v>412001.25999999995</v>
      </c>
      <c r="I152" s="556"/>
      <c r="J152" s="629">
        <f>H152/DAY(B2)</f>
        <v>14206.939999999999</v>
      </c>
    </row>
    <row r="153" spans="1:12" ht="28.5" thickBot="1" x14ac:dyDescent="0.55000000000000004">
      <c r="A153" s="1422" t="s">
        <v>273</v>
      </c>
      <c r="B153" s="1423"/>
      <c r="C153" s="1424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1.5395693320869055</v>
      </c>
      <c r="I153" s="645"/>
      <c r="J153" s="646">
        <f>H153/DAY(B2)</f>
        <v>5.3088597658169152E-2</v>
      </c>
    </row>
    <row r="154" spans="1:12" x14ac:dyDescent="0.5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 x14ac:dyDescent="0.5">
      <c r="A160" s="878" t="s">
        <v>274</v>
      </c>
      <c r="B160" s="879"/>
      <c r="C160" s="879"/>
      <c r="D160" s="697" t="s">
        <v>198</v>
      </c>
      <c r="E160" s="846">
        <f>'28'!F160</f>
        <v>28185.9</v>
      </c>
      <c r="F160" s="887">
        <v>28266.89</v>
      </c>
      <c r="G160" s="549">
        <f t="shared" ref="G160:G163" si="16">F160-E160</f>
        <v>80.989999999997963</v>
      </c>
    </row>
    <row r="161" spans="1:7" x14ac:dyDescent="0.5">
      <c r="A161" s="878" t="s">
        <v>275</v>
      </c>
      <c r="B161" s="879"/>
      <c r="C161" s="879"/>
      <c r="D161" s="697" t="s">
        <v>198</v>
      </c>
      <c r="E161" s="846">
        <f>'28'!F161</f>
        <v>41255.49</v>
      </c>
      <c r="F161" s="887">
        <v>41680.800000000003</v>
      </c>
      <c r="G161" s="549">
        <f t="shared" si="16"/>
        <v>425.31000000000495</v>
      </c>
    </row>
    <row r="162" spans="1:7" x14ac:dyDescent="0.5">
      <c r="A162" s="878" t="s">
        <v>276</v>
      </c>
      <c r="B162" s="879"/>
      <c r="C162" s="879"/>
      <c r="D162" s="697" t="s">
        <v>198</v>
      </c>
      <c r="E162" s="846">
        <f>'28'!F162</f>
        <v>12092</v>
      </c>
      <c r="F162" s="887">
        <v>12319</v>
      </c>
      <c r="G162" s="549">
        <f t="shared" si="16"/>
        <v>227</v>
      </c>
    </row>
    <row r="163" spans="1:7" x14ac:dyDescent="0.5">
      <c r="A163" s="878" t="s">
        <v>277</v>
      </c>
      <c r="B163" s="879"/>
      <c r="C163" s="879"/>
      <c r="D163" s="697" t="s">
        <v>198</v>
      </c>
      <c r="E163" s="846">
        <f>'28'!F163</f>
        <v>4939.6899999999996</v>
      </c>
      <c r="F163" s="887">
        <v>4960.6400000000003</v>
      </c>
      <c r="G163" s="549">
        <f t="shared" si="16"/>
        <v>20.950000000000728</v>
      </c>
    </row>
    <row r="164" spans="1:7" x14ac:dyDescent="0.4">
      <c r="A164" s="880" t="s">
        <v>106</v>
      </c>
      <c r="B164" s="881"/>
      <c r="C164" s="881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 x14ac:dyDescent="0.4">
      <c r="A165" s="880" t="s">
        <v>199</v>
      </c>
      <c r="B165" s="881"/>
      <c r="C165" s="881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 x14ac:dyDescent="0.5">
      <c r="A166" s="1449" t="s">
        <v>107</v>
      </c>
      <c r="B166" s="1449"/>
      <c r="C166" s="1449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 x14ac:dyDescent="0.5">
      <c r="A167" s="1449" t="s">
        <v>108</v>
      </c>
      <c r="B167" s="1449"/>
      <c r="C167" s="1449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 x14ac:dyDescent="0.5">
      <c r="A168" s="1449" t="s">
        <v>109</v>
      </c>
      <c r="B168" s="1449"/>
      <c r="C168" s="1449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 x14ac:dyDescent="0.5">
      <c r="A169" s="1449" t="s">
        <v>110</v>
      </c>
      <c r="B169" s="1449"/>
      <c r="C169" s="1449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 x14ac:dyDescent="0.5">
      <c r="A170" s="1449" t="s">
        <v>111</v>
      </c>
      <c r="B170" s="1449"/>
      <c r="C170" s="1449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 x14ac:dyDescent="0.5">
      <c r="A171" s="1449" t="s">
        <v>112</v>
      </c>
      <c r="B171" s="1449"/>
      <c r="C171" s="1449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 x14ac:dyDescent="0.5">
      <c r="A172" s="882"/>
      <c r="B172" s="883"/>
      <c r="C172" s="883"/>
      <c r="D172" s="884"/>
      <c r="E172" s="886"/>
      <c r="F172" s="1116"/>
      <c r="G172" s="886">
        <f>SUM(G160:G171)</f>
        <v>3332.3429999999939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320</v>
      </c>
      <c r="B2" s="1201">
        <v>43860</v>
      </c>
      <c r="C2" s="1233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 x14ac:dyDescent="0.5">
      <c r="A3" s="647"/>
      <c r="B3" s="691"/>
      <c r="C3" s="1233" t="s">
        <v>131</v>
      </c>
      <c r="D3" s="689">
        <v>24</v>
      </c>
      <c r="E3" s="1591" t="s">
        <v>132</v>
      </c>
      <c r="F3" s="1591"/>
      <c r="G3" s="538"/>
      <c r="H3" s="539"/>
      <c r="I3" s="539"/>
      <c r="J3" s="692"/>
      <c r="K3" s="402"/>
      <c r="L3" s="293"/>
      <c r="O3" s="1108"/>
    </row>
    <row r="4" spans="1:15" s="281" customFormat="1" ht="27" x14ac:dyDescent="0.5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 x14ac:dyDescent="0.4">
      <c r="A6" s="1592" t="s">
        <v>141</v>
      </c>
      <c r="B6" s="1593"/>
      <c r="C6" s="1593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 x14ac:dyDescent="0.45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 x14ac:dyDescent="0.45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 x14ac:dyDescent="0.4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2566308.25</v>
      </c>
      <c r="I9" s="555">
        <f>I7-J7</f>
        <v>12615.366666666667</v>
      </c>
      <c r="J9" s="629">
        <f>H9/DAY(B2)</f>
        <v>85543.608333333337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 x14ac:dyDescent="0.4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-11901.5</v>
      </c>
      <c r="I10" s="556"/>
      <c r="J10" s="629">
        <f>H10/DAY(B2)</f>
        <v>-396.71666666666664</v>
      </c>
      <c r="K10" s="467"/>
      <c r="L10" s="408"/>
      <c r="N10" s="479">
        <f>F10-'1'!E10</f>
        <v>-11901.5</v>
      </c>
      <c r="O10" s="889"/>
    </row>
    <row r="11" spans="1:15" ht="21.95" customHeight="1" x14ac:dyDescent="0.4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 x14ac:dyDescent="0.4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2536100.7500000005</v>
      </c>
      <c r="I13" s="558">
        <f>G7-G13</f>
        <v>645.10000000009313</v>
      </c>
      <c r="J13" s="629">
        <f>H13/DAY(B2)</f>
        <v>84536.69166666668</v>
      </c>
      <c r="K13" s="467"/>
      <c r="L13" s="408"/>
      <c r="N13" s="479">
        <f>F13-'1'!E13</f>
        <v>0</v>
      </c>
      <c r="O13" s="889"/>
    </row>
    <row r="14" spans="1:15" ht="29.25" x14ac:dyDescent="0.5">
      <c r="A14" s="1585" t="s">
        <v>150</v>
      </c>
      <c r="B14" s="1586"/>
      <c r="C14" s="1586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 x14ac:dyDescent="0.5">
      <c r="A15" s="1231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 x14ac:dyDescent="0.5">
      <c r="A17" s="1585" t="s">
        <v>153</v>
      </c>
      <c r="B17" s="1586"/>
      <c r="C17" s="1586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 x14ac:dyDescent="0.5">
      <c r="A18" s="1567" t="s">
        <v>154</v>
      </c>
      <c r="B18" s="1568"/>
      <c r="C18" s="1568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4590</v>
      </c>
      <c r="I18" s="550">
        <f>'1'!I18</f>
        <v>65</v>
      </c>
      <c r="J18" s="629">
        <f>H18/DAY(B2)</f>
        <v>153</v>
      </c>
      <c r="K18" s="467"/>
      <c r="L18" s="408"/>
      <c r="N18" s="479">
        <f>F18-'1'!E18</f>
        <v>0</v>
      </c>
      <c r="O18" s="889"/>
    </row>
    <row r="19" spans="1:15" ht="27.75" x14ac:dyDescent="0.5">
      <c r="A19" s="1567" t="s">
        <v>71</v>
      </c>
      <c r="B19" s="1568"/>
      <c r="C19" s="1568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 x14ac:dyDescent="0.5">
      <c r="A20" s="662" t="s">
        <v>156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4536</v>
      </c>
      <c r="I20" s="568">
        <f>I18-J20</f>
        <v>-86.199999999999989</v>
      </c>
      <c r="J20" s="629">
        <f>H20/DAY(B2)</f>
        <v>151.19999999999999</v>
      </c>
      <c r="K20" s="467"/>
      <c r="L20" s="408"/>
      <c r="N20" s="479">
        <f>F20-'1'!E20</f>
        <v>0</v>
      </c>
      <c r="O20" s="889"/>
    </row>
    <row r="21" spans="1:15" ht="29.25" x14ac:dyDescent="0.5">
      <c r="A21" s="1585" t="s">
        <v>157</v>
      </c>
      <c r="B21" s="1586"/>
      <c r="C21" s="1586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 x14ac:dyDescent="0.5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 x14ac:dyDescent="0.5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 x14ac:dyDescent="0.4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-37776.269999996759</v>
      </c>
      <c r="I28" s="581"/>
      <c r="J28" s="629">
        <f>H28/DAY(B2)</f>
        <v>-1259.2089999998921</v>
      </c>
      <c r="K28" s="404"/>
      <c r="L28" s="484"/>
      <c r="N28" s="479"/>
      <c r="O28" s="889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367200</v>
      </c>
      <c r="I31" s="581"/>
      <c r="J31" s="629"/>
      <c r="K31" s="404"/>
      <c r="L31" s="484"/>
      <c r="N31" s="479"/>
      <c r="O31" s="889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316460.73000000371</v>
      </c>
      <c r="I32" s="585"/>
      <c r="J32" s="629">
        <f>H32/DAY(B2)</f>
        <v>10548.691000000124</v>
      </c>
      <c r="K32" s="404"/>
      <c r="L32" s="484"/>
      <c r="N32" s="479"/>
      <c r="O32" s="889"/>
    </row>
    <row r="33" spans="1:15" ht="25.5" x14ac:dyDescent="0.35">
      <c r="A33" s="1587" t="s">
        <v>173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467"/>
      <c r="L33" s="408"/>
      <c r="N33" s="479"/>
      <c r="O33" s="889"/>
    </row>
    <row r="34" spans="1:15" ht="21.95" customHeight="1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 x14ac:dyDescent="0.4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 x14ac:dyDescent="0.4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 x14ac:dyDescent="0.4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 x14ac:dyDescent="0.4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 x14ac:dyDescent="0.4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 x14ac:dyDescent="0.4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 x14ac:dyDescent="0.4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-3633.5699999999997</v>
      </c>
      <c r="I41" s="531"/>
      <c r="J41" s="629">
        <f>H41/DAY(B2)</f>
        <v>-121.11899999999999</v>
      </c>
      <c r="K41" s="467"/>
      <c r="L41" s="408"/>
      <c r="N41" s="479">
        <f>F41-'1'!E41</f>
        <v>-3633.5699999999997</v>
      </c>
      <c r="O41" s="889"/>
    </row>
    <row r="42" spans="1:15" ht="21.95" customHeight="1" x14ac:dyDescent="0.4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 x14ac:dyDescent="0.4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 x14ac:dyDescent="0.4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 x14ac:dyDescent="0.4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 x14ac:dyDescent="0.4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1471684.9</v>
      </c>
      <c r="I47" s="531"/>
      <c r="J47" s="629">
        <f>H47/DAY(B2)</f>
        <v>49056.16333333333</v>
      </c>
      <c r="K47" s="467"/>
      <c r="L47" s="408"/>
      <c r="N47" s="479">
        <f>F47-'1'!E47</f>
        <v>0</v>
      </c>
      <c r="O47" s="889"/>
    </row>
    <row r="48" spans="1:15" ht="29.2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 x14ac:dyDescent="0.4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 x14ac:dyDescent="0.4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 x14ac:dyDescent="0.4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 x14ac:dyDescent="0.4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 x14ac:dyDescent="0.4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 x14ac:dyDescent="0.4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 x14ac:dyDescent="0.4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-3866.9800000000032</v>
      </c>
      <c r="I55" s="531"/>
      <c r="J55" s="629">
        <f>H55/DAY(B2)</f>
        <v>-128.89933333333343</v>
      </c>
      <c r="K55" s="467"/>
      <c r="L55" s="408"/>
      <c r="O55" s="889"/>
    </row>
    <row r="56" spans="1:15" ht="29.25" x14ac:dyDescent="0.4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 x14ac:dyDescent="0.4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 x14ac:dyDescent="0.4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-17158.989999999983</v>
      </c>
      <c r="I59" s="531">
        <f>G7-G60</f>
        <v>309.36999999995169</v>
      </c>
      <c r="J59" s="629">
        <f>H59/DAY(B2)</f>
        <v>-571.96633333333273</v>
      </c>
      <c r="K59" s="467"/>
      <c r="L59" s="408"/>
      <c r="O59" s="889"/>
    </row>
    <row r="60" spans="1:15" ht="29.2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1459706.1</v>
      </c>
      <c r="I60" s="531">
        <f>G13-G60</f>
        <v>-335.73000000014144</v>
      </c>
      <c r="J60" s="629">
        <f>H60/DAY(B2)</f>
        <v>48656.87</v>
      </c>
      <c r="K60" s="467"/>
      <c r="L60" s="408"/>
      <c r="O60" s="889"/>
    </row>
    <row r="61" spans="1:15" ht="29.2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 x14ac:dyDescent="0.4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 x14ac:dyDescent="0.4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 x14ac:dyDescent="0.5">
      <c r="A64" s="1573" t="s">
        <v>107</v>
      </c>
      <c r="B64" s="1439"/>
      <c r="C64" s="1439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 x14ac:dyDescent="0.5">
      <c r="A65" s="1573" t="s">
        <v>108</v>
      </c>
      <c r="B65" s="1439"/>
      <c r="C65" s="1439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 x14ac:dyDescent="0.5">
      <c r="A66" s="1573" t="s">
        <v>109</v>
      </c>
      <c r="B66" s="1439"/>
      <c r="C66" s="1439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 x14ac:dyDescent="0.5">
      <c r="A67" s="1573" t="s">
        <v>110</v>
      </c>
      <c r="B67" s="1439"/>
      <c r="C67" s="1439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 x14ac:dyDescent="0.5">
      <c r="A68" s="1573" t="s">
        <v>111</v>
      </c>
      <c r="B68" s="1439"/>
      <c r="C68" s="1439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-296.86000000000058</v>
      </c>
      <c r="I68" s="592"/>
      <c r="J68" s="629">
        <f>H68/DAY(B2)</f>
        <v>-9.8953333333333529</v>
      </c>
      <c r="K68" s="469"/>
      <c r="L68" s="408"/>
      <c r="O68" s="889"/>
    </row>
    <row r="69" spans="1:15" ht="27.75" x14ac:dyDescent="0.5">
      <c r="A69" s="1573" t="s">
        <v>112</v>
      </c>
      <c r="B69" s="1439"/>
      <c r="C69" s="1439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 x14ac:dyDescent="0.5">
      <c r="A70" s="1590" t="s">
        <v>200</v>
      </c>
      <c r="B70" s="1449"/>
      <c r="C70" s="1449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 x14ac:dyDescent="0.6">
      <c r="A71" s="1582" t="s">
        <v>201</v>
      </c>
      <c r="B71" s="1583"/>
      <c r="C71" s="1583"/>
      <c r="D71" s="1583"/>
      <c r="E71" s="1583"/>
      <c r="F71" s="1583"/>
      <c r="G71" s="1583"/>
      <c r="H71" s="1583"/>
      <c r="I71" s="1583"/>
      <c r="J71" s="1584"/>
      <c r="K71" s="469"/>
      <c r="L71" s="408"/>
      <c r="O71" s="889"/>
    </row>
    <row r="72" spans="1:15" ht="27.75" x14ac:dyDescent="0.5">
      <c r="A72" s="1573" t="s">
        <v>202</v>
      </c>
      <c r="B72" s="1439"/>
      <c r="C72" s="1439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 x14ac:dyDescent="0.5">
      <c r="A73" s="1573" t="s">
        <v>203</v>
      </c>
      <c r="B73" s="1439"/>
      <c r="C73" s="1439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 x14ac:dyDescent="0.5">
      <c r="A74" s="1573" t="s">
        <v>204</v>
      </c>
      <c r="B74" s="1439"/>
      <c r="C74" s="1439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 x14ac:dyDescent="0.5">
      <c r="A75" s="1580" t="s">
        <v>205</v>
      </c>
      <c r="B75" s="1581"/>
      <c r="C75" s="1581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 x14ac:dyDescent="0.5">
      <c r="A76" s="1580" t="s">
        <v>206</v>
      </c>
      <c r="B76" s="1581"/>
      <c r="C76" s="1581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</v>
      </c>
      <c r="I76" s="581"/>
      <c r="J76" s="629">
        <f>H76/DAY(B2)</f>
        <v>22964.57333333333</v>
      </c>
      <c r="K76" s="469"/>
      <c r="L76" s="408"/>
      <c r="O76" s="889"/>
    </row>
    <row r="77" spans="1:15" ht="27.75" x14ac:dyDescent="0.5">
      <c r="A77" s="1573" t="s">
        <v>207</v>
      </c>
      <c r="B77" s="1439"/>
      <c r="C77" s="1439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 x14ac:dyDescent="0.5">
      <c r="A79" s="1580" t="s">
        <v>97</v>
      </c>
      <c r="B79" s="1581"/>
      <c r="C79" s="1581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 x14ac:dyDescent="0.5">
      <c r="A80" s="1580" t="s">
        <v>209</v>
      </c>
      <c r="B80" s="1581"/>
      <c r="C80" s="1581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 x14ac:dyDescent="0.5">
      <c r="A81" s="1580" t="s">
        <v>210</v>
      </c>
      <c r="B81" s="1581"/>
      <c r="C81" s="1581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 x14ac:dyDescent="0.5">
      <c r="A82" s="1580" t="s">
        <v>100</v>
      </c>
      <c r="B82" s="1581"/>
      <c r="C82" s="1581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 x14ac:dyDescent="0.5">
      <c r="A83" s="1580" t="s">
        <v>211</v>
      </c>
      <c r="B83" s="1581"/>
      <c r="C83" s="1581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 x14ac:dyDescent="0.5">
      <c r="A84" s="1235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 x14ac:dyDescent="0.5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2305068.0799999996</v>
      </c>
      <c r="I85" s="557"/>
      <c r="J85" s="629">
        <f>H85/DAY(B2)</f>
        <v>76835.602666666658</v>
      </c>
      <c r="K85" s="411"/>
      <c r="L85" s="409"/>
      <c r="O85" s="889"/>
    </row>
    <row r="86" spans="1:15" s="817" customFormat="1" ht="29.25" x14ac:dyDescent="0.5">
      <c r="A86" s="812" t="s">
        <v>102</v>
      </c>
      <c r="B86" s="813"/>
      <c r="C86" s="813"/>
      <c r="D86" s="814" t="s">
        <v>194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 x14ac:dyDescent="0.5">
      <c r="A87" s="812" t="s">
        <v>103</v>
      </c>
      <c r="B87" s="813"/>
      <c r="C87" s="813"/>
      <c r="D87" s="814" t="s">
        <v>194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 x14ac:dyDescent="0.5">
      <c r="A88" s="812" t="s">
        <v>104</v>
      </c>
      <c r="B88" s="813"/>
      <c r="C88" s="813"/>
      <c r="D88" s="814" t="s">
        <v>194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 x14ac:dyDescent="0.5">
      <c r="A89" s="812" t="s">
        <v>215</v>
      </c>
      <c r="B89" s="813"/>
      <c r="C89" s="813"/>
      <c r="D89" s="814" t="s">
        <v>194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 x14ac:dyDescent="0.5">
      <c r="A90" s="812" t="s">
        <v>215</v>
      </c>
      <c r="B90" s="813"/>
      <c r="C90" s="813"/>
      <c r="D90" s="814" t="s">
        <v>194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 x14ac:dyDescent="0.5">
      <c r="A92" s="1567" t="s">
        <v>217</v>
      </c>
      <c r="B92" s="1568"/>
      <c r="C92" s="1568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 x14ac:dyDescent="0.5">
      <c r="A93" s="1567" t="s">
        <v>218</v>
      </c>
      <c r="B93" s="1568"/>
      <c r="C93" s="1568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 x14ac:dyDescent="0.5">
      <c r="A94" s="1569" t="s">
        <v>219</v>
      </c>
      <c r="B94" s="1570"/>
      <c r="C94" s="1570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 x14ac:dyDescent="0.5">
      <c r="A95" s="1567" t="s">
        <v>220</v>
      </c>
      <c r="B95" s="1568"/>
      <c r="C95" s="1568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 x14ac:dyDescent="0.5">
      <c r="A101" s="1569" t="s">
        <v>227</v>
      </c>
      <c r="B101" s="1570"/>
      <c r="C101" s="1570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 x14ac:dyDescent="0.35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 x14ac:dyDescent="0.5">
      <c r="A103" s="1576" t="s">
        <v>229</v>
      </c>
      <c r="B103" s="1577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 x14ac:dyDescent="0.5">
      <c r="A104" s="1578" t="s">
        <v>230</v>
      </c>
      <c r="B104" s="1579"/>
      <c r="C104" s="1229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 x14ac:dyDescent="0.5">
      <c r="A105" s="1578" t="s">
        <v>77</v>
      </c>
      <c r="B105" s="1579"/>
      <c r="C105" s="1229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 x14ac:dyDescent="0.5">
      <c r="A106" s="1578" t="s">
        <v>78</v>
      </c>
      <c r="B106" s="1579"/>
      <c r="C106" s="1579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 x14ac:dyDescent="0.5">
      <c r="A107" s="1594" t="s">
        <v>213</v>
      </c>
      <c r="B107" s="1595"/>
      <c r="C107" s="1229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 x14ac:dyDescent="0.5">
      <c r="A108" s="1596" t="s">
        <v>79</v>
      </c>
      <c r="B108" s="1597"/>
      <c r="C108" s="1229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 x14ac:dyDescent="0.5">
      <c r="A109" s="1578" t="s">
        <v>231</v>
      </c>
      <c r="B109" s="1579"/>
      <c r="C109" s="1229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 x14ac:dyDescent="0.5">
      <c r="A110" s="1578" t="s">
        <v>232</v>
      </c>
      <c r="B110" s="1579"/>
      <c r="C110" s="1229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 x14ac:dyDescent="0.5">
      <c r="A111" s="1578" t="s">
        <v>233</v>
      </c>
      <c r="B111" s="1579"/>
      <c r="C111" s="1229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 x14ac:dyDescent="0.5">
      <c r="A112" s="1598" t="s">
        <v>121</v>
      </c>
      <c r="B112" s="1599"/>
      <c r="C112" s="1229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 x14ac:dyDescent="0.5">
      <c r="A113" s="1596" t="s">
        <v>234</v>
      </c>
      <c r="B113" s="1597"/>
      <c r="C113" s="1229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 x14ac:dyDescent="0.5">
      <c r="A114" s="1578" t="s">
        <v>235</v>
      </c>
      <c r="B114" s="1579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 x14ac:dyDescent="0.5">
      <c r="A115" s="1578" t="s">
        <v>236</v>
      </c>
      <c r="B115" s="1579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 x14ac:dyDescent="0.5">
      <c r="A116" s="1578" t="s">
        <v>237</v>
      </c>
      <c r="B116" s="1579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 x14ac:dyDescent="0.5">
      <c r="A117" s="1594" t="s">
        <v>213</v>
      </c>
      <c r="B117" s="1595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 x14ac:dyDescent="0.5">
      <c r="A118" s="1600" t="s">
        <v>238</v>
      </c>
      <c r="B118" s="1601"/>
      <c r="C118" s="1228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 x14ac:dyDescent="0.5">
      <c r="A119" s="1600" t="s">
        <v>239</v>
      </c>
      <c r="B119" s="1601"/>
      <c r="C119" s="1228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 x14ac:dyDescent="0.5">
      <c r="A120" s="1600" t="s">
        <v>240</v>
      </c>
      <c r="B120" s="1601"/>
      <c r="C120" s="1228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 x14ac:dyDescent="0.5">
      <c r="A121" s="1602"/>
      <c r="B121" s="1603"/>
      <c r="C121" s="1229"/>
      <c r="D121" s="637"/>
      <c r="E121" s="637"/>
      <c r="F121" s="637" t="s">
        <v>226</v>
      </c>
      <c r="G121" s="637"/>
      <c r="H121" s="638"/>
      <c r="I121" s="637"/>
      <c r="J121" s="639"/>
      <c r="O121" s="889"/>
    </row>
    <row r="122" spans="1:15" ht="29.25" x14ac:dyDescent="0.5">
      <c r="A122" s="1571" t="s">
        <v>241</v>
      </c>
      <c r="B122" s="1572"/>
      <c r="C122" s="1572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 x14ac:dyDescent="0.5">
      <c r="A123" s="1231" t="s">
        <v>242</v>
      </c>
      <c r="B123" s="1232"/>
      <c r="C123" s="1232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 x14ac:dyDescent="0.5">
      <c r="A124" s="1231" t="s">
        <v>243</v>
      </c>
      <c r="B124" s="1232"/>
      <c r="C124" s="1232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 x14ac:dyDescent="0.5">
      <c r="A125" s="1573" t="s">
        <v>244</v>
      </c>
      <c r="B125" s="1439"/>
      <c r="C125" s="1439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 x14ac:dyDescent="0.5">
      <c r="A126" s="686" t="s">
        <v>245</v>
      </c>
      <c r="B126" s="1232"/>
      <c r="C126" s="1232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 x14ac:dyDescent="0.5">
      <c r="A127" s="686" t="s">
        <v>246</v>
      </c>
      <c r="B127" s="1232"/>
      <c r="C127" s="1232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 x14ac:dyDescent="0.5">
      <c r="A128" s="686" t="s">
        <v>247</v>
      </c>
      <c r="B128" s="1232"/>
      <c r="C128" s="1232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 x14ac:dyDescent="0.5">
      <c r="A133" s="1231" t="s">
        <v>253</v>
      </c>
      <c r="B133" s="1232"/>
      <c r="C133" s="1232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889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889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889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889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 x14ac:dyDescent="0.5">
      <c r="A141" s="1574" t="s">
        <v>261</v>
      </c>
      <c r="B141" s="1575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 x14ac:dyDescent="0.5">
      <c r="A142" s="1567" t="s">
        <v>262</v>
      </c>
      <c r="B142" s="1568"/>
      <c r="C142" s="1568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 x14ac:dyDescent="0.5">
      <c r="A143" s="1567" t="s">
        <v>263</v>
      </c>
      <c r="B143" s="1568"/>
      <c r="C143" s="1568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7.7554857410781528</v>
      </c>
      <c r="I143" s="621"/>
      <c r="J143" s="629">
        <f>H143/DAY(B2)</f>
        <v>0.25851619136927179</v>
      </c>
      <c r="K143" s="411"/>
      <c r="L143" s="408"/>
      <c r="O143" s="889"/>
    </row>
    <row r="144" spans="1:15" ht="21.95" customHeight="1" x14ac:dyDescent="0.5">
      <c r="A144" s="1567" t="s">
        <v>264</v>
      </c>
      <c r="B144" s="1568"/>
      <c r="C144" s="1568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-3635.0600000000486</v>
      </c>
      <c r="I144" s="556"/>
      <c r="J144" s="629">
        <f>H144/DAY(B2)</f>
        <v>-121.16866666666829</v>
      </c>
      <c r="K144" s="411"/>
      <c r="L144" s="408"/>
      <c r="O144" s="889"/>
    </row>
    <row r="145" spans="1:15" ht="21.95" customHeight="1" x14ac:dyDescent="0.5">
      <c r="A145" s="1567" t="s">
        <v>265</v>
      </c>
      <c r="B145" s="1568"/>
      <c r="C145" s="1568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6.393811404155513</v>
      </c>
      <c r="I145" s="621"/>
      <c r="J145" s="629">
        <f>H145/DAY(B2)</f>
        <v>0.21312704680518377</v>
      </c>
      <c r="K145" s="411"/>
      <c r="L145" s="408"/>
      <c r="O145" s="889"/>
    </row>
    <row r="146" spans="1:15" ht="21.95" customHeight="1" x14ac:dyDescent="0.5">
      <c r="A146" s="1567" t="s">
        <v>266</v>
      </c>
      <c r="B146" s="1568"/>
      <c r="C146" s="1568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 x14ac:dyDescent="0.5">
      <c r="A147" s="1567" t="s">
        <v>267</v>
      </c>
      <c r="B147" s="1568"/>
      <c r="C147" s="1568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4.990206852173543</v>
      </c>
      <c r="I147" s="622"/>
      <c r="J147" s="629">
        <f>H147/DAY(B2)</f>
        <v>0.16634022840578477</v>
      </c>
      <c r="O147" s="889"/>
    </row>
    <row r="148" spans="1:15" ht="21.95" customHeight="1" x14ac:dyDescent="0.5">
      <c r="A148" s="1567" t="s">
        <v>268</v>
      </c>
      <c r="B148" s="1568"/>
      <c r="C148" s="1568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 x14ac:dyDescent="0.5">
      <c r="A149" s="1567" t="s">
        <v>269</v>
      </c>
      <c r="B149" s="1568"/>
      <c r="C149" s="1568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2.8474786078449958</v>
      </c>
      <c r="I149" s="622"/>
      <c r="J149" s="629">
        <f>H149/DAY(B2)</f>
        <v>9.4915953594833194E-2</v>
      </c>
      <c r="O149" s="889"/>
    </row>
    <row r="150" spans="1:15" ht="21.95" customHeight="1" x14ac:dyDescent="0.5">
      <c r="A150" s="1567" t="s">
        <v>270</v>
      </c>
      <c r="B150" s="1568"/>
      <c r="C150" s="1568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 x14ac:dyDescent="0.5">
      <c r="A151" s="1567" t="s">
        <v>271</v>
      </c>
      <c r="B151" s="1568"/>
      <c r="C151" s="1568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2.8913990950303479</v>
      </c>
      <c r="I151" s="556"/>
      <c r="J151" s="629">
        <f>H151/DAY(B2)</f>
        <v>9.6379969834344922E-2</v>
      </c>
      <c r="O151" s="889"/>
    </row>
    <row r="152" spans="1:15" ht="27.75" x14ac:dyDescent="0.5">
      <c r="A152" s="1567" t="s">
        <v>272</v>
      </c>
      <c r="B152" s="1568"/>
      <c r="C152" s="1568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413517.11999999994</v>
      </c>
      <c r="I152" s="556"/>
      <c r="J152" s="629">
        <f>H152/DAY(B2)</f>
        <v>13783.903999999999</v>
      </c>
      <c r="O152" s="889"/>
    </row>
    <row r="153" spans="1:15" ht="28.5" thickBot="1" x14ac:dyDescent="0.55000000000000004">
      <c r="A153" s="1565" t="s">
        <v>273</v>
      </c>
      <c r="B153" s="1566"/>
      <c r="C153" s="1566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1.6197014883484693</v>
      </c>
      <c r="I153" s="645"/>
      <c r="J153" s="646">
        <f>H153/DAY(B2)</f>
        <v>5.3990049611615645E-2</v>
      </c>
      <c r="O153" s="889"/>
    </row>
    <row r="154" spans="1:15" ht="29.2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 x14ac:dyDescent="0.5">
      <c r="A160" s="868" t="s">
        <v>274</v>
      </c>
      <c r="B160" s="869"/>
      <c r="C160" s="869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 x14ac:dyDescent="0.5">
      <c r="A161" s="868" t="s">
        <v>275</v>
      </c>
      <c r="B161" s="869"/>
      <c r="C161" s="869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 x14ac:dyDescent="0.5">
      <c r="A162" s="868" t="s">
        <v>276</v>
      </c>
      <c r="B162" s="869"/>
      <c r="C162" s="869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 x14ac:dyDescent="0.5">
      <c r="A163" s="868" t="s">
        <v>277</v>
      </c>
      <c r="B163" s="869"/>
      <c r="C163" s="869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 x14ac:dyDescent="0.4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 x14ac:dyDescent="0.4">
      <c r="A165" s="870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 x14ac:dyDescent="0.5">
      <c r="A166" s="1439" t="s">
        <v>107</v>
      </c>
      <c r="B166" s="1439"/>
      <c r="C166" s="1439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 x14ac:dyDescent="0.5">
      <c r="A167" s="1439" t="s">
        <v>108</v>
      </c>
      <c r="B167" s="1439"/>
      <c r="C167" s="1439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 x14ac:dyDescent="0.5">
      <c r="A168" s="1439" t="s">
        <v>109</v>
      </c>
      <c r="B168" s="1439"/>
      <c r="C168" s="1439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 x14ac:dyDescent="0.5">
      <c r="A169" s="1439" t="s">
        <v>110</v>
      </c>
      <c r="B169" s="1439"/>
      <c r="C169" s="1439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 x14ac:dyDescent="0.5">
      <c r="A170" s="1439" t="s">
        <v>111</v>
      </c>
      <c r="B170" s="1439"/>
      <c r="C170" s="1439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 x14ac:dyDescent="0.5">
      <c r="A171" s="1439" t="s">
        <v>112</v>
      </c>
      <c r="B171" s="1439"/>
      <c r="C171" s="1439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 x14ac:dyDescent="0.5">
      <c r="G172" s="616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02" t="s">
        <v>128</v>
      </c>
      <c r="B1" s="1403"/>
      <c r="C1" s="1403"/>
      <c r="D1" s="1403"/>
      <c r="E1" s="1403"/>
      <c r="F1" s="1403"/>
      <c r="G1" s="1403"/>
      <c r="H1" s="1403"/>
      <c r="I1" s="1403"/>
      <c r="J1" s="1404"/>
    </row>
    <row r="2" spans="1:15" s="281" customFormat="1" ht="27" x14ac:dyDescent="0.5">
      <c r="A2" s="652" t="s">
        <v>279</v>
      </c>
      <c r="B2" s="1201">
        <v>44227</v>
      </c>
      <c r="C2" s="1233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 x14ac:dyDescent="0.5">
      <c r="A3" s="647"/>
      <c r="B3" s="691"/>
      <c r="C3" s="1233" t="s">
        <v>131</v>
      </c>
      <c r="D3" s="689">
        <v>24</v>
      </c>
      <c r="E3" s="1411" t="s">
        <v>132</v>
      </c>
      <c r="F3" s="1412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 x14ac:dyDescent="0.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 x14ac:dyDescent="0.4">
      <c r="A6" s="1405" t="s">
        <v>141</v>
      </c>
      <c r="B6" s="1406"/>
      <c r="C6" s="1407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 x14ac:dyDescent="0.45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 x14ac:dyDescent="0.45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 x14ac:dyDescent="0.4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2572240.75</v>
      </c>
      <c r="I9" s="555">
        <f>I7-J7</f>
        <v>12000</v>
      </c>
      <c r="J9" s="629">
        <f>H9/DAY(B2)</f>
        <v>82975.508064516136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 x14ac:dyDescent="0.4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0</v>
      </c>
      <c r="I10" s="556"/>
      <c r="J10" s="629">
        <f>H10/DAY(B2)</f>
        <v>0</v>
      </c>
      <c r="K10" s="467"/>
      <c r="L10" s="408"/>
      <c r="N10" s="479">
        <f>F10-'1'!E10</f>
        <v>0</v>
      </c>
      <c r="O10" s="413"/>
    </row>
    <row r="11" spans="1:15" ht="21.95" customHeight="1" x14ac:dyDescent="0.4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 x14ac:dyDescent="0.4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 x14ac:dyDescent="0.5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2553934.7500000005</v>
      </c>
      <c r="I13" s="558">
        <f>G7-G13</f>
        <v>627</v>
      </c>
      <c r="J13" s="629">
        <f>H13/DAY(B2)</f>
        <v>82384.991935483893</v>
      </c>
      <c r="K13" s="467"/>
      <c r="L13" s="408"/>
      <c r="N13" s="479">
        <f>F13-'1'!E13</f>
        <v>0</v>
      </c>
      <c r="O13" s="413"/>
    </row>
    <row r="14" spans="1:15" ht="29.25" x14ac:dyDescent="0.5">
      <c r="A14" s="1408" t="s">
        <v>150</v>
      </c>
      <c r="B14" s="1409"/>
      <c r="C14" s="1410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 x14ac:dyDescent="0.5">
      <c r="A15" s="1231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 x14ac:dyDescent="0.5">
      <c r="A17" s="1408" t="s">
        <v>153</v>
      </c>
      <c r="B17" s="1409"/>
      <c r="C17" s="1410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 x14ac:dyDescent="0.5">
      <c r="A18" s="1390" t="s">
        <v>154</v>
      </c>
      <c r="B18" s="1391"/>
      <c r="C18" s="1392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4710</v>
      </c>
      <c r="I18" s="550">
        <f>'1'!I18</f>
        <v>65</v>
      </c>
      <c r="J18" s="629">
        <f>H18/DAY(B2)</f>
        <v>151.93548387096774</v>
      </c>
      <c r="K18" s="467"/>
      <c r="L18" s="408"/>
      <c r="N18" s="479">
        <f>F18-'1'!E18</f>
        <v>0</v>
      </c>
      <c r="O18" s="413"/>
    </row>
    <row r="19" spans="1:15" ht="27.75" x14ac:dyDescent="0.5">
      <c r="A19" s="1390" t="s">
        <v>71</v>
      </c>
      <c r="B19" s="1391"/>
      <c r="C19" s="1392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 x14ac:dyDescent="0.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4710</v>
      </c>
      <c r="I20" s="568">
        <f>I18-J20</f>
        <v>-86.935483870967744</v>
      </c>
      <c r="J20" s="629">
        <f>H20/DAY(B2)</f>
        <v>151.93548387096774</v>
      </c>
      <c r="K20" s="467"/>
      <c r="L20" s="408"/>
      <c r="N20" s="479">
        <f>F20-'1'!E20</f>
        <v>0</v>
      </c>
      <c r="O20" s="413"/>
    </row>
    <row r="21" spans="1:15" ht="29.25" x14ac:dyDescent="0.5">
      <c r="A21" s="1408" t="s">
        <v>157</v>
      </c>
      <c r="B21" s="1409"/>
      <c r="C21" s="1410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 x14ac:dyDescent="0.5">
      <c r="A22" s="1231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 x14ac:dyDescent="0.5">
      <c r="A23" s="1231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 x14ac:dyDescent="0.4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 x14ac:dyDescent="0.35">
      <c r="A25" s="1413" t="s">
        <v>162</v>
      </c>
      <c r="B25" s="1414"/>
      <c r="C25" s="1415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 x14ac:dyDescent="0.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 x14ac:dyDescent="0.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0</v>
      </c>
      <c r="I28" s="581"/>
      <c r="J28" s="629">
        <f>H28/DAY(B2)</f>
        <v>0</v>
      </c>
      <c r="K28" s="404"/>
      <c r="L28" s="484"/>
      <c r="N28" s="479">
        <f>F28-'1'!E28</f>
        <v>-754.45000000018626</v>
      </c>
      <c r="O28" s="413"/>
    </row>
    <row r="29" spans="1:15" s="481" customFormat="1" ht="27.75" x14ac:dyDescent="0.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 x14ac:dyDescent="0.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 x14ac:dyDescent="0.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376800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 x14ac:dyDescent="0.5">
      <c r="A32" s="672" t="s">
        <v>172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538950.00000000047</v>
      </c>
      <c r="I32" s="585"/>
      <c r="J32" s="629">
        <f>H32/DAY(B2)</f>
        <v>17385.483870967757</v>
      </c>
      <c r="K32" s="404"/>
      <c r="L32" s="484"/>
      <c r="N32" s="479">
        <f>F32-'1'!E32</f>
        <v>0</v>
      </c>
      <c r="O32" s="413"/>
    </row>
    <row r="33" spans="1:15" ht="25.5" customHeight="1" x14ac:dyDescent="0.35">
      <c r="A33" s="1416" t="s">
        <v>173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467"/>
      <c r="L33" s="408"/>
      <c r="N33" s="479">
        <f>F33-'1'!E33</f>
        <v>0</v>
      </c>
      <c r="O33" s="413"/>
    </row>
    <row r="34" spans="1:15" ht="29.25" x14ac:dyDescent="0.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 x14ac:dyDescent="0.4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 x14ac:dyDescent="0.4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 x14ac:dyDescent="0.4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 x14ac:dyDescent="0.4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 x14ac:dyDescent="0.4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 x14ac:dyDescent="0.4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 x14ac:dyDescent="0.4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0</v>
      </c>
      <c r="I41" s="531"/>
      <c r="J41" s="629">
        <f>H41/DAY(B2)</f>
        <v>0</v>
      </c>
      <c r="K41" s="467"/>
      <c r="L41" s="408"/>
      <c r="N41" s="479">
        <f>H41-'1'!E41</f>
        <v>-44622.52</v>
      </c>
      <c r="O41" s="413"/>
    </row>
    <row r="42" spans="1:15" ht="29.25" x14ac:dyDescent="0.4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 x14ac:dyDescent="0.4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 x14ac:dyDescent="0.4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 x14ac:dyDescent="0.4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 x14ac:dyDescent="0.4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 x14ac:dyDescent="0.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1478259.94</v>
      </c>
      <c r="I47" s="531"/>
      <c r="J47" s="629">
        <f>H47/DAY(B2)</f>
        <v>47685.804516129028</v>
      </c>
      <c r="K47" s="467"/>
      <c r="L47" s="408"/>
      <c r="N47" s="479">
        <f>H47-'1'!E47</f>
        <v>1478259.94</v>
      </c>
      <c r="O47" s="413"/>
    </row>
    <row r="48" spans="1:15" ht="29.25" x14ac:dyDescent="0.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 x14ac:dyDescent="0.4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 x14ac:dyDescent="0.4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 x14ac:dyDescent="0.4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 x14ac:dyDescent="0.4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 x14ac:dyDescent="0.4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 x14ac:dyDescent="0.4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 x14ac:dyDescent="0.4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-3867.4000000000015</v>
      </c>
      <c r="I55" s="531"/>
      <c r="J55" s="629">
        <f>H55/DAY(B2)</f>
        <v>-124.75483870967747</v>
      </c>
      <c r="K55" s="467"/>
      <c r="L55" s="408"/>
      <c r="N55" s="479">
        <f>H55-'1'!E55</f>
        <v>-42987.98</v>
      </c>
      <c r="O55" s="413"/>
    </row>
    <row r="56" spans="1:15" ht="29.25" x14ac:dyDescent="0.4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 x14ac:dyDescent="0.4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 x14ac:dyDescent="0.4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 x14ac:dyDescent="0.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-5180.1899999999205</v>
      </c>
      <c r="I59" s="531">
        <f>G7-G60</f>
        <v>-92.840000000145665</v>
      </c>
      <c r="J59" s="629">
        <f>H59/DAY(B2)</f>
        <v>-167.10290322580389</v>
      </c>
      <c r="K59" s="467"/>
      <c r="L59" s="408"/>
      <c r="N59" s="479">
        <f>H59-'1'!E59</f>
        <v>-5180.1899999999205</v>
      </c>
      <c r="O59" s="413"/>
    </row>
    <row r="60" spans="1:15" ht="29.25" x14ac:dyDescent="0.4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1478259.9400000002</v>
      </c>
      <c r="I60" s="531">
        <f>G13-G60</f>
        <v>-719.84000000014566</v>
      </c>
      <c r="J60" s="629">
        <f>H60/DAY(B2)</f>
        <v>47685.804516129036</v>
      </c>
      <c r="K60" s="467"/>
      <c r="L60" s="408"/>
      <c r="N60" s="479">
        <f>H60-'1'!E60</f>
        <v>1478259.9400000002</v>
      </c>
      <c r="O60" s="413"/>
    </row>
    <row r="61" spans="1:15" ht="29.25" x14ac:dyDescent="0.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 x14ac:dyDescent="0.4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 x14ac:dyDescent="0.4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 x14ac:dyDescent="0.5">
      <c r="A64" s="1387" t="s">
        <v>107</v>
      </c>
      <c r="B64" s="1388"/>
      <c r="C64" s="1389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 x14ac:dyDescent="0.5">
      <c r="A65" s="1387" t="s">
        <v>108</v>
      </c>
      <c r="B65" s="1388"/>
      <c r="C65" s="1389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 x14ac:dyDescent="0.5">
      <c r="A66" s="1387" t="s">
        <v>109</v>
      </c>
      <c r="B66" s="1388"/>
      <c r="C66" s="1389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 x14ac:dyDescent="0.5">
      <c r="A67" s="1387" t="s">
        <v>110</v>
      </c>
      <c r="B67" s="1388"/>
      <c r="C67" s="1389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 x14ac:dyDescent="0.5">
      <c r="A68" s="1387" t="s">
        <v>111</v>
      </c>
      <c r="B68" s="1388"/>
      <c r="C68" s="1389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0</v>
      </c>
      <c r="I68" s="592"/>
      <c r="J68" s="629">
        <f>H68/DAY(B2)</f>
        <v>0</v>
      </c>
      <c r="K68" s="469"/>
      <c r="L68" s="408"/>
      <c r="N68" s="479">
        <f>H68-'1'!E68</f>
        <v>-63299.86</v>
      </c>
      <c r="O68" s="413"/>
    </row>
    <row r="69" spans="1:15" ht="27.75" x14ac:dyDescent="0.5">
      <c r="A69" s="1387" t="s">
        <v>112</v>
      </c>
      <c r="B69" s="1388"/>
      <c r="C69" s="1389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 x14ac:dyDescent="0.5">
      <c r="A70" s="1419" t="s">
        <v>200</v>
      </c>
      <c r="B70" s="1420"/>
      <c r="C70" s="1421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 x14ac:dyDescent="0.6">
      <c r="A71" s="1433" t="s">
        <v>201</v>
      </c>
      <c r="B71" s="1434"/>
      <c r="C71" s="1434"/>
      <c r="D71" s="1434"/>
      <c r="E71" s="1434"/>
      <c r="F71" s="1434"/>
      <c r="G71" s="1434"/>
      <c r="H71" s="1434"/>
      <c r="I71" s="1434"/>
      <c r="J71" s="1435"/>
      <c r="K71" s="469"/>
      <c r="L71" s="408"/>
      <c r="N71" s="479">
        <f>H71-'1'!E71</f>
        <v>0</v>
      </c>
      <c r="O71" s="413"/>
    </row>
    <row r="72" spans="1:15" ht="27.75" x14ac:dyDescent="0.5">
      <c r="A72" s="1387" t="s">
        <v>202</v>
      </c>
      <c r="B72" s="1388"/>
      <c r="C72" s="1389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 x14ac:dyDescent="0.5">
      <c r="A73" s="1387" t="s">
        <v>203</v>
      </c>
      <c r="B73" s="1388"/>
      <c r="C73" s="1389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 x14ac:dyDescent="0.5">
      <c r="A74" s="1387" t="s">
        <v>204</v>
      </c>
      <c r="B74" s="1388"/>
      <c r="C74" s="1389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 x14ac:dyDescent="0.5">
      <c r="A75" s="1436" t="s">
        <v>205</v>
      </c>
      <c r="B75" s="1437"/>
      <c r="C75" s="1438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 x14ac:dyDescent="0.5">
      <c r="A76" s="1436" t="s">
        <v>206</v>
      </c>
      <c r="B76" s="1437"/>
      <c r="C76" s="1438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689011.19999999995</v>
      </c>
      <c r="I76" s="581"/>
      <c r="J76" s="629">
        <f>H76/DAY(B2)</f>
        <v>22226.167741935482</v>
      </c>
      <c r="K76" s="469"/>
      <c r="L76" s="408"/>
      <c r="N76" s="479">
        <f>H76-'1'!E76</f>
        <v>1997.1999999999534</v>
      </c>
      <c r="O76" s="413"/>
    </row>
    <row r="77" spans="1:15" ht="27.75" x14ac:dyDescent="0.5">
      <c r="A77" s="1387" t="s">
        <v>207</v>
      </c>
      <c r="B77" s="1388"/>
      <c r="C77" s="1389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 x14ac:dyDescent="0.5">
      <c r="A78" s="1234" t="s">
        <v>208</v>
      </c>
      <c r="B78" s="1205"/>
      <c r="C78" s="1205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 x14ac:dyDescent="0.5">
      <c r="A79" s="1436" t="s">
        <v>97</v>
      </c>
      <c r="B79" s="1437"/>
      <c r="C79" s="1438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 x14ac:dyDescent="0.5">
      <c r="A80" s="1436" t="s">
        <v>209</v>
      </c>
      <c r="B80" s="1437"/>
      <c r="C80" s="1438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 x14ac:dyDescent="0.5">
      <c r="A81" s="1436" t="s">
        <v>210</v>
      </c>
      <c r="B81" s="1437"/>
      <c r="C81" s="1438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 x14ac:dyDescent="0.5">
      <c r="A82" s="1436" t="s">
        <v>100</v>
      </c>
      <c r="B82" s="1437"/>
      <c r="C82" s="1438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 x14ac:dyDescent="0.5">
      <c r="A83" s="1436" t="s">
        <v>211</v>
      </c>
      <c r="B83" s="1437"/>
      <c r="C83" s="1438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 x14ac:dyDescent="0.5">
      <c r="A84" s="1235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 x14ac:dyDescent="0.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2307631.6499999994</v>
      </c>
      <c r="I85" s="557"/>
      <c r="J85" s="629">
        <f>H85/DAY(B2)</f>
        <v>74439.730645161268</v>
      </c>
      <c r="K85" s="411"/>
      <c r="L85" s="409"/>
      <c r="N85" s="479">
        <f>H85-'1'!E85</f>
        <v>2307631.6499999994</v>
      </c>
      <c r="O85" s="413"/>
    </row>
    <row r="86" spans="1:15" s="817" customFormat="1" ht="29.25" x14ac:dyDescent="0.5">
      <c r="A86" s="812" t="s">
        <v>102</v>
      </c>
      <c r="B86" s="813"/>
      <c r="C86" s="813"/>
      <c r="D86" s="814" t="s">
        <v>194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 x14ac:dyDescent="0.5">
      <c r="A87" s="812" t="s">
        <v>103</v>
      </c>
      <c r="B87" s="813"/>
      <c r="C87" s="813"/>
      <c r="D87" s="814" t="s">
        <v>194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 x14ac:dyDescent="0.5">
      <c r="A88" s="812" t="s">
        <v>104</v>
      </c>
      <c r="B88" s="813"/>
      <c r="C88" s="813"/>
      <c r="D88" s="814" t="s">
        <v>194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 x14ac:dyDescent="0.5">
      <c r="A89" s="812" t="s">
        <v>215</v>
      </c>
      <c r="B89" s="813"/>
      <c r="C89" s="813"/>
      <c r="D89" s="814" t="s">
        <v>194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 x14ac:dyDescent="0.5">
      <c r="A90" s="812" t="s">
        <v>215</v>
      </c>
      <c r="B90" s="813"/>
      <c r="C90" s="813"/>
      <c r="D90" s="814" t="s">
        <v>194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 x14ac:dyDescent="0.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 x14ac:dyDescent="0.5">
      <c r="A92" s="1390" t="s">
        <v>217</v>
      </c>
      <c r="B92" s="1391"/>
      <c r="C92" s="1392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 x14ac:dyDescent="0.5">
      <c r="A93" s="1390" t="s">
        <v>218</v>
      </c>
      <c r="B93" s="1391"/>
      <c r="C93" s="1392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 x14ac:dyDescent="0.5">
      <c r="A94" s="1384" t="s">
        <v>219</v>
      </c>
      <c r="B94" s="1385"/>
      <c r="C94" s="1386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 x14ac:dyDescent="0.5">
      <c r="A95" s="1390" t="s">
        <v>220</v>
      </c>
      <c r="B95" s="1391"/>
      <c r="C95" s="1392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 x14ac:dyDescent="0.5">
      <c r="A96" s="1231" t="s">
        <v>221</v>
      </c>
      <c r="B96" s="1232"/>
      <c r="C96" s="1232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 x14ac:dyDescent="0.5">
      <c r="A97" s="1231" t="s">
        <v>222</v>
      </c>
      <c r="B97" s="1232"/>
      <c r="C97" s="1232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 x14ac:dyDescent="0.5">
      <c r="A98" s="1231" t="s">
        <v>223</v>
      </c>
      <c r="B98" s="1232"/>
      <c r="C98" s="1232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 x14ac:dyDescent="0.5">
      <c r="A99" s="1231" t="s">
        <v>224</v>
      </c>
      <c r="B99" s="1232"/>
      <c r="C99" s="1232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 x14ac:dyDescent="0.5">
      <c r="A100" s="1231" t="s">
        <v>225</v>
      </c>
      <c r="B100" s="1232"/>
      <c r="C100" s="1232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 x14ac:dyDescent="0.5">
      <c r="A101" s="1384" t="s">
        <v>227</v>
      </c>
      <c r="B101" s="1385"/>
      <c r="C101" s="1386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 x14ac:dyDescent="0.35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 x14ac:dyDescent="0.5">
      <c r="A103" s="1393" t="s">
        <v>229</v>
      </c>
      <c r="B103" s="1394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 x14ac:dyDescent="0.5">
      <c r="A104" s="1395" t="s">
        <v>230</v>
      </c>
      <c r="B104" s="1396"/>
      <c r="C104" s="1229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 x14ac:dyDescent="0.5">
      <c r="A105" s="1395" t="s">
        <v>77</v>
      </c>
      <c r="B105" s="1396"/>
      <c r="C105" s="1229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 x14ac:dyDescent="0.5">
      <c r="A106" s="1395" t="s">
        <v>78</v>
      </c>
      <c r="B106" s="1397"/>
      <c r="C106" s="1396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 x14ac:dyDescent="0.5">
      <c r="A107" s="1398" t="s">
        <v>213</v>
      </c>
      <c r="B107" s="1399"/>
      <c r="C107" s="1229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 x14ac:dyDescent="0.5">
      <c r="A108" s="1400" t="s">
        <v>79</v>
      </c>
      <c r="B108" s="1401"/>
      <c r="C108" s="1229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 x14ac:dyDescent="0.5">
      <c r="A109" s="1395" t="s">
        <v>231</v>
      </c>
      <c r="B109" s="1396"/>
      <c r="C109" s="1229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 x14ac:dyDescent="0.5">
      <c r="A110" s="1395" t="s">
        <v>232</v>
      </c>
      <c r="B110" s="1396"/>
      <c r="C110" s="1229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 x14ac:dyDescent="0.5">
      <c r="A111" s="1395" t="s">
        <v>233</v>
      </c>
      <c r="B111" s="1396"/>
      <c r="C111" s="1229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 x14ac:dyDescent="0.5">
      <c r="A112" s="1427" t="s">
        <v>121</v>
      </c>
      <c r="B112" s="1428"/>
      <c r="C112" s="1229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 x14ac:dyDescent="0.5">
      <c r="A113" s="1400" t="s">
        <v>234</v>
      </c>
      <c r="B113" s="1401"/>
      <c r="C113" s="1229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 x14ac:dyDescent="0.5">
      <c r="A114" s="1395" t="s">
        <v>235</v>
      </c>
      <c r="B114" s="1396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 x14ac:dyDescent="0.5">
      <c r="A115" s="1395" t="s">
        <v>236</v>
      </c>
      <c r="B115" s="1396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 x14ac:dyDescent="0.5">
      <c r="A116" s="1395" t="s">
        <v>237</v>
      </c>
      <c r="B116" s="1396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 x14ac:dyDescent="0.5">
      <c r="A117" s="1398" t="s">
        <v>213</v>
      </c>
      <c r="B117" s="1399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 x14ac:dyDescent="0.5">
      <c r="A118" s="1429" t="s">
        <v>238</v>
      </c>
      <c r="B118" s="1430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 x14ac:dyDescent="0.5">
      <c r="A119" s="1429" t="s">
        <v>239</v>
      </c>
      <c r="B119" s="1430"/>
      <c r="C119" s="1228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 x14ac:dyDescent="0.5">
      <c r="A120" s="1429" t="s">
        <v>240</v>
      </c>
      <c r="B120" s="1430"/>
      <c r="C120" s="1228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 x14ac:dyDescent="0.5">
      <c r="A121" s="1431"/>
      <c r="B121" s="1432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 x14ac:dyDescent="0.5">
      <c r="A122" s="1381" t="s">
        <v>241</v>
      </c>
      <c r="B122" s="1382"/>
      <c r="C122" s="1383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 x14ac:dyDescent="0.5">
      <c r="A123" s="1231" t="s">
        <v>242</v>
      </c>
      <c r="B123" s="1232"/>
      <c r="C123" s="1232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 x14ac:dyDescent="0.5">
      <c r="A124" s="1231" t="s">
        <v>243</v>
      </c>
      <c r="B124" s="1232"/>
      <c r="C124" s="1232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 x14ac:dyDescent="0.5">
      <c r="A125" s="1387" t="s">
        <v>244</v>
      </c>
      <c r="B125" s="1388"/>
      <c r="C125" s="1389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 x14ac:dyDescent="0.5">
      <c r="A126" s="686" t="s">
        <v>245</v>
      </c>
      <c r="B126" s="1232"/>
      <c r="C126" s="1232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 x14ac:dyDescent="0.5">
      <c r="A127" s="686" t="s">
        <v>246</v>
      </c>
      <c r="B127" s="1232"/>
      <c r="C127" s="1232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 x14ac:dyDescent="0.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 x14ac:dyDescent="0.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 x14ac:dyDescent="0.5">
      <c r="A130" s="1231" t="s">
        <v>249</v>
      </c>
      <c r="B130" s="1232"/>
      <c r="C130" s="1232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 x14ac:dyDescent="0.5">
      <c r="A131" s="1231" t="s">
        <v>251</v>
      </c>
      <c r="B131" s="1232"/>
      <c r="C131" s="1232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 x14ac:dyDescent="0.5">
      <c r="A132" s="1231" t="s">
        <v>252</v>
      </c>
      <c r="B132" s="1232"/>
      <c r="C132" s="1232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 x14ac:dyDescent="0.5">
      <c r="A133" s="1231" t="s">
        <v>253</v>
      </c>
      <c r="B133" s="1232"/>
      <c r="C133" s="1232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 x14ac:dyDescent="0.5">
      <c r="A134" s="1231" t="s">
        <v>254</v>
      </c>
      <c r="B134" s="1232"/>
      <c r="C134" s="1232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 x14ac:dyDescent="0.5">
      <c r="A135" s="1231" t="s">
        <v>255</v>
      </c>
      <c r="B135" s="1232"/>
      <c r="C135" s="1232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 x14ac:dyDescent="0.5">
      <c r="A136" s="1231" t="s">
        <v>256</v>
      </c>
      <c r="B136" s="1232"/>
      <c r="C136" s="1232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 x14ac:dyDescent="0.5">
      <c r="A137" s="1231" t="s">
        <v>257</v>
      </c>
      <c r="B137" s="1232"/>
      <c r="C137" s="1232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 x14ac:dyDescent="0.5">
      <c r="A138" s="1231" t="s">
        <v>258</v>
      </c>
      <c r="B138" s="1232"/>
      <c r="C138" s="1232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 x14ac:dyDescent="0.5">
      <c r="A139" s="1231" t="s">
        <v>259</v>
      </c>
      <c r="B139" s="1232"/>
      <c r="C139" s="1232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 x14ac:dyDescent="0.5">
      <c r="A140" s="1231" t="s">
        <v>260</v>
      </c>
      <c r="B140" s="1232"/>
      <c r="C140" s="1232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 x14ac:dyDescent="0.5">
      <c r="A141" s="1425" t="s">
        <v>261</v>
      </c>
      <c r="B141" s="1426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 x14ac:dyDescent="0.5">
      <c r="A142" s="1390" t="s">
        <v>262</v>
      </c>
      <c r="B142" s="1391"/>
      <c r="C142" s="1392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 x14ac:dyDescent="0.5">
      <c r="A143" s="1390" t="s">
        <v>263</v>
      </c>
      <c r="B143" s="1391"/>
      <c r="C143" s="1392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8.0401707527243289</v>
      </c>
      <c r="I143" s="621"/>
      <c r="J143" s="629">
        <f>H143/DAY(B2)</f>
        <v>0.25936034686207515</v>
      </c>
      <c r="K143" s="411"/>
      <c r="L143" s="408"/>
      <c r="O143" s="413"/>
    </row>
    <row r="144" spans="1:15" ht="27.75" x14ac:dyDescent="0.5">
      <c r="A144" s="1390" t="s">
        <v>264</v>
      </c>
      <c r="B144" s="1391"/>
      <c r="C144" s="1392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-1.4551915228366852E-11</v>
      </c>
      <c r="I144" s="556"/>
      <c r="J144" s="629">
        <f>H144/DAY(B2)</f>
        <v>-4.6941662026989843E-13</v>
      </c>
      <c r="K144" s="411"/>
      <c r="L144" s="408"/>
      <c r="O144" s="413"/>
    </row>
    <row r="145" spans="1:15" ht="27.75" x14ac:dyDescent="0.5">
      <c r="A145" s="1390" t="s">
        <v>265</v>
      </c>
      <c r="B145" s="1391"/>
      <c r="C145" s="1392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6.5907162305462847</v>
      </c>
      <c r="I145" s="621"/>
      <c r="J145" s="629">
        <f>H145/DAY(B2)</f>
        <v>0.21260374937246079</v>
      </c>
      <c r="K145" s="411"/>
      <c r="L145" s="408"/>
      <c r="O145" s="413"/>
    </row>
    <row r="146" spans="1:15" ht="27.75" x14ac:dyDescent="0.5">
      <c r="A146" s="1390" t="s">
        <v>266</v>
      </c>
      <c r="B146" s="1391"/>
      <c r="C146" s="1392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 x14ac:dyDescent="0.5">
      <c r="A147" s="1390" t="s">
        <v>267</v>
      </c>
      <c r="B147" s="1391"/>
      <c r="C147" s="1392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5.2180531226897671</v>
      </c>
      <c r="I147" s="622"/>
      <c r="J147" s="629">
        <f>H147/DAY(B2)</f>
        <v>0.16832429428031506</v>
      </c>
      <c r="O147" s="413"/>
    </row>
    <row r="148" spans="1:15" ht="27.75" x14ac:dyDescent="0.5">
      <c r="A148" s="1390" t="s">
        <v>268</v>
      </c>
      <c r="B148" s="1391"/>
      <c r="C148" s="1392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 x14ac:dyDescent="0.5">
      <c r="A149" s="1390" t="s">
        <v>269</v>
      </c>
      <c r="B149" s="1391"/>
      <c r="C149" s="1392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2.9616457710539232</v>
      </c>
      <c r="I149" s="622"/>
      <c r="J149" s="629">
        <f>H149/DAY(B2)</f>
        <v>9.5536960356578174E-2</v>
      </c>
      <c r="O149" s="413"/>
    </row>
    <row r="150" spans="1:15" ht="27.75" x14ac:dyDescent="0.5">
      <c r="A150" s="1390" t="s">
        <v>270</v>
      </c>
      <c r="B150" s="1391"/>
      <c r="C150" s="1392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 x14ac:dyDescent="0.5">
      <c r="A151" s="1390" t="s">
        <v>271</v>
      </c>
      <c r="B151" s="1391"/>
      <c r="C151" s="1392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2.975567341604207</v>
      </c>
      <c r="I151" s="556"/>
      <c r="J151" s="629">
        <f>H151/DAY(B2)</f>
        <v>9.5986043277555069E-2</v>
      </c>
      <c r="O151" s="413"/>
    </row>
    <row r="152" spans="1:15" ht="27.75" x14ac:dyDescent="0.5">
      <c r="A152" s="1390" t="s">
        <v>272</v>
      </c>
      <c r="B152" s="1391"/>
      <c r="C152" s="1392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415065.99999999994</v>
      </c>
      <c r="I152" s="556"/>
      <c r="J152" s="629">
        <f>H152/DAY(B2)</f>
        <v>13389.225806451612</v>
      </c>
      <c r="O152" s="413"/>
    </row>
    <row r="153" spans="1:15" ht="28.5" thickBot="1" x14ac:dyDescent="0.55000000000000004">
      <c r="A153" s="1422" t="s">
        <v>273</v>
      </c>
      <c r="B153" s="1423"/>
      <c r="C153" s="1424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1.7036016021017872</v>
      </c>
      <c r="I153" s="645"/>
      <c r="J153" s="646">
        <f>H153/DAY(B2)</f>
        <v>5.4954890390380234E-2</v>
      </c>
      <c r="O153" s="413"/>
    </row>
    <row r="154" spans="1:15" ht="29.2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 x14ac:dyDescent="0.5"/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>
      <c r="A160" s="868" t="s">
        <v>274</v>
      </c>
      <c r="B160" s="869"/>
      <c r="C160" s="869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 x14ac:dyDescent="0.5">
      <c r="A161" s="868" t="s">
        <v>275</v>
      </c>
      <c r="B161" s="869"/>
      <c r="C161" s="869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 x14ac:dyDescent="0.5">
      <c r="A162" s="868" t="s">
        <v>276</v>
      </c>
      <c r="B162" s="869"/>
      <c r="C162" s="869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 x14ac:dyDescent="0.5">
      <c r="A163" s="868" t="s">
        <v>277</v>
      </c>
      <c r="B163" s="869"/>
      <c r="C163" s="869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 x14ac:dyDescent="0.4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 x14ac:dyDescent="0.4">
      <c r="A165" s="870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 x14ac:dyDescent="0.5">
      <c r="A166" s="1439" t="s">
        <v>107</v>
      </c>
      <c r="B166" s="1439"/>
      <c r="C166" s="1439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 x14ac:dyDescent="0.5">
      <c r="A167" s="1439" t="s">
        <v>108</v>
      </c>
      <c r="B167" s="1439"/>
      <c r="C167" s="1439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 x14ac:dyDescent="0.5">
      <c r="A168" s="1439" t="s">
        <v>109</v>
      </c>
      <c r="B168" s="1439"/>
      <c r="C168" s="1439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 x14ac:dyDescent="0.5">
      <c r="A169" s="1439" t="s">
        <v>110</v>
      </c>
      <c r="B169" s="1439"/>
      <c r="C169" s="1439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 x14ac:dyDescent="0.5">
      <c r="A170" s="1439" t="s">
        <v>111</v>
      </c>
      <c r="B170" s="1439"/>
      <c r="C170" s="1439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 x14ac:dyDescent="0.5">
      <c r="A171" s="1439" t="s">
        <v>112</v>
      </c>
      <c r="B171" s="1439"/>
      <c r="C171" s="1439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 x14ac:dyDescent="0.5">
      <c r="G172" s="616">
        <f>SUM(G160:G171)</f>
        <v>3368.1590000000087</v>
      </c>
    </row>
    <row r="173" spans="1:7" ht="29.25" x14ac:dyDescent="0.5"/>
    <row r="174" spans="1:7" ht="29.25" x14ac:dyDescent="0.5"/>
    <row r="175" spans="1:7" ht="29.25" x14ac:dyDescent="0.5"/>
    <row r="176" spans="1:7" ht="29.25" x14ac:dyDescent="0.5"/>
    <row r="177" ht="29.25" x14ac:dyDescent="0.5"/>
    <row r="178" ht="29.25" x14ac:dyDescent="0.5"/>
    <row r="179" ht="29.25" x14ac:dyDescent="0.5"/>
    <row r="180" ht="29.25" x14ac:dyDescent="0.5"/>
    <row r="181" ht="29.25" x14ac:dyDescent="0.5"/>
    <row r="182" ht="29.25" x14ac:dyDescent="0.5"/>
    <row r="183" ht="29.25" x14ac:dyDescent="0.5"/>
    <row r="184" ht="29.25" x14ac:dyDescent="0.5"/>
    <row r="185" ht="29.25" x14ac:dyDescent="0.5"/>
    <row r="186" ht="29.25" x14ac:dyDescent="0.5"/>
    <row r="187" ht="29.25" x14ac:dyDescent="0.5"/>
    <row r="188" ht="29.25" x14ac:dyDescent="0.5"/>
    <row r="189" ht="29.25" x14ac:dyDescent="0.5"/>
    <row r="190" ht="29.25" x14ac:dyDescent="0.5"/>
    <row r="191" ht="29.25" x14ac:dyDescent="0.5"/>
    <row r="192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</row>
    <row r="2" spans="1:15" ht="28.5" customHeight="1" x14ac:dyDescent="0.25">
      <c r="A2" s="1" t="s">
        <v>0</v>
      </c>
      <c r="B2" s="1" t="s">
        <v>0</v>
      </c>
      <c r="C2" s="1203" t="s">
        <v>1</v>
      </c>
      <c r="D2" s="4" t="s">
        <v>4</v>
      </c>
      <c r="E2" s="1367" t="s">
        <v>7</v>
      </c>
      <c r="F2" s="1367"/>
      <c r="G2" s="1367"/>
      <c r="H2" s="1373" t="s">
        <v>15</v>
      </c>
      <c r="I2" s="1373"/>
      <c r="J2" s="1373"/>
      <c r="K2" s="1203" t="s">
        <v>16</v>
      </c>
      <c r="L2" s="1373" t="s">
        <v>17</v>
      </c>
      <c r="M2" s="1373"/>
      <c r="N2" s="1373"/>
      <c r="O2" s="1203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295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 x14ac:dyDescent="0.2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 x14ac:dyDescent="0.2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 x14ac:dyDescent="0.2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 x14ac:dyDescent="0.2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 x14ac:dyDescent="0.2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 x14ac:dyDescent="0.2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 x14ac:dyDescent="0.2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 x14ac:dyDescent="0.2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 x14ac:dyDescent="0.2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 x14ac:dyDescent="0.2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 x14ac:dyDescent="0.2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 x14ac:dyDescent="0.2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 x14ac:dyDescent="0.5">
      <c r="A1" s="1604" t="s">
        <v>128</v>
      </c>
      <c r="B1" s="1604"/>
      <c r="C1" s="1604"/>
      <c r="D1" s="1604"/>
      <c r="E1" s="1604"/>
      <c r="F1" s="1604"/>
      <c r="G1" s="1604"/>
      <c r="H1" s="1604"/>
      <c r="I1" s="1604"/>
      <c r="J1" s="1604"/>
    </row>
    <row r="2" spans="1:12" ht="23.25" customHeight="1" x14ac:dyDescent="0.5">
      <c r="A2" s="214" t="s">
        <v>296</v>
      </c>
      <c r="B2" s="195">
        <v>42328</v>
      </c>
      <c r="C2" s="1605" t="s">
        <v>297</v>
      </c>
      <c r="D2" s="1606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 x14ac:dyDescent="0.3">
      <c r="A3" s="1225" t="s">
        <v>298</v>
      </c>
      <c r="B3" s="189"/>
      <c r="C3" s="189"/>
      <c r="D3" s="122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299</v>
      </c>
      <c r="J3" s="42" t="s">
        <v>300</v>
      </c>
      <c r="K3" s="116"/>
      <c r="L3" s="117"/>
    </row>
    <row r="4" spans="1:12" ht="18.75" customHeight="1" x14ac:dyDescent="0.3">
      <c r="A4" s="45" t="s">
        <v>301</v>
      </c>
      <c r="B4" s="46" t="s">
        <v>302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 x14ac:dyDescent="0.55000000000000004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 x14ac:dyDescent="0.3">
      <c r="A6" s="1621" t="s">
        <v>141</v>
      </c>
      <c r="B6" s="1622"/>
      <c r="C6" s="1623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 x14ac:dyDescent="0.35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 x14ac:dyDescent="0.3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 x14ac:dyDescent="0.3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 x14ac:dyDescent="0.3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 x14ac:dyDescent="0.3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 x14ac:dyDescent="0.3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 x14ac:dyDescent="0.3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 x14ac:dyDescent="0.3">
      <c r="A14" s="1618" t="s">
        <v>150</v>
      </c>
      <c r="B14" s="1619"/>
      <c r="C14" s="1620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 x14ac:dyDescent="0.35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 x14ac:dyDescent="0.3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 x14ac:dyDescent="0.3">
      <c r="A17" s="1618" t="s">
        <v>153</v>
      </c>
      <c r="B17" s="1619"/>
      <c r="C17" s="1620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 x14ac:dyDescent="0.3">
      <c r="A18" s="1624" t="s">
        <v>154</v>
      </c>
      <c r="B18" s="1625"/>
      <c r="C18" s="1626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 x14ac:dyDescent="0.3">
      <c r="A19" s="1624" t="s">
        <v>71</v>
      </c>
      <c r="B19" s="1625"/>
      <c r="C19" s="1626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 x14ac:dyDescent="0.3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 x14ac:dyDescent="0.3">
      <c r="A21" s="1618" t="s">
        <v>157</v>
      </c>
      <c r="B21" s="1619"/>
      <c r="C21" s="1620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 x14ac:dyDescent="0.3">
      <c r="A22" s="1222" t="s">
        <v>158</v>
      </c>
      <c r="B22" s="1223"/>
      <c r="C22" s="1224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 x14ac:dyDescent="0.3">
      <c r="A23" s="1222" t="s">
        <v>160</v>
      </c>
      <c r="B23" s="1223"/>
      <c r="C23" s="1224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 x14ac:dyDescent="0.3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 x14ac:dyDescent="0.3">
      <c r="A25" s="1627" t="s">
        <v>162</v>
      </c>
      <c r="B25" s="1628"/>
      <c r="C25" s="162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 x14ac:dyDescent="0.3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 x14ac:dyDescent="0.3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 x14ac:dyDescent="0.3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 x14ac:dyDescent="0.3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 x14ac:dyDescent="0.3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 x14ac:dyDescent="0.3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 x14ac:dyDescent="0.3">
      <c r="A32" s="1607" t="s">
        <v>173</v>
      </c>
      <c r="B32" s="1608"/>
      <c r="C32" s="1608"/>
      <c r="D32" s="1608"/>
      <c r="E32" s="1608"/>
      <c r="F32" s="1608"/>
      <c r="G32" s="1608"/>
      <c r="H32" s="1608"/>
      <c r="I32" s="1608"/>
      <c r="J32" s="1609"/>
      <c r="K32" s="59"/>
      <c r="L32" s="117"/>
    </row>
    <row r="33" spans="1:12" ht="18.75" customHeight="1" x14ac:dyDescent="0.3">
      <c r="A33" s="1238" t="s">
        <v>174</v>
      </c>
      <c r="B33" s="1239"/>
      <c r="C33" s="124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 x14ac:dyDescent="0.3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 x14ac:dyDescent="0.3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 x14ac:dyDescent="0.3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 x14ac:dyDescent="0.3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 x14ac:dyDescent="0.3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 x14ac:dyDescent="0.3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 x14ac:dyDescent="0.3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 x14ac:dyDescent="0.3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 x14ac:dyDescent="0.3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 x14ac:dyDescent="0.3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 x14ac:dyDescent="0.3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 x14ac:dyDescent="0.3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 x14ac:dyDescent="0.3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 x14ac:dyDescent="0.3">
      <c r="A47" s="1238" t="s">
        <v>188</v>
      </c>
      <c r="B47" s="1239"/>
      <c r="C47" s="124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 x14ac:dyDescent="0.3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 x14ac:dyDescent="0.3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 x14ac:dyDescent="0.3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 x14ac:dyDescent="0.3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 x14ac:dyDescent="0.3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 x14ac:dyDescent="0.3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 x14ac:dyDescent="0.3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 x14ac:dyDescent="0.3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 x14ac:dyDescent="0.3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 x14ac:dyDescent="0.3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 x14ac:dyDescent="0.3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 x14ac:dyDescent="0.3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 x14ac:dyDescent="0.5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 x14ac:dyDescent="0.3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 x14ac:dyDescent="0.3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 x14ac:dyDescent="0.3">
      <c r="A63" s="1612" t="s">
        <v>107</v>
      </c>
      <c r="B63" s="1613"/>
      <c r="C63" s="1614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 x14ac:dyDescent="0.3">
      <c r="A64" s="1612" t="s">
        <v>108</v>
      </c>
      <c r="B64" s="1613"/>
      <c r="C64" s="1614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 x14ac:dyDescent="0.3">
      <c r="A65" s="1612" t="s">
        <v>109</v>
      </c>
      <c r="B65" s="1613"/>
      <c r="C65" s="1614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 x14ac:dyDescent="0.3">
      <c r="A66" s="1612" t="s">
        <v>110</v>
      </c>
      <c r="B66" s="1613"/>
      <c r="C66" s="1614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 x14ac:dyDescent="0.3">
      <c r="A67" s="1612" t="s">
        <v>111</v>
      </c>
      <c r="B67" s="1613"/>
      <c r="C67" s="1614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 x14ac:dyDescent="0.3">
      <c r="A68" s="1612" t="s">
        <v>112</v>
      </c>
      <c r="B68" s="1613"/>
      <c r="C68" s="1614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 x14ac:dyDescent="0.5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 x14ac:dyDescent="0.3">
      <c r="A70" s="1612" t="s">
        <v>202</v>
      </c>
      <c r="B70" s="1613"/>
      <c r="C70" s="1614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 x14ac:dyDescent="0.3">
      <c r="A71" s="1612" t="s">
        <v>203</v>
      </c>
      <c r="B71" s="1613"/>
      <c r="C71" s="1614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 x14ac:dyDescent="0.3">
      <c r="A72" s="1612" t="s">
        <v>204</v>
      </c>
      <c r="B72" s="1613"/>
      <c r="C72" s="1614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 x14ac:dyDescent="0.3">
      <c r="A73" s="1615" t="s">
        <v>205</v>
      </c>
      <c r="B73" s="1616"/>
      <c r="C73" s="1617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 x14ac:dyDescent="0.3">
      <c r="A74" s="1615" t="s">
        <v>206</v>
      </c>
      <c r="B74" s="1616"/>
      <c r="C74" s="1617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 x14ac:dyDescent="0.3">
      <c r="A75" s="1612" t="s">
        <v>207</v>
      </c>
      <c r="B75" s="1613"/>
      <c r="C75" s="1614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 x14ac:dyDescent="0.3">
      <c r="A76" s="1630" t="s">
        <v>97</v>
      </c>
      <c r="B76" s="1631"/>
      <c r="C76" s="1632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 x14ac:dyDescent="0.3">
      <c r="A77" s="1630" t="s">
        <v>209</v>
      </c>
      <c r="B77" s="1631"/>
      <c r="C77" s="1632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 x14ac:dyDescent="0.3">
      <c r="A78" s="1630" t="s">
        <v>210</v>
      </c>
      <c r="B78" s="1631"/>
      <c r="C78" s="1632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 x14ac:dyDescent="0.3">
      <c r="A79" s="1633" t="s">
        <v>100</v>
      </c>
      <c r="B79" s="1631"/>
      <c r="C79" s="1632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 x14ac:dyDescent="0.3">
      <c r="A80" s="1633" t="s">
        <v>211</v>
      </c>
      <c r="B80" s="1631"/>
      <c r="C80" s="1632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 x14ac:dyDescent="0.3">
      <c r="A81" s="1633" t="s">
        <v>303</v>
      </c>
      <c r="B81" s="1631"/>
      <c r="C81" s="1632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 x14ac:dyDescent="0.3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 x14ac:dyDescent="0.3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 x14ac:dyDescent="0.3">
      <c r="A84" s="1624" t="s">
        <v>218</v>
      </c>
      <c r="B84" s="1625"/>
      <c r="C84" s="1626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 x14ac:dyDescent="0.3">
      <c r="A85" s="1624" t="s">
        <v>220</v>
      </c>
      <c r="B85" s="1625"/>
      <c r="C85" s="1626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 x14ac:dyDescent="0.3">
      <c r="A86" s="1624" t="s">
        <v>221</v>
      </c>
      <c r="B86" s="1625"/>
      <c r="C86" s="1626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 x14ac:dyDescent="0.3">
      <c r="A87" s="1624" t="s">
        <v>222</v>
      </c>
      <c r="B87" s="1625"/>
      <c r="C87" s="1626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 x14ac:dyDescent="0.3">
      <c r="A88" s="1624" t="s">
        <v>223</v>
      </c>
      <c r="B88" s="1625"/>
      <c r="C88" s="1626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 x14ac:dyDescent="0.3">
      <c r="A89" s="1624" t="s">
        <v>224</v>
      </c>
      <c r="B89" s="1625"/>
      <c r="C89" s="1626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 x14ac:dyDescent="0.3">
      <c r="A90" s="1624" t="s">
        <v>225</v>
      </c>
      <c r="B90" s="1625"/>
      <c r="C90" s="1626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 x14ac:dyDescent="0.3">
      <c r="A91" s="1624" t="s">
        <v>230</v>
      </c>
      <c r="B91" s="1625"/>
      <c r="C91" s="1626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 x14ac:dyDescent="0.3">
      <c r="A92" s="1624" t="s">
        <v>77</v>
      </c>
      <c r="B92" s="1625"/>
      <c r="C92" s="1626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 x14ac:dyDescent="0.3">
      <c r="A93" s="1624" t="s">
        <v>78</v>
      </c>
      <c r="B93" s="1625"/>
      <c r="C93" s="1626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 x14ac:dyDescent="0.3">
      <c r="A94" s="1624" t="s">
        <v>217</v>
      </c>
      <c r="B94" s="1625"/>
      <c r="C94" s="1626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 x14ac:dyDescent="0.3">
      <c r="A95" s="1634" t="s">
        <v>241</v>
      </c>
      <c r="B95" s="1635"/>
      <c r="C95" s="1636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 x14ac:dyDescent="0.3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 x14ac:dyDescent="0.3">
      <c r="A97" s="89" t="s">
        <v>244</v>
      </c>
      <c r="B97" s="1223"/>
      <c r="C97" s="1224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 x14ac:dyDescent="0.3">
      <c r="A98" s="1610" t="s">
        <v>261</v>
      </c>
      <c r="B98" s="1611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 x14ac:dyDescent="0.3">
      <c r="A99" s="1624" t="s">
        <v>262</v>
      </c>
      <c r="B99" s="1625"/>
      <c r="C99" s="1626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 x14ac:dyDescent="0.3">
      <c r="A100" s="1624" t="s">
        <v>263</v>
      </c>
      <c r="B100" s="1625"/>
      <c r="C100" s="1626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 x14ac:dyDescent="0.3">
      <c r="A101" s="1624" t="s">
        <v>264</v>
      </c>
      <c r="B101" s="1625"/>
      <c r="C101" s="1626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 x14ac:dyDescent="0.3">
      <c r="A102" s="1624" t="s">
        <v>265</v>
      </c>
      <c r="B102" s="1625"/>
      <c r="C102" s="1626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 x14ac:dyDescent="0.3">
      <c r="A103" s="1624" t="s">
        <v>266</v>
      </c>
      <c r="B103" s="1625"/>
      <c r="C103" s="1626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 x14ac:dyDescent="0.3">
      <c r="A104" s="1624" t="s">
        <v>267</v>
      </c>
      <c r="B104" s="1625"/>
      <c r="C104" s="1626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 x14ac:dyDescent="0.3">
      <c r="A105" s="1624" t="s">
        <v>268</v>
      </c>
      <c r="B105" s="1625"/>
      <c r="C105" s="1626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 x14ac:dyDescent="0.3">
      <c r="A106" s="1624" t="s">
        <v>269</v>
      </c>
      <c r="B106" s="1625"/>
      <c r="C106" s="1626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 x14ac:dyDescent="0.35">
      <c r="A107" s="1624" t="s">
        <v>270</v>
      </c>
      <c r="B107" s="1625"/>
      <c r="C107" s="1626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 x14ac:dyDescent="0.3">
      <c r="A108" s="1624" t="s">
        <v>271</v>
      </c>
      <c r="B108" s="1625"/>
      <c r="C108" s="1626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 x14ac:dyDescent="0.3">
      <c r="A109" s="1624" t="s">
        <v>272</v>
      </c>
      <c r="B109" s="1625"/>
      <c r="C109" s="1626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 x14ac:dyDescent="0.3">
      <c r="A110" s="1624" t="s">
        <v>273</v>
      </c>
      <c r="B110" s="1625"/>
      <c r="C110" s="1626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 x14ac:dyDescent="0.3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 x14ac:dyDescent="0.3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 x14ac:dyDescent="0.3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 x14ac:dyDescent="0.3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 x14ac:dyDescent="0.3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 x14ac:dyDescent="0.3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 x14ac:dyDescent="0.3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 x14ac:dyDescent="0.3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 x14ac:dyDescent="0.3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 x14ac:dyDescent="0.3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 x14ac:dyDescent="0.3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 x14ac:dyDescent="0.3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 x14ac:dyDescent="0.5">
      <c r="A1" s="1604" t="s">
        <v>128</v>
      </c>
      <c r="B1" s="1604"/>
      <c r="C1" s="1604"/>
      <c r="D1" s="1604"/>
      <c r="E1" s="1604"/>
      <c r="F1" s="1604"/>
      <c r="G1" s="1604"/>
      <c r="H1" s="1604"/>
      <c r="I1" s="1604"/>
      <c r="J1" s="1604"/>
    </row>
    <row r="2" spans="1:12" ht="23.25" customHeight="1" x14ac:dyDescent="0.5">
      <c r="A2" s="282" t="s">
        <v>304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 x14ac:dyDescent="0.35">
      <c r="A3" s="288"/>
      <c r="B3" s="289"/>
      <c r="C3" s="1221" t="s">
        <v>131</v>
      </c>
      <c r="D3" s="418">
        <v>32</v>
      </c>
      <c r="E3" s="1463" t="s">
        <v>132</v>
      </c>
      <c r="F3" s="1464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 x14ac:dyDescent="0.35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 x14ac:dyDescent="0.55000000000000004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 x14ac:dyDescent="0.35">
      <c r="A6" s="1457" t="s">
        <v>141</v>
      </c>
      <c r="B6" s="1458"/>
      <c r="C6" s="1459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 x14ac:dyDescent="0.4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 x14ac:dyDescent="0.35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 x14ac:dyDescent="0.35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2325426.9500000002</v>
      </c>
      <c r="I9" s="278">
        <f>I7-J7</f>
        <v>21077.53666666667</v>
      </c>
      <c r="J9" s="58">
        <f>H9/DAY(B2)</f>
        <v>77514.231666666674</v>
      </c>
      <c r="K9" s="59"/>
      <c r="L9" s="117"/>
    </row>
    <row r="10" spans="1:12" ht="23.25" customHeight="1" x14ac:dyDescent="0.35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25185</v>
      </c>
      <c r="I10" s="69"/>
      <c r="J10" s="58">
        <f>H10/DAY(B2)</f>
        <v>839.5</v>
      </c>
      <c r="K10" s="59"/>
      <c r="L10" s="117"/>
    </row>
    <row r="11" spans="1:12" ht="23.25" customHeight="1" x14ac:dyDescent="0.35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 x14ac:dyDescent="0.35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 x14ac:dyDescent="0.35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2330775.9500000007</v>
      </c>
      <c r="I13" s="400">
        <f>G7-G13</f>
        <v>-47895.200000000186</v>
      </c>
      <c r="J13" s="314">
        <f>H13/DAY(B2)</f>
        <v>77692.531666666691</v>
      </c>
      <c r="K13" s="59"/>
      <c r="L13" s="117"/>
    </row>
    <row r="14" spans="1:12" ht="23.25" customHeight="1" x14ac:dyDescent="0.35">
      <c r="A14" s="1460" t="s">
        <v>150</v>
      </c>
      <c r="B14" s="1461"/>
      <c r="C14" s="1462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 x14ac:dyDescent="0.4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 x14ac:dyDescent="0.35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 x14ac:dyDescent="0.35">
      <c r="A17" s="1460" t="s">
        <v>153</v>
      </c>
      <c r="B17" s="1461"/>
      <c r="C17" s="1462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 x14ac:dyDescent="0.35">
      <c r="A18" s="1465" t="s">
        <v>154</v>
      </c>
      <c r="B18" s="1466"/>
      <c r="C18" s="1467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4710</v>
      </c>
      <c r="I18" s="158">
        <f>'1'!I18</f>
        <v>65</v>
      </c>
      <c r="J18" s="58">
        <f>H18/DAY(B2)</f>
        <v>157</v>
      </c>
      <c r="K18" s="59"/>
      <c r="L18" s="117"/>
    </row>
    <row r="19" spans="1:12" ht="23.25" customHeight="1" x14ac:dyDescent="0.35">
      <c r="A19" s="1465" t="s">
        <v>71</v>
      </c>
      <c r="B19" s="1466"/>
      <c r="C19" s="1467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 x14ac:dyDescent="0.35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-28560</v>
      </c>
      <c r="I20" s="127">
        <f>J20-I18</f>
        <v>-1017</v>
      </c>
      <c r="J20" s="58">
        <f>H20/DAY(B2)</f>
        <v>-952</v>
      </c>
      <c r="K20" s="59"/>
      <c r="L20" s="117"/>
    </row>
    <row r="21" spans="1:12" ht="23.25" customHeight="1" x14ac:dyDescent="0.35">
      <c r="A21" s="1460" t="s">
        <v>157</v>
      </c>
      <c r="B21" s="1461"/>
      <c r="C21" s="1462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 x14ac:dyDescent="0.35">
      <c r="A22" s="1213" t="s">
        <v>158</v>
      </c>
      <c r="B22" s="1214"/>
      <c r="C22" s="1215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 x14ac:dyDescent="0.35">
      <c r="A23" s="1213" t="s">
        <v>160</v>
      </c>
      <c r="B23" s="1214"/>
      <c r="C23" s="1215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 x14ac:dyDescent="0.35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 x14ac:dyDescent="0.35">
      <c r="A25" s="1471" t="s">
        <v>162</v>
      </c>
      <c r="B25" s="1472"/>
      <c r="C25" s="1473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 x14ac:dyDescent="0.35">
      <c r="A26" s="345" t="s">
        <v>163</v>
      </c>
      <c r="B26" s="346"/>
      <c r="C26" s="347"/>
      <c r="D26" s="348" t="s">
        <v>164</v>
      </c>
      <c r="E26" s="349" t="s">
        <v>305</v>
      </c>
      <c r="F26" s="349"/>
      <c r="G26" s="350"/>
      <c r="H26" s="57"/>
      <c r="I26" s="145"/>
      <c r="J26" s="58"/>
      <c r="K26" s="75"/>
      <c r="L26" s="117"/>
    </row>
    <row r="27" spans="1:12" ht="23.25" customHeight="1" x14ac:dyDescent="0.35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 x14ac:dyDescent="0.35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 x14ac:dyDescent="0.35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 x14ac:dyDescent="0.35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 x14ac:dyDescent="0.35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 x14ac:dyDescent="0.3">
      <c r="A32" s="1607" t="s">
        <v>173</v>
      </c>
      <c r="B32" s="1608"/>
      <c r="C32" s="1608"/>
      <c r="D32" s="1608"/>
      <c r="E32" s="1608"/>
      <c r="F32" s="1608"/>
      <c r="G32" s="1608"/>
      <c r="H32" s="1608"/>
      <c r="I32" s="1608"/>
      <c r="J32" s="1609"/>
      <c r="K32" s="59"/>
      <c r="L32" s="117"/>
    </row>
    <row r="33" spans="1:12" ht="23.25" customHeight="1" x14ac:dyDescent="0.35">
      <c r="A33" s="1208" t="s">
        <v>174</v>
      </c>
      <c r="B33" s="1209"/>
      <c r="C33" s="1210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 x14ac:dyDescent="0.35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 x14ac:dyDescent="0.35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 x14ac:dyDescent="0.35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 x14ac:dyDescent="0.35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 x14ac:dyDescent="0.35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 x14ac:dyDescent="0.35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 x14ac:dyDescent="0.35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1093393.98</v>
      </c>
      <c r="I40" s="56"/>
      <c r="J40" s="58">
        <f>H40/DAY(B2)</f>
        <v>36446.466</v>
      </c>
      <c r="K40" s="59"/>
      <c r="L40" s="117"/>
    </row>
    <row r="41" spans="1:12" ht="23.25" customHeight="1" x14ac:dyDescent="0.35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 x14ac:dyDescent="0.35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 x14ac:dyDescent="0.35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 x14ac:dyDescent="0.35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 x14ac:dyDescent="0.35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 x14ac:dyDescent="0.35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6354392.9299999988</v>
      </c>
      <c r="I46" s="56"/>
      <c r="J46" s="58">
        <f>H46/DAY(B2)</f>
        <v>211813.09766666664</v>
      </c>
      <c r="K46" s="59"/>
      <c r="L46" s="117"/>
    </row>
    <row r="47" spans="1:12" ht="23.25" customHeight="1" x14ac:dyDescent="0.35">
      <c r="A47" s="1208" t="s">
        <v>188</v>
      </c>
      <c r="B47" s="1209"/>
      <c r="C47" s="1210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 x14ac:dyDescent="0.35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 x14ac:dyDescent="0.35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 x14ac:dyDescent="0.35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 x14ac:dyDescent="0.35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 x14ac:dyDescent="0.35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 x14ac:dyDescent="0.35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 x14ac:dyDescent="0.35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 x14ac:dyDescent="0.35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 x14ac:dyDescent="0.35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 x14ac:dyDescent="0.35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 x14ac:dyDescent="0.35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 x14ac:dyDescent="0.3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9125508.5199999996</v>
      </c>
      <c r="I59" s="56">
        <f>G13-G59</f>
        <v>-7871462.9499999993</v>
      </c>
      <c r="J59" s="58">
        <f>H59/DAY(B2)</f>
        <v>304183.6173333333</v>
      </c>
      <c r="K59" s="59"/>
      <c r="L59" s="117"/>
    </row>
    <row r="60" spans="1:12" ht="23.25" customHeight="1" x14ac:dyDescent="0.5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 x14ac:dyDescent="0.3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 x14ac:dyDescent="0.3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 x14ac:dyDescent="0.35">
      <c r="A63" s="1474" t="s">
        <v>107</v>
      </c>
      <c r="B63" s="1475"/>
      <c r="C63" s="1476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 x14ac:dyDescent="0.35">
      <c r="A64" s="1474" t="s">
        <v>108</v>
      </c>
      <c r="B64" s="1475"/>
      <c r="C64" s="1476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 x14ac:dyDescent="0.35">
      <c r="A65" s="1474" t="s">
        <v>109</v>
      </c>
      <c r="B65" s="1475"/>
      <c r="C65" s="1476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 x14ac:dyDescent="0.35">
      <c r="A66" s="1474" t="s">
        <v>110</v>
      </c>
      <c r="B66" s="1475"/>
      <c r="C66" s="1476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 x14ac:dyDescent="0.35">
      <c r="A67" s="1474" t="s">
        <v>111</v>
      </c>
      <c r="B67" s="1475"/>
      <c r="C67" s="1476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-63299.86</v>
      </c>
      <c r="I67" s="105"/>
      <c r="J67" s="58">
        <f>H67/DAY(B2)</f>
        <v>-2109.9953333333333</v>
      </c>
      <c r="K67" s="83"/>
      <c r="L67" s="117"/>
    </row>
    <row r="68" spans="1:12" ht="23.25" customHeight="1" x14ac:dyDescent="0.35">
      <c r="A68" s="1474" t="s">
        <v>112</v>
      </c>
      <c r="B68" s="1475"/>
      <c r="C68" s="1476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 x14ac:dyDescent="0.5">
      <c r="A69" s="1483" t="s">
        <v>200</v>
      </c>
      <c r="B69" s="1484"/>
      <c r="C69" s="1485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 x14ac:dyDescent="0.5">
      <c r="A70" s="1480" t="s">
        <v>201</v>
      </c>
      <c r="B70" s="1481"/>
      <c r="C70" s="1481"/>
      <c r="D70" s="1481"/>
      <c r="E70" s="1481"/>
      <c r="F70" s="1481"/>
      <c r="G70" s="1481"/>
      <c r="H70" s="1481"/>
      <c r="I70" s="1481"/>
      <c r="J70" s="1482"/>
      <c r="K70" s="83"/>
      <c r="L70" s="117"/>
    </row>
    <row r="71" spans="1:12" ht="23.25" customHeight="1" x14ac:dyDescent="0.35">
      <c r="A71" s="1474" t="s">
        <v>202</v>
      </c>
      <c r="B71" s="1475"/>
      <c r="C71" s="1476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 x14ac:dyDescent="0.35">
      <c r="A72" s="1474" t="s">
        <v>203</v>
      </c>
      <c r="B72" s="1475"/>
      <c r="C72" s="1476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 x14ac:dyDescent="0.35">
      <c r="A73" s="1474" t="s">
        <v>204</v>
      </c>
      <c r="B73" s="1475"/>
      <c r="C73" s="1476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 x14ac:dyDescent="0.35">
      <c r="A74" s="1477" t="s">
        <v>205</v>
      </c>
      <c r="B74" s="1478"/>
      <c r="C74" s="1479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 x14ac:dyDescent="0.35">
      <c r="A75" s="1477" t="s">
        <v>206</v>
      </c>
      <c r="B75" s="1478"/>
      <c r="C75" s="1479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617600.19999999995</v>
      </c>
      <c r="I75" s="112"/>
      <c r="J75" s="58">
        <f>H75/DAY(B2)</f>
        <v>20586.673333333332</v>
      </c>
      <c r="K75" s="83"/>
      <c r="L75" s="117"/>
    </row>
    <row r="76" spans="1:12" ht="23.25" customHeight="1" x14ac:dyDescent="0.35">
      <c r="A76" s="1474" t="s">
        <v>207</v>
      </c>
      <c r="B76" s="1475"/>
      <c r="C76" s="1476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 x14ac:dyDescent="0.35">
      <c r="A77" s="1216" t="s">
        <v>208</v>
      </c>
      <c r="B77" s="1217"/>
      <c r="C77" s="1218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 x14ac:dyDescent="0.35">
      <c r="A78" s="1486" t="s">
        <v>97</v>
      </c>
      <c r="B78" s="1487"/>
      <c r="C78" s="1488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 x14ac:dyDescent="0.35">
      <c r="A79" s="1486" t="s">
        <v>209</v>
      </c>
      <c r="B79" s="1487"/>
      <c r="C79" s="1488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 x14ac:dyDescent="0.35">
      <c r="A80" s="1486" t="s">
        <v>210</v>
      </c>
      <c r="B80" s="1487"/>
      <c r="C80" s="1488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 x14ac:dyDescent="0.35">
      <c r="A81" s="1492" t="s">
        <v>100</v>
      </c>
      <c r="B81" s="1487"/>
      <c r="C81" s="1488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 x14ac:dyDescent="0.35">
      <c r="A82" s="1492" t="s">
        <v>211</v>
      </c>
      <c r="B82" s="1487"/>
      <c r="C82" s="1488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 x14ac:dyDescent="0.35">
      <c r="A83" s="1219" t="s">
        <v>212</v>
      </c>
      <c r="B83" s="1219"/>
      <c r="C83" s="1220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 x14ac:dyDescent="0.35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1559536.5699999994</v>
      </c>
      <c r="I84" s="68"/>
      <c r="J84" s="58">
        <f>H84/DAY(B2)</f>
        <v>51984.552333333311</v>
      </c>
      <c r="K84" s="88"/>
      <c r="L84" s="44"/>
    </row>
    <row r="85" spans="1:12" s="38" customFormat="1" ht="23.25" customHeight="1" x14ac:dyDescent="0.35">
      <c r="A85" s="1211" t="s">
        <v>216</v>
      </c>
      <c r="B85" s="435"/>
      <c r="C85" s="1212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 x14ac:dyDescent="0.35">
      <c r="A86" s="1465" t="s">
        <v>217</v>
      </c>
      <c r="B86" s="1466"/>
      <c r="C86" s="1467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 x14ac:dyDescent="0.35">
      <c r="A87" s="1465" t="s">
        <v>218</v>
      </c>
      <c r="B87" s="1466"/>
      <c r="C87" s="1467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 x14ac:dyDescent="0.35">
      <c r="A88" s="1489" t="s">
        <v>219</v>
      </c>
      <c r="B88" s="1490"/>
      <c r="C88" s="1491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 x14ac:dyDescent="0.35">
      <c r="A89" s="1465" t="s">
        <v>220</v>
      </c>
      <c r="B89" s="1466"/>
      <c r="C89" s="1467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 x14ac:dyDescent="0.35">
      <c r="A90" s="1213" t="s">
        <v>221</v>
      </c>
      <c r="B90" s="1214"/>
      <c r="C90" s="1215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 x14ac:dyDescent="0.35">
      <c r="A91" s="1213" t="s">
        <v>222</v>
      </c>
      <c r="B91" s="1214"/>
      <c r="C91" s="1215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 x14ac:dyDescent="0.35">
      <c r="A92" s="1213" t="s">
        <v>223</v>
      </c>
      <c r="B92" s="1214"/>
      <c r="C92" s="1215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 x14ac:dyDescent="0.35">
      <c r="A93" s="1213" t="s">
        <v>224</v>
      </c>
      <c r="B93" s="1214"/>
      <c r="C93" s="1215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 x14ac:dyDescent="0.35">
      <c r="A94" s="1213" t="s">
        <v>225</v>
      </c>
      <c r="B94" s="1214"/>
      <c r="C94" s="1215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 x14ac:dyDescent="0.35">
      <c r="A95" s="1489" t="s">
        <v>227</v>
      </c>
      <c r="B95" s="1490"/>
      <c r="C95" s="1491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 x14ac:dyDescent="0.35">
      <c r="A96" s="1493" t="s">
        <v>241</v>
      </c>
      <c r="B96" s="1494"/>
      <c r="C96" s="1495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 x14ac:dyDescent="0.35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 x14ac:dyDescent="0.35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 x14ac:dyDescent="0.35">
      <c r="A99" s="1474" t="s">
        <v>244</v>
      </c>
      <c r="B99" s="1475"/>
      <c r="C99" s="1476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 x14ac:dyDescent="0.35">
      <c r="A100" s="416" t="s">
        <v>245</v>
      </c>
      <c r="B100" s="1214"/>
      <c r="C100" s="1215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 x14ac:dyDescent="0.35">
      <c r="A101" s="416" t="s">
        <v>246</v>
      </c>
      <c r="B101" s="1214"/>
      <c r="C101" s="1215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 x14ac:dyDescent="0.35">
      <c r="A102" s="1496" t="s">
        <v>261</v>
      </c>
      <c r="B102" s="1497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 x14ac:dyDescent="0.35">
      <c r="A103" s="1465" t="s">
        <v>262</v>
      </c>
      <c r="B103" s="1466"/>
      <c r="C103" s="1467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 x14ac:dyDescent="0.35">
      <c r="A104" s="1465" t="s">
        <v>263</v>
      </c>
      <c r="B104" s="1466"/>
      <c r="C104" s="1467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4.7450822185826214</v>
      </c>
      <c r="I104" s="84"/>
      <c r="J104" s="58">
        <f>H104/DAY(B2)</f>
        <v>0.15816940728608739</v>
      </c>
      <c r="K104" s="111"/>
      <c r="L104" s="117"/>
    </row>
    <row r="105" spans="1:12" ht="23.25" customHeight="1" x14ac:dyDescent="0.35">
      <c r="A105" s="1465" t="s">
        <v>264</v>
      </c>
      <c r="B105" s="1466"/>
      <c r="C105" s="1467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2765876.8799999994</v>
      </c>
      <c r="I105" s="69"/>
      <c r="J105" s="58">
        <f>H105/DAY(B2)</f>
        <v>92195.895999999979</v>
      </c>
      <c r="K105" s="111"/>
      <c r="L105" s="117"/>
    </row>
    <row r="106" spans="1:12" ht="23.25" customHeight="1" x14ac:dyDescent="0.35">
      <c r="A106" s="1465" t="s">
        <v>265</v>
      </c>
      <c r="B106" s="1466"/>
      <c r="C106" s="1467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-5.6092268915124075</v>
      </c>
      <c r="I106" s="84"/>
      <c r="J106" s="58">
        <f>H106/DAY(B2)</f>
        <v>-0.18697422971708025</v>
      </c>
      <c r="K106" s="111"/>
      <c r="L106" s="117"/>
    </row>
    <row r="107" spans="1:12" ht="23.25" customHeight="1" x14ac:dyDescent="0.35">
      <c r="A107" s="1465" t="s">
        <v>266</v>
      </c>
      <c r="B107" s="1466"/>
      <c r="C107" s="1467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 x14ac:dyDescent="0.35">
      <c r="A108" s="1465" t="s">
        <v>267</v>
      </c>
      <c r="B108" s="1466"/>
      <c r="C108" s="1467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-2.8277395110828003</v>
      </c>
      <c r="I108" s="86"/>
      <c r="J108" s="58">
        <f>H108/DAY(B2)</f>
        <v>-9.4257983702760006E-2</v>
      </c>
    </row>
    <row r="109" spans="1:12" ht="23.25" customHeight="1" x14ac:dyDescent="0.35">
      <c r="A109" s="1465" t="s">
        <v>268</v>
      </c>
      <c r="B109" s="1466"/>
      <c r="C109" s="1467"/>
      <c r="D109" s="268" t="s">
        <v>194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 x14ac:dyDescent="0.35">
      <c r="A110" s="1465" t="s">
        <v>269</v>
      </c>
      <c r="B110" s="1466"/>
      <c r="C110" s="1467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-2.7020545120902941</v>
      </c>
      <c r="I110" s="86"/>
      <c r="J110" s="58">
        <f>H110/DAY(B2)</f>
        <v>-9.0068483736343144E-2</v>
      </c>
    </row>
    <row r="111" spans="1:12" ht="23.25" customHeight="1" x14ac:dyDescent="0.35">
      <c r="A111" s="1465" t="s">
        <v>270</v>
      </c>
      <c r="B111" s="1466"/>
      <c r="C111" s="1467"/>
      <c r="D111" s="268" t="s">
        <v>194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 x14ac:dyDescent="0.35">
      <c r="A112" s="1465" t="s">
        <v>271</v>
      </c>
      <c r="B112" s="1466"/>
      <c r="C112" s="1467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-0.43466186511987415</v>
      </c>
      <c r="I112" s="69"/>
      <c r="J112" s="58">
        <f>H112/DAY(B2)</f>
        <v>-1.4488728837329138E-2</v>
      </c>
    </row>
    <row r="113" spans="1:10" ht="23.25" customHeight="1" x14ac:dyDescent="0.35">
      <c r="A113" s="1465" t="s">
        <v>272</v>
      </c>
      <c r="B113" s="1466"/>
      <c r="C113" s="1467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 x14ac:dyDescent="0.35">
      <c r="A114" s="1465" t="s">
        <v>273</v>
      </c>
      <c r="B114" s="1466"/>
      <c r="C114" s="1467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-0.25959371711417245</v>
      </c>
      <c r="I114" s="69"/>
      <c r="J114" s="58">
        <f>H114/DAY(B2)</f>
        <v>-8.6531239038057477E-3</v>
      </c>
    </row>
    <row r="115" spans="1:10" ht="23.25" customHeight="1" x14ac:dyDescent="0.35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 x14ac:dyDescent="0.35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 x14ac:dyDescent="0.35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 x14ac:dyDescent="0.35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 x14ac:dyDescent="0.35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 x14ac:dyDescent="0.35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 x14ac:dyDescent="0.35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 x14ac:dyDescent="0.35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 x14ac:dyDescent="0.35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 x14ac:dyDescent="0.35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 x14ac:dyDescent="0.35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 x14ac:dyDescent="0.4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I7"/>
  <sheetViews>
    <sheetView workbookViewId="0">
      <selection activeCell="A37" sqref="A37"/>
    </sheetView>
  </sheetViews>
  <sheetFormatPr defaultRowHeight="15.75" x14ac:dyDescent="0.25"/>
  <sheetData>
    <row r="3" spans="1:9" x14ac:dyDescent="0.25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 x14ac:dyDescent="0.25">
      <c r="A4" s="213">
        <f>'2'!G7</f>
        <v>19381</v>
      </c>
      <c r="B4" s="213"/>
    </row>
    <row r="5" spans="1:9" x14ac:dyDescent="0.25">
      <c r="A5" s="213">
        <f>'3'!G7</f>
        <v>19375</v>
      </c>
    </row>
    <row r="6" spans="1:9" x14ac:dyDescent="0.25">
      <c r="A6" s="213">
        <f>'4'!G7</f>
        <v>18251</v>
      </c>
    </row>
    <row r="7" spans="1:9" x14ac:dyDescent="0.25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Joe J. El Khoury</cp:lastModifiedBy>
  <cp:revision/>
  <dcterms:created xsi:type="dcterms:W3CDTF">2013-11-14T06:06:34Z</dcterms:created>
  <dcterms:modified xsi:type="dcterms:W3CDTF">2021-02-22T12:17:03Z</dcterms:modified>
</cp:coreProperties>
</file>