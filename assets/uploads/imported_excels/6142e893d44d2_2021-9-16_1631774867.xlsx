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7" i="4" l="1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S271" i="4"/>
  <c r="R271" i="4"/>
  <c r="O271" i="4"/>
  <c r="L271" i="4"/>
  <c r="M271" i="4" s="1"/>
  <c r="J271" i="4"/>
  <c r="K271" i="4" s="1"/>
  <c r="S270" i="4"/>
  <c r="R270" i="4"/>
  <c r="P270" i="4"/>
  <c r="O270" i="4"/>
  <c r="L270" i="4"/>
  <c r="M270" i="4" s="1"/>
  <c r="J270" i="4"/>
  <c r="K270" i="4" s="1"/>
  <c r="S269" i="4"/>
  <c r="R269" i="4"/>
  <c r="O269" i="4"/>
  <c r="L269" i="4"/>
  <c r="M269" i="4" s="1"/>
  <c r="J269" i="4"/>
  <c r="K269" i="4" s="1"/>
  <c r="S268" i="4"/>
  <c r="R268" i="4"/>
  <c r="O268" i="4"/>
  <c r="L268" i="4"/>
  <c r="M268" i="4" s="1"/>
  <c r="J268" i="4"/>
  <c r="K268" i="4" s="1"/>
  <c r="S267" i="4"/>
  <c r="R267" i="4"/>
  <c r="O267" i="4"/>
  <c r="L267" i="4"/>
  <c r="M267" i="4" s="1"/>
  <c r="J267" i="4"/>
  <c r="K267" i="4" s="1"/>
  <c r="S266" i="4"/>
  <c r="R266" i="4"/>
  <c r="O266" i="4"/>
  <c r="L266" i="4"/>
  <c r="M266" i="4" s="1"/>
  <c r="J266" i="4"/>
  <c r="K266" i="4" s="1"/>
  <c r="S265" i="4"/>
  <c r="R265" i="4"/>
  <c r="O265" i="4"/>
  <c r="L265" i="4"/>
  <c r="M265" i="4" s="1"/>
  <c r="J265" i="4"/>
  <c r="K265" i="4" s="1"/>
  <c r="S264" i="4"/>
  <c r="R264" i="4"/>
  <c r="O264" i="4"/>
  <c r="L264" i="4"/>
  <c r="M264" i="4" s="1"/>
  <c r="J264" i="4"/>
  <c r="K264" i="4" s="1"/>
  <c r="S263" i="4"/>
  <c r="R263" i="4"/>
  <c r="O263" i="4"/>
  <c r="L263" i="4"/>
  <c r="M263" i="4" s="1"/>
  <c r="J263" i="4"/>
  <c r="K263" i="4" s="1"/>
  <c r="S262" i="4"/>
  <c r="R262" i="4"/>
  <c r="O262" i="4"/>
  <c r="L262" i="4"/>
  <c r="M262" i="4" s="1"/>
  <c r="J262" i="4"/>
  <c r="K262" i="4" s="1"/>
  <c r="S261" i="4"/>
  <c r="R261" i="4"/>
  <c r="O261" i="4"/>
  <c r="L261" i="4"/>
  <c r="M261" i="4" s="1"/>
  <c r="J261" i="4"/>
  <c r="K261" i="4" s="1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K245" i="4" l="1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E257" i="1"/>
  <c r="E261" i="1"/>
  <c r="E265" i="1"/>
  <c r="E269" i="1"/>
  <c r="E274" i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276" i="4" l="1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<sst xmlns="http://schemas.openxmlformats.org/spreadsheetml/2006/main" count="607" uniqueCount="77">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</sst>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43" workbookViewId="0">
      <selection activeCell="Q260" sqref="Q260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>
        <v>0.85</v>
      </c>
      <c r="G260" s="4" t="str">
        <f>'Gas Water'!M262</f>
        <v/>
      </c>
      <c r="H260" s="153">
        <v>2</v>
      </c>
      <c r="I260" s="2" t="str">
        <f>'Gas Water'!L262</f>
        <v/>
      </c>
      <c r="J260" s="153">
        <v>13.9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>
        <v>0.85</v>
      </c>
      <c r="G261" s="4" t="str">
        <f>'Gas Water'!M263</f>
        <v/>
      </c>
      <c r="H261" s="153">
        <v>2</v>
      </c>
      <c r="I261" s="2" t="str">
        <f>'Gas Water'!L263</f>
        <v/>
      </c>
      <c r="J261" s="153">
        <v>13.9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>
        <v>0.85</v>
      </c>
      <c r="G262" s="4" t="str">
        <f>'Gas Water'!M264</f>
        <v/>
      </c>
      <c r="H262" s="153">
        <v>2</v>
      </c>
      <c r="I262" s="2" t="str">
        <f>'Gas Water'!L264</f>
        <v/>
      </c>
      <c r="J262" s="153">
        <v>13.9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>
        <v>0.85</v>
      </c>
      <c r="G263" s="4" t="str">
        <f>'Gas Water'!M265</f>
        <v/>
      </c>
      <c r="H263" s="153">
        <v>2</v>
      </c>
      <c r="I263" s="2" t="str">
        <f>'Gas Water'!L265</f>
        <v/>
      </c>
      <c r="J263" s="153">
        <v>13.9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>
        <v>0.85</v>
      </c>
      <c r="G264" s="4" t="str">
        <f>'Gas Water'!M266</f>
        <v/>
      </c>
      <c r="H264" s="153">
        <v>2</v>
      </c>
      <c r="I264" s="2" t="str">
        <f>'Gas Water'!L266</f>
        <v/>
      </c>
      <c r="J264" s="153">
        <v>13.9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>
        <v>0.85</v>
      </c>
      <c r="G265" s="4" t="str">
        <f>'Gas Water'!M267</f>
        <v/>
      </c>
      <c r="H265" s="153">
        <v>2</v>
      </c>
      <c r="I265" s="2" t="str">
        <f>'Gas Water'!L267</f>
        <v/>
      </c>
      <c r="J265" s="153">
        <v>13.9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>
        <v>0.85</v>
      </c>
      <c r="G266" s="4" t="str">
        <f>'Gas Water'!M268</f>
        <v/>
      </c>
      <c r="H266" s="153">
        <v>2</v>
      </c>
      <c r="I266" s="2" t="str">
        <f>'Gas Water'!L268</f>
        <v/>
      </c>
      <c r="J266" s="153">
        <v>13.9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>
        <v>0.85</v>
      </c>
      <c r="G267" s="4" t="str">
        <f>'Gas Water'!M269</f>
        <v/>
      </c>
      <c r="H267" s="153">
        <v>2</v>
      </c>
      <c r="I267" s="2" t="str">
        <f>'Gas Water'!L269</f>
        <v/>
      </c>
      <c r="J267" s="153">
        <v>13.9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>
        <v>0.85</v>
      </c>
      <c r="G268" s="4" t="str">
        <f>'Gas Water'!M270</f>
        <v/>
      </c>
      <c r="H268" s="153">
        <v>2</v>
      </c>
      <c r="I268" s="2" t="str">
        <f>'Gas Water'!L270</f>
        <v/>
      </c>
      <c r="J268" s="153">
        <v>13.9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>
        <v>0.85</v>
      </c>
      <c r="G269" s="4" t="str">
        <f>'Gas Water'!M271</f>
        <v/>
      </c>
      <c r="H269" s="153">
        <v>2</v>
      </c>
      <c r="I269" s="2" t="str">
        <f>'Gas Water'!L271</f>
        <v/>
      </c>
      <c r="J269" s="153">
        <v>13.9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>
        <v>0.85</v>
      </c>
      <c r="G270" s="4" t="str">
        <f>'Gas Water'!M272</f>
        <v/>
      </c>
      <c r="H270" s="153">
        <v>2</v>
      </c>
      <c r="I270" s="2" t="str">
        <f>'Gas Water'!L272</f>
        <v/>
      </c>
      <c r="J270" s="153">
        <v>13.9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>
        <v>0.85</v>
      </c>
      <c r="G271" s="4" t="str">
        <f>'Gas Water'!M273</f>
        <v/>
      </c>
      <c r="H271" s="153">
        <v>2</v>
      </c>
      <c r="I271" s="2" t="str">
        <f>'Gas Water'!L273</f>
        <v/>
      </c>
      <c r="J271" s="153">
        <v>13.9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>
        <v>0.85</v>
      </c>
      <c r="G272" s="4" t="str">
        <f>'Gas Water'!M274</f>
        <v/>
      </c>
      <c r="H272" s="153">
        <v>2</v>
      </c>
      <c r="I272" s="2" t="str">
        <f>'Gas Water'!L274</f>
        <v/>
      </c>
      <c r="J272" s="153">
        <v>13.9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>
        <v>0.85</v>
      </c>
      <c r="G273" s="4" t="str">
        <f>'Gas Water'!M275</f>
        <v/>
      </c>
      <c r="H273" s="153">
        <v>2</v>
      </c>
      <c r="I273" s="2" t="str">
        <f>'Gas Water'!L275</f>
        <v/>
      </c>
      <c r="J273" s="153">
        <v>13.9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>
        <v>0.85</v>
      </c>
      <c r="G274" s="4" t="str">
        <f>'Gas Water'!M276</f>
        <v/>
      </c>
      <c r="H274" s="153">
        <v>2</v>
      </c>
      <c r="I274" s="2" t="str">
        <f>'Gas Water'!L276</f>
        <v/>
      </c>
      <c r="J274" s="153">
        <v>13.9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26" workbookViewId="0">
      <selection activeCell="H261" sqref="H261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3472</v>
      </c>
      <c r="O270" s="32">
        <f>SUM(M248:M277)</f>
        <v>21610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>
        <f>AVERAGE(L248:L277)</f>
        <v>248</v>
      </c>
      <c r="O273" s="32">
        <f>AVERAGE(M248:M277)</f>
        <v>1543.5714285714287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482836</v>
      </c>
      <c r="J371" s="40">
        <f t="shared" si="30"/>
        <v>45606</v>
      </c>
      <c r="K371" s="40">
        <f t="shared" si="30"/>
        <v>41556</v>
      </c>
      <c r="L371" s="40">
        <f t="shared" si="30"/>
        <v>47316</v>
      </c>
      <c r="M371" s="40">
        <f t="shared" si="30"/>
        <v>569998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235" workbookViewId="0">
      <selection activeCell="L265" sqref="L265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72" si="33">IF(D236="","",+(E236-E235)*4140)</f>
        <v>35318.339999999793</v>
      </c>
      <c r="J236" s="59">
        <f t="shared" ref="J236:J260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si="33"/>
        <v/>
      </c>
      <c r="J261" s="59" t="str">
        <f t="shared" ref="J261:J323" si="36">IF(E261="","",+(E261-E260)*4140)</f>
        <v/>
      </c>
      <c r="K261" s="60" t="str">
        <f t="shared" si="28"/>
        <v/>
      </c>
      <c r="L261" s="59" t="str">
        <f t="shared" ref="L261:L324" si="37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3"/>
        <v/>
      </c>
      <c r="J262" s="59" t="str">
        <f t="shared" si="36"/>
        <v/>
      </c>
      <c r="K262" s="60" t="str">
        <f t="shared" si="28"/>
        <v/>
      </c>
      <c r="L262" s="59" t="str">
        <f t="shared" si="37"/>
        <v/>
      </c>
      <c r="M262" s="60" t="str">
        <f t="shared" si="30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3"/>
        <v/>
      </c>
      <c r="J263" s="59" t="str">
        <f t="shared" si="36"/>
        <v/>
      </c>
      <c r="K263" s="60" t="str">
        <f t="shared" si="28"/>
        <v/>
      </c>
      <c r="L263" s="59" t="str">
        <f t="shared" si="37"/>
        <v/>
      </c>
      <c r="M263" s="60" t="str">
        <f t="shared" si="30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3"/>
        <v/>
      </c>
      <c r="J264" s="59" t="str">
        <f t="shared" si="36"/>
        <v/>
      </c>
      <c r="K264" s="60" t="str">
        <f t="shared" si="28"/>
        <v/>
      </c>
      <c r="L264" s="59" t="str">
        <f t="shared" si="37"/>
        <v/>
      </c>
      <c r="M264" s="60" t="str">
        <f t="shared" si="30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5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3"/>
        <v/>
      </c>
      <c r="J265" s="59" t="str">
        <f t="shared" si="36"/>
        <v/>
      </c>
      <c r="K265" s="60" t="str">
        <f t="shared" si="28"/>
        <v/>
      </c>
      <c r="L265" s="59" t="str">
        <f t="shared" si="37"/>
        <v/>
      </c>
      <c r="M265" s="60" t="str">
        <f t="shared" si="30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5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3"/>
        <v/>
      </c>
      <c r="J266" s="59" t="str">
        <f t="shared" si="36"/>
        <v/>
      </c>
      <c r="K266" s="60" t="str">
        <f t="shared" si="28"/>
        <v/>
      </c>
      <c r="L266" s="59" t="str">
        <f t="shared" si="37"/>
        <v/>
      </c>
      <c r="M266" s="60" t="str">
        <f t="shared" si="30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3"/>
        <v/>
      </c>
      <c r="J267" s="59" t="str">
        <f t="shared" si="36"/>
        <v/>
      </c>
      <c r="K267" s="60" t="str">
        <f t="shared" si="28"/>
        <v/>
      </c>
      <c r="L267" s="59" t="str">
        <f t="shared" si="37"/>
        <v/>
      </c>
      <c r="M267" s="60" t="str">
        <f t="shared" si="30"/>
        <v/>
      </c>
      <c r="N267" s="61">
        <v>66068309</v>
      </c>
      <c r="O267" s="61">
        <f t="shared" si="38"/>
        <v>0</v>
      </c>
      <c r="P267" s="70">
        <f>IF(J247="",0,+SUM(J247:J276)/SUM(I247:I276))</f>
        <v>2.6267906509173176E-2</v>
      </c>
      <c r="Q267" s="70">
        <f>IF(L247="",0,+SUM(L247:L276)/SUM(I247:I276))</f>
        <v>2.6267906509173176E-2</v>
      </c>
      <c r="R267" s="20">
        <f t="shared" si="35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3"/>
        <v/>
      </c>
      <c r="J268" s="59" t="str">
        <f t="shared" si="36"/>
        <v/>
      </c>
      <c r="K268" s="60" t="str">
        <f t="shared" si="28"/>
        <v/>
      </c>
      <c r="L268" s="59" t="str">
        <f t="shared" si="37"/>
        <v/>
      </c>
      <c r="M268" s="60" t="str">
        <f t="shared" si="30"/>
        <v/>
      </c>
      <c r="N268" s="61">
        <v>66068309</v>
      </c>
      <c r="O268" s="61">
        <f t="shared" si="38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3"/>
        <v/>
      </c>
      <c r="J269" s="59" t="str">
        <f t="shared" si="36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3"/>
        <v/>
      </c>
      <c r="J270" s="59" t="str">
        <f t="shared" si="36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3"/>
        <v/>
      </c>
      <c r="J271" s="59" t="str">
        <f t="shared" si="36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3"/>
        <v/>
      </c>
      <c r="J272" s="59" t="str">
        <f t="shared" si="36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ref="I273:J324" si="42">IF(D273="","",+(D273-D272)*4140)</f>
        <v/>
      </c>
      <c r="J273" s="59" t="str">
        <f t="shared" si="36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42"/>
        <v/>
      </c>
      <c r="J274" s="59" t="str">
        <f t="shared" si="36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6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42"/>
        <v/>
      </c>
      <c r="J276" s="90" t="str">
        <f t="shared" si="36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42"/>
        <v/>
      </c>
      <c r="J277" s="59" t="str">
        <f t="shared" si="36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42"/>
        <v/>
      </c>
      <c r="J278" s="59" t="str">
        <f t="shared" si="36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5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42"/>
        <v/>
      </c>
      <c r="J279" s="59" t="str">
        <f t="shared" si="36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5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42"/>
        <v/>
      </c>
      <c r="J280" s="59" t="str">
        <f t="shared" si="36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5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42"/>
        <v/>
      </c>
      <c r="J281" s="59" t="str">
        <f t="shared" si="36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5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42"/>
        <v/>
      </c>
      <c r="J282" s="59" t="str">
        <f t="shared" si="36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5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42"/>
        <v/>
      </c>
      <c r="J283" s="59" t="str">
        <f t="shared" si="36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5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42"/>
        <v/>
      </c>
      <c r="J284" s="59" t="str">
        <f t="shared" si="36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5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42"/>
        <v/>
      </c>
      <c r="J285" s="59" t="str">
        <f t="shared" si="36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5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42"/>
        <v/>
      </c>
      <c r="J286" s="59" t="str">
        <f t="shared" si="36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5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42"/>
        <v/>
      </c>
      <c r="J287" s="59" t="str">
        <f t="shared" si="36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5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42"/>
        <v/>
      </c>
      <c r="J288" s="59" t="str">
        <f t="shared" si="36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5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42"/>
        <v/>
      </c>
      <c r="J289" s="59" t="str">
        <f t="shared" si="36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5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42"/>
        <v/>
      </c>
      <c r="J290" s="59" t="str">
        <f t="shared" si="36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5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42"/>
        <v/>
      </c>
      <c r="J291" s="59" t="str">
        <f t="shared" si="36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5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42"/>
        <v/>
      </c>
      <c r="J292" s="59" t="str">
        <f t="shared" si="36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5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42"/>
        <v/>
      </c>
      <c r="J293" s="59" t="str">
        <f t="shared" si="36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42"/>
        <v/>
      </c>
      <c r="J294" s="59" t="str">
        <f t="shared" si="36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42"/>
        <v/>
      </c>
      <c r="J295" s="59" t="str">
        <f t="shared" si="36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5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42"/>
        <v/>
      </c>
      <c r="J296" s="59" t="str">
        <f t="shared" si="36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5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42"/>
        <v/>
      </c>
      <c r="J297" s="59" t="str">
        <f t="shared" si="36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42"/>
        <v/>
      </c>
      <c r="J298" s="59" t="str">
        <f t="shared" si="36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5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42"/>
        <v/>
      </c>
      <c r="J299" s="59" t="str">
        <f t="shared" si="36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5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42"/>
        <v/>
      </c>
      <c r="J300" s="59" t="str">
        <f t="shared" si="36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42"/>
        <v/>
      </c>
      <c r="J301" s="59" t="str">
        <f t="shared" si="36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42"/>
        <v/>
      </c>
      <c r="J302" s="59" t="str">
        <f t="shared" si="36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42"/>
        <v/>
      </c>
      <c r="J303" s="59" t="str">
        <f t="shared" si="36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42"/>
        <v/>
      </c>
      <c r="J304" s="59" t="str">
        <f t="shared" si="36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42"/>
        <v/>
      </c>
      <c r="J305" s="59" t="str">
        <f t="shared" si="36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42"/>
        <v/>
      </c>
      <c r="J306" s="59" t="str">
        <f t="shared" si="36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42"/>
        <v/>
      </c>
      <c r="J307" s="90" t="str">
        <f t="shared" si="36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42"/>
        <v/>
      </c>
      <c r="J308" s="59" t="str">
        <f t="shared" si="36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42"/>
        <v/>
      </c>
      <c r="J309" s="59" t="str">
        <f t="shared" si="36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5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42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42"/>
        <v/>
      </c>
      <c r="J311" s="59" t="str">
        <f t="shared" si="36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42"/>
        <v/>
      </c>
      <c r="J312" s="59" t="str">
        <f t="shared" si="36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6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5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42"/>
        <v/>
      </c>
      <c r="J314" s="59" t="str">
        <f t="shared" si="36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5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42"/>
        <v/>
      </c>
      <c r="J315" s="59" t="str">
        <f t="shared" si="36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42"/>
        <v/>
      </c>
      <c r="J316" s="59" t="str">
        <f t="shared" si="36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3">IF(N316="","",N316-N315)</f>
        <v>0</v>
      </c>
      <c r="P316" s="62"/>
      <c r="Q316" s="63"/>
      <c r="R316" s="20">
        <f t="shared" si="35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42"/>
        <v/>
      </c>
      <c r="J317" s="59" t="str">
        <f t="shared" si="36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3"/>
        <v>0</v>
      </c>
      <c r="P317" s="62"/>
      <c r="Q317" s="63"/>
      <c r="R317" s="20">
        <f t="shared" ref="R317:R368" si="44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42"/>
        <v/>
      </c>
      <c r="J318" s="59" t="str">
        <f t="shared" si="36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3"/>
        <v>0</v>
      </c>
      <c r="P318" s="62"/>
      <c r="Q318" s="64"/>
      <c r="R318" s="20">
        <f t="shared" si="44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42"/>
        <v/>
      </c>
      <c r="J319" s="59" t="str">
        <f t="shared" si="36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4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42"/>
        <v/>
      </c>
      <c r="J320" s="59" t="str">
        <f t="shared" si="36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3"/>
        <v>0</v>
      </c>
      <c r="P320" s="62"/>
      <c r="Q320" s="63"/>
      <c r="R320" s="20">
        <f t="shared" si="44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42"/>
        <v/>
      </c>
      <c r="J321" s="59" t="str">
        <f t="shared" si="36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3"/>
        <v>0</v>
      </c>
      <c r="P321" s="62"/>
      <c r="Q321" s="131"/>
      <c r="R321" s="20">
        <f t="shared" si="44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2"/>
        <v/>
      </c>
      <c r="J322" s="59" t="str">
        <f t="shared" si="36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3"/>
        <v>0</v>
      </c>
      <c r="P322" s="62"/>
      <c r="Q322" s="63"/>
      <c r="R322" s="20">
        <f t="shared" si="44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2"/>
        <v/>
      </c>
      <c r="J323" s="59" t="str">
        <f t="shared" si="36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3"/>
        <v>0</v>
      </c>
      <c r="P323" s="62"/>
      <c r="Q323" s="104"/>
      <c r="R323" s="20">
        <f t="shared" si="44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2"/>
        <v/>
      </c>
      <c r="J324" s="59" t="str">
        <f t="shared" si="42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3"/>
        <v>0</v>
      </c>
      <c r="P324" s="62"/>
      <c r="Q324" s="104"/>
      <c r="R324" s="20">
        <f t="shared" si="44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5">IF(D325="","",+(D325-D324)*4140)</f>
        <v/>
      </c>
      <c r="J325" s="59" t="str">
        <f t="shared" si="45"/>
        <v/>
      </c>
      <c r="K325" s="60" t="str">
        <f t="shared" si="40"/>
        <v/>
      </c>
      <c r="L325" s="59" t="str">
        <f t="shared" ref="L325:L368" si="46">IF(F325="","",+(F325-F324)*4140)</f>
        <v/>
      </c>
      <c r="M325" s="60" t="str">
        <f t="shared" si="41"/>
        <v/>
      </c>
      <c r="N325" s="61">
        <v>66068309</v>
      </c>
      <c r="O325" s="61">
        <f t="shared" si="43"/>
        <v>0</v>
      </c>
      <c r="P325" s="202" t="s">
        <v>68</v>
      </c>
      <c r="Q325" s="203"/>
      <c r="R325" s="20">
        <f t="shared" si="44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5"/>
        <v/>
      </c>
      <c r="J326" s="59" t="str">
        <f t="shared" si="45"/>
        <v/>
      </c>
      <c r="K326" s="60" t="str">
        <f t="shared" si="40"/>
        <v/>
      </c>
      <c r="L326" s="59" t="str">
        <f t="shared" si="46"/>
        <v/>
      </c>
      <c r="M326" s="60" t="str">
        <f t="shared" si="41"/>
        <v/>
      </c>
      <c r="N326" s="61">
        <v>66068309</v>
      </c>
      <c r="O326" s="61">
        <f t="shared" si="43"/>
        <v>0</v>
      </c>
      <c r="P326" s="204"/>
      <c r="Q326" s="205"/>
      <c r="R326" s="20">
        <f t="shared" si="44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5"/>
        <v/>
      </c>
      <c r="J327" s="59" t="str">
        <f t="shared" si="45"/>
        <v/>
      </c>
      <c r="K327" s="60" t="str">
        <f t="shared" si="40"/>
        <v/>
      </c>
      <c r="L327" s="59" t="str">
        <f t="shared" si="46"/>
        <v/>
      </c>
      <c r="M327" s="60" t="str">
        <f t="shared" si="41"/>
        <v/>
      </c>
      <c r="N327" s="61">
        <v>66068309</v>
      </c>
      <c r="O327" s="61">
        <f t="shared" si="43"/>
        <v>0</v>
      </c>
      <c r="P327" s="69" t="s">
        <v>46</v>
      </c>
      <c r="Q327" s="69" t="s">
        <v>47</v>
      </c>
      <c r="R327" s="20">
        <f t="shared" si="44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5"/>
        <v/>
      </c>
      <c r="J328" s="59" t="str">
        <f t="shared" si="45"/>
        <v/>
      </c>
      <c r="K328" s="60" t="str">
        <f t="shared" si="40"/>
        <v/>
      </c>
      <c r="L328" s="59" t="str">
        <f t="shared" si="46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4"/>
        <v>1</v>
      </c>
      <c r="S328" s="20">
        <f t="shared" ref="S328:S368" si="47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5"/>
        <v/>
      </c>
      <c r="J329" s="59" t="str">
        <f t="shared" si="45"/>
        <v/>
      </c>
      <c r="K329" s="60" t="str">
        <f t="shared" si="40"/>
        <v/>
      </c>
      <c r="L329" s="59" t="str">
        <f t="shared" si="46"/>
        <v/>
      </c>
      <c r="M329" s="60" t="str">
        <f t="shared" si="41"/>
        <v/>
      </c>
      <c r="N329" s="61">
        <v>66068309</v>
      </c>
      <c r="O329" s="61">
        <f t="shared" si="43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4"/>
        <v>1</v>
      </c>
      <c r="S329" s="20">
        <f t="shared" si="47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5"/>
        <v/>
      </c>
      <c r="J330" s="59" t="str">
        <f t="shared" si="45"/>
        <v/>
      </c>
      <c r="K330" s="60" t="str">
        <f t="shared" si="40"/>
        <v/>
      </c>
      <c r="L330" s="59" t="str">
        <f t="shared" si="46"/>
        <v/>
      </c>
      <c r="M330" s="60" t="str">
        <f t="shared" si="41"/>
        <v/>
      </c>
      <c r="N330" s="61">
        <v>66068309</v>
      </c>
      <c r="O330" s="61">
        <f t="shared" si="43"/>
        <v>0</v>
      </c>
      <c r="P330" s="72" t="s">
        <v>48</v>
      </c>
      <c r="Q330" s="73" t="s">
        <v>49</v>
      </c>
      <c r="R330" s="20">
        <f t="shared" si="44"/>
        <v>1</v>
      </c>
      <c r="S330" s="20">
        <f t="shared" si="47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5"/>
        <v/>
      </c>
      <c r="J331" s="59" t="str">
        <f t="shared" si="45"/>
        <v/>
      </c>
      <c r="K331" s="60" t="str">
        <f t="shared" si="40"/>
        <v/>
      </c>
      <c r="L331" s="59" t="str">
        <f t="shared" si="46"/>
        <v/>
      </c>
      <c r="M331" s="60" t="str">
        <f t="shared" si="41"/>
        <v/>
      </c>
      <c r="N331" s="61">
        <v>66068309</v>
      </c>
      <c r="O331" s="61">
        <f t="shared" si="43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4"/>
        <v>1</v>
      </c>
      <c r="S331" s="20">
        <f t="shared" si="47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5"/>
        <v/>
      </c>
      <c r="J332" s="59" t="str">
        <f t="shared" si="45"/>
        <v/>
      </c>
      <c r="K332" s="60" t="str">
        <f t="shared" si="40"/>
        <v/>
      </c>
      <c r="L332" s="59" t="str">
        <f t="shared" si="46"/>
        <v/>
      </c>
      <c r="M332" s="60" t="str">
        <f t="shared" si="41"/>
        <v/>
      </c>
      <c r="N332" s="61">
        <v>66068309</v>
      </c>
      <c r="O332" s="61">
        <f t="shared" si="43"/>
        <v>0</v>
      </c>
      <c r="P332" s="76" t="s">
        <v>50</v>
      </c>
      <c r="Q332" s="77" t="s">
        <v>58</v>
      </c>
      <c r="R332" s="20">
        <f t="shared" si="44"/>
        <v>1</v>
      </c>
      <c r="S332" s="20">
        <f t="shared" si="47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5"/>
        <v/>
      </c>
      <c r="J333" s="59" t="str">
        <f t="shared" si="45"/>
        <v/>
      </c>
      <c r="K333" s="60" t="str">
        <f t="shared" ref="K333:K337" si="48">IF(J333="","",+(J333/I333))</f>
        <v/>
      </c>
      <c r="L333" s="59" t="str">
        <f t="shared" si="46"/>
        <v/>
      </c>
      <c r="M333" s="60" t="str">
        <f t="shared" ref="M333:M362" si="49">IF(L333="","",(L333/I333))</f>
        <v/>
      </c>
      <c r="N333" s="61">
        <v>66068309</v>
      </c>
      <c r="O333" s="61">
        <f t="shared" si="43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4"/>
        <v>1</v>
      </c>
      <c r="S333" s="20">
        <f t="shared" si="47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5"/>
        <v/>
      </c>
      <c r="J334" s="59" t="str">
        <f t="shared" si="45"/>
        <v/>
      </c>
      <c r="K334" s="60" t="str">
        <f t="shared" si="48"/>
        <v/>
      </c>
      <c r="L334" s="59" t="str">
        <f t="shared" si="46"/>
        <v/>
      </c>
      <c r="M334" s="60" t="str">
        <f t="shared" si="49"/>
        <v/>
      </c>
      <c r="N334" s="61">
        <v>66068309</v>
      </c>
      <c r="O334" s="61">
        <f t="shared" si="43"/>
        <v>0</v>
      </c>
      <c r="P334" s="80" t="s">
        <v>52</v>
      </c>
      <c r="Q334" s="81" t="s">
        <v>59</v>
      </c>
      <c r="R334" s="20">
        <f t="shared" si="44"/>
        <v>1</v>
      </c>
      <c r="S334" s="20">
        <f t="shared" si="47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5"/>
        <v/>
      </c>
      <c r="J335" s="59" t="str">
        <f t="shared" si="45"/>
        <v/>
      </c>
      <c r="K335" s="60" t="str">
        <f t="shared" si="48"/>
        <v/>
      </c>
      <c r="L335" s="59" t="str">
        <f t="shared" si="46"/>
        <v/>
      </c>
      <c r="M335" s="60" t="str">
        <f t="shared" si="49"/>
        <v/>
      </c>
      <c r="N335" s="61">
        <v>66068309</v>
      </c>
      <c r="O335" s="61">
        <f t="shared" si="43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4"/>
        <v>1</v>
      </c>
      <c r="S335" s="20">
        <f t="shared" si="47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5"/>
        <v/>
      </c>
      <c r="J336" s="59" t="str">
        <f t="shared" si="45"/>
        <v/>
      </c>
      <c r="K336" s="60" t="str">
        <f t="shared" si="48"/>
        <v/>
      </c>
      <c r="L336" s="59" t="str">
        <f t="shared" si="46"/>
        <v/>
      </c>
      <c r="M336" s="60" t="str">
        <f t="shared" si="49"/>
        <v/>
      </c>
      <c r="N336" s="61">
        <v>66068309</v>
      </c>
      <c r="O336" s="61">
        <f t="shared" si="43"/>
        <v>0</v>
      </c>
      <c r="P336" s="134" t="s">
        <v>54</v>
      </c>
      <c r="Q336" s="134" t="s">
        <v>55</v>
      </c>
      <c r="R336" s="20">
        <f t="shared" si="44"/>
        <v>1</v>
      </c>
      <c r="S336" s="20">
        <f t="shared" si="47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5"/>
        <v/>
      </c>
      <c r="J337" s="90" t="str">
        <f t="shared" si="45"/>
        <v/>
      </c>
      <c r="K337" s="60" t="str">
        <f t="shared" si="48"/>
        <v/>
      </c>
      <c r="L337" s="90" t="str">
        <f t="shared" si="46"/>
        <v/>
      </c>
      <c r="M337" s="60" t="str">
        <f t="shared" si="49"/>
        <v/>
      </c>
      <c r="N337" s="92">
        <v>66068309</v>
      </c>
      <c r="O337" s="135">
        <f t="shared" si="43"/>
        <v>0</v>
      </c>
      <c r="P337" s="136">
        <f>(P335+Q333*SUM(S308:S337)*Q338)</f>
        <v>0</v>
      </c>
      <c r="Q337" s="137">
        <f>Q333*30</f>
        <v>0</v>
      </c>
      <c r="R337" s="20">
        <f t="shared" si="44"/>
        <v>1</v>
      </c>
      <c r="S337" s="20">
        <f t="shared" si="47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5"/>
        <v/>
      </c>
      <c r="J338" s="59" t="str">
        <f t="shared" si="45"/>
        <v/>
      </c>
      <c r="K338" s="60" t="str">
        <f t="shared" ref="K338:K368" si="50">IF(J338="","",+(J338/I338))</f>
        <v/>
      </c>
      <c r="L338" s="59" t="str">
        <f t="shared" si="46"/>
        <v/>
      </c>
      <c r="M338" s="60" t="str">
        <f t="shared" si="49"/>
        <v/>
      </c>
      <c r="N338" s="61">
        <v>66068309</v>
      </c>
      <c r="O338" s="61">
        <f t="shared" si="43"/>
        <v>0</v>
      </c>
      <c r="P338" s="138" t="s">
        <v>56</v>
      </c>
      <c r="Q338" s="139">
        <v>0.56999999999999995</v>
      </c>
      <c r="R338" s="20">
        <f t="shared" si="44"/>
        <v>1</v>
      </c>
      <c r="S338" s="20">
        <f t="shared" si="47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5"/>
        <v/>
      </c>
      <c r="J339" s="59" t="str">
        <f t="shared" si="45"/>
        <v/>
      </c>
      <c r="K339" s="60" t="str">
        <f t="shared" si="50"/>
        <v/>
      </c>
      <c r="L339" s="59" t="str">
        <f t="shared" si="46"/>
        <v/>
      </c>
      <c r="M339" s="60" t="str">
        <f t="shared" si="49"/>
        <v/>
      </c>
      <c r="N339" s="61">
        <v>66068309</v>
      </c>
      <c r="O339" s="61">
        <f t="shared" si="43"/>
        <v>0</v>
      </c>
      <c r="P339" s="130"/>
      <c r="Q339" s="130"/>
      <c r="R339" s="20">
        <f t="shared" si="44"/>
        <v>1</v>
      </c>
      <c r="S339" s="20">
        <f t="shared" si="47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5"/>
        <v/>
      </c>
      <c r="J340" s="59" t="str">
        <f t="shared" si="45"/>
        <v/>
      </c>
      <c r="K340" s="60" t="str">
        <f t="shared" si="50"/>
        <v/>
      </c>
      <c r="L340" s="59" t="str">
        <f t="shared" si="46"/>
        <v/>
      </c>
      <c r="M340" s="60" t="str">
        <f t="shared" si="49"/>
        <v/>
      </c>
      <c r="N340" s="61">
        <v>66068309</v>
      </c>
      <c r="O340" s="61">
        <f t="shared" si="43"/>
        <v>0</v>
      </c>
      <c r="P340" s="100"/>
      <c r="Q340" s="101"/>
      <c r="R340" s="20">
        <f t="shared" si="44"/>
        <v>1</v>
      </c>
      <c r="S340" s="20">
        <f t="shared" si="47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5"/>
        <v/>
      </c>
      <c r="J341" s="59" t="str">
        <f t="shared" si="45"/>
        <v/>
      </c>
      <c r="K341" s="60" t="str">
        <f t="shared" si="50"/>
        <v/>
      </c>
      <c r="L341" s="59" t="str">
        <f t="shared" si="46"/>
        <v/>
      </c>
      <c r="M341" s="60" t="str">
        <f t="shared" si="49"/>
        <v/>
      </c>
      <c r="N341" s="61">
        <v>66068309</v>
      </c>
      <c r="O341" s="61">
        <f t="shared" si="43"/>
        <v>0</v>
      </c>
      <c r="P341" s="102"/>
      <c r="Q341" s="103"/>
      <c r="R341" s="20">
        <f t="shared" si="44"/>
        <v>1</v>
      </c>
      <c r="S341" s="20">
        <f t="shared" si="47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5"/>
        <v/>
      </c>
      <c r="J342" s="59" t="str">
        <f t="shared" si="45"/>
        <v/>
      </c>
      <c r="K342" s="60" t="str">
        <f t="shared" si="50"/>
        <v/>
      </c>
      <c r="L342" s="59" t="str">
        <f t="shared" si="46"/>
        <v/>
      </c>
      <c r="M342" s="60" t="str">
        <f t="shared" si="49"/>
        <v/>
      </c>
      <c r="N342" s="61">
        <v>66068309</v>
      </c>
      <c r="O342" s="61">
        <f t="shared" si="43"/>
        <v>0</v>
      </c>
      <c r="P342" s="102"/>
      <c r="Q342" s="101"/>
      <c r="R342" s="20">
        <f t="shared" si="44"/>
        <v>1</v>
      </c>
      <c r="S342" s="20">
        <f t="shared" si="47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5"/>
        <v/>
      </c>
      <c r="J343" s="59" t="str">
        <f t="shared" si="45"/>
        <v/>
      </c>
      <c r="K343" s="60" t="str">
        <f t="shared" si="50"/>
        <v/>
      </c>
      <c r="L343" s="59" t="str">
        <f t="shared" si="46"/>
        <v/>
      </c>
      <c r="M343" s="60" t="str">
        <f t="shared" si="49"/>
        <v/>
      </c>
      <c r="N343" s="61">
        <v>66068309</v>
      </c>
      <c r="O343" s="61">
        <f t="shared" si="43"/>
        <v>0</v>
      </c>
      <c r="P343" s="62"/>
      <c r="Q343" s="63"/>
      <c r="R343" s="20">
        <f t="shared" si="44"/>
        <v>1</v>
      </c>
      <c r="S343" s="20">
        <f t="shared" si="47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5"/>
        <v/>
      </c>
      <c r="J344" s="59" t="str">
        <f t="shared" si="45"/>
        <v/>
      </c>
      <c r="K344" s="60" t="str">
        <f t="shared" si="50"/>
        <v/>
      </c>
      <c r="L344" s="59" t="str">
        <f t="shared" si="46"/>
        <v/>
      </c>
      <c r="M344" s="60" t="str">
        <f t="shared" si="49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4"/>
        <v>1</v>
      </c>
      <c r="S344" s="20">
        <f t="shared" si="47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5"/>
        <v/>
      </c>
      <c r="J345" s="59" t="str">
        <f t="shared" si="45"/>
        <v/>
      </c>
      <c r="K345" s="60" t="str">
        <f t="shared" si="50"/>
        <v/>
      </c>
      <c r="L345" s="59" t="str">
        <f t="shared" si="46"/>
        <v/>
      </c>
      <c r="M345" s="60" t="str">
        <f t="shared" si="49"/>
        <v/>
      </c>
      <c r="N345" s="61">
        <v>66068309</v>
      </c>
      <c r="O345" s="61">
        <f t="shared" si="43"/>
        <v>0</v>
      </c>
      <c r="P345" s="62"/>
      <c r="Q345" s="64"/>
      <c r="R345" s="20">
        <f t="shared" si="44"/>
        <v>1</v>
      </c>
      <c r="S345" s="20">
        <f t="shared" si="47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5"/>
        <v/>
      </c>
      <c r="J346" s="59" t="str">
        <f t="shared" si="45"/>
        <v/>
      </c>
      <c r="K346" s="60" t="str">
        <f t="shared" si="50"/>
        <v/>
      </c>
      <c r="L346" s="59" t="str">
        <f t="shared" si="46"/>
        <v/>
      </c>
      <c r="M346" s="60" t="str">
        <f t="shared" si="49"/>
        <v/>
      </c>
      <c r="N346" s="61">
        <v>66068309</v>
      </c>
      <c r="O346" s="61">
        <f t="shared" si="43"/>
        <v>0</v>
      </c>
      <c r="P346" s="62"/>
      <c r="Q346" s="64"/>
      <c r="R346" s="20">
        <f t="shared" si="44"/>
        <v>1</v>
      </c>
      <c r="S346" s="20">
        <f t="shared" si="47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5"/>
        <v/>
      </c>
      <c r="J347" s="59" t="str">
        <f t="shared" si="45"/>
        <v/>
      </c>
      <c r="K347" s="60" t="str">
        <f t="shared" si="50"/>
        <v/>
      </c>
      <c r="L347" s="59" t="str">
        <f t="shared" si="46"/>
        <v/>
      </c>
      <c r="M347" s="60" t="str">
        <f t="shared" si="49"/>
        <v/>
      </c>
      <c r="N347" s="61">
        <v>66068309</v>
      </c>
      <c r="O347" s="61">
        <f t="shared" si="43"/>
        <v>0</v>
      </c>
      <c r="P347" s="62"/>
      <c r="Q347" s="63"/>
      <c r="R347" s="20">
        <f t="shared" si="44"/>
        <v>1</v>
      </c>
      <c r="S347" s="20">
        <f t="shared" si="47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5"/>
        <v/>
      </c>
      <c r="J348" s="59" t="str">
        <f t="shared" si="45"/>
        <v/>
      </c>
      <c r="K348" s="60" t="str">
        <f t="shared" si="50"/>
        <v/>
      </c>
      <c r="L348" s="59" t="str">
        <f t="shared" si="46"/>
        <v/>
      </c>
      <c r="M348" s="60" t="str">
        <f t="shared" si="49"/>
        <v/>
      </c>
      <c r="N348" s="61">
        <v>66068309</v>
      </c>
      <c r="O348" s="61">
        <f t="shared" si="43"/>
        <v>0</v>
      </c>
      <c r="P348" s="62"/>
      <c r="Q348" s="63"/>
      <c r="R348" s="20">
        <f t="shared" si="44"/>
        <v>1</v>
      </c>
      <c r="S348" s="20">
        <f t="shared" si="47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5"/>
        <v/>
      </c>
      <c r="J349" s="59" t="str">
        <f t="shared" si="45"/>
        <v/>
      </c>
      <c r="K349" s="60" t="str">
        <f t="shared" si="50"/>
        <v/>
      </c>
      <c r="L349" s="59" t="str">
        <f t="shared" si="46"/>
        <v/>
      </c>
      <c r="M349" s="60" t="str">
        <f t="shared" si="49"/>
        <v/>
      </c>
      <c r="N349" s="61">
        <v>66068309</v>
      </c>
      <c r="O349" s="61">
        <f t="shared" si="43"/>
        <v>0</v>
      </c>
      <c r="P349" s="62"/>
      <c r="Q349" s="64"/>
      <c r="R349" s="20">
        <f t="shared" si="44"/>
        <v>1</v>
      </c>
      <c r="S349" s="20">
        <f t="shared" si="47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5"/>
        <v/>
      </c>
      <c r="J350" s="59" t="str">
        <f t="shared" si="45"/>
        <v/>
      </c>
      <c r="K350" s="60" t="str">
        <f t="shared" si="50"/>
        <v/>
      </c>
      <c r="L350" s="59" t="str">
        <f t="shared" si="46"/>
        <v/>
      </c>
      <c r="M350" s="60" t="str">
        <f t="shared" si="49"/>
        <v/>
      </c>
      <c r="N350" s="61">
        <v>66068309</v>
      </c>
      <c r="O350" s="61">
        <f t="shared" si="43"/>
        <v>0</v>
      </c>
      <c r="P350" s="62"/>
      <c r="Q350" s="64"/>
      <c r="R350" s="20">
        <f t="shared" si="44"/>
        <v>1</v>
      </c>
      <c r="S350" s="20">
        <f t="shared" si="47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5"/>
        <v/>
      </c>
      <c r="J351" s="59" t="str">
        <f t="shared" si="45"/>
        <v/>
      </c>
      <c r="K351" s="60" t="str">
        <f t="shared" si="50"/>
        <v/>
      </c>
      <c r="L351" s="59" t="str">
        <f t="shared" si="46"/>
        <v/>
      </c>
      <c r="M351" s="60" t="str">
        <f t="shared" si="49"/>
        <v/>
      </c>
      <c r="N351" s="61">
        <v>66068309</v>
      </c>
      <c r="O351" s="61">
        <f t="shared" si="43"/>
        <v>0</v>
      </c>
      <c r="P351" s="62"/>
      <c r="Q351" s="63"/>
      <c r="R351" s="20">
        <f t="shared" si="44"/>
        <v>1</v>
      </c>
      <c r="S351" s="20">
        <f t="shared" si="47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5"/>
        <v/>
      </c>
      <c r="J352" s="59" t="str">
        <f t="shared" si="45"/>
        <v/>
      </c>
      <c r="K352" s="60" t="str">
        <f t="shared" si="50"/>
        <v/>
      </c>
      <c r="L352" s="59" t="str">
        <f t="shared" si="46"/>
        <v/>
      </c>
      <c r="M352" s="60" t="str">
        <f t="shared" si="49"/>
        <v/>
      </c>
      <c r="N352" s="61">
        <v>66068309</v>
      </c>
      <c r="O352" s="61">
        <f t="shared" si="43"/>
        <v>0</v>
      </c>
      <c r="P352" s="62"/>
      <c r="Q352" s="63"/>
      <c r="R352" s="20">
        <f t="shared" si="44"/>
        <v>1</v>
      </c>
      <c r="S352" s="20">
        <f t="shared" si="47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5"/>
        <v/>
      </c>
      <c r="J353" s="59" t="str">
        <f t="shared" si="45"/>
        <v/>
      </c>
      <c r="K353" s="60" t="str">
        <f t="shared" si="50"/>
        <v/>
      </c>
      <c r="L353" s="59" t="str">
        <f t="shared" si="46"/>
        <v/>
      </c>
      <c r="M353" s="60" t="str">
        <f t="shared" si="49"/>
        <v/>
      </c>
      <c r="N353" s="61">
        <v>66068309</v>
      </c>
      <c r="O353" s="61">
        <f t="shared" si="43"/>
        <v>0</v>
      </c>
      <c r="P353" s="62"/>
      <c r="Q353" s="63"/>
      <c r="R353" s="20">
        <f t="shared" si="44"/>
        <v>1</v>
      </c>
      <c r="S353" s="20">
        <f t="shared" si="47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5"/>
        <v/>
      </c>
      <c r="J354" s="59" t="str">
        <f t="shared" si="45"/>
        <v/>
      </c>
      <c r="K354" s="60" t="str">
        <f t="shared" si="50"/>
        <v/>
      </c>
      <c r="L354" s="59" t="str">
        <f t="shared" si="46"/>
        <v/>
      </c>
      <c r="M354" s="60" t="str">
        <f t="shared" si="49"/>
        <v/>
      </c>
      <c r="N354" s="61">
        <v>66068309</v>
      </c>
      <c r="O354" s="61">
        <f t="shared" si="43"/>
        <v>0</v>
      </c>
      <c r="P354" s="62"/>
      <c r="Q354" s="104"/>
      <c r="R354" s="20">
        <f t="shared" si="44"/>
        <v>1</v>
      </c>
      <c r="S354" s="20">
        <f t="shared" si="47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5"/>
        <v/>
      </c>
      <c r="J355" s="59" t="str">
        <f>IF(E355="","",+(E355-E354)*4140)</f>
        <v/>
      </c>
      <c r="K355" s="60" t="str">
        <f t="shared" si="50"/>
        <v/>
      </c>
      <c r="L355" s="59" t="str">
        <f t="shared" si="46"/>
        <v/>
      </c>
      <c r="M355" s="60" t="str">
        <f t="shared" si="49"/>
        <v/>
      </c>
      <c r="N355" s="61">
        <v>66068309</v>
      </c>
      <c r="O355" s="61">
        <v>0</v>
      </c>
      <c r="P355" s="62"/>
      <c r="Q355" s="104"/>
      <c r="R355" s="20">
        <f t="shared" si="44"/>
        <v>1</v>
      </c>
      <c r="S355" s="20">
        <f t="shared" si="47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5"/>
        <v/>
      </c>
      <c r="J356" s="59" t="str">
        <f>IF(E356="","",+(E356-E355)*4140)</f>
        <v/>
      </c>
      <c r="K356" s="60" t="str">
        <f t="shared" si="50"/>
        <v/>
      </c>
      <c r="L356" s="59" t="str">
        <f t="shared" si="46"/>
        <v/>
      </c>
      <c r="M356" s="60" t="str">
        <f t="shared" si="49"/>
        <v/>
      </c>
      <c r="N356" s="61">
        <v>66068309</v>
      </c>
      <c r="O356" s="61">
        <f t="shared" si="43"/>
        <v>0</v>
      </c>
      <c r="P356" s="202" t="s">
        <v>69</v>
      </c>
      <c r="Q356" s="203"/>
      <c r="R356" s="20">
        <f t="shared" si="44"/>
        <v>1</v>
      </c>
      <c r="S356" s="20">
        <f t="shared" si="47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5"/>
        <v/>
      </c>
      <c r="J357" s="59" t="str">
        <f>IF(E357="","",+(E357-E356)*4140)</f>
        <v/>
      </c>
      <c r="K357" s="60" t="str">
        <f t="shared" si="50"/>
        <v/>
      </c>
      <c r="L357" s="59" t="str">
        <f t="shared" si="46"/>
        <v/>
      </c>
      <c r="M357" s="60" t="str">
        <f t="shared" si="49"/>
        <v/>
      </c>
      <c r="N357" s="61">
        <v>66068309</v>
      </c>
      <c r="O357" s="61">
        <f t="shared" si="43"/>
        <v>0</v>
      </c>
      <c r="P357" s="204"/>
      <c r="Q357" s="205"/>
      <c r="R357" s="20">
        <f t="shared" si="44"/>
        <v>1</v>
      </c>
      <c r="S357" s="20">
        <f t="shared" si="47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5"/>
        <v/>
      </c>
      <c r="J358" s="59" t="str">
        <f>IF(E358="","",+(E358-E357)*4140)</f>
        <v/>
      </c>
      <c r="K358" s="60" t="str">
        <f t="shared" si="50"/>
        <v/>
      </c>
      <c r="L358" s="59" t="str">
        <f t="shared" si="46"/>
        <v/>
      </c>
      <c r="M358" s="60" t="str">
        <f t="shared" si="49"/>
        <v/>
      </c>
      <c r="N358" s="61">
        <v>66068309</v>
      </c>
      <c r="O358" s="61">
        <f t="shared" si="43"/>
        <v>0</v>
      </c>
      <c r="P358" s="69" t="s">
        <v>46</v>
      </c>
      <c r="Q358" s="69" t="s">
        <v>47</v>
      </c>
      <c r="R358" s="20">
        <f t="shared" si="44"/>
        <v>1</v>
      </c>
      <c r="S358" s="20">
        <f t="shared" si="47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5"/>
        <v/>
      </c>
      <c r="J359" s="59" t="str">
        <f t="shared" si="45"/>
        <v/>
      </c>
      <c r="K359" s="60" t="str">
        <f t="shared" si="50"/>
        <v/>
      </c>
      <c r="L359" s="59" t="str">
        <f t="shared" si="46"/>
        <v/>
      </c>
      <c r="M359" s="60" t="str">
        <f t="shared" si="49"/>
        <v/>
      </c>
      <c r="N359" s="61">
        <v>66068309</v>
      </c>
      <c r="O359" s="61">
        <f t="shared" si="43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4"/>
        <v>1</v>
      </c>
      <c r="S359" s="20">
        <f t="shared" si="47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5"/>
        <v/>
      </c>
      <c r="J360" s="59" t="str">
        <f t="shared" si="45"/>
        <v/>
      </c>
      <c r="K360" s="60" t="str">
        <f t="shared" si="50"/>
        <v/>
      </c>
      <c r="L360" s="59" t="str">
        <f t="shared" si="46"/>
        <v/>
      </c>
      <c r="M360" s="60" t="str">
        <f t="shared" si="49"/>
        <v/>
      </c>
      <c r="N360" s="61">
        <v>66068309</v>
      </c>
      <c r="O360" s="61">
        <f t="shared" si="43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4"/>
        <v>1</v>
      </c>
      <c r="S360" s="20">
        <f t="shared" si="47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5"/>
        <v/>
      </c>
      <c r="J361" s="59" t="str">
        <f t="shared" si="45"/>
        <v/>
      </c>
      <c r="K361" s="60" t="str">
        <f t="shared" si="50"/>
        <v/>
      </c>
      <c r="L361" s="59" t="str">
        <f t="shared" si="46"/>
        <v/>
      </c>
      <c r="M361" s="60" t="str">
        <f t="shared" si="49"/>
        <v/>
      </c>
      <c r="N361" s="61">
        <v>66068309</v>
      </c>
      <c r="O361" s="61">
        <f t="shared" si="43"/>
        <v>0</v>
      </c>
      <c r="P361" s="72" t="s">
        <v>48</v>
      </c>
      <c r="Q361" s="73" t="s">
        <v>49</v>
      </c>
      <c r="R361" s="20">
        <f t="shared" si="44"/>
        <v>1</v>
      </c>
      <c r="S361" s="20">
        <f t="shared" si="47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5"/>
        <v/>
      </c>
      <c r="J362" s="59" t="str">
        <f t="shared" si="45"/>
        <v/>
      </c>
      <c r="K362" s="60" t="str">
        <f t="shared" si="50"/>
        <v/>
      </c>
      <c r="L362" s="59" t="str">
        <f t="shared" si="46"/>
        <v/>
      </c>
      <c r="M362" s="60" t="str">
        <f t="shared" si="49"/>
        <v/>
      </c>
      <c r="N362" s="61">
        <v>66068309</v>
      </c>
      <c r="O362" s="61">
        <f t="shared" si="43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4"/>
        <v>1</v>
      </c>
      <c r="S362" s="20">
        <f t="shared" si="47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5"/>
        <v/>
      </c>
      <c r="J363" s="59" t="str">
        <f t="shared" si="45"/>
        <v/>
      </c>
      <c r="K363" s="60" t="str">
        <f t="shared" si="50"/>
        <v/>
      </c>
      <c r="L363" s="59" t="str">
        <f t="shared" si="46"/>
        <v/>
      </c>
      <c r="M363" s="60" t="str">
        <f t="shared" ref="M363:M368" si="51">IF(L363="","",(L363/I363))</f>
        <v/>
      </c>
      <c r="N363" s="61">
        <v>66068309</v>
      </c>
      <c r="O363" s="61">
        <f t="shared" si="43"/>
        <v>0</v>
      </c>
      <c r="P363" s="76" t="s">
        <v>50</v>
      </c>
      <c r="Q363" s="77" t="s">
        <v>58</v>
      </c>
      <c r="R363" s="20">
        <f t="shared" si="44"/>
        <v>1</v>
      </c>
      <c r="S363" s="20">
        <f t="shared" si="47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5"/>
        <v/>
      </c>
      <c r="J364" s="59" t="str">
        <f t="shared" si="45"/>
        <v/>
      </c>
      <c r="K364" s="60" t="str">
        <f t="shared" si="50"/>
        <v/>
      </c>
      <c r="L364" s="59" t="str">
        <f t="shared" si="46"/>
        <v/>
      </c>
      <c r="M364" s="60" t="str">
        <f t="shared" si="51"/>
        <v/>
      </c>
      <c r="N364" s="61">
        <v>66068309</v>
      </c>
      <c r="O364" s="61">
        <f t="shared" si="43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4"/>
        <v>1</v>
      </c>
      <c r="S364" s="20">
        <f t="shared" si="47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5"/>
        <v/>
      </c>
      <c r="J365" s="59" t="str">
        <f t="shared" si="45"/>
        <v/>
      </c>
      <c r="K365" s="60" t="str">
        <f t="shared" si="50"/>
        <v/>
      </c>
      <c r="L365" s="59" t="str">
        <f t="shared" si="46"/>
        <v/>
      </c>
      <c r="M365" s="60" t="str">
        <f t="shared" si="51"/>
        <v/>
      </c>
      <c r="N365" s="61">
        <v>66068309</v>
      </c>
      <c r="O365" s="61">
        <f t="shared" si="43"/>
        <v>0</v>
      </c>
      <c r="P365" s="80" t="s">
        <v>52</v>
      </c>
      <c r="Q365" s="81" t="s">
        <v>59</v>
      </c>
      <c r="R365" s="20">
        <f t="shared" si="44"/>
        <v>1</v>
      </c>
      <c r="S365" s="20">
        <f t="shared" si="47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5"/>
        <v/>
      </c>
      <c r="K366" s="60" t="str">
        <f t="shared" si="50"/>
        <v/>
      </c>
      <c r="L366" s="59" t="str">
        <f t="shared" si="46"/>
        <v/>
      </c>
      <c r="M366" s="60" t="str">
        <f t="shared" si="51"/>
        <v/>
      </c>
      <c r="N366" s="61">
        <v>66068309</v>
      </c>
      <c r="O366" s="61">
        <f t="shared" si="43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4"/>
        <v>1</v>
      </c>
      <c r="S366" s="20">
        <f t="shared" si="47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5"/>
        <v/>
      </c>
      <c r="J367" s="59" t="str">
        <f t="shared" si="45"/>
        <v/>
      </c>
      <c r="K367" s="60" t="str">
        <f t="shared" si="50"/>
        <v/>
      </c>
      <c r="L367" s="59" t="str">
        <f t="shared" si="46"/>
        <v/>
      </c>
      <c r="M367" s="60" t="str">
        <f t="shared" si="51"/>
        <v/>
      </c>
      <c r="N367" s="61">
        <v>66068309</v>
      </c>
      <c r="O367" s="61">
        <f t="shared" si="43"/>
        <v>0</v>
      </c>
      <c r="P367" s="85" t="s">
        <v>54</v>
      </c>
      <c r="Q367" s="86" t="s">
        <v>55</v>
      </c>
      <c r="R367" s="20">
        <f t="shared" si="44"/>
        <v>1</v>
      </c>
      <c r="S367" s="20">
        <f t="shared" si="47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5"/>
        <v/>
      </c>
      <c r="J368" s="90" t="str">
        <f t="shared" si="45"/>
        <v/>
      </c>
      <c r="K368" s="91" t="str">
        <f t="shared" si="50"/>
        <v/>
      </c>
      <c r="L368" s="90" t="str">
        <f t="shared" si="46"/>
        <v/>
      </c>
      <c r="M368" s="91" t="str">
        <f t="shared" si="51"/>
        <v/>
      </c>
      <c r="N368" s="92">
        <v>66068309</v>
      </c>
      <c r="O368" s="93">
        <f t="shared" si="43"/>
        <v>0</v>
      </c>
      <c r="P368" s="94">
        <f>(P366+Q364*SUM(S338:S368)*Q369)</f>
        <v>0</v>
      </c>
      <c r="Q368" s="95">
        <f>Q364*31</f>
        <v>0</v>
      </c>
      <c r="R368" s="20">
        <f t="shared" si="44"/>
        <v>1</v>
      </c>
      <c r="S368" s="20">
        <f t="shared" si="47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6736197.6599999992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2021-09-16T06:47:28Z</dcterms:modified>
  <cp:category/>
  <cp:contentStatus/>
</cp:coreProperties>
</file>