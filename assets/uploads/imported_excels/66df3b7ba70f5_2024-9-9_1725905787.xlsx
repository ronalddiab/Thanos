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assa/"/>
    </mc:Choice>
  </mc:AlternateContent>
  <xr:revisionPtr revIDLastSave="34" documentId="8_{87A601B2-31A2-4396-B958-5B6C4D2C21CF}" xr6:coauthVersionLast="47" xr6:coauthVersionMax="47" xr10:uidLastSave="{73874548-8CB7-43A7-A574-253BDE7922BC}"/>
  <bookViews>
    <workbookView xWindow="-96" yWindow="-96" windowWidth="18192" windowHeight="11472" tabRatio="385" xr2:uid="{00000000-000D-0000-FFFF-FFFF00000000}"/>
  </bookViews>
  <sheets>
    <sheet name="Total" sheetId="2" r:id="rId1"/>
    <sheet name="August 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N23" i="1" l="1"/>
  <c r="T30" i="1"/>
  <c r="T23" i="1"/>
  <c r="T9" i="1"/>
  <c r="T2" i="1"/>
  <c r="AC23" i="1"/>
  <c r="AC24" i="1"/>
  <c r="AC25" i="1"/>
  <c r="AC16" i="1"/>
  <c r="AC17" i="1"/>
  <c r="AC18" i="1"/>
  <c r="D33" i="1"/>
  <c r="C33" i="1"/>
  <c r="C32" i="1"/>
  <c r="C31" i="1"/>
  <c r="C30" i="1"/>
  <c r="C29" i="1"/>
  <c r="C28" i="1" l="1"/>
  <c r="C27" i="1"/>
  <c r="D27" i="1" s="1"/>
  <c r="C26" i="1"/>
  <c r="D26" i="1" s="1"/>
  <c r="C25" i="1"/>
  <c r="D25" i="1" s="1"/>
  <c r="C24" i="1"/>
  <c r="C23" i="1"/>
  <c r="C22" i="1"/>
  <c r="C21" i="1"/>
  <c r="D21" i="1"/>
  <c r="AC2" i="1"/>
  <c r="N16" i="1"/>
  <c r="U16" i="1" s="1"/>
  <c r="N15" i="1"/>
  <c r="U14" i="1"/>
  <c r="U15" i="1"/>
  <c r="T16" i="1"/>
  <c r="T15" i="1"/>
  <c r="C20" i="1"/>
  <c r="C19" i="1"/>
  <c r="C18" i="1"/>
  <c r="E17" i="1"/>
  <c r="N14" i="1"/>
  <c r="Z14" i="1"/>
  <c r="E14" i="1"/>
  <c r="C17" i="1"/>
  <c r="C16" i="1"/>
  <c r="C15" i="1"/>
  <c r="D15" i="1" s="1"/>
  <c r="N13" i="1"/>
  <c r="T24" i="1"/>
  <c r="T13" i="1"/>
  <c r="N12" i="1"/>
  <c r="N9" i="1"/>
  <c r="N5" i="1"/>
  <c r="U5" i="1"/>
  <c r="T5" i="1"/>
  <c r="C14" i="1"/>
  <c r="C13" i="1"/>
  <c r="D13" i="1" s="1"/>
  <c r="C12" i="1"/>
  <c r="C11" i="1"/>
  <c r="C10" i="1"/>
  <c r="C9" i="1"/>
  <c r="C8" i="1"/>
  <c r="C7" i="1"/>
  <c r="D7" i="1" s="1"/>
  <c r="C6" i="1"/>
  <c r="D6" i="1" s="1"/>
  <c r="C5" i="1"/>
  <c r="D5" i="1" s="1"/>
  <c r="C4" i="1"/>
  <c r="D4" i="1" s="1"/>
  <c r="C3" i="1"/>
  <c r="D3" i="1" s="1"/>
  <c r="C2" i="1"/>
  <c r="AC32" i="1"/>
  <c r="D8" i="1"/>
  <c r="D9" i="1"/>
  <c r="D10" i="1"/>
  <c r="D11" i="1"/>
  <c r="D12" i="1"/>
  <c r="D14" i="1"/>
  <c r="D16" i="1"/>
  <c r="D17" i="1"/>
  <c r="D18" i="1"/>
  <c r="D19" i="1"/>
  <c r="D20" i="1"/>
  <c r="D22" i="1"/>
  <c r="D23" i="1"/>
  <c r="D24" i="1"/>
  <c r="D28" i="1"/>
  <c r="D29" i="1"/>
  <c r="D30" i="1"/>
  <c r="D31" i="1"/>
  <c r="D32" i="1"/>
  <c r="D2" i="1"/>
  <c r="AC15" i="1"/>
  <c r="AC19" i="1"/>
  <c r="AC20" i="1"/>
  <c r="AC21" i="1"/>
  <c r="AC22" i="1"/>
  <c r="AC26" i="1"/>
  <c r="AC27" i="1"/>
  <c r="AC28" i="1"/>
  <c r="AC29" i="1"/>
  <c r="AC30" i="1"/>
  <c r="AC31" i="1"/>
  <c r="AC14" i="1"/>
  <c r="AC13" i="1"/>
  <c r="AC3" i="1"/>
  <c r="AC4" i="1"/>
  <c r="AC5" i="1"/>
  <c r="AC6" i="1"/>
  <c r="AC7" i="1"/>
  <c r="AC8" i="1"/>
  <c r="AC9" i="1"/>
  <c r="AC10" i="1"/>
  <c r="AC11" i="1"/>
  <c r="AC12" i="1"/>
  <c r="R33" i="1"/>
  <c r="R22" i="1"/>
  <c r="T22" i="1" s="1"/>
  <c r="R23" i="1"/>
  <c r="R24" i="1"/>
  <c r="R25" i="1"/>
  <c r="R26" i="1"/>
  <c r="T25" i="1" s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1" i="1" s="1"/>
  <c r="Y33" i="1"/>
  <c r="L26" i="1"/>
  <c r="L22" i="1"/>
  <c r="T26" i="1" l="1"/>
  <c r="T20" i="1"/>
  <c r="T19" i="1"/>
  <c r="T18" i="1"/>
  <c r="U18" i="1" s="1"/>
  <c r="T17" i="1"/>
  <c r="U17" i="1" s="1"/>
  <c r="T14" i="1"/>
  <c r="T12" i="1"/>
  <c r="T10" i="1"/>
  <c r="T27" i="1"/>
  <c r="T4" i="1"/>
  <c r="T31" i="1"/>
  <c r="T32" i="1"/>
  <c r="T3" i="1"/>
  <c r="T6" i="1"/>
  <c r="T29" i="1"/>
  <c r="T28" i="1"/>
  <c r="T8" i="1"/>
  <c r="T7" i="1"/>
  <c r="T11" i="1"/>
  <c r="Y27" i="1"/>
  <c r="Y28" i="1"/>
  <c r="Y29" i="1"/>
  <c r="Y30" i="1"/>
  <c r="Y31" i="1"/>
  <c r="Y32" i="1"/>
  <c r="Z32" i="1" s="1"/>
  <c r="Z9" i="1"/>
  <c r="Z10" i="1"/>
  <c r="Z11" i="1"/>
  <c r="Y3" i="1"/>
  <c r="Y4" i="1"/>
  <c r="Y5" i="1"/>
  <c r="Y6" i="1"/>
  <c r="Z5" i="1" s="1"/>
  <c r="Y7" i="1"/>
  <c r="Z6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Z2" i="1" s="1"/>
  <c r="R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N26" i="1" s="1"/>
  <c r="L28" i="1"/>
  <c r="L29" i="1"/>
  <c r="L30" i="1"/>
  <c r="L31" i="1"/>
  <c r="L32" i="1"/>
  <c r="L33" i="1"/>
  <c r="L3" i="1"/>
  <c r="N3" i="1" s="1"/>
  <c r="L2" i="1"/>
  <c r="S34" i="1"/>
  <c r="N30" i="1" l="1"/>
  <c r="U30" i="1" s="1"/>
  <c r="N24" i="1"/>
  <c r="U24" i="1" s="1"/>
  <c r="U23" i="1"/>
  <c r="U22" i="1"/>
  <c r="N20" i="1"/>
  <c r="U20" i="1" s="1"/>
  <c r="N19" i="1"/>
  <c r="U19" i="1" s="1"/>
  <c r="N18" i="1"/>
  <c r="N17" i="1"/>
  <c r="Z18" i="1"/>
  <c r="U3" i="1"/>
  <c r="N2" i="1"/>
  <c r="Z4" i="1"/>
  <c r="U21" i="1"/>
  <c r="N4" i="1"/>
  <c r="U4" i="1" s="1"/>
  <c r="Z30" i="1"/>
  <c r="Z3" i="1"/>
  <c r="N28" i="1"/>
  <c r="U28" i="1" s="1"/>
  <c r="U26" i="1"/>
  <c r="N27" i="1"/>
  <c r="U27" i="1" s="1"/>
  <c r="N11" i="1"/>
  <c r="U11" i="1" s="1"/>
  <c r="N10" i="1"/>
  <c r="U10" i="1" s="1"/>
  <c r="U9" i="1"/>
  <c r="N6" i="1"/>
  <c r="U6" i="1" s="1"/>
  <c r="U12" i="1"/>
  <c r="U13" i="1"/>
  <c r="N32" i="1"/>
  <c r="U32" i="1" s="1"/>
  <c r="U2" i="1"/>
  <c r="Z27" i="1"/>
  <c r="N8" i="1"/>
  <c r="U8" i="1" s="1"/>
  <c r="N7" i="1"/>
  <c r="U7" i="1" s="1"/>
  <c r="N31" i="1"/>
  <c r="U31" i="1" s="1"/>
  <c r="N29" i="1"/>
  <c r="U29" i="1" s="1"/>
  <c r="U25" i="1"/>
  <c r="Z31" i="1"/>
  <c r="Z29" i="1"/>
  <c r="Z28" i="1"/>
  <c r="Z26" i="1"/>
  <c r="Z25" i="1"/>
  <c r="Z24" i="1"/>
  <c r="Z23" i="1"/>
  <c r="Z22" i="1"/>
  <c r="Z21" i="1"/>
  <c r="Z20" i="1"/>
  <c r="Z19" i="1"/>
  <c r="Z17" i="1"/>
  <c r="Z16" i="1"/>
  <c r="Z15" i="1"/>
  <c r="Z13" i="1"/>
  <c r="Z12" i="1"/>
  <c r="Z8" i="1"/>
  <c r="Z7" i="1"/>
  <c r="T34" i="1"/>
  <c r="U34" i="1" l="1"/>
  <c r="AB34" i="1"/>
  <c r="M34" i="1"/>
  <c r="AE34" i="1"/>
  <c r="AD34" i="1"/>
  <c r="E2" i="1"/>
  <c r="H2" i="1"/>
  <c r="AC34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34" i="1" l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9" i="1"/>
  <c r="E8" i="1"/>
  <c r="E7" i="1"/>
  <c r="E6" i="1"/>
  <c r="E5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<sst xmlns="http://schemas.openxmlformats.org/spreadsheetml/2006/main" count="79" uniqueCount="39">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</sst>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/>
      <bottom style="hair">
        <color indexed="64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7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3" borderId="11" xfId="0" applyNumberFormat="1" applyFill="1" applyBorder="1" applyAlignment="1">
      <alignment horizontal="right" vertical="center"/>
    </xf>
    <xf numFmtId="164" fontId="0" fillId="3" borderId="13" xfId="0" applyNumberFormat="1" applyFill="1" applyBorder="1" applyAlignment="1">
      <alignment horizontal="right" vertical="center"/>
    </xf>
    <xf numFmtId="164" fontId="0" fillId="3" borderId="1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3" xfId="0" applyNumberFormat="1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/>
    </xf>
    <xf numFmtId="9" fontId="4" fillId="0" borderId="17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/>
    </xf>
    <xf numFmtId="1" fontId="6" fillId="0" borderId="22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2" fillId="0" borderId="23" xfId="0" applyNumberFormat="1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3" fontId="2" fillId="2" borderId="24" xfId="0" applyNumberFormat="1" applyFont="1" applyFill="1" applyBorder="1" applyAlignment="1">
      <alignment horizontal="center"/>
    </xf>
    <xf numFmtId="3" fontId="2" fillId="0" borderId="28" xfId="0" applyNumberFormat="1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12" fillId="0" borderId="7" xfId="0" applyNumberFormat="1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" fontId="13" fillId="0" borderId="8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3" fontId="2" fillId="2" borderId="29" xfId="0" applyNumberFormat="1" applyFont="1" applyFill="1" applyBorder="1" applyAlignment="1">
      <alignment horizontal="center" vertical="center" wrapText="1"/>
    </xf>
    <xf numFmtId="3" fontId="2" fillId="2" borderId="30" xfId="0" applyNumberFormat="1" applyFont="1" applyFill="1" applyBorder="1" applyAlignment="1">
      <alignment horizontal="center" vertical="center" wrapText="1"/>
    </xf>
    <xf numFmtId="1" fontId="7" fillId="0" borderId="31" xfId="0" applyNumberFormat="1" applyFont="1" applyBorder="1" applyAlignment="1">
      <alignment horizontal="center" vertical="center"/>
    </xf>
    <xf numFmtId="1" fontId="7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17" xfId="0" applyNumberFormat="1" applyFont="1" applyFill="1" applyBorder="1" applyAlignment="1">
      <alignment horizontal="center" vertical="center"/>
    </xf>
    <xf numFmtId="3" fontId="2" fillId="0" borderId="34" xfId="0" applyNumberFormat="1" applyFont="1" applyBorder="1" applyAlignment="1">
      <alignment horizontal="center"/>
    </xf>
    <xf numFmtId="3" fontId="2" fillId="0" borderId="35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3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3" fillId="0" borderId="22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wrapText="1"/>
    </xf>
    <xf numFmtId="164" fontId="0" fillId="3" borderId="40" xfId="0" applyNumberFormat="1" applyFill="1" applyBorder="1" applyAlignment="1">
      <alignment horizontal="right" vertical="center"/>
    </xf>
    <xf numFmtId="1" fontId="7" fillId="0" borderId="41" xfId="0" applyNumberFormat="1" applyFont="1" applyBorder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1" fontId="7" fillId="0" borderId="43" xfId="0" applyNumberFormat="1" applyFont="1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/>
    </xf>
    <xf numFmtId="1" fontId="5" fillId="0" borderId="45" xfId="0" applyNumberFormat="1" applyFont="1" applyBorder="1" applyAlignment="1">
      <alignment horizontal="center"/>
    </xf>
    <xf numFmtId="1" fontId="5" fillId="0" borderId="46" xfId="0" applyNumberFormat="1" applyFont="1" applyBorder="1" applyAlignment="1">
      <alignment horizontal="center"/>
    </xf>
    <xf numFmtId="9" fontId="4" fillId="0" borderId="45" xfId="0" applyNumberFormat="1" applyFont="1" applyBorder="1" applyAlignment="1">
      <alignment horizontal="center" vertical="center"/>
    </xf>
    <xf numFmtId="9" fontId="4" fillId="0" borderId="46" xfId="0" applyNumberFormat="1" applyFont="1" applyBorder="1" applyAlignment="1">
      <alignment horizontal="center" vertical="center"/>
    </xf>
    <xf numFmtId="1" fontId="4" fillId="3" borderId="46" xfId="0" applyNumberFormat="1" applyFont="1" applyFill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/>
    </xf>
    <xf numFmtId="3" fontId="2" fillId="2" borderId="44" xfId="0" applyNumberFormat="1" applyFont="1" applyFill="1" applyBorder="1" applyAlignment="1">
      <alignment horizontal="center" vertical="center" wrapText="1"/>
    </xf>
    <xf numFmtId="3" fontId="2" fillId="2" borderId="47" xfId="0" applyNumberFormat="1" applyFont="1" applyFill="1" applyBorder="1" applyAlignment="1">
      <alignment horizontal="center" vertical="center" wrapText="1"/>
    </xf>
    <xf numFmtId="1" fontId="3" fillId="0" borderId="45" xfId="0" applyNumberFormat="1" applyFont="1" applyBorder="1" applyAlignment="1">
      <alignment horizontal="center" vertical="center"/>
    </xf>
    <xf numFmtId="1" fontId="3" fillId="0" borderId="42" xfId="0" applyNumberFormat="1" applyFont="1" applyBorder="1" applyAlignment="1">
      <alignment horizontal="center" vertical="center"/>
    </xf>
    <xf numFmtId="1" fontId="3" fillId="0" borderId="46" xfId="0" applyNumberFormat="1" applyFont="1" applyBorder="1" applyAlignment="1">
      <alignment horizontal="center" vertical="center"/>
    </xf>
    <xf numFmtId="1" fontId="6" fillId="0" borderId="45" xfId="0" applyNumberFormat="1" applyFont="1" applyBorder="1" applyAlignment="1">
      <alignment horizontal="center" vertical="center"/>
    </xf>
    <xf numFmtId="1" fontId="6" fillId="0" borderId="46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" fontId="7" fillId="0" borderId="46" xfId="0" applyNumberFormat="1" applyFont="1" applyBorder="1" applyAlignment="1">
      <alignment horizontal="center" vertical="center"/>
    </xf>
    <xf numFmtId="164" fontId="0" fillId="3" borderId="49" xfId="0" applyNumberFormat="1" applyFill="1" applyBorder="1" applyAlignment="1">
      <alignment horizontal="right" vertical="center"/>
    </xf>
    <xf numFmtId="1" fontId="7" fillId="0" borderId="50" xfId="0" applyNumberFormat="1" applyFont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/>
    </xf>
    <xf numFmtId="1" fontId="7" fillId="0" borderId="52" xfId="0" applyNumberFormat="1" applyFont="1" applyBorder="1" applyAlignment="1">
      <alignment horizontal="center" vertical="center"/>
    </xf>
    <xf numFmtId="3" fontId="2" fillId="2" borderId="53" xfId="0" applyNumberFormat="1" applyFont="1" applyFill="1" applyBorder="1" applyAlignment="1">
      <alignment horizontal="center"/>
    </xf>
    <xf numFmtId="1" fontId="5" fillId="0" borderId="54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9" fontId="4" fillId="0" borderId="54" xfId="0" applyNumberFormat="1" applyFont="1" applyBorder="1" applyAlignment="1">
      <alignment horizontal="center" vertical="center"/>
    </xf>
    <xf numFmtId="9" fontId="4" fillId="0" borderId="55" xfId="0" applyNumberFormat="1" applyFont="1" applyBorder="1" applyAlignment="1">
      <alignment horizontal="center" vertical="center"/>
    </xf>
    <xf numFmtId="1" fontId="4" fillId="3" borderId="55" xfId="0" applyNumberFormat="1" applyFont="1" applyFill="1" applyBorder="1" applyAlignment="1">
      <alignment horizontal="center" vertical="center"/>
    </xf>
    <xf numFmtId="1" fontId="4" fillId="0" borderId="55" xfId="0" applyNumberFormat="1" applyFont="1" applyBorder="1" applyAlignment="1">
      <alignment horizontal="center"/>
    </xf>
    <xf numFmtId="3" fontId="2" fillId="2" borderId="53" xfId="0" applyNumberFormat="1" applyFont="1" applyFill="1" applyBorder="1" applyAlignment="1">
      <alignment horizontal="center" vertical="center" wrapText="1"/>
    </xf>
    <xf numFmtId="3" fontId="2" fillId="2" borderId="56" xfId="0" applyNumberFormat="1" applyFont="1" applyFill="1" applyBorder="1" applyAlignment="1">
      <alignment horizontal="center" vertical="center" wrapText="1"/>
    </xf>
    <xf numFmtId="1" fontId="3" fillId="0" borderId="54" xfId="0" applyNumberFormat="1" applyFont="1" applyBorder="1" applyAlignment="1">
      <alignment horizontal="center" vertical="center"/>
    </xf>
    <xf numFmtId="1" fontId="3" fillId="0" borderId="51" xfId="0" applyNumberFormat="1" applyFont="1" applyBorder="1" applyAlignment="1">
      <alignment horizontal="center" vertical="center"/>
    </xf>
    <xf numFmtId="1" fontId="3" fillId="0" borderId="55" xfId="0" applyNumberFormat="1" applyFont="1" applyBorder="1" applyAlignment="1">
      <alignment horizontal="center" vertical="center"/>
    </xf>
    <xf numFmtId="1" fontId="6" fillId="0" borderId="54" xfId="0" applyNumberFormat="1" applyFont="1" applyBorder="1" applyAlignment="1">
      <alignment horizontal="center" vertical="center"/>
    </xf>
    <xf numFmtId="1" fontId="6" fillId="0" borderId="55" xfId="0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" fontId="7" fillId="0" borderId="55" xfId="0" applyNumberFormat="1" applyFont="1" applyBorder="1" applyAlignment="1">
      <alignment horizontal="center" vertical="center"/>
    </xf>
    <xf numFmtId="3" fontId="2" fillId="2" borderId="24" xfId="0" applyNumberFormat="1" applyFont="1" applyFill="1" applyBorder="1" applyAlignment="1">
      <alignment horizontal="center" vertical="center" wrapText="1"/>
    </xf>
    <xf numFmtId="1" fontId="7" fillId="0" borderId="58" xfId="0" applyNumberFormat="1" applyFont="1" applyBorder="1" applyAlignment="1">
      <alignment horizontal="center" vertical="center"/>
    </xf>
    <xf numFmtId="1" fontId="6" fillId="0" borderId="59" xfId="0" applyNumberFormat="1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1" fontId="21" fillId="4" borderId="60" xfId="0" applyNumberFormat="1" applyFont="1" applyFill="1" applyBorder="1" applyAlignment="1">
      <alignment horizontal="center" vertical="center" wrapText="1"/>
    </xf>
    <xf numFmtId="0" fontId="21" fillId="4" borderId="60" xfId="0" applyFont="1" applyFill="1" applyBorder="1" applyAlignment="1">
      <alignment horizontal="center" vertical="center" wrapText="1"/>
    </xf>
    <xf numFmtId="1" fontId="21" fillId="5" borderId="60" xfId="0" applyNumberFormat="1" applyFont="1" applyFill="1" applyBorder="1" applyAlignment="1">
      <alignment horizontal="center" vertical="center" wrapText="1"/>
    </xf>
    <xf numFmtId="165" fontId="21" fillId="5" borderId="60" xfId="0" applyNumberFormat="1" applyFont="1" applyFill="1" applyBorder="1" applyAlignment="1">
      <alignment horizontal="center" vertical="center" wrapText="1"/>
    </xf>
    <xf numFmtId="0" fontId="21" fillId="6" borderId="60" xfId="0" applyFont="1" applyFill="1" applyBorder="1" applyAlignment="1">
      <alignment horizontal="center" vertical="center" wrapText="1"/>
    </xf>
    <xf numFmtId="0" fontId="22" fillId="7" borderId="60" xfId="0" applyFont="1" applyFill="1" applyBorder="1" applyAlignment="1">
      <alignment horizontal="center" vertical="center" wrapText="1"/>
    </xf>
    <xf numFmtId="0" fontId="21" fillId="8" borderId="6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60" xfId="0" applyNumberFormat="1" applyFont="1" applyFill="1" applyBorder="1" applyAlignment="1">
      <alignment horizontal="center" vertical="center" wrapText="1"/>
    </xf>
    <xf numFmtId="166" fontId="24" fillId="9" borderId="6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31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H2" sqref="H2"/>
    </sheetView>
  </sheetViews>
  <sheetFormatPr defaultColWidth="8.88671875" defaultRowHeight="12.3" x14ac:dyDescent="0.4"/>
  <cols>
    <col min="1" max="1" width="23" style="4" customWidth="1"/>
    <col min="2" max="2" width="11.5546875" style="4" customWidth="1"/>
    <col min="3" max="3" width="8.88671875" style="4"/>
    <col min="4" max="4" width="13.44140625" style="4" customWidth="1"/>
    <col min="5" max="5" width="12.5546875" style="152" customWidth="1"/>
    <col min="6" max="6" width="12.5546875" style="164" customWidth="1"/>
    <col min="7" max="7" width="8.88671875" style="154"/>
    <col min="8" max="8" width="8.88671875" style="160"/>
    <col min="9" max="9" width="8.83203125" style="156" customWidth="1"/>
    <col min="10" max="10" width="8.88671875" style="169"/>
    <col min="11" max="12" width="8.88671875" style="162"/>
    <col min="13" max="14" width="12.33203125" style="172" bestFit="1" customWidth="1"/>
    <col min="15" max="15" width="8.88671875" style="163"/>
    <col min="16" max="16" width="11.5546875" style="163" customWidth="1"/>
    <col min="17" max="16384" width="8.88671875" style="4"/>
  </cols>
  <sheetData>
    <row r="1" spans="1:16" ht="72.3" thickBot="1" x14ac:dyDescent="0.45">
      <c r="A1" s="143" t="s">
        <v>22</v>
      </c>
      <c r="B1" s="143" t="s">
        <v>23</v>
      </c>
      <c r="C1" s="143" t="s">
        <v>24</v>
      </c>
      <c r="D1" s="143" t="s">
        <v>25</v>
      </c>
      <c r="E1" s="144" t="s">
        <v>26</v>
      </c>
      <c r="F1" s="145" t="s">
        <v>27</v>
      </c>
      <c r="G1" s="146" t="s">
        <v>28</v>
      </c>
      <c r="H1" s="147" t="s">
        <v>38</v>
      </c>
      <c r="I1" s="165" t="s">
        <v>36</v>
      </c>
      <c r="J1" s="166" t="s">
        <v>37</v>
      </c>
      <c r="K1" s="148" t="s">
        <v>29</v>
      </c>
      <c r="L1" s="148" t="s">
        <v>30</v>
      </c>
      <c r="M1" s="149" t="s">
        <v>31</v>
      </c>
      <c r="N1" s="149" t="s">
        <v>32</v>
      </c>
      <c r="O1" s="150" t="s">
        <v>0</v>
      </c>
      <c r="P1" s="150" t="s">
        <v>33</v>
      </c>
    </row>
    <row r="2" spans="1:16" ht="14.7" thickTop="1" x14ac:dyDescent="0.55000000000000004">
      <c r="A2" s="151" t="s">
        <v>34</v>
      </c>
      <c r="B2" s="4">
        <v>1</v>
      </c>
      <c r="C2" s="4">
        <v>8</v>
      </c>
      <c r="D2" s="3">
        <v>2024</v>
      </c>
      <c r="E2" s="152">
        <f>'August '!D3-'August '!D2</f>
        <v>20469.5</v>
      </c>
      <c r="F2" s="153">
        <f>0.2563</f>
        <v>0.25629999999999997</v>
      </c>
      <c r="G2" s="154">
        <f>'August '!N2</f>
        <v>743.26000000000022</v>
      </c>
      <c r="H2" s="155">
        <v>0.626</v>
      </c>
      <c r="I2" s="167">
        <f>'August '!AC2*5.04</f>
        <v>1846.1016000000045</v>
      </c>
      <c r="J2" s="168">
        <v>8.2900000000000001E-2</v>
      </c>
      <c r="K2" s="156">
        <f>'August '!Z2</f>
        <v>156</v>
      </c>
      <c r="L2" s="157">
        <v>1.25</v>
      </c>
      <c r="M2" s="170">
        <f>'August '!H2</f>
        <v>0</v>
      </c>
      <c r="N2" s="171">
        <v>0.88</v>
      </c>
      <c r="O2" s="158">
        <f>'August '!AD2</f>
        <v>95</v>
      </c>
      <c r="P2" s="158">
        <f>'August '!AE2</f>
        <v>202</v>
      </c>
    </row>
    <row r="3" spans="1:16" ht="14.4" x14ac:dyDescent="0.55000000000000004">
      <c r="A3" s="151" t="s">
        <v>34</v>
      </c>
      <c r="B3" s="4">
        <f>B2+1</f>
        <v>2</v>
      </c>
      <c r="C3" s="4">
        <v>8</v>
      </c>
      <c r="D3" s="3">
        <v>2024</v>
      </c>
      <c r="E3" s="152">
        <f>'August '!D4-'August '!D3</f>
        <v>20912.700000001118</v>
      </c>
      <c r="F3" s="153">
        <f t="shared" ref="F3:F32" si="0">0.2563</f>
        <v>0.25629999999999997</v>
      </c>
      <c r="G3" s="154">
        <f>'August '!N3</f>
        <v>249.99999999999909</v>
      </c>
      <c r="H3" s="155">
        <v>0.626</v>
      </c>
      <c r="I3" s="167">
        <f>'August '!AC3*5.04</f>
        <v>1846.1015999999952</v>
      </c>
      <c r="J3" s="168">
        <v>8.2900000000000001E-2</v>
      </c>
      <c r="K3" s="156">
        <f>'August '!Z3</f>
        <v>153</v>
      </c>
      <c r="L3" s="157">
        <v>1.25</v>
      </c>
      <c r="M3" s="170">
        <f>'August '!H3</f>
        <v>0</v>
      </c>
      <c r="N3" s="171">
        <v>0.88</v>
      </c>
      <c r="O3" s="158">
        <f>'August '!AD3</f>
        <v>117</v>
      </c>
      <c r="P3" s="158">
        <f>'August '!AE3</f>
        <v>253</v>
      </c>
    </row>
    <row r="4" spans="1:16" ht="14.4" x14ac:dyDescent="0.55000000000000004">
      <c r="A4" s="151" t="s">
        <v>34</v>
      </c>
      <c r="B4" s="4">
        <f t="shared" ref="B4:B32" si="1">B3+1</f>
        <v>3</v>
      </c>
      <c r="C4" s="4">
        <v>8</v>
      </c>
      <c r="D4" s="3">
        <v>2024</v>
      </c>
      <c r="E4" s="152">
        <f>'August '!D5-'August '!D4</f>
        <v>21744.799999998882</v>
      </c>
      <c r="F4" s="153">
        <f t="shared" si="0"/>
        <v>0.25629999999999997</v>
      </c>
      <c r="G4" s="154">
        <f>'August '!N4</f>
        <v>750.00000000000091</v>
      </c>
      <c r="H4" s="155">
        <v>0.626</v>
      </c>
      <c r="I4" s="167">
        <f>'August '!AC4*5.04</f>
        <v>1846.1016000000045</v>
      </c>
      <c r="J4" s="168">
        <v>8.2900000000000001E-2</v>
      </c>
      <c r="K4" s="156">
        <f>'August '!Z4</f>
        <v>160</v>
      </c>
      <c r="L4" s="157">
        <v>1.25</v>
      </c>
      <c r="M4" s="170">
        <f>'August '!H4</f>
        <v>0</v>
      </c>
      <c r="N4" s="171">
        <v>0.88</v>
      </c>
      <c r="O4" s="158">
        <f>'August '!AD4</f>
        <v>137</v>
      </c>
      <c r="P4" s="158">
        <f>'August '!AE4</f>
        <v>296</v>
      </c>
    </row>
    <row r="5" spans="1:16" ht="14.4" x14ac:dyDescent="0.55000000000000004">
      <c r="A5" s="151" t="s">
        <v>34</v>
      </c>
      <c r="B5" s="4">
        <f t="shared" si="1"/>
        <v>4</v>
      </c>
      <c r="C5" s="4">
        <v>8</v>
      </c>
      <c r="D5" s="3">
        <v>2024</v>
      </c>
      <c r="E5" s="152">
        <f>'August '!D6-'August '!D5</f>
        <v>20703.200000001118</v>
      </c>
      <c r="F5" s="153">
        <f t="shared" si="0"/>
        <v>0.25629999999999997</v>
      </c>
      <c r="G5" s="154">
        <f>'August '!N5</f>
        <v>250.00000000000091</v>
      </c>
      <c r="H5" s="155">
        <v>0.626</v>
      </c>
      <c r="I5" s="167">
        <f>'August '!AC5*5.04</f>
        <v>1846.1015999999952</v>
      </c>
      <c r="J5" s="168">
        <v>8.2900000000000001E-2</v>
      </c>
      <c r="K5" s="156">
        <f>'August '!Z5</f>
        <v>161</v>
      </c>
      <c r="L5" s="157">
        <v>1.25</v>
      </c>
      <c r="M5" s="170">
        <f>'August '!H5</f>
        <v>0</v>
      </c>
      <c r="N5" s="171">
        <v>0.88</v>
      </c>
      <c r="O5" s="158">
        <f>'August '!AD5</f>
        <v>129</v>
      </c>
      <c r="P5" s="158">
        <f>'August '!AE5</f>
        <v>276</v>
      </c>
    </row>
    <row r="6" spans="1:16" ht="14.4" x14ac:dyDescent="0.55000000000000004">
      <c r="A6" s="151" t="s">
        <v>34</v>
      </c>
      <c r="B6" s="4">
        <f t="shared" si="1"/>
        <v>5</v>
      </c>
      <c r="C6" s="4">
        <v>8</v>
      </c>
      <c r="D6" s="3">
        <v>2024</v>
      </c>
      <c r="E6" s="152">
        <f>'August '!D7-'August '!D6</f>
        <v>19923.099999999627</v>
      </c>
      <c r="F6" s="153">
        <f t="shared" si="0"/>
        <v>0.25629999999999997</v>
      </c>
      <c r="G6" s="154">
        <f>'August '!N6</f>
        <v>124.99999999999909</v>
      </c>
      <c r="H6" s="155">
        <v>0.626</v>
      </c>
      <c r="I6" s="167">
        <f>'August '!AC6*5.04</f>
        <v>1846.1016000000045</v>
      </c>
      <c r="J6" s="168">
        <v>8.2900000000000001E-2</v>
      </c>
      <c r="K6" s="156">
        <f>'August '!Z6</f>
        <v>179</v>
      </c>
      <c r="L6" s="157">
        <v>1.25</v>
      </c>
      <c r="M6" s="170">
        <f>'August '!H6</f>
        <v>0</v>
      </c>
      <c r="N6" s="171">
        <v>0.88</v>
      </c>
      <c r="O6" s="158">
        <f>'August '!AD6</f>
        <v>115</v>
      </c>
      <c r="P6" s="158">
        <f>'August '!AE6</f>
        <v>244</v>
      </c>
    </row>
    <row r="7" spans="1:16" ht="14.4" x14ac:dyDescent="0.55000000000000004">
      <c r="A7" s="151" t="s">
        <v>34</v>
      </c>
      <c r="B7" s="4">
        <f t="shared" si="1"/>
        <v>6</v>
      </c>
      <c r="C7" s="4">
        <v>8</v>
      </c>
      <c r="D7" s="3">
        <v>2024</v>
      </c>
      <c r="E7" s="152">
        <f>'August '!D8-'August '!D7</f>
        <v>20691.5</v>
      </c>
      <c r="F7" s="153">
        <f t="shared" si="0"/>
        <v>0.25629999999999997</v>
      </c>
      <c r="G7" s="154">
        <f>'August '!N7</f>
        <v>375</v>
      </c>
      <c r="H7" s="155">
        <v>0.626</v>
      </c>
      <c r="I7" s="167">
        <f>'August '!AC7*5.04</f>
        <v>1846.1015999999952</v>
      </c>
      <c r="J7" s="168">
        <v>8.2900000000000001E-2</v>
      </c>
      <c r="K7" s="156">
        <f>'August '!Z7</f>
        <v>152</v>
      </c>
      <c r="L7" s="157">
        <v>1.25</v>
      </c>
      <c r="M7" s="170">
        <f>'August '!H7</f>
        <v>0</v>
      </c>
      <c r="N7" s="171">
        <v>0.88</v>
      </c>
      <c r="O7" s="158">
        <f>'August '!AD7</f>
        <v>109</v>
      </c>
      <c r="P7" s="158">
        <f>'August '!AE7</f>
        <v>220</v>
      </c>
    </row>
    <row r="8" spans="1:16" ht="14.4" x14ac:dyDescent="0.55000000000000004">
      <c r="A8" s="151" t="s">
        <v>34</v>
      </c>
      <c r="B8" s="4">
        <f t="shared" si="1"/>
        <v>7</v>
      </c>
      <c r="C8" s="4">
        <v>8</v>
      </c>
      <c r="D8" s="3">
        <v>2024</v>
      </c>
      <c r="E8" s="152">
        <f>'August '!D9-'August '!D8</f>
        <v>20066.199999999255</v>
      </c>
      <c r="F8" s="153">
        <f t="shared" si="0"/>
        <v>0.25629999999999997</v>
      </c>
      <c r="G8" s="154">
        <f>'August '!N8</f>
        <v>500.00000000000091</v>
      </c>
      <c r="H8" s="155">
        <v>0.626</v>
      </c>
      <c r="I8" s="167">
        <f>'August '!AC8*5.04</f>
        <v>1846.1016000000045</v>
      </c>
      <c r="J8" s="168">
        <v>8.2900000000000001E-2</v>
      </c>
      <c r="K8" s="156">
        <f>'August '!Z8</f>
        <v>146</v>
      </c>
      <c r="L8" s="157">
        <v>1.25</v>
      </c>
      <c r="M8" s="170">
        <f>'August '!H8</f>
        <v>0</v>
      </c>
      <c r="N8" s="171">
        <v>0.88</v>
      </c>
      <c r="O8" s="158">
        <f>'August '!AD8</f>
        <v>111</v>
      </c>
      <c r="P8" s="158">
        <f>'August '!AE8</f>
        <v>228</v>
      </c>
    </row>
    <row r="9" spans="1:16" ht="14.4" x14ac:dyDescent="0.55000000000000004">
      <c r="A9" s="151" t="s">
        <v>34</v>
      </c>
      <c r="B9" s="4">
        <f t="shared" si="1"/>
        <v>8</v>
      </c>
      <c r="C9" s="4">
        <v>8</v>
      </c>
      <c r="D9" s="3">
        <v>2024</v>
      </c>
      <c r="E9" s="152">
        <f>'August '!D10-'August '!D9</f>
        <v>20671.800000000745</v>
      </c>
      <c r="F9" s="153">
        <f t="shared" si="0"/>
        <v>0.25629999999999997</v>
      </c>
      <c r="G9" s="154">
        <f>'August '!N9</f>
        <v>327.1800000000012</v>
      </c>
      <c r="H9" s="155">
        <v>0.626</v>
      </c>
      <c r="I9" s="167">
        <f>'August '!AC9*5.04</f>
        <v>1846.1015999999952</v>
      </c>
      <c r="J9" s="168">
        <v>8.2900000000000001E-2</v>
      </c>
      <c r="K9" s="156">
        <f>'August '!Z9</f>
        <v>151</v>
      </c>
      <c r="L9" s="157">
        <v>1.25</v>
      </c>
      <c r="M9" s="170">
        <f>'August '!H9</f>
        <v>0</v>
      </c>
      <c r="N9" s="171">
        <v>0.88</v>
      </c>
      <c r="O9" s="158">
        <f>'August '!AD9</f>
        <v>118</v>
      </c>
      <c r="P9" s="158">
        <f>'August '!AE9</f>
        <v>250</v>
      </c>
    </row>
    <row r="10" spans="1:16" ht="14.4" x14ac:dyDescent="0.55000000000000004">
      <c r="A10" s="151" t="s">
        <v>34</v>
      </c>
      <c r="B10" s="4">
        <f t="shared" si="1"/>
        <v>9</v>
      </c>
      <c r="C10" s="4">
        <v>8</v>
      </c>
      <c r="D10" s="3">
        <v>2024</v>
      </c>
      <c r="E10" s="152">
        <f>'August '!D11-'August '!D10</f>
        <v>20648.900000000373</v>
      </c>
      <c r="F10" s="153">
        <f t="shared" si="0"/>
        <v>0.25629999999999997</v>
      </c>
      <c r="G10" s="154">
        <f>'August '!N10</f>
        <v>349.99999999999909</v>
      </c>
      <c r="H10" s="155">
        <v>0.626</v>
      </c>
      <c r="I10" s="167">
        <f>'August '!AC10*5.04</f>
        <v>1846.1016000000045</v>
      </c>
      <c r="J10" s="168">
        <v>8.2900000000000001E-2</v>
      </c>
      <c r="K10" s="156">
        <f>'August '!Z10</f>
        <v>157</v>
      </c>
      <c r="L10" s="157">
        <v>1.25</v>
      </c>
      <c r="M10" s="170">
        <f>'August '!H10</f>
        <v>0</v>
      </c>
      <c r="N10" s="171">
        <v>0.88</v>
      </c>
      <c r="O10" s="158">
        <f>'August '!AD10</f>
        <v>139</v>
      </c>
      <c r="P10" s="158">
        <f>'August '!AE10</f>
        <v>294</v>
      </c>
    </row>
    <row r="11" spans="1:16" ht="14.4" x14ac:dyDescent="0.55000000000000004">
      <c r="A11" s="151" t="s">
        <v>34</v>
      </c>
      <c r="B11" s="4">
        <f t="shared" si="1"/>
        <v>10</v>
      </c>
      <c r="C11" s="4">
        <v>8</v>
      </c>
      <c r="D11" s="3">
        <v>2024</v>
      </c>
      <c r="E11" s="152">
        <f>'August '!D12-'August '!D11</f>
        <v>21114</v>
      </c>
      <c r="F11" s="153">
        <f t="shared" si="0"/>
        <v>0.25629999999999997</v>
      </c>
      <c r="G11" s="154">
        <f>'August '!N11</f>
        <v>150.00000000000091</v>
      </c>
      <c r="H11" s="155">
        <v>0.626</v>
      </c>
      <c r="I11" s="167">
        <f>'August '!AC11*5.04</f>
        <v>1846.1015999999952</v>
      </c>
      <c r="J11" s="168">
        <v>8.2900000000000001E-2</v>
      </c>
      <c r="K11" s="156">
        <f>'August '!Z11</f>
        <v>162</v>
      </c>
      <c r="L11" s="157">
        <v>1.25</v>
      </c>
      <c r="M11" s="170">
        <f>'August '!H11</f>
        <v>0</v>
      </c>
      <c r="N11" s="171">
        <v>0.88</v>
      </c>
      <c r="O11" s="158">
        <f>'August '!AD11</f>
        <v>150</v>
      </c>
      <c r="P11" s="158">
        <f>'August '!AE11</f>
        <v>317</v>
      </c>
    </row>
    <row r="12" spans="1:16" ht="14.4" x14ac:dyDescent="0.55000000000000004">
      <c r="A12" s="151" t="s">
        <v>34</v>
      </c>
      <c r="B12" s="4">
        <f t="shared" si="1"/>
        <v>11</v>
      </c>
      <c r="C12" s="4">
        <v>8</v>
      </c>
      <c r="D12" s="3">
        <v>2024</v>
      </c>
      <c r="E12" s="152">
        <f>'August '!D13-'August '!D12</f>
        <v>21173.900000000373</v>
      </c>
      <c r="F12" s="153">
        <f t="shared" si="0"/>
        <v>0.25629999999999997</v>
      </c>
      <c r="G12" s="154">
        <f>'August '!N12</f>
        <v>250</v>
      </c>
      <c r="H12" s="155">
        <v>0.626</v>
      </c>
      <c r="I12" s="167">
        <f>'August '!AC12*5.04</f>
        <v>1846.1016000000045</v>
      </c>
      <c r="J12" s="168">
        <v>8.2900000000000001E-2</v>
      </c>
      <c r="K12" s="156">
        <f>'August '!Z12</f>
        <v>130</v>
      </c>
      <c r="L12" s="157">
        <v>1.25</v>
      </c>
      <c r="M12" s="170">
        <f>'August '!H12</f>
        <v>0</v>
      </c>
      <c r="N12" s="171">
        <v>0.88</v>
      </c>
      <c r="O12" s="158">
        <f>'August '!AD12</f>
        <v>122</v>
      </c>
      <c r="P12" s="158">
        <f>'August '!AE12</f>
        <v>243</v>
      </c>
    </row>
    <row r="13" spans="1:16" ht="14.4" x14ac:dyDescent="0.55000000000000004">
      <c r="A13" s="151" t="s">
        <v>34</v>
      </c>
      <c r="B13" s="4">
        <f t="shared" si="1"/>
        <v>12</v>
      </c>
      <c r="C13" s="4">
        <v>8</v>
      </c>
      <c r="D13" s="3">
        <v>2024</v>
      </c>
      <c r="E13" s="152">
        <f>'August '!D14-'August '!D13</f>
        <v>-13764.300000000745</v>
      </c>
      <c r="F13" s="153">
        <f t="shared" si="0"/>
        <v>0.25629999999999997</v>
      </c>
      <c r="G13" s="154">
        <f>'August '!N13</f>
        <v>375.00000000000091</v>
      </c>
      <c r="H13" s="155">
        <v>0.626</v>
      </c>
      <c r="I13" s="167">
        <f>'August '!AC13*5.04</f>
        <v>1846.1015999999952</v>
      </c>
      <c r="J13" s="168">
        <v>8.2900000000000001E-2</v>
      </c>
      <c r="K13" s="156">
        <f>'August '!Z13</f>
        <v>167</v>
      </c>
      <c r="L13" s="157">
        <v>1.25</v>
      </c>
      <c r="M13" s="170">
        <f>'August '!H13</f>
        <v>0</v>
      </c>
      <c r="N13" s="171">
        <v>0.88</v>
      </c>
      <c r="O13" s="158">
        <f>'August '!AD13</f>
        <v>125</v>
      </c>
      <c r="P13" s="158">
        <f>'August '!AE13</f>
        <v>257</v>
      </c>
    </row>
    <row r="14" spans="1:16" ht="14.4" x14ac:dyDescent="0.55000000000000004">
      <c r="A14" s="151" t="s">
        <v>34</v>
      </c>
      <c r="B14" s="4">
        <f t="shared" si="1"/>
        <v>13</v>
      </c>
      <c r="C14" s="4">
        <v>8</v>
      </c>
      <c r="D14" s="3">
        <v>2024</v>
      </c>
      <c r="E14" s="152">
        <f>'August '!D15-'August '!D14</f>
        <v>56846.800000000745</v>
      </c>
      <c r="F14" s="153">
        <f t="shared" si="0"/>
        <v>0.25629999999999997</v>
      </c>
      <c r="G14" s="154">
        <f>'August '!N14</f>
        <v>374.99999999999909</v>
      </c>
      <c r="H14" s="155">
        <v>0.626</v>
      </c>
      <c r="I14" s="167">
        <f>'August '!AC14*5.04</f>
        <v>1846.1016000000045</v>
      </c>
      <c r="J14" s="168">
        <v>8.2900000000000001E-2</v>
      </c>
      <c r="K14" s="156">
        <f>'August '!Z14</f>
        <v>134</v>
      </c>
      <c r="L14" s="157">
        <v>1.25</v>
      </c>
      <c r="M14" s="170">
        <f>'August '!H14</f>
        <v>0</v>
      </c>
      <c r="N14" s="171">
        <v>0.88</v>
      </c>
      <c r="O14" s="158">
        <f>'August '!AD14</f>
        <v>131</v>
      </c>
      <c r="P14" s="158">
        <f>'August '!AE14</f>
        <v>268</v>
      </c>
    </row>
    <row r="15" spans="1:16" ht="14.4" x14ac:dyDescent="0.55000000000000004">
      <c r="A15" s="151" t="s">
        <v>34</v>
      </c>
      <c r="B15" s="4">
        <f t="shared" si="1"/>
        <v>14</v>
      </c>
      <c r="C15" s="4">
        <v>8</v>
      </c>
      <c r="D15" s="3">
        <v>2024</v>
      </c>
      <c r="E15" s="152">
        <f>'August '!D16-'August '!D15</f>
        <v>20901.199999999255</v>
      </c>
      <c r="F15" s="153">
        <f t="shared" si="0"/>
        <v>0.25629999999999997</v>
      </c>
      <c r="G15" s="154">
        <f>'August '!N15</f>
        <v>159.03999999999996</v>
      </c>
      <c r="H15" s="155">
        <v>0.626</v>
      </c>
      <c r="I15" s="167">
        <f>'August '!AC15*5.04</f>
        <v>1846.1015999999952</v>
      </c>
      <c r="J15" s="168">
        <v>8.2900000000000001E-2</v>
      </c>
      <c r="K15" s="156">
        <f>'August '!Z15</f>
        <v>174</v>
      </c>
      <c r="L15" s="157">
        <v>1.25</v>
      </c>
      <c r="M15" s="170">
        <f>'August '!H15</f>
        <v>0</v>
      </c>
      <c r="N15" s="171">
        <v>0.88</v>
      </c>
      <c r="O15" s="158">
        <f>'August '!AD15</f>
        <v>161</v>
      </c>
      <c r="P15" s="158">
        <f>'August '!AE15</f>
        <v>346</v>
      </c>
    </row>
    <row r="16" spans="1:16" ht="14.4" x14ac:dyDescent="0.55000000000000004">
      <c r="A16" s="151" t="s">
        <v>34</v>
      </c>
      <c r="B16" s="4">
        <f t="shared" si="1"/>
        <v>15</v>
      </c>
      <c r="C16" s="4">
        <v>8</v>
      </c>
      <c r="D16" s="3">
        <v>2024</v>
      </c>
      <c r="E16" s="152">
        <f>'August '!D17-'August '!D16</f>
        <v>23723.300000000745</v>
      </c>
      <c r="F16" s="153">
        <f t="shared" si="0"/>
        <v>0.25629999999999997</v>
      </c>
      <c r="G16" s="154">
        <f>'August '!N16</f>
        <v>450</v>
      </c>
      <c r="H16" s="155">
        <v>0.626</v>
      </c>
      <c r="I16" s="167">
        <f>'August '!AC16*5.04</f>
        <v>1846.1016000000045</v>
      </c>
      <c r="J16" s="168">
        <v>8.2900000000000001E-2</v>
      </c>
      <c r="K16" s="156">
        <f>'August '!Z16</f>
        <v>176</v>
      </c>
      <c r="L16" s="157">
        <v>1.25</v>
      </c>
      <c r="M16" s="170">
        <f>'August '!H16</f>
        <v>0</v>
      </c>
      <c r="N16" s="171">
        <v>1.25</v>
      </c>
      <c r="O16" s="158">
        <f>'August '!AD16</f>
        <v>169</v>
      </c>
      <c r="P16" s="158">
        <f>'August '!AE16</f>
        <v>362</v>
      </c>
    </row>
    <row r="17" spans="1:16" ht="14.4" x14ac:dyDescent="0.55000000000000004">
      <c r="A17" s="151" t="s">
        <v>34</v>
      </c>
      <c r="B17" s="4">
        <f t="shared" si="1"/>
        <v>16</v>
      </c>
      <c r="C17" s="4">
        <v>8</v>
      </c>
      <c r="D17" s="3">
        <v>2024</v>
      </c>
      <c r="E17" s="152">
        <f>'August '!D18-'August '!D17</f>
        <v>21905.5</v>
      </c>
      <c r="F17" s="153">
        <f t="shared" si="0"/>
        <v>0.25629999999999997</v>
      </c>
      <c r="G17" s="154">
        <f>'August '!N17</f>
        <v>374.99999999999909</v>
      </c>
      <c r="H17" s="155">
        <v>0.626</v>
      </c>
      <c r="I17" s="167">
        <f>'August '!AC17*5.04</f>
        <v>1846.1015999999952</v>
      </c>
      <c r="J17" s="168">
        <v>8.2900000000000001E-2</v>
      </c>
      <c r="K17" s="156">
        <f>'August '!Z17</f>
        <v>161</v>
      </c>
      <c r="L17" s="157">
        <v>1.25</v>
      </c>
      <c r="M17" s="170">
        <f>'August '!H17</f>
        <v>0</v>
      </c>
      <c r="N17" s="171">
        <v>0.88</v>
      </c>
      <c r="O17" s="158">
        <f>'August '!AD17</f>
        <v>166</v>
      </c>
      <c r="P17" s="158">
        <f>'August '!AE17</f>
        <v>364</v>
      </c>
    </row>
    <row r="18" spans="1:16" ht="14.4" x14ac:dyDescent="0.55000000000000004">
      <c r="A18" s="151" t="s">
        <v>34</v>
      </c>
      <c r="B18" s="4">
        <f t="shared" si="1"/>
        <v>17</v>
      </c>
      <c r="C18" s="4">
        <v>8</v>
      </c>
      <c r="D18" s="3">
        <v>2024</v>
      </c>
      <c r="E18" s="152">
        <f>'August '!D19-'August '!D18</f>
        <v>22129.299999998882</v>
      </c>
      <c r="F18" s="153">
        <f t="shared" si="0"/>
        <v>0.25629999999999997</v>
      </c>
      <c r="G18" s="154">
        <f>'August '!N18</f>
        <v>250.00000000000091</v>
      </c>
      <c r="H18" s="155">
        <v>0.626</v>
      </c>
      <c r="I18" s="167">
        <f>'August '!AC18*5.04</f>
        <v>1846.1016000000045</v>
      </c>
      <c r="J18" s="168">
        <v>8.2900000000000001E-2</v>
      </c>
      <c r="K18" s="156">
        <f>'August '!Z18</f>
        <v>176</v>
      </c>
      <c r="L18" s="157">
        <v>1.25</v>
      </c>
      <c r="M18" s="170">
        <f>'August '!H18</f>
        <v>0</v>
      </c>
      <c r="N18" s="171">
        <v>0.88</v>
      </c>
      <c r="O18" s="158">
        <f>'August '!AD18</f>
        <v>159</v>
      </c>
      <c r="P18" s="158">
        <f>'August '!AE18</f>
        <v>365</v>
      </c>
    </row>
    <row r="19" spans="1:16" ht="14.4" x14ac:dyDescent="0.55000000000000004">
      <c r="A19" s="151" t="s">
        <v>34</v>
      </c>
      <c r="B19" s="4">
        <f t="shared" si="1"/>
        <v>18</v>
      </c>
      <c r="C19" s="4">
        <v>8</v>
      </c>
      <c r="D19" s="3">
        <v>2024</v>
      </c>
      <c r="E19" s="152">
        <f>'August '!D20-'August '!D19</f>
        <v>21590.800000000745</v>
      </c>
      <c r="F19" s="153">
        <f t="shared" si="0"/>
        <v>0.25629999999999997</v>
      </c>
      <c r="G19" s="154">
        <f>'August '!N19</f>
        <v>250</v>
      </c>
      <c r="H19" s="155">
        <v>0.626</v>
      </c>
      <c r="I19" s="167">
        <f>'August '!AC19*5.04</f>
        <v>1846.1015999999952</v>
      </c>
      <c r="J19" s="168">
        <v>8.2900000000000001E-2</v>
      </c>
      <c r="K19" s="156">
        <f>'August '!Z19</f>
        <v>162</v>
      </c>
      <c r="L19" s="157">
        <v>1.25</v>
      </c>
      <c r="M19" s="170">
        <f>'August '!H19</f>
        <v>0</v>
      </c>
      <c r="N19" s="171">
        <v>0.88</v>
      </c>
      <c r="O19" s="158">
        <f>'August '!AD19</f>
        <v>156</v>
      </c>
      <c r="P19" s="158">
        <f>'August '!AE19</f>
        <v>334</v>
      </c>
    </row>
    <row r="20" spans="1:16" ht="14.4" x14ac:dyDescent="0.55000000000000004">
      <c r="A20" s="151" t="s">
        <v>34</v>
      </c>
      <c r="B20" s="4">
        <f t="shared" si="1"/>
        <v>19</v>
      </c>
      <c r="C20" s="4">
        <v>8</v>
      </c>
      <c r="D20" s="3">
        <v>2024</v>
      </c>
      <c r="E20" s="152">
        <f>'August '!D21-'August '!D20</f>
        <v>21038.5</v>
      </c>
      <c r="F20" s="153">
        <f t="shared" si="0"/>
        <v>0.25629999999999997</v>
      </c>
      <c r="G20" s="154">
        <f>'August '!N20</f>
        <v>300.00000000000091</v>
      </c>
      <c r="H20" s="155">
        <v>0.626</v>
      </c>
      <c r="I20" s="167">
        <f>'August '!AC20*5.04</f>
        <v>1846.1016000000045</v>
      </c>
      <c r="J20" s="168">
        <v>8.2900000000000001E-2</v>
      </c>
      <c r="K20" s="156">
        <f>'August '!Z20</f>
        <v>158</v>
      </c>
      <c r="L20" s="157">
        <v>1.25</v>
      </c>
      <c r="M20" s="170">
        <f>'August '!H20</f>
        <v>0</v>
      </c>
      <c r="N20" s="171">
        <v>0.88</v>
      </c>
      <c r="O20" s="158">
        <f>'August '!AD20</f>
        <v>134</v>
      </c>
      <c r="P20" s="158">
        <f>'August '!AE20</f>
        <v>288</v>
      </c>
    </row>
    <row r="21" spans="1:16" ht="14.4" x14ac:dyDescent="0.55000000000000004">
      <c r="A21" s="151" t="s">
        <v>34</v>
      </c>
      <c r="B21" s="4">
        <f t="shared" si="1"/>
        <v>20</v>
      </c>
      <c r="C21" s="4">
        <v>8</v>
      </c>
      <c r="D21" s="3">
        <v>2024</v>
      </c>
      <c r="E21" s="152">
        <f>'August '!D22-'August '!D21</f>
        <v>21478</v>
      </c>
      <c r="F21" s="153">
        <f t="shared" si="0"/>
        <v>0.25629999999999997</v>
      </c>
      <c r="G21" s="154">
        <f>'August '!N21</f>
        <v>199.99999999999818</v>
      </c>
      <c r="H21" s="155">
        <v>0.626</v>
      </c>
      <c r="I21" s="167">
        <f>'August '!AC21*5.04</f>
        <v>1846.1015999999952</v>
      </c>
      <c r="J21" s="168">
        <v>8.2900000000000001E-2</v>
      </c>
      <c r="K21" s="156">
        <f>'August '!Z21</f>
        <v>147</v>
      </c>
      <c r="L21" s="157">
        <v>1.25</v>
      </c>
      <c r="M21" s="170">
        <f>'August '!H21</f>
        <v>0</v>
      </c>
      <c r="N21" s="171">
        <v>0.88</v>
      </c>
      <c r="O21" s="158">
        <f>'August '!AD21</f>
        <v>127</v>
      </c>
      <c r="P21" s="158">
        <f>'August '!AE21</f>
        <v>272</v>
      </c>
    </row>
    <row r="22" spans="1:16" ht="14.4" x14ac:dyDescent="0.55000000000000004">
      <c r="A22" s="151" t="s">
        <v>34</v>
      </c>
      <c r="B22" s="4">
        <f t="shared" si="1"/>
        <v>21</v>
      </c>
      <c r="C22" s="4">
        <v>8</v>
      </c>
      <c r="D22" s="3">
        <v>2024</v>
      </c>
      <c r="E22" s="152">
        <f>'August '!D23-'August '!D22</f>
        <v>21859.400000000373</v>
      </c>
      <c r="F22" s="153">
        <f t="shared" si="0"/>
        <v>0.25629999999999997</v>
      </c>
      <c r="G22" s="154">
        <f>'August '!N22</f>
        <v>375.00000000000045</v>
      </c>
      <c r="H22" s="155">
        <v>0.626</v>
      </c>
      <c r="I22" s="167">
        <f>'August '!AC22*5.04</f>
        <v>1846.1016000000045</v>
      </c>
      <c r="J22" s="168">
        <v>8.2900000000000001E-2</v>
      </c>
      <c r="K22" s="156">
        <f>'August '!Z22</f>
        <v>179</v>
      </c>
      <c r="L22" s="157">
        <v>1.25</v>
      </c>
      <c r="M22" s="170">
        <f>'August '!H22</f>
        <v>0</v>
      </c>
      <c r="N22" s="171">
        <v>0.88</v>
      </c>
      <c r="O22" s="158">
        <f>'August '!AD22</f>
        <v>124</v>
      </c>
      <c r="P22" s="158">
        <f>'August '!AE22</f>
        <v>266</v>
      </c>
    </row>
    <row r="23" spans="1:16" ht="14.4" x14ac:dyDescent="0.55000000000000004">
      <c r="A23" s="151" t="s">
        <v>34</v>
      </c>
      <c r="B23" s="4">
        <f t="shared" si="1"/>
        <v>22</v>
      </c>
      <c r="C23" s="4">
        <v>8</v>
      </c>
      <c r="D23" s="3">
        <v>2024</v>
      </c>
      <c r="E23" s="152">
        <f>'August '!D24-'August '!D23</f>
        <v>20101.299999998882</v>
      </c>
      <c r="F23" s="153">
        <f t="shared" si="0"/>
        <v>0.25629999999999997</v>
      </c>
      <c r="G23" s="154">
        <f>'August '!N23</f>
        <v>135.74999999999955</v>
      </c>
      <c r="H23" s="155">
        <v>0.626</v>
      </c>
      <c r="I23" s="167">
        <f>'August '!AC23*5.04</f>
        <v>1846.1519999999964</v>
      </c>
      <c r="J23" s="168">
        <v>8.2900000000000001E-2</v>
      </c>
      <c r="K23" s="156">
        <f>'August '!Z23</f>
        <v>138</v>
      </c>
      <c r="L23" s="157">
        <v>1.25</v>
      </c>
      <c r="M23" s="170">
        <f>'August '!H23</f>
        <v>0</v>
      </c>
      <c r="N23" s="171">
        <v>0.88</v>
      </c>
      <c r="O23" s="158">
        <f>'August '!AD23</f>
        <v>136</v>
      </c>
      <c r="P23" s="158">
        <f>'August '!AE23</f>
        <v>292</v>
      </c>
    </row>
    <row r="24" spans="1:16" ht="14.4" x14ac:dyDescent="0.55000000000000004">
      <c r="A24" s="151" t="s">
        <v>34</v>
      </c>
      <c r="B24" s="4">
        <f t="shared" si="1"/>
        <v>23</v>
      </c>
      <c r="C24" s="4">
        <v>8</v>
      </c>
      <c r="D24" s="3">
        <v>2024</v>
      </c>
      <c r="E24" s="152">
        <f>'August '!D25-'August '!D24</f>
        <v>20895.200000001118</v>
      </c>
      <c r="F24" s="153">
        <f t="shared" si="0"/>
        <v>0.25629999999999997</v>
      </c>
      <c r="G24" s="154">
        <f>'August '!N24</f>
        <v>125</v>
      </c>
      <c r="H24" s="155">
        <v>0.626</v>
      </c>
      <c r="I24" s="167">
        <f>'August '!AC24*5.04</f>
        <v>1846.1016000000045</v>
      </c>
      <c r="J24" s="168">
        <v>8.2900000000000001E-2</v>
      </c>
      <c r="K24" s="156">
        <f>'August '!Z24</f>
        <v>170</v>
      </c>
      <c r="L24" s="157">
        <v>1.25</v>
      </c>
      <c r="M24" s="170">
        <f>'August '!H24</f>
        <v>0</v>
      </c>
      <c r="N24" s="171">
        <v>0.88</v>
      </c>
      <c r="O24" s="158">
        <f>'August '!AD24</f>
        <v>149</v>
      </c>
      <c r="P24" s="158">
        <f>'August '!AE24</f>
        <v>312</v>
      </c>
    </row>
    <row r="25" spans="1:16" ht="14.4" x14ac:dyDescent="0.55000000000000004">
      <c r="A25" s="151" t="s">
        <v>34</v>
      </c>
      <c r="B25" s="4">
        <f t="shared" si="1"/>
        <v>24</v>
      </c>
      <c r="C25" s="4">
        <v>8</v>
      </c>
      <c r="D25" s="3">
        <v>2024</v>
      </c>
      <c r="E25" s="152">
        <f>'August '!D26-'August '!D25</f>
        <v>22785</v>
      </c>
      <c r="F25" s="153">
        <f t="shared" si="0"/>
        <v>0.25629999999999997</v>
      </c>
      <c r="G25" s="154">
        <f>'August '!N25</f>
        <v>150</v>
      </c>
      <c r="H25" s="155">
        <v>0.626</v>
      </c>
      <c r="I25" s="167">
        <f>'August '!AC25*5.04</f>
        <v>1846.1015999999952</v>
      </c>
      <c r="J25" s="168">
        <v>8.2900000000000001E-2</v>
      </c>
      <c r="K25" s="156">
        <f>'August '!Z25</f>
        <v>165</v>
      </c>
      <c r="L25" s="157">
        <v>1.25</v>
      </c>
      <c r="M25" s="170">
        <f>'August '!H25</f>
        <v>0</v>
      </c>
      <c r="N25" s="171">
        <v>0.88</v>
      </c>
      <c r="O25" s="158">
        <f>'August '!AD25</f>
        <v>147</v>
      </c>
      <c r="P25" s="158">
        <f>'August '!AE25</f>
        <v>307</v>
      </c>
    </row>
    <row r="26" spans="1:16" ht="14.4" x14ac:dyDescent="0.55000000000000004">
      <c r="A26" s="151" t="s">
        <v>34</v>
      </c>
      <c r="B26" s="4">
        <f>B25+1</f>
        <v>25</v>
      </c>
      <c r="C26" s="4">
        <v>8</v>
      </c>
      <c r="D26" s="3">
        <v>2024</v>
      </c>
      <c r="E26" s="152">
        <f>'August '!D27-'August '!D26</f>
        <v>21586.199999999255</v>
      </c>
      <c r="F26" s="153">
        <f t="shared" si="0"/>
        <v>0.25629999999999997</v>
      </c>
      <c r="G26" s="154">
        <f>'August '!N26</f>
        <v>250.00000000000091</v>
      </c>
      <c r="H26" s="155">
        <v>0.626</v>
      </c>
      <c r="I26" s="167">
        <f>'August '!AC26*5.04</f>
        <v>1846.1016000000045</v>
      </c>
      <c r="J26" s="168">
        <v>8.2900000000000001E-2</v>
      </c>
      <c r="K26" s="156">
        <f>'August '!Z26</f>
        <v>161</v>
      </c>
      <c r="L26" s="157">
        <v>1.25</v>
      </c>
      <c r="M26" s="170">
        <f>'August '!H26</f>
        <v>0</v>
      </c>
      <c r="N26" s="171">
        <v>0.88</v>
      </c>
      <c r="O26" s="158">
        <f>'August '!AD26</f>
        <v>110</v>
      </c>
      <c r="P26" s="158">
        <f>'August '!AE26</f>
        <v>232</v>
      </c>
    </row>
    <row r="27" spans="1:16" ht="14.4" x14ac:dyDescent="0.55000000000000004">
      <c r="A27" s="151" t="s">
        <v>34</v>
      </c>
      <c r="B27" s="4">
        <f t="shared" si="1"/>
        <v>26</v>
      </c>
      <c r="C27" s="4">
        <v>8</v>
      </c>
      <c r="D27" s="3">
        <v>2024</v>
      </c>
      <c r="E27" s="152">
        <f>'August '!D28-'August '!D27</f>
        <v>20657.099999999627</v>
      </c>
      <c r="F27" s="153">
        <f t="shared" si="0"/>
        <v>0.25629999999999997</v>
      </c>
      <c r="G27" s="154">
        <f>'August '!N27</f>
        <v>249.99999999999909</v>
      </c>
      <c r="H27" s="155">
        <v>0.626</v>
      </c>
      <c r="I27" s="167">
        <f>'August '!AC27*5.04</f>
        <v>1846.1015999999952</v>
      </c>
      <c r="J27" s="168">
        <v>8.2900000000000001E-2</v>
      </c>
      <c r="K27" s="156">
        <f>'August '!Z27</f>
        <v>132</v>
      </c>
      <c r="L27" s="157">
        <v>1.25</v>
      </c>
      <c r="M27" s="170">
        <f>'August '!H27</f>
        <v>0</v>
      </c>
      <c r="N27" s="171">
        <v>0.88</v>
      </c>
      <c r="O27" s="158">
        <f>'August '!AD27</f>
        <v>88</v>
      </c>
      <c r="P27" s="158">
        <f>'August '!AE27</f>
        <v>189</v>
      </c>
    </row>
    <row r="28" spans="1:16" ht="14.4" x14ac:dyDescent="0.55000000000000004">
      <c r="A28" s="151" t="s">
        <v>34</v>
      </c>
      <c r="B28" s="4">
        <f t="shared" si="1"/>
        <v>27</v>
      </c>
      <c r="C28" s="4">
        <v>8</v>
      </c>
      <c r="D28" s="3">
        <v>2024</v>
      </c>
      <c r="E28" s="152">
        <f>'August '!D29-'August '!D28</f>
        <v>26916</v>
      </c>
      <c r="F28" s="153">
        <f t="shared" si="0"/>
        <v>0.25629999999999997</v>
      </c>
      <c r="G28" s="154">
        <f>'August '!N28</f>
        <v>225</v>
      </c>
      <c r="H28" s="155">
        <v>0.626</v>
      </c>
      <c r="I28" s="167">
        <f>'August '!AC28*5.04</f>
        <v>1846.1016000000045</v>
      </c>
      <c r="J28" s="168">
        <v>8.2900000000000001E-2</v>
      </c>
      <c r="K28" s="156">
        <f>'August '!Z28</f>
        <v>130</v>
      </c>
      <c r="L28" s="157">
        <v>1.25</v>
      </c>
      <c r="M28" s="170">
        <f>'August '!H28</f>
        <v>0</v>
      </c>
      <c r="N28" s="171">
        <v>0.88</v>
      </c>
      <c r="O28" s="158">
        <f>'August '!AD28</f>
        <v>86</v>
      </c>
      <c r="P28" s="158">
        <f>'August '!AE28</f>
        <v>188</v>
      </c>
    </row>
    <row r="29" spans="1:16" ht="14.4" x14ac:dyDescent="0.55000000000000004">
      <c r="A29" s="151" t="s">
        <v>34</v>
      </c>
      <c r="B29" s="4">
        <f t="shared" si="1"/>
        <v>28</v>
      </c>
      <c r="C29" s="4">
        <v>8</v>
      </c>
      <c r="D29" s="3">
        <v>2024</v>
      </c>
      <c r="E29" s="152">
        <f>'August '!D30-'August '!D29</f>
        <v>11812.700000001118</v>
      </c>
      <c r="F29" s="153">
        <f t="shared" si="0"/>
        <v>0.25629999999999997</v>
      </c>
      <c r="G29" s="154">
        <f>'August '!N29</f>
        <v>200.00000000000091</v>
      </c>
      <c r="H29" s="155">
        <v>0.626</v>
      </c>
      <c r="I29" s="167">
        <f>'August '!AC29*5.04</f>
        <v>1846.1015999999952</v>
      </c>
      <c r="J29" s="168">
        <v>8.2900000000000001E-2</v>
      </c>
      <c r="K29" s="156">
        <f>'August '!Z29</f>
        <v>127</v>
      </c>
      <c r="L29" s="157">
        <v>1.25</v>
      </c>
      <c r="M29" s="170">
        <f>'August '!H29</f>
        <v>0</v>
      </c>
      <c r="N29" s="171">
        <v>0.88</v>
      </c>
      <c r="O29" s="158">
        <f>'August '!AD29</f>
        <v>81</v>
      </c>
      <c r="P29" s="158">
        <f>'August '!AE29</f>
        <v>170</v>
      </c>
    </row>
    <row r="30" spans="1:16" ht="14.4" x14ac:dyDescent="0.55000000000000004">
      <c r="A30" s="151" t="s">
        <v>34</v>
      </c>
      <c r="B30" s="4">
        <f t="shared" si="1"/>
        <v>29</v>
      </c>
      <c r="C30" s="4">
        <v>8</v>
      </c>
      <c r="D30" s="3">
        <v>2024</v>
      </c>
      <c r="E30" s="152">
        <f>'August '!D31-'August '!D30</f>
        <v>19965.299999998882</v>
      </c>
      <c r="F30" s="153">
        <f t="shared" si="0"/>
        <v>0.25629999999999997</v>
      </c>
      <c r="G30" s="154">
        <f>'August '!N30</f>
        <v>229.55000000000109</v>
      </c>
      <c r="H30" s="155">
        <v>0.626</v>
      </c>
      <c r="I30" s="167">
        <f>'August '!AC30*5.04</f>
        <v>1846.1016000000045</v>
      </c>
      <c r="J30" s="168">
        <v>8.2900000000000001E-2</v>
      </c>
      <c r="K30" s="156">
        <f>'August '!Z30</f>
        <v>135</v>
      </c>
      <c r="L30" s="157">
        <v>1.25</v>
      </c>
      <c r="M30" s="170">
        <f>'August '!H30</f>
        <v>0</v>
      </c>
      <c r="N30" s="171">
        <v>0.88</v>
      </c>
      <c r="O30" s="158">
        <f>'August '!AD30</f>
        <v>85</v>
      </c>
      <c r="P30" s="158">
        <f>'August '!AE30</f>
        <v>175</v>
      </c>
    </row>
    <row r="31" spans="1:16" ht="14.4" x14ac:dyDescent="0.55000000000000004">
      <c r="A31" s="151" t="s">
        <v>34</v>
      </c>
      <c r="B31" s="4">
        <f t="shared" si="1"/>
        <v>30</v>
      </c>
      <c r="C31" s="4">
        <v>8</v>
      </c>
      <c r="D31" s="3">
        <v>2024</v>
      </c>
      <c r="E31" s="152">
        <f>'August '!D32-'August '!D31</f>
        <v>18998.800000000745</v>
      </c>
      <c r="F31" s="153">
        <f t="shared" si="0"/>
        <v>0.25629999999999997</v>
      </c>
      <c r="G31" s="154">
        <f>'August '!N31</f>
        <v>549.99999999999909</v>
      </c>
      <c r="H31" s="155">
        <v>0.626</v>
      </c>
      <c r="I31" s="167">
        <f>'August '!AC31*5.04</f>
        <v>1846.1015999999952</v>
      </c>
      <c r="J31" s="168">
        <v>8.2900000000000001E-2</v>
      </c>
      <c r="K31" s="156">
        <f>'August '!Z31</f>
        <v>178</v>
      </c>
      <c r="L31" s="157">
        <v>1.25</v>
      </c>
      <c r="M31" s="170">
        <f>'August '!H31</f>
        <v>0</v>
      </c>
      <c r="N31" s="171">
        <v>0.88</v>
      </c>
      <c r="O31" s="158">
        <f>'August '!AD31</f>
        <v>92</v>
      </c>
      <c r="P31" s="158">
        <f>'August '!AE31</f>
        <v>183</v>
      </c>
    </row>
    <row r="32" spans="1:16" ht="14.4" x14ac:dyDescent="0.55000000000000004">
      <c r="A32" s="151" t="s">
        <v>34</v>
      </c>
      <c r="B32" s="4">
        <f t="shared" si="1"/>
        <v>31</v>
      </c>
      <c r="C32" s="4">
        <v>8</v>
      </c>
      <c r="D32" s="3">
        <v>2024</v>
      </c>
      <c r="E32" s="152">
        <f>'August '!D33-'August '!D32</f>
        <v>20307.299999998882</v>
      </c>
      <c r="F32" s="153">
        <f t="shared" si="0"/>
        <v>0.25629999999999997</v>
      </c>
      <c r="G32" s="154">
        <f>'August '!N32</f>
        <v>200.00000000000091</v>
      </c>
      <c r="H32" s="155">
        <v>0.626</v>
      </c>
      <c r="I32" s="167">
        <f>'August '!AC32*5.04</f>
        <v>1846.1016000000045</v>
      </c>
      <c r="J32" s="168">
        <v>8.2900000000000001E-2</v>
      </c>
      <c r="K32" s="156">
        <f>'August '!Z32</f>
        <v>115</v>
      </c>
      <c r="L32" s="157">
        <v>1.25</v>
      </c>
      <c r="M32" s="170">
        <f>'August '!H32</f>
        <v>0</v>
      </c>
      <c r="N32" s="171">
        <v>0.88</v>
      </c>
      <c r="O32" s="158">
        <f>'August '!AD32</f>
        <v>110</v>
      </c>
      <c r="P32" s="158">
        <f>'August '!AE32</f>
        <v>213</v>
      </c>
    </row>
    <row r="33" spans="4:16" x14ac:dyDescent="0.4">
      <c r="D33" s="159"/>
      <c r="E33" s="152" t="s">
        <v>35</v>
      </c>
      <c r="F33" s="153"/>
      <c r="I33" s="167"/>
      <c r="J33" s="168"/>
      <c r="K33" s="157"/>
      <c r="L33" s="157"/>
      <c r="O33" s="161"/>
      <c r="P33" s="161"/>
    </row>
    <row r="34" spans="4:16" x14ac:dyDescent="0.4">
      <c r="D34" s="159"/>
      <c r="F34" s="153"/>
      <c r="I34" s="167"/>
      <c r="J34" s="168"/>
      <c r="K34" s="157"/>
      <c r="L34" s="157"/>
      <c r="O34" s="161"/>
      <c r="P34" s="161"/>
    </row>
    <row r="35" spans="4:16" x14ac:dyDescent="0.4">
      <c r="D35" s="159"/>
      <c r="F35" s="153"/>
      <c r="I35" s="167"/>
      <c r="J35" s="168"/>
      <c r="K35" s="157"/>
      <c r="L35" s="157"/>
      <c r="O35" s="161"/>
      <c r="P35" s="161"/>
    </row>
    <row r="36" spans="4:16" x14ac:dyDescent="0.4">
      <c r="D36" s="159"/>
      <c r="F36" s="153"/>
      <c r="I36" s="167"/>
      <c r="J36" s="168"/>
      <c r="K36" s="157"/>
      <c r="L36" s="157"/>
      <c r="O36" s="161"/>
      <c r="P36" s="161"/>
    </row>
    <row r="37" spans="4:16" x14ac:dyDescent="0.4">
      <c r="D37" s="159"/>
      <c r="F37" s="153"/>
      <c r="I37" s="167"/>
      <c r="J37" s="168"/>
      <c r="K37" s="157"/>
      <c r="L37" s="157"/>
      <c r="O37" s="161"/>
      <c r="P37" s="161"/>
    </row>
    <row r="38" spans="4:16" x14ac:dyDescent="0.4">
      <c r="D38" s="159"/>
      <c r="F38" s="153"/>
      <c r="I38" s="167"/>
      <c r="J38" s="168"/>
      <c r="K38" s="157"/>
      <c r="L38" s="157"/>
      <c r="O38" s="161"/>
      <c r="P38" s="161"/>
    </row>
    <row r="39" spans="4:16" x14ac:dyDescent="0.4">
      <c r="D39" s="159"/>
      <c r="F39" s="153"/>
      <c r="I39" s="167"/>
      <c r="J39" s="168"/>
      <c r="K39" s="157"/>
      <c r="L39" s="157"/>
      <c r="O39" s="161"/>
      <c r="P39" s="161"/>
    </row>
    <row r="40" spans="4:16" x14ac:dyDescent="0.4">
      <c r="F40" s="153"/>
      <c r="I40" s="167"/>
      <c r="J40" s="168"/>
    </row>
    <row r="41" spans="4:16" x14ac:dyDescent="0.4">
      <c r="F41" s="153"/>
      <c r="I41" s="167"/>
      <c r="J41" s="168"/>
    </row>
    <row r="42" spans="4:16" x14ac:dyDescent="0.4">
      <c r="F42" s="153"/>
      <c r="I42" s="167"/>
      <c r="J42" s="168"/>
    </row>
    <row r="43" spans="4:16" x14ac:dyDescent="0.4">
      <c r="F43" s="153"/>
      <c r="I43" s="167"/>
      <c r="J43" s="168"/>
    </row>
    <row r="44" spans="4:16" x14ac:dyDescent="0.4">
      <c r="I44" s="167"/>
      <c r="J44" s="1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opLeftCell="R1" zoomScale="115" zoomScaleNormal="115" workbookViewId="0">
      <selection activeCell="T33" sqref="T33"/>
    </sheetView>
  </sheetViews>
  <sheetFormatPr defaultColWidth="11.609375" defaultRowHeight="12.3" x14ac:dyDescent="0.4"/>
  <cols>
    <col min="1" max="1" width="21.88671875" bestFit="1" customWidth="1"/>
    <col min="2" max="2" width="17.27734375" style="4" bestFit="1" customWidth="1"/>
    <col min="3" max="4" width="9" style="4" bestFit="1" customWidth="1"/>
    <col min="5" max="5" width="6.609375" style="9" bestFit="1" customWidth="1"/>
    <col min="6" max="6" width="6.71875" style="3" customWidth="1"/>
    <col min="7" max="7" width="7.609375" style="3" customWidth="1"/>
    <col min="8" max="8" width="6.609375" style="9" bestFit="1" customWidth="1"/>
    <col min="9" max="11" width="4.71875" customWidth="1"/>
    <col min="12" max="12" width="7.88671875" customWidth="1"/>
    <col min="13" max="13" width="7.88671875" style="3" customWidth="1"/>
    <col min="14" max="14" width="6.38671875" style="9" bestFit="1" customWidth="1"/>
    <col min="15" max="17" width="4.71875" customWidth="1"/>
    <col min="18" max="18" width="7.88671875" customWidth="1"/>
    <col min="19" max="19" width="7.88671875" style="3" customWidth="1"/>
    <col min="20" max="20" width="5.71875" style="9" bestFit="1" customWidth="1"/>
    <col min="21" max="21" width="6.109375" style="9" bestFit="1" customWidth="1"/>
    <col min="22" max="25" width="8.38671875" customWidth="1"/>
    <col min="26" max="26" width="8.109375" style="9" bestFit="1" customWidth="1"/>
    <col min="27" max="28" width="7.609375" style="6" customWidth="1"/>
    <col min="29" max="29" width="7.109375" style="9" bestFit="1" customWidth="1"/>
    <col min="30" max="30" width="6.38671875" customWidth="1"/>
    <col min="31" max="31" width="7" customWidth="1"/>
  </cols>
  <sheetData>
    <row r="1" spans="1:31" s="71" customFormat="1" ht="81.900000000000006" thickTop="1" x14ac:dyDescent="0.4">
      <c r="A1" s="96" t="s">
        <v>1</v>
      </c>
      <c r="B1" s="97" t="s">
        <v>19</v>
      </c>
      <c r="C1" s="59" t="s">
        <v>20</v>
      </c>
      <c r="D1" s="72" t="s">
        <v>12</v>
      </c>
      <c r="E1" s="60" t="s">
        <v>3</v>
      </c>
      <c r="F1" s="61" t="s">
        <v>2</v>
      </c>
      <c r="G1" s="62" t="s">
        <v>8</v>
      </c>
      <c r="H1" s="60" t="s">
        <v>3</v>
      </c>
      <c r="I1" s="63" t="s">
        <v>4</v>
      </c>
      <c r="J1" s="64" t="s">
        <v>5</v>
      </c>
      <c r="K1" s="64" t="s">
        <v>13</v>
      </c>
      <c r="L1" s="73" t="s">
        <v>9</v>
      </c>
      <c r="M1" s="65" t="s">
        <v>7</v>
      </c>
      <c r="N1" s="60" t="s">
        <v>3</v>
      </c>
      <c r="O1" s="63" t="s">
        <v>4</v>
      </c>
      <c r="P1" s="64" t="s">
        <v>5</v>
      </c>
      <c r="Q1" s="64" t="s">
        <v>13</v>
      </c>
      <c r="R1" s="73" t="s">
        <v>14</v>
      </c>
      <c r="S1" s="65" t="s">
        <v>7</v>
      </c>
      <c r="T1" s="60" t="s">
        <v>3</v>
      </c>
      <c r="U1" s="60" t="s">
        <v>21</v>
      </c>
      <c r="V1" s="66" t="s">
        <v>15</v>
      </c>
      <c r="W1" s="94" t="s">
        <v>16</v>
      </c>
      <c r="X1" s="94" t="s">
        <v>17</v>
      </c>
      <c r="Y1" s="95" t="s">
        <v>18</v>
      </c>
      <c r="Z1" s="60" t="s">
        <v>3</v>
      </c>
      <c r="AA1" s="67" t="s">
        <v>10</v>
      </c>
      <c r="AB1" s="68" t="s">
        <v>11</v>
      </c>
      <c r="AC1" s="60" t="s">
        <v>3</v>
      </c>
      <c r="AD1" s="69" t="s">
        <v>0</v>
      </c>
      <c r="AE1" s="70" t="s">
        <v>6</v>
      </c>
    </row>
    <row r="2" spans="1:31" x14ac:dyDescent="0.4">
      <c r="A2" s="14">
        <v>45505</v>
      </c>
      <c r="B2" s="76">
        <v>14457427</v>
      </c>
      <c r="C2" s="57">
        <f>3806.3+1619627+587918+9729.5+224029+22566</f>
        <v>2467675.7999999998</v>
      </c>
      <c r="D2" s="83">
        <f>B2-C2</f>
        <v>11989751.199999999</v>
      </c>
      <c r="E2" s="19">
        <f t="shared" ref="E2:E32" si="0">B3-B2</f>
        <v>21165</v>
      </c>
      <c r="F2" s="17">
        <v>10556</v>
      </c>
      <c r="G2" s="18">
        <v>0</v>
      </c>
      <c r="H2" s="19">
        <f>F2+G2-F3</f>
        <v>0</v>
      </c>
      <c r="I2" s="10">
        <v>0.55000000000000004</v>
      </c>
      <c r="J2" s="23">
        <v>0.6</v>
      </c>
      <c r="K2" s="23">
        <v>0.6</v>
      </c>
      <c r="L2" s="25">
        <f>SUM(I2:K2)/3*7500</f>
        <v>4375</v>
      </c>
      <c r="M2" s="54">
        <v>1256.74</v>
      </c>
      <c r="N2" s="19">
        <f>L3-M2-L2</f>
        <v>743.26000000000022</v>
      </c>
      <c r="O2" s="10">
        <v>0.48</v>
      </c>
      <c r="P2" s="23">
        <v>0.5</v>
      </c>
      <c r="Q2" s="23">
        <v>0.48</v>
      </c>
      <c r="R2" s="25">
        <f>SUM(O2:Q2)/3*1500</f>
        <v>730</v>
      </c>
      <c r="S2" s="54">
        <v>631.84</v>
      </c>
      <c r="T2" s="19">
        <f>SUM(R2+S2-R3)</f>
        <v>61.840000000000146</v>
      </c>
      <c r="U2" s="74">
        <f>SUM(N2+T2)</f>
        <v>805.10000000000036</v>
      </c>
      <c r="V2" s="29">
        <v>605352</v>
      </c>
      <c r="W2" s="55">
        <v>46389</v>
      </c>
      <c r="X2" s="55">
        <v>12522</v>
      </c>
      <c r="Y2" s="89">
        <f>SUM(V2-W2-X2)</f>
        <v>546441</v>
      </c>
      <c r="Z2" s="19">
        <f>SUM(Y3-Y2)</f>
        <v>156</v>
      </c>
      <c r="AA2" s="31">
        <v>8000</v>
      </c>
      <c r="AB2" s="35">
        <v>8090</v>
      </c>
      <c r="AC2" s="19">
        <f>AA2+AB2-AA3</f>
        <v>366.29000000000087</v>
      </c>
      <c r="AD2" s="7">
        <v>95</v>
      </c>
      <c r="AE2" s="12">
        <v>202</v>
      </c>
    </row>
    <row r="3" spans="1:31" x14ac:dyDescent="0.4">
      <c r="A3" s="15">
        <v>45506</v>
      </c>
      <c r="B3" s="77">
        <v>14478592</v>
      </c>
      <c r="C3" s="58">
        <f>3807.5+1620154.1+588038+9729.7+224054+22588</f>
        <v>2468371.3000000003</v>
      </c>
      <c r="D3" s="85">
        <f t="shared" ref="D3:D33" si="1">B3-C3</f>
        <v>12010220.699999999</v>
      </c>
      <c r="E3" s="22">
        <f t="shared" si="0"/>
        <v>21576</v>
      </c>
      <c r="F3" s="20">
        <v>10556</v>
      </c>
      <c r="G3" s="21">
        <v>0</v>
      </c>
      <c r="H3" s="22">
        <f>F3+G3-F4</f>
        <v>0</v>
      </c>
      <c r="I3" s="11">
        <v>0.9</v>
      </c>
      <c r="J3" s="26">
        <v>0.85</v>
      </c>
      <c r="K3" s="26">
        <v>0.8</v>
      </c>
      <c r="L3" s="27">
        <f>SUM(I3:K3)/3*7500</f>
        <v>6375</v>
      </c>
      <c r="M3" s="24">
        <v>0</v>
      </c>
      <c r="N3" s="28">
        <f>L3-L4</f>
        <v>249.99999999999909</v>
      </c>
      <c r="O3" s="11">
        <v>0.9</v>
      </c>
      <c r="P3" s="26">
        <v>0.85</v>
      </c>
      <c r="Q3" s="26">
        <v>0.85</v>
      </c>
      <c r="R3" s="27">
        <f t="shared" ref="R3:R33" si="2">SUM(O3:Q3)/3*1500</f>
        <v>1300</v>
      </c>
      <c r="S3" s="24">
        <v>0</v>
      </c>
      <c r="T3" s="28">
        <f>R3-R4</f>
        <v>110</v>
      </c>
      <c r="U3" s="75">
        <f t="shared" ref="U3:U31" si="3">SUM(N3+T3)</f>
        <v>359.99999999999909</v>
      </c>
      <c r="V3" s="30">
        <v>605625</v>
      </c>
      <c r="W3" s="56">
        <v>46496</v>
      </c>
      <c r="X3" s="56">
        <v>12532</v>
      </c>
      <c r="Y3" s="90">
        <f t="shared" ref="Y3:Y33" si="4">SUM(V3-W3-X3)</f>
        <v>546597</v>
      </c>
      <c r="Z3" s="28">
        <f t="shared" ref="Z3:Z32" si="5">SUM(Y4-Y3)</f>
        <v>153</v>
      </c>
      <c r="AA3" s="32">
        <v>15723.71</v>
      </c>
      <c r="AB3" s="36">
        <v>0</v>
      </c>
      <c r="AC3" s="28">
        <f t="shared" ref="AC3:AC12" si="6">AA3-AA4</f>
        <v>366.28999999999905</v>
      </c>
      <c r="AD3" s="8">
        <v>117</v>
      </c>
      <c r="AE3" s="13">
        <v>253</v>
      </c>
    </row>
    <row r="4" spans="1:31" x14ac:dyDescent="0.4">
      <c r="A4" s="15">
        <v>45507</v>
      </c>
      <c r="B4" s="77">
        <v>14500168</v>
      </c>
      <c r="C4" s="58">
        <f>3809+1620673.7+588038+9729.9+224176+22608</f>
        <v>2469034.6</v>
      </c>
      <c r="D4" s="85">
        <f t="shared" si="1"/>
        <v>12031133.4</v>
      </c>
      <c r="E4" s="22">
        <f t="shared" si="0"/>
        <v>22380</v>
      </c>
      <c r="F4" s="20">
        <v>10556</v>
      </c>
      <c r="G4" s="21">
        <v>0</v>
      </c>
      <c r="H4" s="22">
        <f t="shared" ref="H4:H32" si="7">F4+G4-F5</f>
        <v>0</v>
      </c>
      <c r="I4" s="11">
        <v>0.8</v>
      </c>
      <c r="J4" s="26">
        <v>0.85</v>
      </c>
      <c r="K4" s="26">
        <v>0.8</v>
      </c>
      <c r="L4" s="27">
        <f t="shared" ref="L4:L33" si="8">SUM(I4:K4)/3*7500</f>
        <v>6125.0000000000009</v>
      </c>
      <c r="M4" s="24">
        <v>0</v>
      </c>
      <c r="N4" s="28">
        <f>L4-L5</f>
        <v>750.00000000000091</v>
      </c>
      <c r="O4" s="11">
        <v>0.8</v>
      </c>
      <c r="P4" s="26">
        <v>0.8</v>
      </c>
      <c r="Q4" s="26">
        <v>0.78</v>
      </c>
      <c r="R4" s="27">
        <f t="shared" si="2"/>
        <v>1190</v>
      </c>
      <c r="S4" s="24">
        <v>0</v>
      </c>
      <c r="T4" s="28">
        <f>R4-R5</f>
        <v>65</v>
      </c>
      <c r="U4" s="75">
        <f t="shared" si="3"/>
        <v>815.00000000000091</v>
      </c>
      <c r="V4" s="30">
        <v>605893</v>
      </c>
      <c r="W4" s="56">
        <v>46600</v>
      </c>
      <c r="X4" s="56">
        <v>12543</v>
      </c>
      <c r="Y4" s="90">
        <f t="shared" si="4"/>
        <v>546750</v>
      </c>
      <c r="Z4" s="28">
        <f t="shared" si="5"/>
        <v>160</v>
      </c>
      <c r="AA4" s="32">
        <v>15357.42</v>
      </c>
      <c r="AB4" s="36">
        <v>0</v>
      </c>
      <c r="AC4" s="28">
        <f t="shared" si="6"/>
        <v>366.29000000000087</v>
      </c>
      <c r="AD4" s="8">
        <v>137</v>
      </c>
      <c r="AE4" s="13">
        <v>296</v>
      </c>
    </row>
    <row r="5" spans="1:31" x14ac:dyDescent="0.4">
      <c r="A5" s="119">
        <v>45508</v>
      </c>
      <c r="B5" s="120">
        <v>14522548</v>
      </c>
      <c r="C5" s="121">
        <f>3810.2+1621170.4+588038+9731.2+224293+22627</f>
        <v>2469669.7999999998</v>
      </c>
      <c r="D5" s="122">
        <f t="shared" si="1"/>
        <v>12052878.199999999</v>
      </c>
      <c r="E5" s="123">
        <f t="shared" si="0"/>
        <v>21365</v>
      </c>
      <c r="F5" s="124">
        <v>10556</v>
      </c>
      <c r="G5" s="125">
        <v>0</v>
      </c>
      <c r="H5" s="123">
        <f t="shared" si="7"/>
        <v>0</v>
      </c>
      <c r="I5" s="126">
        <v>0.7</v>
      </c>
      <c r="J5" s="127">
        <v>0.7</v>
      </c>
      <c r="K5" s="127">
        <v>0.75</v>
      </c>
      <c r="L5" s="128">
        <f t="shared" si="8"/>
        <v>5375</v>
      </c>
      <c r="M5" s="129">
        <v>0</v>
      </c>
      <c r="N5" s="140">
        <f>L5-L6</f>
        <v>250.00000000000091</v>
      </c>
      <c r="O5" s="126">
        <v>0.7</v>
      </c>
      <c r="P5" s="127">
        <v>0.75</v>
      </c>
      <c r="Q5" s="127">
        <v>0.8</v>
      </c>
      <c r="R5" s="128">
        <f t="shared" si="2"/>
        <v>1125</v>
      </c>
      <c r="S5" s="129">
        <v>0</v>
      </c>
      <c r="T5" s="130">
        <f>R5-R6</f>
        <v>75</v>
      </c>
      <c r="U5" s="131">
        <f t="shared" si="3"/>
        <v>325.00000000000091</v>
      </c>
      <c r="V5" s="132">
        <v>606164</v>
      </c>
      <c r="W5" s="133">
        <v>46700</v>
      </c>
      <c r="X5" s="133">
        <v>12554</v>
      </c>
      <c r="Y5" s="134">
        <f t="shared" si="4"/>
        <v>546910</v>
      </c>
      <c r="Z5" s="130">
        <f t="shared" si="5"/>
        <v>161</v>
      </c>
      <c r="AA5" s="135">
        <v>14991.13</v>
      </c>
      <c r="AB5" s="136">
        <v>0</v>
      </c>
      <c r="AC5" s="130">
        <f t="shared" si="6"/>
        <v>366.28999999999905</v>
      </c>
      <c r="AD5" s="137">
        <v>129</v>
      </c>
      <c r="AE5" s="138">
        <v>276</v>
      </c>
    </row>
    <row r="6" spans="1:31" x14ac:dyDescent="0.4">
      <c r="A6" s="98">
        <v>45509</v>
      </c>
      <c r="B6" s="99">
        <v>14543913</v>
      </c>
      <c r="C6" s="100">
        <f>3811.5+1621686.7+588038+9731.4+224416+22648</f>
        <v>2470331.6</v>
      </c>
      <c r="D6" s="101">
        <f t="shared" si="1"/>
        <v>12073581.4</v>
      </c>
      <c r="E6" s="102">
        <f t="shared" si="0"/>
        <v>20610</v>
      </c>
      <c r="F6" s="103">
        <v>10556</v>
      </c>
      <c r="G6" s="104">
        <v>0</v>
      </c>
      <c r="H6" s="102">
        <f t="shared" si="7"/>
        <v>0</v>
      </c>
      <c r="I6" s="105">
        <v>0.7</v>
      </c>
      <c r="J6" s="106">
        <v>0.7</v>
      </c>
      <c r="K6" s="106">
        <v>0.65</v>
      </c>
      <c r="L6" s="107">
        <f t="shared" si="8"/>
        <v>5124.9999999999991</v>
      </c>
      <c r="M6" s="108">
        <v>0</v>
      </c>
      <c r="N6" s="19">
        <f>L6-L7</f>
        <v>124.99999999999909</v>
      </c>
      <c r="O6" s="105">
        <v>0.75</v>
      </c>
      <c r="P6" s="106">
        <v>0.7</v>
      </c>
      <c r="Q6" s="106">
        <v>0.65</v>
      </c>
      <c r="R6" s="107">
        <f t="shared" si="2"/>
        <v>1050</v>
      </c>
      <c r="S6" s="108">
        <v>0</v>
      </c>
      <c r="T6" s="109">
        <f>R6-R7</f>
        <v>175</v>
      </c>
      <c r="U6" s="110">
        <f t="shared" si="3"/>
        <v>299.99999999999909</v>
      </c>
      <c r="V6" s="111">
        <v>606443</v>
      </c>
      <c r="W6" s="112">
        <v>46807</v>
      </c>
      <c r="X6" s="112">
        <v>12565</v>
      </c>
      <c r="Y6" s="113">
        <f t="shared" si="4"/>
        <v>547071</v>
      </c>
      <c r="Z6" s="109">
        <f t="shared" si="5"/>
        <v>179</v>
      </c>
      <c r="AA6" s="114">
        <v>14624.84</v>
      </c>
      <c r="AB6" s="115">
        <v>0</v>
      </c>
      <c r="AC6" s="109">
        <f t="shared" si="6"/>
        <v>366.29000000000087</v>
      </c>
      <c r="AD6" s="116">
        <v>115</v>
      </c>
      <c r="AE6" s="117">
        <v>244</v>
      </c>
    </row>
    <row r="7" spans="1:31" x14ac:dyDescent="0.4">
      <c r="A7" s="15">
        <v>45510</v>
      </c>
      <c r="B7" s="77">
        <v>14564523</v>
      </c>
      <c r="C7" s="58">
        <f>3812.6+1622229.3+588038+9731.6+224539+22668</f>
        <v>2471018.5000000005</v>
      </c>
      <c r="D7" s="85">
        <f t="shared" si="1"/>
        <v>12093504.5</v>
      </c>
      <c r="E7" s="22">
        <f t="shared" si="0"/>
        <v>21385</v>
      </c>
      <c r="F7" s="20">
        <v>10556</v>
      </c>
      <c r="G7" s="21">
        <v>0</v>
      </c>
      <c r="H7" s="22">
        <f t="shared" si="7"/>
        <v>0</v>
      </c>
      <c r="I7" s="11">
        <v>0.65</v>
      </c>
      <c r="J7" s="26">
        <v>0.65</v>
      </c>
      <c r="K7" s="26">
        <v>0.7</v>
      </c>
      <c r="L7" s="27">
        <f t="shared" si="8"/>
        <v>5000</v>
      </c>
      <c r="M7" s="24">
        <v>0</v>
      </c>
      <c r="N7" s="28">
        <f t="shared" ref="N7:N32" si="9">L7-L8</f>
        <v>375</v>
      </c>
      <c r="O7" s="11">
        <v>0.7</v>
      </c>
      <c r="P7" s="26">
        <v>0.55000000000000004</v>
      </c>
      <c r="Q7" s="26">
        <v>0.5</v>
      </c>
      <c r="R7" s="27">
        <f t="shared" si="2"/>
        <v>875</v>
      </c>
      <c r="S7" s="24">
        <v>0</v>
      </c>
      <c r="T7" s="28">
        <f t="shared" ref="T7:T32" si="10">R7-R8</f>
        <v>99.999999999999886</v>
      </c>
      <c r="U7" s="75">
        <f t="shared" si="3"/>
        <v>474.99999999999989</v>
      </c>
      <c r="V7" s="30">
        <v>606740</v>
      </c>
      <c r="W7" s="56">
        <v>46914</v>
      </c>
      <c r="X7" s="56">
        <v>12576</v>
      </c>
      <c r="Y7" s="90">
        <f t="shared" si="4"/>
        <v>547250</v>
      </c>
      <c r="Z7" s="28">
        <f t="shared" si="5"/>
        <v>152</v>
      </c>
      <c r="AA7" s="32">
        <v>14258.55</v>
      </c>
      <c r="AB7" s="36">
        <v>0</v>
      </c>
      <c r="AC7" s="28">
        <f t="shared" si="6"/>
        <v>366.28999999999905</v>
      </c>
      <c r="AD7" s="8">
        <v>109</v>
      </c>
      <c r="AE7" s="13">
        <v>220</v>
      </c>
    </row>
    <row r="8" spans="1:31" x14ac:dyDescent="0.4">
      <c r="A8" s="15">
        <v>45511</v>
      </c>
      <c r="B8" s="77">
        <v>14585908</v>
      </c>
      <c r="C8" s="58">
        <f>3813.8+1622777.9+588038+9732.3+224662+22688</f>
        <v>2471712</v>
      </c>
      <c r="D8" s="85">
        <f t="shared" si="1"/>
        <v>12114196</v>
      </c>
      <c r="E8" s="22">
        <f t="shared" si="0"/>
        <v>20792</v>
      </c>
      <c r="F8" s="20">
        <v>10556</v>
      </c>
      <c r="G8" s="21">
        <v>0</v>
      </c>
      <c r="H8" s="22">
        <f t="shared" si="7"/>
        <v>0</v>
      </c>
      <c r="I8" s="11">
        <v>0.65</v>
      </c>
      <c r="J8" s="26">
        <v>0.6</v>
      </c>
      <c r="K8" s="26">
        <v>0.6</v>
      </c>
      <c r="L8" s="27">
        <f t="shared" si="8"/>
        <v>4625</v>
      </c>
      <c r="M8" s="24">
        <v>0</v>
      </c>
      <c r="N8" s="28">
        <f t="shared" si="9"/>
        <v>500.00000000000091</v>
      </c>
      <c r="O8" s="11">
        <v>0.65</v>
      </c>
      <c r="P8" s="26">
        <v>0.45</v>
      </c>
      <c r="Q8" s="26">
        <v>0.45</v>
      </c>
      <c r="R8" s="27">
        <f t="shared" si="2"/>
        <v>775.00000000000011</v>
      </c>
      <c r="S8" s="24">
        <v>0</v>
      </c>
      <c r="T8" s="28">
        <f t="shared" si="10"/>
        <v>75.000000000000227</v>
      </c>
      <c r="U8" s="75">
        <f t="shared" si="3"/>
        <v>575.00000000000114</v>
      </c>
      <c r="V8" s="30">
        <v>607011</v>
      </c>
      <c r="W8" s="56">
        <v>47022</v>
      </c>
      <c r="X8" s="56">
        <v>12587</v>
      </c>
      <c r="Y8" s="90">
        <f t="shared" si="4"/>
        <v>547402</v>
      </c>
      <c r="Z8" s="28">
        <f t="shared" si="5"/>
        <v>146</v>
      </c>
      <c r="AA8" s="32">
        <v>13892.26</v>
      </c>
      <c r="AB8" s="36">
        <v>0</v>
      </c>
      <c r="AC8" s="28">
        <f t="shared" si="6"/>
        <v>366.29000000000087</v>
      </c>
      <c r="AD8" s="8">
        <v>111</v>
      </c>
      <c r="AE8" s="13">
        <v>228</v>
      </c>
    </row>
    <row r="9" spans="1:31" x14ac:dyDescent="0.4">
      <c r="A9" s="15">
        <v>45512</v>
      </c>
      <c r="B9" s="77">
        <v>14606700</v>
      </c>
      <c r="C9" s="58">
        <f>3815+1623350.4+588038+9733.4+224793+22708</f>
        <v>2472437.7999999998</v>
      </c>
      <c r="D9" s="85">
        <f t="shared" si="1"/>
        <v>12134262.199999999</v>
      </c>
      <c r="E9" s="22">
        <f t="shared" si="0"/>
        <v>21367</v>
      </c>
      <c r="F9" s="20">
        <v>10556</v>
      </c>
      <c r="G9" s="21">
        <v>0</v>
      </c>
      <c r="H9" s="22">
        <f t="shared" si="7"/>
        <v>0</v>
      </c>
      <c r="I9" s="11">
        <v>0.55000000000000004</v>
      </c>
      <c r="J9" s="26">
        <v>0.6</v>
      </c>
      <c r="K9" s="26">
        <v>0.5</v>
      </c>
      <c r="L9" s="27">
        <f t="shared" si="8"/>
        <v>4124.9999999999991</v>
      </c>
      <c r="M9" s="24">
        <v>1797.82</v>
      </c>
      <c r="N9" s="28">
        <f>L10-M9-L9</f>
        <v>327.1800000000012</v>
      </c>
      <c r="O9" s="11">
        <v>0.5</v>
      </c>
      <c r="P9" s="26">
        <v>0.45</v>
      </c>
      <c r="Q9" s="26">
        <v>0.45</v>
      </c>
      <c r="R9" s="27">
        <f t="shared" si="2"/>
        <v>699.99999999999989</v>
      </c>
      <c r="S9" s="24">
        <v>656.21</v>
      </c>
      <c r="T9" s="28">
        <f>SUM(R9+S9-R10)</f>
        <v>21.210000000000036</v>
      </c>
      <c r="U9" s="75">
        <f t="shared" si="3"/>
        <v>348.39000000000124</v>
      </c>
      <c r="V9" s="30">
        <v>607280</v>
      </c>
      <c r="W9" s="56">
        <v>47134</v>
      </c>
      <c r="X9" s="56">
        <v>12598</v>
      </c>
      <c r="Y9" s="90">
        <f t="shared" si="4"/>
        <v>547548</v>
      </c>
      <c r="Z9" s="28">
        <f t="shared" si="5"/>
        <v>151</v>
      </c>
      <c r="AA9" s="32">
        <v>13525.97</v>
      </c>
      <c r="AB9" s="36">
        <v>0</v>
      </c>
      <c r="AC9" s="28">
        <f t="shared" si="6"/>
        <v>366.28999999999905</v>
      </c>
      <c r="AD9" s="8">
        <v>118</v>
      </c>
      <c r="AE9" s="13">
        <v>250</v>
      </c>
    </row>
    <row r="10" spans="1:31" x14ac:dyDescent="0.4">
      <c r="A10" s="15">
        <v>45513</v>
      </c>
      <c r="B10" s="77">
        <v>14628067</v>
      </c>
      <c r="C10" s="58">
        <f>3816+1623899.1+588038+9734.9+224917+22728</f>
        <v>2473133</v>
      </c>
      <c r="D10" s="85">
        <f t="shared" si="1"/>
        <v>12154934</v>
      </c>
      <c r="E10" s="22">
        <f t="shared" si="0"/>
        <v>21339</v>
      </c>
      <c r="F10" s="20">
        <v>10556</v>
      </c>
      <c r="G10" s="21">
        <v>0</v>
      </c>
      <c r="H10" s="22">
        <f t="shared" si="7"/>
        <v>0</v>
      </c>
      <c r="I10" s="11">
        <v>0.8</v>
      </c>
      <c r="J10" s="26">
        <v>0.85</v>
      </c>
      <c r="K10" s="26">
        <v>0.85</v>
      </c>
      <c r="L10" s="27">
        <f t="shared" si="8"/>
        <v>6250</v>
      </c>
      <c r="M10" s="24">
        <v>0</v>
      </c>
      <c r="N10" s="28">
        <f t="shared" si="9"/>
        <v>349.99999999999909</v>
      </c>
      <c r="O10" s="11">
        <v>0.9</v>
      </c>
      <c r="P10" s="26">
        <v>0.9</v>
      </c>
      <c r="Q10" s="26">
        <v>0.87</v>
      </c>
      <c r="R10" s="27">
        <f t="shared" si="2"/>
        <v>1335</v>
      </c>
      <c r="S10" s="24">
        <v>0</v>
      </c>
      <c r="T10" s="28">
        <f t="shared" si="10"/>
        <v>160</v>
      </c>
      <c r="U10" s="75">
        <f t="shared" si="3"/>
        <v>509.99999999999909</v>
      </c>
      <c r="V10" s="30">
        <v>607551</v>
      </c>
      <c r="W10" s="56">
        <v>47242</v>
      </c>
      <c r="X10" s="56">
        <v>12610</v>
      </c>
      <c r="Y10" s="90">
        <f t="shared" si="4"/>
        <v>547699</v>
      </c>
      <c r="Z10" s="28">
        <f t="shared" si="5"/>
        <v>157</v>
      </c>
      <c r="AA10" s="32">
        <v>13159.68</v>
      </c>
      <c r="AB10" s="36">
        <v>0</v>
      </c>
      <c r="AC10" s="28">
        <f t="shared" si="6"/>
        <v>366.29000000000087</v>
      </c>
      <c r="AD10" s="8">
        <v>139</v>
      </c>
      <c r="AE10" s="13">
        <v>294</v>
      </c>
    </row>
    <row r="11" spans="1:31" x14ac:dyDescent="0.4">
      <c r="A11" s="15">
        <v>45514</v>
      </c>
      <c r="B11" s="77">
        <v>14649406</v>
      </c>
      <c r="C11" s="58">
        <f>3817+1624444.8+588038+9735.3+225040+22748</f>
        <v>2473823.0999999996</v>
      </c>
      <c r="D11" s="85">
        <f t="shared" si="1"/>
        <v>12175582.9</v>
      </c>
      <c r="E11" s="22">
        <f t="shared" si="0"/>
        <v>21797</v>
      </c>
      <c r="F11" s="20">
        <v>10556</v>
      </c>
      <c r="G11" s="21">
        <v>0</v>
      </c>
      <c r="H11" s="22">
        <f t="shared" si="7"/>
        <v>0</v>
      </c>
      <c r="I11" s="11">
        <v>0.78</v>
      </c>
      <c r="J11" s="26">
        <v>0.78</v>
      </c>
      <c r="K11" s="26">
        <v>0.8</v>
      </c>
      <c r="L11" s="27">
        <f t="shared" si="8"/>
        <v>5900.0000000000009</v>
      </c>
      <c r="M11" s="24">
        <v>0</v>
      </c>
      <c r="N11" s="28">
        <f t="shared" si="9"/>
        <v>150.00000000000091</v>
      </c>
      <c r="O11" s="11">
        <v>0.75</v>
      </c>
      <c r="P11" s="26">
        <v>0.8</v>
      </c>
      <c r="Q11" s="26">
        <v>0.8</v>
      </c>
      <c r="R11" s="27">
        <f t="shared" si="2"/>
        <v>1175</v>
      </c>
      <c r="S11" s="24">
        <v>0</v>
      </c>
      <c r="T11" s="28">
        <f t="shared" si="10"/>
        <v>65.000000000000227</v>
      </c>
      <c r="U11" s="75">
        <f t="shared" si="3"/>
        <v>215.00000000000114</v>
      </c>
      <c r="V11" s="30">
        <v>607825</v>
      </c>
      <c r="W11" s="56">
        <v>47348</v>
      </c>
      <c r="X11" s="56">
        <v>12621</v>
      </c>
      <c r="Y11" s="90">
        <f t="shared" si="4"/>
        <v>547856</v>
      </c>
      <c r="Z11" s="28">
        <f t="shared" si="5"/>
        <v>162</v>
      </c>
      <c r="AA11" s="32">
        <v>12793.39</v>
      </c>
      <c r="AB11" s="36">
        <v>0</v>
      </c>
      <c r="AC11" s="28">
        <f t="shared" si="6"/>
        <v>366.28999999999905</v>
      </c>
      <c r="AD11" s="8">
        <v>150</v>
      </c>
      <c r="AE11" s="13">
        <v>317</v>
      </c>
    </row>
    <row r="12" spans="1:31" x14ac:dyDescent="0.4">
      <c r="A12" s="119">
        <v>45515</v>
      </c>
      <c r="B12" s="120">
        <v>14671203</v>
      </c>
      <c r="C12" s="121">
        <f>3817.9+1624985.7+588038+9736.5+225160+22768</f>
        <v>2474506.0999999996</v>
      </c>
      <c r="D12" s="122">
        <f t="shared" si="1"/>
        <v>12196696.9</v>
      </c>
      <c r="E12" s="123">
        <f t="shared" si="0"/>
        <v>21970</v>
      </c>
      <c r="F12" s="124">
        <v>10556</v>
      </c>
      <c r="G12" s="125">
        <v>0</v>
      </c>
      <c r="H12" s="123">
        <f t="shared" si="7"/>
        <v>0</v>
      </c>
      <c r="I12" s="126">
        <v>0.75</v>
      </c>
      <c r="J12" s="127">
        <v>0.75</v>
      </c>
      <c r="K12" s="127">
        <v>0.8</v>
      </c>
      <c r="L12" s="128">
        <f t="shared" si="8"/>
        <v>5750</v>
      </c>
      <c r="M12" s="129">
        <v>0</v>
      </c>
      <c r="N12" s="130">
        <f>L12-L13</f>
        <v>250</v>
      </c>
      <c r="O12" s="126">
        <v>0.72</v>
      </c>
      <c r="P12" s="127">
        <v>0.75</v>
      </c>
      <c r="Q12" s="127">
        <v>0.75</v>
      </c>
      <c r="R12" s="128">
        <f t="shared" si="2"/>
        <v>1109.9999999999998</v>
      </c>
      <c r="S12" s="129">
        <v>0</v>
      </c>
      <c r="T12" s="130">
        <f>R12-R13</f>
        <v>60</v>
      </c>
      <c r="U12" s="131">
        <f t="shared" si="3"/>
        <v>310</v>
      </c>
      <c r="V12" s="132">
        <v>608101</v>
      </c>
      <c r="W12" s="133">
        <v>47451</v>
      </c>
      <c r="X12" s="133">
        <v>12632</v>
      </c>
      <c r="Y12" s="134">
        <f t="shared" si="4"/>
        <v>548018</v>
      </c>
      <c r="Z12" s="130">
        <f t="shared" si="5"/>
        <v>130</v>
      </c>
      <c r="AA12" s="135">
        <v>12427.1</v>
      </c>
      <c r="AB12" s="136">
        <v>0</v>
      </c>
      <c r="AC12" s="130">
        <f t="shared" si="6"/>
        <v>366.29000000000087</v>
      </c>
      <c r="AD12" s="137">
        <v>122</v>
      </c>
      <c r="AE12" s="138">
        <v>243</v>
      </c>
    </row>
    <row r="13" spans="1:31" x14ac:dyDescent="0.4">
      <c r="A13" s="98">
        <v>45516</v>
      </c>
      <c r="B13" s="99">
        <v>14693173</v>
      </c>
      <c r="C13" s="100">
        <f>3819.1+1625607.7+588038+9737.4+225309+22791</f>
        <v>2475302.1999999997</v>
      </c>
      <c r="D13" s="101">
        <f t="shared" si="1"/>
        <v>12217870.800000001</v>
      </c>
      <c r="E13" s="102">
        <f t="shared" si="0"/>
        <v>22115</v>
      </c>
      <c r="F13" s="103">
        <v>10556</v>
      </c>
      <c r="G13" s="104">
        <v>0</v>
      </c>
      <c r="H13" s="102">
        <f t="shared" si="7"/>
        <v>0</v>
      </c>
      <c r="I13" s="105">
        <v>0.7</v>
      </c>
      <c r="J13" s="106">
        <v>0.75</v>
      </c>
      <c r="K13" s="106">
        <v>0.75</v>
      </c>
      <c r="L13" s="107">
        <f t="shared" si="8"/>
        <v>5500</v>
      </c>
      <c r="M13" s="108">
        <v>0</v>
      </c>
      <c r="N13" s="19">
        <f>L13-L14</f>
        <v>375.00000000000091</v>
      </c>
      <c r="O13" s="105">
        <v>0.7</v>
      </c>
      <c r="P13" s="106">
        <v>0.7</v>
      </c>
      <c r="Q13" s="106">
        <v>0.7</v>
      </c>
      <c r="R13" s="107">
        <f t="shared" si="2"/>
        <v>1049.9999999999998</v>
      </c>
      <c r="S13" s="108">
        <v>0</v>
      </c>
      <c r="T13" s="109">
        <f>R13-R14</f>
        <v>124.99999999999977</v>
      </c>
      <c r="U13" s="110">
        <f t="shared" si="3"/>
        <v>500.00000000000068</v>
      </c>
      <c r="V13" s="111">
        <v>608370</v>
      </c>
      <c r="W13" s="112">
        <v>47576</v>
      </c>
      <c r="X13" s="112">
        <v>12646</v>
      </c>
      <c r="Y13" s="113">
        <f t="shared" si="4"/>
        <v>548148</v>
      </c>
      <c r="Z13" s="109">
        <f t="shared" si="5"/>
        <v>167</v>
      </c>
      <c r="AA13" s="114">
        <v>12060.81</v>
      </c>
      <c r="AB13" s="115">
        <v>0</v>
      </c>
      <c r="AC13" s="109">
        <f>AA13+AB13-AA14</f>
        <v>366.28999999999905</v>
      </c>
      <c r="AD13" s="116">
        <v>125</v>
      </c>
      <c r="AE13" s="117">
        <v>257</v>
      </c>
    </row>
    <row r="14" spans="1:31" x14ac:dyDescent="0.4">
      <c r="A14" s="15">
        <v>45517</v>
      </c>
      <c r="B14" s="77">
        <v>14715288</v>
      </c>
      <c r="C14" s="58">
        <f>38820.3+1626243.4+588138+9738.8+225431+22810</f>
        <v>2511181.5</v>
      </c>
      <c r="D14" s="85">
        <f t="shared" si="1"/>
        <v>12204106.5</v>
      </c>
      <c r="E14" s="102">
        <f t="shared" si="0"/>
        <v>22757</v>
      </c>
      <c r="F14" s="20">
        <v>10556</v>
      </c>
      <c r="G14" s="21">
        <v>0</v>
      </c>
      <c r="H14" s="22">
        <f t="shared" si="7"/>
        <v>0</v>
      </c>
      <c r="I14" s="11">
        <v>0.7</v>
      </c>
      <c r="J14" s="26">
        <v>0.7</v>
      </c>
      <c r="K14" s="26">
        <v>0.65</v>
      </c>
      <c r="L14" s="27">
        <f t="shared" si="8"/>
        <v>5124.9999999999991</v>
      </c>
      <c r="M14" s="24">
        <v>0</v>
      </c>
      <c r="N14" s="109">
        <f>L14-L15</f>
        <v>374.99999999999909</v>
      </c>
      <c r="O14" s="11">
        <v>0.6</v>
      </c>
      <c r="P14" s="26">
        <v>0.6</v>
      </c>
      <c r="Q14" s="26">
        <v>0.65</v>
      </c>
      <c r="R14" s="27">
        <f t="shared" si="2"/>
        <v>925</v>
      </c>
      <c r="S14" s="24">
        <v>0</v>
      </c>
      <c r="T14" s="28">
        <f t="shared" si="10"/>
        <v>110</v>
      </c>
      <c r="U14" s="110">
        <f t="shared" si="3"/>
        <v>484.99999999999909</v>
      </c>
      <c r="V14" s="30">
        <v>608668</v>
      </c>
      <c r="W14" s="56">
        <v>47695</v>
      </c>
      <c r="X14" s="56">
        <v>12658</v>
      </c>
      <c r="Y14" s="90">
        <f t="shared" si="4"/>
        <v>548315</v>
      </c>
      <c r="Z14" s="109">
        <f t="shared" si="5"/>
        <v>134</v>
      </c>
      <c r="AA14" s="32">
        <v>11694.52</v>
      </c>
      <c r="AB14" s="36">
        <v>0</v>
      </c>
      <c r="AC14" s="28">
        <f>AA14-AA15</f>
        <v>366.29000000000087</v>
      </c>
      <c r="AD14" s="8">
        <v>131</v>
      </c>
      <c r="AE14" s="13">
        <v>268</v>
      </c>
    </row>
    <row r="15" spans="1:31" x14ac:dyDescent="0.4">
      <c r="A15" s="15">
        <v>45518</v>
      </c>
      <c r="B15" s="77">
        <v>14738045</v>
      </c>
      <c r="C15" s="84">
        <f>3821.6+1626910.5+588319+9742.6+225471+22827</f>
        <v>2477091.7000000002</v>
      </c>
      <c r="D15" s="85">
        <f t="shared" si="1"/>
        <v>12260953.300000001</v>
      </c>
      <c r="E15" s="22">
        <f t="shared" si="0"/>
        <v>21663</v>
      </c>
      <c r="F15" s="20">
        <v>10556</v>
      </c>
      <c r="G15" s="21">
        <v>0</v>
      </c>
      <c r="H15" s="22">
        <f t="shared" si="7"/>
        <v>0</v>
      </c>
      <c r="I15" s="11">
        <v>0.65</v>
      </c>
      <c r="J15" s="26">
        <v>0.65</v>
      </c>
      <c r="K15" s="26">
        <v>0.6</v>
      </c>
      <c r="L15" s="27">
        <f t="shared" si="8"/>
        <v>4750</v>
      </c>
      <c r="M15" s="24">
        <v>1165.96</v>
      </c>
      <c r="N15" s="28">
        <f>L16-M15-L15</f>
        <v>159.03999999999996</v>
      </c>
      <c r="O15" s="11">
        <v>0.55000000000000004</v>
      </c>
      <c r="P15" s="26">
        <v>0.5</v>
      </c>
      <c r="Q15" s="26">
        <v>0.57999999999999996</v>
      </c>
      <c r="R15" s="27">
        <f t="shared" si="2"/>
        <v>815</v>
      </c>
      <c r="S15" s="24">
        <v>334.3</v>
      </c>
      <c r="T15" s="28">
        <f>R16-S15-R15</f>
        <v>25.700000000000045</v>
      </c>
      <c r="U15" s="110">
        <f t="shared" si="3"/>
        <v>184.74</v>
      </c>
      <c r="V15" s="30">
        <v>608952</v>
      </c>
      <c r="W15" s="90">
        <v>47828</v>
      </c>
      <c r="X15" s="90">
        <v>12675</v>
      </c>
      <c r="Y15" s="90">
        <f t="shared" si="4"/>
        <v>548449</v>
      </c>
      <c r="Z15" s="28">
        <f t="shared" si="5"/>
        <v>174</v>
      </c>
      <c r="AA15" s="32">
        <v>11328.23</v>
      </c>
      <c r="AB15" s="36">
        <v>0</v>
      </c>
      <c r="AC15" s="28">
        <f t="shared" ref="AC15:AC32" si="11">AA15-AA16</f>
        <v>366.28999999999905</v>
      </c>
      <c r="AD15" s="8">
        <v>161</v>
      </c>
      <c r="AE15" s="13">
        <v>346</v>
      </c>
    </row>
    <row r="16" spans="1:31" x14ac:dyDescent="0.4">
      <c r="A16" s="15">
        <v>45519</v>
      </c>
      <c r="B16" s="77">
        <v>14759708</v>
      </c>
      <c r="C16" s="84">
        <f>3822.7+1627520.5+588319+9746.3+225604+22841</f>
        <v>2477853.5</v>
      </c>
      <c r="D16" s="85">
        <f t="shared" si="1"/>
        <v>12281854.5</v>
      </c>
      <c r="E16" s="22">
        <f t="shared" si="0"/>
        <v>24292</v>
      </c>
      <c r="F16" s="20">
        <v>10556</v>
      </c>
      <c r="G16" s="21">
        <v>0</v>
      </c>
      <c r="H16" s="22">
        <f t="shared" si="7"/>
        <v>0</v>
      </c>
      <c r="I16" s="11">
        <v>0.75</v>
      </c>
      <c r="J16" s="26">
        <v>0.8</v>
      </c>
      <c r="K16" s="26">
        <v>0.88</v>
      </c>
      <c r="L16" s="27">
        <f t="shared" si="8"/>
        <v>6075</v>
      </c>
      <c r="M16" s="24">
        <v>0</v>
      </c>
      <c r="N16" s="28">
        <f t="shared" si="9"/>
        <v>450</v>
      </c>
      <c r="O16" s="11">
        <v>0.75</v>
      </c>
      <c r="P16" s="26">
        <v>0.8</v>
      </c>
      <c r="Q16" s="26">
        <v>0.8</v>
      </c>
      <c r="R16" s="27">
        <f t="shared" si="2"/>
        <v>1175</v>
      </c>
      <c r="S16" s="24">
        <v>0</v>
      </c>
      <c r="T16" s="28">
        <f t="shared" si="10"/>
        <v>150.00000000000023</v>
      </c>
      <c r="U16" s="110">
        <f t="shared" si="3"/>
        <v>600.00000000000023</v>
      </c>
      <c r="V16" s="30">
        <v>609262</v>
      </c>
      <c r="W16" s="90">
        <v>47948</v>
      </c>
      <c r="X16" s="90">
        <v>12691</v>
      </c>
      <c r="Y16" s="90">
        <f t="shared" si="4"/>
        <v>548623</v>
      </c>
      <c r="Z16" s="28">
        <f t="shared" si="5"/>
        <v>176</v>
      </c>
      <c r="AA16" s="32">
        <v>10961.94</v>
      </c>
      <c r="AB16" s="36">
        <v>0</v>
      </c>
      <c r="AC16" s="28">
        <f t="shared" si="11"/>
        <v>366.29000000000087</v>
      </c>
      <c r="AD16" s="8">
        <v>169</v>
      </c>
      <c r="AE16" s="13">
        <v>362</v>
      </c>
    </row>
    <row r="17" spans="1:31" x14ac:dyDescent="0.4">
      <c r="A17" s="15">
        <v>45520</v>
      </c>
      <c r="B17" s="77">
        <v>14784000</v>
      </c>
      <c r="C17" s="84">
        <f>3824+1628191.6+588319+9479.6+225751+22857</f>
        <v>2478422.2000000002</v>
      </c>
      <c r="D17" s="85">
        <f t="shared" si="1"/>
        <v>12305577.800000001</v>
      </c>
      <c r="E17" s="22">
        <f t="shared" si="0"/>
        <v>22857</v>
      </c>
      <c r="F17" s="20">
        <v>10556</v>
      </c>
      <c r="G17" s="21">
        <v>0</v>
      </c>
      <c r="H17" s="22">
        <f t="shared" si="7"/>
        <v>0</v>
      </c>
      <c r="I17" s="11">
        <v>0.7</v>
      </c>
      <c r="J17" s="26">
        <v>0.75</v>
      </c>
      <c r="K17" s="26">
        <v>0.8</v>
      </c>
      <c r="L17" s="27">
        <f t="shared" si="8"/>
        <v>5625</v>
      </c>
      <c r="M17" s="24">
        <v>0</v>
      </c>
      <c r="N17" s="28">
        <f t="shared" si="9"/>
        <v>374.99999999999909</v>
      </c>
      <c r="O17" s="11">
        <v>0.6</v>
      </c>
      <c r="P17" s="26">
        <v>0.75</v>
      </c>
      <c r="Q17" s="26">
        <v>0.7</v>
      </c>
      <c r="R17" s="27">
        <f t="shared" si="2"/>
        <v>1024.9999999999998</v>
      </c>
      <c r="S17" s="24">
        <v>0</v>
      </c>
      <c r="T17" s="28">
        <f t="shared" si="10"/>
        <v>49.999999999999773</v>
      </c>
      <c r="U17" s="110">
        <f t="shared" si="3"/>
        <v>424.99999999999886</v>
      </c>
      <c r="V17" s="30">
        <v>609586</v>
      </c>
      <c r="W17" s="90">
        <v>48078</v>
      </c>
      <c r="X17" s="90">
        <v>12709</v>
      </c>
      <c r="Y17" s="90">
        <f t="shared" si="4"/>
        <v>548799</v>
      </c>
      <c r="Z17" s="28">
        <f t="shared" si="5"/>
        <v>161</v>
      </c>
      <c r="AA17" s="32">
        <v>10595.65</v>
      </c>
      <c r="AB17" s="36">
        <v>0</v>
      </c>
      <c r="AC17" s="28">
        <f t="shared" si="11"/>
        <v>366.28999999999905</v>
      </c>
      <c r="AD17" s="8">
        <v>166</v>
      </c>
      <c r="AE17" s="13">
        <v>364</v>
      </c>
    </row>
    <row r="18" spans="1:31" x14ac:dyDescent="0.4">
      <c r="A18" s="15">
        <v>45521</v>
      </c>
      <c r="B18" s="77">
        <v>14806857</v>
      </c>
      <c r="C18" s="84">
        <f>3825+1628798.9+588319+9751.8+225804+22875</f>
        <v>2479373.6999999997</v>
      </c>
      <c r="D18" s="85">
        <f t="shared" si="1"/>
        <v>12327483.300000001</v>
      </c>
      <c r="E18" s="22">
        <f t="shared" si="0"/>
        <v>23006</v>
      </c>
      <c r="F18" s="20">
        <v>10556</v>
      </c>
      <c r="G18" s="21">
        <v>0</v>
      </c>
      <c r="H18" s="22">
        <f t="shared" si="7"/>
        <v>0</v>
      </c>
      <c r="I18" s="11">
        <v>0.65</v>
      </c>
      <c r="J18" s="26">
        <v>0.7</v>
      </c>
      <c r="K18" s="26">
        <v>0.75</v>
      </c>
      <c r="L18" s="27">
        <f t="shared" si="8"/>
        <v>5250.0000000000009</v>
      </c>
      <c r="M18" s="24">
        <v>0</v>
      </c>
      <c r="N18" s="28">
        <f t="shared" si="9"/>
        <v>250.00000000000091</v>
      </c>
      <c r="O18" s="11">
        <v>0.65</v>
      </c>
      <c r="P18" s="26">
        <v>0.6</v>
      </c>
      <c r="Q18" s="26">
        <v>0.7</v>
      </c>
      <c r="R18" s="27">
        <f t="shared" si="2"/>
        <v>975</v>
      </c>
      <c r="S18" s="24">
        <v>0</v>
      </c>
      <c r="T18" s="28">
        <f t="shared" si="10"/>
        <v>50</v>
      </c>
      <c r="U18" s="110">
        <f t="shared" si="3"/>
        <v>300.00000000000091</v>
      </c>
      <c r="V18" s="30">
        <v>609886</v>
      </c>
      <c r="W18" s="90">
        <v>48200</v>
      </c>
      <c r="X18" s="90">
        <v>12726</v>
      </c>
      <c r="Y18" s="90">
        <f t="shared" si="4"/>
        <v>548960</v>
      </c>
      <c r="Z18" s="28">
        <f t="shared" si="5"/>
        <v>176</v>
      </c>
      <c r="AA18" s="32">
        <v>10229.36</v>
      </c>
      <c r="AB18" s="36">
        <v>0</v>
      </c>
      <c r="AC18" s="28">
        <f t="shared" si="11"/>
        <v>366.29000000000087</v>
      </c>
      <c r="AD18" s="8">
        <v>159</v>
      </c>
      <c r="AE18" s="13">
        <v>365</v>
      </c>
    </row>
    <row r="19" spans="1:31" x14ac:dyDescent="0.4">
      <c r="A19" s="119">
        <v>45522</v>
      </c>
      <c r="B19" s="120">
        <v>14829863</v>
      </c>
      <c r="C19" s="139">
        <f>3826.6+1629426+588319+9753.8+226028+22897</f>
        <v>2480250.4</v>
      </c>
      <c r="D19" s="122">
        <f t="shared" si="1"/>
        <v>12349612.6</v>
      </c>
      <c r="E19" s="123">
        <f t="shared" si="0"/>
        <v>22379</v>
      </c>
      <c r="F19" s="124">
        <v>10556</v>
      </c>
      <c r="G19" s="125">
        <v>0</v>
      </c>
      <c r="H19" s="123">
        <f t="shared" si="7"/>
        <v>0</v>
      </c>
      <c r="I19" s="126">
        <v>0.65</v>
      </c>
      <c r="J19" s="127">
        <v>0.65</v>
      </c>
      <c r="K19" s="127">
        <v>0.7</v>
      </c>
      <c r="L19" s="128">
        <f t="shared" si="8"/>
        <v>5000</v>
      </c>
      <c r="M19" s="129">
        <v>0</v>
      </c>
      <c r="N19" s="130">
        <f>L19-L20</f>
        <v>250</v>
      </c>
      <c r="O19" s="126">
        <v>0.6</v>
      </c>
      <c r="P19" s="127">
        <v>0.6</v>
      </c>
      <c r="Q19" s="127">
        <v>0.65</v>
      </c>
      <c r="R19" s="128">
        <f t="shared" si="2"/>
        <v>925</v>
      </c>
      <c r="S19" s="129">
        <v>0</v>
      </c>
      <c r="T19" s="130">
        <f>R19-R20</f>
        <v>50</v>
      </c>
      <c r="U19" s="131">
        <f t="shared" si="3"/>
        <v>300</v>
      </c>
      <c r="V19" s="132">
        <v>610201</v>
      </c>
      <c r="W19" s="134">
        <v>48322</v>
      </c>
      <c r="X19" s="134">
        <v>12743</v>
      </c>
      <c r="Y19" s="134">
        <f t="shared" si="4"/>
        <v>549136</v>
      </c>
      <c r="Z19" s="130">
        <f t="shared" si="5"/>
        <v>162</v>
      </c>
      <c r="AA19" s="135">
        <v>9863.07</v>
      </c>
      <c r="AB19" s="136">
        <v>0</v>
      </c>
      <c r="AC19" s="130">
        <f t="shared" si="11"/>
        <v>366.28999999999905</v>
      </c>
      <c r="AD19" s="137">
        <v>156</v>
      </c>
      <c r="AE19" s="138">
        <v>334</v>
      </c>
    </row>
    <row r="20" spans="1:31" x14ac:dyDescent="0.4">
      <c r="A20" s="98">
        <v>45523</v>
      </c>
      <c r="B20" s="99">
        <v>14852242</v>
      </c>
      <c r="C20" s="118">
        <f>3827.8+1630044.5+588319+9756.3+226172+22919</f>
        <v>2481038.5999999996</v>
      </c>
      <c r="D20" s="101">
        <f t="shared" si="1"/>
        <v>12371203.4</v>
      </c>
      <c r="E20" s="102">
        <f t="shared" si="0"/>
        <v>21821</v>
      </c>
      <c r="F20" s="103">
        <v>10556</v>
      </c>
      <c r="G20" s="104">
        <v>0</v>
      </c>
      <c r="H20" s="102">
        <f t="shared" si="7"/>
        <v>0</v>
      </c>
      <c r="I20" s="105">
        <v>0.6</v>
      </c>
      <c r="J20" s="106">
        <v>0.65</v>
      </c>
      <c r="K20" s="106">
        <v>0.65</v>
      </c>
      <c r="L20" s="107">
        <f t="shared" si="8"/>
        <v>4750</v>
      </c>
      <c r="M20" s="108">
        <v>0</v>
      </c>
      <c r="N20" s="19">
        <f>L20-L21</f>
        <v>300.00000000000091</v>
      </c>
      <c r="O20" s="105">
        <v>0.6</v>
      </c>
      <c r="P20" s="106">
        <v>0.55000000000000004</v>
      </c>
      <c r="Q20" s="106">
        <v>0.6</v>
      </c>
      <c r="R20" s="107">
        <f t="shared" si="2"/>
        <v>875</v>
      </c>
      <c r="S20" s="108">
        <v>0</v>
      </c>
      <c r="T20" s="109">
        <f>R20-R21</f>
        <v>99.999999999999886</v>
      </c>
      <c r="U20" s="110">
        <f t="shared" si="3"/>
        <v>400.0000000000008</v>
      </c>
      <c r="V20" s="111">
        <v>610506</v>
      </c>
      <c r="W20" s="113">
        <v>48450</v>
      </c>
      <c r="X20" s="113">
        <v>12758</v>
      </c>
      <c r="Y20" s="113">
        <f t="shared" si="4"/>
        <v>549298</v>
      </c>
      <c r="Z20" s="109">
        <f t="shared" si="5"/>
        <v>158</v>
      </c>
      <c r="AA20" s="114">
        <v>9496.7800000000007</v>
      </c>
      <c r="AB20" s="115">
        <v>0</v>
      </c>
      <c r="AC20" s="109">
        <f t="shared" si="11"/>
        <v>366.29000000000087</v>
      </c>
      <c r="AD20" s="116">
        <v>134</v>
      </c>
      <c r="AE20" s="117">
        <v>288</v>
      </c>
    </row>
    <row r="21" spans="1:31" x14ac:dyDescent="0.4">
      <c r="A21" s="15">
        <v>45524</v>
      </c>
      <c r="B21" s="77">
        <v>14874063</v>
      </c>
      <c r="C21" s="84">
        <f>3828.9+1630666+588319+9757.2+226309+22941</f>
        <v>2481821.1</v>
      </c>
      <c r="D21" s="85">
        <f t="shared" si="1"/>
        <v>12392241.9</v>
      </c>
      <c r="E21" s="22">
        <f t="shared" si="0"/>
        <v>22323</v>
      </c>
      <c r="F21" s="20">
        <v>10556</v>
      </c>
      <c r="G21" s="21">
        <v>0</v>
      </c>
      <c r="H21" s="22">
        <f t="shared" si="7"/>
        <v>0</v>
      </c>
      <c r="I21" s="11">
        <v>0.57999999999999996</v>
      </c>
      <c r="J21" s="26">
        <v>0.6</v>
      </c>
      <c r="K21" s="26">
        <v>0.6</v>
      </c>
      <c r="L21" s="27">
        <f t="shared" si="8"/>
        <v>4449.9999999999991</v>
      </c>
      <c r="M21" s="24">
        <v>0</v>
      </c>
      <c r="N21" s="28">
        <f t="shared" si="9"/>
        <v>199.99999999999818</v>
      </c>
      <c r="O21" s="11">
        <v>0.45</v>
      </c>
      <c r="P21" s="26">
        <v>0.55000000000000004</v>
      </c>
      <c r="Q21" s="26">
        <v>0.55000000000000004</v>
      </c>
      <c r="R21" s="27">
        <f t="shared" si="2"/>
        <v>775.00000000000011</v>
      </c>
      <c r="S21" s="24">
        <v>0</v>
      </c>
      <c r="T21" s="28">
        <f t="shared" si="10"/>
        <v>50.000000000000114</v>
      </c>
      <c r="U21" s="75">
        <f t="shared" si="3"/>
        <v>249.99999999999829</v>
      </c>
      <c r="V21" s="30">
        <v>610790</v>
      </c>
      <c r="W21" s="90">
        <v>48564</v>
      </c>
      <c r="X21" s="90">
        <v>12770</v>
      </c>
      <c r="Y21" s="90">
        <f t="shared" si="4"/>
        <v>549456</v>
      </c>
      <c r="Z21" s="28">
        <f t="shared" si="5"/>
        <v>147</v>
      </c>
      <c r="AA21" s="32">
        <v>9130.49</v>
      </c>
      <c r="AB21" s="36">
        <v>0</v>
      </c>
      <c r="AC21" s="28">
        <f t="shared" si="11"/>
        <v>366.28999999999905</v>
      </c>
      <c r="AD21" s="8">
        <v>127</v>
      </c>
      <c r="AE21" s="13">
        <v>272</v>
      </c>
    </row>
    <row r="22" spans="1:31" x14ac:dyDescent="0.4">
      <c r="A22" s="15">
        <v>45525</v>
      </c>
      <c r="B22" s="77">
        <v>14896386</v>
      </c>
      <c r="C22" s="84">
        <f>3830.3+1631345.4+588319+9757.4+226451+22963</f>
        <v>2482666.1</v>
      </c>
      <c r="D22" s="85">
        <f t="shared" si="1"/>
        <v>12413719.9</v>
      </c>
      <c r="E22" s="22">
        <f t="shared" si="0"/>
        <v>22642</v>
      </c>
      <c r="F22" s="20">
        <v>10556</v>
      </c>
      <c r="G22" s="21">
        <v>0</v>
      </c>
      <c r="H22" s="22">
        <f t="shared" si="7"/>
        <v>0</v>
      </c>
      <c r="I22" s="11">
        <v>0.5</v>
      </c>
      <c r="J22" s="26">
        <v>0.6</v>
      </c>
      <c r="K22" s="26">
        <v>0.6</v>
      </c>
      <c r="L22" s="27">
        <f t="shared" si="8"/>
        <v>4250.0000000000009</v>
      </c>
      <c r="M22" s="24">
        <v>0</v>
      </c>
      <c r="N22" s="28">
        <f t="shared" si="9"/>
        <v>375.00000000000045</v>
      </c>
      <c r="O22" s="11">
        <v>0.45</v>
      </c>
      <c r="P22" s="26">
        <v>0.5</v>
      </c>
      <c r="Q22" s="26">
        <v>0.5</v>
      </c>
      <c r="R22" s="27">
        <f>SUM(O22:Q22)/3*1500</f>
        <v>725</v>
      </c>
      <c r="S22" s="24">
        <v>0</v>
      </c>
      <c r="T22" s="28">
        <f t="shared" si="10"/>
        <v>50</v>
      </c>
      <c r="U22" s="75">
        <f t="shared" si="3"/>
        <v>425.00000000000045</v>
      </c>
      <c r="V22" s="30">
        <v>611081</v>
      </c>
      <c r="W22" s="90">
        <v>48696</v>
      </c>
      <c r="X22" s="90">
        <v>12782</v>
      </c>
      <c r="Y22" s="90">
        <f t="shared" si="4"/>
        <v>549603</v>
      </c>
      <c r="Z22" s="28">
        <f t="shared" si="5"/>
        <v>179</v>
      </c>
      <c r="AA22" s="32">
        <v>8764.2000000000007</v>
      </c>
      <c r="AB22" s="36">
        <v>0</v>
      </c>
      <c r="AC22" s="28">
        <f t="shared" si="11"/>
        <v>366.29000000000087</v>
      </c>
      <c r="AD22" s="8">
        <v>124</v>
      </c>
      <c r="AE22" s="13">
        <v>266</v>
      </c>
    </row>
    <row r="23" spans="1:31" x14ac:dyDescent="0.4">
      <c r="A23" s="15">
        <v>45526</v>
      </c>
      <c r="B23" s="77">
        <v>14919028</v>
      </c>
      <c r="C23" s="84">
        <f>3831.5+1631963.6+588319+9757.6+226592+22985</f>
        <v>2483448.7000000002</v>
      </c>
      <c r="D23" s="85">
        <f t="shared" si="1"/>
        <v>12435579.300000001</v>
      </c>
      <c r="E23" s="22">
        <f t="shared" si="0"/>
        <v>21548</v>
      </c>
      <c r="F23" s="20">
        <v>10556</v>
      </c>
      <c r="G23" s="21">
        <v>0</v>
      </c>
      <c r="H23" s="22">
        <f t="shared" si="7"/>
        <v>0</v>
      </c>
      <c r="I23" s="11">
        <v>0.45</v>
      </c>
      <c r="J23" s="26">
        <v>0.55000000000000004</v>
      </c>
      <c r="K23" s="26">
        <v>0.55000000000000004</v>
      </c>
      <c r="L23" s="27">
        <f t="shared" si="8"/>
        <v>3875.0000000000005</v>
      </c>
      <c r="M23" s="24">
        <v>1639.25</v>
      </c>
      <c r="N23" s="28">
        <f>SUM(L24-M23-L23)</f>
        <v>135.74999999999955</v>
      </c>
      <c r="O23" s="11">
        <v>0.45</v>
      </c>
      <c r="P23" s="26">
        <v>0.5</v>
      </c>
      <c r="Q23" s="26">
        <v>0.4</v>
      </c>
      <c r="R23" s="27">
        <f t="shared" si="2"/>
        <v>675</v>
      </c>
      <c r="S23" s="24">
        <v>683.27</v>
      </c>
      <c r="T23" s="28">
        <f>SUM(R23+S23-R24)</f>
        <v>138.26999999999998</v>
      </c>
      <c r="U23" s="75">
        <f t="shared" si="3"/>
        <v>274.01999999999953</v>
      </c>
      <c r="V23" s="30">
        <v>611394</v>
      </c>
      <c r="W23" s="90">
        <v>48820</v>
      </c>
      <c r="X23" s="90">
        <v>12792</v>
      </c>
      <c r="Y23" s="90">
        <f t="shared" si="4"/>
        <v>549782</v>
      </c>
      <c r="Z23" s="28">
        <f t="shared" si="5"/>
        <v>138</v>
      </c>
      <c r="AA23" s="32">
        <v>8397.91</v>
      </c>
      <c r="AB23" s="36">
        <v>7265</v>
      </c>
      <c r="AC23" s="28">
        <f>AA23+AB23-AA24</f>
        <v>366.29999999999927</v>
      </c>
      <c r="AD23" s="8">
        <v>136</v>
      </c>
      <c r="AE23" s="13">
        <v>292</v>
      </c>
    </row>
    <row r="24" spans="1:31" x14ac:dyDescent="0.4">
      <c r="A24" s="15">
        <v>45527</v>
      </c>
      <c r="B24" s="77">
        <v>14940576</v>
      </c>
      <c r="C24" s="84">
        <f>3832.8+1633255.7+588319+9758.9+226726+23003</f>
        <v>2484895.4</v>
      </c>
      <c r="D24" s="85">
        <f t="shared" si="1"/>
        <v>12455680.6</v>
      </c>
      <c r="E24" s="22">
        <f t="shared" si="0"/>
        <v>21099</v>
      </c>
      <c r="F24" s="20">
        <v>10556</v>
      </c>
      <c r="G24" s="21">
        <v>0</v>
      </c>
      <c r="H24" s="22">
        <f t="shared" si="7"/>
        <v>0</v>
      </c>
      <c r="I24" s="11">
        <v>0.75</v>
      </c>
      <c r="J24" s="26">
        <v>0.75</v>
      </c>
      <c r="K24" s="26">
        <v>0.76</v>
      </c>
      <c r="L24" s="27">
        <f t="shared" si="8"/>
        <v>5650</v>
      </c>
      <c r="M24" s="24">
        <v>0</v>
      </c>
      <c r="N24" s="28">
        <f t="shared" si="9"/>
        <v>125</v>
      </c>
      <c r="O24" s="11">
        <v>0.82</v>
      </c>
      <c r="P24" s="26">
        <v>0.82</v>
      </c>
      <c r="Q24" s="26">
        <v>0.8</v>
      </c>
      <c r="R24" s="27">
        <f t="shared" si="2"/>
        <v>1220</v>
      </c>
      <c r="S24" s="24">
        <v>0</v>
      </c>
      <c r="T24" s="28">
        <f t="shared" si="10"/>
        <v>70</v>
      </c>
      <c r="U24" s="75">
        <f t="shared" si="3"/>
        <v>195</v>
      </c>
      <c r="V24" s="30">
        <v>611657</v>
      </c>
      <c r="W24" s="90">
        <v>48935</v>
      </c>
      <c r="X24" s="90">
        <v>12802</v>
      </c>
      <c r="Y24" s="90">
        <f t="shared" si="4"/>
        <v>549920</v>
      </c>
      <c r="Z24" s="28">
        <f t="shared" si="5"/>
        <v>170</v>
      </c>
      <c r="AA24" s="32">
        <v>15296.61</v>
      </c>
      <c r="AB24" s="36">
        <v>0</v>
      </c>
      <c r="AC24" s="28">
        <f t="shared" si="11"/>
        <v>366.29000000000087</v>
      </c>
      <c r="AD24" s="8">
        <v>149</v>
      </c>
      <c r="AE24" s="13">
        <v>312</v>
      </c>
    </row>
    <row r="25" spans="1:31" x14ac:dyDescent="0.4">
      <c r="A25" s="15">
        <v>45528</v>
      </c>
      <c r="B25" s="77">
        <v>14961675</v>
      </c>
      <c r="C25" s="84">
        <f>3834.3+1633291.4+588319+9759.5+226870+23025</f>
        <v>2485099.2000000002</v>
      </c>
      <c r="D25" s="85">
        <f t="shared" si="1"/>
        <v>12476575.800000001</v>
      </c>
      <c r="E25" s="22">
        <f t="shared" si="0"/>
        <v>23492</v>
      </c>
      <c r="F25" s="20">
        <v>10556</v>
      </c>
      <c r="G25" s="21">
        <v>0</v>
      </c>
      <c r="H25" s="22">
        <f t="shared" si="7"/>
        <v>0</v>
      </c>
      <c r="I25" s="11">
        <v>0.73</v>
      </c>
      <c r="J25" s="26">
        <v>0.73</v>
      </c>
      <c r="K25" s="26">
        <v>0.75</v>
      </c>
      <c r="L25" s="27">
        <f t="shared" si="8"/>
        <v>5525</v>
      </c>
      <c r="M25" s="24">
        <v>0</v>
      </c>
      <c r="N25" s="28">
        <f t="shared" si="9"/>
        <v>150</v>
      </c>
      <c r="O25" s="11">
        <v>0.75</v>
      </c>
      <c r="P25" s="26">
        <v>0.75</v>
      </c>
      <c r="Q25" s="26">
        <v>0.8</v>
      </c>
      <c r="R25" s="27">
        <f t="shared" si="2"/>
        <v>1150</v>
      </c>
      <c r="S25" s="24">
        <v>0</v>
      </c>
      <c r="T25" s="28">
        <f t="shared" si="10"/>
        <v>75</v>
      </c>
      <c r="U25" s="75">
        <f t="shared" si="3"/>
        <v>225</v>
      </c>
      <c r="V25" s="30">
        <v>611966</v>
      </c>
      <c r="W25" s="90">
        <v>49063</v>
      </c>
      <c r="X25" s="90">
        <v>12813</v>
      </c>
      <c r="Y25" s="90">
        <f t="shared" si="4"/>
        <v>550090</v>
      </c>
      <c r="Z25" s="28">
        <f t="shared" si="5"/>
        <v>165</v>
      </c>
      <c r="AA25" s="135">
        <v>14930.32</v>
      </c>
      <c r="AB25" s="36">
        <v>0</v>
      </c>
      <c r="AC25" s="28">
        <f t="shared" si="11"/>
        <v>366.28999999999905</v>
      </c>
      <c r="AD25" s="8">
        <v>147</v>
      </c>
      <c r="AE25" s="13">
        <v>307</v>
      </c>
    </row>
    <row r="26" spans="1:31" x14ac:dyDescent="0.4">
      <c r="A26" s="119">
        <v>45529</v>
      </c>
      <c r="B26" s="120">
        <v>14985167</v>
      </c>
      <c r="C26" s="139">
        <f>3835.5+1633835.7+588319+9760+227016+23040</f>
        <v>2485806.2000000002</v>
      </c>
      <c r="D26" s="122">
        <f t="shared" si="1"/>
        <v>12499360.800000001</v>
      </c>
      <c r="E26" s="123">
        <f t="shared" si="0"/>
        <v>22266</v>
      </c>
      <c r="F26" s="124">
        <v>10556</v>
      </c>
      <c r="G26" s="125">
        <v>0</v>
      </c>
      <c r="H26" s="123">
        <f t="shared" si="7"/>
        <v>0</v>
      </c>
      <c r="I26" s="126">
        <v>0.7</v>
      </c>
      <c r="J26" s="127">
        <v>0.7</v>
      </c>
      <c r="K26" s="127">
        <v>0.75</v>
      </c>
      <c r="L26" s="128">
        <f t="shared" si="8"/>
        <v>5375</v>
      </c>
      <c r="M26" s="129">
        <v>0</v>
      </c>
      <c r="N26" s="130">
        <f>L26-L27</f>
        <v>250.00000000000091</v>
      </c>
      <c r="O26" s="126">
        <v>0.7</v>
      </c>
      <c r="P26" s="127">
        <v>0.7</v>
      </c>
      <c r="Q26" s="127">
        <v>0.75</v>
      </c>
      <c r="R26" s="128">
        <f t="shared" si="2"/>
        <v>1075</v>
      </c>
      <c r="S26" s="129">
        <v>0</v>
      </c>
      <c r="T26" s="130">
        <f>R26-R27</f>
        <v>150</v>
      </c>
      <c r="U26" s="131">
        <f t="shared" si="3"/>
        <v>400.00000000000091</v>
      </c>
      <c r="V26" s="132">
        <v>612269</v>
      </c>
      <c r="W26" s="134">
        <v>49187</v>
      </c>
      <c r="X26" s="134">
        <v>12827</v>
      </c>
      <c r="Y26" s="134">
        <f t="shared" si="4"/>
        <v>550255</v>
      </c>
      <c r="Z26" s="130">
        <f t="shared" si="5"/>
        <v>161</v>
      </c>
      <c r="AA26" s="142">
        <v>14564.03</v>
      </c>
      <c r="AB26" s="136">
        <v>0</v>
      </c>
      <c r="AC26" s="130">
        <f t="shared" si="11"/>
        <v>366.29000000000087</v>
      </c>
      <c r="AD26" s="137">
        <v>110</v>
      </c>
      <c r="AE26" s="138">
        <v>232</v>
      </c>
    </row>
    <row r="27" spans="1:31" x14ac:dyDescent="0.4">
      <c r="A27" s="98">
        <v>45530</v>
      </c>
      <c r="B27" s="99">
        <v>15007433</v>
      </c>
      <c r="C27" s="118">
        <f>3836.7+1634374.1+588319+9760.2+227142+23054</f>
        <v>2486486</v>
      </c>
      <c r="D27" s="101">
        <f t="shared" si="1"/>
        <v>12520947</v>
      </c>
      <c r="E27" s="102">
        <f t="shared" si="0"/>
        <v>21405</v>
      </c>
      <c r="F27" s="103">
        <v>10556</v>
      </c>
      <c r="G27" s="104">
        <v>0</v>
      </c>
      <c r="H27" s="102">
        <f t="shared" si="7"/>
        <v>0</v>
      </c>
      <c r="I27" s="105">
        <v>0.68</v>
      </c>
      <c r="J27" s="106">
        <v>0.67</v>
      </c>
      <c r="K27" s="106">
        <v>0.7</v>
      </c>
      <c r="L27" s="107">
        <f t="shared" si="8"/>
        <v>5124.9999999999991</v>
      </c>
      <c r="M27" s="108">
        <v>0</v>
      </c>
      <c r="N27" s="109">
        <f t="shared" si="9"/>
        <v>249.99999999999909</v>
      </c>
      <c r="O27" s="105">
        <v>0.6</v>
      </c>
      <c r="P27" s="106">
        <v>0.6</v>
      </c>
      <c r="Q27" s="106">
        <v>0.65</v>
      </c>
      <c r="R27" s="107">
        <f t="shared" si="2"/>
        <v>925</v>
      </c>
      <c r="S27" s="108">
        <v>0</v>
      </c>
      <c r="T27" s="109">
        <f t="shared" si="10"/>
        <v>50</v>
      </c>
      <c r="U27" s="110">
        <f t="shared" si="3"/>
        <v>299.99999999999909</v>
      </c>
      <c r="V27" s="111">
        <v>612545</v>
      </c>
      <c r="W27" s="113">
        <v>49291</v>
      </c>
      <c r="X27" s="113">
        <v>12838</v>
      </c>
      <c r="Y27" s="113">
        <f t="shared" si="4"/>
        <v>550416</v>
      </c>
      <c r="Z27" s="109">
        <f t="shared" si="5"/>
        <v>132</v>
      </c>
      <c r="AA27" s="114">
        <v>14197.74</v>
      </c>
      <c r="AB27" s="115">
        <v>0</v>
      </c>
      <c r="AC27" s="109">
        <f t="shared" si="11"/>
        <v>366.28999999999905</v>
      </c>
      <c r="AD27" s="116">
        <v>88</v>
      </c>
      <c r="AE27" s="117">
        <v>189</v>
      </c>
    </row>
    <row r="28" spans="1:31" x14ac:dyDescent="0.4">
      <c r="A28" s="15">
        <v>45531</v>
      </c>
      <c r="B28" s="77">
        <v>15028838</v>
      </c>
      <c r="C28" s="84">
        <f>3837.8+1634973.7+588319+9760.4+227275+23068</f>
        <v>2487233.9</v>
      </c>
      <c r="D28" s="85">
        <f t="shared" si="1"/>
        <v>12541604.1</v>
      </c>
      <c r="E28" s="22">
        <f t="shared" si="0"/>
        <v>19946</v>
      </c>
      <c r="F28" s="20">
        <v>10556</v>
      </c>
      <c r="G28" s="21">
        <v>0</v>
      </c>
      <c r="H28" s="22">
        <f t="shared" si="7"/>
        <v>0</v>
      </c>
      <c r="I28" s="11">
        <v>0.65</v>
      </c>
      <c r="J28" s="26">
        <v>0.65</v>
      </c>
      <c r="K28" s="26">
        <v>0.65</v>
      </c>
      <c r="L28" s="27">
        <f t="shared" si="8"/>
        <v>4875</v>
      </c>
      <c r="M28" s="24">
        <v>0</v>
      </c>
      <c r="N28" s="28">
        <f t="shared" si="9"/>
        <v>225</v>
      </c>
      <c r="O28" s="11">
        <v>0.55000000000000004</v>
      </c>
      <c r="P28" s="26">
        <v>0.6</v>
      </c>
      <c r="Q28" s="26">
        <v>0.6</v>
      </c>
      <c r="R28" s="27">
        <f t="shared" si="2"/>
        <v>875</v>
      </c>
      <c r="S28" s="24">
        <v>0</v>
      </c>
      <c r="T28" s="28">
        <f t="shared" si="10"/>
        <v>75</v>
      </c>
      <c r="U28" s="75">
        <f t="shared" si="3"/>
        <v>300</v>
      </c>
      <c r="V28" s="30">
        <v>612797</v>
      </c>
      <c r="W28" s="90">
        <v>49401</v>
      </c>
      <c r="X28" s="90">
        <v>12848</v>
      </c>
      <c r="Y28" s="90">
        <f t="shared" si="4"/>
        <v>550548</v>
      </c>
      <c r="Z28" s="28">
        <f t="shared" si="5"/>
        <v>130</v>
      </c>
      <c r="AA28" s="32">
        <v>13831.45</v>
      </c>
      <c r="AB28" s="36">
        <v>0</v>
      </c>
      <c r="AC28" s="28">
        <f t="shared" si="11"/>
        <v>366.29000000000087</v>
      </c>
      <c r="AD28" s="8">
        <v>86</v>
      </c>
      <c r="AE28" s="13">
        <v>188</v>
      </c>
    </row>
    <row r="29" spans="1:31" x14ac:dyDescent="0.4">
      <c r="A29" s="15">
        <v>45532</v>
      </c>
      <c r="B29" s="77">
        <v>15048784</v>
      </c>
      <c r="C29" s="84">
        <f>3839.4+1635785.8+580319+9761.7+227469+23089</f>
        <v>2480263.9000000004</v>
      </c>
      <c r="D29" s="84">
        <f t="shared" si="1"/>
        <v>12568520.1</v>
      </c>
      <c r="E29" s="22">
        <f t="shared" si="0"/>
        <v>20567</v>
      </c>
      <c r="F29" s="20">
        <v>10556</v>
      </c>
      <c r="G29" s="21">
        <v>0</v>
      </c>
      <c r="H29" s="22">
        <f t="shared" si="7"/>
        <v>0</v>
      </c>
      <c r="I29" s="11">
        <v>0.63</v>
      </c>
      <c r="J29" s="26">
        <v>0.63</v>
      </c>
      <c r="K29" s="26">
        <v>0.6</v>
      </c>
      <c r="L29" s="27">
        <f t="shared" si="8"/>
        <v>4650</v>
      </c>
      <c r="M29" s="24">
        <v>0</v>
      </c>
      <c r="N29" s="28">
        <f t="shared" si="9"/>
        <v>200.00000000000091</v>
      </c>
      <c r="O29" s="11">
        <v>0.5</v>
      </c>
      <c r="P29" s="26">
        <v>0.55000000000000004</v>
      </c>
      <c r="Q29" s="26">
        <v>0.55000000000000004</v>
      </c>
      <c r="R29" s="27">
        <f t="shared" si="2"/>
        <v>800</v>
      </c>
      <c r="S29" s="24">
        <v>0</v>
      </c>
      <c r="T29" s="28">
        <f t="shared" si="10"/>
        <v>50</v>
      </c>
      <c r="U29" s="75">
        <f t="shared" si="3"/>
        <v>250.00000000000091</v>
      </c>
      <c r="V29" s="30">
        <v>613117</v>
      </c>
      <c r="W29" s="90">
        <v>49571</v>
      </c>
      <c r="X29" s="90">
        <v>12868</v>
      </c>
      <c r="Y29" s="90">
        <f t="shared" si="4"/>
        <v>550678</v>
      </c>
      <c r="Z29" s="28">
        <f t="shared" si="5"/>
        <v>127</v>
      </c>
      <c r="AA29" s="32">
        <v>13465.16</v>
      </c>
      <c r="AB29" s="36">
        <v>0</v>
      </c>
      <c r="AC29" s="28">
        <f t="shared" si="11"/>
        <v>366.28999999999905</v>
      </c>
      <c r="AD29" s="8">
        <v>81</v>
      </c>
      <c r="AE29" s="13">
        <v>170</v>
      </c>
    </row>
    <row r="30" spans="1:31" x14ac:dyDescent="0.4">
      <c r="A30" s="15">
        <v>45533</v>
      </c>
      <c r="B30" s="77">
        <v>15069351</v>
      </c>
      <c r="C30" s="84">
        <f>3840.5+1636383.8+588319+9761.9+227608+23105</f>
        <v>2489018.1999999997</v>
      </c>
      <c r="D30" s="84">
        <f t="shared" si="1"/>
        <v>12580332.800000001</v>
      </c>
      <c r="E30" s="22">
        <f t="shared" si="0"/>
        <v>20703</v>
      </c>
      <c r="F30" s="20">
        <v>10556</v>
      </c>
      <c r="G30" s="21">
        <v>0</v>
      </c>
      <c r="H30" s="22">
        <f t="shared" si="7"/>
        <v>0</v>
      </c>
      <c r="I30" s="11">
        <v>0.6</v>
      </c>
      <c r="J30" s="26">
        <v>0.6</v>
      </c>
      <c r="K30" s="26">
        <v>0.57999999999999996</v>
      </c>
      <c r="L30" s="27">
        <f t="shared" si="8"/>
        <v>4449.9999999999991</v>
      </c>
      <c r="M30" s="24">
        <v>1695.45</v>
      </c>
      <c r="N30" s="28">
        <f>L31-M30-L30</f>
        <v>229.55000000000109</v>
      </c>
      <c r="O30" s="11">
        <v>0.45</v>
      </c>
      <c r="P30" s="26">
        <v>0.55000000000000004</v>
      </c>
      <c r="Q30" s="26">
        <v>0.5</v>
      </c>
      <c r="R30" s="27">
        <f t="shared" si="2"/>
        <v>750</v>
      </c>
      <c r="S30" s="24">
        <v>655.42</v>
      </c>
      <c r="T30" s="28">
        <f>SUM(R30+S30-R31)</f>
        <v>80.420000000000073</v>
      </c>
      <c r="U30" s="75">
        <f t="shared" si="3"/>
        <v>309.97000000000116</v>
      </c>
      <c r="V30" s="30">
        <v>613374</v>
      </c>
      <c r="W30" s="90">
        <v>49690</v>
      </c>
      <c r="X30" s="90">
        <v>12879</v>
      </c>
      <c r="Y30" s="90">
        <f t="shared" si="4"/>
        <v>550805</v>
      </c>
      <c r="Z30" s="28">
        <f t="shared" si="5"/>
        <v>135</v>
      </c>
      <c r="AA30" s="32">
        <v>13098.87</v>
      </c>
      <c r="AB30" s="36">
        <v>0</v>
      </c>
      <c r="AC30" s="28">
        <f t="shared" si="11"/>
        <v>366.29000000000087</v>
      </c>
      <c r="AD30" s="8">
        <v>85</v>
      </c>
      <c r="AE30" s="13">
        <v>175</v>
      </c>
    </row>
    <row r="31" spans="1:31" x14ac:dyDescent="0.4">
      <c r="A31" s="15">
        <v>45534</v>
      </c>
      <c r="B31" s="78">
        <v>15090054</v>
      </c>
      <c r="C31" s="86">
        <f>3841.6+1636956.3+588319+9762+227752+23125</f>
        <v>2489755.9000000004</v>
      </c>
      <c r="D31" s="84">
        <f t="shared" si="1"/>
        <v>12600298.1</v>
      </c>
      <c r="E31" s="22">
        <f t="shared" si="0"/>
        <v>19698</v>
      </c>
      <c r="F31" s="20">
        <v>10556</v>
      </c>
      <c r="G31" s="21">
        <v>0</v>
      </c>
      <c r="H31" s="22">
        <f t="shared" si="7"/>
        <v>0</v>
      </c>
      <c r="I31" s="11">
        <v>0.85</v>
      </c>
      <c r="J31" s="26">
        <v>0.85</v>
      </c>
      <c r="K31" s="26">
        <v>0.85</v>
      </c>
      <c r="L31" s="27">
        <f t="shared" si="8"/>
        <v>6375</v>
      </c>
      <c r="M31" s="24">
        <v>0</v>
      </c>
      <c r="N31" s="28">
        <f t="shared" si="9"/>
        <v>549.99999999999909</v>
      </c>
      <c r="O31" s="11">
        <v>0.9</v>
      </c>
      <c r="P31" s="26">
        <v>0.85</v>
      </c>
      <c r="Q31" s="26">
        <v>0.9</v>
      </c>
      <c r="R31" s="27">
        <f t="shared" si="2"/>
        <v>1325</v>
      </c>
      <c r="S31" s="24">
        <v>0</v>
      </c>
      <c r="T31" s="28">
        <f t="shared" si="10"/>
        <v>80</v>
      </c>
      <c r="U31" s="75">
        <f t="shared" si="3"/>
        <v>629.99999999999909</v>
      </c>
      <c r="V31" s="30">
        <v>613638</v>
      </c>
      <c r="W31" s="90">
        <v>49808</v>
      </c>
      <c r="X31" s="90">
        <v>12890</v>
      </c>
      <c r="Y31" s="90">
        <f t="shared" si="4"/>
        <v>550940</v>
      </c>
      <c r="Z31" s="28">
        <f t="shared" si="5"/>
        <v>178</v>
      </c>
      <c r="AA31" s="32">
        <v>12732.58</v>
      </c>
      <c r="AB31" s="36">
        <v>0</v>
      </c>
      <c r="AC31" s="28">
        <f t="shared" si="11"/>
        <v>366.28999999999905</v>
      </c>
      <c r="AD31" s="8">
        <v>92</v>
      </c>
      <c r="AE31" s="13">
        <v>183</v>
      </c>
    </row>
    <row r="32" spans="1:31" ht="12.6" thickBot="1" x14ac:dyDescent="0.45">
      <c r="A32" s="15">
        <v>45535</v>
      </c>
      <c r="B32" s="78">
        <v>15109752</v>
      </c>
      <c r="C32" s="86">
        <f>3842.7+1637500.1+588319+9762.3+227885+23146</f>
        <v>2490455.0999999996</v>
      </c>
      <c r="D32" s="84">
        <f t="shared" si="1"/>
        <v>12619296.9</v>
      </c>
      <c r="E32" s="44">
        <f t="shared" si="0"/>
        <v>21048</v>
      </c>
      <c r="F32" s="20">
        <v>10556</v>
      </c>
      <c r="G32" s="21">
        <v>0</v>
      </c>
      <c r="H32" s="44">
        <f t="shared" si="7"/>
        <v>0</v>
      </c>
      <c r="I32" s="11">
        <v>0.8</v>
      </c>
      <c r="J32" s="26">
        <v>0.8</v>
      </c>
      <c r="K32" s="26">
        <v>0.73</v>
      </c>
      <c r="L32" s="27">
        <f t="shared" si="8"/>
        <v>5825.0000000000009</v>
      </c>
      <c r="M32" s="24">
        <v>0</v>
      </c>
      <c r="N32" s="28">
        <f t="shared" si="9"/>
        <v>200.00000000000091</v>
      </c>
      <c r="O32" s="11">
        <v>0.83</v>
      </c>
      <c r="P32" s="26">
        <v>0.83</v>
      </c>
      <c r="Q32" s="26">
        <v>0.83</v>
      </c>
      <c r="R32" s="27">
        <f t="shared" si="2"/>
        <v>1245</v>
      </c>
      <c r="S32" s="24">
        <v>0</v>
      </c>
      <c r="T32" s="28">
        <f t="shared" si="10"/>
        <v>70</v>
      </c>
      <c r="U32" s="75">
        <f>SUM(N32+T32)</f>
        <v>270.00000000000091</v>
      </c>
      <c r="V32" s="30">
        <v>613938</v>
      </c>
      <c r="W32" s="90">
        <v>49920</v>
      </c>
      <c r="X32" s="90">
        <v>12900</v>
      </c>
      <c r="Y32" s="90">
        <f t="shared" si="4"/>
        <v>551118</v>
      </c>
      <c r="Z32" s="28">
        <f t="shared" si="5"/>
        <v>115</v>
      </c>
      <c r="AA32" s="32">
        <v>12366.29</v>
      </c>
      <c r="AB32" s="36">
        <v>0</v>
      </c>
      <c r="AC32" s="28">
        <f t="shared" si="11"/>
        <v>366.29000000000087</v>
      </c>
      <c r="AD32" s="39">
        <v>110</v>
      </c>
      <c r="AE32" s="40">
        <v>213</v>
      </c>
    </row>
    <row r="33" spans="1:31" ht="12.9" thickTop="1" thickBot="1" x14ac:dyDescent="0.45">
      <c r="A33" s="16">
        <v>45536</v>
      </c>
      <c r="B33" s="87">
        <v>15130800</v>
      </c>
      <c r="C33" s="88">
        <f>3843.8+1638072.2+588319+9762.8+228031+23167</f>
        <v>2491195.7999999998</v>
      </c>
      <c r="D33" s="141">
        <f t="shared" si="1"/>
        <v>12639604.199999999</v>
      </c>
      <c r="E33" s="45"/>
      <c r="F33" s="33">
        <v>10556</v>
      </c>
      <c r="G33" s="46">
        <v>0</v>
      </c>
      <c r="H33" s="45"/>
      <c r="I33" s="79">
        <v>0.8</v>
      </c>
      <c r="J33" s="34">
        <v>0.75</v>
      </c>
      <c r="K33" s="34">
        <v>0.7</v>
      </c>
      <c r="L33" s="80">
        <f t="shared" si="8"/>
        <v>5625</v>
      </c>
      <c r="M33" s="37">
        <v>0</v>
      </c>
      <c r="N33" s="45"/>
      <c r="O33" s="79">
        <v>0.8</v>
      </c>
      <c r="P33" s="34">
        <v>0.75</v>
      </c>
      <c r="Q33" s="34">
        <v>0.8</v>
      </c>
      <c r="R33" s="80">
        <f t="shared" si="2"/>
        <v>1175</v>
      </c>
      <c r="S33" s="37">
        <v>0</v>
      </c>
      <c r="T33" s="81"/>
      <c r="U33" s="82"/>
      <c r="V33" s="91">
        <v>614181</v>
      </c>
      <c r="W33" s="92">
        <v>50037</v>
      </c>
      <c r="X33" s="92">
        <v>12911</v>
      </c>
      <c r="Y33" s="93">
        <f t="shared" si="4"/>
        <v>551233</v>
      </c>
      <c r="Z33" s="45"/>
      <c r="AA33" s="43">
        <v>12000</v>
      </c>
      <c r="AB33" s="38"/>
      <c r="AC33" s="41"/>
      <c r="AD33" s="42"/>
      <c r="AE33" s="42"/>
    </row>
    <row r="34" spans="1:31" s="53" customFormat="1" ht="9" thickTop="1" x14ac:dyDescent="0.3">
      <c r="A34" s="47"/>
      <c r="B34" s="50"/>
      <c r="C34" s="50"/>
      <c r="D34" s="50"/>
      <c r="E34" s="48">
        <f>SUM(E2:E33)</f>
        <v>673373</v>
      </c>
      <c r="F34" s="49"/>
      <c r="G34" s="49"/>
      <c r="H34" s="48">
        <f>SUM(H2:H33)</f>
        <v>0</v>
      </c>
      <c r="I34" s="47"/>
      <c r="J34" s="47"/>
      <c r="K34" s="47"/>
      <c r="L34" s="47"/>
      <c r="M34" s="49">
        <f>SUM(M2:M33)</f>
        <v>7555.22</v>
      </c>
      <c r="N34" s="48">
        <f>SUM(N2:N33)</f>
        <v>9494.7800000000025</v>
      </c>
      <c r="O34" s="47"/>
      <c r="P34" s="47"/>
      <c r="Q34" s="47"/>
      <c r="R34" s="47"/>
      <c r="S34" s="49">
        <f>SUM(S2:S33)</f>
        <v>2961.04</v>
      </c>
      <c r="T34" s="48">
        <f>SUM(T2:T33)</f>
        <v>2567.44</v>
      </c>
      <c r="U34" s="48">
        <f>SUM(U2:U33)</f>
        <v>12062.220000000001</v>
      </c>
      <c r="V34" s="47"/>
      <c r="W34" s="47"/>
      <c r="X34" s="47"/>
      <c r="Y34" s="47"/>
      <c r="Z34" s="48">
        <f>SUM(Z2:Z33)</f>
        <v>4792</v>
      </c>
      <c r="AA34" s="47"/>
      <c r="AB34" s="47">
        <f>SUM(AB2:AB33)</f>
        <v>15355</v>
      </c>
      <c r="AC34" s="48">
        <f>SUM(AC2:AC33)</f>
        <v>11355</v>
      </c>
      <c r="AD34" s="51">
        <f>SUM(AD2:AD33)</f>
        <v>3878</v>
      </c>
      <c r="AE34" s="52">
        <f>SUM(AE2:AE32)</f>
        <v>8206</v>
      </c>
    </row>
    <row r="35" spans="1:31" x14ac:dyDescent="0.4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4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4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4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4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4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4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4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4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4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4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4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4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4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4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4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4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13 N9 N30 N15 T15 AC23 T23 T9 T30 N2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2024-09-09T18:19:28Z</dcterms:modified>
  <cp:category/>
  <cp:contentStatus/>
</cp:coreProperties>
</file>