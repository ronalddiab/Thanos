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S37" i="4" l="1"/>
  <c r="R37" i="4"/>
  <c r="P37" i="4"/>
  <c r="N37" i="4"/>
  <c r="M37" i="4"/>
  <c r="L37" i="4"/>
  <c r="J37" i="4"/>
  <c r="I36" i="4"/>
  <c r="I35" i="4"/>
  <c r="H37"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AL38" i="3"/>
  <c r="AK38" i="3"/>
  <c r="AI38" i="3"/>
  <c r="AG38" i="3"/>
  <c r="AE38" i="3"/>
  <c r="AC38" i="3"/>
  <c r="AA38" i="3"/>
  <c r="X38" i="3"/>
  <c r="Y38" i="3" s="1"/>
  <c r="U38" i="3"/>
  <c r="V38" i="3" s="1"/>
  <c r="R38" i="3"/>
  <c r="S38" i="3" s="1"/>
  <c r="P38" i="3"/>
  <c r="O38" i="3"/>
  <c r="M38" i="3"/>
  <c r="K38" i="3"/>
  <c r="I38" i="3"/>
  <c r="H38" i="3"/>
  <c r="F38" i="3"/>
  <c r="D38" i="3"/>
  <c r="E39" i="5" l="1"/>
  <c r="O30" i="4"/>
  <c r="I30" i="4"/>
  <c r="BC31" i="5"/>
  <c r="BC30" i="5"/>
  <c r="AY30" i="5"/>
  <c r="AY31" i="5" s="1"/>
  <c r="AO30" i="5"/>
  <c r="AO31" i="5" s="1"/>
  <c r="AM30" i="5"/>
  <c r="AM31" i="5" s="1"/>
  <c r="AI30" i="5"/>
  <c r="AI31" i="5" s="1"/>
  <c r="AE30" i="5"/>
  <c r="AE31" i="5" s="1"/>
  <c r="AC30" i="5"/>
  <c r="AC31" i="5" s="1"/>
  <c r="Y30" i="5"/>
  <c r="Y31" i="5" s="1"/>
  <c r="W30" i="5"/>
  <c r="W31" i="5" s="1"/>
  <c r="U30" i="5"/>
  <c r="U31" i="5" s="1"/>
  <c r="S30" i="5"/>
  <c r="S31" i="5" s="1"/>
  <c r="Q30" i="5"/>
  <c r="Q31" i="5" s="1"/>
  <c r="O30" i="5"/>
  <c r="O31" i="5" s="1"/>
  <c r="M30" i="5"/>
  <c r="M31" i="5" s="1"/>
  <c r="K30" i="5"/>
  <c r="K31" i="5" s="1"/>
  <c r="I30" i="5"/>
  <c r="I31" i="5" s="1"/>
  <c r="G30" i="5"/>
  <c r="G31" i="5" s="1"/>
  <c r="C31" i="5"/>
  <c r="C30" i="5"/>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M36" i="4"/>
  <c r="L36" i="4"/>
  <c r="N36" i="4" s="1"/>
  <c r="S36" i="4" s="1"/>
  <c r="L35" i="4"/>
  <c r="N35" i="4" s="1"/>
  <c r="J36" i="4"/>
  <c r="J35" i="4"/>
  <c r="H36" i="4"/>
  <c r="H35" i="4"/>
  <c r="F36" i="4"/>
  <c r="F35" i="4"/>
  <c r="D36" i="4"/>
  <c r="D35" i="4"/>
  <c r="S35" i="4" l="1"/>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G32" i="10" s="1"/>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BH9"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Y10" i="5"/>
  <c r="AY11" i="5" s="1"/>
  <c r="AZ9" i="5"/>
  <c r="BI9" i="5" s="1"/>
  <c r="M3" i="8" l="1"/>
  <c r="G2" i="6"/>
  <c r="AZ12" i="5"/>
  <c r="BI12" i="5" s="1"/>
  <c r="AZ11" i="5"/>
  <c r="BI11" i="5" s="1"/>
  <c r="AZ10" i="5"/>
  <c r="BI10" i="5" s="1"/>
  <c r="G2" i="10" l="1"/>
  <c r="G4" i="6"/>
  <c r="M5" i="8"/>
  <c r="G4" i="10" s="1"/>
  <c r="G5" i="6"/>
  <c r="M6" i="8"/>
  <c r="G5" i="10" s="1"/>
  <c r="M4" i="8"/>
  <c r="G3" i="10" s="1"/>
  <c r="G3" i="6"/>
  <c r="M35" i="8" l="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<sst xmlns="http://schemas.openxmlformats.org/spreadsheetml/2006/main" count="1421" uniqueCount="404">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</sst>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5</v>
      </c>
      <c r="D2" s="192">
        <v>2021</v>
      </c>
      <c r="E2" s="122">
        <f>Combine!G3</f>
        <v>41420</v>
      </c>
      <c r="F2" s="194">
        <v>1.3024</v>
      </c>
      <c r="G2" s="122">
        <f>Combine!M3</f>
        <v>3305.1201243201203</v>
      </c>
      <c r="H2" s="195">
        <v>8.5851000000000006</v>
      </c>
      <c r="I2" s="122">
        <f>Combine!J3</f>
        <v>634.40210000000025</v>
      </c>
      <c r="J2" s="194">
        <v>8.1300000000000008</v>
      </c>
      <c r="K2" s="122">
        <f>Combine!N3</f>
        <v>137</v>
      </c>
      <c r="L2" s="122">
        <f>Combine!O3</f>
        <v>349</v>
      </c>
    </row>
    <row r="3" spans="1:12">
      <c r="A3" s="191" t="s">
        <v>401</v>
      </c>
      <c r="B3" s="192">
        <v>2</v>
      </c>
      <c r="C3" s="193">
        <v>5</v>
      </c>
      <c r="D3" s="192">
        <v>2021</v>
      </c>
      <c r="E3" s="122">
        <f>Combine!G4</f>
        <v>41602</v>
      </c>
      <c r="F3" s="194">
        <v>1.3024</v>
      </c>
      <c r="G3" s="122">
        <f>Combine!M4</f>
        <v>3086.8363636363952</v>
      </c>
      <c r="H3" s="195">
        <v>8.5851000000000006</v>
      </c>
      <c r="I3" s="122">
        <f>Combine!J4</f>
        <v>522</v>
      </c>
      <c r="J3" s="194">
        <v>8.1300000000000008</v>
      </c>
      <c r="K3" s="122">
        <f>Combine!N4</f>
        <v>56</v>
      </c>
      <c r="L3" s="122">
        <f>Combine!O4</f>
        <v>121</v>
      </c>
    </row>
    <row r="4" spans="1:12">
      <c r="A4" s="191" t="s">
        <v>401</v>
      </c>
      <c r="B4" s="192">
        <v>3</v>
      </c>
      <c r="C4" s="193">
        <v>5</v>
      </c>
      <c r="D4" s="192">
        <v>2021</v>
      </c>
      <c r="E4" s="122">
        <f>Combine!G5</f>
        <v>39408</v>
      </c>
      <c r="F4" s="194">
        <v>1.3024</v>
      </c>
      <c r="G4" s="122">
        <f>Combine!M5</f>
        <v>2930.1930069930381</v>
      </c>
      <c r="H4" s="195">
        <v>8.5851000000000006</v>
      </c>
      <c r="I4" s="122">
        <f>Combine!J5</f>
        <v>414</v>
      </c>
      <c r="J4" s="194">
        <v>8.1300000000000008</v>
      </c>
      <c r="K4" s="122">
        <f>Combine!N5</f>
        <v>43</v>
      </c>
      <c r="L4" s="122">
        <f>Combine!O5</f>
        <v>89</v>
      </c>
    </row>
    <row r="5" spans="1:12">
      <c r="A5" s="191" t="s">
        <v>401</v>
      </c>
      <c r="B5" s="192">
        <v>4</v>
      </c>
      <c r="C5" s="193">
        <v>5</v>
      </c>
      <c r="D5" s="192">
        <v>2021</v>
      </c>
      <c r="E5" s="122">
        <f>Combine!G6</f>
        <v>38440</v>
      </c>
      <c r="F5" s="194">
        <v>1.3024</v>
      </c>
      <c r="G5" s="122">
        <f>Combine!M6</f>
        <v>2811.5916083915495</v>
      </c>
      <c r="H5" s="195">
        <v>8.5851000000000006</v>
      </c>
      <c r="I5" s="122">
        <f>Combine!J6</f>
        <v>405</v>
      </c>
      <c r="J5" s="194">
        <v>8.1300000000000008</v>
      </c>
      <c r="K5" s="122">
        <f>Combine!N6</f>
        <v>41</v>
      </c>
      <c r="L5" s="122">
        <f>Combine!O6</f>
        <v>80</v>
      </c>
    </row>
    <row r="6" spans="1:12">
      <c r="A6" s="191" t="s">
        <v>401</v>
      </c>
      <c r="B6" s="192">
        <v>5</v>
      </c>
      <c r="C6" s="193">
        <v>5</v>
      </c>
      <c r="D6" s="192">
        <v>2021</v>
      </c>
      <c r="E6" s="122">
        <f>Combine!G7</f>
        <v>40826</v>
      </c>
      <c r="F6" s="194">
        <v>1.3024</v>
      </c>
      <c r="G6" s="122">
        <f>Combine!M7</f>
        <v>2716.9143745143629</v>
      </c>
      <c r="H6" s="195">
        <v>8.5851000000000006</v>
      </c>
      <c r="I6" s="122">
        <f>Combine!J7</f>
        <v>359</v>
      </c>
      <c r="J6" s="194">
        <v>8.1300000000000008</v>
      </c>
      <c r="K6" s="122">
        <f>Combine!N7</f>
        <v>35</v>
      </c>
      <c r="L6" s="122">
        <f>Combine!O7</f>
        <v>67</v>
      </c>
    </row>
    <row r="7" spans="1:12">
      <c r="A7" s="191" t="s">
        <v>401</v>
      </c>
      <c r="B7" s="192">
        <v>6</v>
      </c>
      <c r="C7" s="193">
        <v>5</v>
      </c>
      <c r="D7" s="192">
        <v>2021</v>
      </c>
      <c r="E7" s="122">
        <f>Combine!G8</f>
        <v>40084</v>
      </c>
      <c r="F7" s="194">
        <v>1.3024</v>
      </c>
      <c r="G7" s="122">
        <f>Combine!M8</f>
        <v>2750.5989121989164</v>
      </c>
      <c r="H7" s="195">
        <v>8.5851000000000006</v>
      </c>
      <c r="I7" s="122">
        <f>Combine!J8</f>
        <v>387</v>
      </c>
      <c r="J7" s="194">
        <v>8.1300000000000008</v>
      </c>
      <c r="K7" s="122">
        <f>Combine!N8</f>
        <v>38</v>
      </c>
      <c r="L7" s="122">
        <f>Combine!O8</f>
        <v>76</v>
      </c>
    </row>
    <row r="8" spans="1:12">
      <c r="A8" s="191" t="s">
        <v>401</v>
      </c>
      <c r="B8" s="192">
        <v>7</v>
      </c>
      <c r="C8" s="193">
        <v>5</v>
      </c>
      <c r="D8" s="192">
        <v>2021</v>
      </c>
      <c r="E8" s="122">
        <f>Combine!G9</f>
        <v>39537</v>
      </c>
      <c r="F8" s="194">
        <v>1.3024</v>
      </c>
      <c r="G8" s="122">
        <f>Combine!M9</f>
        <v>2689.1375291375325</v>
      </c>
      <c r="H8" s="195">
        <v>8.5851000000000006</v>
      </c>
      <c r="I8" s="122">
        <f>Combine!J9</f>
        <v>353</v>
      </c>
      <c r="J8" s="194">
        <v>8.1300000000000008</v>
      </c>
      <c r="K8" s="122">
        <f>Combine!N9</f>
        <v>56</v>
      </c>
      <c r="L8" s="122">
        <f>Combine!O9</f>
        <v>131</v>
      </c>
    </row>
    <row r="9" spans="1:12">
      <c r="A9" s="191" t="s">
        <v>401</v>
      </c>
      <c r="B9" s="192">
        <v>8</v>
      </c>
      <c r="C9" s="193">
        <v>5</v>
      </c>
      <c r="D9" s="192">
        <v>2021</v>
      </c>
      <c r="E9" s="122">
        <f>Combine!G10</f>
        <v>43175</v>
      </c>
      <c r="F9" s="194">
        <v>1.3024</v>
      </c>
      <c r="G9" s="122">
        <f>Combine!M10</f>
        <v>2710.8836052836104</v>
      </c>
      <c r="H9" s="195">
        <v>8.5851000000000006</v>
      </c>
      <c r="I9" s="122">
        <f>Combine!J10</f>
        <v>399</v>
      </c>
      <c r="J9" s="194">
        <v>8.1300000000000008</v>
      </c>
      <c r="K9" s="122">
        <f>Combine!N10</f>
        <v>141</v>
      </c>
      <c r="L9" s="122">
        <f>Combine!O10</f>
        <v>347</v>
      </c>
    </row>
    <row r="10" spans="1:12">
      <c r="A10" s="191" t="s">
        <v>401</v>
      </c>
      <c r="B10" s="192">
        <v>9</v>
      </c>
      <c r="C10" s="193">
        <v>5</v>
      </c>
      <c r="D10" s="192">
        <v>2021</v>
      </c>
      <c r="E10" s="122">
        <f>Combine!G11</f>
        <v>40956</v>
      </c>
      <c r="F10" s="194">
        <v>1.3024</v>
      </c>
      <c r="G10" s="122">
        <f>Combine!M11</f>
        <v>2867.9496503496512</v>
      </c>
      <c r="H10" s="195">
        <v>8.5851000000000006</v>
      </c>
      <c r="I10" s="122">
        <f>Combine!J11</f>
        <v>499</v>
      </c>
      <c r="J10" s="194">
        <v>8.1300000000000008</v>
      </c>
      <c r="K10" s="122">
        <f>Combine!N11</f>
        <v>50</v>
      </c>
      <c r="L10" s="122">
        <f>Combine!O11</f>
        <v>109</v>
      </c>
    </row>
    <row r="11" spans="1:12">
      <c r="A11" s="191" t="s">
        <v>401</v>
      </c>
      <c r="B11" s="192">
        <v>10</v>
      </c>
      <c r="C11" s="193">
        <v>5</v>
      </c>
      <c r="D11" s="192">
        <v>2021</v>
      </c>
      <c r="E11" s="122">
        <f>Combine!G12</f>
        <v>42589</v>
      </c>
      <c r="F11" s="194">
        <v>1.3024</v>
      </c>
      <c r="G11" s="122">
        <f>Combine!M12</f>
        <v>2777.4731934731917</v>
      </c>
      <c r="H11" s="195">
        <v>8.5851000000000006</v>
      </c>
      <c r="I11" s="122">
        <f>Combine!J12</f>
        <v>389</v>
      </c>
      <c r="J11" s="194">
        <v>8.1300000000000008</v>
      </c>
      <c r="K11" s="122">
        <f>Combine!N12</f>
        <v>61</v>
      </c>
      <c r="L11" s="122">
        <f>Combine!O12</f>
        <v>126</v>
      </c>
    </row>
    <row r="12" spans="1:12">
      <c r="A12" s="191" t="s">
        <v>401</v>
      </c>
      <c r="B12" s="192">
        <v>11</v>
      </c>
      <c r="C12" s="193">
        <v>5</v>
      </c>
      <c r="D12" s="192">
        <v>2021</v>
      </c>
      <c r="E12" s="122">
        <f>Combine!G13</f>
        <v>41586.5</v>
      </c>
      <c r="F12" s="194">
        <v>1.3024</v>
      </c>
      <c r="G12" s="122">
        <f>Combine!M13</f>
        <v>2604.7589743589774</v>
      </c>
      <c r="H12" s="195">
        <v>8.5851000000000006</v>
      </c>
      <c r="I12" s="122">
        <f>Combine!J13</f>
        <v>397</v>
      </c>
      <c r="J12" s="194">
        <v>8.1300000000000008</v>
      </c>
      <c r="K12" s="122">
        <f>Combine!N13</f>
        <v>52</v>
      </c>
      <c r="L12" s="122">
        <f>Combine!O13</f>
        <v>103</v>
      </c>
    </row>
    <row r="13" spans="1:12">
      <c r="A13" s="191" t="s">
        <v>401</v>
      </c>
      <c r="B13" s="192">
        <v>12</v>
      </c>
      <c r="C13" s="193">
        <v>5</v>
      </c>
      <c r="D13" s="192">
        <v>2021</v>
      </c>
      <c r="E13" s="122">
        <f>Combine!G14</f>
        <v>46005.5</v>
      </c>
      <c r="F13" s="194">
        <v>1.3024</v>
      </c>
      <c r="G13" s="122">
        <f>Combine!M14</f>
        <v>2647.4219114219054</v>
      </c>
      <c r="H13" s="195">
        <v>8.5851000000000006</v>
      </c>
      <c r="I13" s="122">
        <f>Combine!J14</f>
        <v>406</v>
      </c>
      <c r="J13" s="194">
        <v>8.1300000000000008</v>
      </c>
      <c r="K13" s="122">
        <f>Combine!N14</f>
        <v>73</v>
      </c>
      <c r="L13" s="122">
        <f>Combine!O14</f>
        <v>149</v>
      </c>
    </row>
    <row r="14" spans="1:12">
      <c r="A14" s="191" t="s">
        <v>401</v>
      </c>
      <c r="B14" s="192">
        <v>13</v>
      </c>
      <c r="C14" s="193">
        <v>5</v>
      </c>
      <c r="D14" s="192">
        <v>2021</v>
      </c>
      <c r="E14" s="122">
        <f>Combine!G15</f>
        <v>48126.5</v>
      </c>
      <c r="F14" s="194">
        <v>1.3024</v>
      </c>
      <c r="G14" s="122">
        <f>Combine!M15</f>
        <v>2519.7948717948725</v>
      </c>
      <c r="H14" s="195">
        <v>8.5851000000000006</v>
      </c>
      <c r="I14" s="122">
        <f>Combine!J15</f>
        <v>392</v>
      </c>
      <c r="J14" s="194">
        <v>8.1300000000000008</v>
      </c>
      <c r="K14" s="122">
        <f>Combine!N15</f>
        <v>102</v>
      </c>
      <c r="L14" s="122">
        <f>Combine!O15</f>
        <v>212</v>
      </c>
    </row>
    <row r="15" spans="1:12">
      <c r="A15" s="191" t="s">
        <v>401</v>
      </c>
      <c r="B15" s="192">
        <v>14</v>
      </c>
      <c r="C15" s="193">
        <v>5</v>
      </c>
      <c r="D15" s="192">
        <v>2021</v>
      </c>
      <c r="E15" s="122">
        <f>Combine!G16</f>
        <v>43546.5</v>
      </c>
      <c r="F15" s="194">
        <v>1.3024</v>
      </c>
      <c r="G15" s="122">
        <f>Combine!M16</f>
        <v>2741.6540792540745</v>
      </c>
      <c r="H15" s="195">
        <v>8.5851000000000006</v>
      </c>
      <c r="I15" s="122">
        <f>Combine!J16</f>
        <v>441</v>
      </c>
      <c r="J15" s="194">
        <v>8.1300000000000008</v>
      </c>
      <c r="K15" s="122">
        <f>Combine!N16</f>
        <v>106</v>
      </c>
      <c r="L15" s="122">
        <f>Combine!O16</f>
        <v>236</v>
      </c>
    </row>
    <row r="16" spans="1:12">
      <c r="A16" s="191" t="s">
        <v>401</v>
      </c>
      <c r="B16" s="192">
        <v>15</v>
      </c>
      <c r="C16" s="193">
        <v>5</v>
      </c>
      <c r="D16" s="192">
        <v>2021</v>
      </c>
      <c r="E16" s="122">
        <f>Combine!G17</f>
        <v>46026.5</v>
      </c>
      <c r="F16" s="194">
        <v>1.3024</v>
      </c>
      <c r="G16" s="122">
        <f>Combine!M17</f>
        <v>2781.4887334887267</v>
      </c>
      <c r="H16" s="195">
        <v>8.5851000000000006</v>
      </c>
      <c r="I16" s="122">
        <f>Combine!J17</f>
        <v>525.15819999999985</v>
      </c>
      <c r="J16" s="194">
        <v>8.1300000000000008</v>
      </c>
      <c r="K16" s="122">
        <f>Combine!N17</f>
        <v>150</v>
      </c>
      <c r="L16" s="122">
        <f>Combine!O17</f>
        <v>360</v>
      </c>
    </row>
    <row r="17" spans="1:12">
      <c r="A17" s="191" t="s">
        <v>401</v>
      </c>
      <c r="B17" s="192">
        <v>16</v>
      </c>
      <c r="C17" s="193">
        <v>5</v>
      </c>
      <c r="D17" s="192">
        <v>2021</v>
      </c>
      <c r="E17" s="122">
        <f>Combine!G18</f>
        <v>46171.5</v>
      </c>
      <c r="F17" s="194">
        <v>1.3024</v>
      </c>
      <c r="G17" s="122">
        <f>Combine!M18</f>
        <v>2972.8571872571961</v>
      </c>
      <c r="H17" s="195">
        <v>8.5851000000000006</v>
      </c>
      <c r="I17" s="122">
        <f>Combine!J18</f>
        <v>526.5</v>
      </c>
      <c r="J17" s="194">
        <v>8.1300000000000008</v>
      </c>
      <c r="K17" s="122">
        <f>Combine!N18</f>
        <v>127</v>
      </c>
      <c r="L17" s="122">
        <f>Combine!O18</f>
        <v>274</v>
      </c>
    </row>
    <row r="18" spans="1:12">
      <c r="A18" s="191" t="s">
        <v>401</v>
      </c>
      <c r="B18" s="192">
        <v>17</v>
      </c>
      <c r="C18" s="193">
        <v>5</v>
      </c>
      <c r="D18" s="192">
        <v>2021</v>
      </c>
      <c r="E18" s="122">
        <f>Combine!G19</f>
        <v>47646.5</v>
      </c>
      <c r="F18" s="194">
        <v>1.3024</v>
      </c>
      <c r="G18" s="122">
        <f>Combine!M19</f>
        <v>2423.3622377622319</v>
      </c>
      <c r="H18" s="195">
        <v>8.5851000000000006</v>
      </c>
      <c r="I18" s="122">
        <f>Combine!J19</f>
        <v>474.70849999999973</v>
      </c>
      <c r="J18" s="194">
        <v>8.1300000000000008</v>
      </c>
      <c r="K18" s="122">
        <f>Combine!N19</f>
        <v>112</v>
      </c>
      <c r="L18" s="122">
        <f>Combine!O19</f>
        <v>236</v>
      </c>
    </row>
    <row r="19" spans="1:12">
      <c r="A19" s="191" t="s">
        <v>401</v>
      </c>
      <c r="B19" s="192">
        <v>18</v>
      </c>
      <c r="C19" s="193">
        <v>5</v>
      </c>
      <c r="D19" s="192">
        <v>2021</v>
      </c>
      <c r="E19" s="122">
        <f>Combine!G20</f>
        <v>47138.5</v>
      </c>
      <c r="F19" s="194">
        <v>1.3024</v>
      </c>
      <c r="G19" s="122">
        <f>Combine!M20</f>
        <v>3206.3266511266565</v>
      </c>
      <c r="H19" s="195">
        <v>8.5851000000000006</v>
      </c>
      <c r="I19" s="122">
        <f>Combine!J20</f>
        <v>453.36000000000058</v>
      </c>
      <c r="J19" s="194">
        <v>8.1300000000000008</v>
      </c>
      <c r="K19" s="122">
        <f>Combine!N20</f>
        <v>139</v>
      </c>
      <c r="L19" s="122">
        <f>Combine!O20</f>
        <v>328</v>
      </c>
    </row>
    <row r="20" spans="1:12">
      <c r="A20" s="191" t="s">
        <v>401</v>
      </c>
      <c r="B20" s="192">
        <v>19</v>
      </c>
      <c r="C20" s="193">
        <v>5</v>
      </c>
      <c r="D20" s="192">
        <v>2021</v>
      </c>
      <c r="E20" s="122">
        <f>Combine!G21</f>
        <v>43661</v>
      </c>
      <c r="F20" s="194">
        <v>1.3024</v>
      </c>
      <c r="G20" s="122">
        <f>Combine!M21</f>
        <v>2801.0766122766127</v>
      </c>
      <c r="H20" s="195">
        <v>8.5851000000000006</v>
      </c>
      <c r="I20" s="122">
        <f>Combine!J21</f>
        <v>436.27229999999963</v>
      </c>
      <c r="J20" s="194">
        <v>8.1300000000000008</v>
      </c>
      <c r="K20" s="122">
        <f>Combine!N21</f>
        <v>129</v>
      </c>
      <c r="L20" s="122">
        <f>Combine!O21</f>
        <v>264</v>
      </c>
    </row>
    <row r="21" spans="1:12">
      <c r="A21" s="191" t="s">
        <v>401</v>
      </c>
      <c r="B21" s="192">
        <v>20</v>
      </c>
      <c r="C21" s="193">
        <v>5</v>
      </c>
      <c r="D21" s="192">
        <v>2021</v>
      </c>
      <c r="E21" s="122">
        <f>Combine!G22</f>
        <v>43695.5</v>
      </c>
      <c r="F21" s="194">
        <v>1.3024</v>
      </c>
      <c r="G21" s="122">
        <f>Combine!M22</f>
        <v>2845.5571095571108</v>
      </c>
      <c r="H21" s="195">
        <v>8.5851000000000006</v>
      </c>
      <c r="I21" s="122">
        <f>Combine!J22</f>
        <v>537.26400000000012</v>
      </c>
      <c r="J21" s="194">
        <v>8.1300000000000008</v>
      </c>
      <c r="K21" s="122">
        <f>Combine!N22</f>
        <v>119</v>
      </c>
      <c r="L21" s="122">
        <f>Combine!O22</f>
        <v>251</v>
      </c>
    </row>
    <row r="22" spans="1:12">
      <c r="A22" s="191" t="s">
        <v>401</v>
      </c>
      <c r="B22" s="192">
        <v>21</v>
      </c>
      <c r="C22" s="193">
        <v>5</v>
      </c>
      <c r="D22" s="192">
        <v>2021</v>
      </c>
      <c r="E22" s="122">
        <f>Combine!G23</f>
        <v>46210.5</v>
      </c>
      <c r="F22" s="194">
        <v>1.3024</v>
      </c>
      <c r="G22" s="122">
        <f>Combine!M23</f>
        <v>2752.998290598297</v>
      </c>
      <c r="H22" s="195">
        <v>8.5851000000000006</v>
      </c>
      <c r="I22" s="122">
        <f>Combine!J23</f>
        <v>432.42900000000009</v>
      </c>
      <c r="J22" s="194">
        <v>8.1300000000000008</v>
      </c>
      <c r="K22" s="122">
        <f>Combine!N23</f>
        <v>114</v>
      </c>
      <c r="L22" s="122">
        <f>Combine!O23</f>
        <v>264</v>
      </c>
    </row>
    <row r="23" spans="1:12">
      <c r="A23" s="191" t="s">
        <v>401</v>
      </c>
      <c r="B23" s="192">
        <v>22</v>
      </c>
      <c r="C23" s="193">
        <v>5</v>
      </c>
      <c r="D23" s="192">
        <v>2021</v>
      </c>
      <c r="E23" s="122">
        <f>Combine!G24</f>
        <v>44170</v>
      </c>
      <c r="F23" s="194">
        <v>1.3024</v>
      </c>
      <c r="G23" s="122">
        <f>Combine!M24</f>
        <v>2749.4477078479385</v>
      </c>
      <c r="H23" s="195">
        <v>8.5851000000000006</v>
      </c>
      <c r="I23" s="122">
        <f>Combine!J24</f>
        <v>463.19880000000012</v>
      </c>
      <c r="J23" s="194">
        <v>8.1300000000000008</v>
      </c>
      <c r="K23" s="122">
        <f>Combine!N24</f>
        <v>146</v>
      </c>
      <c r="L23" s="122">
        <f>Combine!O24</f>
        <v>332</v>
      </c>
    </row>
    <row r="24" spans="1:12">
      <c r="A24" s="191" t="s">
        <v>401</v>
      </c>
      <c r="B24" s="192">
        <v>23</v>
      </c>
      <c r="C24" s="193">
        <v>5</v>
      </c>
      <c r="D24" s="192">
        <v>2021</v>
      </c>
      <c r="E24" s="122">
        <f>Combine!G25</f>
        <v>44879.5</v>
      </c>
      <c r="F24" s="194">
        <v>1.3024</v>
      </c>
      <c r="G24" s="122">
        <f>Combine!M25</f>
        <v>2749.4477078479385</v>
      </c>
      <c r="H24" s="195">
        <v>8.5851000000000006</v>
      </c>
      <c r="I24" s="122">
        <f>Combine!J25</f>
        <v>598.23430000000008</v>
      </c>
      <c r="J24" s="194">
        <v>8.1300000000000008</v>
      </c>
      <c r="K24" s="122">
        <f>Combine!N25</f>
        <v>112</v>
      </c>
      <c r="L24" s="122">
        <f>Combine!O25</f>
        <v>238</v>
      </c>
    </row>
    <row r="25" spans="1:12">
      <c r="A25" s="191" t="s">
        <v>401</v>
      </c>
      <c r="B25" s="192">
        <v>24</v>
      </c>
      <c r="C25" s="193">
        <v>5</v>
      </c>
      <c r="D25" s="192">
        <v>2021</v>
      </c>
      <c r="E25" s="122">
        <f>Combine!G26</f>
        <v>44748.5</v>
      </c>
      <c r="F25" s="194">
        <v>1.3024</v>
      </c>
      <c r="G25" s="122">
        <f>Combine!M26</f>
        <v>2749.4477078472441</v>
      </c>
      <c r="H25" s="195">
        <v>8.5851000000000006</v>
      </c>
      <c r="I25" s="122">
        <f>Combine!J26</f>
        <v>465.8748999999998</v>
      </c>
      <c r="J25" s="194">
        <v>8.1300000000000008</v>
      </c>
      <c r="K25" s="122">
        <f>Combine!N26</f>
        <v>92</v>
      </c>
      <c r="L25" s="122">
        <f>Combine!O26</f>
        <v>185</v>
      </c>
    </row>
    <row r="26" spans="1:12">
      <c r="A26" s="191" t="s">
        <v>401</v>
      </c>
      <c r="B26" s="192">
        <v>25</v>
      </c>
      <c r="C26" s="193">
        <v>5</v>
      </c>
      <c r="D26" s="192">
        <v>2021</v>
      </c>
      <c r="E26" s="122">
        <f>Combine!G27</f>
        <v>42855.5</v>
      </c>
      <c r="F26" s="194">
        <v>1.3024</v>
      </c>
      <c r="G26" s="122">
        <f>Combine!M27</f>
        <v>2728.4189588189442</v>
      </c>
      <c r="H26" s="195">
        <v>8.5851000000000006</v>
      </c>
      <c r="I26" s="122">
        <f>Combine!J27</f>
        <v>403</v>
      </c>
      <c r="J26" s="194">
        <v>8.1300000000000008</v>
      </c>
      <c r="K26" s="122">
        <f>Combine!N27</f>
        <v>87</v>
      </c>
      <c r="L26" s="122">
        <f>Combine!O27</f>
        <v>179</v>
      </c>
    </row>
    <row r="27" spans="1:12">
      <c r="A27" s="191" t="s">
        <v>401</v>
      </c>
      <c r="B27" s="192">
        <v>26</v>
      </c>
      <c r="C27" s="193">
        <v>5</v>
      </c>
      <c r="D27" s="192">
        <v>2021</v>
      </c>
      <c r="E27" s="122">
        <f>Combine!G28</f>
        <v>41857</v>
      </c>
      <c r="F27" s="194">
        <v>1.3024</v>
      </c>
      <c r="G27" s="122">
        <f>Combine!M28</f>
        <v>2650.2800310800312</v>
      </c>
      <c r="H27" s="195">
        <v>8.5851000000000006</v>
      </c>
      <c r="I27" s="122">
        <f>Combine!J28</f>
        <v>449.5</v>
      </c>
      <c r="J27" s="194">
        <v>8.1300000000000008</v>
      </c>
      <c r="K27" s="122">
        <f>Combine!N28</f>
        <v>87</v>
      </c>
      <c r="L27" s="122">
        <f>Combine!O28</f>
        <v>177</v>
      </c>
    </row>
    <row r="28" spans="1:12">
      <c r="A28" s="191" t="s">
        <v>401</v>
      </c>
      <c r="B28" s="192">
        <v>27</v>
      </c>
      <c r="C28" s="193">
        <v>5</v>
      </c>
      <c r="D28" s="192">
        <v>2021</v>
      </c>
      <c r="E28" s="122">
        <f>Combine!G29</f>
        <v>43254.5</v>
      </c>
      <c r="F28" s="194">
        <v>1.3024</v>
      </c>
      <c r="G28" s="122">
        <f>Combine!M29</f>
        <v>2604.7428127428193</v>
      </c>
      <c r="H28" s="195">
        <v>8.5851000000000006</v>
      </c>
      <c r="I28" s="122">
        <f>Combine!J29</f>
        <v>423</v>
      </c>
      <c r="J28" s="194">
        <v>8.1300000000000008</v>
      </c>
      <c r="K28" s="122">
        <f>Combine!N29</f>
        <v>92</v>
      </c>
      <c r="L28" s="122">
        <f>Combine!O29</f>
        <v>184</v>
      </c>
    </row>
    <row r="29" spans="1:12">
      <c r="A29" s="191" t="s">
        <v>401</v>
      </c>
      <c r="B29" s="192">
        <v>28</v>
      </c>
      <c r="C29" s="193">
        <v>5</v>
      </c>
      <c r="D29" s="192">
        <v>2021</v>
      </c>
      <c r="E29" s="122">
        <f>Combine!G30</f>
        <v>43036.5</v>
      </c>
      <c r="F29" s="194">
        <v>1.3024</v>
      </c>
      <c r="G29" s="122">
        <f>Combine!M30</f>
        <v>2721.4334110334071</v>
      </c>
      <c r="H29" s="195">
        <v>8.5851000000000006</v>
      </c>
      <c r="I29" s="122">
        <f>Combine!J30</f>
        <v>470.22999999999956</v>
      </c>
      <c r="J29" s="194">
        <v>8.1300000000000008</v>
      </c>
      <c r="K29" s="122">
        <f>Combine!N30</f>
        <v>126</v>
      </c>
      <c r="L29" s="122">
        <f>Combine!O30</f>
        <v>271</v>
      </c>
    </row>
    <row r="30" spans="1:12">
      <c r="A30" s="191" t="s">
        <v>401</v>
      </c>
      <c r="B30" s="192">
        <v>29</v>
      </c>
      <c r="C30" s="193">
        <v>5</v>
      </c>
      <c r="D30" s="192">
        <v>2021</v>
      </c>
      <c r="E30" s="122">
        <f>Combine!G31</f>
        <v>43916.5</v>
      </c>
      <c r="F30" s="194">
        <v>1.3024</v>
      </c>
      <c r="G30" s="122">
        <f>Combine!M31</f>
        <v>2709.4116550116678</v>
      </c>
      <c r="H30" s="195">
        <v>8.5851000000000006</v>
      </c>
      <c r="I30" s="122">
        <f>Combine!J31</f>
        <v>467.27000000000044</v>
      </c>
      <c r="J30" s="194">
        <v>8.1300000000000008</v>
      </c>
      <c r="K30" s="122">
        <f>Combine!N31</f>
        <v>161</v>
      </c>
      <c r="L30" s="122">
        <f>Combine!O31</f>
        <v>367</v>
      </c>
    </row>
    <row r="31" spans="1:12">
      <c r="A31" s="191" t="s">
        <v>401</v>
      </c>
      <c r="B31" s="192">
        <v>30</v>
      </c>
      <c r="C31" s="193">
        <v>5</v>
      </c>
      <c r="D31" s="192">
        <v>2021</v>
      </c>
      <c r="E31" s="122">
        <f>Combine!G32</f>
        <v>44402</v>
      </c>
      <c r="F31" s="194">
        <v>1.3024</v>
      </c>
      <c r="G31" s="122">
        <f>Combine!M32</f>
        <v>2815.5325563325459</v>
      </c>
      <c r="H31" s="195">
        <v>8.5851000000000006</v>
      </c>
      <c r="I31" s="122">
        <f>Combine!J32</f>
        <v>522</v>
      </c>
      <c r="J31" s="194">
        <v>8.1300000000000008</v>
      </c>
      <c r="K31" s="122">
        <f>Combine!N32</f>
        <v>121</v>
      </c>
      <c r="L31" s="122">
        <f>Combine!O32</f>
        <v>247</v>
      </c>
    </row>
    <row r="32" spans="1:12">
      <c r="A32" s="191" t="s">
        <v>401</v>
      </c>
      <c r="B32" s="192">
        <v>31</v>
      </c>
      <c r="C32" s="193">
        <v>5</v>
      </c>
      <c r="D32" s="192">
        <v>2021</v>
      </c>
      <c r="E32" s="122">
        <f>Combine!G33</f>
        <v>48040</v>
      </c>
      <c r="F32" s="194">
        <v>1.3024</v>
      </c>
      <c r="G32" s="122">
        <f>Combine!M33</f>
        <v>2783.0153846153812</v>
      </c>
      <c r="H32" s="195">
        <v>8.5851000000000006</v>
      </c>
      <c r="I32" s="122">
        <f>Combine!J33</f>
        <v>454.94999999999982</v>
      </c>
      <c r="J32" s="194">
        <v>8.1300000000000008</v>
      </c>
      <c r="K32" s="122">
        <f>Combine!N33</f>
        <v>95</v>
      </c>
      <c r="L32" s="122">
        <f>Combine!O33</f>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9" t="s">
        <v>66</v>
      </c>
      <c r="O1" s="200"/>
      <c r="P1" s="201"/>
    </row>
    <row r="2" spans="1:17" s="2" customFormat="1" ht="60" customHeight="1">
      <c r="A2" s="4" t="s">
        <v>3</v>
      </c>
      <c r="B2" s="5" t="s">
        <v>4</v>
      </c>
      <c r="C2" s="5" t="s">
        <v>5</v>
      </c>
      <c r="D2" s="120"/>
      <c r="E2" s="125" t="s">
        <v>6</v>
      </c>
      <c r="F2" s="146" t="s">
        <v>6</v>
      </c>
      <c r="G2" s="156" t="s">
        <v>6</v>
      </c>
      <c r="H2" s="157" t="s">
        <v>9</v>
      </c>
      <c r="I2" s="147" t="s">
        <v>9</v>
      </c>
      <c r="J2" s="156" t="s">
        <v>9</v>
      </c>
      <c r="K2" s="125" t="s">
        <v>7</v>
      </c>
      <c r="L2" s="125" t="s">
        <v>7</v>
      </c>
      <c r="M2" s="131" t="s">
        <v>8</v>
      </c>
      <c r="N2" s="163" t="s">
        <v>10</v>
      </c>
      <c r="O2" s="5" t="s">
        <v>11</v>
      </c>
      <c r="P2" s="162" t="s">
        <v>12</v>
      </c>
      <c r="Q2" s="151" t="s">
        <v>394</v>
      </c>
    </row>
    <row r="3" spans="1:17" ht="15.75">
      <c r="A3" s="7" t="s">
        <v>14</v>
      </c>
      <c r="B3" s="7">
        <v>1</v>
      </c>
      <c r="C3" s="7">
        <v>5</v>
      </c>
      <c r="D3" s="121">
        <v>2021</v>
      </c>
      <c r="E3" s="152">
        <f>'Athens Daily - EL'!AK8</f>
        <v>41420</v>
      </c>
      <c r="F3" s="154"/>
      <c r="G3" s="132">
        <f>SUM(E3,F3)</f>
        <v>41420</v>
      </c>
      <c r="H3" s="152">
        <f>'Athens Daily - Water'!R7</f>
        <v>634.40210000000025</v>
      </c>
      <c r="I3" s="122"/>
      <c r="J3" s="128">
        <f t="shared" ref="J3:J33" si="0">SUM(H3,I3)</f>
        <v>634.40210000000025</v>
      </c>
      <c r="K3" s="152">
        <f>'Athens Daily - Gas'!BH9</f>
        <v>127610.68799999985</v>
      </c>
      <c r="L3" s="122"/>
      <c r="M3" s="132">
        <f>SUM(K3,L3)/38.61</f>
        <v>3305.1201243201203</v>
      </c>
      <c r="N3" s="161">
        <f>Occ!G10</f>
        <v>137</v>
      </c>
      <c r="O3" s="105">
        <f>Occ!H10</f>
        <v>349</v>
      </c>
      <c r="P3" s="160">
        <v>918</v>
      </c>
      <c r="Q3" s="169"/>
    </row>
    <row r="4" spans="1:17" ht="15.75">
      <c r="A4" s="7" t="s">
        <v>14</v>
      </c>
      <c r="B4" s="7">
        <v>2</v>
      </c>
      <c r="C4" s="7">
        <v>5</v>
      </c>
      <c r="D4" s="121">
        <v>2021</v>
      </c>
      <c r="E4" s="152">
        <f>'Athens Daily - EL'!AK9</f>
        <v>41602</v>
      </c>
      <c r="F4" s="154"/>
      <c r="G4" s="132">
        <f t="shared" ref="G4:G33" si="1">SUM(E4,F4)</f>
        <v>41602</v>
      </c>
      <c r="H4" s="152">
        <f>'Athens Daily - Water'!R8</f>
        <v>522</v>
      </c>
      <c r="I4" s="122"/>
      <c r="J4" s="128">
        <f t="shared" si="0"/>
        <v>522</v>
      </c>
      <c r="K4" s="152">
        <f>'Athens Daily - Gas'!BH10</f>
        <v>119182.75200000122</v>
      </c>
      <c r="L4" s="122"/>
      <c r="M4" s="132">
        <f t="shared" ref="M4:M33" si="2">SUM(K4,L4)/38.61</f>
        <v>3086.8363636363952</v>
      </c>
      <c r="N4" s="161">
        <f>Occ!G11</f>
        <v>56</v>
      </c>
      <c r="O4" s="105">
        <f>Occ!H11</f>
        <v>121</v>
      </c>
      <c r="P4" s="160">
        <v>918</v>
      </c>
      <c r="Q4" s="169"/>
    </row>
    <row r="5" spans="1:17" ht="15.75">
      <c r="A5" s="7" t="s">
        <v>14</v>
      </c>
      <c r="B5" s="7">
        <v>3</v>
      </c>
      <c r="C5" s="7">
        <v>5</v>
      </c>
      <c r="D5" s="121">
        <v>2021</v>
      </c>
      <c r="E5" s="152">
        <f>'Athens Daily - EL'!AK10</f>
        <v>39408</v>
      </c>
      <c r="F5" s="154"/>
      <c r="G5" s="132">
        <f t="shared" si="1"/>
        <v>39408</v>
      </c>
      <c r="H5" s="152">
        <f>'Athens Daily - Water'!R9</f>
        <v>414</v>
      </c>
      <c r="I5" s="122"/>
      <c r="J5" s="128">
        <f t="shared" si="0"/>
        <v>414</v>
      </c>
      <c r="K5" s="152">
        <f>'Athens Daily - Gas'!BH11</f>
        <v>113134.7520000012</v>
      </c>
      <c r="L5" s="122"/>
      <c r="M5" s="132">
        <f t="shared" si="2"/>
        <v>2930.1930069930381</v>
      </c>
      <c r="N5" s="161">
        <f>Occ!G12</f>
        <v>43</v>
      </c>
      <c r="O5" s="105">
        <f>Occ!H12</f>
        <v>89</v>
      </c>
      <c r="P5" s="160">
        <v>918</v>
      </c>
      <c r="Q5" s="169"/>
    </row>
    <row r="6" spans="1:17" ht="15.75">
      <c r="A6" s="7" t="s">
        <v>14</v>
      </c>
      <c r="B6" s="7">
        <v>4</v>
      </c>
      <c r="C6" s="7">
        <v>5</v>
      </c>
      <c r="D6" s="121">
        <v>2021</v>
      </c>
      <c r="E6" s="152">
        <f>'Athens Daily - EL'!AK11</f>
        <v>38440</v>
      </c>
      <c r="F6" s="154"/>
      <c r="G6" s="132">
        <f t="shared" si="1"/>
        <v>38440</v>
      </c>
      <c r="H6" s="152">
        <f>'Athens Daily - Water'!R10</f>
        <v>405</v>
      </c>
      <c r="I6" s="122"/>
      <c r="J6" s="128">
        <f t="shared" si="0"/>
        <v>405</v>
      </c>
      <c r="K6" s="152">
        <f>'Athens Daily - Gas'!BH12</f>
        <v>108555.55199999773</v>
      </c>
      <c r="L6" s="122"/>
      <c r="M6" s="132">
        <f t="shared" si="2"/>
        <v>2811.5916083915495</v>
      </c>
      <c r="N6" s="161">
        <f>Occ!G13</f>
        <v>41</v>
      </c>
      <c r="O6" s="105">
        <f>Occ!H13</f>
        <v>80</v>
      </c>
      <c r="P6" s="160">
        <v>918</v>
      </c>
      <c r="Q6" s="169"/>
    </row>
    <row r="7" spans="1:17" ht="15.75">
      <c r="A7" s="7" t="s">
        <v>14</v>
      </c>
      <c r="B7" s="7">
        <v>5</v>
      </c>
      <c r="C7" s="7">
        <v>5</v>
      </c>
      <c r="D7" s="121">
        <v>2021</v>
      </c>
      <c r="E7" s="152">
        <f>'Athens Daily - EL'!AK12</f>
        <v>40826</v>
      </c>
      <c r="F7" s="154"/>
      <c r="G7" s="132">
        <f t="shared" si="1"/>
        <v>40826</v>
      </c>
      <c r="H7" s="152">
        <f>'Athens Daily - Water'!R11</f>
        <v>359</v>
      </c>
      <c r="I7" s="122"/>
      <c r="J7" s="128">
        <f t="shared" si="0"/>
        <v>359</v>
      </c>
      <c r="K7" s="152">
        <f>'Athens Daily - Gas'!BH13</f>
        <v>104900.06399999955</v>
      </c>
      <c r="L7" s="122"/>
      <c r="M7" s="132">
        <f t="shared" si="2"/>
        <v>2716.9143745143629</v>
      </c>
      <c r="N7" s="161">
        <f>Occ!G14</f>
        <v>35</v>
      </c>
      <c r="O7" s="105">
        <f>Occ!H14</f>
        <v>67</v>
      </c>
      <c r="P7" s="160">
        <v>918</v>
      </c>
      <c r="Q7" s="169"/>
    </row>
    <row r="8" spans="1:17" ht="15.75">
      <c r="A8" s="7" t="s">
        <v>14</v>
      </c>
      <c r="B8" s="7">
        <v>6</v>
      </c>
      <c r="C8" s="7">
        <v>5</v>
      </c>
      <c r="D8" s="121">
        <v>2021</v>
      </c>
      <c r="E8" s="152">
        <f>'Athens Daily - EL'!AK13</f>
        <v>40084</v>
      </c>
      <c r="F8" s="154"/>
      <c r="G8" s="132">
        <f t="shared" si="1"/>
        <v>40084</v>
      </c>
      <c r="H8" s="152">
        <f>'Athens Daily - Water'!R12</f>
        <v>387</v>
      </c>
      <c r="I8" s="122"/>
      <c r="J8" s="128">
        <f t="shared" si="0"/>
        <v>387</v>
      </c>
      <c r="K8" s="152">
        <f>'Athens Daily - Gas'!BH14</f>
        <v>106200.62400000016</v>
      </c>
      <c r="L8" s="122"/>
      <c r="M8" s="132">
        <f t="shared" si="2"/>
        <v>2750.5989121989164</v>
      </c>
      <c r="N8" s="161">
        <f>Occ!G15</f>
        <v>38</v>
      </c>
      <c r="O8" s="105">
        <f>Occ!H15</f>
        <v>76</v>
      </c>
      <c r="P8" s="160">
        <v>918</v>
      </c>
      <c r="Q8" s="169"/>
    </row>
    <row r="9" spans="1:17" ht="15.75">
      <c r="A9" s="7" t="s">
        <v>14</v>
      </c>
      <c r="B9" s="7">
        <v>7</v>
      </c>
      <c r="C9" s="7">
        <v>5</v>
      </c>
      <c r="D9" s="121">
        <v>2021</v>
      </c>
      <c r="E9" s="152">
        <f>'Athens Daily - EL'!AK14</f>
        <v>39537</v>
      </c>
      <c r="F9" s="154"/>
      <c r="G9" s="132">
        <f t="shared" si="1"/>
        <v>39537</v>
      </c>
      <c r="H9" s="152">
        <f>'Athens Daily - Water'!R13</f>
        <v>353</v>
      </c>
      <c r="I9" s="122"/>
      <c r="J9" s="128">
        <f t="shared" si="0"/>
        <v>353</v>
      </c>
      <c r="K9" s="152">
        <f>'Athens Daily - Gas'!BH15</f>
        <v>103827.60000000014</v>
      </c>
      <c r="L9" s="122"/>
      <c r="M9" s="132">
        <f t="shared" si="2"/>
        <v>2689.1375291375325</v>
      </c>
      <c r="N9" s="161">
        <f>Occ!G16</f>
        <v>56</v>
      </c>
      <c r="O9" s="105">
        <f>Occ!H16</f>
        <v>131</v>
      </c>
      <c r="P9" s="160">
        <v>918</v>
      </c>
      <c r="Q9" s="169"/>
    </row>
    <row r="10" spans="1:17">
      <c r="A10" s="7" t="s">
        <v>14</v>
      </c>
      <c r="B10" s="7">
        <v>8</v>
      </c>
      <c r="C10" s="7">
        <v>5</v>
      </c>
      <c r="D10" s="121">
        <v>2021</v>
      </c>
      <c r="E10" s="152">
        <f>'Athens Daily - EL'!AK15</f>
        <v>43175</v>
      </c>
      <c r="F10" s="154"/>
      <c r="G10" s="132">
        <f t="shared" si="1"/>
        <v>43175</v>
      </c>
      <c r="H10" s="152">
        <f>'Athens Daily - Water'!R14</f>
        <v>399</v>
      </c>
      <c r="I10" s="122"/>
      <c r="J10" s="128">
        <f t="shared" si="0"/>
        <v>399</v>
      </c>
      <c r="K10" s="152">
        <f>'Athens Daily - Gas'!BH16</f>
        <v>104667.21600000019</v>
      </c>
      <c r="L10" s="122"/>
      <c r="M10" s="132">
        <f t="shared" si="2"/>
        <v>2710.8836052836104</v>
      </c>
      <c r="N10" s="161">
        <f>Occ!G17</f>
        <v>141</v>
      </c>
      <c r="O10" s="105">
        <f>Occ!H17</f>
        <v>347</v>
      </c>
      <c r="P10" s="160">
        <v>918</v>
      </c>
      <c r="Q10" s="102"/>
    </row>
    <row r="11" spans="1:17">
      <c r="A11" s="7" t="s">
        <v>14</v>
      </c>
      <c r="B11" s="7">
        <v>9</v>
      </c>
      <c r="C11" s="7">
        <v>5</v>
      </c>
      <c r="D11" s="121">
        <v>2021</v>
      </c>
      <c r="E11" s="152">
        <f>'Athens Daily - EL'!AK16</f>
        <v>40956</v>
      </c>
      <c r="F11" s="154"/>
      <c r="G11" s="132">
        <f t="shared" si="1"/>
        <v>40956</v>
      </c>
      <c r="H11" s="152">
        <f>'Athens Daily - Water'!R15</f>
        <v>499</v>
      </c>
      <c r="I11" s="122"/>
      <c r="J11" s="128">
        <f t="shared" si="0"/>
        <v>499</v>
      </c>
      <c r="K11" s="152">
        <f>'Athens Daily - Gas'!BH17</f>
        <v>110731.53600000002</v>
      </c>
      <c r="L11" s="122"/>
      <c r="M11" s="132">
        <f t="shared" si="2"/>
        <v>2867.9496503496512</v>
      </c>
      <c r="N11" s="161">
        <f>Occ!G18</f>
        <v>50</v>
      </c>
      <c r="O11" s="105">
        <f>Occ!H18</f>
        <v>109</v>
      </c>
      <c r="P11" s="160">
        <v>918</v>
      </c>
      <c r="Q11" s="102"/>
    </row>
    <row r="12" spans="1:17" ht="15.75">
      <c r="A12" s="7" t="s">
        <v>14</v>
      </c>
      <c r="B12" s="7">
        <v>10</v>
      </c>
      <c r="C12" s="7">
        <v>5</v>
      </c>
      <c r="D12" s="121">
        <v>2021</v>
      </c>
      <c r="E12" s="152">
        <f>'Athens Daily - EL'!AK17</f>
        <v>42589</v>
      </c>
      <c r="F12" s="154"/>
      <c r="G12" s="132">
        <f t="shared" si="1"/>
        <v>42589</v>
      </c>
      <c r="H12" s="152">
        <f>'Athens Daily - Water'!R16</f>
        <v>389</v>
      </c>
      <c r="I12" s="122"/>
      <c r="J12" s="128">
        <f t="shared" si="0"/>
        <v>389</v>
      </c>
      <c r="K12" s="152">
        <f>'Athens Daily - Gas'!BH18</f>
        <v>107238.23999999993</v>
      </c>
      <c r="L12" s="122"/>
      <c r="M12" s="132">
        <f t="shared" si="2"/>
        <v>2777.4731934731917</v>
      </c>
      <c r="N12" s="161">
        <f>Occ!G19</f>
        <v>61</v>
      </c>
      <c r="O12" s="105">
        <f>Occ!H19</f>
        <v>126</v>
      </c>
      <c r="P12" s="160">
        <v>918</v>
      </c>
      <c r="Q12" s="169"/>
    </row>
    <row r="13" spans="1:17" ht="15.75">
      <c r="A13" s="7" t="s">
        <v>14</v>
      </c>
      <c r="B13" s="7">
        <v>11</v>
      </c>
      <c r="C13" s="7">
        <v>5</v>
      </c>
      <c r="D13" s="121">
        <v>2021</v>
      </c>
      <c r="E13" s="152">
        <f>'Athens Daily - EL'!AK18</f>
        <v>41586.5</v>
      </c>
      <c r="F13" s="154"/>
      <c r="G13" s="132">
        <f t="shared" si="1"/>
        <v>41586.5</v>
      </c>
      <c r="H13" s="152">
        <f>'Athens Daily - Water'!R17</f>
        <v>397</v>
      </c>
      <c r="I13" s="122"/>
      <c r="J13" s="128">
        <f t="shared" si="0"/>
        <v>397</v>
      </c>
      <c r="K13" s="152">
        <f>'Athens Daily - Gas'!BH19</f>
        <v>100569.74400000012</v>
      </c>
      <c r="L13" s="122"/>
      <c r="M13" s="132">
        <f t="shared" si="2"/>
        <v>2604.7589743589774</v>
      </c>
      <c r="N13" s="161">
        <f>Occ!G20</f>
        <v>52</v>
      </c>
      <c r="O13" s="105">
        <f>Occ!H20</f>
        <v>103</v>
      </c>
      <c r="P13" s="160">
        <v>918</v>
      </c>
      <c r="Q13" s="169"/>
    </row>
    <row r="14" spans="1:17" ht="15.75">
      <c r="A14" s="7" t="s">
        <v>14</v>
      </c>
      <c r="B14" s="7">
        <v>12</v>
      </c>
      <c r="C14" s="7">
        <v>5</v>
      </c>
      <c r="D14" s="121">
        <v>2021</v>
      </c>
      <c r="E14" s="152">
        <f>'Athens Daily - EL'!AK19</f>
        <v>46005.5</v>
      </c>
      <c r="F14" s="154"/>
      <c r="G14" s="132">
        <f t="shared" si="1"/>
        <v>46005.5</v>
      </c>
      <c r="H14" s="152">
        <f>'Athens Daily - Water'!R18</f>
        <v>406</v>
      </c>
      <c r="I14" s="122"/>
      <c r="J14" s="128">
        <f t="shared" si="0"/>
        <v>406</v>
      </c>
      <c r="K14" s="152">
        <f>'Athens Daily - Gas'!BH20</f>
        <v>102216.95999999977</v>
      </c>
      <c r="L14" s="122"/>
      <c r="M14" s="132">
        <f t="shared" si="2"/>
        <v>2647.4219114219054</v>
      </c>
      <c r="N14" s="161">
        <f>Occ!G21</f>
        <v>73</v>
      </c>
      <c r="O14" s="105">
        <f>Occ!H21</f>
        <v>149</v>
      </c>
      <c r="P14" s="160">
        <v>918</v>
      </c>
      <c r="Q14" s="169"/>
    </row>
    <row r="15" spans="1:17">
      <c r="A15" s="7" t="s">
        <v>14</v>
      </c>
      <c r="B15" s="7">
        <v>13</v>
      </c>
      <c r="C15" s="7">
        <v>5</v>
      </c>
      <c r="D15" s="121">
        <v>2021</v>
      </c>
      <c r="E15" s="152">
        <f>'Athens Daily - EL'!AK20</f>
        <v>48126.5</v>
      </c>
      <c r="F15" s="170"/>
      <c r="G15" s="132">
        <f t="shared" si="1"/>
        <v>48126.5</v>
      </c>
      <c r="H15" s="152">
        <f>'Athens Daily - Water'!R19</f>
        <v>392</v>
      </c>
      <c r="I15" s="122"/>
      <c r="J15" s="128">
        <f t="shared" si="0"/>
        <v>392</v>
      </c>
      <c r="K15" s="152">
        <f>'Athens Daily - Gas'!BH21</f>
        <v>97289.280000000028</v>
      </c>
      <c r="L15" s="122"/>
      <c r="M15" s="132">
        <f t="shared" si="2"/>
        <v>2519.7948717948725</v>
      </c>
      <c r="N15" s="161">
        <f>Occ!G22</f>
        <v>102</v>
      </c>
      <c r="O15" s="105">
        <f>Occ!H22</f>
        <v>212</v>
      </c>
      <c r="P15" s="160">
        <v>918</v>
      </c>
      <c r="Q15" s="166"/>
    </row>
    <row r="16" spans="1:17">
      <c r="A16" s="7" t="s">
        <v>14</v>
      </c>
      <c r="B16" s="7">
        <v>14</v>
      </c>
      <c r="C16" s="7">
        <v>5</v>
      </c>
      <c r="D16" s="121">
        <v>2021</v>
      </c>
      <c r="E16" s="152">
        <f>'Athens Daily - EL'!AK21</f>
        <v>43546.5</v>
      </c>
      <c r="F16" s="154"/>
      <c r="G16" s="132">
        <f t="shared" si="1"/>
        <v>43546.5</v>
      </c>
      <c r="H16" s="152">
        <f>'Athens Daily - Water'!R20</f>
        <v>441</v>
      </c>
      <c r="I16" s="122"/>
      <c r="J16" s="128">
        <f t="shared" si="0"/>
        <v>441</v>
      </c>
      <c r="K16" s="152">
        <f>'Athens Daily - Gas'!BH22</f>
        <v>105855.26399999982</v>
      </c>
      <c r="L16" s="122"/>
      <c r="M16" s="132">
        <f t="shared" si="2"/>
        <v>2741.6540792540745</v>
      </c>
      <c r="N16" s="161">
        <f>Occ!G23</f>
        <v>106</v>
      </c>
      <c r="O16" s="105">
        <f>Occ!H23</f>
        <v>236</v>
      </c>
      <c r="P16" s="160">
        <v>918</v>
      </c>
      <c r="Q16" s="166"/>
    </row>
    <row r="17" spans="1:17">
      <c r="A17" s="7" t="s">
        <v>14</v>
      </c>
      <c r="B17" s="7">
        <v>15</v>
      </c>
      <c r="C17" s="7">
        <v>5</v>
      </c>
      <c r="D17" s="121">
        <v>2021</v>
      </c>
      <c r="E17" s="152">
        <f>'Athens Daily - EL'!AK22</f>
        <v>46026.5</v>
      </c>
      <c r="F17" s="154"/>
      <c r="G17" s="132">
        <f t="shared" si="1"/>
        <v>46026.5</v>
      </c>
      <c r="H17" s="152">
        <f>'Athens Daily - Water'!R21</f>
        <v>525.15819999999985</v>
      </c>
      <c r="I17" s="122"/>
      <c r="J17" s="128">
        <f t="shared" si="0"/>
        <v>525.15819999999985</v>
      </c>
      <c r="K17" s="152">
        <f>'Athens Daily - Gas'!BH23</f>
        <v>107393.27999999974</v>
      </c>
      <c r="L17" s="122"/>
      <c r="M17" s="132">
        <f t="shared" si="2"/>
        <v>2781.4887334887267</v>
      </c>
      <c r="N17" s="161">
        <f>Occ!G24</f>
        <v>150</v>
      </c>
      <c r="O17" s="105">
        <f>Occ!H24</f>
        <v>360</v>
      </c>
      <c r="P17" s="160">
        <v>918</v>
      </c>
      <c r="Q17" s="166"/>
    </row>
    <row r="18" spans="1:17">
      <c r="A18" s="7" t="s">
        <v>14</v>
      </c>
      <c r="B18" s="7">
        <v>16</v>
      </c>
      <c r="C18" s="7">
        <v>5</v>
      </c>
      <c r="D18" s="121">
        <v>2021</v>
      </c>
      <c r="E18" s="152">
        <f>'Athens Daily - EL'!AK23</f>
        <v>46171.5</v>
      </c>
      <c r="F18" s="154"/>
      <c r="G18" s="132">
        <f t="shared" si="1"/>
        <v>46171.5</v>
      </c>
      <c r="H18" s="152">
        <f>'Athens Daily - Water'!R22</f>
        <v>526.5</v>
      </c>
      <c r="I18" s="122"/>
      <c r="J18" s="128">
        <f t="shared" si="0"/>
        <v>526.5</v>
      </c>
      <c r="K18" s="152">
        <f>'Athens Daily - Gas'!BH24</f>
        <v>114782.01600000034</v>
      </c>
      <c r="L18" s="122"/>
      <c r="M18" s="132">
        <f t="shared" si="2"/>
        <v>2972.8571872571961</v>
      </c>
      <c r="N18" s="161">
        <f>Occ!G25</f>
        <v>127</v>
      </c>
      <c r="O18" s="105">
        <f>Occ!H25</f>
        <v>274</v>
      </c>
      <c r="P18" s="160">
        <v>918</v>
      </c>
      <c r="Q18" s="165"/>
    </row>
    <row r="19" spans="1:17">
      <c r="A19" s="7" t="s">
        <v>14</v>
      </c>
      <c r="B19" s="7">
        <v>17</v>
      </c>
      <c r="C19" s="7">
        <v>5</v>
      </c>
      <c r="D19" s="121">
        <v>2021</v>
      </c>
      <c r="E19" s="152">
        <f>'Athens Daily - EL'!AK24</f>
        <v>47646.5</v>
      </c>
      <c r="F19" s="154"/>
      <c r="G19" s="132">
        <f t="shared" si="1"/>
        <v>47646.5</v>
      </c>
      <c r="H19" s="152">
        <f>'Athens Daily - Water'!R23</f>
        <v>474.70849999999973</v>
      </c>
      <c r="I19" s="122"/>
      <c r="J19" s="128">
        <f t="shared" si="0"/>
        <v>474.70849999999973</v>
      </c>
      <c r="K19" s="152">
        <f>'Athens Daily - Gas'!BH25</f>
        <v>93566.01599999977</v>
      </c>
      <c r="L19" s="122"/>
      <c r="M19" s="132">
        <f t="shared" si="2"/>
        <v>2423.3622377622319</v>
      </c>
      <c r="N19" s="161">
        <f>Occ!G26</f>
        <v>112</v>
      </c>
      <c r="O19" s="105">
        <f>Occ!H26</f>
        <v>236</v>
      </c>
      <c r="P19" s="160">
        <v>918</v>
      </c>
      <c r="Q19" s="165"/>
    </row>
    <row r="20" spans="1:17">
      <c r="A20" s="7" t="s">
        <v>14</v>
      </c>
      <c r="B20" s="7">
        <v>18</v>
      </c>
      <c r="C20" s="7">
        <v>5</v>
      </c>
      <c r="D20" s="121">
        <v>2021</v>
      </c>
      <c r="E20" s="152">
        <f>'Athens Daily - EL'!AK25</f>
        <v>47138.5</v>
      </c>
      <c r="F20" s="154"/>
      <c r="G20" s="132">
        <f t="shared" si="1"/>
        <v>47138.5</v>
      </c>
      <c r="H20" s="152">
        <f>'Athens Daily - Water'!R24</f>
        <v>453.36000000000058</v>
      </c>
      <c r="I20" s="122"/>
      <c r="J20" s="128">
        <f t="shared" si="0"/>
        <v>453.36000000000058</v>
      </c>
      <c r="K20" s="152">
        <f>'Athens Daily - Gas'!BH26</f>
        <v>123796.2720000002</v>
      </c>
      <c r="L20" s="122"/>
      <c r="M20" s="132">
        <f t="shared" si="2"/>
        <v>3206.3266511266565</v>
      </c>
      <c r="N20" s="161">
        <f>Occ!G27</f>
        <v>139</v>
      </c>
      <c r="O20" s="105">
        <f>Occ!H27</f>
        <v>328</v>
      </c>
      <c r="P20" s="160">
        <v>918</v>
      </c>
      <c r="Q20" s="165"/>
    </row>
    <row r="21" spans="1:17">
      <c r="A21" s="7" t="s">
        <v>14</v>
      </c>
      <c r="B21" s="7">
        <v>19</v>
      </c>
      <c r="C21" s="7">
        <v>5</v>
      </c>
      <c r="D21" s="121">
        <v>2021</v>
      </c>
      <c r="E21" s="152">
        <f>'Athens Daily - EL'!AK26</f>
        <v>43661</v>
      </c>
      <c r="F21" s="154"/>
      <c r="G21" s="132">
        <f t="shared" si="1"/>
        <v>43661</v>
      </c>
      <c r="H21" s="152">
        <f>'Athens Daily - Water'!R25</f>
        <v>436.27229999999963</v>
      </c>
      <c r="I21" s="122"/>
      <c r="J21" s="128">
        <f t="shared" si="0"/>
        <v>436.27229999999963</v>
      </c>
      <c r="K21" s="152">
        <f>'Athens Daily - Gas'!BH27</f>
        <v>108149.56800000001</v>
      </c>
      <c r="L21" s="174"/>
      <c r="M21" s="132">
        <f t="shared" si="2"/>
        <v>2801.0766122766127</v>
      </c>
      <c r="N21" s="161">
        <f>Occ!G28</f>
        <v>129</v>
      </c>
      <c r="O21" s="105">
        <f>Occ!H28</f>
        <v>264</v>
      </c>
      <c r="P21" s="160">
        <v>918</v>
      </c>
      <c r="Q21" s="165"/>
    </row>
    <row r="22" spans="1:17">
      <c r="A22" s="7" t="s">
        <v>14</v>
      </c>
      <c r="B22" s="7">
        <v>20</v>
      </c>
      <c r="C22" s="7">
        <v>5</v>
      </c>
      <c r="D22" s="121">
        <v>2021</v>
      </c>
      <c r="E22" s="152">
        <f>'Athens Daily - EL'!AK27</f>
        <v>43695.5</v>
      </c>
      <c r="F22" s="154"/>
      <c r="G22" s="132">
        <f t="shared" si="1"/>
        <v>43695.5</v>
      </c>
      <c r="H22" s="152">
        <f>'Athens Daily - Water'!R26</f>
        <v>537.26400000000012</v>
      </c>
      <c r="I22" s="122"/>
      <c r="J22" s="128">
        <f t="shared" si="0"/>
        <v>537.26400000000012</v>
      </c>
      <c r="K22" s="152">
        <f>'Athens Daily - Gas'!BH28</f>
        <v>109866.96000000005</v>
      </c>
      <c r="L22" s="122"/>
      <c r="M22" s="132">
        <f t="shared" si="2"/>
        <v>2845.5571095571108</v>
      </c>
      <c r="N22" s="161">
        <f>Occ!G29</f>
        <v>119</v>
      </c>
      <c r="O22" s="105">
        <f>Occ!H29</f>
        <v>251</v>
      </c>
      <c r="P22" s="160">
        <v>918</v>
      </c>
      <c r="Q22" s="166"/>
    </row>
    <row r="23" spans="1:17">
      <c r="A23" s="7" t="s">
        <v>14</v>
      </c>
      <c r="B23" s="7">
        <v>21</v>
      </c>
      <c r="C23" s="7">
        <v>5</v>
      </c>
      <c r="D23" s="121">
        <v>2021</v>
      </c>
      <c r="E23" s="152">
        <f>'Athens Daily - EL'!AK28</f>
        <v>46210.5</v>
      </c>
      <c r="F23" s="154"/>
      <c r="G23" s="132">
        <f t="shared" si="1"/>
        <v>46210.5</v>
      </c>
      <c r="H23" s="173">
        <f>'Athens Daily - Water'!R27</f>
        <v>432.42900000000009</v>
      </c>
      <c r="I23" s="174"/>
      <c r="J23" s="128">
        <f t="shared" si="0"/>
        <v>432.42900000000009</v>
      </c>
      <c r="K23" s="152">
        <f>'Athens Daily - Gas'!BH29</f>
        <v>106293.26400000024</v>
      </c>
      <c r="L23" s="122"/>
      <c r="M23" s="132">
        <f t="shared" si="2"/>
        <v>2752.998290598297</v>
      </c>
      <c r="N23" s="161">
        <f>Occ!G30</f>
        <v>114</v>
      </c>
      <c r="O23" s="105">
        <f>Occ!H30</f>
        <v>264</v>
      </c>
      <c r="P23" s="160">
        <v>918</v>
      </c>
      <c r="Q23" s="166"/>
    </row>
    <row r="24" spans="1:17">
      <c r="A24" s="7" t="s">
        <v>14</v>
      </c>
      <c r="B24" s="7">
        <v>22</v>
      </c>
      <c r="C24" s="7">
        <v>5</v>
      </c>
      <c r="D24" s="121">
        <v>2021</v>
      </c>
      <c r="E24" s="152">
        <f>'Athens Daily - EL'!AK29</f>
        <v>44170</v>
      </c>
      <c r="F24" s="154"/>
      <c r="G24" s="132">
        <f t="shared" si="1"/>
        <v>44170</v>
      </c>
      <c r="H24" s="173">
        <f>'Athens Daily - Water'!R28</f>
        <v>463.19880000000012</v>
      </c>
      <c r="I24" s="174"/>
      <c r="J24" s="128">
        <f t="shared" si="0"/>
        <v>463.19880000000012</v>
      </c>
      <c r="K24" s="152">
        <f>'Athens Daily - Gas'!BH30</f>
        <v>106156.17600000891</v>
      </c>
      <c r="L24" s="122"/>
      <c r="M24" s="132">
        <f t="shared" si="2"/>
        <v>2749.4477078479385</v>
      </c>
      <c r="N24" s="161">
        <f>Occ!G31</f>
        <v>146</v>
      </c>
      <c r="O24" s="105">
        <f>Occ!H31</f>
        <v>332</v>
      </c>
      <c r="P24" s="160">
        <v>918</v>
      </c>
      <c r="Q24" s="166"/>
    </row>
    <row r="25" spans="1:17">
      <c r="A25" s="7" t="s">
        <v>14</v>
      </c>
      <c r="B25" s="7">
        <v>23</v>
      </c>
      <c r="C25" s="7">
        <v>5</v>
      </c>
      <c r="D25" s="121">
        <v>2021</v>
      </c>
      <c r="E25" s="152">
        <f>'Athens Daily - EL'!AK30</f>
        <v>44879.5</v>
      </c>
      <c r="F25" s="154"/>
      <c r="G25" s="132">
        <f t="shared" si="1"/>
        <v>44879.5</v>
      </c>
      <c r="H25" s="173">
        <f>'Athens Daily - Water'!R29</f>
        <v>598.23430000000008</v>
      </c>
      <c r="I25" s="174"/>
      <c r="J25" s="128">
        <f t="shared" si="0"/>
        <v>598.23430000000008</v>
      </c>
      <c r="K25" s="173">
        <f>'Athens Daily - Gas'!BH31</f>
        <v>106156.17600000891</v>
      </c>
      <c r="L25" s="122"/>
      <c r="M25" s="132">
        <f t="shared" si="2"/>
        <v>2749.4477078479385</v>
      </c>
      <c r="N25" s="161">
        <f>Occ!G32</f>
        <v>112</v>
      </c>
      <c r="O25" s="105">
        <f>Occ!H32</f>
        <v>238</v>
      </c>
      <c r="P25" s="160">
        <v>918</v>
      </c>
      <c r="Q25" s="166"/>
    </row>
    <row r="26" spans="1:17">
      <c r="A26" s="7" t="s">
        <v>14</v>
      </c>
      <c r="B26" s="7">
        <v>24</v>
      </c>
      <c r="C26" s="7">
        <v>5</v>
      </c>
      <c r="D26" s="121">
        <v>2021</v>
      </c>
      <c r="E26" s="152">
        <f>'Athens Daily - EL'!AK31</f>
        <v>44748.5</v>
      </c>
      <c r="F26" s="154"/>
      <c r="G26" s="132">
        <f t="shared" si="1"/>
        <v>44748.5</v>
      </c>
      <c r="H26" s="173">
        <f>'Athens Daily - Water'!R30</f>
        <v>465.8748999999998</v>
      </c>
      <c r="I26" s="174"/>
      <c r="J26" s="128">
        <f t="shared" si="0"/>
        <v>465.8748999999998</v>
      </c>
      <c r="K26" s="152">
        <f>'Athens Daily - Gas'!BH32</f>
        <v>106156.17599998209</v>
      </c>
      <c r="L26" s="122"/>
      <c r="M26" s="132">
        <f t="shared" si="2"/>
        <v>2749.4477078472441</v>
      </c>
      <c r="N26" s="161">
        <f>Occ!G33</f>
        <v>92</v>
      </c>
      <c r="O26" s="105">
        <f>Occ!H33</f>
        <v>185</v>
      </c>
      <c r="P26" s="160">
        <v>918</v>
      </c>
      <c r="Q26" s="166"/>
    </row>
    <row r="27" spans="1:17">
      <c r="A27" s="7" t="s">
        <v>14</v>
      </c>
      <c r="B27" s="7">
        <v>25</v>
      </c>
      <c r="C27" s="7">
        <v>5</v>
      </c>
      <c r="D27" s="121">
        <v>2021</v>
      </c>
      <c r="E27" s="152">
        <f>'Athens Daily - EL'!AK32</f>
        <v>42855.5</v>
      </c>
      <c r="F27" s="154"/>
      <c r="G27" s="132">
        <f t="shared" si="1"/>
        <v>42855.5</v>
      </c>
      <c r="H27" s="173">
        <f>'Athens Daily - Water'!R31</f>
        <v>403</v>
      </c>
      <c r="I27" s="174"/>
      <c r="J27" s="128">
        <f t="shared" si="0"/>
        <v>403</v>
      </c>
      <c r="K27" s="152">
        <f>'Athens Daily - Gas'!BH33</f>
        <v>105344.25599999944</v>
      </c>
      <c r="L27" s="122"/>
      <c r="M27" s="132">
        <f t="shared" si="2"/>
        <v>2728.4189588189442</v>
      </c>
      <c r="N27" s="161">
        <f>Occ!G34</f>
        <v>87</v>
      </c>
      <c r="O27" s="105">
        <f>Occ!H34</f>
        <v>179</v>
      </c>
      <c r="P27" s="160">
        <v>918</v>
      </c>
      <c r="Q27" s="164"/>
    </row>
    <row r="28" spans="1:17">
      <c r="A28" s="7" t="s">
        <v>14</v>
      </c>
      <c r="B28" s="7">
        <v>26</v>
      </c>
      <c r="C28" s="7">
        <v>5</v>
      </c>
      <c r="D28" s="121">
        <v>2021</v>
      </c>
      <c r="E28" s="152">
        <f>'Athens Daily - EL'!AK33</f>
        <v>41857</v>
      </c>
      <c r="F28" s="154"/>
      <c r="G28" s="132">
        <f t="shared" si="1"/>
        <v>41857</v>
      </c>
      <c r="H28" s="152">
        <f>'Athens Daily - Water'!R32</f>
        <v>449.5</v>
      </c>
      <c r="I28" s="122"/>
      <c r="J28" s="128">
        <f t="shared" si="0"/>
        <v>449.5</v>
      </c>
      <c r="K28" s="152">
        <f>'Athens Daily - Gas'!BH34</f>
        <v>102327.31200000001</v>
      </c>
      <c r="L28" s="122"/>
      <c r="M28" s="132">
        <f t="shared" si="2"/>
        <v>2650.2800310800312</v>
      </c>
      <c r="N28" s="161">
        <f>Occ!G35</f>
        <v>87</v>
      </c>
      <c r="O28" s="105">
        <f>Occ!H35</f>
        <v>177</v>
      </c>
      <c r="P28" s="160">
        <v>918</v>
      </c>
      <c r="Q28" s="164"/>
    </row>
    <row r="29" spans="1:17">
      <c r="A29" s="7" t="s">
        <v>14</v>
      </c>
      <c r="B29" s="7">
        <v>27</v>
      </c>
      <c r="C29" s="7">
        <v>5</v>
      </c>
      <c r="D29" s="121">
        <v>2021</v>
      </c>
      <c r="E29" s="152">
        <f>'Athens Daily - EL'!AK34</f>
        <v>43254.5</v>
      </c>
      <c r="F29" s="154"/>
      <c r="G29" s="132">
        <f t="shared" si="1"/>
        <v>43254.5</v>
      </c>
      <c r="H29" s="152">
        <f>'Athens Daily - Water'!R33</f>
        <v>423</v>
      </c>
      <c r="I29" s="122"/>
      <c r="J29" s="128">
        <f t="shared" si="0"/>
        <v>423</v>
      </c>
      <c r="K29" s="152">
        <f>'Athens Daily - Gas'!BH35</f>
        <v>100569.12000000026</v>
      </c>
      <c r="L29" s="122"/>
      <c r="M29" s="132">
        <f t="shared" si="2"/>
        <v>2604.7428127428193</v>
      </c>
      <c r="N29" s="161">
        <f>Occ!G36</f>
        <v>92</v>
      </c>
      <c r="O29" s="105">
        <f>Occ!H36</f>
        <v>184</v>
      </c>
      <c r="P29" s="160">
        <v>918</v>
      </c>
      <c r="Q29" s="164"/>
    </row>
    <row r="30" spans="1:17">
      <c r="A30" s="7" t="s">
        <v>14</v>
      </c>
      <c r="B30" s="7">
        <v>28</v>
      </c>
      <c r="C30" s="7">
        <v>5</v>
      </c>
      <c r="D30" s="121">
        <v>2021</v>
      </c>
      <c r="E30" s="152">
        <f>'Athens Daily - EL'!AK35</f>
        <v>43036.5</v>
      </c>
      <c r="F30" s="154"/>
      <c r="G30" s="132">
        <f t="shared" si="1"/>
        <v>43036.5</v>
      </c>
      <c r="H30" s="152">
        <f>'Athens Daily - Water'!R34</f>
        <v>470.22999999999956</v>
      </c>
      <c r="I30" s="122"/>
      <c r="J30" s="128">
        <f t="shared" si="0"/>
        <v>470.22999999999956</v>
      </c>
      <c r="K30" s="152">
        <f>'Athens Daily - Gas'!BH36</f>
        <v>105074.54399999985</v>
      </c>
      <c r="L30" s="122"/>
      <c r="M30" s="132">
        <f t="shared" si="2"/>
        <v>2721.4334110334071</v>
      </c>
      <c r="N30" s="161">
        <f>Occ!G37</f>
        <v>126</v>
      </c>
      <c r="O30" s="105">
        <f>Occ!H37</f>
        <v>271</v>
      </c>
      <c r="P30" s="160">
        <v>918</v>
      </c>
      <c r="Q30" s="164"/>
    </row>
    <row r="31" spans="1:17">
      <c r="A31" s="7" t="s">
        <v>14</v>
      </c>
      <c r="B31" s="7">
        <v>29</v>
      </c>
      <c r="C31" s="7">
        <v>5</v>
      </c>
      <c r="D31" s="121">
        <v>2021</v>
      </c>
      <c r="E31" s="152">
        <f>'Athens Daily - EL'!AK36</f>
        <v>43916.5</v>
      </c>
      <c r="F31" s="154"/>
      <c r="G31" s="132">
        <f t="shared" si="1"/>
        <v>43916.5</v>
      </c>
      <c r="H31" s="152">
        <f>'Athens Daily - Water'!R35</f>
        <v>467.27000000000044</v>
      </c>
      <c r="I31" s="122"/>
      <c r="J31" s="128">
        <f t="shared" si="0"/>
        <v>467.27000000000044</v>
      </c>
      <c r="K31" s="152">
        <f>'Athens Daily - Gas'!BH37</f>
        <v>104610.38400000049</v>
      </c>
      <c r="L31" s="122"/>
      <c r="M31" s="132">
        <f t="shared" si="2"/>
        <v>2709.4116550116678</v>
      </c>
      <c r="N31" s="161">
        <f>Occ!G38</f>
        <v>161</v>
      </c>
      <c r="O31" s="105">
        <f>Occ!H38</f>
        <v>367</v>
      </c>
      <c r="P31" s="160">
        <v>918</v>
      </c>
      <c r="Q31" s="164"/>
    </row>
    <row r="32" spans="1:17">
      <c r="A32" s="7" t="s">
        <v>14</v>
      </c>
      <c r="B32" s="7">
        <v>30</v>
      </c>
      <c r="C32" s="7">
        <v>5</v>
      </c>
      <c r="D32" s="121">
        <v>2021</v>
      </c>
      <c r="E32" s="152">
        <f>'Athens Daily - EL'!AK37</f>
        <v>44402</v>
      </c>
      <c r="F32" s="154"/>
      <c r="G32" s="132">
        <f t="shared" si="1"/>
        <v>44402</v>
      </c>
      <c r="H32" s="152">
        <f>'Athens Daily - Water'!R36</f>
        <v>522</v>
      </c>
      <c r="I32" s="122"/>
      <c r="J32" s="128">
        <f t="shared" si="0"/>
        <v>522</v>
      </c>
      <c r="K32" s="152">
        <f>'Athens Daily - Gas'!BH38</f>
        <v>108707.71199999959</v>
      </c>
      <c r="L32" s="122"/>
      <c r="M32" s="132">
        <f t="shared" si="2"/>
        <v>2815.5325563325459</v>
      </c>
      <c r="N32" s="161">
        <f>Occ!G39</f>
        <v>121</v>
      </c>
      <c r="O32" s="105">
        <f>Occ!H39</f>
        <v>247</v>
      </c>
      <c r="P32" s="160">
        <v>918</v>
      </c>
      <c r="Q32" s="164"/>
    </row>
    <row r="33" spans="1:17" ht="15.75" thickBot="1">
      <c r="A33" s="7" t="s">
        <v>14</v>
      </c>
      <c r="B33" s="7">
        <v>31</v>
      </c>
      <c r="C33" s="7">
        <v>5</v>
      </c>
      <c r="D33" s="121">
        <v>2021</v>
      </c>
      <c r="E33" s="153">
        <f>'Athens Daily - EL'!AK38</f>
        <v>48040</v>
      </c>
      <c r="F33" s="155"/>
      <c r="G33" s="133">
        <f t="shared" si="1"/>
        <v>48040</v>
      </c>
      <c r="H33" s="153">
        <f>'Athens Daily - Water'!R37</f>
        <v>454.94999999999982</v>
      </c>
      <c r="I33" s="126"/>
      <c r="J33" s="129">
        <f t="shared" si="0"/>
        <v>454.94999999999982</v>
      </c>
      <c r="K33" s="153">
        <f>'Athens Daily - Gas'!BH39</f>
        <v>107452.22399999987</v>
      </c>
      <c r="L33" s="126"/>
      <c r="M33" s="133">
        <f t="shared" si="2"/>
        <v>2783.0153846153812</v>
      </c>
      <c r="N33" s="168">
        <f>Occ!G40</f>
        <v>95</v>
      </c>
      <c r="O33" s="159">
        <f>Occ!H40</f>
        <v>186</v>
      </c>
      <c r="P33" s="158">
        <v>918</v>
      </c>
      <c r="Q33" s="164"/>
    </row>
    <row r="35" spans="1:17">
      <c r="M35" s="198">
        <f>SUM(M3:M33)</f>
        <v>86205.172960372976</v>
      </c>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34" sqref="K3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2" t="s">
        <v>22</v>
      </c>
      <c r="H8" s="20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137</v>
      </c>
      <c r="D10" s="145">
        <v>349</v>
      </c>
      <c r="E10" s="144"/>
      <c r="F10" s="145"/>
      <c r="G10" s="167">
        <f>SUM(C10+E10)</f>
        <v>137</v>
      </c>
      <c r="H10" s="145">
        <f>D10+F10</f>
        <v>349</v>
      </c>
      <c r="I10" s="142">
        <v>918</v>
      </c>
      <c r="J10" s="134"/>
      <c r="K10" s="134"/>
      <c r="L10" s="134"/>
      <c r="M10" s="134"/>
      <c r="N10" s="134"/>
    </row>
    <row r="11" spans="1:14">
      <c r="A11" s="134"/>
      <c r="B11" s="143" t="s">
        <v>29</v>
      </c>
      <c r="C11" s="144">
        <v>56</v>
      </c>
      <c r="D11" s="145">
        <v>121</v>
      </c>
      <c r="E11" s="144"/>
      <c r="F11" s="145"/>
      <c r="G11" s="167">
        <f t="shared" ref="G11:G40" si="0">SUM(C11+E11)</f>
        <v>56</v>
      </c>
      <c r="H11" s="145">
        <f t="shared" ref="H11:H14" si="1">D11+F11</f>
        <v>121</v>
      </c>
      <c r="I11" s="142">
        <v>918</v>
      </c>
      <c r="J11" s="134"/>
      <c r="K11" s="134"/>
      <c r="L11" s="134"/>
      <c r="M11" s="134"/>
      <c r="N11" s="134"/>
    </row>
    <row r="12" spans="1:14">
      <c r="A12" s="134"/>
      <c r="B12" s="143" t="s">
        <v>30</v>
      </c>
      <c r="C12" s="144">
        <v>43</v>
      </c>
      <c r="D12" s="145">
        <v>89</v>
      </c>
      <c r="E12" s="144"/>
      <c r="F12" s="145"/>
      <c r="G12" s="167">
        <f t="shared" si="0"/>
        <v>43</v>
      </c>
      <c r="H12" s="145">
        <f t="shared" si="1"/>
        <v>89</v>
      </c>
      <c r="I12" s="142">
        <v>918</v>
      </c>
      <c r="J12" s="134"/>
      <c r="K12" s="134"/>
      <c r="L12" s="134"/>
      <c r="M12" s="134"/>
      <c r="N12" s="134"/>
    </row>
    <row r="13" spans="1:14">
      <c r="A13" s="134"/>
      <c r="B13" s="143" t="s">
        <v>31</v>
      </c>
      <c r="C13" s="144">
        <v>41</v>
      </c>
      <c r="D13" s="145">
        <v>80</v>
      </c>
      <c r="E13" s="144"/>
      <c r="F13" s="145"/>
      <c r="G13" s="167">
        <f t="shared" si="0"/>
        <v>41</v>
      </c>
      <c r="H13" s="145">
        <f t="shared" si="1"/>
        <v>80</v>
      </c>
      <c r="I13" s="142">
        <v>918</v>
      </c>
      <c r="J13" s="134"/>
      <c r="K13" s="134"/>
      <c r="L13" s="134"/>
      <c r="M13" s="134"/>
      <c r="N13" s="134"/>
    </row>
    <row r="14" spans="1:14">
      <c r="A14" s="134"/>
      <c r="B14" s="143" t="s">
        <v>32</v>
      </c>
      <c r="C14" s="144">
        <v>35</v>
      </c>
      <c r="D14" s="145">
        <v>67</v>
      </c>
      <c r="E14" s="144"/>
      <c r="F14" s="145"/>
      <c r="G14" s="167">
        <f t="shared" si="0"/>
        <v>35</v>
      </c>
      <c r="H14" s="145">
        <f t="shared" si="1"/>
        <v>67</v>
      </c>
      <c r="I14" s="142">
        <v>918</v>
      </c>
      <c r="J14" s="134"/>
      <c r="K14" s="134"/>
      <c r="L14" s="134"/>
      <c r="M14" s="134"/>
      <c r="N14" s="134"/>
    </row>
    <row r="15" spans="1:14">
      <c r="A15" s="134"/>
      <c r="B15" s="143" t="s">
        <v>33</v>
      </c>
      <c r="C15" s="144">
        <v>38</v>
      </c>
      <c r="D15" s="145">
        <v>76</v>
      </c>
      <c r="E15" s="144"/>
      <c r="F15" s="145"/>
      <c r="G15" s="167">
        <f t="shared" si="0"/>
        <v>38</v>
      </c>
      <c r="H15" s="145">
        <f t="shared" ref="H15:H40" si="2">D15+F15</f>
        <v>76</v>
      </c>
      <c r="I15" s="142">
        <v>918</v>
      </c>
      <c r="J15" s="134"/>
      <c r="K15" s="134"/>
      <c r="L15" s="134"/>
      <c r="M15" s="134"/>
      <c r="N15" s="134"/>
    </row>
    <row r="16" spans="1:14">
      <c r="A16" s="134"/>
      <c r="B16" s="143" t="s">
        <v>34</v>
      </c>
      <c r="C16" s="144">
        <v>56</v>
      </c>
      <c r="D16" s="145">
        <v>131</v>
      </c>
      <c r="E16" s="144"/>
      <c r="F16" s="145"/>
      <c r="G16" s="167">
        <f t="shared" si="0"/>
        <v>56</v>
      </c>
      <c r="H16" s="145">
        <f t="shared" si="2"/>
        <v>131</v>
      </c>
      <c r="I16" s="142">
        <v>918</v>
      </c>
      <c r="J16" s="134"/>
      <c r="K16" s="134"/>
      <c r="L16" s="134"/>
      <c r="M16" s="134"/>
      <c r="N16" s="134"/>
    </row>
    <row r="17" spans="1:14">
      <c r="A17" s="134"/>
      <c r="B17" s="143" t="s">
        <v>35</v>
      </c>
      <c r="C17" s="144">
        <v>141</v>
      </c>
      <c r="D17" s="145">
        <v>347</v>
      </c>
      <c r="E17" s="144"/>
      <c r="F17" s="145"/>
      <c r="G17" s="167">
        <f t="shared" si="0"/>
        <v>141</v>
      </c>
      <c r="H17" s="145">
        <f t="shared" si="2"/>
        <v>347</v>
      </c>
      <c r="I17" s="142">
        <v>918</v>
      </c>
      <c r="J17" s="134"/>
      <c r="K17" s="134"/>
      <c r="L17" s="134"/>
      <c r="M17" s="134"/>
      <c r="N17" s="134"/>
    </row>
    <row r="18" spans="1:14">
      <c r="A18" s="134"/>
      <c r="B18" s="143" t="s">
        <v>36</v>
      </c>
      <c r="C18" s="144">
        <v>50</v>
      </c>
      <c r="D18" s="145">
        <v>109</v>
      </c>
      <c r="E18" s="144"/>
      <c r="F18" s="145"/>
      <c r="G18" s="167">
        <f t="shared" si="0"/>
        <v>50</v>
      </c>
      <c r="H18" s="145">
        <f t="shared" si="2"/>
        <v>109</v>
      </c>
      <c r="I18" s="142">
        <v>918</v>
      </c>
      <c r="J18" s="134"/>
      <c r="K18" s="134"/>
      <c r="L18" s="134"/>
      <c r="M18" s="134"/>
      <c r="N18" s="134"/>
    </row>
    <row r="19" spans="1:14">
      <c r="A19" s="134"/>
      <c r="B19" s="143" t="s">
        <v>37</v>
      </c>
      <c r="C19" s="144">
        <v>61</v>
      </c>
      <c r="D19" s="145">
        <v>126</v>
      </c>
      <c r="E19" s="144"/>
      <c r="F19" s="145"/>
      <c r="G19" s="167">
        <f t="shared" si="0"/>
        <v>61</v>
      </c>
      <c r="H19" s="145">
        <f t="shared" si="2"/>
        <v>126</v>
      </c>
      <c r="I19" s="142">
        <v>918</v>
      </c>
      <c r="J19" s="134"/>
      <c r="K19" s="134"/>
      <c r="L19" s="134"/>
      <c r="M19" s="134"/>
      <c r="N19" s="134"/>
    </row>
    <row r="20" spans="1:14">
      <c r="A20" s="134"/>
      <c r="B20" s="143" t="s">
        <v>38</v>
      </c>
      <c r="C20" s="144">
        <v>52</v>
      </c>
      <c r="D20" s="145">
        <v>103</v>
      </c>
      <c r="E20" s="144"/>
      <c r="F20" s="145"/>
      <c r="G20" s="167">
        <f t="shared" si="0"/>
        <v>52</v>
      </c>
      <c r="H20" s="145">
        <f t="shared" si="2"/>
        <v>103</v>
      </c>
      <c r="I20" s="142">
        <v>918</v>
      </c>
      <c r="J20" s="134"/>
      <c r="K20" s="134"/>
      <c r="L20" s="134"/>
      <c r="M20" s="134"/>
      <c r="N20" s="134"/>
    </row>
    <row r="21" spans="1:14">
      <c r="A21" s="134"/>
      <c r="B21" s="143" t="s">
        <v>39</v>
      </c>
      <c r="C21" s="144">
        <v>73</v>
      </c>
      <c r="D21" s="145">
        <v>149</v>
      </c>
      <c r="E21" s="167"/>
      <c r="F21" s="145"/>
      <c r="G21" s="167">
        <f t="shared" ref="G21:G34" si="3">SUM(C21+E21)</f>
        <v>73</v>
      </c>
      <c r="H21" s="145">
        <f t="shared" ref="H21:H34" si="4">D21+F21</f>
        <v>149</v>
      </c>
      <c r="I21" s="142">
        <v>918</v>
      </c>
      <c r="J21" s="134"/>
      <c r="K21" s="134"/>
      <c r="L21" s="134"/>
      <c r="M21" s="134"/>
      <c r="N21" s="134"/>
    </row>
    <row r="22" spans="1:14">
      <c r="A22" s="134"/>
      <c r="B22" s="143" t="s">
        <v>40</v>
      </c>
      <c r="C22" s="144">
        <v>102</v>
      </c>
      <c r="D22" s="145">
        <v>212</v>
      </c>
      <c r="E22" s="167"/>
      <c r="F22" s="145"/>
      <c r="G22" s="167">
        <f t="shared" si="3"/>
        <v>102</v>
      </c>
      <c r="H22" s="145">
        <f t="shared" si="4"/>
        <v>212</v>
      </c>
      <c r="I22" s="142">
        <v>918</v>
      </c>
      <c r="J22" s="134"/>
      <c r="K22" s="134"/>
      <c r="L22" s="134"/>
      <c r="M22" s="134"/>
      <c r="N22" s="134"/>
    </row>
    <row r="23" spans="1:14">
      <c r="A23" s="134"/>
      <c r="B23" s="143" t="s">
        <v>41</v>
      </c>
      <c r="C23" s="144">
        <v>106</v>
      </c>
      <c r="D23" s="145">
        <v>236</v>
      </c>
      <c r="E23" s="167"/>
      <c r="F23" s="145"/>
      <c r="G23" s="167">
        <f t="shared" si="3"/>
        <v>106</v>
      </c>
      <c r="H23" s="145">
        <f t="shared" si="4"/>
        <v>236</v>
      </c>
      <c r="I23" s="142">
        <v>918</v>
      </c>
      <c r="J23" s="134"/>
      <c r="K23" s="134"/>
      <c r="L23" s="134"/>
      <c r="M23" s="134"/>
      <c r="N23" s="134"/>
    </row>
    <row r="24" spans="1:14">
      <c r="A24" s="134"/>
      <c r="B24" s="143" t="s">
        <v>42</v>
      </c>
      <c r="C24" s="144">
        <v>150</v>
      </c>
      <c r="D24" s="145">
        <v>360</v>
      </c>
      <c r="E24" s="167"/>
      <c r="F24" s="145"/>
      <c r="G24" s="167">
        <f t="shared" si="3"/>
        <v>150</v>
      </c>
      <c r="H24" s="145">
        <f t="shared" si="4"/>
        <v>360</v>
      </c>
      <c r="I24" s="142">
        <v>918</v>
      </c>
      <c r="J24" s="134"/>
      <c r="K24" s="134"/>
      <c r="L24" s="134"/>
      <c r="M24" s="134"/>
      <c r="N24" s="134"/>
    </row>
    <row r="25" spans="1:14">
      <c r="A25" s="134"/>
      <c r="B25" s="143" t="s">
        <v>43</v>
      </c>
      <c r="C25" s="144">
        <v>127</v>
      </c>
      <c r="D25" s="145">
        <v>274</v>
      </c>
      <c r="E25" s="167"/>
      <c r="F25" s="145"/>
      <c r="G25" s="167">
        <f t="shared" si="3"/>
        <v>127</v>
      </c>
      <c r="H25" s="145">
        <f t="shared" si="4"/>
        <v>274</v>
      </c>
      <c r="I25" s="142">
        <v>918</v>
      </c>
      <c r="J25" s="134"/>
      <c r="K25" s="134"/>
      <c r="L25" s="134"/>
      <c r="M25" s="134"/>
      <c r="N25" s="134"/>
    </row>
    <row r="26" spans="1:14">
      <c r="A26" s="134"/>
      <c r="B26" s="143" t="s">
        <v>44</v>
      </c>
      <c r="C26" s="144">
        <v>112</v>
      </c>
      <c r="D26" s="145">
        <v>236</v>
      </c>
      <c r="E26" s="167"/>
      <c r="F26" s="145"/>
      <c r="G26" s="167">
        <f t="shared" si="3"/>
        <v>112</v>
      </c>
      <c r="H26" s="145">
        <f t="shared" si="4"/>
        <v>236</v>
      </c>
      <c r="I26" s="142">
        <v>918</v>
      </c>
      <c r="J26" s="134"/>
      <c r="K26" s="134"/>
      <c r="L26" s="134"/>
      <c r="M26" s="134"/>
      <c r="N26" s="134"/>
    </row>
    <row r="27" spans="1:14">
      <c r="A27" s="134"/>
      <c r="B27" s="143" t="s">
        <v>45</v>
      </c>
      <c r="C27" s="144">
        <v>139</v>
      </c>
      <c r="D27" s="145">
        <v>328</v>
      </c>
      <c r="E27" s="167"/>
      <c r="F27" s="145"/>
      <c r="G27" s="167">
        <f t="shared" si="3"/>
        <v>139</v>
      </c>
      <c r="H27" s="145">
        <f t="shared" si="4"/>
        <v>328</v>
      </c>
      <c r="I27" s="142">
        <v>918</v>
      </c>
      <c r="J27" s="134"/>
      <c r="K27" s="134"/>
      <c r="L27" s="134"/>
      <c r="M27" s="134"/>
      <c r="N27" s="134"/>
    </row>
    <row r="28" spans="1:14">
      <c r="A28" s="134"/>
      <c r="B28" s="143" t="s">
        <v>46</v>
      </c>
      <c r="C28" s="144">
        <v>129</v>
      </c>
      <c r="D28" s="145">
        <v>264</v>
      </c>
      <c r="E28" s="167"/>
      <c r="F28" s="145"/>
      <c r="G28" s="167">
        <f t="shared" si="3"/>
        <v>129</v>
      </c>
      <c r="H28" s="145">
        <f t="shared" si="4"/>
        <v>264</v>
      </c>
      <c r="I28" s="142">
        <v>918</v>
      </c>
      <c r="J28" s="134"/>
      <c r="K28" s="134"/>
      <c r="L28" s="134"/>
      <c r="M28" s="134"/>
      <c r="N28" s="134"/>
    </row>
    <row r="29" spans="1:14">
      <c r="A29" s="134"/>
      <c r="B29" s="143" t="s">
        <v>47</v>
      </c>
      <c r="C29" s="144">
        <v>119</v>
      </c>
      <c r="D29" s="145">
        <v>251</v>
      </c>
      <c r="E29" s="167"/>
      <c r="F29" s="145"/>
      <c r="G29" s="167">
        <f t="shared" si="3"/>
        <v>119</v>
      </c>
      <c r="H29" s="145">
        <f t="shared" si="4"/>
        <v>251</v>
      </c>
      <c r="I29" s="142">
        <v>918</v>
      </c>
      <c r="J29" s="134"/>
      <c r="K29" s="134"/>
      <c r="L29" s="134"/>
      <c r="M29" s="134"/>
      <c r="N29" s="134"/>
    </row>
    <row r="30" spans="1:14">
      <c r="A30" s="134"/>
      <c r="B30" s="143" t="s">
        <v>48</v>
      </c>
      <c r="C30" s="144">
        <v>114</v>
      </c>
      <c r="D30" s="145">
        <v>264</v>
      </c>
      <c r="E30" s="167"/>
      <c r="F30" s="145"/>
      <c r="G30" s="167">
        <f t="shared" si="3"/>
        <v>114</v>
      </c>
      <c r="H30" s="145">
        <f t="shared" si="4"/>
        <v>264</v>
      </c>
      <c r="I30" s="142">
        <v>918</v>
      </c>
      <c r="J30" s="134"/>
      <c r="K30" s="134"/>
      <c r="L30" s="134"/>
      <c r="M30" s="134"/>
      <c r="N30" s="134"/>
    </row>
    <row r="31" spans="1:14">
      <c r="A31" s="134"/>
      <c r="B31" s="143" t="s">
        <v>49</v>
      </c>
      <c r="C31" s="144">
        <v>146</v>
      </c>
      <c r="D31" s="145">
        <v>332</v>
      </c>
      <c r="E31" s="167"/>
      <c r="F31" s="145"/>
      <c r="G31" s="167">
        <f t="shared" si="3"/>
        <v>146</v>
      </c>
      <c r="H31" s="145">
        <f t="shared" si="4"/>
        <v>332</v>
      </c>
      <c r="I31" s="142">
        <v>918</v>
      </c>
      <c r="J31" s="134"/>
      <c r="K31" s="134"/>
      <c r="L31" s="134"/>
      <c r="M31" s="134"/>
      <c r="N31" s="134"/>
    </row>
    <row r="32" spans="1:14">
      <c r="A32" s="134"/>
      <c r="B32" s="143" t="s">
        <v>50</v>
      </c>
      <c r="C32" s="144">
        <v>112</v>
      </c>
      <c r="D32" s="145">
        <v>238</v>
      </c>
      <c r="E32" s="167"/>
      <c r="F32" s="145"/>
      <c r="G32" s="167">
        <f t="shared" si="3"/>
        <v>112</v>
      </c>
      <c r="H32" s="145">
        <f t="shared" si="4"/>
        <v>238</v>
      </c>
      <c r="I32" s="142">
        <v>918</v>
      </c>
      <c r="J32" s="134"/>
      <c r="K32" s="134"/>
      <c r="L32" s="134"/>
      <c r="M32" s="134"/>
      <c r="N32" s="134"/>
    </row>
    <row r="33" spans="1:14">
      <c r="A33" s="134"/>
      <c r="B33" s="143" t="s">
        <v>51</v>
      </c>
      <c r="C33" s="144">
        <v>92</v>
      </c>
      <c r="D33" s="145">
        <v>185</v>
      </c>
      <c r="E33" s="167"/>
      <c r="F33" s="145"/>
      <c r="G33" s="167">
        <f t="shared" si="3"/>
        <v>92</v>
      </c>
      <c r="H33" s="145">
        <f t="shared" si="4"/>
        <v>185</v>
      </c>
      <c r="I33" s="142">
        <v>918</v>
      </c>
      <c r="J33" s="134"/>
      <c r="K33" s="134"/>
      <c r="L33" s="134"/>
      <c r="M33" s="134"/>
      <c r="N33" s="134"/>
    </row>
    <row r="34" spans="1:14">
      <c r="A34" s="134"/>
      <c r="B34" s="143" t="s">
        <v>52</v>
      </c>
      <c r="C34" s="144">
        <v>87</v>
      </c>
      <c r="D34" s="145">
        <v>179</v>
      </c>
      <c r="E34" s="167"/>
      <c r="F34" s="145"/>
      <c r="G34" s="167">
        <f t="shared" si="3"/>
        <v>87</v>
      </c>
      <c r="H34" s="145">
        <f t="shared" si="4"/>
        <v>179</v>
      </c>
      <c r="I34" s="142">
        <v>918</v>
      </c>
      <c r="J34" s="134"/>
      <c r="K34" s="134"/>
      <c r="L34" s="134"/>
      <c r="M34" s="134"/>
      <c r="N34" s="134"/>
    </row>
    <row r="35" spans="1:14">
      <c r="A35" s="134"/>
      <c r="B35" s="143" t="s">
        <v>53</v>
      </c>
      <c r="C35" s="144">
        <v>87</v>
      </c>
      <c r="D35" s="145">
        <v>177</v>
      </c>
      <c r="E35" s="144"/>
      <c r="F35" s="145"/>
      <c r="G35" s="167">
        <f t="shared" si="0"/>
        <v>87</v>
      </c>
      <c r="H35" s="145">
        <f t="shared" si="2"/>
        <v>177</v>
      </c>
      <c r="I35" s="142">
        <v>918</v>
      </c>
      <c r="J35" s="134"/>
      <c r="K35" s="134"/>
      <c r="L35" s="134"/>
      <c r="M35" s="134"/>
      <c r="N35" s="134"/>
    </row>
    <row r="36" spans="1:14">
      <c r="A36" s="134"/>
      <c r="B36" s="143" t="s">
        <v>54</v>
      </c>
      <c r="C36" s="144">
        <v>92</v>
      </c>
      <c r="D36" s="145">
        <v>184</v>
      </c>
      <c r="E36" s="144"/>
      <c r="F36" s="145"/>
      <c r="G36" s="167">
        <f t="shared" si="0"/>
        <v>92</v>
      </c>
      <c r="H36" s="145">
        <f t="shared" si="2"/>
        <v>184</v>
      </c>
      <c r="I36" s="142">
        <v>918</v>
      </c>
      <c r="J36" s="134"/>
      <c r="K36" s="134"/>
      <c r="L36" s="134"/>
      <c r="M36" s="134"/>
      <c r="N36" s="134"/>
    </row>
    <row r="37" spans="1:14">
      <c r="A37" s="134"/>
      <c r="B37" s="143" t="s">
        <v>55</v>
      </c>
      <c r="C37" s="144">
        <v>126</v>
      </c>
      <c r="D37" s="145">
        <v>271</v>
      </c>
      <c r="E37" s="144"/>
      <c r="F37" s="145"/>
      <c r="G37" s="167">
        <f t="shared" si="0"/>
        <v>126</v>
      </c>
      <c r="H37" s="145">
        <f t="shared" si="2"/>
        <v>271</v>
      </c>
      <c r="I37" s="142">
        <v>918</v>
      </c>
      <c r="J37" s="134"/>
      <c r="K37" s="134"/>
      <c r="L37" s="134"/>
      <c r="M37" s="134"/>
      <c r="N37" s="134"/>
    </row>
    <row r="38" spans="1:14" s="181" customFormat="1">
      <c r="A38" s="175"/>
      <c r="B38" s="176" t="s">
        <v>56</v>
      </c>
      <c r="C38" s="177">
        <v>161</v>
      </c>
      <c r="D38" s="178">
        <v>367</v>
      </c>
      <c r="E38" s="177"/>
      <c r="F38" s="178"/>
      <c r="G38" s="179">
        <f t="shared" si="0"/>
        <v>161</v>
      </c>
      <c r="H38" s="178">
        <f t="shared" si="2"/>
        <v>367</v>
      </c>
      <c r="I38" s="180">
        <v>918</v>
      </c>
      <c r="J38" s="175"/>
      <c r="K38" s="175"/>
      <c r="L38" s="175"/>
      <c r="M38" s="175"/>
      <c r="N38" s="175"/>
    </row>
    <row r="39" spans="1:14" s="181" customFormat="1">
      <c r="A39" s="175"/>
      <c r="B39" s="176" t="s">
        <v>57</v>
      </c>
      <c r="C39" s="177">
        <v>121</v>
      </c>
      <c r="D39" s="178">
        <v>247</v>
      </c>
      <c r="E39" s="177"/>
      <c r="F39" s="178"/>
      <c r="G39" s="179">
        <f t="shared" si="0"/>
        <v>121</v>
      </c>
      <c r="H39" s="178">
        <f t="shared" si="2"/>
        <v>247</v>
      </c>
      <c r="I39" s="180">
        <v>918</v>
      </c>
      <c r="J39" s="175"/>
      <c r="K39" s="175"/>
      <c r="L39" s="175"/>
      <c r="M39" s="175"/>
      <c r="N39" s="175"/>
    </row>
    <row r="40" spans="1:14" s="181" customFormat="1" ht="15.75" thickBot="1">
      <c r="A40" s="175"/>
      <c r="B40" s="176" t="s">
        <v>58</v>
      </c>
      <c r="C40" s="182">
        <v>95</v>
      </c>
      <c r="D40" s="183">
        <v>186</v>
      </c>
      <c r="E40" s="182"/>
      <c r="F40" s="183"/>
      <c r="G40" s="184">
        <f t="shared" si="0"/>
        <v>95</v>
      </c>
      <c r="H40" s="183">
        <f t="shared" si="2"/>
        <v>186</v>
      </c>
      <c r="I40" s="180">
        <v>918</v>
      </c>
      <c r="J40" s="175"/>
      <c r="K40" s="175"/>
      <c r="L40" s="175"/>
      <c r="M40" s="175"/>
      <c r="N40" s="175"/>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106156.17600000891</v>
      </c>
      <c r="H23" s="105">
        <f t="shared" si="0"/>
        <v>2771.7017232378307</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106156.17600000891</v>
      </c>
      <c r="H24" s="105">
        <f t="shared" si="0"/>
        <v>2771.7017232378307</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106156.17599998209</v>
      </c>
      <c r="H25" s="105">
        <f t="shared" si="0"/>
        <v>2771.7017232371304</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102327.31200000001</v>
      </c>
      <c r="H27" s="105">
        <f t="shared" si="0"/>
        <v>2671.7313838120108</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100569.12000000026</v>
      </c>
      <c r="H28" s="105">
        <f t="shared" si="0"/>
        <v>2625.82558746737</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43916.5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44402</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10766.5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10945</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15435</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7" activePane="bottomRight" state="frozen"/>
      <selection pane="topRight" activeCell="C2" sqref="C2"/>
      <selection pane="bottomLeft" activeCell="A7" sqref="A7"/>
      <selection pane="bottomRight" activeCell="AL47" sqref="AL4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6" t="s">
        <v>65</v>
      </c>
      <c r="D1" s="206"/>
      <c r="E1" s="206" t="s">
        <v>65</v>
      </c>
      <c r="F1" s="206"/>
      <c r="G1" s="206" t="s">
        <v>65</v>
      </c>
      <c r="H1" s="206"/>
      <c r="I1" s="112"/>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19"/>
      <c r="AK2" s="119"/>
      <c r="AL2" s="119"/>
    </row>
    <row r="3" spans="1:38" s="25" customFormat="1" ht="30" customHeight="1">
      <c r="A3" s="111"/>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4" customFormat="1" ht="30" customHeight="1">
      <c r="A4" s="111"/>
      <c r="B4" s="116"/>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11" t="s">
        <v>96</v>
      </c>
      <c r="B5" s="51"/>
      <c r="C5" s="213" t="s">
        <v>97</v>
      </c>
      <c r="D5" s="214"/>
      <c r="E5" s="213" t="s">
        <v>97</v>
      </c>
      <c r="F5" s="214"/>
      <c r="G5" s="213" t="s">
        <v>97</v>
      </c>
      <c r="H5" s="218"/>
      <c r="I5" s="214"/>
      <c r="J5" s="51" t="s">
        <v>97</v>
      </c>
      <c r="K5" s="51"/>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8">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8">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8">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8">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8">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8">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8">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8">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8">
        <v>44324</v>
      </c>
      <c r="B15" s="16"/>
      <c r="C15" s="196">
        <v>107879</v>
      </c>
      <c r="D15" s="17">
        <f t="shared" si="2"/>
        <v>4050</v>
      </c>
      <c r="E15" s="196">
        <v>168603</v>
      </c>
      <c r="F15" s="17">
        <f t="shared" si="2"/>
        <v>7790</v>
      </c>
      <c r="G15" s="196">
        <v>961084</v>
      </c>
      <c r="H15" s="17">
        <f t="shared" ref="H15" si="70">(G15-G14)*10</f>
        <v>15580</v>
      </c>
      <c r="I15" s="17">
        <f t="shared" si="4"/>
        <v>7790</v>
      </c>
      <c r="J15" s="196">
        <v>150352</v>
      </c>
      <c r="K15" s="17">
        <f t="shared" ref="K15" si="71">(J15-J14)*10</f>
        <v>6390</v>
      </c>
      <c r="L15" s="196">
        <v>234490</v>
      </c>
      <c r="M15" s="17">
        <f t="shared" ref="M15" si="72">(L15-L14)*10</f>
        <v>9920</v>
      </c>
      <c r="N15" s="196">
        <v>863621</v>
      </c>
      <c r="O15" s="17">
        <f t="shared" si="0"/>
        <v>5740</v>
      </c>
      <c r="P15" s="17">
        <f t="shared" si="7"/>
        <v>2870</v>
      </c>
      <c r="Q15" s="196">
        <v>147683</v>
      </c>
      <c r="R15" s="17">
        <f t="shared" si="1"/>
        <v>8110</v>
      </c>
      <c r="S15" s="17">
        <f t="shared" si="8"/>
        <v>4055</v>
      </c>
      <c r="T15" s="196">
        <v>77974</v>
      </c>
      <c r="U15" s="17">
        <f t="shared" ref="U15" si="73">(T15-T14)*10</f>
        <v>30</v>
      </c>
      <c r="V15" s="17">
        <f t="shared" si="10"/>
        <v>15</v>
      </c>
      <c r="W15" s="196">
        <v>153513</v>
      </c>
      <c r="X15" s="17">
        <f t="shared" ref="X15" si="74">W15-W14</f>
        <v>590</v>
      </c>
      <c r="Y15" s="17">
        <f t="shared" si="12"/>
        <v>295</v>
      </c>
      <c r="Z15" s="196">
        <v>29403</v>
      </c>
      <c r="AA15" s="17">
        <f t="shared" ref="AA15" si="75">Z15-Z14</f>
        <v>96</v>
      </c>
      <c r="AB15" s="196">
        <v>59812</v>
      </c>
      <c r="AC15" s="17">
        <f t="shared" ref="AC15" si="76">AB15-AB14</f>
        <v>206</v>
      </c>
      <c r="AD15" s="196">
        <v>107223</v>
      </c>
      <c r="AE15" s="17">
        <f t="shared" ref="AE15" si="77">AD15-AD14</f>
        <v>363</v>
      </c>
      <c r="AF15" s="196">
        <v>58031</v>
      </c>
      <c r="AG15" s="17">
        <f t="shared" ref="AG15" si="78">AF15-AF14</f>
        <v>195</v>
      </c>
      <c r="AH15" s="196">
        <v>289353</v>
      </c>
      <c r="AI15" s="17">
        <f t="shared" ref="AI15" si="79">AH15-AH14</f>
        <v>990</v>
      </c>
      <c r="AK15" s="100">
        <f t="shared" si="18"/>
        <v>43175</v>
      </c>
      <c r="AL15" s="101">
        <f t="shared" si="19"/>
        <v>9085</v>
      </c>
    </row>
    <row r="16" spans="1:38" ht="39.950000000000003" customHeight="1">
      <c r="A16" s="148">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8">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8">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8">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8">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8">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8">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8">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8">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M38"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I38"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8">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8">
        <v>44335</v>
      </c>
      <c r="B26" s="16"/>
      <c r="C26" s="49">
        <v>112225</v>
      </c>
      <c r="D26" s="17">
        <f t="shared" ref="D26:D38" si="182">(C26-C25)*10</f>
        <v>4080</v>
      </c>
      <c r="E26" s="49">
        <v>176365</v>
      </c>
      <c r="F26" s="17">
        <f t="shared" ref="F26:F38"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8">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8">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8">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8">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8">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8">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8">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8">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8">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8">
        <v>44345</v>
      </c>
      <c r="B36" s="16"/>
      <c r="C36" s="74">
        <v>116464</v>
      </c>
      <c r="D36" s="17">
        <f t="shared" si="182"/>
        <v>4330</v>
      </c>
      <c r="E36" s="74">
        <v>183304</v>
      </c>
      <c r="F36" s="17">
        <f t="shared" si="183"/>
        <v>7070</v>
      </c>
      <c r="G36" s="74">
        <v>992092</v>
      </c>
      <c r="H36" s="17">
        <f t="shared" ref="H36:H37" si="184">(G36-G35)*10</f>
        <v>15010</v>
      </c>
      <c r="I36" s="17">
        <f t="shared" ref="I36:I37" si="185">H36*50%</f>
        <v>7505</v>
      </c>
      <c r="J36" s="74">
        <v>163144</v>
      </c>
      <c r="K36" s="17">
        <f t="shared" si="161"/>
        <v>6270</v>
      </c>
      <c r="L36" s="74">
        <v>254260</v>
      </c>
      <c r="M36" s="17">
        <f t="shared" si="162"/>
        <v>9860</v>
      </c>
      <c r="N36" s="74">
        <v>875118</v>
      </c>
      <c r="O36" s="17">
        <f t="shared" ref="O36:O37" si="186">(N36-N35)*10</f>
        <v>5570</v>
      </c>
      <c r="P36" s="17">
        <f t="shared" ref="P36:P37" si="187">O36*50%</f>
        <v>2785</v>
      </c>
      <c r="Q36" s="74">
        <v>167911</v>
      </c>
      <c r="R36" s="17">
        <f t="shared" ref="R36:R38" si="188">(Q36-Q35)*10</f>
        <v>8290</v>
      </c>
      <c r="S36" s="17">
        <f t="shared" ref="S36:S38" si="189">R36*50%</f>
        <v>4145</v>
      </c>
      <c r="T36" s="74">
        <v>88741</v>
      </c>
      <c r="U36" s="17">
        <f t="shared" ref="U36:U38" si="190">(T36-T35)*10</f>
        <v>2690</v>
      </c>
      <c r="V36" s="17">
        <f t="shared" ref="V36:V38" si="191">U36*50%</f>
        <v>1345</v>
      </c>
      <c r="W36" s="74">
        <v>165709</v>
      </c>
      <c r="X36" s="17">
        <f t="shared" ref="X36:X37" si="192">W36-W35</f>
        <v>1213</v>
      </c>
      <c r="Y36" s="17">
        <f t="shared" ref="Y36:Y38" si="193">X36*50%</f>
        <v>606.5</v>
      </c>
      <c r="Z36" s="74">
        <v>31396</v>
      </c>
      <c r="AA36" s="17">
        <f t="shared" si="165"/>
        <v>94</v>
      </c>
      <c r="AB36" s="74">
        <v>63959</v>
      </c>
      <c r="AC36" s="17">
        <f t="shared" si="166"/>
        <v>203</v>
      </c>
      <c r="AD36" s="74">
        <v>114713</v>
      </c>
      <c r="AE36" s="17">
        <f t="shared" si="167"/>
        <v>353</v>
      </c>
      <c r="AF36" s="74">
        <v>61752</v>
      </c>
      <c r="AG36" s="17">
        <f t="shared" si="168"/>
        <v>184</v>
      </c>
      <c r="AH36" s="74">
        <v>309877</v>
      </c>
      <c r="AI36" s="17">
        <f t="shared" si="169"/>
        <v>1051</v>
      </c>
      <c r="AK36" s="100">
        <f t="shared" ref="AK36:AK37" si="194">SUM(D36,F36,I36,K36,M36,P36,S36,V36,Y36)</f>
        <v>43916.5</v>
      </c>
      <c r="AL36" s="101">
        <f t="shared" ref="AL36:AL37" si="195">SUM(P36,S36,V36,Y36,AA36,AC36,AE36,AG36,AI36)</f>
        <v>10766.5</v>
      </c>
    </row>
    <row r="37" spans="1:38" ht="39.950000000000003" customHeight="1">
      <c r="A37" s="148">
        <v>44346</v>
      </c>
      <c r="B37" s="16"/>
      <c r="C37" s="74">
        <v>116899</v>
      </c>
      <c r="D37" s="17">
        <f t="shared" si="182"/>
        <v>4350</v>
      </c>
      <c r="E37" s="74">
        <v>184009</v>
      </c>
      <c r="F37" s="17">
        <f t="shared" si="183"/>
        <v>7050</v>
      </c>
      <c r="G37" s="74">
        <v>993652</v>
      </c>
      <c r="H37" s="17">
        <f t="shared" si="184"/>
        <v>15600</v>
      </c>
      <c r="I37" s="17">
        <f t="shared" si="185"/>
        <v>7800</v>
      </c>
      <c r="J37" s="74">
        <v>163777</v>
      </c>
      <c r="K37" s="17">
        <f t="shared" si="161"/>
        <v>6330</v>
      </c>
      <c r="L37" s="74">
        <v>255236</v>
      </c>
      <c r="M37" s="17">
        <f t="shared" si="162"/>
        <v>9760</v>
      </c>
      <c r="N37" s="74">
        <v>875684</v>
      </c>
      <c r="O37" s="17">
        <f t="shared" si="186"/>
        <v>5660</v>
      </c>
      <c r="P37" s="17">
        <f t="shared" si="187"/>
        <v>2830</v>
      </c>
      <c r="Q37" s="74">
        <v>168785</v>
      </c>
      <c r="R37" s="17">
        <f t="shared" si="188"/>
        <v>8740</v>
      </c>
      <c r="S37" s="17">
        <f t="shared" si="189"/>
        <v>4370</v>
      </c>
      <c r="T37" s="74">
        <v>88999</v>
      </c>
      <c r="U37" s="17">
        <f t="shared" si="190"/>
        <v>2580</v>
      </c>
      <c r="V37" s="17">
        <f t="shared" si="191"/>
        <v>1290</v>
      </c>
      <c r="W37" s="74">
        <v>166953</v>
      </c>
      <c r="X37" s="17">
        <f t="shared" si="192"/>
        <v>1244</v>
      </c>
      <c r="Y37" s="17">
        <f t="shared" si="193"/>
        <v>622</v>
      </c>
      <c r="Z37" s="74">
        <v>31492</v>
      </c>
      <c r="AA37" s="17">
        <f t="shared" si="165"/>
        <v>96</v>
      </c>
      <c r="AB37" s="74">
        <v>64156</v>
      </c>
      <c r="AC37" s="17">
        <f t="shared" si="166"/>
        <v>197</v>
      </c>
      <c r="AD37" s="74">
        <v>115053</v>
      </c>
      <c r="AE37" s="17">
        <f t="shared" si="167"/>
        <v>340</v>
      </c>
      <c r="AF37" s="74">
        <v>61931</v>
      </c>
      <c r="AG37" s="17">
        <f t="shared" si="168"/>
        <v>179</v>
      </c>
      <c r="AH37" s="74">
        <v>310898</v>
      </c>
      <c r="AI37" s="17">
        <f t="shared" si="169"/>
        <v>1021</v>
      </c>
      <c r="AK37" s="100">
        <f t="shared" si="194"/>
        <v>44402</v>
      </c>
      <c r="AL37" s="101">
        <f t="shared" si="195"/>
        <v>10945</v>
      </c>
    </row>
    <row r="38" spans="1:38" s="150" customFormat="1" ht="39.950000000000003" customHeight="1">
      <c r="A38" s="148">
        <v>44347</v>
      </c>
      <c r="B38" s="149"/>
      <c r="C38" s="104">
        <v>117326</v>
      </c>
      <c r="D38" s="17">
        <f t="shared" si="182"/>
        <v>4270</v>
      </c>
      <c r="E38" s="104">
        <v>184712</v>
      </c>
      <c r="F38" s="17">
        <f t="shared" si="183"/>
        <v>7030</v>
      </c>
      <c r="G38" s="104">
        <v>995172</v>
      </c>
      <c r="H38" s="17">
        <f t="shared" ref="H38" si="196">(G38-G37)*10</f>
        <v>15200</v>
      </c>
      <c r="I38" s="17">
        <f t="shared" ref="I38" si="197">H38*50%</f>
        <v>7600</v>
      </c>
      <c r="J38" s="104">
        <v>164404</v>
      </c>
      <c r="K38" s="17">
        <f t="shared" si="161"/>
        <v>6270</v>
      </c>
      <c r="L38" s="104">
        <v>256163</v>
      </c>
      <c r="M38" s="17">
        <f t="shared" si="161"/>
        <v>9270</v>
      </c>
      <c r="N38" s="104">
        <v>876249</v>
      </c>
      <c r="O38" s="17">
        <f t="shared" ref="O38" si="198">(N38-N37)*10</f>
        <v>5650</v>
      </c>
      <c r="P38" s="17">
        <f t="shared" ref="P38" si="199">O38*50%</f>
        <v>2825</v>
      </c>
      <c r="Q38" s="104">
        <v>169485</v>
      </c>
      <c r="R38" s="17">
        <f t="shared" si="188"/>
        <v>7000</v>
      </c>
      <c r="S38" s="17">
        <f t="shared" si="189"/>
        <v>3500</v>
      </c>
      <c r="T38" s="104">
        <v>89303</v>
      </c>
      <c r="U38" s="17">
        <f t="shared" si="190"/>
        <v>3040</v>
      </c>
      <c r="V38" s="17">
        <f t="shared" si="191"/>
        <v>1520</v>
      </c>
      <c r="W38" s="104">
        <v>168104</v>
      </c>
      <c r="X38" s="17">
        <f t="shared" ref="X38" si="200">(W38-W37)*10</f>
        <v>11510</v>
      </c>
      <c r="Y38" s="17">
        <f t="shared" si="193"/>
        <v>5755</v>
      </c>
      <c r="Z38" s="104">
        <v>31587</v>
      </c>
      <c r="AA38" s="17">
        <f t="shared" si="165"/>
        <v>95</v>
      </c>
      <c r="AB38" s="104">
        <v>64363</v>
      </c>
      <c r="AC38" s="17">
        <f t="shared" si="165"/>
        <v>207</v>
      </c>
      <c r="AD38" s="104">
        <v>115402</v>
      </c>
      <c r="AE38" s="17">
        <f t="shared" si="165"/>
        <v>349</v>
      </c>
      <c r="AF38" s="104">
        <v>62109</v>
      </c>
      <c r="AG38" s="17">
        <f t="shared" si="165"/>
        <v>178</v>
      </c>
      <c r="AH38" s="104">
        <v>311904</v>
      </c>
      <c r="AI38" s="17">
        <f t="shared" si="165"/>
        <v>1006</v>
      </c>
      <c r="AK38" s="100">
        <f t="shared" ref="AK38" si="201">SUM(D38,F38,I38,K38,M38,P38,S38,V38,Y38)</f>
        <v>48040</v>
      </c>
      <c r="AL38" s="101">
        <f t="shared" ref="AL38" si="202">SUM(P38,S38,V38,Y38,AA38,AC38,AE38,AG38,AI38)</f>
        <v>15435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5" activePane="bottomRight" state="frozen"/>
      <selection pane="topRight" activeCell="C1" sqref="C1"/>
      <selection pane="bottomLeft" activeCell="A5" sqref="A5"/>
      <selection pane="bottomRight" activeCell="Y33" sqref="Y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6" t="s">
        <v>65</v>
      </c>
      <c r="D1" s="206"/>
      <c r="E1" s="206" t="s">
        <v>65</v>
      </c>
      <c r="F1" s="206"/>
      <c r="G1" s="206" t="s">
        <v>65</v>
      </c>
      <c r="H1" s="206"/>
      <c r="I1" s="206" t="s">
        <v>65</v>
      </c>
      <c r="J1" s="206"/>
      <c r="K1" s="219" t="s">
        <v>66</v>
      </c>
      <c r="L1" s="220"/>
      <c r="M1" s="220"/>
      <c r="N1" s="221"/>
      <c r="O1" s="206" t="s">
        <v>67</v>
      </c>
      <c r="P1" s="206"/>
    </row>
    <row r="2" spans="1:19" s="27" customFormat="1" ht="113.25" customHeight="1">
      <c r="A2" s="26"/>
      <c r="B2" s="26"/>
      <c r="C2" s="222" t="s">
        <v>103</v>
      </c>
      <c r="D2" s="223"/>
      <c r="E2" s="222" t="s">
        <v>104</v>
      </c>
      <c r="F2" s="223"/>
      <c r="G2" s="222" t="s">
        <v>105</v>
      </c>
      <c r="H2" s="223"/>
      <c r="I2" s="222" t="s">
        <v>106</v>
      </c>
      <c r="J2" s="223"/>
      <c r="K2" s="231" t="s">
        <v>107</v>
      </c>
      <c r="L2" s="232"/>
      <c r="M2" s="232"/>
      <c r="N2" s="233"/>
      <c r="O2" s="222" t="s">
        <v>108</v>
      </c>
      <c r="P2" s="223"/>
    </row>
    <row r="3" spans="1:19" s="32" customFormat="1" ht="50.1" customHeight="1">
      <c r="A3" s="41"/>
      <c r="B3" s="41"/>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11" t="s">
        <v>96</v>
      </c>
      <c r="B4" s="51"/>
      <c r="C4" s="213"/>
      <c r="D4" s="214"/>
      <c r="E4" s="213"/>
      <c r="F4" s="214"/>
      <c r="G4" s="213"/>
      <c r="H4" s="214"/>
      <c r="I4" s="213"/>
      <c r="J4" s="214"/>
      <c r="K4" s="213"/>
      <c r="L4" s="218"/>
      <c r="M4" s="218"/>
      <c r="N4" s="214"/>
      <c r="O4" s="51"/>
      <c r="P4" s="51"/>
      <c r="R4" s="204"/>
      <c r="S4" s="204"/>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8">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8">
        <v>44317</v>
      </c>
      <c r="B7" s="15"/>
      <c r="C7" s="87">
        <v>208441</v>
      </c>
      <c r="D7" s="185">
        <f>(C7-C6)</f>
        <v>263</v>
      </c>
      <c r="E7" s="87">
        <v>208510</v>
      </c>
      <c r="F7" s="185">
        <f>(E7-E6)</f>
        <v>369</v>
      </c>
      <c r="G7" s="87">
        <v>6458</v>
      </c>
      <c r="H7" s="185">
        <f>(G7-G6)</f>
        <v>2.4021000000002459</v>
      </c>
      <c r="I7" s="87">
        <v>13355</v>
      </c>
      <c r="J7" s="185">
        <f>(I7-I6)</f>
        <v>13</v>
      </c>
      <c r="K7" s="87">
        <v>147205</v>
      </c>
      <c r="L7" s="78">
        <f>(K7-K6)</f>
        <v>210</v>
      </c>
      <c r="M7" s="185">
        <f>L7*55%</f>
        <v>115.50000000000001</v>
      </c>
      <c r="N7" s="185">
        <f>L7*45%</f>
        <v>94.5</v>
      </c>
      <c r="O7" s="87">
        <v>107125</v>
      </c>
      <c r="P7" s="185">
        <f>(O7-O6)</f>
        <v>98</v>
      </c>
      <c r="R7" s="110">
        <f t="shared" ref="R7:R34" si="0">SUM(D7,F7,M71,H7)</f>
        <v>634.40210000000025</v>
      </c>
      <c r="S7" s="101">
        <f>SUM(N7,P7)</f>
        <v>192.5</v>
      </c>
    </row>
    <row r="8" spans="1:19" ht="39.950000000000003" customHeight="1">
      <c r="A8" s="148">
        <v>44318</v>
      </c>
      <c r="B8" s="16"/>
      <c r="C8" s="87">
        <v>208653</v>
      </c>
      <c r="D8" s="185">
        <f t="shared" ref="D8:F35" si="1">(C8-C7)</f>
        <v>212</v>
      </c>
      <c r="E8" s="87">
        <v>208816</v>
      </c>
      <c r="F8" s="185">
        <f t="shared" si="1"/>
        <v>306</v>
      </c>
      <c r="G8" s="87">
        <v>6462</v>
      </c>
      <c r="H8" s="185">
        <f t="shared" ref="H8" si="2">(G8-G7)</f>
        <v>4</v>
      </c>
      <c r="I8" s="87">
        <v>13366</v>
      </c>
      <c r="J8" s="185">
        <f t="shared" ref="J8" si="3">(I8-I7)</f>
        <v>11</v>
      </c>
      <c r="K8" s="87">
        <v>147365</v>
      </c>
      <c r="L8" s="78">
        <f t="shared" ref="L8" si="4">(K8-K7)</f>
        <v>160</v>
      </c>
      <c r="M8" s="185">
        <f t="shared" ref="M8:M34" si="5">L8*55%</f>
        <v>88</v>
      </c>
      <c r="N8" s="185">
        <f t="shared" ref="N8:N34" si="6">L8*45%</f>
        <v>72</v>
      </c>
      <c r="O8" s="87">
        <v>107209</v>
      </c>
      <c r="P8" s="185">
        <f t="shared" ref="P8" si="7">(O8-O7)</f>
        <v>84</v>
      </c>
      <c r="R8" s="110">
        <f t="shared" si="0"/>
        <v>522</v>
      </c>
      <c r="S8" s="101">
        <f t="shared" ref="S8:S34" si="8">SUM(N8,P8)</f>
        <v>156</v>
      </c>
    </row>
    <row r="9" spans="1:19" ht="39.950000000000003" customHeight="1">
      <c r="A9" s="148">
        <v>44319</v>
      </c>
      <c r="B9" s="16"/>
      <c r="C9" s="87">
        <v>208796</v>
      </c>
      <c r="D9" s="185">
        <f t="shared" si="1"/>
        <v>143</v>
      </c>
      <c r="E9" s="87">
        <v>209081</v>
      </c>
      <c r="F9" s="185">
        <f t="shared" si="1"/>
        <v>265</v>
      </c>
      <c r="G9" s="87">
        <v>6468</v>
      </c>
      <c r="H9" s="185">
        <f t="shared" ref="H9" si="9">(G9-G8)</f>
        <v>6</v>
      </c>
      <c r="I9" s="87">
        <v>13382</v>
      </c>
      <c r="J9" s="185">
        <f t="shared" ref="J9" si="10">(I9-I8)</f>
        <v>16</v>
      </c>
      <c r="K9" s="87">
        <v>147534</v>
      </c>
      <c r="L9" s="78">
        <f t="shared" ref="L9" si="11">(K9-K8)</f>
        <v>169</v>
      </c>
      <c r="M9" s="185">
        <f t="shared" si="5"/>
        <v>92.95</v>
      </c>
      <c r="N9" s="185">
        <f t="shared" si="6"/>
        <v>76.05</v>
      </c>
      <c r="O9" s="87">
        <v>107283</v>
      </c>
      <c r="P9" s="185">
        <f t="shared" ref="P9" si="12">(O9-O8)</f>
        <v>74</v>
      </c>
      <c r="R9" s="110">
        <f t="shared" si="0"/>
        <v>414</v>
      </c>
      <c r="S9" s="101">
        <f t="shared" si="8"/>
        <v>150.05000000000001</v>
      </c>
    </row>
    <row r="10" spans="1:19" ht="39.950000000000003" customHeight="1">
      <c r="A10" s="148">
        <v>44320</v>
      </c>
      <c r="B10" s="16"/>
      <c r="C10" s="87">
        <v>208935</v>
      </c>
      <c r="D10" s="185">
        <f t="shared" si="1"/>
        <v>139</v>
      </c>
      <c r="E10" s="87">
        <v>209344</v>
      </c>
      <c r="F10" s="185">
        <f t="shared" si="1"/>
        <v>263</v>
      </c>
      <c r="G10" s="87">
        <v>6471</v>
      </c>
      <c r="H10" s="185">
        <f t="shared" ref="H10" si="13">(G10-G9)</f>
        <v>3</v>
      </c>
      <c r="I10" s="87">
        <v>13394</v>
      </c>
      <c r="J10" s="185">
        <f t="shared" ref="J10" si="14">(I10-I9)</f>
        <v>12</v>
      </c>
      <c r="K10" s="87">
        <v>147719</v>
      </c>
      <c r="L10" s="78">
        <f t="shared" ref="L10" si="15">(K10-K9)</f>
        <v>185</v>
      </c>
      <c r="M10" s="185">
        <f t="shared" si="5"/>
        <v>101.75000000000001</v>
      </c>
      <c r="N10" s="185">
        <f t="shared" si="6"/>
        <v>83.25</v>
      </c>
      <c r="O10" s="87">
        <v>107498</v>
      </c>
      <c r="P10" s="185">
        <f t="shared" ref="P10" si="16">(O10-O9)</f>
        <v>215</v>
      </c>
      <c r="R10" s="110">
        <f t="shared" si="0"/>
        <v>405</v>
      </c>
      <c r="S10" s="101">
        <f t="shared" si="8"/>
        <v>298.25</v>
      </c>
    </row>
    <row r="11" spans="1:19" ht="39.950000000000003" customHeight="1">
      <c r="A11" s="148">
        <v>44321</v>
      </c>
      <c r="B11" s="16"/>
      <c r="C11" s="87">
        <v>209041</v>
      </c>
      <c r="D11" s="185">
        <f t="shared" si="1"/>
        <v>106</v>
      </c>
      <c r="E11" s="87">
        <v>209595</v>
      </c>
      <c r="F11" s="185">
        <f t="shared" si="1"/>
        <v>251</v>
      </c>
      <c r="G11" s="87">
        <v>6473</v>
      </c>
      <c r="H11" s="185">
        <f t="shared" ref="H11" si="17">(G11-G10)</f>
        <v>2</v>
      </c>
      <c r="I11" s="87">
        <v>13400</v>
      </c>
      <c r="J11" s="185">
        <f t="shared" ref="J11" si="18">(I11-I10)</f>
        <v>6</v>
      </c>
      <c r="K11" s="87">
        <v>147855</v>
      </c>
      <c r="L11" s="78">
        <f t="shared" ref="L11" si="19">(K11-K10)</f>
        <v>136</v>
      </c>
      <c r="M11" s="185">
        <f t="shared" si="5"/>
        <v>74.800000000000011</v>
      </c>
      <c r="N11" s="185">
        <f t="shared" si="6"/>
        <v>61.2</v>
      </c>
      <c r="O11" s="87">
        <v>107594</v>
      </c>
      <c r="P11" s="185">
        <f t="shared" ref="P11" si="20">(O11-O10)</f>
        <v>96</v>
      </c>
      <c r="R11" s="110">
        <f t="shared" si="0"/>
        <v>359</v>
      </c>
      <c r="S11" s="101">
        <f t="shared" si="8"/>
        <v>157.19999999999999</v>
      </c>
    </row>
    <row r="12" spans="1:19" ht="39.950000000000003" customHeight="1">
      <c r="A12" s="148">
        <v>44322</v>
      </c>
      <c r="B12" s="16"/>
      <c r="C12" s="87">
        <v>209143</v>
      </c>
      <c r="D12" s="185">
        <f t="shared" si="1"/>
        <v>102</v>
      </c>
      <c r="E12" s="87">
        <v>209874</v>
      </c>
      <c r="F12" s="185">
        <f t="shared" si="1"/>
        <v>279</v>
      </c>
      <c r="G12" s="87">
        <v>6479</v>
      </c>
      <c r="H12" s="185">
        <f t="shared" ref="H12" si="21">(G12-G11)</f>
        <v>6</v>
      </c>
      <c r="I12" s="87">
        <v>13409</v>
      </c>
      <c r="J12" s="185">
        <f t="shared" ref="J12" si="22">(I12-I11)</f>
        <v>9</v>
      </c>
      <c r="K12" s="87">
        <v>147991</v>
      </c>
      <c r="L12" s="78">
        <f t="shared" ref="L12" si="23">(K12-K11)</f>
        <v>136</v>
      </c>
      <c r="M12" s="185">
        <f t="shared" si="5"/>
        <v>74.800000000000011</v>
      </c>
      <c r="N12" s="185">
        <f t="shared" si="6"/>
        <v>61.2</v>
      </c>
      <c r="O12" s="87">
        <v>107673</v>
      </c>
      <c r="P12" s="185">
        <f t="shared" ref="P12" si="24">(O12-O11)</f>
        <v>79</v>
      </c>
      <c r="R12" s="110">
        <f t="shared" si="0"/>
        <v>387</v>
      </c>
      <c r="S12" s="101">
        <f t="shared" si="8"/>
        <v>140.19999999999999</v>
      </c>
    </row>
    <row r="13" spans="1:19" ht="39.950000000000003" customHeight="1">
      <c r="A13" s="148">
        <v>44323</v>
      </c>
      <c r="B13" s="16"/>
      <c r="C13" s="87">
        <v>209238</v>
      </c>
      <c r="D13" s="185">
        <f t="shared" si="1"/>
        <v>95</v>
      </c>
      <c r="E13" s="87">
        <v>210126</v>
      </c>
      <c r="F13" s="185">
        <f t="shared" si="1"/>
        <v>252</v>
      </c>
      <c r="G13" s="87">
        <v>6485</v>
      </c>
      <c r="H13" s="185">
        <f t="shared" ref="H13" si="25">(G13-G12)</f>
        <v>6</v>
      </c>
      <c r="I13" s="87">
        <v>13421</v>
      </c>
      <c r="J13" s="185">
        <f t="shared" ref="J13" si="26">(I13-I12)</f>
        <v>12</v>
      </c>
      <c r="K13" s="87">
        <v>148123</v>
      </c>
      <c r="L13" s="78">
        <f t="shared" ref="L13" si="27">(K13-K12)</f>
        <v>132</v>
      </c>
      <c r="M13" s="185">
        <f t="shared" si="5"/>
        <v>72.600000000000009</v>
      </c>
      <c r="N13" s="185">
        <f t="shared" si="6"/>
        <v>59.4</v>
      </c>
      <c r="O13" s="87">
        <v>107763</v>
      </c>
      <c r="P13" s="185">
        <f t="shared" ref="P13" si="28">(O13-O12)</f>
        <v>90</v>
      </c>
      <c r="R13" s="110">
        <f t="shared" si="0"/>
        <v>353</v>
      </c>
      <c r="S13" s="101">
        <f t="shared" si="8"/>
        <v>149.4</v>
      </c>
    </row>
    <row r="14" spans="1:19" ht="39.950000000000003" customHeight="1">
      <c r="A14" s="148">
        <v>44324</v>
      </c>
      <c r="B14" s="16"/>
      <c r="C14" s="87">
        <v>209349</v>
      </c>
      <c r="D14" s="185">
        <f t="shared" si="1"/>
        <v>111</v>
      </c>
      <c r="E14" s="87">
        <v>210409</v>
      </c>
      <c r="F14" s="185">
        <f t="shared" si="1"/>
        <v>283</v>
      </c>
      <c r="G14" s="87">
        <v>6490</v>
      </c>
      <c r="H14" s="185">
        <f t="shared" ref="H14" si="29">(G14-G13)</f>
        <v>5</v>
      </c>
      <c r="I14" s="87">
        <v>13431</v>
      </c>
      <c r="J14" s="185">
        <f t="shared" ref="J14" si="30">(I14-I13)</f>
        <v>10</v>
      </c>
      <c r="K14" s="87">
        <v>148250</v>
      </c>
      <c r="L14" s="78">
        <f t="shared" ref="L14" si="31">(K14-K13)</f>
        <v>127</v>
      </c>
      <c r="M14" s="185">
        <f t="shared" si="5"/>
        <v>69.850000000000009</v>
      </c>
      <c r="N14" s="185">
        <f t="shared" si="6"/>
        <v>57.15</v>
      </c>
      <c r="O14" s="87">
        <v>107826</v>
      </c>
      <c r="P14" s="185">
        <f t="shared" ref="P14" si="32">(O14-O13)</f>
        <v>63</v>
      </c>
      <c r="R14" s="110">
        <f t="shared" si="0"/>
        <v>399</v>
      </c>
      <c r="S14" s="101">
        <f t="shared" si="8"/>
        <v>120.15</v>
      </c>
    </row>
    <row r="15" spans="1:19" ht="39.950000000000003" customHeight="1">
      <c r="A15" s="148">
        <v>44325</v>
      </c>
      <c r="B15" s="16"/>
      <c r="C15" s="87">
        <v>209497</v>
      </c>
      <c r="D15" s="185">
        <f t="shared" si="1"/>
        <v>148</v>
      </c>
      <c r="E15" s="87">
        <v>210757</v>
      </c>
      <c r="F15" s="185">
        <f t="shared" si="1"/>
        <v>348</v>
      </c>
      <c r="G15" s="87">
        <v>6493</v>
      </c>
      <c r="H15" s="185">
        <f t="shared" ref="H15" si="33">(G15-G14)</f>
        <v>3</v>
      </c>
      <c r="I15" s="87">
        <v>13443</v>
      </c>
      <c r="J15" s="185">
        <f t="shared" ref="J15" si="34">(I15-I14)</f>
        <v>12</v>
      </c>
      <c r="K15" s="87">
        <v>148402</v>
      </c>
      <c r="L15" s="78">
        <f t="shared" ref="L15" si="35">(K15-K14)</f>
        <v>152</v>
      </c>
      <c r="M15" s="185">
        <f t="shared" si="5"/>
        <v>83.600000000000009</v>
      </c>
      <c r="N15" s="185">
        <f t="shared" si="6"/>
        <v>68.400000000000006</v>
      </c>
      <c r="O15" s="87">
        <v>107915</v>
      </c>
      <c r="P15" s="185">
        <f t="shared" ref="P15" si="36">(O15-O14)</f>
        <v>89</v>
      </c>
      <c r="R15" s="110">
        <f t="shared" si="0"/>
        <v>499</v>
      </c>
      <c r="S15" s="101">
        <f t="shared" si="8"/>
        <v>157.4</v>
      </c>
    </row>
    <row r="16" spans="1:19" ht="39.950000000000003" customHeight="1">
      <c r="A16" s="148">
        <v>44326</v>
      </c>
      <c r="B16" s="16"/>
      <c r="C16" s="87">
        <v>209634</v>
      </c>
      <c r="D16" s="185">
        <f t="shared" si="1"/>
        <v>137</v>
      </c>
      <c r="E16" s="87">
        <v>211006</v>
      </c>
      <c r="F16" s="185">
        <f t="shared" si="1"/>
        <v>249</v>
      </c>
      <c r="G16" s="87">
        <v>6496</v>
      </c>
      <c r="H16" s="185">
        <f t="shared" ref="H16" si="37">(G16-G15)</f>
        <v>3</v>
      </c>
      <c r="I16" s="87">
        <v>13458</v>
      </c>
      <c r="J16" s="185">
        <f t="shared" ref="J16" si="38">(I16-I15)</f>
        <v>15</v>
      </c>
      <c r="K16" s="87">
        <v>148529</v>
      </c>
      <c r="L16" s="78">
        <f t="shared" ref="L16" si="39">(K16-K15)</f>
        <v>127</v>
      </c>
      <c r="M16" s="185">
        <f t="shared" si="5"/>
        <v>69.850000000000009</v>
      </c>
      <c r="N16" s="185">
        <f t="shared" si="6"/>
        <v>57.15</v>
      </c>
      <c r="O16" s="87">
        <v>108003</v>
      </c>
      <c r="P16" s="185">
        <f t="shared" ref="P16" si="40">(O16-O15)</f>
        <v>88</v>
      </c>
      <c r="R16" s="110">
        <f t="shared" si="0"/>
        <v>389</v>
      </c>
      <c r="S16" s="101">
        <f t="shared" si="8"/>
        <v>145.15</v>
      </c>
    </row>
    <row r="17" spans="1:19" ht="39.950000000000003" customHeight="1">
      <c r="A17" s="148">
        <v>44327</v>
      </c>
      <c r="B17" s="16"/>
      <c r="C17" s="86">
        <v>209748</v>
      </c>
      <c r="D17" s="185">
        <f t="shared" si="1"/>
        <v>114</v>
      </c>
      <c r="E17" s="86">
        <v>211281</v>
      </c>
      <c r="F17" s="185">
        <f t="shared" si="1"/>
        <v>275</v>
      </c>
      <c r="G17" s="86">
        <v>6504</v>
      </c>
      <c r="H17" s="185">
        <f t="shared" ref="H17" si="41">(G17-G16)</f>
        <v>8</v>
      </c>
      <c r="I17" s="86">
        <v>13467</v>
      </c>
      <c r="J17" s="185">
        <f t="shared" ref="J17" si="42">(I17-I16)</f>
        <v>9</v>
      </c>
      <c r="K17" s="86">
        <v>148681</v>
      </c>
      <c r="L17" s="78">
        <f t="shared" ref="L17" si="43">(K17-K16)</f>
        <v>152</v>
      </c>
      <c r="M17" s="185">
        <f t="shared" si="5"/>
        <v>83.600000000000009</v>
      </c>
      <c r="N17" s="185">
        <f t="shared" si="6"/>
        <v>68.400000000000006</v>
      </c>
      <c r="O17" s="86">
        <v>108078</v>
      </c>
      <c r="P17" s="185">
        <f t="shared" ref="P17" si="44">(O17-O16)</f>
        <v>75</v>
      </c>
      <c r="R17" s="110">
        <f t="shared" si="0"/>
        <v>397</v>
      </c>
      <c r="S17" s="101">
        <f t="shared" si="8"/>
        <v>143.4</v>
      </c>
    </row>
    <row r="18" spans="1:19" ht="39.950000000000003" customHeight="1">
      <c r="A18" s="148">
        <v>44328</v>
      </c>
      <c r="B18" s="16"/>
      <c r="C18" s="86">
        <v>209901</v>
      </c>
      <c r="D18" s="185">
        <f t="shared" si="1"/>
        <v>153</v>
      </c>
      <c r="E18" s="86">
        <v>211531</v>
      </c>
      <c r="F18" s="185">
        <f t="shared" si="1"/>
        <v>250</v>
      </c>
      <c r="G18" s="86">
        <v>6507</v>
      </c>
      <c r="H18" s="185">
        <f t="shared" ref="H18" si="45">(G18-G17)</f>
        <v>3</v>
      </c>
      <c r="I18" s="86">
        <v>13480</v>
      </c>
      <c r="J18" s="185">
        <f t="shared" ref="J18" si="46">(I18-I17)</f>
        <v>13</v>
      </c>
      <c r="K18" s="86">
        <v>148843</v>
      </c>
      <c r="L18" s="78">
        <f t="shared" ref="L18" si="47">(K18-K17)</f>
        <v>162</v>
      </c>
      <c r="M18" s="185">
        <f t="shared" si="5"/>
        <v>89.100000000000009</v>
      </c>
      <c r="N18" s="185">
        <f t="shared" si="6"/>
        <v>72.900000000000006</v>
      </c>
      <c r="O18" s="86">
        <v>108179</v>
      </c>
      <c r="P18" s="185">
        <f t="shared" ref="P18" si="48">(O18-O17)</f>
        <v>101</v>
      </c>
      <c r="R18" s="110">
        <f t="shared" si="0"/>
        <v>406</v>
      </c>
      <c r="S18" s="101">
        <f t="shared" si="8"/>
        <v>173.9</v>
      </c>
    </row>
    <row r="19" spans="1:19" s="82" customFormat="1" ht="39.950000000000003" customHeight="1">
      <c r="A19" s="148">
        <v>44329</v>
      </c>
      <c r="B19" s="85"/>
      <c r="C19" s="87">
        <v>210054</v>
      </c>
      <c r="D19" s="185">
        <f t="shared" si="1"/>
        <v>153</v>
      </c>
      <c r="E19" s="87">
        <v>211767</v>
      </c>
      <c r="F19" s="185">
        <f t="shared" si="1"/>
        <v>236</v>
      </c>
      <c r="G19" s="87">
        <v>6510</v>
      </c>
      <c r="H19" s="185">
        <f t="shared" ref="H19" si="49">(G19-G18)</f>
        <v>3</v>
      </c>
      <c r="I19" s="87">
        <v>13489</v>
      </c>
      <c r="J19" s="185">
        <f t="shared" ref="J19" si="50">(I19-I18)</f>
        <v>9</v>
      </c>
      <c r="K19" s="87">
        <v>148989</v>
      </c>
      <c r="L19" s="78">
        <f t="shared" ref="L19" si="51">(K19-K18)</f>
        <v>146</v>
      </c>
      <c r="M19" s="185">
        <f t="shared" si="5"/>
        <v>80.300000000000011</v>
      </c>
      <c r="N19" s="185">
        <f t="shared" si="6"/>
        <v>65.7</v>
      </c>
      <c r="O19" s="87">
        <v>108254</v>
      </c>
      <c r="P19" s="185">
        <f t="shared" ref="P19" si="52">(O19-O18)</f>
        <v>75</v>
      </c>
      <c r="R19" s="171">
        <f t="shared" si="0"/>
        <v>392</v>
      </c>
      <c r="S19" s="109">
        <f t="shared" si="8"/>
        <v>140.69999999999999</v>
      </c>
    </row>
    <row r="20" spans="1:19" s="82" customFormat="1" ht="39.950000000000003" customHeight="1">
      <c r="A20" s="148">
        <v>44330</v>
      </c>
      <c r="B20" s="85"/>
      <c r="C20" s="87">
        <v>210227</v>
      </c>
      <c r="D20" s="185">
        <f t="shared" si="1"/>
        <v>173</v>
      </c>
      <c r="E20" s="87">
        <v>212031</v>
      </c>
      <c r="F20" s="185">
        <f t="shared" si="1"/>
        <v>264</v>
      </c>
      <c r="G20" s="87">
        <v>6514</v>
      </c>
      <c r="H20" s="185">
        <f t="shared" ref="H20" si="53">(G20-G19)</f>
        <v>4</v>
      </c>
      <c r="I20" s="87">
        <v>13493</v>
      </c>
      <c r="J20" s="185">
        <f t="shared" ref="J20" si="54">(I20-I19)</f>
        <v>4</v>
      </c>
      <c r="K20" s="87">
        <v>149132</v>
      </c>
      <c r="L20" s="78">
        <f t="shared" ref="L20" si="55">(K20-K19)</f>
        <v>143</v>
      </c>
      <c r="M20" s="185">
        <f t="shared" si="5"/>
        <v>78.650000000000006</v>
      </c>
      <c r="N20" s="185">
        <f t="shared" si="6"/>
        <v>64.350000000000009</v>
      </c>
      <c r="O20" s="87">
        <v>108328</v>
      </c>
      <c r="P20" s="185">
        <f t="shared" ref="P20" si="56">(O20-O19)</f>
        <v>74</v>
      </c>
      <c r="R20" s="171">
        <f t="shared" si="0"/>
        <v>441</v>
      </c>
      <c r="S20" s="109">
        <f t="shared" si="8"/>
        <v>138.35000000000002</v>
      </c>
    </row>
    <row r="21" spans="1:19" s="82" customFormat="1" ht="39.950000000000003" customHeight="1">
      <c r="A21" s="148">
        <v>44331</v>
      </c>
      <c r="B21" s="85"/>
      <c r="C21" s="87">
        <f>(C22+C20)/2</f>
        <v>210418</v>
      </c>
      <c r="D21" s="185">
        <f t="shared" si="1"/>
        <v>191</v>
      </c>
      <c r="E21" s="87">
        <f>(E22+E20)/2</f>
        <v>212356.5</v>
      </c>
      <c r="F21" s="185">
        <f>(E21-E20)</f>
        <v>325.5</v>
      </c>
      <c r="G21" s="87">
        <v>6522.6581999999999</v>
      </c>
      <c r="H21" s="185">
        <f t="shared" ref="H21" si="57">(G21-G20)</f>
        <v>8.6581999999998516</v>
      </c>
      <c r="I21" s="87">
        <v>13504</v>
      </c>
      <c r="J21" s="185">
        <f t="shared" ref="J21" si="58">(I21-I20)</f>
        <v>11</v>
      </c>
      <c r="K21" s="87">
        <v>149286</v>
      </c>
      <c r="L21" s="78">
        <f t="shared" ref="L21" si="59">(K21-K20)</f>
        <v>154</v>
      </c>
      <c r="M21" s="185">
        <f t="shared" si="5"/>
        <v>84.7</v>
      </c>
      <c r="N21" s="185">
        <f t="shared" si="6"/>
        <v>69.3</v>
      </c>
      <c r="O21" s="87">
        <f>(O22+O20)/2</f>
        <v>108407</v>
      </c>
      <c r="P21" s="185">
        <f t="shared" ref="P21" si="60">(O21-O20)</f>
        <v>79</v>
      </c>
      <c r="R21" s="171">
        <f t="shared" si="0"/>
        <v>525.15819999999985</v>
      </c>
      <c r="S21" s="109">
        <f t="shared" si="8"/>
        <v>148.30000000000001</v>
      </c>
    </row>
    <row r="22" spans="1:19" s="82" customFormat="1" ht="39.950000000000003" customHeight="1">
      <c r="A22" s="148">
        <v>44332</v>
      </c>
      <c r="B22" s="85"/>
      <c r="C22" s="86">
        <v>210609</v>
      </c>
      <c r="D22" s="185">
        <f t="shared" si="1"/>
        <v>191</v>
      </c>
      <c r="E22" s="86">
        <v>212682</v>
      </c>
      <c r="F22" s="185">
        <f>(E22-E21)</f>
        <v>325.5</v>
      </c>
      <c r="G22" s="86">
        <v>6532.6581999999999</v>
      </c>
      <c r="H22" s="185">
        <f t="shared" ref="H22" si="61">(G22-G21)</f>
        <v>10</v>
      </c>
      <c r="I22" s="86">
        <v>13513</v>
      </c>
      <c r="J22" s="185">
        <f t="shared" ref="J22" si="62">(I22-I21)</f>
        <v>9</v>
      </c>
      <c r="K22" s="86">
        <v>149441</v>
      </c>
      <c r="L22" s="78">
        <f t="shared" ref="L22" si="63">(K22-K21)</f>
        <v>155</v>
      </c>
      <c r="M22" s="185">
        <f t="shared" si="5"/>
        <v>85.25</v>
      </c>
      <c r="N22" s="185">
        <f t="shared" si="6"/>
        <v>69.75</v>
      </c>
      <c r="O22" s="86">
        <v>108486</v>
      </c>
      <c r="P22" s="185">
        <f t="shared" ref="P22" si="64">(O22-O21)</f>
        <v>79</v>
      </c>
      <c r="R22" s="171">
        <f t="shared" si="0"/>
        <v>526.5</v>
      </c>
      <c r="S22" s="109">
        <f t="shared" si="8"/>
        <v>148.75</v>
      </c>
    </row>
    <row r="23" spans="1:19" s="82" customFormat="1" ht="39.950000000000003" customHeight="1">
      <c r="A23" s="148">
        <v>44333</v>
      </c>
      <c r="B23" s="85"/>
      <c r="C23" s="86">
        <v>210771</v>
      </c>
      <c r="D23" s="185">
        <f t="shared" si="1"/>
        <v>162</v>
      </c>
      <c r="E23" s="86">
        <v>212999</v>
      </c>
      <c r="F23" s="185">
        <f>(E23-E22)</f>
        <v>317</v>
      </c>
      <c r="G23" s="86">
        <v>6528.3666999999996</v>
      </c>
      <c r="H23" s="185">
        <f t="shared" ref="H23" si="65">(G23-G22)</f>
        <v>-4.2915000000002692</v>
      </c>
      <c r="I23" s="86">
        <v>13520</v>
      </c>
      <c r="J23" s="185">
        <f t="shared" ref="J23" si="66">(I23-I22)</f>
        <v>7</v>
      </c>
      <c r="K23" s="86">
        <v>149607</v>
      </c>
      <c r="L23" s="78">
        <f t="shared" ref="L23" si="67">(K23-K22)</f>
        <v>166</v>
      </c>
      <c r="M23" s="185">
        <f t="shared" si="5"/>
        <v>91.300000000000011</v>
      </c>
      <c r="N23" s="185">
        <f t="shared" si="6"/>
        <v>74.7</v>
      </c>
      <c r="O23" s="86">
        <v>108562</v>
      </c>
      <c r="P23" s="185">
        <f t="shared" ref="P23" si="68">(O23-O22)</f>
        <v>76</v>
      </c>
      <c r="R23" s="171">
        <f t="shared" si="0"/>
        <v>474.70849999999973</v>
      </c>
      <c r="S23" s="109">
        <f t="shared" si="8"/>
        <v>150.69999999999999</v>
      </c>
    </row>
    <row r="24" spans="1:19" s="82" customFormat="1" ht="39.950000000000003" customHeight="1">
      <c r="A24" s="148">
        <v>44334</v>
      </c>
      <c r="B24" s="85"/>
      <c r="C24" s="86">
        <v>210937</v>
      </c>
      <c r="D24" s="185">
        <f t="shared" si="1"/>
        <v>166</v>
      </c>
      <c r="E24" s="86">
        <v>213281</v>
      </c>
      <c r="F24" s="185">
        <f t="shared" si="1"/>
        <v>282</v>
      </c>
      <c r="G24" s="86">
        <v>6533.7267000000002</v>
      </c>
      <c r="H24" s="185">
        <f t="shared" ref="H24" si="69">(G24-G23)</f>
        <v>5.3600000000005821</v>
      </c>
      <c r="I24" s="86">
        <v>13529</v>
      </c>
      <c r="J24" s="185">
        <f t="shared" ref="J24" si="70">(I24-I23)</f>
        <v>9</v>
      </c>
      <c r="K24" s="86">
        <v>149784</v>
      </c>
      <c r="L24" s="78">
        <f t="shared" ref="L24" si="71">(K24-K23)</f>
        <v>177</v>
      </c>
      <c r="M24" s="185">
        <f t="shared" si="5"/>
        <v>97.350000000000009</v>
      </c>
      <c r="N24" s="185">
        <f t="shared" si="6"/>
        <v>79.650000000000006</v>
      </c>
      <c r="O24" s="86">
        <v>108641</v>
      </c>
      <c r="P24" s="185">
        <f t="shared" ref="P24" si="72">(O24-O23)</f>
        <v>79</v>
      </c>
      <c r="R24" s="171">
        <f t="shared" si="0"/>
        <v>453.36000000000058</v>
      </c>
      <c r="S24" s="109">
        <f t="shared" si="8"/>
        <v>158.65</v>
      </c>
    </row>
    <row r="25" spans="1:19" s="82" customFormat="1" ht="39.950000000000003" customHeight="1">
      <c r="A25" s="148">
        <v>44335</v>
      </c>
      <c r="B25" s="85"/>
      <c r="C25" s="86">
        <v>211146</v>
      </c>
      <c r="D25" s="185">
        <f t="shared" si="1"/>
        <v>209</v>
      </c>
      <c r="E25" s="86">
        <v>213503</v>
      </c>
      <c r="F25" s="185">
        <f t="shared" si="1"/>
        <v>222</v>
      </c>
      <c r="G25" s="86">
        <v>6538.9989999999998</v>
      </c>
      <c r="H25" s="185">
        <f t="shared" ref="H25" si="73">(G25-G24)</f>
        <v>5.2722999999996318</v>
      </c>
      <c r="I25" s="86">
        <v>13557</v>
      </c>
      <c r="J25" s="185">
        <f t="shared" ref="J25" si="74">(I25-I24)</f>
        <v>28</v>
      </c>
      <c r="K25" s="86">
        <v>149928</v>
      </c>
      <c r="L25" s="78">
        <f t="shared" ref="L25" si="75">(K25-K24)</f>
        <v>144</v>
      </c>
      <c r="M25" s="185">
        <f t="shared" si="5"/>
        <v>79.2</v>
      </c>
      <c r="N25" s="185">
        <f t="shared" si="6"/>
        <v>64.8</v>
      </c>
      <c r="O25" s="86">
        <v>108716</v>
      </c>
      <c r="P25" s="185">
        <f t="shared" ref="P25" si="76">(O25-O24)</f>
        <v>75</v>
      </c>
      <c r="R25" s="171">
        <f t="shared" si="0"/>
        <v>436.27229999999963</v>
      </c>
      <c r="S25" s="109">
        <f t="shared" si="8"/>
        <v>139.80000000000001</v>
      </c>
    </row>
    <row r="26" spans="1:19" ht="39.950000000000003" customHeight="1">
      <c r="A26" s="148">
        <v>44336</v>
      </c>
      <c r="B26" s="85"/>
      <c r="C26" s="86">
        <v>211340</v>
      </c>
      <c r="D26" s="185">
        <f t="shared" si="1"/>
        <v>194</v>
      </c>
      <c r="E26" s="86">
        <v>213842</v>
      </c>
      <c r="F26" s="185">
        <f t="shared" si="1"/>
        <v>339</v>
      </c>
      <c r="G26" s="86">
        <v>6543.2629999999999</v>
      </c>
      <c r="H26" s="185">
        <f t="shared" ref="H26" si="77">(G26-G25)</f>
        <v>4.2640000000001237</v>
      </c>
      <c r="I26" s="86">
        <v>13558</v>
      </c>
      <c r="J26" s="185">
        <f t="shared" ref="J26" si="78">(I26-I25)</f>
        <v>1</v>
      </c>
      <c r="K26" s="86">
        <v>150116</v>
      </c>
      <c r="L26" s="78">
        <f t="shared" ref="L26" si="79">(K26-K25)</f>
        <v>188</v>
      </c>
      <c r="M26" s="185">
        <f t="shared" si="5"/>
        <v>103.4</v>
      </c>
      <c r="N26" s="185">
        <f t="shared" si="6"/>
        <v>84.600000000000009</v>
      </c>
      <c r="O26" s="86">
        <v>108799</v>
      </c>
      <c r="P26" s="185">
        <f t="shared" ref="P26" si="80">(O26-O25)</f>
        <v>83</v>
      </c>
      <c r="R26" s="110">
        <f t="shared" si="0"/>
        <v>537.26400000000012</v>
      </c>
      <c r="S26" s="101">
        <f t="shared" si="8"/>
        <v>167.60000000000002</v>
      </c>
    </row>
    <row r="27" spans="1:19" ht="39.950000000000003" customHeight="1">
      <c r="A27" s="148">
        <v>44337</v>
      </c>
      <c r="B27" s="85"/>
      <c r="C27" s="86">
        <v>211511</v>
      </c>
      <c r="D27" s="185">
        <f t="shared" si="1"/>
        <v>171</v>
      </c>
      <c r="E27" s="86">
        <v>214098</v>
      </c>
      <c r="F27" s="185">
        <f t="shared" si="1"/>
        <v>256</v>
      </c>
      <c r="G27" s="86">
        <v>6548.692</v>
      </c>
      <c r="H27" s="185">
        <f t="shared" ref="H27" si="81">(G27-G26)</f>
        <v>5.4290000000000873</v>
      </c>
      <c r="I27" s="86">
        <v>13561</v>
      </c>
      <c r="J27" s="185">
        <f t="shared" ref="J27" si="82">(I27-I26)</f>
        <v>3</v>
      </c>
      <c r="K27" s="86">
        <v>150283</v>
      </c>
      <c r="L27" s="78">
        <f t="shared" ref="L27" si="83">(K27-K26)</f>
        <v>167</v>
      </c>
      <c r="M27" s="185">
        <f t="shared" si="5"/>
        <v>91.850000000000009</v>
      </c>
      <c r="N27" s="185">
        <f t="shared" si="6"/>
        <v>75.150000000000006</v>
      </c>
      <c r="O27" s="86">
        <v>108898</v>
      </c>
      <c r="P27" s="185">
        <f t="shared" ref="P27" si="84">(O27-O26)</f>
        <v>99</v>
      </c>
      <c r="R27" s="110">
        <f t="shared" si="0"/>
        <v>432.42900000000009</v>
      </c>
      <c r="S27" s="101">
        <f t="shared" si="8"/>
        <v>174.15</v>
      </c>
    </row>
    <row r="28" spans="1:19" ht="39.950000000000003" customHeight="1">
      <c r="A28" s="148">
        <v>44338</v>
      </c>
      <c r="B28" s="85"/>
      <c r="C28" s="86">
        <v>211672</v>
      </c>
      <c r="D28" s="185">
        <f t="shared" si="1"/>
        <v>161</v>
      </c>
      <c r="E28" s="86">
        <v>214395</v>
      </c>
      <c r="F28" s="185">
        <f t="shared" si="1"/>
        <v>297</v>
      </c>
      <c r="G28" s="86">
        <v>6553.8908000000001</v>
      </c>
      <c r="H28" s="185">
        <f t="shared" ref="H28" si="85">(G28-G27)</f>
        <v>5.1988000000001193</v>
      </c>
      <c r="I28" s="86">
        <v>13576</v>
      </c>
      <c r="J28" s="185">
        <f t="shared" ref="J28" si="86">(I28-I27)</f>
        <v>15</v>
      </c>
      <c r="K28" s="86">
        <v>150441</v>
      </c>
      <c r="L28" s="78">
        <f t="shared" ref="L28" si="87">(K28-K27)</f>
        <v>158</v>
      </c>
      <c r="M28" s="185">
        <f t="shared" si="5"/>
        <v>86.9</v>
      </c>
      <c r="N28" s="185">
        <f t="shared" si="6"/>
        <v>71.100000000000009</v>
      </c>
      <c r="O28" s="86">
        <v>108939</v>
      </c>
      <c r="P28" s="185">
        <f t="shared" ref="P28" si="88">(O28-O27)</f>
        <v>41</v>
      </c>
      <c r="R28" s="110">
        <f t="shared" si="0"/>
        <v>463.19880000000012</v>
      </c>
      <c r="S28" s="101">
        <f t="shared" si="8"/>
        <v>112.10000000000001</v>
      </c>
    </row>
    <row r="29" spans="1:19" ht="39.950000000000003" customHeight="1">
      <c r="A29" s="148">
        <v>44339</v>
      </c>
      <c r="B29" s="85"/>
      <c r="C29" s="86">
        <v>211875</v>
      </c>
      <c r="D29" s="185">
        <f t="shared" si="1"/>
        <v>203</v>
      </c>
      <c r="E29" s="86">
        <v>214782</v>
      </c>
      <c r="F29" s="185">
        <f t="shared" si="1"/>
        <v>387</v>
      </c>
      <c r="G29" s="86">
        <v>6562.1251000000002</v>
      </c>
      <c r="H29" s="185">
        <f t="shared" ref="H29" si="89">(G29-G28)</f>
        <v>8.2343000000000757</v>
      </c>
      <c r="I29" s="86">
        <v>13579</v>
      </c>
      <c r="J29" s="185">
        <f t="shared" ref="J29" si="90">(I29-I28)</f>
        <v>3</v>
      </c>
      <c r="K29" s="86">
        <v>150608</v>
      </c>
      <c r="L29" s="78">
        <f t="shared" ref="L29" si="91">(K29-K28)</f>
        <v>167</v>
      </c>
      <c r="M29" s="185">
        <f t="shared" si="5"/>
        <v>91.850000000000009</v>
      </c>
      <c r="N29" s="185">
        <f t="shared" si="6"/>
        <v>75.150000000000006</v>
      </c>
      <c r="O29" s="86">
        <v>109015</v>
      </c>
      <c r="P29" s="185">
        <f t="shared" ref="P29" si="92">(O29-O28)</f>
        <v>76</v>
      </c>
      <c r="R29" s="110">
        <f t="shared" si="0"/>
        <v>598.23430000000008</v>
      </c>
      <c r="S29" s="101">
        <f t="shared" si="8"/>
        <v>151.15</v>
      </c>
    </row>
    <row r="30" spans="1:19" ht="39.950000000000003" customHeight="1">
      <c r="A30" s="148">
        <v>44340</v>
      </c>
      <c r="B30" s="85"/>
      <c r="C30" s="86">
        <v>212087</v>
      </c>
      <c r="D30" s="185">
        <f t="shared" si="1"/>
        <v>212</v>
      </c>
      <c r="E30" s="86">
        <v>215032</v>
      </c>
      <c r="F30" s="185">
        <f t="shared" si="1"/>
        <v>250</v>
      </c>
      <c r="G30" s="86">
        <v>6566</v>
      </c>
      <c r="H30" s="185">
        <f t="shared" ref="H30" si="93">(G30-G29)</f>
        <v>3.8748999999997977</v>
      </c>
      <c r="I30" s="86">
        <f>(I29+I31)/2</f>
        <v>13599</v>
      </c>
      <c r="J30" s="185">
        <f t="shared" ref="J30" si="94">(I30-I29)</f>
        <v>20</v>
      </c>
      <c r="K30" s="86">
        <v>150766</v>
      </c>
      <c r="L30" s="78">
        <f t="shared" ref="L30" si="95">(K30-K29)</f>
        <v>158</v>
      </c>
      <c r="M30" s="185">
        <f t="shared" si="5"/>
        <v>86.9</v>
      </c>
      <c r="N30" s="185">
        <f t="shared" si="6"/>
        <v>71.100000000000009</v>
      </c>
      <c r="O30" s="86">
        <f>(O29+O31)/2</f>
        <v>109103</v>
      </c>
      <c r="P30" s="185">
        <f t="shared" ref="P30" si="96">(O30-O29)</f>
        <v>88</v>
      </c>
      <c r="R30" s="110">
        <f t="shared" si="0"/>
        <v>465.8748999999998</v>
      </c>
      <c r="S30" s="101">
        <f t="shared" si="8"/>
        <v>159.10000000000002</v>
      </c>
    </row>
    <row r="31" spans="1:19" ht="39.950000000000003" customHeight="1">
      <c r="A31" s="148">
        <v>44341</v>
      </c>
      <c r="B31" s="85"/>
      <c r="C31" s="86">
        <v>212209</v>
      </c>
      <c r="D31" s="185">
        <f t="shared" si="1"/>
        <v>122</v>
      </c>
      <c r="E31" s="86">
        <v>215309</v>
      </c>
      <c r="F31" s="185">
        <f t="shared" si="1"/>
        <v>277</v>
      </c>
      <c r="G31" s="86">
        <v>6570</v>
      </c>
      <c r="H31" s="185">
        <f t="shared" ref="H31" si="97">(G31-G30)</f>
        <v>4</v>
      </c>
      <c r="I31" s="86">
        <v>13619</v>
      </c>
      <c r="J31" s="185">
        <f t="shared" ref="J31" si="98">(I31-I30)</f>
        <v>20</v>
      </c>
      <c r="K31" s="86">
        <v>150933</v>
      </c>
      <c r="L31" s="78">
        <f t="shared" ref="L31" si="99">(K31-K30)</f>
        <v>167</v>
      </c>
      <c r="M31" s="185">
        <f t="shared" si="5"/>
        <v>91.850000000000009</v>
      </c>
      <c r="N31" s="185">
        <f t="shared" si="6"/>
        <v>75.150000000000006</v>
      </c>
      <c r="O31" s="86">
        <v>109191</v>
      </c>
      <c r="P31" s="185">
        <f t="shared" ref="P31" si="100">(O31-O30)</f>
        <v>88</v>
      </c>
      <c r="R31" s="110">
        <f t="shared" si="0"/>
        <v>403</v>
      </c>
      <c r="S31" s="101">
        <f t="shared" si="8"/>
        <v>163.15</v>
      </c>
    </row>
    <row r="32" spans="1:19" ht="39.950000000000003" customHeight="1">
      <c r="A32" s="148">
        <v>44342</v>
      </c>
      <c r="B32" s="85"/>
      <c r="C32" s="86">
        <v>212377</v>
      </c>
      <c r="D32" s="185">
        <f t="shared" si="1"/>
        <v>168</v>
      </c>
      <c r="E32" s="86">
        <v>215587</v>
      </c>
      <c r="F32" s="185">
        <f t="shared" si="1"/>
        <v>278</v>
      </c>
      <c r="G32" s="86">
        <v>6573.5</v>
      </c>
      <c r="H32" s="185">
        <f t="shared" ref="H32" si="101">(G32-G31)</f>
        <v>3.5</v>
      </c>
      <c r="I32" s="86">
        <v>13626</v>
      </c>
      <c r="J32" s="185">
        <f t="shared" ref="J32" si="102">(I32-I31)</f>
        <v>7</v>
      </c>
      <c r="K32" s="86">
        <v>151087</v>
      </c>
      <c r="L32" s="78">
        <f t="shared" ref="L32" si="103">(K32-K31)</f>
        <v>154</v>
      </c>
      <c r="M32" s="185">
        <f t="shared" si="5"/>
        <v>84.7</v>
      </c>
      <c r="N32" s="185">
        <f t="shared" si="6"/>
        <v>69.3</v>
      </c>
      <c r="O32" s="86">
        <v>109257</v>
      </c>
      <c r="P32" s="185">
        <f t="shared" ref="P32" si="104">(O32-O31)</f>
        <v>66</v>
      </c>
      <c r="R32" s="110">
        <f t="shared" si="0"/>
        <v>449.5</v>
      </c>
      <c r="S32" s="101">
        <f t="shared" si="8"/>
        <v>135.30000000000001</v>
      </c>
    </row>
    <row r="33" spans="1:19" ht="39.950000000000003" customHeight="1">
      <c r="A33" s="148">
        <v>44343</v>
      </c>
      <c r="B33" s="85"/>
      <c r="C33" s="86">
        <v>212528</v>
      </c>
      <c r="D33" s="185">
        <f t="shared" si="1"/>
        <v>151</v>
      </c>
      <c r="E33" s="86">
        <v>215858</v>
      </c>
      <c r="F33" s="185">
        <f t="shared" si="1"/>
        <v>271</v>
      </c>
      <c r="G33" s="86">
        <v>6574.5</v>
      </c>
      <c r="H33" s="185">
        <f t="shared" ref="H33" si="105">(G33-G32)</f>
        <v>1</v>
      </c>
      <c r="I33" s="86">
        <v>13635</v>
      </c>
      <c r="J33" s="185">
        <f t="shared" ref="J33" si="106">(I33-I32)</f>
        <v>9</v>
      </c>
      <c r="K33" s="86">
        <v>151243</v>
      </c>
      <c r="L33" s="78">
        <f t="shared" ref="L33" si="107">(K33-K32)</f>
        <v>156</v>
      </c>
      <c r="M33" s="185">
        <f t="shared" si="5"/>
        <v>85.800000000000011</v>
      </c>
      <c r="N33" s="185">
        <f t="shared" si="6"/>
        <v>70.2</v>
      </c>
      <c r="O33" s="86">
        <v>109351</v>
      </c>
      <c r="P33" s="185">
        <f t="shared" ref="P33" si="108">(O33-O32)</f>
        <v>94</v>
      </c>
      <c r="R33" s="110">
        <f t="shared" si="0"/>
        <v>423</v>
      </c>
      <c r="S33" s="101">
        <f t="shared" si="8"/>
        <v>164.2</v>
      </c>
    </row>
    <row r="34" spans="1:19" ht="39.950000000000003" customHeight="1">
      <c r="A34" s="148">
        <v>44344</v>
      </c>
      <c r="B34" s="85"/>
      <c r="C34" s="86">
        <v>212686</v>
      </c>
      <c r="D34" s="185">
        <f t="shared" si="1"/>
        <v>158</v>
      </c>
      <c r="E34" s="86">
        <v>216161</v>
      </c>
      <c r="F34" s="185">
        <f t="shared" si="1"/>
        <v>303</v>
      </c>
      <c r="G34" s="86">
        <v>6583.73</v>
      </c>
      <c r="H34" s="185">
        <f t="shared" ref="H34:H37" si="109">(G34-G33)</f>
        <v>9.2299999999995634</v>
      </c>
      <c r="I34" s="86">
        <v>13647</v>
      </c>
      <c r="J34" s="185">
        <f t="shared" ref="J34:J37" si="110">(I34-I33)</f>
        <v>12</v>
      </c>
      <c r="K34" s="86">
        <v>151409</v>
      </c>
      <c r="L34" s="78">
        <f t="shared" ref="L34" si="111">(K34-K33)</f>
        <v>166</v>
      </c>
      <c r="M34" s="185">
        <f t="shared" si="5"/>
        <v>91.300000000000011</v>
      </c>
      <c r="N34" s="185">
        <f t="shared" si="6"/>
        <v>74.7</v>
      </c>
      <c r="O34" s="86">
        <v>109414</v>
      </c>
      <c r="P34" s="185">
        <f t="shared" ref="P34:P37" si="112">(O34-O33)</f>
        <v>63</v>
      </c>
      <c r="R34" s="110">
        <f t="shared" si="0"/>
        <v>470.22999999999956</v>
      </c>
      <c r="S34" s="101">
        <f t="shared" si="8"/>
        <v>137.69999999999999</v>
      </c>
    </row>
    <row r="35" spans="1:19" ht="39.950000000000003" customHeight="1">
      <c r="A35" s="148">
        <v>44345</v>
      </c>
      <c r="B35" s="85"/>
      <c r="C35" s="86">
        <v>212856</v>
      </c>
      <c r="D35" s="185">
        <f t="shared" si="1"/>
        <v>170</v>
      </c>
      <c r="E35" s="86">
        <v>216455</v>
      </c>
      <c r="F35" s="185">
        <f t="shared" si="1"/>
        <v>294</v>
      </c>
      <c r="G35" s="86">
        <v>6587</v>
      </c>
      <c r="H35" s="185">
        <f t="shared" si="109"/>
        <v>3.2700000000004366</v>
      </c>
      <c r="I35" s="86">
        <f>(I37-I34)/3+I34</f>
        <v>13662.666666666666</v>
      </c>
      <c r="J35" s="185">
        <f t="shared" si="110"/>
        <v>15.66666666666606</v>
      </c>
      <c r="K35" s="86">
        <v>151566</v>
      </c>
      <c r="L35" s="78">
        <f t="shared" ref="L35:L37" si="113">(K35-K34)</f>
        <v>157</v>
      </c>
      <c r="M35" s="185">
        <f t="shared" ref="M35:M36" si="114">L35*55%</f>
        <v>86.350000000000009</v>
      </c>
      <c r="N35" s="185">
        <f t="shared" ref="N35:N36" si="115">L35*45%</f>
        <v>70.650000000000006</v>
      </c>
      <c r="O35" s="86">
        <v>109486</v>
      </c>
      <c r="P35" s="185">
        <f t="shared" si="112"/>
        <v>72</v>
      </c>
      <c r="R35" s="110">
        <f t="shared" ref="R35:R36" si="116">SUM(D35,F35,M99,H35)</f>
        <v>467.27000000000044</v>
      </c>
      <c r="S35" s="101">
        <f t="shared" ref="S35:S36" si="117">SUM(N35,P35)</f>
        <v>142.65</v>
      </c>
    </row>
    <row r="36" spans="1:19" ht="39.950000000000003" customHeight="1">
      <c r="A36" s="148">
        <v>44346</v>
      </c>
      <c r="B36" s="85"/>
      <c r="C36" s="86">
        <v>213068</v>
      </c>
      <c r="D36" s="185">
        <f t="shared" ref="D36:D37" si="118">(C36-C35)</f>
        <v>212</v>
      </c>
      <c r="E36" s="86">
        <v>216762</v>
      </c>
      <c r="F36" s="185">
        <f t="shared" ref="F36:F37" si="119">(E36-E35)</f>
        <v>307</v>
      </c>
      <c r="G36" s="86">
        <v>6590</v>
      </c>
      <c r="H36" s="185">
        <f t="shared" si="109"/>
        <v>3</v>
      </c>
      <c r="I36" s="86">
        <f>(I37-I34)/3+I35</f>
        <v>13678.333333333332</v>
      </c>
      <c r="J36" s="185">
        <f t="shared" si="110"/>
        <v>15.66666666666606</v>
      </c>
      <c r="K36" s="86">
        <v>151734</v>
      </c>
      <c r="L36" s="78">
        <f t="shared" si="113"/>
        <v>168</v>
      </c>
      <c r="M36" s="185">
        <f t="shared" si="114"/>
        <v>92.4</v>
      </c>
      <c r="N36" s="185">
        <f t="shared" si="115"/>
        <v>75.600000000000009</v>
      </c>
      <c r="O36" s="86">
        <v>109553</v>
      </c>
      <c r="P36" s="185">
        <f t="shared" si="112"/>
        <v>67</v>
      </c>
      <c r="R36" s="110">
        <f t="shared" si="116"/>
        <v>522</v>
      </c>
      <c r="S36" s="101">
        <f t="shared" si="117"/>
        <v>142.60000000000002</v>
      </c>
    </row>
    <row r="37" spans="1:19" ht="39.950000000000003" customHeight="1">
      <c r="A37" s="148">
        <v>44347</v>
      </c>
      <c r="B37" s="16"/>
      <c r="C37" s="87">
        <v>213232</v>
      </c>
      <c r="D37" s="185">
        <f t="shared" si="118"/>
        <v>164</v>
      </c>
      <c r="E37" s="76">
        <v>217049</v>
      </c>
      <c r="F37" s="185">
        <f t="shared" si="119"/>
        <v>287</v>
      </c>
      <c r="G37" s="76">
        <v>6593.95</v>
      </c>
      <c r="H37" s="185">
        <f t="shared" si="109"/>
        <v>3.9499999999998181</v>
      </c>
      <c r="I37" s="76">
        <v>13694</v>
      </c>
      <c r="J37" s="185">
        <f t="shared" si="110"/>
        <v>15.666666666667879</v>
      </c>
      <c r="K37" s="76">
        <v>151903</v>
      </c>
      <c r="L37" s="78">
        <f t="shared" si="113"/>
        <v>169</v>
      </c>
      <c r="M37" s="185">
        <f t="shared" ref="M37" si="120">L37*55%</f>
        <v>92.95</v>
      </c>
      <c r="N37" s="185">
        <f t="shared" ref="N37" si="121">L37*45%</f>
        <v>76.05</v>
      </c>
      <c r="O37" s="76">
        <v>109633</v>
      </c>
      <c r="P37" s="185">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O17" activePane="bottomRight" state="frozen"/>
      <selection pane="topRight" activeCell="C1" sqref="C1"/>
      <selection pane="bottomLeft" activeCell="A8" sqref="A8"/>
      <selection pane="bottomRight" activeCell="Z9" sqref="Z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2"/>
      <c r="B1" s="112"/>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11"/>
      <c r="B3" s="111"/>
      <c r="C3" s="234" t="s">
        <v>138</v>
      </c>
      <c r="D3" s="235"/>
      <c r="E3" s="111" t="s">
        <v>65</v>
      </c>
      <c r="F3" s="112"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3"/>
      <c r="BI3" s="33"/>
    </row>
    <row r="4" spans="1:61" s="25" customFormat="1" ht="50.1" customHeight="1">
      <c r="A4" s="111"/>
      <c r="B4" s="50"/>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5" customFormat="1" ht="50.1" customHeight="1">
      <c r="A5" s="50" t="s">
        <v>172</v>
      </c>
      <c r="B5" s="50"/>
      <c r="C5" s="207" t="s">
        <v>173</v>
      </c>
      <c r="D5" s="209"/>
      <c r="E5" s="83">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11" t="s">
        <v>96</v>
      </c>
      <c r="B6" s="51"/>
      <c r="C6" s="213"/>
      <c r="D6" s="214"/>
      <c r="E6" s="84"/>
      <c r="F6" s="115"/>
      <c r="G6" s="111"/>
      <c r="H6" s="51"/>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8">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8">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8">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10:BH36" si="29">SUM(E10,J10,P10,H10,L10,R10,T10,V10,X10,N10,AB10,Z10,AD10,AF10,AH10,AL10,AJ10)</f>
        <v>119182.75200000122</v>
      </c>
      <c r="BI10" s="109">
        <f t="shared" si="1"/>
        <v>63139.199999997909</v>
      </c>
    </row>
    <row r="11" spans="1:61" s="36" customFormat="1" ht="39.950000000000003" customHeight="1">
      <c r="A11" s="148">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8">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8">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8">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8">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8">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8">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8">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8">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2">
        <f t="shared" si="29"/>
        <v>100569.74400000012</v>
      </c>
      <c r="BI19" s="172">
        <f t="shared" si="1"/>
        <v>58963.200000000004</v>
      </c>
    </row>
    <row r="20" spans="1:61" s="36" customFormat="1" ht="39.950000000000003" customHeight="1">
      <c r="A20" s="148">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2">
        <f t="shared" si="29"/>
        <v>102216.95999999977</v>
      </c>
      <c r="BI20" s="172">
        <f t="shared" si="1"/>
        <v>58540.800000000003</v>
      </c>
    </row>
    <row r="21" spans="1:61" s="36" customFormat="1" ht="39.950000000000003" customHeight="1">
      <c r="A21" s="148">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2">
        <f t="shared" si="29"/>
        <v>97289.280000000028</v>
      </c>
      <c r="BI21" s="172">
        <f t="shared" si="1"/>
        <v>56640</v>
      </c>
    </row>
    <row r="22" spans="1:61" s="36" customFormat="1" ht="39.950000000000003" customHeight="1">
      <c r="A22" s="148">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2">
        <f t="shared" si="29"/>
        <v>105855.26399999982</v>
      </c>
      <c r="BI22" s="172">
        <f t="shared" si="1"/>
        <v>59049.600000000006</v>
      </c>
    </row>
    <row r="23" spans="1:61" s="36" customFormat="1" ht="39.950000000000003" customHeight="1">
      <c r="A23" s="148">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107393.27999999974</v>
      </c>
      <c r="BI23" s="109">
        <f t="shared" si="1"/>
        <v>61315.200000000004</v>
      </c>
    </row>
    <row r="24" spans="1:61" s="36" customFormat="1" ht="39.950000000000003" customHeight="1">
      <c r="A24" s="148">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8">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8">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8">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8">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8">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106293.26400000024</v>
      </c>
      <c r="BI29" s="109">
        <f t="shared" si="1"/>
        <v>61228.800000000003</v>
      </c>
    </row>
    <row r="30" spans="1:61" s="36" customFormat="1" ht="39.950000000000003" customHeight="1">
      <c r="A30" s="148">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1499506</v>
      </c>
      <c r="Z30" s="108">
        <f t="shared" ref="Z30" si="487">(+Y30-+Y29)*48</f>
        <v>384</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106156.17600000891</v>
      </c>
      <c r="BI30" s="109">
        <f t="shared" si="1"/>
        <v>58368.000000007822</v>
      </c>
    </row>
    <row r="31" spans="1:61" s="36" customFormat="1" ht="39.950000000000003" customHeight="1">
      <c r="A31" s="148">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1499514</v>
      </c>
      <c r="Z31" s="108">
        <f t="shared" ref="Z31" si="511">(+Y31-+Y30)*48</f>
        <v>384</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106156.17600000891</v>
      </c>
      <c r="BI31" s="109">
        <f t="shared" si="1"/>
        <v>58368.000000007822</v>
      </c>
    </row>
    <row r="32" spans="1:61" s="36" customFormat="1" ht="39.950000000000003" customHeight="1">
      <c r="A32" s="148">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384</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106156.17599998209</v>
      </c>
      <c r="BI32" s="109">
        <f t="shared" si="1"/>
        <v>58367.999999984357</v>
      </c>
    </row>
    <row r="33" spans="1:61" s="36" customFormat="1" ht="39.950000000000003" customHeight="1">
      <c r="A33" s="148">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8">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1">
        <v>1499528</v>
      </c>
      <c r="Z34" s="108">
        <f t="shared" ref="Z34" si="583">(+Y34-+Y33)*48</f>
        <v>0</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102327.31200000001</v>
      </c>
      <c r="BI34" s="109">
        <f t="shared" si="1"/>
        <v>59337.600000000006</v>
      </c>
    </row>
    <row r="35" spans="1:61" s="36" customFormat="1" ht="39.950000000000003" customHeight="1">
      <c r="A35" s="148">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528</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100569.12000000026</v>
      </c>
      <c r="BI35" s="109">
        <f t="shared" si="1"/>
        <v>57446.400000000001</v>
      </c>
    </row>
    <row r="36" spans="1:61" s="36" customFormat="1" ht="39.950000000000003" customHeight="1">
      <c r="A36" s="148">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8">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8">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8">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6"/>
      <c r="CG3" s="116"/>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4" customFormat="1" ht="30" customHeight="1">
      <c r="B4" s="215" t="s">
        <v>219</v>
      </c>
      <c r="C4" s="216"/>
      <c r="D4" s="215" t="s">
        <v>219</v>
      </c>
      <c r="E4" s="216"/>
      <c r="F4" s="113"/>
      <c r="G4" s="114"/>
      <c r="H4" s="215" t="s">
        <v>219</v>
      </c>
      <c r="I4" s="216"/>
      <c r="J4" s="215" t="s">
        <v>220</v>
      </c>
      <c r="K4" s="216"/>
      <c r="L4" s="113"/>
      <c r="M4" s="114"/>
      <c r="N4" s="215"/>
      <c r="O4" s="216"/>
      <c r="P4" s="215" t="s">
        <v>221</v>
      </c>
      <c r="Q4" s="216"/>
      <c r="R4" s="215" t="s">
        <v>221</v>
      </c>
      <c r="S4" s="216"/>
      <c r="T4" s="113"/>
      <c r="U4" s="114"/>
      <c r="V4" s="215" t="s">
        <v>221</v>
      </c>
      <c r="W4" s="216"/>
      <c r="X4" s="215" t="s">
        <v>221</v>
      </c>
      <c r="Y4" s="216"/>
      <c r="Z4" s="215" t="s">
        <v>221</v>
      </c>
      <c r="AA4" s="216"/>
      <c r="AB4" s="272" t="s">
        <v>221</v>
      </c>
      <c r="AC4" s="273"/>
      <c r="AD4" s="113"/>
      <c r="AE4" s="114"/>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3"/>
      <c r="BE4" s="114"/>
      <c r="BF4" s="113"/>
      <c r="BG4" s="114"/>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3"/>
      <c r="CO4" s="114"/>
      <c r="CP4" s="215" t="s">
        <v>220</v>
      </c>
      <c r="CQ4" s="216"/>
      <c r="CR4" s="215" t="s">
        <v>222</v>
      </c>
      <c r="CS4" s="216"/>
      <c r="CT4" s="215" t="s">
        <v>220</v>
      </c>
      <c r="CU4" s="216"/>
      <c r="CV4" s="215" t="s">
        <v>221</v>
      </c>
      <c r="CW4" s="216"/>
      <c r="CX4" s="215" t="s">
        <v>219</v>
      </c>
      <c r="CY4" s="216"/>
      <c r="CZ4" s="215" t="s">
        <v>219</v>
      </c>
      <c r="DA4" s="216"/>
      <c r="DB4" s="113"/>
      <c r="DC4" s="114"/>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8"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8"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8"/>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2022-06-04T12:51:39Z</dcterms:modified>
  <cp:category/>
  <cp:contentStatus/>
</cp:coreProperties>
</file>