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Z:\EEG\Hospitality Sustainability\HEP\Thanos\Anassa - Daily - NOV23\"/>
    </mc:Choice>
  </mc:AlternateContent>
  <xr:revisionPtr revIDLastSave="0" documentId="13_ncr:1_{C76B1C6F-1623-49DD-BCEE-B0FF89E04B00}" xr6:coauthVersionLast="47" xr6:coauthVersionMax="47" xr10:uidLastSave="{00000000-0000-0000-0000-000000000000}"/>
  <bookViews>
    <workbookView xWindow="-120" yWindow="-120" windowWidth="29040" windowHeight="15840" tabRatio="385" xr2:uid="{00000000-000D-0000-FFFF-FFFF00000000}"/>
  </bookViews>
  <sheets>
    <sheet name="Total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2" l="1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</calcChain>
</file>

<file path=xl/sharedStrings.xml><?xml version="1.0" encoding="utf-8"?>
<sst xmlns="http://schemas.openxmlformats.org/spreadsheetml/2006/main" count="47" uniqueCount="18">
  <si>
    <t xml:space="preserve">Room Nights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</si>
  <si>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</si>
  <si>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</si>
  <si>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</si>
  <si>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</si>
  <si>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</si>
  <si>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</si>
  <si>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</si>
  <si>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</si>
  <si>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</si>
  <si>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</si>
  <si>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</si>
  <si>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</si>
  <si>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Anassa</t>
  </si>
  <si>
    <t>District Energy Heating Kwh</t>
  </si>
  <si>
    <t>District Energy Heating $/Kwh</t>
  </si>
  <si>
    <t>LPG $/Liters</t>
  </si>
  <si>
    <t>Cooling Degree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</si>
</sst>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);\(0.00\)"/>
    <numFmt numFmtId="165" formatCode="0.0000"/>
  </numFmts>
  <fonts count="8" x14ac:knownFonts="1">
    <font>
      <sz val="10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" fontId="0" fillId="2" borderId="0" xfId="0" applyNumberFormat="1" applyFill="1" applyAlignment="1">
      <alignment horizontal="center"/>
    </xf>
    <xf numFmtId="2" fontId="0" fillId="2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164" fontId="5" fillId="3" borderId="0" xfId="0" applyNumberFormat="1" applyFont="1" applyFill="1" applyAlignment="1">
      <alignment horizontal="center"/>
    </xf>
    <xf numFmtId="1" fontId="0" fillId="4" borderId="0" xfId="0" applyNumberFormat="1" applyFill="1" applyAlignment="1">
      <alignment horizontal="center"/>
    </xf>
    <xf numFmtId="2" fontId="0" fillId="4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164" fontId="0" fillId="3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2" borderId="0" xfId="0" applyFill="1" applyAlignment="1">
      <alignment horizontal="center"/>
    </xf>
    <xf numFmtId="1" fontId="3" fillId="7" borderId="1" xfId="0" applyNumberFormat="1" applyFont="1" applyFill="1" applyBorder="1" applyAlignment="1">
      <alignment horizontal="center" vertical="center" wrapText="1"/>
    </xf>
    <xf numFmtId="165" fontId="6" fillId="7" borderId="1" xfId="0" applyNumberFormat="1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165" fontId="1" fillId="7" borderId="0" xfId="0" applyNumberFormat="1" applyFont="1" applyFill="1" applyAlignment="1">
      <alignment horizontal="center"/>
    </xf>
    <xf numFmtId="165" fontId="1" fillId="4" borderId="0" xfId="0" applyNumberFormat="1" applyFont="1" applyFill="1" applyAlignment="1">
      <alignment horizontal="center"/>
    </xf>
    <xf numFmtId="165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0" fontId="7" fillId="0" borderId="0" xfId="0" applyFont="1" applyAlignment="1">
      <alignment horizontal="center"/>
    </xf>
    <xf numFmtId="1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9AA66-F09B-493A-A12B-96B3F63B9C36}">
  <dimension ref="A1:Q42"/>
  <sheetViews>
    <sheetView tabSelected="1" workbookViewId="0">
      <selection activeCell="P26" sqref="P26"/>
    </sheetView>
  </sheetViews>
  <sheetFormatPr defaultColWidth="8.85546875" defaultRowHeight="12.75" x14ac:dyDescent="0.2"/>
  <cols>
    <col min="1" max="1" width="23" style="2" customWidth="1"/>
    <col min="2" max="2" width="11.5703125" style="2" customWidth="1"/>
    <col min="3" max="3" width="8.85546875" style="2"/>
    <col min="4" max="4" width="13.42578125" style="2" customWidth="1"/>
    <col min="5" max="5" width="12.5703125" style="12" customWidth="1"/>
    <col min="6" max="6" width="12.5703125" style="24" customWidth="1"/>
    <col min="7" max="7" width="8.85546875" style="14"/>
    <col min="8" max="8" width="8.85546875" style="20"/>
    <col min="9" max="9" width="8.85546875" style="16" customWidth="1"/>
    <col min="10" max="10" width="8.85546875" style="29"/>
    <col min="11" max="12" width="8.85546875" style="22"/>
    <col min="13" max="14" width="12.28515625" style="31" bestFit="1" customWidth="1"/>
    <col min="15" max="15" width="8.85546875" style="23"/>
    <col min="16" max="16" width="11.5703125" style="23" customWidth="1"/>
    <col min="17" max="17" width="18.5703125" style="2" bestFit="1" customWidth="1"/>
    <col min="18" max="16384" width="8.85546875" style="2"/>
  </cols>
  <sheetData>
    <row r="1" spans="1:17" ht="75.75" thickBot="1" x14ac:dyDescent="0.3">
      <c r="A1" s="3" t="s">
        <v>1</v>
      </c>
      <c r="B1" s="3" t="s">
        <v>2</v>
      </c>
      <c r="C1" s="3" t="s">
        <v>3</v>
      </c>
      <c r="D1" s="3" t="s">
        <v>4</v>
      </c>
      <c r="E1" s="4" t="s">
        <v>5</v>
      </c>
      <c r="F1" s="5" t="s">
        <v>6</v>
      </c>
      <c r="G1" s="6" t="s">
        <v>7</v>
      </c>
      <c r="H1" s="7" t="s">
        <v>16</v>
      </c>
      <c r="I1" s="25" t="s">
        <v>14</v>
      </c>
      <c r="J1" s="26" t="s">
        <v>15</v>
      </c>
      <c r="K1" s="8" t="s">
        <v>8</v>
      </c>
      <c r="L1" s="8" t="s">
        <v>9</v>
      </c>
      <c r="M1" s="9" t="s">
        <v>10</v>
      </c>
      <c r="N1" s="9" t="s">
        <v>11</v>
      </c>
      <c r="O1" s="10" t="s">
        <v>0</v>
      </c>
      <c r="P1" s="10" t="s">
        <v>12</v>
      </c>
      <c r="Q1" s="32" t="s">
        <v>17</v>
      </c>
    </row>
    <row r="2" spans="1:17" ht="15.75" thickTop="1" x14ac:dyDescent="0.25">
      <c r="A2" s="11" t="s">
        <v>13</v>
      </c>
      <c r="B2" s="2">
        <v>1</v>
      </c>
      <c r="C2" s="2">
        <v>11</v>
      </c>
      <c r="D2" s="1">
        <v>2023</v>
      </c>
      <c r="E2" s="12">
        <f>175266/30</f>
        <v>5842.2</v>
      </c>
      <c r="F2" s="13">
        <v>0.25</v>
      </c>
      <c r="G2" s="14">
        <f>2548/30</f>
        <v>84.933333333333337</v>
      </c>
      <c r="H2" s="15">
        <v>0.66500000000000004</v>
      </c>
      <c r="I2" s="27">
        <f>89813/30</f>
        <v>2993.7666666666669</v>
      </c>
      <c r="J2" s="28">
        <v>9.1700000000000004E-2</v>
      </c>
      <c r="K2" s="16">
        <f>1623/30</f>
        <v>54.1</v>
      </c>
      <c r="L2" s="17">
        <v>1.26</v>
      </c>
      <c r="M2" s="33">
        <f>2252/30</f>
        <v>75.066666666666663</v>
      </c>
      <c r="N2" s="30">
        <v>0.74</v>
      </c>
      <c r="O2" s="18">
        <f>505/30</f>
        <v>16.833333333333332</v>
      </c>
      <c r="P2" s="18">
        <f>943/30</f>
        <v>31.433333333333334</v>
      </c>
      <c r="Q2" s="2">
        <v>3.7</v>
      </c>
    </row>
    <row r="3" spans="1:17" ht="15" x14ac:dyDescent="0.25">
      <c r="A3" s="11" t="s">
        <v>13</v>
      </c>
      <c r="B3" s="2">
        <f>B2+1</f>
        <v>2</v>
      </c>
      <c r="C3" s="2">
        <v>11</v>
      </c>
      <c r="D3" s="1">
        <v>2023</v>
      </c>
      <c r="E3" s="12">
        <f t="shared" ref="E3:E31" si="0">175266/30</f>
        <v>5842.2</v>
      </c>
      <c r="F3" s="13">
        <v>0.25</v>
      </c>
      <c r="G3" s="14">
        <f t="shared" ref="G3:G31" si="1">2548/30</f>
        <v>84.933333333333337</v>
      </c>
      <c r="H3" s="15">
        <v>0.66500000000000004</v>
      </c>
      <c r="I3" s="27">
        <f t="shared" ref="I3:I31" si="2">89813/30</f>
        <v>2993.7666666666669</v>
      </c>
      <c r="J3" s="28">
        <v>9.1700000000000004E-2</v>
      </c>
      <c r="K3" s="16">
        <f t="shared" ref="K3:K31" si="3">1623/30</f>
        <v>54.1</v>
      </c>
      <c r="L3" s="17">
        <v>1.26</v>
      </c>
      <c r="M3" s="33">
        <f t="shared" ref="M3:M31" si="4">2252/30</f>
        <v>75.066666666666663</v>
      </c>
      <c r="N3" s="30">
        <v>0.74</v>
      </c>
      <c r="O3" s="18">
        <f t="shared" ref="O3:O31" si="5">505/30</f>
        <v>16.833333333333332</v>
      </c>
      <c r="P3" s="18">
        <f t="shared" ref="P3:P31" si="6">943/30</f>
        <v>31.433333333333334</v>
      </c>
      <c r="Q3" s="2">
        <v>2.4</v>
      </c>
    </row>
    <row r="4" spans="1:17" ht="15" x14ac:dyDescent="0.25">
      <c r="A4" s="11" t="s">
        <v>13</v>
      </c>
      <c r="B4" s="2">
        <f t="shared" ref="B4:B31" si="7">B3+1</f>
        <v>3</v>
      </c>
      <c r="C4" s="2">
        <v>11</v>
      </c>
      <c r="D4" s="1">
        <v>2023</v>
      </c>
      <c r="E4" s="12">
        <f t="shared" si="0"/>
        <v>5842.2</v>
      </c>
      <c r="F4" s="13">
        <v>0.25</v>
      </c>
      <c r="G4" s="14">
        <f t="shared" si="1"/>
        <v>84.933333333333337</v>
      </c>
      <c r="H4" s="15">
        <v>0.66500000000000004</v>
      </c>
      <c r="I4" s="27">
        <f t="shared" si="2"/>
        <v>2993.7666666666669</v>
      </c>
      <c r="J4" s="28">
        <v>9.1700000000000004E-2</v>
      </c>
      <c r="K4" s="16">
        <f t="shared" si="3"/>
        <v>54.1</v>
      </c>
      <c r="L4" s="17">
        <v>1.26</v>
      </c>
      <c r="M4" s="33">
        <f t="shared" si="4"/>
        <v>75.066666666666663</v>
      </c>
      <c r="N4" s="30">
        <v>0.74</v>
      </c>
      <c r="O4" s="18">
        <f t="shared" si="5"/>
        <v>16.833333333333332</v>
      </c>
      <c r="P4" s="18">
        <f t="shared" si="6"/>
        <v>31.433333333333334</v>
      </c>
      <c r="Q4" s="2">
        <v>2.4</v>
      </c>
    </row>
    <row r="5" spans="1:17" ht="15" x14ac:dyDescent="0.25">
      <c r="A5" s="11" t="s">
        <v>13</v>
      </c>
      <c r="B5" s="2">
        <f t="shared" si="7"/>
        <v>4</v>
      </c>
      <c r="C5" s="2">
        <v>11</v>
      </c>
      <c r="D5" s="1">
        <v>2023</v>
      </c>
      <c r="E5" s="12">
        <f t="shared" si="0"/>
        <v>5842.2</v>
      </c>
      <c r="F5" s="13">
        <v>0.25</v>
      </c>
      <c r="G5" s="14">
        <f t="shared" si="1"/>
        <v>84.933333333333337</v>
      </c>
      <c r="H5" s="15">
        <v>0.66500000000000004</v>
      </c>
      <c r="I5" s="27">
        <f t="shared" si="2"/>
        <v>2993.7666666666669</v>
      </c>
      <c r="J5" s="28">
        <v>9.1700000000000004E-2</v>
      </c>
      <c r="K5" s="16">
        <f t="shared" si="3"/>
        <v>54.1</v>
      </c>
      <c r="L5" s="17">
        <v>1.26</v>
      </c>
      <c r="M5" s="33">
        <f t="shared" si="4"/>
        <v>75.066666666666663</v>
      </c>
      <c r="N5" s="30">
        <v>0.74</v>
      </c>
      <c r="O5" s="18">
        <f t="shared" si="5"/>
        <v>16.833333333333332</v>
      </c>
      <c r="P5" s="18">
        <f t="shared" si="6"/>
        <v>31.433333333333334</v>
      </c>
      <c r="Q5" s="2">
        <v>2.2999999999999998</v>
      </c>
    </row>
    <row r="6" spans="1:17" ht="15" x14ac:dyDescent="0.25">
      <c r="A6" s="11" t="s">
        <v>13</v>
      </c>
      <c r="B6" s="2">
        <f t="shared" si="7"/>
        <v>5</v>
      </c>
      <c r="C6" s="2">
        <v>11</v>
      </c>
      <c r="D6" s="1">
        <v>2023</v>
      </c>
      <c r="E6" s="12">
        <f t="shared" si="0"/>
        <v>5842.2</v>
      </c>
      <c r="F6" s="13">
        <v>0.25</v>
      </c>
      <c r="G6" s="14">
        <f t="shared" si="1"/>
        <v>84.933333333333337</v>
      </c>
      <c r="H6" s="15">
        <v>0.66500000000000004</v>
      </c>
      <c r="I6" s="27">
        <f t="shared" si="2"/>
        <v>2993.7666666666669</v>
      </c>
      <c r="J6" s="28">
        <v>9.1700000000000004E-2</v>
      </c>
      <c r="K6" s="16">
        <f t="shared" si="3"/>
        <v>54.1</v>
      </c>
      <c r="L6" s="17">
        <v>1.26</v>
      </c>
      <c r="M6" s="33">
        <f t="shared" si="4"/>
        <v>75.066666666666663</v>
      </c>
      <c r="N6" s="30">
        <v>0.74</v>
      </c>
      <c r="O6" s="18">
        <f t="shared" si="5"/>
        <v>16.833333333333332</v>
      </c>
      <c r="P6" s="18">
        <f t="shared" si="6"/>
        <v>31.433333333333334</v>
      </c>
      <c r="Q6" s="2">
        <v>1.9</v>
      </c>
    </row>
    <row r="7" spans="1:17" ht="15" x14ac:dyDescent="0.25">
      <c r="A7" s="11" t="s">
        <v>13</v>
      </c>
      <c r="B7" s="2">
        <f t="shared" si="7"/>
        <v>6</v>
      </c>
      <c r="C7" s="2">
        <v>11</v>
      </c>
      <c r="D7" s="1">
        <v>2023</v>
      </c>
      <c r="E7" s="12">
        <f t="shared" si="0"/>
        <v>5842.2</v>
      </c>
      <c r="F7" s="13">
        <v>0.25</v>
      </c>
      <c r="G7" s="14">
        <f t="shared" si="1"/>
        <v>84.933333333333337</v>
      </c>
      <c r="H7" s="15">
        <v>0.66500000000000004</v>
      </c>
      <c r="I7" s="27">
        <f t="shared" si="2"/>
        <v>2993.7666666666669</v>
      </c>
      <c r="J7" s="28">
        <v>9.1700000000000004E-2</v>
      </c>
      <c r="K7" s="16">
        <f t="shared" si="3"/>
        <v>54.1</v>
      </c>
      <c r="L7" s="17">
        <v>1.26</v>
      </c>
      <c r="M7" s="33">
        <f t="shared" si="4"/>
        <v>75.066666666666663</v>
      </c>
      <c r="N7" s="30">
        <v>0.74</v>
      </c>
      <c r="O7" s="18">
        <f t="shared" si="5"/>
        <v>16.833333333333332</v>
      </c>
      <c r="P7" s="18">
        <f t="shared" si="6"/>
        <v>31.433333333333334</v>
      </c>
      <c r="Q7" s="2">
        <v>2.2999999999999998</v>
      </c>
    </row>
    <row r="8" spans="1:17" ht="15" x14ac:dyDescent="0.25">
      <c r="A8" s="11" t="s">
        <v>13</v>
      </c>
      <c r="B8" s="2">
        <f t="shared" si="7"/>
        <v>7</v>
      </c>
      <c r="C8" s="2">
        <v>11</v>
      </c>
      <c r="D8" s="1">
        <v>2023</v>
      </c>
      <c r="E8" s="12">
        <f t="shared" si="0"/>
        <v>5842.2</v>
      </c>
      <c r="F8" s="13">
        <v>0.25</v>
      </c>
      <c r="G8" s="14">
        <f t="shared" si="1"/>
        <v>84.933333333333337</v>
      </c>
      <c r="H8" s="15">
        <v>0.66500000000000004</v>
      </c>
      <c r="I8" s="27">
        <f t="shared" si="2"/>
        <v>2993.7666666666669</v>
      </c>
      <c r="J8" s="28">
        <v>9.1700000000000004E-2</v>
      </c>
      <c r="K8" s="16">
        <f t="shared" si="3"/>
        <v>54.1</v>
      </c>
      <c r="L8" s="17">
        <v>1.26</v>
      </c>
      <c r="M8" s="33">
        <f t="shared" si="4"/>
        <v>75.066666666666663</v>
      </c>
      <c r="N8" s="30">
        <v>0.74</v>
      </c>
      <c r="O8" s="18">
        <f t="shared" si="5"/>
        <v>16.833333333333332</v>
      </c>
      <c r="P8" s="18">
        <f t="shared" si="6"/>
        <v>31.433333333333334</v>
      </c>
      <c r="Q8" s="2">
        <v>2.1</v>
      </c>
    </row>
    <row r="9" spans="1:17" ht="15" x14ac:dyDescent="0.25">
      <c r="A9" s="11" t="s">
        <v>13</v>
      </c>
      <c r="B9" s="2">
        <f t="shared" si="7"/>
        <v>8</v>
      </c>
      <c r="C9" s="2">
        <v>11</v>
      </c>
      <c r="D9" s="1">
        <v>2023</v>
      </c>
      <c r="E9" s="12">
        <f t="shared" si="0"/>
        <v>5842.2</v>
      </c>
      <c r="F9" s="13">
        <v>0.25</v>
      </c>
      <c r="G9" s="14">
        <f t="shared" si="1"/>
        <v>84.933333333333337</v>
      </c>
      <c r="H9" s="15">
        <v>0.66500000000000004</v>
      </c>
      <c r="I9" s="27">
        <f t="shared" si="2"/>
        <v>2993.7666666666669</v>
      </c>
      <c r="J9" s="28">
        <v>9.1700000000000004E-2</v>
      </c>
      <c r="K9" s="16">
        <f t="shared" si="3"/>
        <v>54.1</v>
      </c>
      <c r="L9" s="17">
        <v>1.26</v>
      </c>
      <c r="M9" s="33">
        <f t="shared" si="4"/>
        <v>75.066666666666663</v>
      </c>
      <c r="N9" s="30">
        <v>0.74</v>
      </c>
      <c r="O9" s="18">
        <f t="shared" si="5"/>
        <v>16.833333333333332</v>
      </c>
      <c r="P9" s="18">
        <f t="shared" si="6"/>
        <v>31.433333333333334</v>
      </c>
      <c r="Q9" s="2">
        <v>2.2000000000000002</v>
      </c>
    </row>
    <row r="10" spans="1:17" ht="15" x14ac:dyDescent="0.25">
      <c r="A10" s="11" t="s">
        <v>13</v>
      </c>
      <c r="B10" s="2">
        <f t="shared" si="7"/>
        <v>9</v>
      </c>
      <c r="C10" s="2">
        <v>11</v>
      </c>
      <c r="D10" s="1">
        <v>2023</v>
      </c>
      <c r="E10" s="12">
        <f t="shared" si="0"/>
        <v>5842.2</v>
      </c>
      <c r="F10" s="13">
        <v>0.25</v>
      </c>
      <c r="G10" s="14">
        <f t="shared" si="1"/>
        <v>84.933333333333337</v>
      </c>
      <c r="H10" s="15">
        <v>0.66500000000000004</v>
      </c>
      <c r="I10" s="27">
        <f t="shared" si="2"/>
        <v>2993.7666666666669</v>
      </c>
      <c r="J10" s="28">
        <v>9.1700000000000004E-2</v>
      </c>
      <c r="K10" s="16">
        <f t="shared" si="3"/>
        <v>54.1</v>
      </c>
      <c r="L10" s="17">
        <v>1.26</v>
      </c>
      <c r="M10" s="33">
        <f t="shared" si="4"/>
        <v>75.066666666666663</v>
      </c>
      <c r="N10" s="30">
        <v>0.74</v>
      </c>
      <c r="O10" s="18">
        <f t="shared" si="5"/>
        <v>16.833333333333332</v>
      </c>
      <c r="P10" s="18">
        <f t="shared" si="6"/>
        <v>31.433333333333334</v>
      </c>
      <c r="Q10" s="2">
        <v>1.6</v>
      </c>
    </row>
    <row r="11" spans="1:17" ht="15" x14ac:dyDescent="0.25">
      <c r="A11" s="11" t="s">
        <v>13</v>
      </c>
      <c r="B11" s="2">
        <f t="shared" si="7"/>
        <v>10</v>
      </c>
      <c r="C11" s="2">
        <v>11</v>
      </c>
      <c r="D11" s="1">
        <v>2023</v>
      </c>
      <c r="E11" s="12">
        <f t="shared" si="0"/>
        <v>5842.2</v>
      </c>
      <c r="F11" s="13">
        <v>0.25</v>
      </c>
      <c r="G11" s="14">
        <f t="shared" si="1"/>
        <v>84.933333333333337</v>
      </c>
      <c r="H11" s="15">
        <v>0.66500000000000004</v>
      </c>
      <c r="I11" s="27">
        <f t="shared" si="2"/>
        <v>2993.7666666666669</v>
      </c>
      <c r="J11" s="28">
        <v>9.1700000000000004E-2</v>
      </c>
      <c r="K11" s="16">
        <f t="shared" si="3"/>
        <v>54.1</v>
      </c>
      <c r="L11" s="17">
        <v>1.26</v>
      </c>
      <c r="M11" s="33">
        <f t="shared" si="4"/>
        <v>75.066666666666663</v>
      </c>
      <c r="N11" s="30">
        <v>0.74</v>
      </c>
      <c r="O11" s="18">
        <f t="shared" si="5"/>
        <v>16.833333333333332</v>
      </c>
      <c r="P11" s="18">
        <f t="shared" si="6"/>
        <v>31.433333333333334</v>
      </c>
      <c r="Q11" s="2">
        <v>2.1</v>
      </c>
    </row>
    <row r="12" spans="1:17" ht="15" x14ac:dyDescent="0.25">
      <c r="A12" s="11" t="s">
        <v>13</v>
      </c>
      <c r="B12" s="2">
        <f t="shared" si="7"/>
        <v>11</v>
      </c>
      <c r="C12" s="2">
        <v>11</v>
      </c>
      <c r="D12" s="1">
        <v>2023</v>
      </c>
      <c r="E12" s="12">
        <f t="shared" si="0"/>
        <v>5842.2</v>
      </c>
      <c r="F12" s="13">
        <v>0.25</v>
      </c>
      <c r="G12" s="14">
        <f t="shared" si="1"/>
        <v>84.933333333333337</v>
      </c>
      <c r="H12" s="15">
        <v>0.66500000000000004</v>
      </c>
      <c r="I12" s="27">
        <f t="shared" si="2"/>
        <v>2993.7666666666669</v>
      </c>
      <c r="J12" s="28">
        <v>9.1700000000000004E-2</v>
      </c>
      <c r="K12" s="16">
        <f t="shared" si="3"/>
        <v>54.1</v>
      </c>
      <c r="L12" s="17">
        <v>1.26</v>
      </c>
      <c r="M12" s="33">
        <f t="shared" si="4"/>
        <v>75.066666666666663</v>
      </c>
      <c r="N12" s="30">
        <v>0.74</v>
      </c>
      <c r="O12" s="18">
        <f t="shared" si="5"/>
        <v>16.833333333333332</v>
      </c>
      <c r="P12" s="18">
        <f t="shared" si="6"/>
        <v>31.433333333333334</v>
      </c>
      <c r="Q12" s="2">
        <v>1.7</v>
      </c>
    </row>
    <row r="13" spans="1:17" ht="15" x14ac:dyDescent="0.25">
      <c r="A13" s="11" t="s">
        <v>13</v>
      </c>
      <c r="B13" s="2">
        <f t="shared" si="7"/>
        <v>12</v>
      </c>
      <c r="C13" s="2">
        <v>11</v>
      </c>
      <c r="D13" s="1">
        <v>2023</v>
      </c>
      <c r="E13" s="12">
        <f t="shared" si="0"/>
        <v>5842.2</v>
      </c>
      <c r="F13" s="13">
        <v>0.25</v>
      </c>
      <c r="G13" s="14">
        <f t="shared" si="1"/>
        <v>84.933333333333337</v>
      </c>
      <c r="H13" s="15">
        <v>0.66500000000000004</v>
      </c>
      <c r="I13" s="27">
        <f t="shared" si="2"/>
        <v>2993.7666666666669</v>
      </c>
      <c r="J13" s="28">
        <v>9.1700000000000004E-2</v>
      </c>
      <c r="K13" s="16">
        <f t="shared" si="3"/>
        <v>54.1</v>
      </c>
      <c r="L13" s="17">
        <v>1.26</v>
      </c>
      <c r="M13" s="33">
        <f t="shared" si="4"/>
        <v>75.066666666666663</v>
      </c>
      <c r="N13" s="30">
        <v>0.74</v>
      </c>
      <c r="O13" s="18">
        <f t="shared" si="5"/>
        <v>16.833333333333332</v>
      </c>
      <c r="P13" s="18">
        <f t="shared" si="6"/>
        <v>31.433333333333334</v>
      </c>
      <c r="Q13" s="2">
        <v>1.8</v>
      </c>
    </row>
    <row r="14" spans="1:17" ht="15" x14ac:dyDescent="0.25">
      <c r="A14" s="11" t="s">
        <v>13</v>
      </c>
      <c r="B14" s="2">
        <f t="shared" si="7"/>
        <v>13</v>
      </c>
      <c r="C14" s="2">
        <v>11</v>
      </c>
      <c r="D14" s="1">
        <v>2023</v>
      </c>
      <c r="E14" s="12">
        <f t="shared" si="0"/>
        <v>5842.2</v>
      </c>
      <c r="F14" s="13">
        <v>0.25</v>
      </c>
      <c r="G14" s="14">
        <f t="shared" si="1"/>
        <v>84.933333333333337</v>
      </c>
      <c r="H14" s="15">
        <v>0.66500000000000004</v>
      </c>
      <c r="I14" s="27">
        <f t="shared" si="2"/>
        <v>2993.7666666666669</v>
      </c>
      <c r="J14" s="28">
        <v>9.1700000000000004E-2</v>
      </c>
      <c r="K14" s="16">
        <f t="shared" si="3"/>
        <v>54.1</v>
      </c>
      <c r="L14" s="17">
        <v>1.26</v>
      </c>
      <c r="M14" s="33">
        <f t="shared" si="4"/>
        <v>75.066666666666663</v>
      </c>
      <c r="N14" s="30">
        <v>0.74</v>
      </c>
      <c r="O14" s="18">
        <f t="shared" si="5"/>
        <v>16.833333333333332</v>
      </c>
      <c r="P14" s="18">
        <f t="shared" si="6"/>
        <v>31.433333333333334</v>
      </c>
      <c r="Q14" s="2">
        <v>1.5</v>
      </c>
    </row>
    <row r="15" spans="1:17" ht="15" x14ac:dyDescent="0.25">
      <c r="A15" s="11" t="s">
        <v>13</v>
      </c>
      <c r="B15" s="2">
        <f t="shared" si="7"/>
        <v>14</v>
      </c>
      <c r="C15" s="2">
        <v>11</v>
      </c>
      <c r="D15" s="1">
        <v>2023</v>
      </c>
      <c r="E15" s="12">
        <f t="shared" si="0"/>
        <v>5842.2</v>
      </c>
      <c r="F15" s="13">
        <v>0.25</v>
      </c>
      <c r="G15" s="14">
        <f t="shared" si="1"/>
        <v>84.933333333333337</v>
      </c>
      <c r="H15" s="15">
        <v>0.66500000000000004</v>
      </c>
      <c r="I15" s="27">
        <f t="shared" si="2"/>
        <v>2993.7666666666669</v>
      </c>
      <c r="J15" s="28">
        <v>9.1700000000000004E-2</v>
      </c>
      <c r="K15" s="16">
        <f t="shared" si="3"/>
        <v>54.1</v>
      </c>
      <c r="L15" s="17">
        <v>1.26</v>
      </c>
      <c r="M15" s="33">
        <f t="shared" si="4"/>
        <v>75.066666666666663</v>
      </c>
      <c r="N15" s="30">
        <v>0.74</v>
      </c>
      <c r="O15" s="18">
        <f t="shared" si="5"/>
        <v>16.833333333333332</v>
      </c>
      <c r="P15" s="18">
        <f t="shared" si="6"/>
        <v>31.433333333333334</v>
      </c>
      <c r="Q15" s="2">
        <v>0.8</v>
      </c>
    </row>
    <row r="16" spans="1:17" ht="15" x14ac:dyDescent="0.25">
      <c r="A16" s="11" t="s">
        <v>13</v>
      </c>
      <c r="B16" s="2">
        <f t="shared" si="7"/>
        <v>15</v>
      </c>
      <c r="C16" s="2">
        <v>11</v>
      </c>
      <c r="D16" s="1">
        <v>2023</v>
      </c>
      <c r="E16" s="12">
        <f t="shared" si="0"/>
        <v>5842.2</v>
      </c>
      <c r="F16" s="13">
        <v>0.25</v>
      </c>
      <c r="G16" s="14">
        <f t="shared" si="1"/>
        <v>84.933333333333337</v>
      </c>
      <c r="H16" s="15">
        <v>0.66500000000000004</v>
      </c>
      <c r="I16" s="27">
        <f t="shared" si="2"/>
        <v>2993.7666666666669</v>
      </c>
      <c r="J16" s="28">
        <v>9.1700000000000004E-2</v>
      </c>
      <c r="K16" s="16">
        <f t="shared" si="3"/>
        <v>54.1</v>
      </c>
      <c r="L16" s="17">
        <v>1.26</v>
      </c>
      <c r="M16" s="33">
        <f t="shared" si="4"/>
        <v>75.066666666666663</v>
      </c>
      <c r="N16" s="30">
        <v>0.74</v>
      </c>
      <c r="O16" s="18">
        <f t="shared" si="5"/>
        <v>16.833333333333332</v>
      </c>
      <c r="P16" s="18">
        <f t="shared" si="6"/>
        <v>31.433333333333334</v>
      </c>
      <c r="Q16" s="2">
        <v>1.7</v>
      </c>
    </row>
    <row r="17" spans="1:17" ht="15" x14ac:dyDescent="0.25">
      <c r="A17" s="11" t="s">
        <v>13</v>
      </c>
      <c r="B17" s="2">
        <f t="shared" si="7"/>
        <v>16</v>
      </c>
      <c r="C17" s="2">
        <v>11</v>
      </c>
      <c r="D17" s="1">
        <v>2023</v>
      </c>
      <c r="E17" s="12">
        <f t="shared" si="0"/>
        <v>5842.2</v>
      </c>
      <c r="F17" s="13">
        <v>0.25</v>
      </c>
      <c r="G17" s="14">
        <f t="shared" si="1"/>
        <v>84.933333333333337</v>
      </c>
      <c r="H17" s="15">
        <v>0.66500000000000004</v>
      </c>
      <c r="I17" s="27">
        <f t="shared" si="2"/>
        <v>2993.7666666666669</v>
      </c>
      <c r="J17" s="28">
        <v>9.1700000000000004E-2</v>
      </c>
      <c r="K17" s="16">
        <f t="shared" si="3"/>
        <v>54.1</v>
      </c>
      <c r="L17" s="17">
        <v>1.26</v>
      </c>
      <c r="M17" s="33">
        <f t="shared" si="4"/>
        <v>75.066666666666663</v>
      </c>
      <c r="N17" s="30">
        <v>0.74</v>
      </c>
      <c r="O17" s="18">
        <f t="shared" si="5"/>
        <v>16.833333333333332</v>
      </c>
      <c r="P17" s="18">
        <f t="shared" si="6"/>
        <v>31.433333333333334</v>
      </c>
      <c r="Q17" s="2">
        <v>2.1</v>
      </c>
    </row>
    <row r="18" spans="1:17" ht="15" x14ac:dyDescent="0.25">
      <c r="A18" s="11" t="s">
        <v>13</v>
      </c>
      <c r="B18" s="2">
        <f t="shared" si="7"/>
        <v>17</v>
      </c>
      <c r="C18" s="2">
        <v>11</v>
      </c>
      <c r="D18" s="1">
        <v>2023</v>
      </c>
      <c r="E18" s="12">
        <f t="shared" si="0"/>
        <v>5842.2</v>
      </c>
      <c r="F18" s="13">
        <v>0.25</v>
      </c>
      <c r="G18" s="14">
        <f t="shared" si="1"/>
        <v>84.933333333333337</v>
      </c>
      <c r="H18" s="15">
        <v>0.66500000000000004</v>
      </c>
      <c r="I18" s="27">
        <f t="shared" si="2"/>
        <v>2993.7666666666669</v>
      </c>
      <c r="J18" s="28">
        <v>9.1700000000000004E-2</v>
      </c>
      <c r="K18" s="16">
        <f t="shared" si="3"/>
        <v>54.1</v>
      </c>
      <c r="L18" s="17">
        <v>1.26</v>
      </c>
      <c r="M18" s="33">
        <f t="shared" si="4"/>
        <v>75.066666666666663</v>
      </c>
      <c r="N18" s="30">
        <v>0.74</v>
      </c>
      <c r="O18" s="18">
        <f t="shared" si="5"/>
        <v>16.833333333333332</v>
      </c>
      <c r="P18" s="18">
        <f t="shared" si="6"/>
        <v>31.433333333333334</v>
      </c>
      <c r="Q18" s="2">
        <v>2.5</v>
      </c>
    </row>
    <row r="19" spans="1:17" ht="15" x14ac:dyDescent="0.25">
      <c r="A19" s="11" t="s">
        <v>13</v>
      </c>
      <c r="B19" s="2">
        <f t="shared" si="7"/>
        <v>18</v>
      </c>
      <c r="C19" s="2">
        <v>11</v>
      </c>
      <c r="D19" s="1">
        <v>2023</v>
      </c>
      <c r="E19" s="12">
        <f t="shared" si="0"/>
        <v>5842.2</v>
      </c>
      <c r="F19" s="13">
        <v>0.25</v>
      </c>
      <c r="G19" s="14">
        <f t="shared" si="1"/>
        <v>84.933333333333337</v>
      </c>
      <c r="H19" s="15">
        <v>0.66500000000000004</v>
      </c>
      <c r="I19" s="27">
        <f t="shared" si="2"/>
        <v>2993.7666666666669</v>
      </c>
      <c r="J19" s="28">
        <v>9.1700000000000004E-2</v>
      </c>
      <c r="K19" s="16">
        <f t="shared" si="3"/>
        <v>54.1</v>
      </c>
      <c r="L19" s="17">
        <v>1.26</v>
      </c>
      <c r="M19" s="33">
        <f t="shared" si="4"/>
        <v>75.066666666666663</v>
      </c>
      <c r="N19" s="30">
        <v>0.74</v>
      </c>
      <c r="O19" s="18">
        <f t="shared" si="5"/>
        <v>16.833333333333332</v>
      </c>
      <c r="P19" s="18">
        <f t="shared" si="6"/>
        <v>31.433333333333334</v>
      </c>
      <c r="Q19" s="2">
        <v>1.3</v>
      </c>
    </row>
    <row r="20" spans="1:17" ht="15" x14ac:dyDescent="0.25">
      <c r="A20" s="11" t="s">
        <v>13</v>
      </c>
      <c r="B20" s="2">
        <f t="shared" si="7"/>
        <v>19</v>
      </c>
      <c r="C20" s="2">
        <v>11</v>
      </c>
      <c r="D20" s="1">
        <v>2023</v>
      </c>
      <c r="E20" s="12">
        <f t="shared" si="0"/>
        <v>5842.2</v>
      </c>
      <c r="F20" s="13">
        <v>0.25</v>
      </c>
      <c r="G20" s="14">
        <f t="shared" si="1"/>
        <v>84.933333333333337</v>
      </c>
      <c r="H20" s="15">
        <v>0.66500000000000004</v>
      </c>
      <c r="I20" s="27">
        <f t="shared" si="2"/>
        <v>2993.7666666666669</v>
      </c>
      <c r="J20" s="28">
        <v>9.1700000000000004E-2</v>
      </c>
      <c r="K20" s="16">
        <f t="shared" si="3"/>
        <v>54.1</v>
      </c>
      <c r="L20" s="17">
        <v>1.26</v>
      </c>
      <c r="M20" s="33">
        <f t="shared" si="4"/>
        <v>75.066666666666663</v>
      </c>
      <c r="N20" s="30">
        <v>0.74</v>
      </c>
      <c r="O20" s="18">
        <f t="shared" si="5"/>
        <v>16.833333333333332</v>
      </c>
      <c r="P20" s="18">
        <f t="shared" si="6"/>
        <v>31.433333333333334</v>
      </c>
      <c r="Q20" s="2">
        <v>0</v>
      </c>
    </row>
    <row r="21" spans="1:17" ht="15" x14ac:dyDescent="0.25">
      <c r="A21" s="11" t="s">
        <v>13</v>
      </c>
      <c r="B21" s="2">
        <f t="shared" si="7"/>
        <v>20</v>
      </c>
      <c r="C21" s="2">
        <v>11</v>
      </c>
      <c r="D21" s="1">
        <v>2023</v>
      </c>
      <c r="E21" s="12">
        <f t="shared" si="0"/>
        <v>5842.2</v>
      </c>
      <c r="F21" s="13">
        <v>0.25</v>
      </c>
      <c r="G21" s="14">
        <f t="shared" si="1"/>
        <v>84.933333333333337</v>
      </c>
      <c r="H21" s="15">
        <v>0.66500000000000004</v>
      </c>
      <c r="I21" s="27">
        <f t="shared" si="2"/>
        <v>2993.7666666666669</v>
      </c>
      <c r="J21" s="28">
        <v>9.1700000000000004E-2</v>
      </c>
      <c r="K21" s="16">
        <f t="shared" si="3"/>
        <v>54.1</v>
      </c>
      <c r="L21" s="17">
        <v>1.26</v>
      </c>
      <c r="M21" s="33">
        <f t="shared" si="4"/>
        <v>75.066666666666663</v>
      </c>
      <c r="N21" s="30">
        <v>0.74</v>
      </c>
      <c r="O21" s="18">
        <f t="shared" si="5"/>
        <v>16.833333333333332</v>
      </c>
      <c r="P21" s="18">
        <f t="shared" si="6"/>
        <v>31.433333333333334</v>
      </c>
      <c r="Q21" s="2">
        <v>0</v>
      </c>
    </row>
    <row r="22" spans="1:17" ht="15" x14ac:dyDescent="0.25">
      <c r="A22" s="11" t="s">
        <v>13</v>
      </c>
      <c r="B22" s="2">
        <f t="shared" si="7"/>
        <v>21</v>
      </c>
      <c r="C22" s="2">
        <v>11</v>
      </c>
      <c r="D22" s="1">
        <v>2023</v>
      </c>
      <c r="E22" s="12">
        <f t="shared" si="0"/>
        <v>5842.2</v>
      </c>
      <c r="F22" s="13">
        <v>0.25</v>
      </c>
      <c r="G22" s="14">
        <f t="shared" si="1"/>
        <v>84.933333333333337</v>
      </c>
      <c r="H22" s="15">
        <v>0.66500000000000004</v>
      </c>
      <c r="I22" s="27">
        <f t="shared" si="2"/>
        <v>2993.7666666666669</v>
      </c>
      <c r="J22" s="28">
        <v>9.1700000000000004E-2</v>
      </c>
      <c r="K22" s="16">
        <f t="shared" si="3"/>
        <v>54.1</v>
      </c>
      <c r="L22" s="17">
        <v>1.26</v>
      </c>
      <c r="M22" s="33">
        <f t="shared" si="4"/>
        <v>75.066666666666663</v>
      </c>
      <c r="N22" s="30">
        <v>0.74</v>
      </c>
      <c r="O22" s="18">
        <f t="shared" si="5"/>
        <v>16.833333333333332</v>
      </c>
      <c r="P22" s="18">
        <f t="shared" si="6"/>
        <v>31.433333333333334</v>
      </c>
      <c r="Q22" s="2">
        <v>0.4</v>
      </c>
    </row>
    <row r="23" spans="1:17" ht="15" x14ac:dyDescent="0.25">
      <c r="A23" s="11" t="s">
        <v>13</v>
      </c>
      <c r="B23" s="2">
        <f t="shared" si="7"/>
        <v>22</v>
      </c>
      <c r="C23" s="2">
        <v>11</v>
      </c>
      <c r="D23" s="1">
        <v>2023</v>
      </c>
      <c r="E23" s="12">
        <f t="shared" si="0"/>
        <v>5842.2</v>
      </c>
      <c r="F23" s="13">
        <v>0.25</v>
      </c>
      <c r="G23" s="14">
        <f t="shared" si="1"/>
        <v>84.933333333333337</v>
      </c>
      <c r="H23" s="15">
        <v>0.66500000000000004</v>
      </c>
      <c r="I23" s="27">
        <f t="shared" si="2"/>
        <v>2993.7666666666669</v>
      </c>
      <c r="J23" s="28">
        <v>9.1700000000000004E-2</v>
      </c>
      <c r="K23" s="16">
        <f t="shared" si="3"/>
        <v>54.1</v>
      </c>
      <c r="L23" s="17">
        <v>1.26</v>
      </c>
      <c r="M23" s="33">
        <f t="shared" si="4"/>
        <v>75.066666666666663</v>
      </c>
      <c r="N23" s="30">
        <v>0.74</v>
      </c>
      <c r="O23" s="18">
        <f t="shared" si="5"/>
        <v>16.833333333333332</v>
      </c>
      <c r="P23" s="18">
        <f t="shared" si="6"/>
        <v>31.433333333333334</v>
      </c>
      <c r="Q23" s="2">
        <v>0.7</v>
      </c>
    </row>
    <row r="24" spans="1:17" ht="15" x14ac:dyDescent="0.25">
      <c r="A24" s="11" t="s">
        <v>13</v>
      </c>
      <c r="B24" s="2">
        <f t="shared" si="7"/>
        <v>23</v>
      </c>
      <c r="C24" s="2">
        <v>11</v>
      </c>
      <c r="D24" s="1">
        <v>2023</v>
      </c>
      <c r="E24" s="12">
        <f t="shared" si="0"/>
        <v>5842.2</v>
      </c>
      <c r="F24" s="13">
        <v>0.25</v>
      </c>
      <c r="G24" s="14">
        <f t="shared" si="1"/>
        <v>84.933333333333337</v>
      </c>
      <c r="H24" s="15">
        <v>0.66500000000000004</v>
      </c>
      <c r="I24" s="27">
        <f t="shared" si="2"/>
        <v>2993.7666666666669</v>
      </c>
      <c r="J24" s="28">
        <v>9.1700000000000004E-2</v>
      </c>
      <c r="K24" s="16">
        <f t="shared" si="3"/>
        <v>54.1</v>
      </c>
      <c r="L24" s="17">
        <v>1.26</v>
      </c>
      <c r="M24" s="33">
        <f t="shared" si="4"/>
        <v>75.066666666666663</v>
      </c>
      <c r="N24" s="30">
        <v>0.74</v>
      </c>
      <c r="O24" s="18">
        <f t="shared" si="5"/>
        <v>16.833333333333332</v>
      </c>
      <c r="P24" s="18">
        <f t="shared" si="6"/>
        <v>31.433333333333334</v>
      </c>
      <c r="Q24" s="2">
        <v>0.9</v>
      </c>
    </row>
    <row r="25" spans="1:17" ht="15" x14ac:dyDescent="0.25">
      <c r="A25" s="11" t="s">
        <v>13</v>
      </c>
      <c r="B25" s="2">
        <f t="shared" si="7"/>
        <v>24</v>
      </c>
      <c r="C25" s="2">
        <v>11</v>
      </c>
      <c r="D25" s="1">
        <v>2023</v>
      </c>
      <c r="E25" s="12">
        <f t="shared" si="0"/>
        <v>5842.2</v>
      </c>
      <c r="F25" s="13">
        <v>0.25</v>
      </c>
      <c r="G25" s="14">
        <f t="shared" si="1"/>
        <v>84.933333333333337</v>
      </c>
      <c r="H25" s="15">
        <v>0.66500000000000004</v>
      </c>
      <c r="I25" s="27">
        <f t="shared" si="2"/>
        <v>2993.7666666666669</v>
      </c>
      <c r="J25" s="28">
        <v>9.1700000000000004E-2</v>
      </c>
      <c r="K25" s="16">
        <f t="shared" si="3"/>
        <v>54.1</v>
      </c>
      <c r="L25" s="17">
        <v>1.26</v>
      </c>
      <c r="M25" s="33">
        <f t="shared" si="4"/>
        <v>75.066666666666663</v>
      </c>
      <c r="N25" s="30">
        <v>0.74</v>
      </c>
      <c r="O25" s="18">
        <f t="shared" si="5"/>
        <v>16.833333333333332</v>
      </c>
      <c r="P25" s="18">
        <f t="shared" si="6"/>
        <v>31.433333333333334</v>
      </c>
      <c r="Q25" s="2">
        <v>0.8</v>
      </c>
    </row>
    <row r="26" spans="1:17" ht="15" x14ac:dyDescent="0.25">
      <c r="A26" s="11" t="s">
        <v>13</v>
      </c>
      <c r="B26" s="2">
        <f>B25+1</f>
        <v>25</v>
      </c>
      <c r="C26" s="2">
        <v>11</v>
      </c>
      <c r="D26" s="1">
        <v>2023</v>
      </c>
      <c r="E26" s="12">
        <f t="shared" si="0"/>
        <v>5842.2</v>
      </c>
      <c r="F26" s="13">
        <v>0.25</v>
      </c>
      <c r="G26" s="14">
        <f t="shared" si="1"/>
        <v>84.933333333333337</v>
      </c>
      <c r="H26" s="15">
        <v>0.66500000000000004</v>
      </c>
      <c r="I26" s="27">
        <f t="shared" si="2"/>
        <v>2993.7666666666669</v>
      </c>
      <c r="J26" s="28">
        <v>9.1700000000000004E-2</v>
      </c>
      <c r="K26" s="16">
        <f t="shared" si="3"/>
        <v>54.1</v>
      </c>
      <c r="L26" s="17">
        <v>1.26</v>
      </c>
      <c r="M26" s="33">
        <f t="shared" si="4"/>
        <v>75.066666666666663</v>
      </c>
      <c r="N26" s="30">
        <v>0.74</v>
      </c>
      <c r="O26" s="18">
        <f t="shared" si="5"/>
        <v>16.833333333333332</v>
      </c>
      <c r="P26" s="18">
        <f t="shared" si="6"/>
        <v>31.433333333333334</v>
      </c>
      <c r="Q26" s="2">
        <v>1.4</v>
      </c>
    </row>
    <row r="27" spans="1:17" ht="15" x14ac:dyDescent="0.25">
      <c r="A27" s="11" t="s">
        <v>13</v>
      </c>
      <c r="B27" s="2">
        <f t="shared" si="7"/>
        <v>26</v>
      </c>
      <c r="C27" s="2">
        <v>11</v>
      </c>
      <c r="D27" s="1">
        <v>2023</v>
      </c>
      <c r="E27" s="12">
        <f t="shared" si="0"/>
        <v>5842.2</v>
      </c>
      <c r="F27" s="13">
        <v>0.25</v>
      </c>
      <c r="G27" s="14">
        <f t="shared" si="1"/>
        <v>84.933333333333337</v>
      </c>
      <c r="H27" s="15">
        <v>0.66500000000000004</v>
      </c>
      <c r="I27" s="27">
        <f t="shared" si="2"/>
        <v>2993.7666666666669</v>
      </c>
      <c r="J27" s="28">
        <v>9.1700000000000004E-2</v>
      </c>
      <c r="K27" s="16">
        <f t="shared" si="3"/>
        <v>54.1</v>
      </c>
      <c r="L27" s="17">
        <v>1.26</v>
      </c>
      <c r="M27" s="33">
        <f t="shared" si="4"/>
        <v>75.066666666666663</v>
      </c>
      <c r="N27" s="30">
        <v>0.74</v>
      </c>
      <c r="O27" s="18">
        <f t="shared" si="5"/>
        <v>16.833333333333332</v>
      </c>
      <c r="P27" s="18">
        <f t="shared" si="6"/>
        <v>31.433333333333334</v>
      </c>
      <c r="Q27" s="2">
        <v>0.8</v>
      </c>
    </row>
    <row r="28" spans="1:17" ht="15" x14ac:dyDescent="0.25">
      <c r="A28" s="11" t="s">
        <v>13</v>
      </c>
      <c r="B28" s="2">
        <f t="shared" si="7"/>
        <v>27</v>
      </c>
      <c r="C28" s="2">
        <v>11</v>
      </c>
      <c r="D28" s="1">
        <v>2023</v>
      </c>
      <c r="E28" s="12">
        <f t="shared" si="0"/>
        <v>5842.2</v>
      </c>
      <c r="F28" s="13">
        <v>0.25</v>
      </c>
      <c r="G28" s="14">
        <f t="shared" si="1"/>
        <v>84.933333333333337</v>
      </c>
      <c r="H28" s="15">
        <v>0.66500000000000004</v>
      </c>
      <c r="I28" s="27">
        <f t="shared" si="2"/>
        <v>2993.7666666666669</v>
      </c>
      <c r="J28" s="28">
        <v>9.1700000000000004E-2</v>
      </c>
      <c r="K28" s="16">
        <f t="shared" si="3"/>
        <v>54.1</v>
      </c>
      <c r="L28" s="17">
        <v>1.26</v>
      </c>
      <c r="M28" s="33">
        <f t="shared" si="4"/>
        <v>75.066666666666663</v>
      </c>
      <c r="N28" s="30">
        <v>0.74</v>
      </c>
      <c r="O28" s="18">
        <f t="shared" si="5"/>
        <v>16.833333333333332</v>
      </c>
      <c r="P28" s="18">
        <f t="shared" si="6"/>
        <v>31.433333333333334</v>
      </c>
      <c r="Q28" s="2">
        <v>0</v>
      </c>
    </row>
    <row r="29" spans="1:17" ht="15" x14ac:dyDescent="0.25">
      <c r="A29" s="11" t="s">
        <v>13</v>
      </c>
      <c r="B29" s="2">
        <f t="shared" si="7"/>
        <v>28</v>
      </c>
      <c r="C29" s="2">
        <v>11</v>
      </c>
      <c r="D29" s="1">
        <v>2023</v>
      </c>
      <c r="E29" s="12">
        <f t="shared" si="0"/>
        <v>5842.2</v>
      </c>
      <c r="F29" s="13">
        <v>0.25</v>
      </c>
      <c r="G29" s="14">
        <f t="shared" si="1"/>
        <v>84.933333333333337</v>
      </c>
      <c r="H29" s="15">
        <v>0.66500000000000004</v>
      </c>
      <c r="I29" s="27">
        <f t="shared" si="2"/>
        <v>2993.7666666666669</v>
      </c>
      <c r="J29" s="28">
        <v>9.1700000000000004E-2</v>
      </c>
      <c r="K29" s="16">
        <f t="shared" si="3"/>
        <v>54.1</v>
      </c>
      <c r="L29" s="17">
        <v>1.26</v>
      </c>
      <c r="M29" s="33">
        <f t="shared" si="4"/>
        <v>75.066666666666663</v>
      </c>
      <c r="N29" s="30">
        <v>0.74</v>
      </c>
      <c r="O29" s="18">
        <f t="shared" si="5"/>
        <v>16.833333333333332</v>
      </c>
      <c r="P29" s="18">
        <f t="shared" si="6"/>
        <v>31.433333333333334</v>
      </c>
      <c r="Q29" s="2">
        <v>0</v>
      </c>
    </row>
    <row r="30" spans="1:17" ht="15" x14ac:dyDescent="0.25">
      <c r="A30" s="11" t="s">
        <v>13</v>
      </c>
      <c r="B30" s="2">
        <f t="shared" si="7"/>
        <v>29</v>
      </c>
      <c r="C30" s="2">
        <v>11</v>
      </c>
      <c r="D30" s="1">
        <v>2023</v>
      </c>
      <c r="E30" s="12">
        <f t="shared" si="0"/>
        <v>5842.2</v>
      </c>
      <c r="F30" s="13">
        <v>0.25</v>
      </c>
      <c r="G30" s="14">
        <f t="shared" si="1"/>
        <v>84.933333333333337</v>
      </c>
      <c r="H30" s="15">
        <v>0.66500000000000004</v>
      </c>
      <c r="I30" s="27">
        <f t="shared" si="2"/>
        <v>2993.7666666666669</v>
      </c>
      <c r="J30" s="28">
        <v>9.1700000000000004E-2</v>
      </c>
      <c r="K30" s="16">
        <f t="shared" si="3"/>
        <v>54.1</v>
      </c>
      <c r="L30" s="17">
        <v>1.26</v>
      </c>
      <c r="M30" s="33">
        <f t="shared" si="4"/>
        <v>75.066666666666663</v>
      </c>
      <c r="N30" s="30">
        <v>0.74</v>
      </c>
      <c r="O30" s="18">
        <f t="shared" si="5"/>
        <v>16.833333333333332</v>
      </c>
      <c r="P30" s="18">
        <f t="shared" si="6"/>
        <v>31.433333333333334</v>
      </c>
      <c r="Q30" s="2">
        <v>0</v>
      </c>
    </row>
    <row r="31" spans="1:17" ht="15" x14ac:dyDescent="0.25">
      <c r="A31" s="11" t="s">
        <v>13</v>
      </c>
      <c r="B31" s="2">
        <f t="shared" si="7"/>
        <v>30</v>
      </c>
      <c r="C31" s="2">
        <v>11</v>
      </c>
      <c r="D31" s="1">
        <v>2023</v>
      </c>
      <c r="E31" s="12">
        <f t="shared" si="0"/>
        <v>5842.2</v>
      </c>
      <c r="F31" s="13">
        <v>0.25</v>
      </c>
      <c r="G31" s="14">
        <f t="shared" si="1"/>
        <v>84.933333333333337</v>
      </c>
      <c r="H31" s="15">
        <v>0.66500000000000004</v>
      </c>
      <c r="I31" s="27">
        <f t="shared" si="2"/>
        <v>2993.7666666666669</v>
      </c>
      <c r="J31" s="28">
        <v>9.1700000000000004E-2</v>
      </c>
      <c r="K31" s="16">
        <f t="shared" si="3"/>
        <v>54.1</v>
      </c>
      <c r="L31" s="17">
        <v>1.26</v>
      </c>
      <c r="M31" s="33">
        <f t="shared" si="4"/>
        <v>75.066666666666663</v>
      </c>
      <c r="N31" s="30">
        <v>0.74</v>
      </c>
      <c r="O31" s="18">
        <f t="shared" si="5"/>
        <v>16.833333333333332</v>
      </c>
      <c r="P31" s="18">
        <f t="shared" si="6"/>
        <v>31.433333333333334</v>
      </c>
      <c r="Q31" s="2">
        <v>0.1</v>
      </c>
    </row>
    <row r="32" spans="1:17" ht="15" x14ac:dyDescent="0.25">
      <c r="A32" s="11"/>
      <c r="D32" s="1"/>
      <c r="F32" s="13"/>
      <c r="H32" s="15"/>
      <c r="I32" s="27"/>
      <c r="J32" s="28"/>
      <c r="K32" s="16"/>
      <c r="L32" s="17"/>
      <c r="M32" s="33"/>
      <c r="N32" s="30"/>
      <c r="O32" s="18"/>
      <c r="P32" s="18"/>
    </row>
    <row r="33" spans="4:16" x14ac:dyDescent="0.2">
      <c r="D33" s="19"/>
      <c r="F33" s="13"/>
      <c r="I33" s="27"/>
      <c r="J33" s="28"/>
      <c r="K33" s="17"/>
      <c r="L33" s="17"/>
      <c r="O33" s="21"/>
      <c r="P33" s="21"/>
    </row>
    <row r="34" spans="4:16" x14ac:dyDescent="0.2">
      <c r="D34" s="19"/>
      <c r="F34" s="13"/>
      <c r="I34" s="27"/>
      <c r="J34" s="28"/>
      <c r="K34" s="17"/>
      <c r="L34" s="17"/>
      <c r="O34" s="21"/>
      <c r="P34" s="21"/>
    </row>
    <row r="35" spans="4:16" x14ac:dyDescent="0.2">
      <c r="D35" s="19"/>
      <c r="F35" s="13"/>
      <c r="I35" s="27"/>
      <c r="J35" s="28"/>
      <c r="K35" s="17"/>
      <c r="L35" s="17"/>
      <c r="O35" s="21"/>
      <c r="P35" s="21"/>
    </row>
    <row r="36" spans="4:16" x14ac:dyDescent="0.2">
      <c r="D36" s="19"/>
      <c r="F36" s="13"/>
      <c r="I36" s="27"/>
      <c r="J36" s="28"/>
      <c r="K36" s="17"/>
      <c r="L36" s="17"/>
      <c r="O36" s="21"/>
      <c r="P36" s="21"/>
    </row>
    <row r="37" spans="4:16" x14ac:dyDescent="0.2">
      <c r="D37" s="19"/>
      <c r="F37" s="13"/>
      <c r="I37" s="27"/>
      <c r="J37" s="28"/>
      <c r="K37" s="17"/>
      <c r="L37" s="17"/>
      <c r="O37" s="21"/>
      <c r="P37" s="21"/>
    </row>
    <row r="38" spans="4:16" x14ac:dyDescent="0.2">
      <c r="F38" s="13"/>
      <c r="I38" s="27"/>
      <c r="J38" s="28"/>
    </row>
    <row r="39" spans="4:16" x14ac:dyDescent="0.2">
      <c r="F39" s="13"/>
      <c r="I39" s="27"/>
      <c r="J39" s="28"/>
    </row>
    <row r="40" spans="4:16" x14ac:dyDescent="0.2">
      <c r="F40" s="13"/>
      <c r="I40" s="27"/>
      <c r="J40" s="28"/>
    </row>
    <row r="41" spans="4:16" x14ac:dyDescent="0.2">
      <c r="F41" s="13"/>
      <c r="I41" s="27"/>
      <c r="J41" s="28"/>
    </row>
    <row r="42" spans="4:16" x14ac:dyDescent="0.2">
      <c r="I42" s="27"/>
      <c r="J42" s="2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nicole feghali</cp:lastModifiedBy>
  <cp:revision/>
  <cp:lastPrinted>2024-08-01T08:23:18Z</cp:lastPrinted>
  <dcterms:created xsi:type="dcterms:W3CDTF">2016-09-19T10:41:46Z</dcterms:created>
  <dcterms:modified xsi:type="dcterms:W3CDTF">2024-11-14T07:53:47Z</dcterms:modified>
  <cp:category/>
  <cp:contentStatus/>
</cp:coreProperties>
</file>