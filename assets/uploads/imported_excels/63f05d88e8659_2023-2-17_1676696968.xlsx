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1" documentId="11_C18B9CFE9F3C18E775AF380423A4BF479FF548D4" xr6:coauthVersionLast="47" xr6:coauthVersionMax="47" xr10:uidLastSave="{50D38998-EC31-4F2C-BCFA-5DBE306F859D}"/>
  <bookViews>
    <workbookView xWindow="0" yWindow="0" windowWidth="28800" windowHeight="12435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09" l="1"/>
  <c r="F9" i="102" l="1"/>
  <c r="I9" i="102"/>
  <c r="J9" i="102" s="1"/>
  <c r="F10" i="102"/>
  <c r="G10" i="102" s="1"/>
  <c r="I10" i="102"/>
  <c r="J10" i="102"/>
  <c r="F11" i="102"/>
  <c r="G11" i="102" s="1"/>
  <c r="I11" i="102"/>
  <c r="J11" i="102" s="1"/>
  <c r="F12" i="102"/>
  <c r="G12" i="102" s="1"/>
  <c r="I12" i="102"/>
  <c r="J12" i="102" s="1"/>
  <c r="F13" i="102"/>
  <c r="G13" i="102"/>
  <c r="I13" i="102"/>
  <c r="J13" i="102" s="1"/>
  <c r="F14" i="102"/>
  <c r="G14" i="102" s="1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/>
  <c r="I17" i="102"/>
  <c r="J17" i="102" s="1"/>
  <c r="F18" i="102"/>
  <c r="G18" i="102" s="1"/>
  <c r="I18" i="102"/>
  <c r="J18" i="102" s="1"/>
  <c r="F19" i="102"/>
  <c r="I19" i="102"/>
  <c r="J19" i="102" s="1"/>
  <c r="F20" i="102"/>
  <c r="G20" i="102" s="1"/>
  <c r="I20" i="102"/>
  <c r="J20" i="102"/>
  <c r="F21" i="102"/>
  <c r="G21" i="102" s="1"/>
  <c r="I21" i="102"/>
  <c r="J21" i="102" s="1"/>
  <c r="F22" i="102"/>
  <c r="G22" i="102" s="1"/>
  <c r="I22" i="102"/>
  <c r="J22" i="102" s="1"/>
  <c r="F23" i="102"/>
  <c r="I23" i="102"/>
  <c r="J23" i="102" s="1"/>
  <c r="F24" i="102"/>
  <c r="G24" i="102" s="1"/>
  <c r="I24" i="102"/>
  <c r="J24" i="102" s="1"/>
  <c r="F25" i="102"/>
  <c r="G25" i="102" s="1"/>
  <c r="I25" i="102"/>
  <c r="J25" i="102" s="1"/>
  <c r="F26" i="102"/>
  <c r="G26" i="102" s="1"/>
  <c r="I26" i="102"/>
  <c r="J26" i="102" s="1"/>
  <c r="F27" i="102"/>
  <c r="G27" i="102"/>
  <c r="I27" i="102"/>
  <c r="E21" i="117" s="1"/>
  <c r="J27" i="102"/>
  <c r="F28" i="102"/>
  <c r="G28" i="102" s="1"/>
  <c r="I28" i="102"/>
  <c r="J28" i="102" s="1"/>
  <c r="F29" i="102"/>
  <c r="G29" i="102"/>
  <c r="I29" i="102"/>
  <c r="J29" i="102" s="1"/>
  <c r="F30" i="102"/>
  <c r="G30" i="102" s="1"/>
  <c r="I30" i="102"/>
  <c r="J30" i="102" s="1"/>
  <c r="F31" i="102"/>
  <c r="G31" i="102"/>
  <c r="I31" i="102"/>
  <c r="J31" i="102" s="1"/>
  <c r="F32" i="102"/>
  <c r="G32" i="102" s="1"/>
  <c r="I32" i="102"/>
  <c r="J32" i="102" s="1"/>
  <c r="F33" i="102"/>
  <c r="G33" i="102" s="1"/>
  <c r="I33" i="102"/>
  <c r="J33" i="102"/>
  <c r="F34" i="102"/>
  <c r="G34" i="102" s="1"/>
  <c r="I34" i="102"/>
  <c r="J34" i="102" s="1"/>
  <c r="F35" i="102"/>
  <c r="G35" i="102" s="1"/>
  <c r="I35" i="102"/>
  <c r="J35" i="102" s="1"/>
  <c r="F36" i="102"/>
  <c r="G36" i="102"/>
  <c r="I36" i="102"/>
  <c r="J36" i="102" s="1"/>
  <c r="F37" i="102"/>
  <c r="G37" i="102" s="1"/>
  <c r="I37" i="102"/>
  <c r="J37" i="102" s="1"/>
  <c r="F8" i="102"/>
  <c r="I8" i="102"/>
  <c r="J8" i="102" s="1"/>
  <c r="J8" i="109"/>
  <c r="P8" i="109"/>
  <c r="P9" i="109" s="1"/>
  <c r="G9" i="109"/>
  <c r="J9" i="109"/>
  <c r="M8" i="109"/>
  <c r="M13" i="109" s="1"/>
  <c r="M9" i="109"/>
  <c r="J10" i="109"/>
  <c r="G10" i="109"/>
  <c r="J11" i="109"/>
  <c r="G11" i="109"/>
  <c r="P11" i="109"/>
  <c r="J12" i="109"/>
  <c r="G12" i="109"/>
  <c r="P12" i="109"/>
  <c r="J13" i="109"/>
  <c r="G13" i="109"/>
  <c r="P13" i="109"/>
  <c r="J14" i="109"/>
  <c r="G14" i="109"/>
  <c r="J15" i="109"/>
  <c r="M15" i="109"/>
  <c r="G15" i="109"/>
  <c r="P15" i="109"/>
  <c r="J16" i="109"/>
  <c r="G16" i="109"/>
  <c r="J17" i="109"/>
  <c r="M17" i="109"/>
  <c r="G17" i="109"/>
  <c r="I18" i="109"/>
  <c r="J18" i="109"/>
  <c r="M18" i="109"/>
  <c r="G18" i="109"/>
  <c r="I19" i="109"/>
  <c r="J19" i="109"/>
  <c r="G19" i="109"/>
  <c r="P19" i="109"/>
  <c r="I20" i="109"/>
  <c r="J20" i="109"/>
  <c r="M20" i="109"/>
  <c r="G20" i="109"/>
  <c r="P20" i="109"/>
  <c r="I21" i="109"/>
  <c r="J21" i="109"/>
  <c r="G21" i="109"/>
  <c r="P21" i="109"/>
  <c r="I22" i="109"/>
  <c r="J22" i="109"/>
  <c r="M22" i="109"/>
  <c r="G22" i="109"/>
  <c r="I23" i="109"/>
  <c r="J23" i="109"/>
  <c r="M23" i="109"/>
  <c r="G23" i="109"/>
  <c r="I24" i="109"/>
  <c r="J24" i="109"/>
  <c r="M24" i="109"/>
  <c r="G24" i="109"/>
  <c r="P24" i="109"/>
  <c r="I25" i="109"/>
  <c r="J25" i="109"/>
  <c r="G25" i="109"/>
  <c r="P25" i="109"/>
  <c r="I26" i="109"/>
  <c r="J26" i="109"/>
  <c r="M26" i="109"/>
  <c r="G26" i="109"/>
  <c r="P26" i="109"/>
  <c r="I27" i="109"/>
  <c r="J27" i="109" s="1"/>
  <c r="G27" i="109"/>
  <c r="I28" i="109"/>
  <c r="J28" i="109"/>
  <c r="G28" i="109"/>
  <c r="I29" i="109"/>
  <c r="J29" i="109" s="1"/>
  <c r="G29" i="109"/>
  <c r="I30" i="109"/>
  <c r="J30" i="109" s="1"/>
  <c r="G30" i="109"/>
  <c r="P30" i="109"/>
  <c r="I31" i="109"/>
  <c r="G24" i="117" s="1"/>
  <c r="G31" i="109"/>
  <c r="P31" i="109"/>
  <c r="I32" i="109"/>
  <c r="J32" i="109"/>
  <c r="M32" i="109"/>
  <c r="G32" i="109"/>
  <c r="I33" i="109"/>
  <c r="J33" i="109" s="1"/>
  <c r="G33" i="109"/>
  <c r="P33" i="109"/>
  <c r="I34" i="109"/>
  <c r="J34" i="109"/>
  <c r="M34" i="109"/>
  <c r="G34" i="109"/>
  <c r="I35" i="109"/>
  <c r="J35" i="109"/>
  <c r="M35" i="109"/>
  <c r="G35" i="109"/>
  <c r="I36" i="109"/>
  <c r="J36" i="109"/>
  <c r="G36" i="109"/>
  <c r="P36" i="109"/>
  <c r="I37" i="109"/>
  <c r="J37" i="109" s="1"/>
  <c r="M37" i="109"/>
  <c r="G37" i="109"/>
  <c r="P37" i="109"/>
  <c r="I38" i="109"/>
  <c r="J38" i="109" s="1"/>
  <c r="G38" i="109"/>
  <c r="G10" i="116"/>
  <c r="H10" i="116" s="1"/>
  <c r="G11" i="116"/>
  <c r="H11" i="116" s="1"/>
  <c r="G12" i="116"/>
  <c r="H12" i="116" s="1"/>
  <c r="G13" i="116"/>
  <c r="H13" i="116"/>
  <c r="G14" i="116"/>
  <c r="H14" i="116" s="1"/>
  <c r="G15" i="116"/>
  <c r="H15" i="116" s="1"/>
  <c r="G16" i="116"/>
  <c r="H16" i="116" s="1"/>
  <c r="G17" i="116"/>
  <c r="H17" i="116" s="1"/>
  <c r="G18" i="116"/>
  <c r="H18" i="116" s="1"/>
  <c r="G19" i="116"/>
  <c r="H19" i="116" s="1"/>
  <c r="G20" i="116"/>
  <c r="H20" i="116" s="1"/>
  <c r="G21" i="116"/>
  <c r="H21" i="116"/>
  <c r="G22" i="116"/>
  <c r="H22" i="116" s="1"/>
  <c r="G23" i="116"/>
  <c r="H23" i="116" s="1"/>
  <c r="G24" i="116"/>
  <c r="H24" i="116" s="1"/>
  <c r="G25" i="116"/>
  <c r="H25" i="116" s="1"/>
  <c r="G26" i="116"/>
  <c r="H26" i="116" s="1"/>
  <c r="G27" i="116"/>
  <c r="H27" i="116" s="1"/>
  <c r="G28" i="116"/>
  <c r="H28" i="116" s="1"/>
  <c r="G29" i="116"/>
  <c r="H29" i="116"/>
  <c r="G30" i="116"/>
  <c r="H30" i="116" s="1"/>
  <c r="G31" i="116"/>
  <c r="H31" i="116" s="1"/>
  <c r="G32" i="116"/>
  <c r="H32" i="116" s="1"/>
  <c r="G33" i="116"/>
  <c r="H33" i="116" s="1"/>
  <c r="G34" i="116"/>
  <c r="H34" i="116" s="1"/>
  <c r="G35" i="116"/>
  <c r="H35" i="116" s="1"/>
  <c r="G36" i="116"/>
  <c r="H36" i="116" s="1"/>
  <c r="G37" i="116"/>
  <c r="H37" i="116"/>
  <c r="G38" i="116"/>
  <c r="H38" i="116" s="1"/>
  <c r="G9" i="116"/>
  <c r="H9" i="116" s="1"/>
  <c r="F10" i="106"/>
  <c r="H10" i="106"/>
  <c r="J10" i="106"/>
  <c r="F11" i="106"/>
  <c r="H11" i="106"/>
  <c r="J11" i="106"/>
  <c r="F12" i="106"/>
  <c r="H12" i="106"/>
  <c r="J12" i="106"/>
  <c r="F13" i="106"/>
  <c r="H13" i="106"/>
  <c r="J13" i="106"/>
  <c r="F14" i="106"/>
  <c r="H14" i="106"/>
  <c r="J14" i="106"/>
  <c r="F15" i="106"/>
  <c r="H15" i="106"/>
  <c r="J15" i="106"/>
  <c r="F16" i="106"/>
  <c r="H16" i="106"/>
  <c r="J16" i="106"/>
  <c r="K16" i="106" s="1"/>
  <c r="L16" i="106" s="1"/>
  <c r="F17" i="106"/>
  <c r="H17" i="106"/>
  <c r="J17" i="106"/>
  <c r="F18" i="106"/>
  <c r="H18" i="106"/>
  <c r="J18" i="106"/>
  <c r="F19" i="106"/>
  <c r="H19" i="106"/>
  <c r="J19" i="106"/>
  <c r="F20" i="106"/>
  <c r="H20" i="106"/>
  <c r="J20" i="106"/>
  <c r="F21" i="106"/>
  <c r="H21" i="106"/>
  <c r="J21" i="106"/>
  <c r="F22" i="106"/>
  <c r="H22" i="106"/>
  <c r="J22" i="106"/>
  <c r="F23" i="106"/>
  <c r="H23" i="106"/>
  <c r="J23" i="106"/>
  <c r="F24" i="106"/>
  <c r="H24" i="106"/>
  <c r="J24" i="106"/>
  <c r="K24" i="106"/>
  <c r="F25" i="106"/>
  <c r="H25" i="106"/>
  <c r="J25" i="106"/>
  <c r="F26" i="106"/>
  <c r="H26" i="106"/>
  <c r="J26" i="106"/>
  <c r="F27" i="106"/>
  <c r="H27" i="106"/>
  <c r="J27" i="106"/>
  <c r="F28" i="106"/>
  <c r="H28" i="106"/>
  <c r="J28" i="106"/>
  <c r="F29" i="106"/>
  <c r="H29" i="106"/>
  <c r="J29" i="106"/>
  <c r="F30" i="106"/>
  <c r="H30" i="106"/>
  <c r="J30" i="106"/>
  <c r="F31" i="106"/>
  <c r="H31" i="106"/>
  <c r="J31" i="106"/>
  <c r="F32" i="106"/>
  <c r="H32" i="106"/>
  <c r="J32" i="106"/>
  <c r="F33" i="106"/>
  <c r="H33" i="106"/>
  <c r="J33" i="106"/>
  <c r="K33" i="106"/>
  <c r="L33" i="106" s="1"/>
  <c r="F34" i="106"/>
  <c r="H34" i="106"/>
  <c r="J34" i="106"/>
  <c r="F35" i="106"/>
  <c r="H35" i="106"/>
  <c r="J35" i="106"/>
  <c r="F36" i="106"/>
  <c r="H36" i="106"/>
  <c r="J36" i="106"/>
  <c r="F37" i="106"/>
  <c r="H37" i="106"/>
  <c r="J37" i="106"/>
  <c r="F38" i="106"/>
  <c r="H38" i="106"/>
  <c r="J38" i="106"/>
  <c r="F9" i="106"/>
  <c r="H9" i="106"/>
  <c r="J9" i="106"/>
  <c r="I40" i="106"/>
  <c r="G40" i="106"/>
  <c r="I41" i="106" s="1"/>
  <c r="F40" i="116"/>
  <c r="D39" i="102"/>
  <c r="C39" i="102"/>
  <c r="O40" i="109"/>
  <c r="F40" i="109"/>
  <c r="Q44" i="109" s="1"/>
  <c r="G20" i="117"/>
  <c r="G21" i="117"/>
  <c r="G22" i="117"/>
  <c r="G25" i="117"/>
  <c r="G26" i="117"/>
  <c r="G27" i="117"/>
  <c r="G28" i="117"/>
  <c r="G29" i="117"/>
  <c r="G30" i="117"/>
  <c r="G31" i="117"/>
  <c r="D10" i="109"/>
  <c r="D10" i="116" s="1"/>
  <c r="D11" i="109"/>
  <c r="D11" i="116" s="1"/>
  <c r="D11" i="106" s="1"/>
  <c r="D12" i="109"/>
  <c r="D12" i="116" s="1"/>
  <c r="D12" i="106" s="1"/>
  <c r="D13" i="109"/>
  <c r="D13" i="116" s="1"/>
  <c r="D13" i="106" s="1"/>
  <c r="D14" i="109"/>
  <c r="D14" i="116" s="1"/>
  <c r="D14" i="106" s="1"/>
  <c r="D15" i="109"/>
  <c r="D15" i="116" s="1"/>
  <c r="D15" i="106" s="1"/>
  <c r="D16" i="109"/>
  <c r="D16" i="116" s="1"/>
  <c r="D16" i="106" s="1"/>
  <c r="D17" i="109"/>
  <c r="D17" i="116" s="1"/>
  <c r="D17" i="106" s="1"/>
  <c r="D18" i="109"/>
  <c r="D18" i="116" s="1"/>
  <c r="D18" i="106" s="1"/>
  <c r="D19" i="109"/>
  <c r="D19" i="116" s="1"/>
  <c r="D19" i="106" s="1"/>
  <c r="D20" i="109"/>
  <c r="D20" i="116" s="1"/>
  <c r="D20" i="106" s="1"/>
  <c r="D21" i="109"/>
  <c r="D21" i="116" s="1"/>
  <c r="D21" i="106" s="1"/>
  <c r="D22" i="109"/>
  <c r="D22" i="116" s="1"/>
  <c r="D22" i="106" s="1"/>
  <c r="D23" i="109"/>
  <c r="D23" i="116" s="1"/>
  <c r="D23" i="106" s="1"/>
  <c r="D24" i="109"/>
  <c r="D24" i="116" s="1"/>
  <c r="D24" i="106" s="1"/>
  <c r="D25" i="109"/>
  <c r="D25" i="116" s="1"/>
  <c r="D25" i="106" s="1"/>
  <c r="D26" i="109"/>
  <c r="D26" i="116" s="1"/>
  <c r="D26" i="106" s="1"/>
  <c r="D27" i="109"/>
  <c r="D27" i="116" s="1"/>
  <c r="D27" i="106" s="1"/>
  <c r="D28" i="109"/>
  <c r="D28" i="116" s="1"/>
  <c r="D28" i="106" s="1"/>
  <c r="D29" i="109"/>
  <c r="D29" i="116" s="1"/>
  <c r="D29" i="106" s="1"/>
  <c r="D30" i="109"/>
  <c r="D30" i="116" s="1"/>
  <c r="D30" i="106" s="1"/>
  <c r="D31" i="109"/>
  <c r="D31" i="116" s="1"/>
  <c r="D31" i="106" s="1"/>
  <c r="D32" i="109"/>
  <c r="D32" i="116" s="1"/>
  <c r="D32" i="106" s="1"/>
  <c r="D33" i="109"/>
  <c r="D33" i="116" s="1"/>
  <c r="D33" i="106" s="1"/>
  <c r="D34" i="109"/>
  <c r="D34" i="116" s="1"/>
  <c r="D34" i="106" s="1"/>
  <c r="D35" i="109"/>
  <c r="D35" i="116" s="1"/>
  <c r="D35" i="106" s="1"/>
  <c r="D36" i="109"/>
  <c r="D36" i="116" s="1"/>
  <c r="D36" i="106" s="1"/>
  <c r="D37" i="109"/>
  <c r="D37" i="116" s="1"/>
  <c r="D37" i="106" s="1"/>
  <c r="D38" i="109"/>
  <c r="D38" i="116" s="1"/>
  <c r="D38" i="106" s="1"/>
  <c r="D9" i="109"/>
  <c r="D9" i="116" s="1"/>
  <c r="D9" i="106" s="1"/>
  <c r="C10" i="109"/>
  <c r="C10" i="116" s="1"/>
  <c r="C10" i="106" s="1"/>
  <c r="C11" i="109"/>
  <c r="C11" i="116" s="1"/>
  <c r="C11" i="106" s="1"/>
  <c r="C12" i="109"/>
  <c r="C12" i="116" s="1"/>
  <c r="C12" i="106" s="1"/>
  <c r="C13" i="109"/>
  <c r="C13" i="116" s="1"/>
  <c r="C13" i="106" s="1"/>
  <c r="C14" i="109"/>
  <c r="C14" i="116" s="1"/>
  <c r="C14" i="106" s="1"/>
  <c r="C15" i="109"/>
  <c r="C15" i="116" s="1"/>
  <c r="C15" i="106" s="1"/>
  <c r="C16" i="109"/>
  <c r="C16" i="116" s="1"/>
  <c r="C16" i="106" s="1"/>
  <c r="C17" i="109"/>
  <c r="C17" i="116" s="1"/>
  <c r="C17" i="106" s="1"/>
  <c r="C18" i="109"/>
  <c r="C18" i="116" s="1"/>
  <c r="C18" i="106" s="1"/>
  <c r="C19" i="109"/>
  <c r="C19" i="116" s="1"/>
  <c r="C19" i="106" s="1"/>
  <c r="C20" i="109"/>
  <c r="C20" i="116" s="1"/>
  <c r="C20" i="106" s="1"/>
  <c r="C21" i="109"/>
  <c r="C21" i="116" s="1"/>
  <c r="C21" i="106" s="1"/>
  <c r="C22" i="109"/>
  <c r="C22" i="116" s="1"/>
  <c r="C22" i="106" s="1"/>
  <c r="C23" i="109"/>
  <c r="C23" i="116" s="1"/>
  <c r="C23" i="106" s="1"/>
  <c r="C24" i="109"/>
  <c r="C24" i="116" s="1"/>
  <c r="C24" i="106" s="1"/>
  <c r="C25" i="109"/>
  <c r="C25" i="116" s="1"/>
  <c r="C25" i="106" s="1"/>
  <c r="C26" i="109"/>
  <c r="C26" i="116" s="1"/>
  <c r="C26" i="106" s="1"/>
  <c r="C27" i="109"/>
  <c r="C27" i="116" s="1"/>
  <c r="C27" i="106" s="1"/>
  <c r="C28" i="109"/>
  <c r="C28" i="116" s="1"/>
  <c r="C28" i="106" s="1"/>
  <c r="C29" i="109"/>
  <c r="C29" i="116" s="1"/>
  <c r="C29" i="106" s="1"/>
  <c r="C30" i="109"/>
  <c r="C31" i="109"/>
  <c r="C31" i="116" s="1"/>
  <c r="C31" i="106" s="1"/>
  <c r="C32" i="109"/>
  <c r="C32" i="116" s="1"/>
  <c r="C32" i="106" s="1"/>
  <c r="C33" i="109"/>
  <c r="C33" i="116" s="1"/>
  <c r="C33" i="106" s="1"/>
  <c r="C34" i="109"/>
  <c r="C34" i="116" s="1"/>
  <c r="C34" i="106" s="1"/>
  <c r="C35" i="109"/>
  <c r="C35" i="116" s="1"/>
  <c r="C35" i="106" s="1"/>
  <c r="C36" i="109"/>
  <c r="C36" i="116" s="1"/>
  <c r="C36" i="106" s="1"/>
  <c r="C37" i="109"/>
  <c r="C37" i="116" s="1"/>
  <c r="C37" i="106" s="1"/>
  <c r="C38" i="109"/>
  <c r="C38" i="116" s="1"/>
  <c r="C38" i="106" s="1"/>
  <c r="C9" i="11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L26" i="117" s="1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I13" i="117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I12" i="117"/>
  <c r="I11" i="117"/>
  <c r="I9" i="117"/>
  <c r="I8" i="117"/>
  <c r="I6" i="117"/>
  <c r="I5" i="117"/>
  <c r="I4" i="117"/>
  <c r="I2" i="117"/>
  <c r="J2" i="117"/>
  <c r="E24" i="117"/>
  <c r="E23" i="117"/>
  <c r="E27" i="117"/>
  <c r="E6" i="117"/>
  <c r="E7" i="117"/>
  <c r="E18" i="117"/>
  <c r="E14" i="117"/>
  <c r="J16" i="117"/>
  <c r="J24" i="117"/>
  <c r="J5" i="117"/>
  <c r="J10" i="117"/>
  <c r="J18" i="117"/>
  <c r="J11" i="117"/>
  <c r="J3" i="117"/>
  <c r="J28" i="117"/>
  <c r="J4" i="117"/>
  <c r="J8" i="117"/>
  <c r="J17" i="117"/>
  <c r="J19" i="117"/>
  <c r="J13" i="117"/>
  <c r="J21" i="117"/>
  <c r="J22" i="117"/>
  <c r="J20" i="117"/>
  <c r="J9" i="117"/>
  <c r="J14" i="117"/>
  <c r="J6" i="117"/>
  <c r="J12" i="117"/>
  <c r="J27" i="117"/>
  <c r="J29" i="117"/>
  <c r="J26" i="117"/>
  <c r="J30" i="117"/>
  <c r="J25" i="117"/>
  <c r="K36" i="106" l="1"/>
  <c r="L36" i="106" s="1"/>
  <c r="K14" i="106"/>
  <c r="Q24" i="109"/>
  <c r="Q20" i="109"/>
  <c r="Q15" i="109"/>
  <c r="R15" i="109" s="1"/>
  <c r="Q9" i="109"/>
  <c r="H2" i="117" s="1"/>
  <c r="G8" i="102"/>
  <c r="E2" i="117"/>
  <c r="G9" i="102"/>
  <c r="E3" i="117"/>
  <c r="R24" i="109"/>
  <c r="H17" i="117"/>
  <c r="R20" i="109"/>
  <c r="H13" i="117"/>
  <c r="J23" i="117"/>
  <c r="K13" i="106"/>
  <c r="L13" i="106" s="1"/>
  <c r="J31" i="109"/>
  <c r="P22" i="109"/>
  <c r="M10" i="109"/>
  <c r="J31" i="117"/>
  <c r="P28" i="109"/>
  <c r="Q37" i="109"/>
  <c r="R37" i="109" s="1"/>
  <c r="E26" i="117"/>
  <c r="G23" i="117"/>
  <c r="P34" i="109"/>
  <c r="Q34" i="109" s="1"/>
  <c r="P32" i="109"/>
  <c r="Q32" i="109" s="1"/>
  <c r="M30" i="109"/>
  <c r="Q30" i="109" s="1"/>
  <c r="P17" i="109"/>
  <c r="Q17" i="109" s="1"/>
  <c r="M12" i="109"/>
  <c r="Q12" i="109" s="1"/>
  <c r="R12" i="109" s="1"/>
  <c r="Q26" i="109"/>
  <c r="J15" i="117"/>
  <c r="J7" i="117"/>
  <c r="K31" i="106"/>
  <c r="M28" i="109"/>
  <c r="Q28" i="109" s="1"/>
  <c r="R28" i="109" s="1"/>
  <c r="P14" i="109"/>
  <c r="R9" i="109"/>
  <c r="Q22" i="109"/>
  <c r="H15" i="117" s="1"/>
  <c r="H21" i="117"/>
  <c r="K38" i="106"/>
  <c r="H40" i="116"/>
  <c r="P23" i="109"/>
  <c r="Q23" i="109" s="1"/>
  <c r="R23" i="109" s="1"/>
  <c r="M14" i="109"/>
  <c r="Q14" i="109" s="1"/>
  <c r="P38" i="109"/>
  <c r="M36" i="109"/>
  <c r="Q36" i="109" s="1"/>
  <c r="P29" i="109"/>
  <c r="P27" i="109"/>
  <c r="M25" i="109"/>
  <c r="Q25" i="109" s="1"/>
  <c r="H18" i="117" s="1"/>
  <c r="M21" i="109"/>
  <c r="Q21" i="109" s="1"/>
  <c r="R21" i="109" s="1"/>
  <c r="M19" i="109"/>
  <c r="Q19" i="109" s="1"/>
  <c r="R19" i="109" s="1"/>
  <c r="P16" i="109"/>
  <c r="M11" i="109"/>
  <c r="Q11" i="109" s="1"/>
  <c r="R11" i="109" s="1"/>
  <c r="K29" i="106"/>
  <c r="L29" i="106" s="1"/>
  <c r="K25" i="106"/>
  <c r="L25" i="106" s="1"/>
  <c r="M38" i="109"/>
  <c r="M29" i="109"/>
  <c r="Q29" i="109" s="1"/>
  <c r="M27" i="109"/>
  <c r="Q27" i="109" s="1"/>
  <c r="R27" i="109" s="1"/>
  <c r="M16" i="109"/>
  <c r="Q16" i="109" s="1"/>
  <c r="R16" i="109" s="1"/>
  <c r="Q13" i="109"/>
  <c r="R13" i="109" s="1"/>
  <c r="P10" i="109"/>
  <c r="P35" i="109"/>
  <c r="Q35" i="109" s="1"/>
  <c r="R35" i="109" s="1"/>
  <c r="M33" i="109"/>
  <c r="Q33" i="109" s="1"/>
  <c r="M31" i="109"/>
  <c r="P18" i="109"/>
  <c r="Q18" i="109" s="1"/>
  <c r="C40" i="109"/>
  <c r="J40" i="106"/>
  <c r="K27" i="106"/>
  <c r="K22" i="106"/>
  <c r="K37" i="106"/>
  <c r="L37" i="106" s="1"/>
  <c r="K34" i="106"/>
  <c r="L34" i="106" s="1"/>
  <c r="K11" i="106"/>
  <c r="L11" i="106" s="1"/>
  <c r="K17" i="106"/>
  <c r="L17" i="106" s="1"/>
  <c r="K32" i="106"/>
  <c r="L25" i="117" s="1"/>
  <c r="L29" i="117"/>
  <c r="K21" i="106"/>
  <c r="L21" i="106" s="1"/>
  <c r="K28" i="106"/>
  <c r="L28" i="106"/>
  <c r="L21" i="117"/>
  <c r="L17" i="117"/>
  <c r="K9" i="106"/>
  <c r="K35" i="106"/>
  <c r="K26" i="106"/>
  <c r="L26" i="106" s="1"/>
  <c r="K15" i="106"/>
  <c r="L8" i="117" s="1"/>
  <c r="K10" i="106"/>
  <c r="L10" i="106" s="1"/>
  <c r="K19" i="106"/>
  <c r="L19" i="106" s="1"/>
  <c r="K30" i="106"/>
  <c r="L23" i="117" s="1"/>
  <c r="K12" i="106"/>
  <c r="L12" i="106" s="1"/>
  <c r="L9" i="117"/>
  <c r="K23" i="106"/>
  <c r="L16" i="117" s="1"/>
  <c r="K18" i="106"/>
  <c r="L11" i="117" s="1"/>
  <c r="L24" i="106"/>
  <c r="K20" i="106"/>
  <c r="L20" i="106" s="1"/>
  <c r="L2" i="117"/>
  <c r="L9" i="106"/>
  <c r="L31" i="106"/>
  <c r="L24" i="117"/>
  <c r="L28" i="117"/>
  <c r="L35" i="106"/>
  <c r="L7" i="117"/>
  <c r="L14" i="106"/>
  <c r="L23" i="106"/>
  <c r="L31" i="117"/>
  <c r="L38" i="106"/>
  <c r="L20" i="117"/>
  <c r="L27" i="106"/>
  <c r="L22" i="106"/>
  <c r="L15" i="117"/>
  <c r="L14" i="117"/>
  <c r="L6" i="117"/>
  <c r="L30" i="117"/>
  <c r="H30" i="117"/>
  <c r="H16" i="117"/>
  <c r="H5" i="117"/>
  <c r="H12" i="117"/>
  <c r="R25" i="109"/>
  <c r="H19" i="117"/>
  <c r="R26" i="109"/>
  <c r="H8" i="117"/>
  <c r="H14" i="117"/>
  <c r="H6" i="117"/>
  <c r="E25" i="117"/>
  <c r="K26" i="102"/>
  <c r="L26" i="102" s="1"/>
  <c r="M26" i="102" s="1"/>
  <c r="E17" i="117"/>
  <c r="E11" i="117"/>
  <c r="E30" i="117"/>
  <c r="K33" i="102"/>
  <c r="L33" i="102" s="1"/>
  <c r="E19" i="117"/>
  <c r="K27" i="102"/>
  <c r="L27" i="102" s="1"/>
  <c r="F21" i="117" s="1"/>
  <c r="K10" i="102"/>
  <c r="L10" i="102" s="1"/>
  <c r="K21" i="102"/>
  <c r="L21" i="102" s="1"/>
  <c r="M21" i="102" s="1"/>
  <c r="K20" i="102"/>
  <c r="L20" i="102" s="1"/>
  <c r="E16" i="117"/>
  <c r="K15" i="102"/>
  <c r="L15" i="102" s="1"/>
  <c r="M15" i="102" s="1"/>
  <c r="E5" i="117"/>
  <c r="K37" i="102"/>
  <c r="L37" i="102" s="1"/>
  <c r="M37" i="102" s="1"/>
  <c r="K35" i="102"/>
  <c r="L35" i="102" s="1"/>
  <c r="M35" i="102" s="1"/>
  <c r="K28" i="102"/>
  <c r="L28" i="102" s="1"/>
  <c r="E15" i="117"/>
  <c r="K16" i="102"/>
  <c r="L16" i="102" s="1"/>
  <c r="M16" i="102" s="1"/>
  <c r="K11" i="102"/>
  <c r="L11" i="102" s="1"/>
  <c r="I39" i="102"/>
  <c r="E31" i="117"/>
  <c r="E29" i="117"/>
  <c r="K30" i="102"/>
  <c r="L30" i="102" s="1"/>
  <c r="M30" i="102" s="1"/>
  <c r="K18" i="102"/>
  <c r="L18" i="102" s="1"/>
  <c r="M18" i="102" s="1"/>
  <c r="K13" i="102"/>
  <c r="L13" i="102" s="1"/>
  <c r="M13" i="102" s="1"/>
  <c r="K8" i="102"/>
  <c r="L8" i="102" s="1"/>
  <c r="K32" i="102"/>
  <c r="L32" i="102" s="1"/>
  <c r="F26" i="117" s="1"/>
  <c r="K25" i="102"/>
  <c r="L25" i="102" s="1"/>
  <c r="E10" i="117"/>
  <c r="K36" i="102"/>
  <c r="L36" i="102" s="1"/>
  <c r="M36" i="102" s="1"/>
  <c r="K34" i="102"/>
  <c r="L34" i="102" s="1"/>
  <c r="M34" i="102" s="1"/>
  <c r="K29" i="102"/>
  <c r="L29" i="102" s="1"/>
  <c r="F23" i="117" s="1"/>
  <c r="K22" i="102"/>
  <c r="L22" i="102" s="1"/>
  <c r="K17" i="102"/>
  <c r="L17" i="102" s="1"/>
  <c r="M17" i="102" s="1"/>
  <c r="K31" i="102"/>
  <c r="L31" i="102" s="1"/>
  <c r="M31" i="102" s="1"/>
  <c r="K12" i="102"/>
  <c r="L12" i="102" s="1"/>
  <c r="M12" i="102" s="1"/>
  <c r="K24" i="102"/>
  <c r="L24" i="102" s="1"/>
  <c r="F18" i="117" s="1"/>
  <c r="E13" i="117"/>
  <c r="K14" i="102"/>
  <c r="L14" i="102" s="1"/>
  <c r="M14" i="102" s="1"/>
  <c r="K9" i="102"/>
  <c r="L9" i="102" s="1"/>
  <c r="G23" i="102"/>
  <c r="K23" i="102" s="1"/>
  <c r="L23" i="102" s="1"/>
  <c r="G19" i="102"/>
  <c r="K19" i="102" s="1"/>
  <c r="L19" i="102" s="1"/>
  <c r="M19" i="102" s="1"/>
  <c r="E4" i="117"/>
  <c r="E8" i="117"/>
  <c r="E22" i="117"/>
  <c r="F22" i="117" s="1"/>
  <c r="E9" i="117"/>
  <c r="F9" i="117" s="1"/>
  <c r="F27" i="117"/>
  <c r="M33" i="102"/>
  <c r="M22" i="102"/>
  <c r="F30" i="117"/>
  <c r="F14" i="117"/>
  <c r="M20" i="102"/>
  <c r="F3" i="117"/>
  <c r="M9" i="102"/>
  <c r="M28" i="102"/>
  <c r="M11" i="102"/>
  <c r="E20" i="117"/>
  <c r="E12" i="117"/>
  <c r="F12" i="117" s="1"/>
  <c r="E28" i="117"/>
  <c r="F28" i="117" s="1"/>
  <c r="F39" i="102"/>
  <c r="C9" i="106"/>
  <c r="D40" i="116"/>
  <c r="D10" i="106"/>
  <c r="D40" i="106" s="1"/>
  <c r="D40" i="109"/>
  <c r="C30" i="116"/>
  <c r="C30" i="106" s="1"/>
  <c r="M8" i="102" l="1"/>
  <c r="F2" i="117"/>
  <c r="F5" i="117"/>
  <c r="F4" i="117"/>
  <c r="Q38" i="109"/>
  <c r="Q10" i="109"/>
  <c r="Q31" i="109"/>
  <c r="H3" i="117"/>
  <c r="R10" i="109"/>
  <c r="R17" i="109"/>
  <c r="H10" i="117"/>
  <c r="R14" i="109"/>
  <c r="H7" i="117"/>
  <c r="R30" i="109"/>
  <c r="H23" i="117"/>
  <c r="R32" i="109"/>
  <c r="H25" i="117"/>
  <c r="R34" i="109"/>
  <c r="H27" i="117"/>
  <c r="R36" i="109"/>
  <c r="H29" i="117"/>
  <c r="H31" i="117"/>
  <c r="R38" i="109"/>
  <c r="R33" i="109"/>
  <c r="H26" i="117"/>
  <c r="R31" i="109"/>
  <c r="H24" i="117"/>
  <c r="R29" i="109"/>
  <c r="H22" i="117"/>
  <c r="R18" i="109"/>
  <c r="H11" i="117"/>
  <c r="R22" i="109"/>
  <c r="H20" i="117"/>
  <c r="M32" i="102"/>
  <c r="M10" i="102"/>
  <c r="H4" i="117"/>
  <c r="L18" i="117"/>
  <c r="F17" i="117"/>
  <c r="H9" i="117"/>
  <c r="F25" i="117"/>
  <c r="F20" i="117"/>
  <c r="H28" i="117"/>
  <c r="M29" i="102"/>
  <c r="F15" i="117"/>
  <c r="L22" i="117"/>
  <c r="L32" i="106"/>
  <c r="L4" i="117"/>
  <c r="L27" i="117"/>
  <c r="L3" i="117"/>
  <c r="L5" i="117"/>
  <c r="L30" i="106"/>
  <c r="L10" i="117"/>
  <c r="L13" i="117"/>
  <c r="L18" i="106"/>
  <c r="L12" i="117"/>
  <c r="L15" i="106"/>
  <c r="L19" i="117"/>
  <c r="F11" i="117"/>
  <c r="F16" i="117"/>
  <c r="F31" i="117"/>
  <c r="M27" i="102"/>
  <c r="F19" i="117"/>
  <c r="M24" i="102"/>
  <c r="F7" i="117"/>
  <c r="F24" i="117"/>
  <c r="F29" i="117"/>
  <c r="F8" i="117"/>
  <c r="F13" i="117"/>
  <c r="F6" i="117"/>
  <c r="K40" i="102"/>
  <c r="F10" i="117"/>
  <c r="M25" i="102"/>
  <c r="M23" i="102"/>
  <c r="L39" i="102"/>
  <c r="C40" i="116"/>
  <c r="C40" i="106"/>
  <c r="R40" i="109" l="1"/>
  <c r="M39" i="102"/>
  <c r="P39" i="102" s="1"/>
  <c r="L40" i="106"/>
  <c r="O40" i="106" s="1"/>
</calcChain>
</file>

<file path=xl/sharedStrings.xml><?xml version="1.0" encoding="utf-8"?>
<sst xmlns="http://schemas.openxmlformats.org/spreadsheetml/2006/main" count="118" uniqueCount="59">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</sst>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7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165" fontId="16" fillId="0" borderId="1" xfId="0" applyNumberFormat="1" applyFont="1" applyBorder="1"/>
    <xf numFmtId="37" fontId="16" fillId="0" borderId="1" xfId="0" applyNumberFormat="1" applyFont="1" applyBorder="1"/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" sqref="O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46" t="s">
        <v>0</v>
      </c>
      <c r="B1" s="46" t="s">
        <v>1</v>
      </c>
      <c r="C1" s="47" t="s">
        <v>2</v>
      </c>
      <c r="D1" s="46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  <c r="L1" s="50" t="s">
        <v>11</v>
      </c>
      <c r="M1" s="48" t="s">
        <v>12</v>
      </c>
      <c r="N1" s="48" t="s">
        <v>13</v>
      </c>
    </row>
    <row r="2" spans="1:14" ht="15">
      <c r="A2" s="51" t="s">
        <v>14</v>
      </c>
      <c r="B2" s="52">
        <v>1</v>
      </c>
      <c r="C2" s="53">
        <v>11</v>
      </c>
      <c r="D2" s="52">
        <v>2021</v>
      </c>
      <c r="E2" s="54">
        <f>Electricity!F8+Electricity!I8</f>
        <v>7499.9999999997162</v>
      </c>
      <c r="F2" s="55">
        <f>Electricity!L8/TOTAL!E2</f>
        <v>1231.6927333333347</v>
      </c>
      <c r="G2" s="54">
        <f>Gas!F9+Gas!I9+Gas!L9+Gas!O9</f>
        <v>58.859520000000579</v>
      </c>
      <c r="H2" s="55">
        <f>Gas!Q9/TOTAL!G2</f>
        <v>15839.999999999998</v>
      </c>
      <c r="I2" s="54">
        <f>'Fuel Diesel'!F9</f>
        <v>12</v>
      </c>
      <c r="J2" s="56">
        <f>'Fuel Diesel'!G9/'Fuel Diesel'!F9</f>
        <v>10700</v>
      </c>
      <c r="K2" s="54">
        <f>Water!E9+Water!G9+Water!I9</f>
        <v>315</v>
      </c>
      <c r="L2" s="55">
        <f>Water!K9/TOTAL!K2</f>
        <v>4000</v>
      </c>
      <c r="M2" s="54">
        <f>Electricity!C8</f>
        <v>8</v>
      </c>
      <c r="N2" s="54">
        <f>Electricity!D8</f>
        <v>31</v>
      </c>
    </row>
    <row r="3" spans="1:14" ht="15">
      <c r="A3" s="51" t="s">
        <v>14</v>
      </c>
      <c r="B3" s="52">
        <f>B2+1</f>
        <v>2</v>
      </c>
      <c r="C3" s="53">
        <v>11</v>
      </c>
      <c r="D3" s="52">
        <v>2021</v>
      </c>
      <c r="E3" s="54">
        <f>Electricity!F9+Electricity!I9</f>
        <v>7460.0000000002074</v>
      </c>
      <c r="F3" s="55">
        <f>Electricity!L9/TOTAL!E3</f>
        <v>1230.6626005361898</v>
      </c>
      <c r="G3" s="54">
        <f>Gas!F10+Gas!I10+Gas!L10+Gas!O10</f>
        <v>51.568839999998971</v>
      </c>
      <c r="H3" s="55">
        <f>Gas!Q10/TOTAL!G3</f>
        <v>15840</v>
      </c>
      <c r="I3" s="54">
        <f>'Fuel Diesel'!F10</f>
        <v>0</v>
      </c>
      <c r="J3" s="56" t="e">
        <f>'Fuel Diesel'!G10/'Fuel Diesel'!F10</f>
        <v>#DIV/0!</v>
      </c>
      <c r="K3" s="54">
        <f>Water!E10+Water!G10+Water!I10</f>
        <v>333</v>
      </c>
      <c r="L3" s="55">
        <f>Water!K10/TOTAL!K3</f>
        <v>4000</v>
      </c>
      <c r="M3" s="54">
        <f>Electricity!C9</f>
        <v>4</v>
      </c>
      <c r="N3" s="54">
        <f>Electricity!D9</f>
        <v>28</v>
      </c>
    </row>
    <row r="4" spans="1:14" ht="15">
      <c r="A4" s="51" t="s">
        <v>14</v>
      </c>
      <c r="B4" s="52">
        <f t="shared" ref="B4:B30" si="0">B3+1</f>
        <v>3</v>
      </c>
      <c r="C4" s="53">
        <v>11</v>
      </c>
      <c r="D4" s="52">
        <v>2021</v>
      </c>
      <c r="E4" s="54">
        <f>Electricity!F10+Electricity!I10</f>
        <v>7840.0000000000318</v>
      </c>
      <c r="F4" s="55">
        <f>Electricity!L10/TOTAL!E4</f>
        <v>1234.9394132653097</v>
      </c>
      <c r="G4" s="54">
        <f>Gas!F11+Gas!I11+Gas!L11+Gas!O11</f>
        <v>54.106479999999408</v>
      </c>
      <c r="H4" s="55">
        <f>Gas!Q11/TOTAL!G4</f>
        <v>15840</v>
      </c>
      <c r="I4" s="54">
        <f>'Fuel Diesel'!F11</f>
        <v>0</v>
      </c>
      <c r="J4" s="56" t="e">
        <f>'Fuel Diesel'!G11/'Fuel Diesel'!F11</f>
        <v>#DIV/0!</v>
      </c>
      <c r="K4" s="54">
        <f>Water!E11+Water!G11+Water!I11</f>
        <v>322</v>
      </c>
      <c r="L4" s="55">
        <f>Water!K11/TOTAL!K4</f>
        <v>4000</v>
      </c>
      <c r="M4" s="54">
        <f>Electricity!C10</f>
        <v>6</v>
      </c>
      <c r="N4" s="54">
        <f>Electricity!D10</f>
        <v>21</v>
      </c>
    </row>
    <row r="5" spans="1:14" ht="15">
      <c r="A5" s="51" t="s">
        <v>14</v>
      </c>
      <c r="B5" s="52">
        <f t="shared" si="0"/>
        <v>4</v>
      </c>
      <c r="C5" s="53">
        <v>11</v>
      </c>
      <c r="D5" s="52">
        <v>2021</v>
      </c>
      <c r="E5" s="54">
        <f>Electricity!F11+Electricity!I11</f>
        <v>7399.9999999997499</v>
      </c>
      <c r="F5" s="55">
        <f>Electricity!L11/TOTAL!E5</f>
        <v>1228.3268918918927</v>
      </c>
      <c r="G5" s="54">
        <f>Gas!F12+Gas!I12+Gas!L12+Gas!O12</f>
        <v>53.09947999999941</v>
      </c>
      <c r="H5" s="55">
        <f>Gas!Q12/TOTAL!G5</f>
        <v>15840</v>
      </c>
      <c r="I5" s="54">
        <f>'Fuel Diesel'!F12</f>
        <v>0</v>
      </c>
      <c r="J5" s="56" t="e">
        <f>'Fuel Diesel'!G12/'Fuel Diesel'!F12</f>
        <v>#DIV/0!</v>
      </c>
      <c r="K5" s="54">
        <f>Water!E12+Water!G12+Water!I12</f>
        <v>355</v>
      </c>
      <c r="L5" s="55">
        <f>Water!K12/TOTAL!K5</f>
        <v>4000</v>
      </c>
      <c r="M5" s="54">
        <f>Electricity!C11</f>
        <v>6</v>
      </c>
      <c r="N5" s="54">
        <f>Electricity!D11</f>
        <v>33</v>
      </c>
    </row>
    <row r="6" spans="1:14" ht="15">
      <c r="A6" s="51" t="s">
        <v>14</v>
      </c>
      <c r="B6" s="52">
        <f t="shared" si="0"/>
        <v>5</v>
      </c>
      <c r="C6" s="53">
        <v>11</v>
      </c>
      <c r="D6" s="52">
        <v>2021</v>
      </c>
      <c r="E6" s="54">
        <f>Electricity!F12+Electricity!I12</f>
        <v>7560.0000000001728</v>
      </c>
      <c r="F6" s="55">
        <f>Electricity!L12/TOTAL!E6</f>
        <v>1230.9574735449737</v>
      </c>
      <c r="G6" s="54">
        <f>Gas!F13+Gas!I13+Gas!L13+Gas!O13</f>
        <v>53.341160000001018</v>
      </c>
      <c r="H6" s="55">
        <f>Gas!Q13/TOTAL!G6</f>
        <v>15840</v>
      </c>
      <c r="I6" s="54">
        <f>'Fuel Diesel'!F13</f>
        <v>0</v>
      </c>
      <c r="J6" s="56" t="e">
        <f>'Fuel Diesel'!G13/'Fuel Diesel'!F13</f>
        <v>#DIV/0!</v>
      </c>
      <c r="K6" s="54">
        <f>Water!E13+Water!G13+Water!I13</f>
        <v>377</v>
      </c>
      <c r="L6" s="55">
        <f>Water!K13/TOTAL!K6</f>
        <v>4000</v>
      </c>
      <c r="M6" s="54">
        <f>Electricity!C12</f>
        <v>3</v>
      </c>
      <c r="N6" s="54">
        <f>Electricity!D12</f>
        <v>19</v>
      </c>
    </row>
    <row r="7" spans="1:14" ht="15">
      <c r="A7" s="51" t="s">
        <v>14</v>
      </c>
      <c r="B7" s="52">
        <f t="shared" si="0"/>
        <v>6</v>
      </c>
      <c r="C7" s="53">
        <v>11</v>
      </c>
      <c r="D7" s="52">
        <v>2021</v>
      </c>
      <c r="E7" s="54">
        <f>Electricity!F13+Electricity!I13</f>
        <v>7399.9999999998072</v>
      </c>
      <c r="F7" s="55">
        <f>Electricity!L13/TOTAL!E7</f>
        <v>1232.9446621621623</v>
      </c>
      <c r="G7" s="54">
        <f>Gas!F14+Gas!I14+Gas!L14+Gas!O14</f>
        <v>52.374440000001904</v>
      </c>
      <c r="H7" s="55">
        <f>Gas!Q14/TOTAL!G7</f>
        <v>15840</v>
      </c>
      <c r="I7" s="54">
        <f>'Fuel Diesel'!F14</f>
        <v>0</v>
      </c>
      <c r="J7" s="56" t="e">
        <f>'Fuel Diesel'!G14/'Fuel Diesel'!F14</f>
        <v>#DIV/0!</v>
      </c>
      <c r="K7" s="54">
        <f>Water!E14+Water!G14+Water!I14</f>
        <v>376</v>
      </c>
      <c r="L7" s="55">
        <f>Water!K14/TOTAL!K7</f>
        <v>4000</v>
      </c>
      <c r="M7" s="54">
        <f>Electricity!C13</f>
        <v>3</v>
      </c>
      <c r="N7" s="54">
        <f>Electricity!D13</f>
        <v>25</v>
      </c>
    </row>
    <row r="8" spans="1:14" ht="15">
      <c r="A8" s="51" t="s">
        <v>14</v>
      </c>
      <c r="B8" s="52">
        <f t="shared" si="0"/>
        <v>7</v>
      </c>
      <c r="C8" s="53">
        <v>11</v>
      </c>
      <c r="D8" s="52">
        <v>2021</v>
      </c>
      <c r="E8" s="54">
        <f>Electricity!F14+Electricity!I14</f>
        <v>7360.0000000002983</v>
      </c>
      <c r="F8" s="55">
        <f>Electricity!L14/TOTAL!E8</f>
        <v>1230.35971467391</v>
      </c>
      <c r="G8" s="54">
        <f>Gas!F15+Gas!I15+Gas!L15+Gas!O15</f>
        <v>62.162479999999405</v>
      </c>
      <c r="H8" s="55">
        <f>Gas!Q15/TOTAL!G8</f>
        <v>15840</v>
      </c>
      <c r="I8" s="54">
        <f>'Fuel Diesel'!F15</f>
        <v>0</v>
      </c>
      <c r="J8" s="56" t="e">
        <f>'Fuel Diesel'!G15/'Fuel Diesel'!F15</f>
        <v>#DIV/0!</v>
      </c>
      <c r="K8" s="54">
        <f>Water!E15+Water!G15+Water!I15</f>
        <v>293</v>
      </c>
      <c r="L8" s="55">
        <f>Water!K15/TOTAL!K8</f>
        <v>4000</v>
      </c>
      <c r="M8" s="54">
        <f>Electricity!C14</f>
        <v>4</v>
      </c>
      <c r="N8" s="54">
        <f>Electricity!D14</f>
        <v>27</v>
      </c>
    </row>
    <row r="9" spans="1:14" ht="15">
      <c r="A9" s="51" t="s">
        <v>14</v>
      </c>
      <c r="B9" s="52">
        <f t="shared" si="0"/>
        <v>8</v>
      </c>
      <c r="C9" s="53">
        <v>11</v>
      </c>
      <c r="D9" s="52">
        <v>2021</v>
      </c>
      <c r="E9" s="54">
        <f>Electricity!F15+Electricity!I15</f>
        <v>6939.9999999997135</v>
      </c>
      <c r="F9" s="55">
        <f>Electricity!L15/TOTAL!E9</f>
        <v>1232.6030979827117</v>
      </c>
      <c r="G9" s="54">
        <f>Gas!F16+Gas!I16+Gas!L16+Gas!O16</f>
        <v>60.67211999999985</v>
      </c>
      <c r="H9" s="55">
        <f>Gas!Q16/TOTAL!G9</f>
        <v>15840</v>
      </c>
      <c r="I9" s="54">
        <f>'Fuel Diesel'!F16</f>
        <v>0</v>
      </c>
      <c r="J9" s="56" t="e">
        <f>'Fuel Diesel'!G16/'Fuel Diesel'!F16</f>
        <v>#DIV/0!</v>
      </c>
      <c r="K9" s="54">
        <f>Water!E16+Water!G16+Water!I16</f>
        <v>277</v>
      </c>
      <c r="L9" s="55">
        <f>Water!K16/TOTAL!K9</f>
        <v>4000</v>
      </c>
      <c r="M9" s="54">
        <f>Electricity!C15</f>
        <v>5</v>
      </c>
      <c r="N9" s="54">
        <f>Electricity!D15</f>
        <v>21</v>
      </c>
    </row>
    <row r="10" spans="1:14" ht="15">
      <c r="A10" s="51" t="s">
        <v>14</v>
      </c>
      <c r="B10" s="52">
        <f t="shared" si="0"/>
        <v>9</v>
      </c>
      <c r="C10" s="53">
        <v>11</v>
      </c>
      <c r="D10" s="52">
        <v>2021</v>
      </c>
      <c r="E10" s="54">
        <f>Electricity!F16+Electricity!I16</f>
        <v>7080.0000000000982</v>
      </c>
      <c r="F10" s="55">
        <f>Electricity!L16/TOTAL!E10</f>
        <v>1232.3620056497184</v>
      </c>
      <c r="G10" s="54">
        <f>Gas!F17+Gas!I17+Gas!L17+Gas!O17</f>
        <v>61.759679999997942</v>
      </c>
      <c r="H10" s="55">
        <f>Gas!Q17/TOTAL!G10</f>
        <v>15840</v>
      </c>
      <c r="I10" s="54">
        <f>'Fuel Diesel'!F17</f>
        <v>15</v>
      </c>
      <c r="J10" s="56">
        <f>'Fuel Diesel'!G17/'Fuel Diesel'!F17</f>
        <v>10700</v>
      </c>
      <c r="K10" s="54">
        <f>Water!E17+Water!G17+Water!I17</f>
        <v>317</v>
      </c>
      <c r="L10" s="55">
        <f>Water!K17/TOTAL!K10</f>
        <v>4000</v>
      </c>
      <c r="M10" s="54">
        <f>Electricity!C16</f>
        <v>5</v>
      </c>
      <c r="N10" s="54">
        <f>Electricity!D16</f>
        <v>45</v>
      </c>
    </row>
    <row r="11" spans="1:14" ht="15">
      <c r="A11" s="51" t="s">
        <v>14</v>
      </c>
      <c r="B11" s="52">
        <f t="shared" si="0"/>
        <v>10</v>
      </c>
      <c r="C11" s="53">
        <v>11</v>
      </c>
      <c r="D11" s="52">
        <v>2021</v>
      </c>
      <c r="E11" s="54">
        <f>Electricity!F17+Electricity!I17</f>
        <v>7400.0000000002619</v>
      </c>
      <c r="F11" s="55">
        <f>Electricity!L17/TOTAL!E11</f>
        <v>1232.9446621621569</v>
      </c>
      <c r="G11" s="54">
        <f>Gas!F18+Gas!I18+Gas!L18+Gas!O18</f>
        <v>56.281600000002925</v>
      </c>
      <c r="H11" s="55">
        <f>Gas!Q18/TOTAL!G11</f>
        <v>15840</v>
      </c>
      <c r="I11" s="54">
        <f>'Fuel Diesel'!F18</f>
        <v>0</v>
      </c>
      <c r="J11" s="56" t="e">
        <f>'Fuel Diesel'!G18/'Fuel Diesel'!F18</f>
        <v>#DIV/0!</v>
      </c>
      <c r="K11" s="54">
        <f>Water!E18+Water!G18+Water!I18</f>
        <v>311</v>
      </c>
      <c r="L11" s="55">
        <f>Water!K18/TOTAL!K11</f>
        <v>4000</v>
      </c>
      <c r="M11" s="54">
        <f>Electricity!C17</f>
        <v>5</v>
      </c>
      <c r="N11" s="54">
        <f>Electricity!D17</f>
        <v>28</v>
      </c>
    </row>
    <row r="12" spans="1:14" ht="15">
      <c r="A12" s="51" t="s">
        <v>14</v>
      </c>
      <c r="B12" s="52">
        <f t="shared" si="0"/>
        <v>11</v>
      </c>
      <c r="C12" s="53">
        <v>11</v>
      </c>
      <c r="D12" s="52">
        <v>2021</v>
      </c>
      <c r="E12" s="54">
        <f>Electricity!F18+Electricity!I18</f>
        <v>7339.9999999999181</v>
      </c>
      <c r="F12" s="55">
        <f>Electricity!L18/TOTAL!E12</f>
        <v>1235.2640326975495</v>
      </c>
      <c r="G12" s="54">
        <f>Gas!F19+Gas!I19+Gas!L19+Gas!O19</f>
        <v>58.658119999999847</v>
      </c>
      <c r="H12" s="55">
        <f>Gas!Q19/TOTAL!G12</f>
        <v>15840</v>
      </c>
      <c r="I12" s="54">
        <f>'Fuel Diesel'!F19</f>
        <v>0</v>
      </c>
      <c r="J12" s="56" t="e">
        <f>'Fuel Diesel'!G19/'Fuel Diesel'!F19</f>
        <v>#DIV/0!</v>
      </c>
      <c r="K12" s="54">
        <f>Water!E19+Water!G19+Water!I19</f>
        <v>312</v>
      </c>
      <c r="L12" s="55">
        <f>Water!K19/TOTAL!K12</f>
        <v>4000</v>
      </c>
      <c r="M12" s="54">
        <f>Electricity!C18</f>
        <v>10</v>
      </c>
      <c r="N12" s="54">
        <f>Electricity!D18</f>
        <v>51</v>
      </c>
    </row>
    <row r="13" spans="1:14" ht="15">
      <c r="A13" s="51" t="s">
        <v>14</v>
      </c>
      <c r="B13" s="52">
        <f t="shared" si="0"/>
        <v>12</v>
      </c>
      <c r="C13" s="53">
        <v>11</v>
      </c>
      <c r="D13" s="52">
        <v>2021</v>
      </c>
      <c r="E13" s="54">
        <f>Electricity!F19+Electricity!I19</f>
        <v>7519.9999999997544</v>
      </c>
      <c r="F13" s="55">
        <f>Electricity!L19/TOTAL!E13</f>
        <v>1232.9610372340464</v>
      </c>
      <c r="G13" s="54">
        <f>Gas!F20+Gas!I20+Gas!L20+Gas!O20</f>
        <v>60.833239999999705</v>
      </c>
      <c r="H13" s="55">
        <f>Gas!Q20/TOTAL!G13</f>
        <v>15840</v>
      </c>
      <c r="I13" s="54">
        <f>'Fuel Diesel'!F20</f>
        <v>0</v>
      </c>
      <c r="J13" s="56" t="e">
        <f>'Fuel Diesel'!G20/'Fuel Diesel'!F20</f>
        <v>#DIV/0!</v>
      </c>
      <c r="K13" s="54">
        <f>Water!E20+Water!G20+Water!I20</f>
        <v>309</v>
      </c>
      <c r="L13" s="55">
        <f>Water!K20/TOTAL!K13</f>
        <v>4000</v>
      </c>
      <c r="M13" s="54">
        <f>Electricity!C19</f>
        <v>8</v>
      </c>
      <c r="N13" s="54">
        <f>Electricity!D19</f>
        <v>49</v>
      </c>
    </row>
    <row r="14" spans="1:14" ht="15">
      <c r="A14" s="51" t="s">
        <v>14</v>
      </c>
      <c r="B14" s="52">
        <f t="shared" si="0"/>
        <v>13</v>
      </c>
      <c r="C14" s="53">
        <v>11</v>
      </c>
      <c r="D14" s="52">
        <v>2021</v>
      </c>
      <c r="E14" s="54">
        <f>Electricity!F20+Electricity!I20</f>
        <v>7420.0000000003001</v>
      </c>
      <c r="F14" s="55">
        <f>Electricity!L20/TOTAL!E14</f>
        <v>1234.2266846361156</v>
      </c>
      <c r="G14" s="54">
        <f>Gas!F21+Gas!I21+Gas!L21+Gas!O21</f>
        <v>60.67211999999985</v>
      </c>
      <c r="H14" s="55">
        <f>Gas!Q21/TOTAL!G14</f>
        <v>15840</v>
      </c>
      <c r="I14" s="54">
        <f>'Fuel Diesel'!F21</f>
        <v>0</v>
      </c>
      <c r="J14" s="56" t="e">
        <f>'Fuel Diesel'!G21/'Fuel Diesel'!F21</f>
        <v>#DIV/0!</v>
      </c>
      <c r="K14" s="54">
        <f>Water!E21+Water!G21+Water!I21</f>
        <v>315</v>
      </c>
      <c r="L14" s="55">
        <f>Water!K21/TOTAL!K14</f>
        <v>4000</v>
      </c>
      <c r="M14" s="54">
        <f>Electricity!C20</f>
        <v>10</v>
      </c>
      <c r="N14" s="54">
        <f>Electricity!D20</f>
        <v>37</v>
      </c>
    </row>
    <row r="15" spans="1:14" ht="15">
      <c r="A15" s="51" t="s">
        <v>14</v>
      </c>
      <c r="B15" s="52">
        <f t="shared" si="0"/>
        <v>14</v>
      </c>
      <c r="C15" s="53">
        <v>11</v>
      </c>
      <c r="D15" s="52">
        <v>2021</v>
      </c>
      <c r="E15" s="54">
        <f>Electricity!F21+Electricity!I21</f>
        <v>7179.99999999995</v>
      </c>
      <c r="F15" s="55">
        <f>Electricity!L21/TOTAL!E15</f>
        <v>1231.0623955431736</v>
      </c>
      <c r="G15" s="54">
        <f>Gas!F22+Gas!I22+Gas!L22+Gas!O22</f>
        <v>50.279880000000141</v>
      </c>
      <c r="H15" s="55">
        <f>Gas!Q22/TOTAL!G15</f>
        <v>15840</v>
      </c>
      <c r="I15" s="54">
        <f>'Fuel Diesel'!F22</f>
        <v>0</v>
      </c>
      <c r="J15" s="56" t="e">
        <f>'Fuel Diesel'!G22/'Fuel Diesel'!F22</f>
        <v>#DIV/0!</v>
      </c>
      <c r="K15" s="54">
        <f>Water!E22+Water!G22+Water!I22</f>
        <v>311</v>
      </c>
      <c r="L15" s="55">
        <f>Water!K22/TOTAL!K15</f>
        <v>4000</v>
      </c>
      <c r="M15" s="54">
        <f>Electricity!C21</f>
        <v>7</v>
      </c>
      <c r="N15" s="54">
        <f>Electricity!D21</f>
        <v>45</v>
      </c>
    </row>
    <row r="16" spans="1:14" ht="15">
      <c r="A16" s="51" t="s">
        <v>14</v>
      </c>
      <c r="B16" s="52">
        <f t="shared" si="0"/>
        <v>15</v>
      </c>
      <c r="C16" s="53">
        <v>11</v>
      </c>
      <c r="D16" s="52">
        <v>2021</v>
      </c>
      <c r="E16" s="54">
        <f>Electricity!F22+Electricity!I22</f>
        <v>6679.9999999998927</v>
      </c>
      <c r="F16" s="55">
        <f>Electricity!L22/TOTAL!E16</f>
        <v>1229.423727544912</v>
      </c>
      <c r="G16" s="54">
        <f>Gas!F23+Gas!I23+Gas!L23+Gas!O23</f>
        <v>46.8157999999978</v>
      </c>
      <c r="H16" s="55">
        <f>Gas!Q23/TOTAL!G16</f>
        <v>15839.999999999998</v>
      </c>
      <c r="I16" s="54">
        <f>'Fuel Diesel'!F23</f>
        <v>11</v>
      </c>
      <c r="J16" s="56">
        <f>'Fuel Diesel'!G23/'Fuel Diesel'!F23</f>
        <v>10700</v>
      </c>
      <c r="K16" s="54">
        <f>Water!E23+Water!G23+Water!I23</f>
        <v>289</v>
      </c>
      <c r="L16" s="55">
        <f>Water!K23/TOTAL!K16</f>
        <v>4000</v>
      </c>
      <c r="M16" s="54">
        <f>Electricity!C22</f>
        <v>5</v>
      </c>
      <c r="N16" s="54">
        <f>Electricity!D22</f>
        <v>32</v>
      </c>
    </row>
    <row r="17" spans="1:14" ht="15">
      <c r="A17" s="51" t="s">
        <v>14</v>
      </c>
      <c r="B17" s="52">
        <f t="shared" si="0"/>
        <v>16</v>
      </c>
      <c r="C17" s="53">
        <v>11</v>
      </c>
      <c r="D17" s="52">
        <v>2021</v>
      </c>
      <c r="E17" s="54">
        <f>Electricity!F23+Electricity!I23</f>
        <v>6580.0000000000409</v>
      </c>
      <c r="F17" s="55">
        <f>Electricity!L23/TOTAL!E17</f>
        <v>1234.2593465045609</v>
      </c>
      <c r="G17" s="54">
        <f>Gas!F24+Gas!I24+Gas!L24+Gas!O24</f>
        <v>51.89108000000234</v>
      </c>
      <c r="H17" s="55">
        <f>Gas!Q24/TOTAL!G17</f>
        <v>15840</v>
      </c>
      <c r="I17" s="54">
        <f>'Fuel Diesel'!F24</f>
        <v>0</v>
      </c>
      <c r="J17" s="56" t="e">
        <f>'Fuel Diesel'!G24/'Fuel Diesel'!F24</f>
        <v>#DIV/0!</v>
      </c>
      <c r="K17" s="54">
        <f>Water!E24+Water!G24+Water!I24</f>
        <v>312</v>
      </c>
      <c r="L17" s="55">
        <f>Water!K24/TOTAL!K17</f>
        <v>4000</v>
      </c>
      <c r="M17" s="54">
        <f>Electricity!C23</f>
        <v>5</v>
      </c>
      <c r="N17" s="54">
        <f>Electricity!D23</f>
        <v>17</v>
      </c>
    </row>
    <row r="18" spans="1:14" ht="15">
      <c r="A18" s="51" t="s">
        <v>14</v>
      </c>
      <c r="B18" s="52">
        <f t="shared" si="0"/>
        <v>17</v>
      </c>
      <c r="C18" s="53">
        <v>11</v>
      </c>
      <c r="D18" s="52">
        <v>2021</v>
      </c>
      <c r="E18" s="54">
        <f>Electricity!F24+Electricity!I24</f>
        <v>7439.9999999998272</v>
      </c>
      <c r="F18" s="55">
        <f>Electricity!L24/TOTAL!E18</f>
        <v>1237.0327956989249</v>
      </c>
      <c r="G18" s="54">
        <f>Gas!F25+Gas!I25+Gas!L25+Gas!O25</f>
        <v>48.668679999997941</v>
      </c>
      <c r="H18" s="55">
        <f>Gas!Q25/TOTAL!G18</f>
        <v>15840</v>
      </c>
      <c r="I18" s="54">
        <f>'Fuel Diesel'!F25</f>
        <v>0</v>
      </c>
      <c r="J18" s="56" t="e">
        <f>'Fuel Diesel'!G25/'Fuel Diesel'!F25</f>
        <v>#DIV/0!</v>
      </c>
      <c r="K18" s="54">
        <f>Water!E25+Water!G25+Water!I25</f>
        <v>341</v>
      </c>
      <c r="L18" s="55">
        <f>Water!K25/TOTAL!K18</f>
        <v>4000</v>
      </c>
      <c r="M18" s="54">
        <f>Electricity!C24</f>
        <v>8</v>
      </c>
      <c r="N18" s="54">
        <f>Electricity!D24</f>
        <v>22</v>
      </c>
    </row>
    <row r="19" spans="1:14" ht="15">
      <c r="A19" s="51" t="s">
        <v>14</v>
      </c>
      <c r="B19" s="52">
        <f t="shared" si="0"/>
        <v>18</v>
      </c>
      <c r="C19" s="53">
        <v>11</v>
      </c>
      <c r="D19" s="52">
        <v>2021</v>
      </c>
      <c r="E19" s="54">
        <f>Electricity!F25+Electricity!I25</f>
        <v>7700.0000000001019</v>
      </c>
      <c r="F19" s="55">
        <f>Electricity!L25/TOTAL!E19</f>
        <v>1235.203571428571</v>
      </c>
      <c r="G19" s="54">
        <f>Gas!F26+Gas!I26+Gas!L26+Gas!O26</f>
        <v>56.080200000002193</v>
      </c>
      <c r="H19" s="55">
        <f>Gas!Q26/TOTAL!G19</f>
        <v>15840</v>
      </c>
      <c r="I19" s="54">
        <f>'Fuel Diesel'!F26</f>
        <v>0</v>
      </c>
      <c r="J19" s="56" t="e">
        <f>'Fuel Diesel'!G26/'Fuel Diesel'!F26</f>
        <v>#DIV/0!</v>
      </c>
      <c r="K19" s="54">
        <f>Water!E26+Water!G26+Water!I26</f>
        <v>371</v>
      </c>
      <c r="L19" s="55">
        <f>Water!K26/TOTAL!K19</f>
        <v>4000</v>
      </c>
      <c r="M19" s="54">
        <f>Electricity!C25</f>
        <v>9</v>
      </c>
      <c r="N19" s="54">
        <f>Electricity!D25</f>
        <v>21</v>
      </c>
    </row>
    <row r="20" spans="1:14" ht="15">
      <c r="A20" s="51" t="s">
        <v>14</v>
      </c>
      <c r="B20" s="52">
        <f t="shared" si="0"/>
        <v>19</v>
      </c>
      <c r="C20" s="53">
        <v>11</v>
      </c>
      <c r="D20" s="52">
        <v>2021</v>
      </c>
      <c r="E20" s="54">
        <f>Electricity!F26+Electricity!I26</f>
        <v>7259.9999999999345</v>
      </c>
      <c r="F20" s="55">
        <f>Electricity!L26/TOTAL!E20</f>
        <v>1230.0484848484878</v>
      </c>
      <c r="G20" s="54">
        <f>Gas!F27+Gas!I27+Gas!L27+Gas!O27</f>
        <v>59.665119999999845</v>
      </c>
      <c r="H20" s="55">
        <f>Gas!Q27/TOTAL!G20</f>
        <v>15839.999999999998</v>
      </c>
      <c r="I20" s="54">
        <f>'Fuel Diesel'!F27</f>
        <v>0</v>
      </c>
      <c r="J20" s="56" t="e">
        <f>'Fuel Diesel'!G27/'Fuel Diesel'!F27</f>
        <v>#DIV/0!</v>
      </c>
      <c r="K20" s="54">
        <f>Water!E27+Water!G27+Water!I27</f>
        <v>377</v>
      </c>
      <c r="L20" s="55">
        <f>Water!K27/TOTAL!K20</f>
        <v>4000</v>
      </c>
      <c r="M20" s="54">
        <f>Electricity!C26</f>
        <v>6</v>
      </c>
      <c r="N20" s="54">
        <f>Electricity!D26</f>
        <v>30</v>
      </c>
    </row>
    <row r="21" spans="1:14" ht="15">
      <c r="A21" s="51" t="s">
        <v>14</v>
      </c>
      <c r="B21" s="52">
        <f t="shared" si="0"/>
        <v>20</v>
      </c>
      <c r="C21" s="53">
        <v>11</v>
      </c>
      <c r="D21" s="52">
        <v>2021</v>
      </c>
      <c r="E21" s="54">
        <f>Electricity!F27+Electricity!I27</f>
        <v>7060.0000000001164</v>
      </c>
      <c r="F21" s="55">
        <f>Electricity!L27/TOTAL!E21</f>
        <v>1235.8531161473063</v>
      </c>
      <c r="G21" s="54">
        <f>Gas!F28+Gas!I28+Gas!L28+Gas!O28</f>
        <v>52.777239999999701</v>
      </c>
      <c r="H21" s="55">
        <f>Gas!Q28/TOTAL!G21</f>
        <v>15839.999999999998</v>
      </c>
      <c r="I21" s="54">
        <f>'Fuel Diesel'!F28</f>
        <v>0</v>
      </c>
      <c r="J21" s="56" t="e">
        <f>'Fuel Diesel'!G28/'Fuel Diesel'!F28</f>
        <v>#DIV/0!</v>
      </c>
      <c r="K21" s="54">
        <f>Water!E28+Water!G28+Water!I28</f>
        <v>330</v>
      </c>
      <c r="L21" s="55">
        <f>Water!K28/TOTAL!K21</f>
        <v>4000</v>
      </c>
      <c r="M21" s="54">
        <f>Electricity!C27</f>
        <v>8</v>
      </c>
      <c r="N21" s="54">
        <f>Electricity!D27</f>
        <v>28</v>
      </c>
    </row>
    <row r="22" spans="1:14" ht="15">
      <c r="A22" s="51" t="s">
        <v>14</v>
      </c>
      <c r="B22" s="52">
        <f t="shared" si="0"/>
        <v>21</v>
      </c>
      <c r="C22" s="53">
        <v>11</v>
      </c>
      <c r="D22" s="52">
        <v>2021</v>
      </c>
      <c r="E22" s="54">
        <f>Electricity!F28+Electricity!I28</f>
        <v>7439.9999999998836</v>
      </c>
      <c r="F22" s="55">
        <f>Electricity!L28/TOTAL!E22</f>
        <v>1237.0327956989286</v>
      </c>
      <c r="G22" s="54">
        <f>Gas!F29+Gas!I29+Gas!L29+Gas!O29</f>
        <v>60.752679999997945</v>
      </c>
      <c r="H22" s="55">
        <f>Gas!Q29/TOTAL!G22</f>
        <v>15840</v>
      </c>
      <c r="I22" s="54">
        <f>'Fuel Diesel'!F29</f>
        <v>0</v>
      </c>
      <c r="J22" s="56" t="e">
        <f>'Fuel Diesel'!G29/'Fuel Diesel'!F29</f>
        <v>#DIV/0!</v>
      </c>
      <c r="K22" s="54">
        <f>Water!E29+Water!G29+Water!I29</f>
        <v>364</v>
      </c>
      <c r="L22" s="55">
        <f>Water!K29/TOTAL!K22</f>
        <v>4000</v>
      </c>
      <c r="M22" s="54">
        <f>Electricity!C28</f>
        <v>12</v>
      </c>
      <c r="N22" s="54">
        <f>Electricity!D28</f>
        <v>55</v>
      </c>
    </row>
    <row r="23" spans="1:14" ht="15">
      <c r="A23" s="51" t="s">
        <v>14</v>
      </c>
      <c r="B23" s="52">
        <f t="shared" si="0"/>
        <v>22</v>
      </c>
      <c r="C23" s="53">
        <v>11</v>
      </c>
      <c r="D23" s="52">
        <v>2021</v>
      </c>
      <c r="E23" s="54">
        <f>Electricity!F29+Electricity!I29</f>
        <v>7700.0000000000455</v>
      </c>
      <c r="F23" s="55">
        <f>Electricity!L29/TOTAL!E23</f>
        <v>1232.244999999999</v>
      </c>
      <c r="G23" s="54">
        <f>Gas!F30+Gas!I30+Gas!L30+Gas!O30</f>
        <v>54.106479999999408</v>
      </c>
      <c r="H23" s="55">
        <f>Gas!Q30/TOTAL!G23</f>
        <v>15840</v>
      </c>
      <c r="I23" s="54">
        <f>'Fuel Diesel'!F30</f>
        <v>0</v>
      </c>
      <c r="J23" s="56" t="e">
        <f>'Fuel Diesel'!G30/'Fuel Diesel'!F30</f>
        <v>#DIV/0!</v>
      </c>
      <c r="K23" s="54">
        <f>Water!E30+Water!G30+Water!I30</f>
        <v>395</v>
      </c>
      <c r="L23" s="55">
        <f>Water!K30/TOTAL!K23</f>
        <v>4000</v>
      </c>
      <c r="M23" s="54">
        <f>Electricity!C29</f>
        <v>5</v>
      </c>
      <c r="N23" s="54">
        <f>Electricity!D29</f>
        <v>64</v>
      </c>
    </row>
    <row r="24" spans="1:14" ht="15">
      <c r="A24" s="51" t="s">
        <v>14</v>
      </c>
      <c r="B24" s="52">
        <f t="shared" si="0"/>
        <v>23</v>
      </c>
      <c r="C24" s="53">
        <v>11</v>
      </c>
      <c r="D24" s="52">
        <v>2021</v>
      </c>
      <c r="E24" s="54">
        <f>Electricity!F30+Electricity!I30</f>
        <v>7560.0000000001728</v>
      </c>
      <c r="F24" s="55">
        <f>Electricity!L30/TOTAL!E24</f>
        <v>1236.9841931216877</v>
      </c>
      <c r="G24" s="54">
        <f>Gas!F31+Gas!I31+Gas!L31+Gas!O31</f>
        <v>51.206320000002044</v>
      </c>
      <c r="H24" s="55">
        <f>Gas!Q31/TOTAL!G24</f>
        <v>15840</v>
      </c>
      <c r="I24" s="54">
        <f>'Fuel Diesel'!F31</f>
        <v>0</v>
      </c>
      <c r="J24" s="56" t="e">
        <f>'Fuel Diesel'!G31/'Fuel Diesel'!F31</f>
        <v>#DIV/0!</v>
      </c>
      <c r="K24" s="54">
        <f>Water!E31+Water!G31+Water!I31</f>
        <v>399</v>
      </c>
      <c r="L24" s="55">
        <f>Water!K31/TOTAL!K24</f>
        <v>4000</v>
      </c>
      <c r="M24" s="54">
        <f>Electricity!C30</f>
        <v>11</v>
      </c>
      <c r="N24" s="54">
        <f>Electricity!D30</f>
        <v>29</v>
      </c>
    </row>
    <row r="25" spans="1:14" ht="15">
      <c r="A25" s="51" t="s">
        <v>14</v>
      </c>
      <c r="B25" s="52">
        <f t="shared" si="0"/>
        <v>24</v>
      </c>
      <c r="C25" s="53">
        <v>11</v>
      </c>
      <c r="D25" s="52">
        <v>2021</v>
      </c>
      <c r="E25" s="54">
        <f>Electricity!F31+Electricity!I31</f>
        <v>7819.9999999999363</v>
      </c>
      <c r="F25" s="55">
        <f>Electricity!L31/TOTAL!E25</f>
        <v>1229.3583120204619</v>
      </c>
      <c r="G25" s="54">
        <f>Gas!F32+Gas!I32+Gas!L32+Gas!O32</f>
        <v>59.262319999998383</v>
      </c>
      <c r="H25" s="55">
        <f>Gas!Q32/TOTAL!G25</f>
        <v>15840</v>
      </c>
      <c r="I25" s="54">
        <f>'Fuel Diesel'!F32</f>
        <v>12</v>
      </c>
      <c r="J25" s="56">
        <f>'Fuel Diesel'!G32/'Fuel Diesel'!F32</f>
        <v>10700</v>
      </c>
      <c r="K25" s="54">
        <f>Water!E32+Water!G32+Water!I32</f>
        <v>410</v>
      </c>
      <c r="L25" s="55">
        <f>Water!K32/TOTAL!K25</f>
        <v>4000</v>
      </c>
      <c r="M25" s="54">
        <f>Electricity!C31</f>
        <v>13</v>
      </c>
      <c r="N25" s="54">
        <f>Electricity!D31</f>
        <v>42</v>
      </c>
    </row>
    <row r="26" spans="1:14" ht="15">
      <c r="A26" s="51" t="s">
        <v>14</v>
      </c>
      <c r="B26" s="52">
        <f>B25+1</f>
        <v>25</v>
      </c>
      <c r="C26" s="53">
        <v>11</v>
      </c>
      <c r="D26" s="52">
        <v>2021</v>
      </c>
      <c r="E26" s="54">
        <f>Electricity!F32+Electricity!I32</f>
        <v>7140.0000000001</v>
      </c>
      <c r="F26" s="55">
        <f>Electricity!L32/TOTAL!E26</f>
        <v>1234.7684873949604</v>
      </c>
      <c r="G26" s="54">
        <f>Gas!F33+Gas!I33+Gas!L33+Gas!O33</f>
        <v>63.773680000001605</v>
      </c>
      <c r="H26" s="55">
        <f>Gas!Q33/TOTAL!G26</f>
        <v>15840</v>
      </c>
      <c r="I26" s="54">
        <f>'Fuel Diesel'!F33</f>
        <v>0</v>
      </c>
      <c r="J26" s="56" t="e">
        <f>'Fuel Diesel'!G33/'Fuel Diesel'!F33</f>
        <v>#DIV/0!</v>
      </c>
      <c r="K26" s="54">
        <f>Water!E33+Water!G33+Water!I33</f>
        <v>410</v>
      </c>
      <c r="L26" s="55">
        <f>Water!K33/TOTAL!K26</f>
        <v>4000</v>
      </c>
      <c r="M26" s="54">
        <f>Electricity!C32</f>
        <v>4</v>
      </c>
      <c r="N26" s="54">
        <f>Electricity!D32</f>
        <v>47</v>
      </c>
    </row>
    <row r="27" spans="1:14" ht="15">
      <c r="A27" s="51" t="s">
        <v>14</v>
      </c>
      <c r="B27" s="52">
        <f t="shared" si="0"/>
        <v>26</v>
      </c>
      <c r="C27" s="53">
        <v>11</v>
      </c>
      <c r="D27" s="52">
        <v>2021</v>
      </c>
      <c r="E27" s="54">
        <f>Electricity!F33+Electricity!I33</f>
        <v>7459.999999999809</v>
      </c>
      <c r="F27" s="55">
        <f>Electricity!L33/TOTAL!E27</f>
        <v>1233.7163538874029</v>
      </c>
      <c r="G27" s="54">
        <f>Gas!F34+Gas!I34+Gas!L34+Gas!O34</f>
        <v>50.400719999999119</v>
      </c>
      <c r="H27" s="55">
        <f>Gas!Q34/TOTAL!G27</f>
        <v>15840</v>
      </c>
      <c r="I27" s="54">
        <f>'Fuel Diesel'!F34</f>
        <v>0</v>
      </c>
      <c r="J27" s="56" t="e">
        <f>'Fuel Diesel'!G34/'Fuel Diesel'!F34</f>
        <v>#DIV/0!</v>
      </c>
      <c r="K27" s="54">
        <f>Water!E34+Water!G34+Water!I34</f>
        <v>413</v>
      </c>
      <c r="L27" s="55">
        <f>Water!K34/TOTAL!K27</f>
        <v>4000</v>
      </c>
      <c r="M27" s="54">
        <f>Electricity!C33</f>
        <v>10</v>
      </c>
      <c r="N27" s="54">
        <f>Electricity!D33</f>
        <v>16</v>
      </c>
    </row>
    <row r="28" spans="1:14" ht="15">
      <c r="A28" s="51" t="s">
        <v>14</v>
      </c>
      <c r="B28" s="52">
        <f t="shared" si="0"/>
        <v>27</v>
      </c>
      <c r="C28" s="53">
        <v>11</v>
      </c>
      <c r="D28" s="52">
        <v>2021</v>
      </c>
      <c r="E28" s="54">
        <f>Electricity!F34+Electricity!I34</f>
        <v>7000.0000000001137</v>
      </c>
      <c r="F28" s="55">
        <f>Electricity!L34/TOTAL!E28</f>
        <v>1231.8012142857119</v>
      </c>
      <c r="G28" s="54">
        <f>Gas!F35+Gas!I35+Gas!L35+Gas!O35</f>
        <v>56.321880000000142</v>
      </c>
      <c r="H28" s="55">
        <f>Gas!Q35/TOTAL!G28</f>
        <v>15840</v>
      </c>
      <c r="I28" s="54">
        <f>'Fuel Diesel'!F35</f>
        <v>0</v>
      </c>
      <c r="J28" s="56" t="e">
        <f>'Fuel Diesel'!G35/'Fuel Diesel'!F35</f>
        <v>#DIV/0!</v>
      </c>
      <c r="K28" s="54">
        <f>Water!E35+Water!G35+Water!I35</f>
        <v>401</v>
      </c>
      <c r="L28" s="55">
        <f>Water!K35/TOTAL!K28</f>
        <v>4000</v>
      </c>
      <c r="M28" s="54">
        <f>Electricity!C34</f>
        <v>4</v>
      </c>
      <c r="N28" s="54">
        <f>Electricity!D34</f>
        <v>44</v>
      </c>
    </row>
    <row r="29" spans="1:14" ht="15">
      <c r="A29" s="51" t="s">
        <v>14</v>
      </c>
      <c r="B29" s="52">
        <f t="shared" si="0"/>
        <v>28</v>
      </c>
      <c r="C29" s="53">
        <v>11</v>
      </c>
      <c r="D29" s="52">
        <v>2021</v>
      </c>
      <c r="E29" s="54">
        <f>Electricity!F35+Electricity!I35</f>
        <v>6319.999999999709</v>
      </c>
      <c r="F29" s="55">
        <f>Electricity!L35/TOTAL!E29</f>
        <v>1230.9670094936737</v>
      </c>
      <c r="G29" s="54">
        <f>Gas!F36+Gas!I36+Gas!L36+Gas!O36</f>
        <v>54.146760000000292</v>
      </c>
      <c r="H29" s="55">
        <f>Gas!Q36/TOTAL!G29</f>
        <v>15840</v>
      </c>
      <c r="I29" s="54">
        <f>'Fuel Diesel'!F36</f>
        <v>0</v>
      </c>
      <c r="J29" s="56" t="e">
        <f>'Fuel Diesel'!G36/'Fuel Diesel'!F36</f>
        <v>#DIV/0!</v>
      </c>
      <c r="K29" s="54">
        <f>Water!E36+Water!G36+Water!I36</f>
        <v>370</v>
      </c>
      <c r="L29" s="55">
        <f>Water!K36/TOTAL!K29</f>
        <v>4000</v>
      </c>
      <c r="M29" s="54">
        <f>Electricity!C35</f>
        <v>3</v>
      </c>
      <c r="N29" s="54">
        <f>Electricity!D35</f>
        <v>23</v>
      </c>
    </row>
    <row r="30" spans="1:14" ht="15">
      <c r="A30" s="51" t="s">
        <v>14</v>
      </c>
      <c r="B30" s="52">
        <f t="shared" si="0"/>
        <v>29</v>
      </c>
      <c r="C30" s="53">
        <v>11</v>
      </c>
      <c r="D30" s="52">
        <v>2021</v>
      </c>
      <c r="E30" s="54">
        <f>Electricity!F36+Electricity!I36</f>
        <v>6100.0000000003638</v>
      </c>
      <c r="F30" s="55">
        <f>Electricity!L36/TOTAL!E30</f>
        <v>1230.5474590163897</v>
      </c>
      <c r="G30" s="54">
        <f>Gas!F37+Gas!I37+Gas!L37+Gas!O37</f>
        <v>50.561839999998973</v>
      </c>
      <c r="H30" s="55">
        <f>Gas!Q37/TOTAL!G30</f>
        <v>15839.999999999998</v>
      </c>
      <c r="I30" s="54">
        <f>'Fuel Diesel'!F37</f>
        <v>18</v>
      </c>
      <c r="J30" s="56">
        <f>'Fuel Diesel'!G37/'Fuel Diesel'!F37</f>
        <v>10700</v>
      </c>
      <c r="K30" s="54">
        <f>Water!E37+Water!G37+Water!I37</f>
        <v>376</v>
      </c>
      <c r="L30" s="55">
        <f>Water!K37/TOTAL!K30</f>
        <v>4000</v>
      </c>
      <c r="M30" s="54">
        <f>Electricity!C36</f>
        <v>2</v>
      </c>
      <c r="N30" s="54">
        <f>Electricity!D36</f>
        <v>18</v>
      </c>
    </row>
    <row r="31" spans="1:14" ht="15">
      <c r="A31" s="51" t="s">
        <v>14</v>
      </c>
      <c r="B31" s="52">
        <f>B30+1</f>
        <v>30</v>
      </c>
      <c r="C31" s="53">
        <v>11</v>
      </c>
      <c r="D31" s="52">
        <v>2021</v>
      </c>
      <c r="E31" s="54">
        <f>Electricity!F37+Electricity!I37</f>
        <v>6299.9999999998408</v>
      </c>
      <c r="F31" s="55">
        <f>Electricity!L37/TOTAL!E31</f>
        <v>1242.1069047619062</v>
      </c>
      <c r="G31" s="54">
        <f>Gas!F38+Gas!I38+Gas!L38+Gas!O38</f>
        <v>57.167760000000285</v>
      </c>
      <c r="H31" s="55">
        <f>Gas!Q38/TOTAL!G31</f>
        <v>15840</v>
      </c>
      <c r="I31" s="54">
        <f>'Fuel Diesel'!F38</f>
        <v>0</v>
      </c>
      <c r="J31" s="56" t="e">
        <f>'Fuel Diesel'!G38/'Fuel Diesel'!F38</f>
        <v>#DIV/0!</v>
      </c>
      <c r="K31" s="54">
        <f>Water!E38+Water!G38+Water!I38</f>
        <v>370</v>
      </c>
      <c r="L31" s="55">
        <f>Water!K38/TOTAL!K31</f>
        <v>4000</v>
      </c>
      <c r="M31" s="54">
        <f>Electricity!C37</f>
        <v>5</v>
      </c>
      <c r="N31" s="54">
        <f>Electricity!D37</f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14" activePane="bottomRight" state="frozen"/>
      <selection pane="bottomRight" activeCell="D21" sqref="D21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3" t="s">
        <v>15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45"/>
      <c r="N1" s="45"/>
    </row>
    <row r="2" spans="1:14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45"/>
      <c r="N2" s="45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5"/>
      <c r="N3" s="45"/>
    </row>
    <row r="4" spans="1:14">
      <c r="A4" s="7"/>
      <c r="B4" s="85">
        <v>44501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7"/>
    </row>
    <row r="5" spans="1:14" ht="23.25" customHeight="1">
      <c r="A5" s="67"/>
      <c r="B5" s="82" t="s">
        <v>17</v>
      </c>
      <c r="C5" s="82" t="s">
        <v>18</v>
      </c>
      <c r="D5" s="82" t="s">
        <v>13</v>
      </c>
      <c r="E5" s="86" t="s">
        <v>19</v>
      </c>
      <c r="F5" s="86"/>
      <c r="G5" s="86"/>
      <c r="H5" s="84" t="s">
        <v>20</v>
      </c>
      <c r="I5" s="84"/>
      <c r="J5" s="84"/>
      <c r="K5" s="82" t="s">
        <v>21</v>
      </c>
      <c r="L5" s="82" t="s">
        <v>22</v>
      </c>
      <c r="M5" s="82" t="s">
        <v>23</v>
      </c>
      <c r="N5" s="57"/>
    </row>
    <row r="6" spans="1:14" s="6" customFormat="1" ht="48" customHeight="1">
      <c r="A6" s="67"/>
      <c r="B6" s="82"/>
      <c r="C6" s="82"/>
      <c r="D6" s="82"/>
      <c r="E6" s="82" t="s">
        <v>24</v>
      </c>
      <c r="F6" s="82" t="s">
        <v>25</v>
      </c>
      <c r="G6" s="82" t="s">
        <v>26</v>
      </c>
      <c r="H6" s="82" t="s">
        <v>24</v>
      </c>
      <c r="I6" s="82" t="s">
        <v>25</v>
      </c>
      <c r="J6" s="82" t="s">
        <v>27</v>
      </c>
      <c r="K6" s="82"/>
      <c r="L6" s="82"/>
      <c r="M6" s="82"/>
      <c r="N6" s="57"/>
    </row>
    <row r="7" spans="1:14" ht="15.75" customHeight="1">
      <c r="A7" s="68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58"/>
    </row>
    <row r="8" spans="1:14" ht="15.75" customHeight="1">
      <c r="A8" s="68"/>
      <c r="B8" s="65">
        <v>1</v>
      </c>
      <c r="C8" s="74">
        <v>8</v>
      </c>
      <c r="D8" s="75">
        <v>31</v>
      </c>
      <c r="E8" s="10">
        <v>3.1399999999998727</v>
      </c>
      <c r="F8" s="11">
        <f t="shared" ref="F8:F37" si="0">E8*2000</f>
        <v>6279.9999999997453</v>
      </c>
      <c r="G8" s="3">
        <f t="shared" ref="G8:G37" si="1">F8*1035.5</f>
        <v>6502939.9999997364</v>
      </c>
      <c r="H8" s="10">
        <v>0.60999999999998522</v>
      </c>
      <c r="I8" s="11">
        <f t="shared" ref="I8:I15" si="2">H8*2000</f>
        <v>1219.9999999999704</v>
      </c>
      <c r="J8" s="3">
        <f t="shared" ref="J8:J15" si="3">I8*1553.25</f>
        <v>1894964.9999999541</v>
      </c>
      <c r="K8" s="10">
        <f t="shared" ref="K8:K15" si="4">G8+J8</f>
        <v>8397904.9999996908</v>
      </c>
      <c r="L8" s="12">
        <f t="shared" ref="L8:L15" si="5">K8*1.1</f>
        <v>9237695.499999661</v>
      </c>
      <c r="M8" s="73">
        <f>L8/14171</f>
        <v>651.87322701288974</v>
      </c>
      <c r="N8" s="72"/>
    </row>
    <row r="9" spans="1:14" ht="17.100000000000001" customHeight="1">
      <c r="A9" s="68"/>
      <c r="B9" s="65">
        <v>2</v>
      </c>
      <c r="C9" s="74">
        <v>4</v>
      </c>
      <c r="D9" s="75">
        <v>28</v>
      </c>
      <c r="E9" s="10">
        <v>3.1300000000001091</v>
      </c>
      <c r="F9" s="11">
        <f t="shared" si="0"/>
        <v>6260.0000000002183</v>
      </c>
      <c r="G9" s="3">
        <f t="shared" si="1"/>
        <v>6482230.0000002263</v>
      </c>
      <c r="H9" s="10">
        <v>0.59999999999999432</v>
      </c>
      <c r="I9" s="11">
        <f t="shared" si="2"/>
        <v>1199.9999999999886</v>
      </c>
      <c r="J9" s="3">
        <f t="shared" si="3"/>
        <v>1863899.9999999823</v>
      </c>
      <c r="K9" s="10">
        <f t="shared" si="4"/>
        <v>8346130.0000002086</v>
      </c>
      <c r="L9" s="12">
        <f t="shared" si="5"/>
        <v>9180743.000000231</v>
      </c>
      <c r="M9" s="73">
        <f t="shared" ref="M9:M37" si="6">L9/14171</f>
        <v>647.85427986735101</v>
      </c>
      <c r="N9" s="72"/>
    </row>
    <row r="10" spans="1:14" ht="17.100000000000001" customHeight="1">
      <c r="A10" s="68"/>
      <c r="B10" s="65">
        <v>3</v>
      </c>
      <c r="C10" s="74">
        <v>6</v>
      </c>
      <c r="D10" s="75">
        <v>21</v>
      </c>
      <c r="E10" s="10">
        <v>3.2599999999999909</v>
      </c>
      <c r="F10" s="11">
        <f t="shared" si="0"/>
        <v>6519.9999999999818</v>
      </c>
      <c r="G10" s="3">
        <f t="shared" si="1"/>
        <v>6751459.9999999814</v>
      </c>
      <c r="H10" s="10">
        <v>0.66000000000002501</v>
      </c>
      <c r="I10" s="11">
        <f t="shared" si="2"/>
        <v>1320.00000000005</v>
      </c>
      <c r="J10" s="3">
        <f t="shared" si="3"/>
        <v>2050290.0000000778</v>
      </c>
      <c r="K10" s="10">
        <f t="shared" si="4"/>
        <v>8801750.0000000596</v>
      </c>
      <c r="L10" s="12">
        <f t="shared" si="5"/>
        <v>9681925.0000000671</v>
      </c>
      <c r="M10" s="73">
        <f t="shared" si="6"/>
        <v>683.22101474843464</v>
      </c>
      <c r="N10" s="72"/>
    </row>
    <row r="11" spans="1:14" ht="17.100000000000001" customHeight="1">
      <c r="A11" s="68"/>
      <c r="B11" s="65">
        <v>4</v>
      </c>
      <c r="C11" s="74">
        <v>6</v>
      </c>
      <c r="D11" s="75">
        <v>33</v>
      </c>
      <c r="E11" s="10">
        <v>3.1199999999998909</v>
      </c>
      <c r="F11" s="11">
        <f t="shared" si="0"/>
        <v>6239.9999999997817</v>
      </c>
      <c r="G11" s="3">
        <f t="shared" si="1"/>
        <v>6461519.9999997737</v>
      </c>
      <c r="H11" s="10">
        <v>0.57999999999998408</v>
      </c>
      <c r="I11" s="11">
        <f t="shared" si="2"/>
        <v>1159.9999999999682</v>
      </c>
      <c r="J11" s="3">
        <f t="shared" si="3"/>
        <v>1801769.9999999506</v>
      </c>
      <c r="K11" s="10">
        <f t="shared" si="4"/>
        <v>8263289.9999997243</v>
      </c>
      <c r="L11" s="12">
        <f t="shared" si="5"/>
        <v>9089618.9999996983</v>
      </c>
      <c r="M11" s="73">
        <f t="shared" si="6"/>
        <v>641.42396443438702</v>
      </c>
      <c r="N11" s="72"/>
    </row>
    <row r="12" spans="1:14" ht="17.100000000000001" customHeight="1">
      <c r="A12" s="68"/>
      <c r="B12" s="65">
        <v>5</v>
      </c>
      <c r="C12" s="74">
        <v>3</v>
      </c>
      <c r="D12" s="75">
        <v>19</v>
      </c>
      <c r="E12" s="10">
        <v>3.1700000000000728</v>
      </c>
      <c r="F12" s="11">
        <f t="shared" si="0"/>
        <v>6340.0000000001455</v>
      </c>
      <c r="G12" s="3">
        <f t="shared" si="1"/>
        <v>6565070.0000001509</v>
      </c>
      <c r="H12" s="10">
        <v>0.61000000000001364</v>
      </c>
      <c r="I12" s="11">
        <f t="shared" si="2"/>
        <v>1220.0000000000273</v>
      </c>
      <c r="J12" s="3">
        <f t="shared" si="3"/>
        <v>1894965.0000000424</v>
      </c>
      <c r="K12" s="10">
        <f t="shared" si="4"/>
        <v>8460035.0000001937</v>
      </c>
      <c r="L12" s="12">
        <f t="shared" si="5"/>
        <v>9306038.5000002142</v>
      </c>
      <c r="M12" s="73">
        <f t="shared" si="6"/>
        <v>656.69596358762362</v>
      </c>
      <c r="N12" s="72"/>
    </row>
    <row r="13" spans="1:14" ht="17.100000000000001" customHeight="1">
      <c r="A13" s="68"/>
      <c r="B13" s="65">
        <v>6</v>
      </c>
      <c r="C13" s="74">
        <v>3</v>
      </c>
      <c r="D13" s="75">
        <v>25</v>
      </c>
      <c r="E13" s="10">
        <v>3.0899999999999181</v>
      </c>
      <c r="F13" s="11">
        <f t="shared" si="0"/>
        <v>6179.9999999998363</v>
      </c>
      <c r="G13" s="3">
        <f t="shared" si="1"/>
        <v>6399389.9999998305</v>
      </c>
      <c r="H13" s="10">
        <v>0.60999999999998522</v>
      </c>
      <c r="I13" s="11">
        <f t="shared" si="2"/>
        <v>1219.9999999999704</v>
      </c>
      <c r="J13" s="3">
        <f t="shared" si="3"/>
        <v>1894964.9999999541</v>
      </c>
      <c r="K13" s="10">
        <f t="shared" si="4"/>
        <v>8294354.9999997849</v>
      </c>
      <c r="L13" s="12">
        <f t="shared" si="5"/>
        <v>9123790.4999997634</v>
      </c>
      <c r="M13" s="73">
        <f t="shared" si="6"/>
        <v>643.83533272173895</v>
      </c>
      <c r="N13" s="72"/>
    </row>
    <row r="14" spans="1:14" ht="17.100000000000001" customHeight="1">
      <c r="A14" s="68"/>
      <c r="B14" s="65">
        <v>7</v>
      </c>
      <c r="C14" s="74">
        <v>4</v>
      </c>
      <c r="D14" s="75">
        <v>27</v>
      </c>
      <c r="E14" s="10">
        <v>3.0900000000001455</v>
      </c>
      <c r="F14" s="11">
        <f t="shared" si="0"/>
        <v>6180.000000000291</v>
      </c>
      <c r="G14" s="3">
        <f t="shared" si="1"/>
        <v>6399390.0000003017</v>
      </c>
      <c r="H14" s="10">
        <v>0.59000000000000341</v>
      </c>
      <c r="I14" s="11">
        <f t="shared" si="2"/>
        <v>1180.0000000000068</v>
      </c>
      <c r="J14" s="3">
        <f t="shared" si="3"/>
        <v>1832835.0000000107</v>
      </c>
      <c r="K14" s="10">
        <f t="shared" si="4"/>
        <v>8232225.0000003129</v>
      </c>
      <c r="L14" s="12">
        <f t="shared" si="5"/>
        <v>9055447.5000003446</v>
      </c>
      <c r="M14" s="73">
        <f t="shared" si="6"/>
        <v>639.01259614708522</v>
      </c>
      <c r="N14" s="72"/>
    </row>
    <row r="15" spans="1:14" ht="17.100000000000001" customHeight="1">
      <c r="A15" s="68"/>
      <c r="B15" s="65">
        <v>8</v>
      </c>
      <c r="C15" s="74">
        <v>5</v>
      </c>
      <c r="D15" s="75">
        <v>21</v>
      </c>
      <c r="E15" s="10">
        <v>2.8999999999998636</v>
      </c>
      <c r="F15" s="11">
        <f t="shared" si="0"/>
        <v>5799.9999999997272</v>
      </c>
      <c r="G15" s="3">
        <f t="shared" si="1"/>
        <v>6005899.9999997178</v>
      </c>
      <c r="H15" s="10">
        <v>0.56999999999999318</v>
      </c>
      <c r="I15" s="11">
        <f t="shared" si="2"/>
        <v>1139.9999999999864</v>
      </c>
      <c r="J15" s="3">
        <f t="shared" si="3"/>
        <v>1770704.9999999788</v>
      </c>
      <c r="K15" s="10">
        <f t="shared" si="4"/>
        <v>7776604.9999996964</v>
      </c>
      <c r="L15" s="12">
        <f t="shared" si="5"/>
        <v>8554265.4999996666</v>
      </c>
      <c r="M15" s="73">
        <f t="shared" si="6"/>
        <v>603.64586126594213</v>
      </c>
      <c r="N15" s="72"/>
    </row>
    <row r="16" spans="1:14" ht="17.100000000000001" customHeight="1">
      <c r="A16" s="68"/>
      <c r="B16" s="65">
        <v>9</v>
      </c>
      <c r="C16" s="74">
        <v>5</v>
      </c>
      <c r="D16" s="75">
        <v>45</v>
      </c>
      <c r="E16" s="10">
        <v>2.9600000000000364</v>
      </c>
      <c r="F16" s="11">
        <f t="shared" si="0"/>
        <v>5920.0000000000728</v>
      </c>
      <c r="G16" s="3">
        <f t="shared" si="1"/>
        <v>6130160.0000000754</v>
      </c>
      <c r="H16" s="10">
        <v>0.58000000000001251</v>
      </c>
      <c r="I16" s="11">
        <f t="shared" ref="I16:I37" si="7">H16*2000</f>
        <v>1160.000000000025</v>
      </c>
      <c r="J16" s="3">
        <f t="shared" ref="J16:J37" si="8">I16*1553.25</f>
        <v>1801770.0000000389</v>
      </c>
      <c r="K16" s="10">
        <f t="shared" ref="K16:K37" si="9">G16+J16</f>
        <v>7931930.0000001146</v>
      </c>
      <c r="L16" s="12">
        <f t="shared" ref="L16:L37" si="10">K16*1.1</f>
        <v>8725123.0000001267</v>
      </c>
      <c r="M16" s="73">
        <f t="shared" si="6"/>
        <v>615.70270270271169</v>
      </c>
      <c r="N16" s="72"/>
    </row>
    <row r="17" spans="1:14" ht="17.100000000000001" customHeight="1">
      <c r="A17" s="68"/>
      <c r="B17" s="65">
        <v>10</v>
      </c>
      <c r="C17" s="74">
        <v>5</v>
      </c>
      <c r="D17" s="75">
        <v>28</v>
      </c>
      <c r="E17" s="10">
        <v>3.0900000000001455</v>
      </c>
      <c r="F17" s="11">
        <f t="shared" si="0"/>
        <v>6180.000000000291</v>
      </c>
      <c r="G17" s="3">
        <f t="shared" si="1"/>
        <v>6399390.0000003017</v>
      </c>
      <c r="H17" s="10">
        <v>0.60999999999998522</v>
      </c>
      <c r="I17" s="11">
        <f t="shared" si="7"/>
        <v>1219.9999999999704</v>
      </c>
      <c r="J17" s="3">
        <f t="shared" si="8"/>
        <v>1894964.9999999541</v>
      </c>
      <c r="K17" s="10">
        <f t="shared" si="9"/>
        <v>8294355.0000002561</v>
      </c>
      <c r="L17" s="12">
        <f t="shared" si="10"/>
        <v>9123790.5000002831</v>
      </c>
      <c r="M17" s="73">
        <f t="shared" si="6"/>
        <v>643.83533272177567</v>
      </c>
      <c r="N17" s="72"/>
    </row>
    <row r="18" spans="1:14" ht="17.100000000000001" customHeight="1">
      <c r="A18" s="68"/>
      <c r="B18" s="65">
        <v>11</v>
      </c>
      <c r="C18" s="74">
        <v>10</v>
      </c>
      <c r="D18" s="75">
        <v>51</v>
      </c>
      <c r="E18" s="10">
        <v>3.0499999999999545</v>
      </c>
      <c r="F18" s="11">
        <f t="shared" si="0"/>
        <v>6099.9999999999091</v>
      </c>
      <c r="G18" s="3">
        <f t="shared" si="1"/>
        <v>6316549.9999999059</v>
      </c>
      <c r="H18" s="10">
        <v>0.62000000000000455</v>
      </c>
      <c r="I18" s="11">
        <f t="shared" si="7"/>
        <v>1240.0000000000091</v>
      </c>
      <c r="J18" s="3">
        <f t="shared" si="8"/>
        <v>1926030.0000000142</v>
      </c>
      <c r="K18" s="10">
        <f t="shared" si="9"/>
        <v>8242579.9999999199</v>
      </c>
      <c r="L18" s="12">
        <f t="shared" si="10"/>
        <v>9066837.9999999125</v>
      </c>
      <c r="M18" s="73">
        <f t="shared" si="6"/>
        <v>639.81638557617055</v>
      </c>
      <c r="N18" s="72"/>
    </row>
    <row r="19" spans="1:14" ht="17.100000000000001" customHeight="1">
      <c r="A19" s="68"/>
      <c r="B19" s="65">
        <v>12</v>
      </c>
      <c r="C19" s="74">
        <v>8</v>
      </c>
      <c r="D19" s="75">
        <v>49</v>
      </c>
      <c r="E19" s="10">
        <v>3.1399999999998727</v>
      </c>
      <c r="F19" s="11">
        <f t="shared" si="0"/>
        <v>6279.9999999997453</v>
      </c>
      <c r="G19" s="3">
        <f t="shared" si="1"/>
        <v>6502939.9999997364</v>
      </c>
      <c r="H19" s="10">
        <v>0.62000000000000455</v>
      </c>
      <c r="I19" s="11">
        <f t="shared" si="7"/>
        <v>1240.0000000000091</v>
      </c>
      <c r="J19" s="3">
        <f t="shared" si="8"/>
        <v>1926030.0000000142</v>
      </c>
      <c r="K19" s="10">
        <f t="shared" si="9"/>
        <v>8428969.9999997504</v>
      </c>
      <c r="L19" s="12">
        <f t="shared" si="10"/>
        <v>9271866.9999997262</v>
      </c>
      <c r="M19" s="73">
        <f t="shared" si="6"/>
        <v>654.28459530024179</v>
      </c>
      <c r="N19" s="72"/>
    </row>
    <row r="20" spans="1:14" ht="17.100000000000001" customHeight="1">
      <c r="A20" s="68"/>
      <c r="B20" s="65">
        <v>13</v>
      </c>
      <c r="C20" s="74">
        <v>10</v>
      </c>
      <c r="D20" s="75">
        <v>37</v>
      </c>
      <c r="E20" s="10">
        <v>3.0900000000001455</v>
      </c>
      <c r="F20" s="11">
        <f t="shared" si="0"/>
        <v>6180.000000000291</v>
      </c>
      <c r="G20" s="3">
        <f t="shared" si="1"/>
        <v>6399390.0000003017</v>
      </c>
      <c r="H20" s="10">
        <v>0.62000000000000455</v>
      </c>
      <c r="I20" s="11">
        <f t="shared" si="7"/>
        <v>1240.0000000000091</v>
      </c>
      <c r="J20" s="3">
        <f t="shared" si="8"/>
        <v>1926030.0000000142</v>
      </c>
      <c r="K20" s="10">
        <f t="shared" si="9"/>
        <v>8325420.0000003157</v>
      </c>
      <c r="L20" s="12">
        <f t="shared" si="10"/>
        <v>9157962.0000003483</v>
      </c>
      <c r="M20" s="73">
        <f t="shared" si="6"/>
        <v>646.24670100912772</v>
      </c>
      <c r="N20" s="72"/>
    </row>
    <row r="21" spans="1:14" ht="17.100000000000001" customHeight="1">
      <c r="A21" s="68"/>
      <c r="B21" s="65">
        <v>14</v>
      </c>
      <c r="C21" s="74">
        <v>7</v>
      </c>
      <c r="D21" s="75">
        <v>45</v>
      </c>
      <c r="E21" s="10">
        <v>3.0099999999999909</v>
      </c>
      <c r="F21" s="11">
        <f t="shared" si="0"/>
        <v>6019.9999999999818</v>
      </c>
      <c r="G21" s="3">
        <f t="shared" si="1"/>
        <v>6233709.9999999814</v>
      </c>
      <c r="H21" s="10">
        <v>0.57999999999998408</v>
      </c>
      <c r="I21" s="11">
        <f t="shared" si="7"/>
        <v>1159.9999999999682</v>
      </c>
      <c r="J21" s="3">
        <f t="shared" si="8"/>
        <v>1801769.9999999506</v>
      </c>
      <c r="K21" s="10">
        <f t="shared" si="9"/>
        <v>8035479.999999932</v>
      </c>
      <c r="L21" s="12">
        <f t="shared" si="10"/>
        <v>8839027.9999999255</v>
      </c>
      <c r="M21" s="73">
        <f t="shared" si="6"/>
        <v>623.74059699385543</v>
      </c>
      <c r="N21" s="72"/>
    </row>
    <row r="22" spans="1:14" ht="17.100000000000001" customHeight="1">
      <c r="A22" s="68"/>
      <c r="B22" s="65">
        <v>15</v>
      </c>
      <c r="C22" s="74">
        <v>5</v>
      </c>
      <c r="D22" s="75">
        <v>32</v>
      </c>
      <c r="E22" s="10">
        <v>2.8099999999999454</v>
      </c>
      <c r="F22" s="11">
        <f t="shared" si="0"/>
        <v>5619.9999999998909</v>
      </c>
      <c r="G22" s="3">
        <f t="shared" si="1"/>
        <v>5819509.9999998873</v>
      </c>
      <c r="H22" s="10">
        <v>0.53000000000000114</v>
      </c>
      <c r="I22" s="11">
        <f t="shared" si="7"/>
        <v>1060.0000000000023</v>
      </c>
      <c r="J22" s="3">
        <f t="shared" si="8"/>
        <v>1646445.0000000035</v>
      </c>
      <c r="K22" s="10">
        <f t="shared" si="9"/>
        <v>7465954.999999891</v>
      </c>
      <c r="L22" s="12">
        <f t="shared" si="10"/>
        <v>8212550.4999998808</v>
      </c>
      <c r="M22" s="73">
        <f t="shared" si="6"/>
        <v>579.53217839248327</v>
      </c>
      <c r="N22" s="72"/>
    </row>
    <row r="23" spans="1:14" ht="17.100000000000001" customHeight="1">
      <c r="A23" s="68"/>
      <c r="B23" s="65">
        <v>16</v>
      </c>
      <c r="C23" s="74">
        <v>5</v>
      </c>
      <c r="D23" s="75">
        <v>17</v>
      </c>
      <c r="E23" s="10">
        <v>2.7400000000000091</v>
      </c>
      <c r="F23" s="11">
        <f t="shared" si="0"/>
        <v>5480.0000000000182</v>
      </c>
      <c r="G23" s="3">
        <f t="shared" si="1"/>
        <v>5674540.0000000186</v>
      </c>
      <c r="H23" s="10">
        <v>0.55000000000001137</v>
      </c>
      <c r="I23" s="11">
        <f t="shared" si="7"/>
        <v>1100.0000000000227</v>
      </c>
      <c r="J23" s="3">
        <f t="shared" si="8"/>
        <v>1708575.0000000354</v>
      </c>
      <c r="K23" s="10">
        <f t="shared" si="9"/>
        <v>7383115.000000054</v>
      </c>
      <c r="L23" s="12">
        <f t="shared" si="10"/>
        <v>8121426.5000000605</v>
      </c>
      <c r="M23" s="73">
        <f t="shared" si="6"/>
        <v>573.10186295956953</v>
      </c>
      <c r="N23" s="72"/>
    </row>
    <row r="24" spans="1:14" ht="17.100000000000001" customHeight="1">
      <c r="A24" s="68"/>
      <c r="B24" s="65">
        <v>17</v>
      </c>
      <c r="C24" s="74">
        <v>8</v>
      </c>
      <c r="D24" s="75">
        <v>22</v>
      </c>
      <c r="E24" s="10">
        <v>3.0799999999999272</v>
      </c>
      <c r="F24" s="11">
        <f t="shared" si="0"/>
        <v>6159.9999999998545</v>
      </c>
      <c r="G24" s="3">
        <f t="shared" si="1"/>
        <v>6378679.9999998491</v>
      </c>
      <c r="H24" s="10">
        <v>0.63999999999998636</v>
      </c>
      <c r="I24" s="11">
        <f t="shared" si="7"/>
        <v>1279.9999999999727</v>
      </c>
      <c r="J24" s="3">
        <f t="shared" si="8"/>
        <v>1988159.9999999576</v>
      </c>
      <c r="K24" s="10">
        <f t="shared" si="9"/>
        <v>8366839.9999998063</v>
      </c>
      <c r="L24" s="12">
        <f t="shared" si="10"/>
        <v>9203523.9999997877</v>
      </c>
      <c r="M24" s="73">
        <f t="shared" si="6"/>
        <v>649.46185872555134</v>
      </c>
      <c r="N24" s="72"/>
    </row>
    <row r="25" spans="1:14" ht="17.100000000000001" customHeight="1">
      <c r="A25" s="68"/>
      <c r="B25" s="65">
        <v>18</v>
      </c>
      <c r="C25" s="74">
        <v>9</v>
      </c>
      <c r="D25" s="75">
        <v>21</v>
      </c>
      <c r="E25" s="10">
        <v>3.2000000000000455</v>
      </c>
      <c r="F25" s="11">
        <f t="shared" si="0"/>
        <v>6400.0000000000909</v>
      </c>
      <c r="G25" s="3">
        <f t="shared" si="1"/>
        <v>6627200.0000000941</v>
      </c>
      <c r="H25" s="10">
        <v>0.65000000000000568</v>
      </c>
      <c r="I25" s="11">
        <f t="shared" si="7"/>
        <v>1300.0000000000114</v>
      </c>
      <c r="J25" s="3">
        <f t="shared" si="8"/>
        <v>2019225.0000000177</v>
      </c>
      <c r="K25" s="10">
        <f t="shared" si="9"/>
        <v>8646425.0000001118</v>
      </c>
      <c r="L25" s="12">
        <f t="shared" si="10"/>
        <v>9511067.5000001229</v>
      </c>
      <c r="M25" s="73">
        <f t="shared" si="6"/>
        <v>671.16417331170157</v>
      </c>
      <c r="N25" s="72"/>
    </row>
    <row r="26" spans="1:14" ht="17.100000000000001" customHeight="1">
      <c r="A26" s="68"/>
      <c r="B26" s="65">
        <v>19</v>
      </c>
      <c r="C26" s="74">
        <v>6</v>
      </c>
      <c r="D26" s="75">
        <v>30</v>
      </c>
      <c r="E26" s="10">
        <v>3.0499999999999545</v>
      </c>
      <c r="F26" s="11">
        <f t="shared" si="0"/>
        <v>6099.9999999999091</v>
      </c>
      <c r="G26" s="3">
        <f t="shared" si="1"/>
        <v>6316549.9999999059</v>
      </c>
      <c r="H26" s="10">
        <v>0.58000000000001251</v>
      </c>
      <c r="I26" s="11">
        <f t="shared" si="7"/>
        <v>1160.000000000025</v>
      </c>
      <c r="J26" s="3">
        <f t="shared" si="8"/>
        <v>1801770.0000000389</v>
      </c>
      <c r="K26" s="10">
        <f t="shared" si="9"/>
        <v>8118319.9999999451</v>
      </c>
      <c r="L26" s="12">
        <f t="shared" si="10"/>
        <v>8930151.9999999404</v>
      </c>
      <c r="M26" s="73">
        <f t="shared" si="6"/>
        <v>630.17091242678293</v>
      </c>
      <c r="N26" s="72"/>
    </row>
    <row r="27" spans="1:14" ht="17.100000000000001" customHeight="1">
      <c r="A27" s="68"/>
      <c r="B27" s="65">
        <v>20</v>
      </c>
      <c r="C27" s="74">
        <v>8</v>
      </c>
      <c r="D27" s="75">
        <v>28</v>
      </c>
      <c r="E27" s="10">
        <v>2.9300000000000637</v>
      </c>
      <c r="F27" s="11">
        <f t="shared" si="0"/>
        <v>5860.0000000001273</v>
      </c>
      <c r="G27" s="3">
        <f t="shared" si="1"/>
        <v>6068030.0000001322</v>
      </c>
      <c r="H27" s="10">
        <v>0.59999999999999432</v>
      </c>
      <c r="I27" s="11">
        <f t="shared" si="7"/>
        <v>1199.9999999999886</v>
      </c>
      <c r="J27" s="3">
        <f t="shared" si="8"/>
        <v>1863899.9999999823</v>
      </c>
      <c r="K27" s="10">
        <f t="shared" si="9"/>
        <v>7931930.0000001146</v>
      </c>
      <c r="L27" s="12">
        <f t="shared" si="10"/>
        <v>8725123.0000001267</v>
      </c>
      <c r="M27" s="73">
        <f t="shared" si="6"/>
        <v>615.70270270271169</v>
      </c>
      <c r="N27" s="72"/>
    </row>
    <row r="28" spans="1:14" ht="17.100000000000001" customHeight="1">
      <c r="A28" s="68"/>
      <c r="B28" s="65">
        <v>21</v>
      </c>
      <c r="C28" s="74">
        <v>12</v>
      </c>
      <c r="D28" s="75">
        <v>55</v>
      </c>
      <c r="E28" s="10">
        <v>3.0799999999999272</v>
      </c>
      <c r="F28" s="11">
        <f t="shared" si="0"/>
        <v>6159.9999999998545</v>
      </c>
      <c r="G28" s="3">
        <f t="shared" si="1"/>
        <v>6378679.9999998491</v>
      </c>
      <c r="H28" s="10">
        <v>0.64000000000001478</v>
      </c>
      <c r="I28" s="11">
        <f t="shared" si="7"/>
        <v>1280.0000000000296</v>
      </c>
      <c r="J28" s="3">
        <f t="shared" si="8"/>
        <v>1988160.0000000459</v>
      </c>
      <c r="K28" s="10">
        <f t="shared" si="9"/>
        <v>8366839.9999998948</v>
      </c>
      <c r="L28" s="12">
        <f t="shared" si="10"/>
        <v>9203523.9999998845</v>
      </c>
      <c r="M28" s="73">
        <f t="shared" si="6"/>
        <v>649.46185872555816</v>
      </c>
      <c r="N28" s="72"/>
    </row>
    <row r="29" spans="1:14" ht="17.100000000000001" customHeight="1">
      <c r="A29" s="68"/>
      <c r="B29" s="65">
        <v>22</v>
      </c>
      <c r="C29" s="74">
        <v>5</v>
      </c>
      <c r="D29" s="75">
        <v>64</v>
      </c>
      <c r="E29" s="10">
        <v>3.2200000000000273</v>
      </c>
      <c r="F29" s="11">
        <f t="shared" si="0"/>
        <v>6440.0000000000546</v>
      </c>
      <c r="G29" s="3">
        <f t="shared" si="1"/>
        <v>6668620.0000000568</v>
      </c>
      <c r="H29" s="10">
        <v>0.62999999999999545</v>
      </c>
      <c r="I29" s="11">
        <f t="shared" si="7"/>
        <v>1259.9999999999909</v>
      </c>
      <c r="J29" s="3">
        <f t="shared" si="8"/>
        <v>1957094.9999999858</v>
      </c>
      <c r="K29" s="10">
        <f t="shared" si="9"/>
        <v>8625715.0000000428</v>
      </c>
      <c r="L29" s="12">
        <f t="shared" si="10"/>
        <v>9488286.5000000484</v>
      </c>
      <c r="M29" s="73">
        <f t="shared" si="6"/>
        <v>669.55659445346475</v>
      </c>
      <c r="N29" s="72"/>
    </row>
    <row r="30" spans="1:14" ht="17.100000000000001" customHeight="1">
      <c r="A30" s="68"/>
      <c r="B30" s="65">
        <v>23</v>
      </c>
      <c r="C30" s="74">
        <v>11</v>
      </c>
      <c r="D30" s="75">
        <v>29</v>
      </c>
      <c r="E30" s="10">
        <v>3.1300000000001091</v>
      </c>
      <c r="F30" s="11">
        <f t="shared" si="0"/>
        <v>6260.0000000002183</v>
      </c>
      <c r="G30" s="3">
        <f t="shared" si="1"/>
        <v>6482230.0000002263</v>
      </c>
      <c r="H30" s="10">
        <v>0.64999999999997726</v>
      </c>
      <c r="I30" s="11">
        <f t="shared" si="7"/>
        <v>1299.9999999999545</v>
      </c>
      <c r="J30" s="3">
        <f t="shared" si="8"/>
        <v>2019224.9999999295</v>
      </c>
      <c r="K30" s="10">
        <f t="shared" si="9"/>
        <v>8501455.0000001565</v>
      </c>
      <c r="L30" s="12">
        <f t="shared" si="10"/>
        <v>9351600.5000001732</v>
      </c>
      <c r="M30" s="73">
        <f t="shared" si="6"/>
        <v>659.91112130408396</v>
      </c>
      <c r="N30" s="72"/>
    </row>
    <row r="31" spans="1:14" ht="17.100000000000001" customHeight="1">
      <c r="A31" s="68"/>
      <c r="B31" s="65">
        <v>24</v>
      </c>
      <c r="C31" s="74">
        <v>13</v>
      </c>
      <c r="D31" s="75">
        <v>42</v>
      </c>
      <c r="E31" s="10">
        <v>3.2899999999999636</v>
      </c>
      <c r="F31" s="11">
        <f t="shared" si="0"/>
        <v>6579.9999999999272</v>
      </c>
      <c r="G31" s="3">
        <f t="shared" si="1"/>
        <v>6813589.9999999246</v>
      </c>
      <c r="H31" s="10">
        <v>0.62000000000000455</v>
      </c>
      <c r="I31" s="11">
        <f t="shared" si="7"/>
        <v>1240.0000000000091</v>
      </c>
      <c r="J31" s="3">
        <f t="shared" si="8"/>
        <v>1926030.0000000142</v>
      </c>
      <c r="K31" s="10">
        <f t="shared" si="9"/>
        <v>8739619.9999999385</v>
      </c>
      <c r="L31" s="12">
        <f t="shared" si="10"/>
        <v>9613581.9999999329</v>
      </c>
      <c r="M31" s="73">
        <f t="shared" si="6"/>
        <v>678.39827817373032</v>
      </c>
      <c r="N31" s="72"/>
    </row>
    <row r="32" spans="1:14" ht="17.100000000000001" customHeight="1">
      <c r="A32" s="68"/>
      <c r="B32" s="65">
        <v>25</v>
      </c>
      <c r="C32" s="74">
        <v>4</v>
      </c>
      <c r="D32" s="75">
        <v>47</v>
      </c>
      <c r="E32" s="10">
        <v>2.9700000000000273</v>
      </c>
      <c r="F32" s="11">
        <f t="shared" si="0"/>
        <v>5940.0000000000546</v>
      </c>
      <c r="G32" s="3">
        <f t="shared" si="1"/>
        <v>6150870.0000000568</v>
      </c>
      <c r="H32" s="10">
        <v>0.60000000000002274</v>
      </c>
      <c r="I32" s="11">
        <f t="shared" si="7"/>
        <v>1200.0000000000455</v>
      </c>
      <c r="J32" s="3">
        <f t="shared" si="8"/>
        <v>1863900.0000000705</v>
      </c>
      <c r="K32" s="10">
        <f t="shared" si="9"/>
        <v>8014770.0000001276</v>
      </c>
      <c r="L32" s="12">
        <f t="shared" si="10"/>
        <v>8816247.0000001416</v>
      </c>
      <c r="M32" s="73">
        <f t="shared" si="6"/>
        <v>622.13301813563908</v>
      </c>
      <c r="N32" s="72"/>
    </row>
    <row r="33" spans="1:16" ht="17.100000000000001" customHeight="1">
      <c r="A33" s="68"/>
      <c r="B33" s="65">
        <v>26</v>
      </c>
      <c r="C33" s="74">
        <v>10</v>
      </c>
      <c r="D33" s="75">
        <v>16</v>
      </c>
      <c r="E33" s="10">
        <v>3.1099999999999</v>
      </c>
      <c r="F33" s="11">
        <f t="shared" si="0"/>
        <v>6219.9999999997999</v>
      </c>
      <c r="G33" s="3">
        <f t="shared" si="1"/>
        <v>6440809.9999997932</v>
      </c>
      <c r="H33" s="10">
        <v>0.62000000000000455</v>
      </c>
      <c r="I33" s="11">
        <f t="shared" si="7"/>
        <v>1240.0000000000091</v>
      </c>
      <c r="J33" s="3">
        <f t="shared" si="8"/>
        <v>1926030.0000000142</v>
      </c>
      <c r="K33" s="10">
        <f t="shared" si="9"/>
        <v>8366839.9999998072</v>
      </c>
      <c r="L33" s="12">
        <f t="shared" si="10"/>
        <v>9203523.9999997895</v>
      </c>
      <c r="M33" s="73">
        <f t="shared" si="6"/>
        <v>649.46185872555145</v>
      </c>
      <c r="N33" s="72"/>
    </row>
    <row r="34" spans="1:16" ht="17.100000000000001" customHeight="1">
      <c r="A34" s="68"/>
      <c r="B34" s="65">
        <v>27</v>
      </c>
      <c r="C34" s="74">
        <v>4</v>
      </c>
      <c r="D34" s="75">
        <v>44</v>
      </c>
      <c r="E34" s="10">
        <v>2.9300000000000637</v>
      </c>
      <c r="F34" s="11">
        <f t="shared" si="0"/>
        <v>5860.0000000001273</v>
      </c>
      <c r="G34" s="3">
        <f t="shared" si="1"/>
        <v>6068030.0000001322</v>
      </c>
      <c r="H34" s="10">
        <v>0.56999999999999318</v>
      </c>
      <c r="I34" s="11">
        <f t="shared" si="7"/>
        <v>1139.9999999999864</v>
      </c>
      <c r="J34" s="3">
        <f t="shared" si="8"/>
        <v>1770704.9999999788</v>
      </c>
      <c r="K34" s="10">
        <f t="shared" si="9"/>
        <v>7838735.0000001108</v>
      </c>
      <c r="L34" s="12">
        <f t="shared" si="10"/>
        <v>8622608.5000001229</v>
      </c>
      <c r="M34" s="73">
        <f t="shared" si="6"/>
        <v>608.46859784066919</v>
      </c>
      <c r="N34" s="72"/>
    </row>
    <row r="35" spans="1:16" ht="17.100000000000001" customHeight="1">
      <c r="A35" s="68"/>
      <c r="B35" s="65">
        <v>28</v>
      </c>
      <c r="C35" s="74">
        <v>3</v>
      </c>
      <c r="D35" s="75">
        <v>23</v>
      </c>
      <c r="E35" s="10">
        <v>2.6499999999998636</v>
      </c>
      <c r="F35" s="11">
        <f t="shared" si="0"/>
        <v>5299.9999999997272</v>
      </c>
      <c r="G35" s="3">
        <f t="shared" si="1"/>
        <v>5488149.9999997178</v>
      </c>
      <c r="H35" s="10">
        <v>0.50999999999999091</v>
      </c>
      <c r="I35" s="11">
        <f t="shared" si="7"/>
        <v>1019.9999999999818</v>
      </c>
      <c r="J35" s="3">
        <f t="shared" si="8"/>
        <v>1584314.9999999718</v>
      </c>
      <c r="K35" s="10">
        <f t="shared" si="9"/>
        <v>7072464.9999996899</v>
      </c>
      <c r="L35" s="12">
        <f t="shared" si="10"/>
        <v>7779711.4999996591</v>
      </c>
      <c r="M35" s="73">
        <f t="shared" si="6"/>
        <v>548.98818008606725</v>
      </c>
      <c r="N35" s="72"/>
    </row>
    <row r="36" spans="1:16" ht="17.100000000000001" customHeight="1">
      <c r="A36" s="68"/>
      <c r="B36" s="65">
        <v>29</v>
      </c>
      <c r="C36" s="74">
        <v>2</v>
      </c>
      <c r="D36" s="75">
        <v>18</v>
      </c>
      <c r="E36" s="10">
        <v>2.5600000000001728</v>
      </c>
      <c r="F36" s="11">
        <f t="shared" si="0"/>
        <v>5120.0000000003456</v>
      </c>
      <c r="G36" s="3">
        <f t="shared" si="1"/>
        <v>5301760.0000003576</v>
      </c>
      <c r="H36" s="10">
        <v>0.49000000000000909</v>
      </c>
      <c r="I36" s="11">
        <f t="shared" si="7"/>
        <v>980.00000000001819</v>
      </c>
      <c r="J36" s="3">
        <f t="shared" si="8"/>
        <v>1522185.0000000282</v>
      </c>
      <c r="K36" s="10">
        <f t="shared" si="9"/>
        <v>6823945.0000003856</v>
      </c>
      <c r="L36" s="12">
        <f t="shared" si="10"/>
        <v>7506339.5000004247</v>
      </c>
      <c r="M36" s="73">
        <f t="shared" si="6"/>
        <v>529.69723378734204</v>
      </c>
      <c r="N36" s="72"/>
    </row>
    <row r="37" spans="1:16" ht="17.100000000000001" customHeight="1">
      <c r="A37" s="68"/>
      <c r="B37" s="65">
        <v>30</v>
      </c>
      <c r="C37" s="74">
        <v>5</v>
      </c>
      <c r="D37" s="75">
        <v>13</v>
      </c>
      <c r="E37" s="10">
        <v>2.5799999999999272</v>
      </c>
      <c r="F37" s="11">
        <f t="shared" si="0"/>
        <v>5159.9999999998545</v>
      </c>
      <c r="G37" s="3">
        <f t="shared" si="1"/>
        <v>5343179.9999998491</v>
      </c>
      <c r="H37" s="10">
        <v>0.56999999999999318</v>
      </c>
      <c r="I37" s="11">
        <f t="shared" si="7"/>
        <v>1139.9999999999864</v>
      </c>
      <c r="J37" s="3">
        <f t="shared" si="8"/>
        <v>1770704.9999999788</v>
      </c>
      <c r="K37" s="10">
        <f t="shared" si="9"/>
        <v>7113884.9999998277</v>
      </c>
      <c r="L37" s="12">
        <f t="shared" si="10"/>
        <v>7825273.4999998109</v>
      </c>
      <c r="M37" s="73">
        <f t="shared" si="6"/>
        <v>552.20333780254123</v>
      </c>
      <c r="N37" s="72"/>
    </row>
    <row r="38" spans="1:16" ht="17.100000000000001" customHeight="1">
      <c r="B38" s="65"/>
      <c r="C38" s="28"/>
      <c r="D38" s="28"/>
      <c r="E38" s="10"/>
      <c r="F38" s="11"/>
      <c r="G38" s="3"/>
      <c r="H38" s="10"/>
      <c r="I38" s="11"/>
      <c r="J38" s="3"/>
      <c r="K38" s="10"/>
      <c r="L38" s="12"/>
      <c r="M38" s="73"/>
      <c r="N38" s="38"/>
    </row>
    <row r="39" spans="1:16" ht="15">
      <c r="C39" s="18">
        <f>SUM(C8:C38)</f>
        <v>194</v>
      </c>
      <c r="D39" s="18">
        <f>SUM(D8:D38)</f>
        <v>961</v>
      </c>
      <c r="E39" s="1">
        <v>3.2799999999999727</v>
      </c>
      <c r="F39" s="18">
        <f>SUM(F8:F38)</f>
        <v>181139.99999999991</v>
      </c>
      <c r="I39" s="18">
        <f>SUM(I8:I38)</f>
        <v>35819.999999999985</v>
      </c>
      <c r="K39" s="1" t="s">
        <v>28</v>
      </c>
      <c r="L39" s="43">
        <f>SUM(L8:L38)</f>
        <v>267528673.49999988</v>
      </c>
      <c r="M39" s="44">
        <f>SUM(M8:M38)</f>
        <v>18878.602321642782</v>
      </c>
      <c r="N39" s="38"/>
      <c r="P39" s="31" t="e">
        <f>#REF!+#REF!+#REF!+#REF!+#REF!+#REF!+#REF!+#REF!+#REF!+#REF!+M39+#REF!</f>
        <v>#REF!</v>
      </c>
    </row>
    <row r="40" spans="1:16">
      <c r="K40" s="33">
        <f>F39+I39</f>
        <v>216959.99999999988</v>
      </c>
    </row>
    <row r="41" spans="1:16">
      <c r="C41" t="s">
        <v>29</v>
      </c>
      <c r="M41" s="33"/>
      <c r="P41" s="29"/>
    </row>
    <row r="42" spans="1:16">
      <c r="M42" s="36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C9" activePane="bottomRight" state="frozen"/>
      <selection pane="bottomRight" activeCell="D9" sqref="D9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3" t="s">
        <v>30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9" ht="15.75">
      <c r="B2" s="83" t="s">
        <v>16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9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19">
      <c r="A4" s="7"/>
      <c r="B4" s="90">
        <v>44501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7"/>
    </row>
    <row r="5" spans="1:19" ht="23.25" customHeight="1">
      <c r="A5" s="67"/>
      <c r="B5" s="82" t="s">
        <v>17</v>
      </c>
      <c r="C5" s="82" t="s">
        <v>18</v>
      </c>
      <c r="D5" s="82" t="s">
        <v>13</v>
      </c>
      <c r="E5" s="92" t="s">
        <v>31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1" t="s">
        <v>32</v>
      </c>
      <c r="R5" s="91"/>
      <c r="S5" s="57"/>
    </row>
    <row r="6" spans="1:19" s="6" customFormat="1" ht="48" customHeight="1">
      <c r="A6" s="67"/>
      <c r="B6" s="82"/>
      <c r="C6" s="82"/>
      <c r="D6" s="82"/>
      <c r="E6" s="92" t="s">
        <v>33</v>
      </c>
      <c r="F6" s="92"/>
      <c r="G6" s="92"/>
      <c r="H6" s="92" t="s">
        <v>34</v>
      </c>
      <c r="I6" s="92"/>
      <c r="J6" s="92"/>
      <c r="K6" s="92" t="s">
        <v>35</v>
      </c>
      <c r="L6" s="92"/>
      <c r="M6" s="92"/>
      <c r="N6" s="93" t="s">
        <v>36</v>
      </c>
      <c r="O6" s="93"/>
      <c r="P6" s="93"/>
      <c r="Q6" s="91"/>
      <c r="R6" s="91"/>
      <c r="S6" s="57"/>
    </row>
    <row r="7" spans="1:19" ht="36" customHeight="1">
      <c r="A7" s="68"/>
      <c r="B7" s="82"/>
      <c r="C7" s="82"/>
      <c r="D7" s="82"/>
      <c r="E7" s="82" t="s">
        <v>37</v>
      </c>
      <c r="F7" s="87" t="s">
        <v>38</v>
      </c>
      <c r="G7" s="61" t="s">
        <v>39</v>
      </c>
      <c r="H7" s="82" t="s">
        <v>40</v>
      </c>
      <c r="I7" s="82" t="s">
        <v>38</v>
      </c>
      <c r="J7" s="61" t="s">
        <v>39</v>
      </c>
      <c r="K7" s="82" t="s">
        <v>37</v>
      </c>
      <c r="L7" s="82" t="s">
        <v>38</v>
      </c>
      <c r="M7" s="61" t="s">
        <v>41</v>
      </c>
      <c r="N7" s="82" t="s">
        <v>42</v>
      </c>
      <c r="O7" s="82" t="s">
        <v>38</v>
      </c>
      <c r="P7" s="61" t="s">
        <v>41</v>
      </c>
      <c r="Q7" s="91"/>
      <c r="R7" s="91"/>
      <c r="S7" s="58"/>
    </row>
    <row r="8" spans="1:19" ht="15.75" customHeight="1">
      <c r="A8" s="68"/>
      <c r="B8" s="82"/>
      <c r="C8" s="82"/>
      <c r="D8" s="82"/>
      <c r="E8" s="82"/>
      <c r="F8" s="88"/>
      <c r="G8" s="70">
        <v>15840</v>
      </c>
      <c r="H8" s="82"/>
      <c r="I8" s="82"/>
      <c r="J8" s="70">
        <f>G8</f>
        <v>15840</v>
      </c>
      <c r="K8" s="82"/>
      <c r="L8" s="82"/>
      <c r="M8" s="70">
        <f>J8</f>
        <v>15840</v>
      </c>
      <c r="N8" s="82"/>
      <c r="O8" s="82"/>
      <c r="P8" s="70">
        <f>J8</f>
        <v>15840</v>
      </c>
      <c r="Q8" s="71" t="s">
        <v>43</v>
      </c>
      <c r="R8" s="61" t="s">
        <v>23</v>
      </c>
      <c r="S8" s="58"/>
    </row>
    <row r="9" spans="1:19" ht="17.100000000000001" customHeight="1">
      <c r="A9" s="68"/>
      <c r="B9" s="65">
        <v>1</v>
      </c>
      <c r="C9" s="15">
        <f>Electricity!C8</f>
        <v>8</v>
      </c>
      <c r="D9" s="15">
        <f>Electricity!D8</f>
        <v>31</v>
      </c>
      <c r="E9" s="2">
        <v>12.840000000000146</v>
      </c>
      <c r="F9" s="10">
        <v>51.719520000000578</v>
      </c>
      <c r="G9" s="19">
        <f>F9*$G$8</f>
        <v>819237.19680000911</v>
      </c>
      <c r="H9" s="2">
        <v>638.79999999999995</v>
      </c>
      <c r="I9" s="19">
        <v>0</v>
      </c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113097.59999999999</v>
      </c>
      <c r="Q9" s="16">
        <f>P9+G9+J9+M9</f>
        <v>932334.79680000909</v>
      </c>
      <c r="R9" s="66">
        <f>Q9/14171</f>
        <v>65.791743476113837</v>
      </c>
      <c r="S9" s="58"/>
    </row>
    <row r="10" spans="1:19" ht="17.100000000000001" customHeight="1">
      <c r="A10" s="68"/>
      <c r="B10" s="65">
        <v>2</v>
      </c>
      <c r="C10" s="15">
        <f>Electricity!C9</f>
        <v>4</v>
      </c>
      <c r="D10" s="15">
        <f>Electricity!D9</f>
        <v>28</v>
      </c>
      <c r="E10" s="2">
        <v>11.029999999999745</v>
      </c>
      <c r="F10" s="10">
        <v>44.428839999998971</v>
      </c>
      <c r="G10" s="19">
        <f>F10*$G$8</f>
        <v>703752.82559998368</v>
      </c>
      <c r="H10" s="2">
        <v>638.79999999999995</v>
      </c>
      <c r="I10" s="19">
        <v>0</v>
      </c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113097.59999999999</v>
      </c>
      <c r="Q10" s="16">
        <f>J10+M10+G10+P10</f>
        <v>816850.42559998366</v>
      </c>
      <c r="R10" s="66">
        <f t="shared" ref="R10:R38" si="1">Q10/14171</f>
        <v>57.64239824994592</v>
      </c>
      <c r="S10" s="58"/>
    </row>
    <row r="11" spans="1:19" ht="17.100000000000001" customHeight="1">
      <c r="A11" s="68"/>
      <c r="B11" s="65">
        <v>3</v>
      </c>
      <c r="C11" s="15">
        <f>Electricity!C10</f>
        <v>6</v>
      </c>
      <c r="D11" s="15">
        <f>Electricity!D10</f>
        <v>21</v>
      </c>
      <c r="E11" s="2">
        <v>11.659999999999854</v>
      </c>
      <c r="F11" s="10">
        <v>46.966479999999407</v>
      </c>
      <c r="G11" s="19">
        <f t="shared" ref="G11:G38" si="2">F11*$G$8</f>
        <v>743949.04319999064</v>
      </c>
      <c r="H11" s="2">
        <v>638.79999999999995</v>
      </c>
      <c r="I11" s="19">
        <v>0</v>
      </c>
      <c r="J11" s="19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113097.59999999999</v>
      </c>
      <c r="Q11" s="16">
        <f t="shared" ref="Q11:Q38" si="5">J11+M11+G11+P11</f>
        <v>857046.64319999062</v>
      </c>
      <c r="R11" s="66">
        <f t="shared" si="1"/>
        <v>60.478910676733513</v>
      </c>
      <c r="S11" s="58"/>
    </row>
    <row r="12" spans="1:19" ht="17.100000000000001" customHeight="1">
      <c r="A12" s="68"/>
      <c r="B12" s="65">
        <v>4</v>
      </c>
      <c r="C12" s="15">
        <f>Electricity!C11</f>
        <v>6</v>
      </c>
      <c r="D12" s="15">
        <f>Electricity!D11</f>
        <v>33</v>
      </c>
      <c r="E12" s="2">
        <v>11.409999999999854</v>
      </c>
      <c r="F12" s="10">
        <v>45.959479999999409</v>
      </c>
      <c r="G12" s="19">
        <f t="shared" si="2"/>
        <v>727998.16319999064</v>
      </c>
      <c r="H12" s="2">
        <v>638.79999999999995</v>
      </c>
      <c r="I12" s="19">
        <v>0</v>
      </c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113097.59999999999</v>
      </c>
      <c r="Q12" s="16">
        <f t="shared" si="5"/>
        <v>841095.76319999062</v>
      </c>
      <c r="R12" s="66">
        <f t="shared" si="1"/>
        <v>59.35331050737355</v>
      </c>
      <c r="S12" s="58"/>
    </row>
    <row r="13" spans="1:19" ht="17.100000000000001" customHeight="1">
      <c r="A13" s="68"/>
      <c r="B13" s="65">
        <v>5</v>
      </c>
      <c r="C13" s="15">
        <f>Electricity!C12</f>
        <v>3</v>
      </c>
      <c r="D13" s="15">
        <f>Electricity!D12</f>
        <v>19</v>
      </c>
      <c r="E13" s="2">
        <v>11.470000000000255</v>
      </c>
      <c r="F13" s="10">
        <v>46.201160000001018</v>
      </c>
      <c r="G13" s="19">
        <f t="shared" si="2"/>
        <v>731826.37440001615</v>
      </c>
      <c r="H13" s="2">
        <v>638.79999999999995</v>
      </c>
      <c r="I13" s="19">
        <v>0</v>
      </c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113097.59999999999</v>
      </c>
      <c r="Q13" s="16">
        <f t="shared" si="5"/>
        <v>844923.97440001613</v>
      </c>
      <c r="R13" s="66">
        <f t="shared" si="1"/>
        <v>59.623454548021741</v>
      </c>
      <c r="S13" s="58"/>
    </row>
    <row r="14" spans="1:19" ht="17.100000000000001" customHeight="1">
      <c r="A14" s="68"/>
      <c r="B14" s="65">
        <v>6</v>
      </c>
      <c r="C14" s="15">
        <f>Electricity!C13</f>
        <v>3</v>
      </c>
      <c r="D14" s="15">
        <f>Electricity!D13</f>
        <v>25</v>
      </c>
      <c r="E14" s="2">
        <v>11.230000000000473</v>
      </c>
      <c r="F14" s="10">
        <v>45.234440000001904</v>
      </c>
      <c r="G14" s="19">
        <f t="shared" si="2"/>
        <v>716513.52960003016</v>
      </c>
      <c r="H14" s="2">
        <v>638.79999999999995</v>
      </c>
      <c r="I14" s="19">
        <v>0</v>
      </c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113097.59999999999</v>
      </c>
      <c r="Q14" s="16">
        <f t="shared" si="5"/>
        <v>829611.12960003014</v>
      </c>
      <c r="R14" s="66">
        <f t="shared" si="1"/>
        <v>58.54287838543717</v>
      </c>
      <c r="S14" s="58"/>
    </row>
    <row r="15" spans="1:19" ht="17.100000000000001" customHeight="1">
      <c r="A15" s="68"/>
      <c r="B15" s="65">
        <v>7</v>
      </c>
      <c r="C15" s="15">
        <f>Electricity!C14</f>
        <v>4</v>
      </c>
      <c r="D15" s="15">
        <f>Electricity!D14</f>
        <v>27</v>
      </c>
      <c r="E15" s="2">
        <v>13.659999999999854</v>
      </c>
      <c r="F15" s="10">
        <v>55.022479999999405</v>
      </c>
      <c r="G15" s="19">
        <f t="shared" si="2"/>
        <v>871556.08319999056</v>
      </c>
      <c r="H15" s="2">
        <v>638.79999999999995</v>
      </c>
      <c r="I15" s="19">
        <v>0</v>
      </c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113097.59999999999</v>
      </c>
      <c r="Q15" s="16">
        <f t="shared" si="5"/>
        <v>984653.68319999054</v>
      </c>
      <c r="R15" s="66">
        <f t="shared" si="1"/>
        <v>69.483712031613194</v>
      </c>
      <c r="S15" s="58"/>
    </row>
    <row r="16" spans="1:19" ht="17.100000000000001" customHeight="1">
      <c r="A16" s="68"/>
      <c r="B16" s="65">
        <v>8</v>
      </c>
      <c r="C16" s="15">
        <f>Electricity!C15</f>
        <v>5</v>
      </c>
      <c r="D16" s="15">
        <f>Electricity!D15</f>
        <v>21</v>
      </c>
      <c r="E16" s="2">
        <v>13.289999999999964</v>
      </c>
      <c r="F16" s="10">
        <v>53.53211999999985</v>
      </c>
      <c r="G16" s="19">
        <f t="shared" si="2"/>
        <v>847948.78079999762</v>
      </c>
      <c r="H16" s="2">
        <v>638.79999999999995</v>
      </c>
      <c r="I16" s="19">
        <v>0</v>
      </c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113097.59999999999</v>
      </c>
      <c r="Q16" s="16">
        <f t="shared" si="5"/>
        <v>961046.3807999976</v>
      </c>
      <c r="R16" s="66">
        <f t="shared" si="1"/>
        <v>67.81782378096095</v>
      </c>
      <c r="S16" s="58"/>
    </row>
    <row r="17" spans="1:19" ht="17.100000000000001" customHeight="1">
      <c r="A17" s="68"/>
      <c r="B17" s="65">
        <v>9</v>
      </c>
      <c r="C17" s="15">
        <f>Electricity!C16</f>
        <v>5</v>
      </c>
      <c r="D17" s="15">
        <f>Electricity!D16</f>
        <v>45</v>
      </c>
      <c r="E17" s="2">
        <v>13.559999999999491</v>
      </c>
      <c r="F17" s="10">
        <v>54.619679999997942</v>
      </c>
      <c r="G17" s="19">
        <f t="shared" si="2"/>
        <v>865175.73119996744</v>
      </c>
      <c r="H17" s="2">
        <v>638.79999999999995</v>
      </c>
      <c r="I17" s="19">
        <v>0</v>
      </c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113097.59999999999</v>
      </c>
      <c r="Q17" s="16">
        <f t="shared" si="5"/>
        <v>978273.33119996742</v>
      </c>
      <c r="R17" s="66">
        <f t="shared" si="1"/>
        <v>69.033471963867569</v>
      </c>
      <c r="S17" s="58"/>
    </row>
    <row r="18" spans="1:19" ht="17.100000000000001" customHeight="1">
      <c r="A18" s="68"/>
      <c r="B18" s="65">
        <v>10</v>
      </c>
      <c r="C18" s="15">
        <f>Electricity!C17</f>
        <v>5</v>
      </c>
      <c r="D18" s="15">
        <f>Electricity!D17</f>
        <v>28</v>
      </c>
      <c r="E18" s="2">
        <v>12.200000000000728</v>
      </c>
      <c r="F18" s="10">
        <v>49.141600000002924</v>
      </c>
      <c r="G18" s="19">
        <f t="shared" si="2"/>
        <v>778402.94400004635</v>
      </c>
      <c r="H18" s="2">
        <v>638.79999999999995</v>
      </c>
      <c r="I18" s="19">
        <f t="shared" ref="I18:I38" si="6">H18-H17</f>
        <v>0</v>
      </c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113097.59999999999</v>
      </c>
      <c r="Q18" s="16">
        <f t="shared" si="5"/>
        <v>891500.54400004633</v>
      </c>
      <c r="R18" s="66">
        <f t="shared" si="1"/>
        <v>62.910207042554958</v>
      </c>
      <c r="S18" s="58"/>
    </row>
    <row r="19" spans="1:19" ht="17.100000000000001" customHeight="1">
      <c r="A19" s="68"/>
      <c r="B19" s="65">
        <v>11</v>
      </c>
      <c r="C19" s="15">
        <f>Electricity!C18</f>
        <v>10</v>
      </c>
      <c r="D19" s="15">
        <f>Electricity!D18</f>
        <v>51</v>
      </c>
      <c r="E19" s="2">
        <v>12.789999999999964</v>
      </c>
      <c r="F19" s="10">
        <v>51.518119999999847</v>
      </c>
      <c r="G19" s="19">
        <f t="shared" si="2"/>
        <v>816047.02079999761</v>
      </c>
      <c r="H19" s="2">
        <v>638.79999999999995</v>
      </c>
      <c r="I19" s="19">
        <f t="shared" si="6"/>
        <v>0</v>
      </c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113097.59999999999</v>
      </c>
      <c r="Q19" s="16">
        <f t="shared" si="5"/>
        <v>929144.62079999759</v>
      </c>
      <c r="R19" s="66">
        <f t="shared" si="1"/>
        <v>65.566623442241024</v>
      </c>
      <c r="S19" s="58"/>
    </row>
    <row r="20" spans="1:19" ht="17.100000000000001" customHeight="1">
      <c r="A20" s="68"/>
      <c r="B20" s="65">
        <v>12</v>
      </c>
      <c r="C20" s="15">
        <f>Electricity!C19</f>
        <v>8</v>
      </c>
      <c r="D20" s="15">
        <f>Electricity!D19</f>
        <v>49</v>
      </c>
      <c r="E20" s="2">
        <v>13.329999999999927</v>
      </c>
      <c r="F20" s="10">
        <v>53.693239999999705</v>
      </c>
      <c r="G20" s="19">
        <f t="shared" si="2"/>
        <v>850500.92159999534</v>
      </c>
      <c r="H20" s="2">
        <v>638.79999999999995</v>
      </c>
      <c r="I20" s="19">
        <f t="shared" si="6"/>
        <v>0</v>
      </c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113097.59999999999</v>
      </c>
      <c r="Q20" s="16">
        <f t="shared" si="5"/>
        <v>963598.52159999532</v>
      </c>
      <c r="R20" s="66">
        <f t="shared" si="1"/>
        <v>67.997919808058384</v>
      </c>
      <c r="S20" s="58"/>
    </row>
    <row r="21" spans="1:19" ht="17.100000000000001" customHeight="1">
      <c r="A21" s="68"/>
      <c r="B21" s="65">
        <v>13</v>
      </c>
      <c r="C21" s="15">
        <f>Electricity!C20</f>
        <v>10</v>
      </c>
      <c r="D21" s="15">
        <f>Electricity!D20</f>
        <v>37</v>
      </c>
      <c r="E21" s="2">
        <v>13.289999999999964</v>
      </c>
      <c r="F21" s="10">
        <v>53.53211999999985</v>
      </c>
      <c r="G21" s="19">
        <f t="shared" si="2"/>
        <v>847948.78079999762</v>
      </c>
      <c r="H21" s="2">
        <v>638.79999999999995</v>
      </c>
      <c r="I21" s="19">
        <f t="shared" si="6"/>
        <v>0</v>
      </c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113097.59999999999</v>
      </c>
      <c r="Q21" s="16">
        <f t="shared" si="5"/>
        <v>961046.3807999976</v>
      </c>
      <c r="R21" s="66">
        <f t="shared" si="1"/>
        <v>67.81782378096095</v>
      </c>
      <c r="S21" s="58"/>
    </row>
    <row r="22" spans="1:19" ht="17.100000000000001" customHeight="1">
      <c r="A22" s="68"/>
      <c r="B22" s="65">
        <v>14</v>
      </c>
      <c r="C22" s="15">
        <f>Electricity!C21</f>
        <v>7</v>
      </c>
      <c r="D22" s="15">
        <f>Electricity!D21</f>
        <v>45</v>
      </c>
      <c r="E22" s="2">
        <v>10.710000000000036</v>
      </c>
      <c r="F22" s="10">
        <v>43.13988000000014</v>
      </c>
      <c r="G22" s="19">
        <f t="shared" si="2"/>
        <v>683335.69920000224</v>
      </c>
      <c r="H22" s="2">
        <v>638.79999999999995</v>
      </c>
      <c r="I22" s="19">
        <f t="shared" si="6"/>
        <v>0</v>
      </c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113097.59999999999</v>
      </c>
      <c r="Q22" s="16">
        <f t="shared" si="5"/>
        <v>796433.29920000222</v>
      </c>
      <c r="R22" s="66">
        <f t="shared" si="1"/>
        <v>56.201630033166481</v>
      </c>
      <c r="S22" s="58"/>
    </row>
    <row r="23" spans="1:19" ht="17.100000000000001" customHeight="1">
      <c r="A23" s="68"/>
      <c r="B23" s="65">
        <v>15</v>
      </c>
      <c r="C23" s="15">
        <f>Electricity!C22</f>
        <v>5</v>
      </c>
      <c r="D23" s="15">
        <f>Electricity!D22</f>
        <v>32</v>
      </c>
      <c r="E23" s="2">
        <v>9.8499999999994543</v>
      </c>
      <c r="F23" s="10">
        <v>39.6757999999978</v>
      </c>
      <c r="G23" s="19">
        <f t="shared" si="2"/>
        <v>628464.6719999651</v>
      </c>
      <c r="H23" s="2">
        <v>638.79999999999995</v>
      </c>
      <c r="I23" s="19">
        <f t="shared" si="6"/>
        <v>0</v>
      </c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113097.59999999999</v>
      </c>
      <c r="Q23" s="16">
        <f t="shared" si="5"/>
        <v>741562.27199996507</v>
      </c>
      <c r="R23" s="66">
        <f t="shared" si="1"/>
        <v>52.329565450565596</v>
      </c>
      <c r="S23" s="58"/>
    </row>
    <row r="24" spans="1:19" ht="17.100000000000001" customHeight="1">
      <c r="A24" s="68"/>
      <c r="B24" s="65">
        <v>16</v>
      </c>
      <c r="C24" s="15">
        <f>Electricity!C23</f>
        <v>5</v>
      </c>
      <c r="D24" s="15">
        <f>Electricity!D23</f>
        <v>17</v>
      </c>
      <c r="E24" s="2">
        <v>11.110000000000582</v>
      </c>
      <c r="F24" s="10">
        <v>44.751080000002339</v>
      </c>
      <c r="G24" s="19">
        <f t="shared" si="2"/>
        <v>708857.10720003711</v>
      </c>
      <c r="H24" s="2">
        <v>638.79999999999995</v>
      </c>
      <c r="I24" s="19">
        <f t="shared" si="6"/>
        <v>0</v>
      </c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113097.59999999999</v>
      </c>
      <c r="Q24" s="16">
        <f t="shared" si="5"/>
        <v>821954.70720003708</v>
      </c>
      <c r="R24" s="66">
        <f t="shared" si="1"/>
        <v>58.002590304144881</v>
      </c>
      <c r="S24" s="58"/>
    </row>
    <row r="25" spans="1:19" ht="17.100000000000001" customHeight="1">
      <c r="A25" s="68"/>
      <c r="B25" s="65">
        <v>17</v>
      </c>
      <c r="C25" s="15">
        <f>Electricity!C24</f>
        <v>8</v>
      </c>
      <c r="D25" s="15">
        <f>Electricity!D24</f>
        <v>22</v>
      </c>
      <c r="E25" s="2">
        <v>10.309999999999491</v>
      </c>
      <c r="F25" s="10">
        <v>41.528679999997941</v>
      </c>
      <c r="G25" s="19">
        <f t="shared" si="2"/>
        <v>657814.29119996738</v>
      </c>
      <c r="H25" s="2">
        <v>638.79999999999995</v>
      </c>
      <c r="I25" s="19">
        <f t="shared" si="6"/>
        <v>0</v>
      </c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113097.59999999999</v>
      </c>
      <c r="Q25" s="16">
        <f t="shared" si="5"/>
        <v>770911.89119996736</v>
      </c>
      <c r="R25" s="66">
        <f t="shared" si="1"/>
        <v>54.400669762188087</v>
      </c>
      <c r="S25" s="58"/>
    </row>
    <row r="26" spans="1:19" ht="17.100000000000001" customHeight="1">
      <c r="A26" s="68"/>
      <c r="B26" s="65">
        <v>18</v>
      </c>
      <c r="C26" s="15">
        <f>Electricity!C25</f>
        <v>9</v>
      </c>
      <c r="D26" s="15">
        <f>Electricity!D25</f>
        <v>21</v>
      </c>
      <c r="E26" s="2">
        <v>12.150000000000546</v>
      </c>
      <c r="F26" s="10">
        <v>48.940200000002193</v>
      </c>
      <c r="G26" s="19">
        <f t="shared" si="2"/>
        <v>775212.76800003473</v>
      </c>
      <c r="H26" s="2">
        <v>638.79999999999995</v>
      </c>
      <c r="I26" s="19">
        <f t="shared" si="6"/>
        <v>0</v>
      </c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113097.59999999999</v>
      </c>
      <c r="Q26" s="16">
        <f t="shared" si="5"/>
        <v>888310.36800003471</v>
      </c>
      <c r="R26" s="66">
        <f t="shared" si="1"/>
        <v>62.685087008682146</v>
      </c>
      <c r="S26" s="58"/>
    </row>
    <row r="27" spans="1:19" ht="17.100000000000001" customHeight="1">
      <c r="A27" s="68"/>
      <c r="B27" s="65">
        <v>19</v>
      </c>
      <c r="C27" s="15">
        <f>Electricity!C26</f>
        <v>6</v>
      </c>
      <c r="D27" s="15">
        <f>Electricity!D26</f>
        <v>30</v>
      </c>
      <c r="E27" s="2">
        <v>13.039999999999964</v>
      </c>
      <c r="F27" s="10">
        <v>52.525119999999845</v>
      </c>
      <c r="G27" s="19">
        <f t="shared" si="2"/>
        <v>831997.9007999975</v>
      </c>
      <c r="H27" s="2">
        <v>638.79999999999995</v>
      </c>
      <c r="I27" s="19">
        <f t="shared" si="6"/>
        <v>0</v>
      </c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113097.59999999999</v>
      </c>
      <c r="Q27" s="16">
        <f t="shared" si="5"/>
        <v>945095.50079999748</v>
      </c>
      <c r="R27" s="66">
        <f t="shared" si="1"/>
        <v>66.69222361160098</v>
      </c>
      <c r="S27" s="58"/>
    </row>
    <row r="28" spans="1:19" ht="17.100000000000001" customHeight="1">
      <c r="A28" s="68"/>
      <c r="B28" s="65">
        <v>20</v>
      </c>
      <c r="C28" s="15">
        <f>Electricity!C27</f>
        <v>8</v>
      </c>
      <c r="D28" s="15">
        <f>Electricity!D27</f>
        <v>28</v>
      </c>
      <c r="E28" s="2">
        <v>11.329999999999927</v>
      </c>
      <c r="F28" s="10">
        <v>45.6372399999997</v>
      </c>
      <c r="G28" s="19">
        <f t="shared" si="2"/>
        <v>722893.88159999519</v>
      </c>
      <c r="H28" s="2">
        <v>638.79999999999995</v>
      </c>
      <c r="I28" s="19">
        <f t="shared" si="6"/>
        <v>0</v>
      </c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113097.59999999999</v>
      </c>
      <c r="Q28" s="16">
        <f t="shared" si="5"/>
        <v>835991.48159999517</v>
      </c>
      <c r="R28" s="66">
        <f t="shared" si="1"/>
        <v>58.993118453178688</v>
      </c>
      <c r="S28" s="58"/>
    </row>
    <row r="29" spans="1:19" ht="17.100000000000001" customHeight="1">
      <c r="A29" s="68"/>
      <c r="B29" s="65">
        <v>21</v>
      </c>
      <c r="C29" s="15">
        <f>Electricity!C28</f>
        <v>12</v>
      </c>
      <c r="D29" s="15">
        <f>Electricity!D28</f>
        <v>55</v>
      </c>
      <c r="E29" s="2">
        <v>13.309999999999491</v>
      </c>
      <c r="F29" s="10">
        <v>53.612679999997944</v>
      </c>
      <c r="G29" s="19">
        <f t="shared" si="2"/>
        <v>849224.85119996744</v>
      </c>
      <c r="H29" s="2">
        <v>638.79999999999995</v>
      </c>
      <c r="I29" s="19">
        <f t="shared" si="6"/>
        <v>0</v>
      </c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113097.59999999999</v>
      </c>
      <c r="Q29" s="16">
        <f t="shared" si="5"/>
        <v>962322.45119996741</v>
      </c>
      <c r="R29" s="66">
        <f t="shared" si="1"/>
        <v>67.907871794507614</v>
      </c>
      <c r="S29" s="58"/>
    </row>
    <row r="30" spans="1:19" ht="17.100000000000001" customHeight="1">
      <c r="A30" s="68"/>
      <c r="B30" s="65">
        <v>22</v>
      </c>
      <c r="C30" s="15">
        <f>Electricity!C29</f>
        <v>5</v>
      </c>
      <c r="D30" s="15">
        <f>Electricity!D29</f>
        <v>64</v>
      </c>
      <c r="E30" s="2">
        <v>11.659999999999854</v>
      </c>
      <c r="F30" s="10">
        <v>46.966479999999407</v>
      </c>
      <c r="G30" s="19">
        <f t="shared" si="2"/>
        <v>743949.04319999064</v>
      </c>
      <c r="H30" s="2">
        <v>638.79999999999995</v>
      </c>
      <c r="I30" s="19">
        <f t="shared" si="6"/>
        <v>0</v>
      </c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113097.59999999999</v>
      </c>
      <c r="Q30" s="16">
        <f t="shared" si="5"/>
        <v>857046.64319999062</v>
      </c>
      <c r="R30" s="66">
        <f t="shared" si="1"/>
        <v>60.478910676733513</v>
      </c>
      <c r="S30" s="58"/>
    </row>
    <row r="31" spans="1:19" ht="17.100000000000001" customHeight="1">
      <c r="A31" s="68"/>
      <c r="B31" s="65">
        <v>23</v>
      </c>
      <c r="C31" s="15">
        <f>Electricity!C30</f>
        <v>11</v>
      </c>
      <c r="D31" s="15">
        <f>Electricity!D30</f>
        <v>29</v>
      </c>
      <c r="E31" s="2">
        <v>10.940000000000509</v>
      </c>
      <c r="F31" s="10">
        <v>44.066320000002044</v>
      </c>
      <c r="G31" s="19">
        <f t="shared" si="2"/>
        <v>698010.50880003243</v>
      </c>
      <c r="H31" s="2">
        <v>638.79999999999995</v>
      </c>
      <c r="I31" s="19">
        <f t="shared" si="6"/>
        <v>0</v>
      </c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113097.59999999999</v>
      </c>
      <c r="Q31" s="16">
        <f t="shared" si="5"/>
        <v>811108.10880003241</v>
      </c>
      <c r="R31" s="66">
        <f t="shared" si="1"/>
        <v>57.237182188979773</v>
      </c>
      <c r="S31" s="58"/>
    </row>
    <row r="32" spans="1:19" ht="17.100000000000001" customHeight="1">
      <c r="A32" s="68"/>
      <c r="B32" s="65">
        <v>24</v>
      </c>
      <c r="C32" s="15">
        <f>Electricity!C31</f>
        <v>13</v>
      </c>
      <c r="D32" s="15">
        <f>Electricity!D31</f>
        <v>42</v>
      </c>
      <c r="E32" s="2">
        <v>12.9399999999996</v>
      </c>
      <c r="F32" s="10">
        <v>52.122319999998382</v>
      </c>
      <c r="G32" s="19">
        <f t="shared" si="2"/>
        <v>825617.54879997438</v>
      </c>
      <c r="H32" s="2">
        <v>638.79999999999995</v>
      </c>
      <c r="I32" s="19">
        <f t="shared" si="6"/>
        <v>0</v>
      </c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113097.59999999999</v>
      </c>
      <c r="Q32" s="16">
        <f t="shared" si="5"/>
        <v>938715.14879997435</v>
      </c>
      <c r="R32" s="66">
        <f t="shared" si="1"/>
        <v>66.241983543855369</v>
      </c>
      <c r="S32" s="58"/>
    </row>
    <row r="33" spans="1:21" ht="17.100000000000001" customHeight="1">
      <c r="A33" s="68"/>
      <c r="B33" s="65">
        <v>25</v>
      </c>
      <c r="C33" s="15">
        <f>Electricity!C32</f>
        <v>4</v>
      </c>
      <c r="D33" s="15">
        <f>Electricity!D32</f>
        <v>47</v>
      </c>
      <c r="E33" s="2">
        <v>14.0600000000004</v>
      </c>
      <c r="F33" s="10">
        <v>56.633680000001604</v>
      </c>
      <c r="G33" s="19">
        <f t="shared" si="2"/>
        <v>897077.49120002543</v>
      </c>
      <c r="H33" s="2">
        <v>638.79999999999995</v>
      </c>
      <c r="I33" s="19">
        <f t="shared" si="6"/>
        <v>0</v>
      </c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113097.59999999999</v>
      </c>
      <c r="Q33" s="16">
        <f t="shared" si="5"/>
        <v>1010175.0912000254</v>
      </c>
      <c r="R33" s="66">
        <f t="shared" si="1"/>
        <v>71.284672302591588</v>
      </c>
      <c r="S33" s="58"/>
    </row>
    <row r="34" spans="1:21" ht="17.100000000000001" customHeight="1">
      <c r="A34" s="68"/>
      <c r="B34" s="65">
        <v>26</v>
      </c>
      <c r="C34" s="15">
        <f>Electricity!C33</f>
        <v>10</v>
      </c>
      <c r="D34" s="15">
        <f>Electricity!D33</f>
        <v>16</v>
      </c>
      <c r="E34" s="2">
        <v>10.739999999999782</v>
      </c>
      <c r="F34" s="10">
        <v>43.260719999999118</v>
      </c>
      <c r="G34" s="19">
        <f t="shared" si="2"/>
        <v>685249.80479998607</v>
      </c>
      <c r="H34" s="2">
        <v>638.79999999999995</v>
      </c>
      <c r="I34" s="19">
        <f t="shared" si="6"/>
        <v>0</v>
      </c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113097.59999999999</v>
      </c>
      <c r="Q34" s="16">
        <f t="shared" si="5"/>
        <v>798347.40479998605</v>
      </c>
      <c r="R34" s="66">
        <f t="shared" si="1"/>
        <v>56.336702053488537</v>
      </c>
      <c r="S34" s="58"/>
    </row>
    <row r="35" spans="1:21" ht="17.100000000000001" customHeight="1">
      <c r="A35" s="68"/>
      <c r="B35" s="65">
        <v>27</v>
      </c>
      <c r="C35" s="15">
        <f>Electricity!C34</f>
        <v>4</v>
      </c>
      <c r="D35" s="15">
        <f>Electricity!D34</f>
        <v>44</v>
      </c>
      <c r="E35" s="2">
        <v>12.210000000000036</v>
      </c>
      <c r="F35" s="10">
        <v>49.181880000000142</v>
      </c>
      <c r="G35" s="19">
        <f t="shared" si="2"/>
        <v>779040.97920000227</v>
      </c>
      <c r="H35" s="2">
        <v>638.79999999999995</v>
      </c>
      <c r="I35" s="19">
        <f t="shared" si="6"/>
        <v>0</v>
      </c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113097.59999999999</v>
      </c>
      <c r="Q35" s="16">
        <f t="shared" si="5"/>
        <v>892138.57920000225</v>
      </c>
      <c r="R35" s="66">
        <f t="shared" si="1"/>
        <v>62.955231049326244</v>
      </c>
      <c r="S35" s="58"/>
    </row>
    <row r="36" spans="1:21" ht="17.100000000000001" customHeight="1">
      <c r="A36" s="68"/>
      <c r="B36" s="65">
        <v>28</v>
      </c>
      <c r="C36" s="15">
        <f>Electricity!C35</f>
        <v>3</v>
      </c>
      <c r="D36" s="15">
        <f>Electricity!D35</f>
        <v>23</v>
      </c>
      <c r="E36" s="2">
        <v>11.670000000000073</v>
      </c>
      <c r="F36" s="10">
        <v>47.006760000000291</v>
      </c>
      <c r="G36" s="19">
        <f t="shared" si="2"/>
        <v>744587.07840000466</v>
      </c>
      <c r="H36" s="2">
        <v>638.79999999999995</v>
      </c>
      <c r="I36" s="19">
        <f t="shared" si="6"/>
        <v>0</v>
      </c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113097.59999999999</v>
      </c>
      <c r="Q36" s="16">
        <f t="shared" si="5"/>
        <v>857684.67840000463</v>
      </c>
      <c r="R36" s="66">
        <f t="shared" si="1"/>
        <v>60.523934683508898</v>
      </c>
      <c r="S36" s="58"/>
    </row>
    <row r="37" spans="1:21" ht="17.100000000000001" customHeight="1">
      <c r="A37" s="68"/>
      <c r="B37" s="65">
        <v>29</v>
      </c>
      <c r="C37" s="15">
        <f>Electricity!C36</f>
        <v>2</v>
      </c>
      <c r="D37" s="15">
        <f>Electricity!D36</f>
        <v>18</v>
      </c>
      <c r="E37" s="2">
        <v>10.779999999999745</v>
      </c>
      <c r="F37" s="10">
        <v>43.421839999998973</v>
      </c>
      <c r="G37" s="19">
        <f t="shared" si="2"/>
        <v>687801.94559998368</v>
      </c>
      <c r="H37" s="2">
        <v>638.79999999999995</v>
      </c>
      <c r="I37" s="19">
        <f t="shared" si="6"/>
        <v>0</v>
      </c>
      <c r="J37" s="19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113097.59999999999</v>
      </c>
      <c r="Q37" s="16">
        <f t="shared" si="5"/>
        <v>800899.54559998366</v>
      </c>
      <c r="R37" s="66">
        <f t="shared" si="1"/>
        <v>56.516798080585964</v>
      </c>
      <c r="S37" s="58"/>
    </row>
    <row r="38" spans="1:21" ht="17.100000000000001" customHeight="1">
      <c r="A38" s="68"/>
      <c r="B38" s="65">
        <v>30</v>
      </c>
      <c r="C38" s="15">
        <f>Electricity!C37</f>
        <v>5</v>
      </c>
      <c r="D38" s="15">
        <f>Electricity!D37</f>
        <v>13</v>
      </c>
      <c r="E38" s="2">
        <v>12.420000000000073</v>
      </c>
      <c r="F38" s="10">
        <v>50.027760000000285</v>
      </c>
      <c r="G38" s="19">
        <f t="shared" si="2"/>
        <v>792439.71840000455</v>
      </c>
      <c r="H38" s="2">
        <v>638.79999999999995</v>
      </c>
      <c r="I38" s="19">
        <f t="shared" si="6"/>
        <v>0</v>
      </c>
      <c r="J38" s="19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113097.59999999999</v>
      </c>
      <c r="Q38" s="16">
        <f t="shared" si="5"/>
        <v>905537.31840000453</v>
      </c>
      <c r="R38" s="66">
        <f t="shared" si="1"/>
        <v>63.900735191588772</v>
      </c>
      <c r="S38" s="58"/>
    </row>
    <row r="39" spans="1:21" ht="17.100000000000001" customHeight="1">
      <c r="B39" s="65"/>
      <c r="C39" s="15"/>
      <c r="D39" s="15"/>
      <c r="E39" s="2"/>
      <c r="F39" s="10"/>
      <c r="G39" s="19"/>
      <c r="H39" s="2"/>
      <c r="I39" s="19"/>
      <c r="J39" s="19"/>
      <c r="K39" s="2"/>
      <c r="L39" s="10"/>
      <c r="M39" s="11"/>
      <c r="N39" s="2"/>
      <c r="O39" s="10"/>
      <c r="P39" s="10"/>
      <c r="Q39" s="16"/>
      <c r="R39" s="66"/>
    </row>
    <row r="40" spans="1:21" ht="15.75">
      <c r="C40" s="40">
        <f>SUM(C9:C39)</f>
        <v>194</v>
      </c>
      <c r="D40" s="40">
        <f>SUM(D9:D39)</f>
        <v>961</v>
      </c>
      <c r="E40" s="18"/>
      <c r="F40" s="18">
        <f>SUM(F9:F39)</f>
        <v>1454.0677199999986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214.19999999999982</v>
      </c>
      <c r="P40" s="9"/>
      <c r="Q40"/>
      <c r="R40" s="42">
        <f>SUM(R9:R39)</f>
        <v>1864.7491838825761</v>
      </c>
      <c r="U40" s="31"/>
    </row>
    <row r="41" spans="1:21">
      <c r="E41" s="24"/>
      <c r="F41" s="25"/>
      <c r="G41" s="21"/>
      <c r="H41" s="21"/>
      <c r="I41" s="21"/>
      <c r="J41" s="21"/>
      <c r="K41" s="21"/>
      <c r="L41" s="21"/>
      <c r="M41" s="21"/>
      <c r="N41" s="8"/>
      <c r="O41" s="25"/>
      <c r="P41" s="26"/>
      <c r="Q41" s="18"/>
      <c r="R41" s="21"/>
      <c r="U41" s="29"/>
    </row>
    <row r="42" spans="1:21">
      <c r="B42" s="76" t="s">
        <v>29</v>
      </c>
      <c r="E42" s="8"/>
      <c r="F42" s="9"/>
      <c r="G42" s="9"/>
      <c r="H42" s="9"/>
      <c r="I42" s="9"/>
      <c r="J42" s="9"/>
      <c r="K42" s="9"/>
      <c r="L42" s="9"/>
      <c r="M42" s="21"/>
      <c r="N42" s="8"/>
      <c r="O42" s="9"/>
      <c r="P42" s="9"/>
      <c r="Q42" s="17"/>
      <c r="R42" s="34"/>
    </row>
    <row r="43" spans="1:21">
      <c r="E43" s="77"/>
      <c r="F43" s="77"/>
      <c r="G43" s="77"/>
      <c r="H43" s="77"/>
      <c r="I43" s="77"/>
      <c r="J43" s="77"/>
      <c r="K43" s="77"/>
      <c r="L43" s="77"/>
      <c r="M43" s="78"/>
      <c r="N43" s="77"/>
      <c r="O43" s="77"/>
      <c r="P43" s="89" t="s">
        <v>45</v>
      </c>
      <c r="Q43" s="89"/>
      <c r="R43" s="35"/>
    </row>
    <row r="44" spans="1:21">
      <c r="Q44" s="32">
        <f>F40+O40</f>
        <v>1668.2677199999985</v>
      </c>
      <c r="R44" s="35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9" activePane="bottomRight" state="frozen"/>
      <selection pane="bottomRight" activeCell="D9" sqref="D9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3" t="s">
        <v>46</v>
      </c>
      <c r="C1" s="83"/>
      <c r="D1" s="83"/>
      <c r="E1" s="83"/>
      <c r="F1" s="83"/>
      <c r="G1" s="83"/>
      <c r="H1" s="83"/>
    </row>
    <row r="2" spans="1:9" ht="15.75">
      <c r="B2" s="83" t="s">
        <v>16</v>
      </c>
      <c r="C2" s="83"/>
      <c r="D2" s="83"/>
      <c r="E2" s="83"/>
      <c r="F2" s="83"/>
      <c r="G2" s="83"/>
      <c r="H2" s="83"/>
    </row>
    <row r="3" spans="1:9">
      <c r="B3" s="5"/>
      <c r="C3" s="4"/>
      <c r="D3" s="13"/>
      <c r="E3" s="13"/>
      <c r="F3" s="79"/>
      <c r="G3" s="79"/>
      <c r="H3" s="4"/>
    </row>
    <row r="4" spans="1:9">
      <c r="A4" s="59"/>
      <c r="B4" s="90">
        <v>44501</v>
      </c>
      <c r="C4" s="90"/>
      <c r="D4" s="90"/>
      <c r="E4" s="90"/>
      <c r="F4" s="90"/>
      <c r="G4" s="90"/>
      <c r="H4" s="90"/>
      <c r="I4" s="7"/>
    </row>
    <row r="5" spans="1:9" ht="12.75" customHeight="1">
      <c r="A5" s="60"/>
      <c r="B5" s="82" t="s">
        <v>17</v>
      </c>
      <c r="C5" s="82" t="s">
        <v>18</v>
      </c>
      <c r="D5" s="82" t="s">
        <v>13</v>
      </c>
      <c r="E5" s="82" t="s">
        <v>47</v>
      </c>
      <c r="F5" s="82"/>
      <c r="G5" s="82"/>
      <c r="H5" s="82" t="s">
        <v>23</v>
      </c>
      <c r="I5" s="57"/>
    </row>
    <row r="6" spans="1:9">
      <c r="A6" s="60"/>
      <c r="B6" s="82"/>
      <c r="C6" s="82"/>
      <c r="D6" s="82"/>
      <c r="E6" s="82"/>
      <c r="F6" s="82"/>
      <c r="G6" s="82"/>
      <c r="H6" s="82"/>
      <c r="I6" s="57"/>
    </row>
    <row r="7" spans="1:9" s="6" customFormat="1" ht="31.5" customHeight="1">
      <c r="A7" s="60"/>
      <c r="B7" s="82"/>
      <c r="C7" s="82"/>
      <c r="D7" s="82"/>
      <c r="E7" s="61" t="s">
        <v>37</v>
      </c>
      <c r="F7" s="94" t="s">
        <v>48</v>
      </c>
      <c r="G7" s="62" t="s">
        <v>41</v>
      </c>
      <c r="H7" s="82"/>
      <c r="I7" s="57"/>
    </row>
    <row r="8" spans="1:9" s="6" customFormat="1">
      <c r="A8" s="60"/>
      <c r="B8" s="82"/>
      <c r="C8" s="82"/>
      <c r="D8" s="82"/>
      <c r="E8" s="63">
        <v>2167</v>
      </c>
      <c r="F8" s="94"/>
      <c r="G8" s="62">
        <v>10700</v>
      </c>
      <c r="H8" s="82"/>
      <c r="I8" s="57"/>
    </row>
    <row r="9" spans="1:9" ht="17.100000000000001" customHeight="1">
      <c r="A9" s="64"/>
      <c r="B9" s="65">
        <v>1</v>
      </c>
      <c r="C9" s="28">
        <f>Gas!C9</f>
        <v>8</v>
      </c>
      <c r="D9" s="28">
        <f>Gas!D9</f>
        <v>31</v>
      </c>
      <c r="E9" s="14">
        <v>2612</v>
      </c>
      <c r="F9" s="22">
        <v>12</v>
      </c>
      <c r="G9" s="22">
        <f t="shared" ref="G9:G38" si="0">F9*$G$8</f>
        <v>128400</v>
      </c>
      <c r="H9" s="66">
        <f>G9/14171</f>
        <v>9.0607578858231594</v>
      </c>
      <c r="I9" s="58"/>
    </row>
    <row r="10" spans="1:9" ht="17.100000000000001" customHeight="1">
      <c r="A10" s="64"/>
      <c r="B10" s="65">
        <v>2</v>
      </c>
      <c r="C10" s="28">
        <f>Gas!C10</f>
        <v>4</v>
      </c>
      <c r="D10" s="28">
        <f>Gas!D10</f>
        <v>28</v>
      </c>
      <c r="E10" s="14">
        <v>2612</v>
      </c>
      <c r="F10" s="22">
        <v>0</v>
      </c>
      <c r="G10" s="22">
        <f>F10*$G$8</f>
        <v>0</v>
      </c>
      <c r="H10" s="66">
        <f t="shared" ref="H10:H38" si="1">G10/14171</f>
        <v>0</v>
      </c>
      <c r="I10" s="58"/>
    </row>
    <row r="11" spans="1:9" ht="17.100000000000001" customHeight="1">
      <c r="A11" s="64"/>
      <c r="B11" s="65">
        <v>3</v>
      </c>
      <c r="C11" s="28">
        <f>Gas!C11</f>
        <v>6</v>
      </c>
      <c r="D11" s="28">
        <f>Gas!D11</f>
        <v>21</v>
      </c>
      <c r="E11" s="14">
        <v>2612</v>
      </c>
      <c r="F11" s="22">
        <v>0</v>
      </c>
      <c r="G11" s="22">
        <f t="shared" si="0"/>
        <v>0</v>
      </c>
      <c r="H11" s="66">
        <f t="shared" si="1"/>
        <v>0</v>
      </c>
      <c r="I11" s="58"/>
    </row>
    <row r="12" spans="1:9" ht="17.100000000000001" customHeight="1">
      <c r="A12" s="64"/>
      <c r="B12" s="65">
        <v>4</v>
      </c>
      <c r="C12" s="28">
        <f>Gas!C12</f>
        <v>6</v>
      </c>
      <c r="D12" s="28">
        <f>Gas!D12</f>
        <v>33</v>
      </c>
      <c r="E12" s="14">
        <v>2612</v>
      </c>
      <c r="F12" s="22">
        <v>0</v>
      </c>
      <c r="G12" s="22">
        <f t="shared" si="0"/>
        <v>0</v>
      </c>
      <c r="H12" s="66">
        <f t="shared" si="1"/>
        <v>0</v>
      </c>
      <c r="I12" s="58"/>
    </row>
    <row r="13" spans="1:9" ht="17.100000000000001" customHeight="1">
      <c r="A13" s="64"/>
      <c r="B13" s="65">
        <v>5</v>
      </c>
      <c r="C13" s="28">
        <f>Gas!C13</f>
        <v>3</v>
      </c>
      <c r="D13" s="28">
        <f>Gas!D13</f>
        <v>19</v>
      </c>
      <c r="E13" s="14">
        <v>2612</v>
      </c>
      <c r="F13" s="22">
        <v>0</v>
      </c>
      <c r="G13" s="22">
        <f t="shared" si="0"/>
        <v>0</v>
      </c>
      <c r="H13" s="66">
        <f t="shared" si="1"/>
        <v>0</v>
      </c>
      <c r="I13" s="58"/>
    </row>
    <row r="14" spans="1:9" ht="17.100000000000001" customHeight="1">
      <c r="A14" s="64"/>
      <c r="B14" s="65">
        <v>6</v>
      </c>
      <c r="C14" s="28">
        <f>Gas!C14</f>
        <v>3</v>
      </c>
      <c r="D14" s="28">
        <f>Gas!D14</f>
        <v>25</v>
      </c>
      <c r="E14" s="14">
        <v>2612</v>
      </c>
      <c r="F14" s="22">
        <v>0</v>
      </c>
      <c r="G14" s="22">
        <f t="shared" si="0"/>
        <v>0</v>
      </c>
      <c r="H14" s="66">
        <f t="shared" si="1"/>
        <v>0</v>
      </c>
      <c r="I14" s="58"/>
    </row>
    <row r="15" spans="1:9" ht="17.100000000000001" customHeight="1">
      <c r="A15" s="64"/>
      <c r="B15" s="65">
        <v>7</v>
      </c>
      <c r="C15" s="28">
        <f>Gas!C15</f>
        <v>4</v>
      </c>
      <c r="D15" s="28">
        <f>Gas!D15</f>
        <v>27</v>
      </c>
      <c r="E15" s="14">
        <v>2612</v>
      </c>
      <c r="F15" s="22">
        <v>0</v>
      </c>
      <c r="G15" s="22">
        <f t="shared" si="0"/>
        <v>0</v>
      </c>
      <c r="H15" s="66">
        <f t="shared" si="1"/>
        <v>0</v>
      </c>
      <c r="I15" s="58"/>
    </row>
    <row r="16" spans="1:9" ht="17.100000000000001" customHeight="1">
      <c r="A16" s="64"/>
      <c r="B16" s="65">
        <v>8</v>
      </c>
      <c r="C16" s="28">
        <f>Gas!C16</f>
        <v>5</v>
      </c>
      <c r="D16" s="28">
        <f>Gas!D16</f>
        <v>21</v>
      </c>
      <c r="E16" s="14">
        <v>2612</v>
      </c>
      <c r="F16" s="22">
        <v>0</v>
      </c>
      <c r="G16" s="22">
        <f t="shared" si="0"/>
        <v>0</v>
      </c>
      <c r="H16" s="66">
        <f t="shared" si="1"/>
        <v>0</v>
      </c>
      <c r="I16" s="58"/>
    </row>
    <row r="17" spans="1:9" ht="17.100000000000001" customHeight="1">
      <c r="A17" s="64"/>
      <c r="B17" s="65">
        <v>9</v>
      </c>
      <c r="C17" s="28">
        <f>Gas!C17</f>
        <v>5</v>
      </c>
      <c r="D17" s="28">
        <f>Gas!D17</f>
        <v>45</v>
      </c>
      <c r="E17" s="14">
        <v>2627</v>
      </c>
      <c r="F17" s="22">
        <v>15</v>
      </c>
      <c r="G17" s="22">
        <f t="shared" si="0"/>
        <v>160500</v>
      </c>
      <c r="H17" s="66">
        <f t="shared" si="1"/>
        <v>11.325947357278951</v>
      </c>
      <c r="I17" s="58"/>
    </row>
    <row r="18" spans="1:9" ht="17.100000000000001" customHeight="1">
      <c r="A18" s="64"/>
      <c r="B18" s="65">
        <v>10</v>
      </c>
      <c r="C18" s="28">
        <f>Gas!C18</f>
        <v>5</v>
      </c>
      <c r="D18" s="28">
        <f>Gas!D18</f>
        <v>28</v>
      </c>
      <c r="E18" s="14">
        <v>2627</v>
      </c>
      <c r="F18" s="22">
        <v>0</v>
      </c>
      <c r="G18" s="22">
        <f t="shared" si="0"/>
        <v>0</v>
      </c>
      <c r="H18" s="66">
        <f t="shared" si="1"/>
        <v>0</v>
      </c>
      <c r="I18" s="58"/>
    </row>
    <row r="19" spans="1:9" ht="17.100000000000001" customHeight="1">
      <c r="A19" s="64"/>
      <c r="B19" s="65">
        <v>11</v>
      </c>
      <c r="C19" s="28">
        <f>Gas!C19</f>
        <v>10</v>
      </c>
      <c r="D19" s="28">
        <f>Gas!D19</f>
        <v>51</v>
      </c>
      <c r="E19" s="14">
        <v>2627</v>
      </c>
      <c r="F19" s="22">
        <v>0</v>
      </c>
      <c r="G19" s="22">
        <f t="shared" si="0"/>
        <v>0</v>
      </c>
      <c r="H19" s="66">
        <f t="shared" si="1"/>
        <v>0</v>
      </c>
      <c r="I19" s="58"/>
    </row>
    <row r="20" spans="1:9" ht="17.100000000000001" customHeight="1">
      <c r="A20" s="64"/>
      <c r="B20" s="65">
        <v>12</v>
      </c>
      <c r="C20" s="28">
        <f>Gas!C20</f>
        <v>8</v>
      </c>
      <c r="D20" s="28">
        <f>Gas!D20</f>
        <v>49</v>
      </c>
      <c r="E20" s="14">
        <v>2627</v>
      </c>
      <c r="F20" s="22">
        <v>0</v>
      </c>
      <c r="G20" s="22">
        <f t="shared" si="0"/>
        <v>0</v>
      </c>
      <c r="H20" s="66">
        <f t="shared" si="1"/>
        <v>0</v>
      </c>
      <c r="I20" s="58"/>
    </row>
    <row r="21" spans="1:9" ht="17.100000000000001" customHeight="1">
      <c r="A21" s="64"/>
      <c r="B21" s="65">
        <v>13</v>
      </c>
      <c r="C21" s="28">
        <f>Gas!C21</f>
        <v>10</v>
      </c>
      <c r="D21" s="28">
        <f>Gas!D21</f>
        <v>37</v>
      </c>
      <c r="E21" s="14">
        <v>2627</v>
      </c>
      <c r="F21" s="22">
        <v>0</v>
      </c>
      <c r="G21" s="22">
        <f t="shared" si="0"/>
        <v>0</v>
      </c>
      <c r="H21" s="66">
        <f t="shared" si="1"/>
        <v>0</v>
      </c>
      <c r="I21" s="58"/>
    </row>
    <row r="22" spans="1:9" ht="17.100000000000001" customHeight="1">
      <c r="A22" s="64"/>
      <c r="B22" s="65">
        <v>14</v>
      </c>
      <c r="C22" s="28">
        <f>Gas!C22</f>
        <v>7</v>
      </c>
      <c r="D22" s="28">
        <f>Gas!D22</f>
        <v>45</v>
      </c>
      <c r="E22" s="14">
        <v>2627</v>
      </c>
      <c r="F22" s="22">
        <v>0</v>
      </c>
      <c r="G22" s="22">
        <f t="shared" si="0"/>
        <v>0</v>
      </c>
      <c r="H22" s="66">
        <f t="shared" si="1"/>
        <v>0</v>
      </c>
      <c r="I22" s="58"/>
    </row>
    <row r="23" spans="1:9" ht="17.100000000000001" customHeight="1">
      <c r="A23" s="64"/>
      <c r="B23" s="65">
        <v>15</v>
      </c>
      <c r="C23" s="28">
        <f>Gas!C23</f>
        <v>5</v>
      </c>
      <c r="D23" s="28">
        <f>Gas!D23</f>
        <v>32</v>
      </c>
      <c r="E23" s="14">
        <v>2638</v>
      </c>
      <c r="F23" s="22">
        <v>11</v>
      </c>
      <c r="G23" s="22">
        <f t="shared" si="0"/>
        <v>117700</v>
      </c>
      <c r="H23" s="66">
        <f t="shared" si="1"/>
        <v>8.3056947286712308</v>
      </c>
      <c r="I23" s="58"/>
    </row>
    <row r="24" spans="1:9" ht="17.100000000000001" customHeight="1">
      <c r="A24" s="64"/>
      <c r="B24" s="65">
        <v>16</v>
      </c>
      <c r="C24" s="28">
        <f>Gas!C24</f>
        <v>5</v>
      </c>
      <c r="D24" s="28">
        <f>Gas!D24</f>
        <v>17</v>
      </c>
      <c r="E24" s="14">
        <v>2638</v>
      </c>
      <c r="F24" s="22">
        <v>0</v>
      </c>
      <c r="G24" s="22">
        <f t="shared" si="0"/>
        <v>0</v>
      </c>
      <c r="H24" s="66">
        <f t="shared" si="1"/>
        <v>0</v>
      </c>
      <c r="I24" s="58"/>
    </row>
    <row r="25" spans="1:9" ht="17.100000000000001" customHeight="1">
      <c r="A25" s="64"/>
      <c r="B25" s="65">
        <v>17</v>
      </c>
      <c r="C25" s="28">
        <f>Gas!C25</f>
        <v>8</v>
      </c>
      <c r="D25" s="28">
        <f>Gas!D25</f>
        <v>22</v>
      </c>
      <c r="E25" s="14">
        <v>2638</v>
      </c>
      <c r="F25" s="22">
        <v>0</v>
      </c>
      <c r="G25" s="22">
        <f t="shared" si="0"/>
        <v>0</v>
      </c>
      <c r="H25" s="66">
        <f t="shared" si="1"/>
        <v>0</v>
      </c>
      <c r="I25" s="58"/>
    </row>
    <row r="26" spans="1:9" ht="17.100000000000001" customHeight="1">
      <c r="A26" s="64"/>
      <c r="B26" s="65">
        <v>18</v>
      </c>
      <c r="C26" s="28">
        <f>Gas!C26</f>
        <v>9</v>
      </c>
      <c r="D26" s="28">
        <f>Gas!D26</f>
        <v>21</v>
      </c>
      <c r="E26" s="14">
        <v>2638</v>
      </c>
      <c r="F26" s="22">
        <v>0</v>
      </c>
      <c r="G26" s="22">
        <f t="shared" si="0"/>
        <v>0</v>
      </c>
      <c r="H26" s="66">
        <f t="shared" si="1"/>
        <v>0</v>
      </c>
      <c r="I26" s="58"/>
    </row>
    <row r="27" spans="1:9" ht="17.100000000000001" customHeight="1">
      <c r="A27" s="64"/>
      <c r="B27" s="65">
        <v>19</v>
      </c>
      <c r="C27" s="28">
        <f>Gas!C27</f>
        <v>6</v>
      </c>
      <c r="D27" s="28">
        <f>Gas!D27</f>
        <v>30</v>
      </c>
      <c r="E27" s="14">
        <v>2638</v>
      </c>
      <c r="F27" s="22">
        <v>0</v>
      </c>
      <c r="G27" s="22">
        <f t="shared" si="0"/>
        <v>0</v>
      </c>
      <c r="H27" s="66">
        <f t="shared" si="1"/>
        <v>0</v>
      </c>
      <c r="I27" s="58"/>
    </row>
    <row r="28" spans="1:9" ht="17.100000000000001" customHeight="1">
      <c r="A28" s="64"/>
      <c r="B28" s="65">
        <v>20</v>
      </c>
      <c r="C28" s="28">
        <f>Gas!C28</f>
        <v>8</v>
      </c>
      <c r="D28" s="28">
        <f>Gas!D28</f>
        <v>28</v>
      </c>
      <c r="E28" s="14">
        <v>2638</v>
      </c>
      <c r="F28" s="22">
        <v>0</v>
      </c>
      <c r="G28" s="22">
        <f t="shared" si="0"/>
        <v>0</v>
      </c>
      <c r="H28" s="66">
        <f t="shared" si="1"/>
        <v>0</v>
      </c>
      <c r="I28" s="58"/>
    </row>
    <row r="29" spans="1:9" ht="17.100000000000001" customHeight="1">
      <c r="A29" s="64"/>
      <c r="B29" s="65">
        <v>21</v>
      </c>
      <c r="C29" s="28">
        <f>Gas!C29</f>
        <v>12</v>
      </c>
      <c r="D29" s="28">
        <f>Gas!D29</f>
        <v>55</v>
      </c>
      <c r="E29" s="14">
        <v>2638</v>
      </c>
      <c r="F29" s="22">
        <v>0</v>
      </c>
      <c r="G29" s="22">
        <f t="shared" si="0"/>
        <v>0</v>
      </c>
      <c r="H29" s="66">
        <f t="shared" si="1"/>
        <v>0</v>
      </c>
      <c r="I29" s="58"/>
    </row>
    <row r="30" spans="1:9" ht="17.100000000000001" customHeight="1">
      <c r="A30" s="64"/>
      <c r="B30" s="65">
        <v>22</v>
      </c>
      <c r="C30" s="28">
        <f>Gas!C30</f>
        <v>5</v>
      </c>
      <c r="D30" s="28">
        <f>Gas!D30</f>
        <v>64</v>
      </c>
      <c r="E30" s="14">
        <v>2638</v>
      </c>
      <c r="F30" s="22">
        <v>0</v>
      </c>
      <c r="G30" s="22">
        <f t="shared" si="0"/>
        <v>0</v>
      </c>
      <c r="H30" s="66">
        <f t="shared" si="1"/>
        <v>0</v>
      </c>
      <c r="I30" s="58"/>
    </row>
    <row r="31" spans="1:9" ht="17.100000000000001" customHeight="1">
      <c r="A31" s="64"/>
      <c r="B31" s="65">
        <v>23</v>
      </c>
      <c r="C31" s="28">
        <f>Gas!C31</f>
        <v>11</v>
      </c>
      <c r="D31" s="28">
        <f>Gas!D31</f>
        <v>29</v>
      </c>
      <c r="E31" s="14">
        <v>2638</v>
      </c>
      <c r="F31" s="22">
        <v>0</v>
      </c>
      <c r="G31" s="22">
        <f t="shared" si="0"/>
        <v>0</v>
      </c>
      <c r="H31" s="66">
        <f t="shared" si="1"/>
        <v>0</v>
      </c>
      <c r="I31" s="58"/>
    </row>
    <row r="32" spans="1:9" ht="17.100000000000001" customHeight="1">
      <c r="A32" s="64"/>
      <c r="B32" s="65">
        <v>24</v>
      </c>
      <c r="C32" s="28">
        <f>Gas!C32</f>
        <v>13</v>
      </c>
      <c r="D32" s="28">
        <f>Gas!D32</f>
        <v>42</v>
      </c>
      <c r="E32" s="14">
        <v>2650</v>
      </c>
      <c r="F32" s="22">
        <v>12</v>
      </c>
      <c r="G32" s="22">
        <f t="shared" si="0"/>
        <v>128400</v>
      </c>
      <c r="H32" s="66">
        <f t="shared" si="1"/>
        <v>9.0607578858231594</v>
      </c>
      <c r="I32" s="58"/>
    </row>
    <row r="33" spans="1:11" ht="17.100000000000001" customHeight="1">
      <c r="A33" s="64"/>
      <c r="B33" s="65">
        <v>25</v>
      </c>
      <c r="C33" s="28">
        <f>Gas!C33</f>
        <v>4</v>
      </c>
      <c r="D33" s="28">
        <f>Gas!D33</f>
        <v>47</v>
      </c>
      <c r="E33" s="14">
        <v>2650</v>
      </c>
      <c r="F33" s="22">
        <v>0</v>
      </c>
      <c r="G33" s="22">
        <f t="shared" si="0"/>
        <v>0</v>
      </c>
      <c r="H33" s="66">
        <f t="shared" si="1"/>
        <v>0</v>
      </c>
      <c r="I33" s="58"/>
    </row>
    <row r="34" spans="1:11" ht="17.100000000000001" customHeight="1">
      <c r="A34" s="64"/>
      <c r="B34" s="65">
        <v>26</v>
      </c>
      <c r="C34" s="28">
        <f>Gas!C34</f>
        <v>10</v>
      </c>
      <c r="D34" s="28">
        <f>Gas!D34</f>
        <v>16</v>
      </c>
      <c r="E34" s="14">
        <v>2650</v>
      </c>
      <c r="F34" s="22">
        <v>0</v>
      </c>
      <c r="G34" s="22">
        <f t="shared" si="0"/>
        <v>0</v>
      </c>
      <c r="H34" s="66">
        <f t="shared" si="1"/>
        <v>0</v>
      </c>
      <c r="I34" s="58"/>
    </row>
    <row r="35" spans="1:11" ht="17.100000000000001" customHeight="1">
      <c r="A35" s="64"/>
      <c r="B35" s="65">
        <v>27</v>
      </c>
      <c r="C35" s="28">
        <f>Gas!C35</f>
        <v>4</v>
      </c>
      <c r="D35" s="28">
        <f>Gas!D35</f>
        <v>44</v>
      </c>
      <c r="E35" s="14">
        <v>2650</v>
      </c>
      <c r="F35" s="22">
        <v>0</v>
      </c>
      <c r="G35" s="22">
        <f t="shared" si="0"/>
        <v>0</v>
      </c>
      <c r="H35" s="66">
        <f t="shared" si="1"/>
        <v>0</v>
      </c>
      <c r="I35" s="58"/>
    </row>
    <row r="36" spans="1:11" ht="17.100000000000001" customHeight="1">
      <c r="A36" s="64"/>
      <c r="B36" s="65">
        <v>28</v>
      </c>
      <c r="C36" s="28">
        <f>Gas!C36</f>
        <v>3</v>
      </c>
      <c r="D36" s="28">
        <f>Gas!D36</f>
        <v>23</v>
      </c>
      <c r="E36" s="14">
        <v>2650</v>
      </c>
      <c r="F36" s="22">
        <v>0</v>
      </c>
      <c r="G36" s="22">
        <f t="shared" si="0"/>
        <v>0</v>
      </c>
      <c r="H36" s="66">
        <f t="shared" si="1"/>
        <v>0</v>
      </c>
      <c r="I36" s="58"/>
    </row>
    <row r="37" spans="1:11" ht="17.100000000000001" customHeight="1">
      <c r="A37" s="64"/>
      <c r="B37" s="65">
        <v>29</v>
      </c>
      <c r="C37" s="28">
        <f>Gas!C37</f>
        <v>2</v>
      </c>
      <c r="D37" s="28">
        <f>Gas!D37</f>
        <v>18</v>
      </c>
      <c r="E37" s="14">
        <v>2668</v>
      </c>
      <c r="F37" s="22">
        <v>18</v>
      </c>
      <c r="G37" s="22">
        <f t="shared" si="0"/>
        <v>192600</v>
      </c>
      <c r="H37" s="66">
        <f t="shared" si="1"/>
        <v>13.59113682873474</v>
      </c>
      <c r="I37" s="58"/>
    </row>
    <row r="38" spans="1:11" ht="17.100000000000001" customHeight="1">
      <c r="A38" s="64"/>
      <c r="B38" s="65">
        <v>30</v>
      </c>
      <c r="C38" s="28">
        <f>Gas!C38</f>
        <v>5</v>
      </c>
      <c r="D38" s="28">
        <f>Gas!D38</f>
        <v>13</v>
      </c>
      <c r="E38" s="14">
        <v>2668</v>
      </c>
      <c r="F38" s="22">
        <v>0</v>
      </c>
      <c r="G38" s="22">
        <f t="shared" si="0"/>
        <v>0</v>
      </c>
      <c r="H38" s="66">
        <f t="shared" si="1"/>
        <v>0</v>
      </c>
      <c r="I38" s="58"/>
    </row>
    <row r="39" spans="1:11" ht="17.100000000000001" customHeight="1">
      <c r="A39" s="64"/>
      <c r="B39" s="65"/>
      <c r="C39" s="28"/>
      <c r="D39" s="28"/>
      <c r="E39" s="14"/>
      <c r="F39" s="22"/>
      <c r="G39" s="22"/>
      <c r="H39" s="66"/>
    </row>
    <row r="40" spans="1:11" ht="21.6" customHeight="1">
      <c r="C40" s="18">
        <f>SUM(C9:C39)</f>
        <v>194</v>
      </c>
      <c r="D40" s="18">
        <f>SUM(D9:D39)</f>
        <v>961</v>
      </c>
      <c r="E40" s="18"/>
      <c r="F40" s="18">
        <f>SUM(F9:F39)</f>
        <v>68</v>
      </c>
      <c r="G40" s="18"/>
      <c r="H40" s="39">
        <f>SUM(H9:H39)</f>
        <v>51.344294686331239</v>
      </c>
      <c r="K40" s="31"/>
    </row>
    <row r="41" spans="1:11">
      <c r="E41" s="18"/>
      <c r="F41" s="20"/>
      <c r="G41" s="20"/>
      <c r="H41" s="21"/>
    </row>
    <row r="42" spans="1:11">
      <c r="C42" t="s">
        <v>29</v>
      </c>
      <c r="E42" s="77"/>
      <c r="F42" s="80"/>
      <c r="G42" s="80"/>
    </row>
    <row r="43" spans="1:11">
      <c r="E43" s="77"/>
      <c r="F43" s="80"/>
      <c r="G43" s="80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zoomScaleNormal="100" workbookViewId="0">
      <selection activeCell="D9" sqref="D9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3" t="s">
        <v>49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ht="15.75">
      <c r="B3" s="83" t="s">
        <v>16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5">
        <v>44501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7"/>
    </row>
    <row r="6" spans="1:13" ht="23.25" customHeight="1">
      <c r="A6" s="67"/>
      <c r="B6" s="82" t="s">
        <v>17</v>
      </c>
      <c r="C6" s="82" t="s">
        <v>50</v>
      </c>
      <c r="D6" s="82" t="s">
        <v>13</v>
      </c>
      <c r="E6" s="92" t="s">
        <v>51</v>
      </c>
      <c r="F6" s="92"/>
      <c r="G6" s="93" t="s">
        <v>52</v>
      </c>
      <c r="H6" s="93"/>
      <c r="I6" s="93"/>
      <c r="J6" s="93"/>
      <c r="K6" s="82" t="s">
        <v>53</v>
      </c>
      <c r="L6" s="82" t="s">
        <v>54</v>
      </c>
      <c r="M6" s="57"/>
    </row>
    <row r="7" spans="1:13" s="6" customFormat="1" ht="48" customHeight="1">
      <c r="A7" s="67"/>
      <c r="B7" s="82"/>
      <c r="C7" s="82"/>
      <c r="D7" s="82"/>
      <c r="E7" s="82" t="s">
        <v>55</v>
      </c>
      <c r="F7" s="82" t="s">
        <v>56</v>
      </c>
      <c r="G7" s="82" t="s">
        <v>55</v>
      </c>
      <c r="H7" s="82" t="s">
        <v>57</v>
      </c>
      <c r="I7" s="82" t="s">
        <v>55</v>
      </c>
      <c r="J7" s="82" t="s">
        <v>58</v>
      </c>
      <c r="K7" s="82"/>
      <c r="L7" s="82"/>
      <c r="M7" s="57"/>
    </row>
    <row r="8" spans="1:13" ht="15.75" customHeight="1">
      <c r="A8" s="68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58"/>
    </row>
    <row r="9" spans="1:13" ht="15.75" customHeight="1">
      <c r="A9" s="68"/>
      <c r="B9" s="65">
        <v>1</v>
      </c>
      <c r="C9" s="28">
        <f>'Fuel Diesel'!C9</f>
        <v>8</v>
      </c>
      <c r="D9" s="28">
        <f>'Fuel Diesel'!D9</f>
        <v>31</v>
      </c>
      <c r="E9" s="10">
        <v>0</v>
      </c>
      <c r="F9" s="3">
        <f>E9*13582</f>
        <v>0</v>
      </c>
      <c r="G9" s="10">
        <v>126</v>
      </c>
      <c r="H9" s="3">
        <f>G9*4000</f>
        <v>504000</v>
      </c>
      <c r="I9" s="10">
        <v>189</v>
      </c>
      <c r="J9" s="3">
        <f>I9*4000</f>
        <v>756000</v>
      </c>
      <c r="K9" s="10">
        <f t="shared" ref="K9:K38" si="0">F9+H9+J9</f>
        <v>1260000</v>
      </c>
      <c r="L9" s="69">
        <f>K9/14171</f>
        <v>88.913979253404847</v>
      </c>
      <c r="M9" s="58"/>
    </row>
    <row r="10" spans="1:13" ht="17.100000000000001" customHeight="1">
      <c r="A10" s="68"/>
      <c r="B10" s="65">
        <v>2</v>
      </c>
      <c r="C10" s="28">
        <f>'Fuel Diesel'!C10</f>
        <v>4</v>
      </c>
      <c r="D10" s="28">
        <f>'Fuel Diesel'!D10</f>
        <v>28</v>
      </c>
      <c r="E10" s="10">
        <v>0</v>
      </c>
      <c r="F10" s="3">
        <f>E10*13582</f>
        <v>0</v>
      </c>
      <c r="G10" s="10">
        <v>134</v>
      </c>
      <c r="H10" s="3">
        <f>G10*4000</f>
        <v>536000</v>
      </c>
      <c r="I10" s="10">
        <v>199</v>
      </c>
      <c r="J10" s="3">
        <f>I10*4000</f>
        <v>796000</v>
      </c>
      <c r="K10" s="10">
        <f t="shared" si="0"/>
        <v>1332000</v>
      </c>
      <c r="L10" s="69">
        <f t="shared" ref="L10:L38" si="1">K10/14171</f>
        <v>93.994778067885122</v>
      </c>
      <c r="M10" s="58"/>
    </row>
    <row r="11" spans="1:13" ht="17.100000000000001" customHeight="1">
      <c r="A11" s="68"/>
      <c r="B11" s="65">
        <v>3</v>
      </c>
      <c r="C11" s="28">
        <f>'Fuel Diesel'!C11</f>
        <v>6</v>
      </c>
      <c r="D11" s="28">
        <f>'Fuel Diesel'!D11</f>
        <v>21</v>
      </c>
      <c r="E11" s="10">
        <v>0</v>
      </c>
      <c r="F11" s="3">
        <f t="shared" ref="F11:F38" si="2">E11*13582</f>
        <v>0</v>
      </c>
      <c r="G11" s="10">
        <v>128</v>
      </c>
      <c r="H11" s="3">
        <f t="shared" ref="H11:H38" si="3">G11*4000</f>
        <v>512000</v>
      </c>
      <c r="I11" s="10">
        <v>194</v>
      </c>
      <c r="J11" s="3">
        <f t="shared" ref="J11:J38" si="4">I11*4000</f>
        <v>776000</v>
      </c>
      <c r="K11" s="10">
        <f t="shared" si="0"/>
        <v>1288000</v>
      </c>
      <c r="L11" s="69">
        <f t="shared" si="1"/>
        <v>90.889845459036053</v>
      </c>
      <c r="M11" s="58"/>
    </row>
    <row r="12" spans="1:13" ht="17.100000000000001" customHeight="1">
      <c r="A12" s="68"/>
      <c r="B12" s="65">
        <v>4</v>
      </c>
      <c r="C12" s="28">
        <f>'Fuel Diesel'!C12</f>
        <v>6</v>
      </c>
      <c r="D12" s="28">
        <f>'Fuel Diesel'!D12</f>
        <v>33</v>
      </c>
      <c r="E12" s="10">
        <v>0</v>
      </c>
      <c r="F12" s="3">
        <f t="shared" si="2"/>
        <v>0</v>
      </c>
      <c r="G12" s="10">
        <v>144</v>
      </c>
      <c r="H12" s="3">
        <f t="shared" si="3"/>
        <v>576000</v>
      </c>
      <c r="I12" s="10">
        <v>211</v>
      </c>
      <c r="J12" s="3">
        <f t="shared" si="4"/>
        <v>844000</v>
      </c>
      <c r="K12" s="10">
        <f t="shared" si="0"/>
        <v>1420000</v>
      </c>
      <c r="L12" s="69">
        <f t="shared" si="1"/>
        <v>100.20464328558323</v>
      </c>
      <c r="M12" s="58"/>
    </row>
    <row r="13" spans="1:13" ht="17.100000000000001" customHeight="1">
      <c r="A13" s="68"/>
      <c r="B13" s="65">
        <v>5</v>
      </c>
      <c r="C13" s="28">
        <f>'Fuel Diesel'!C13</f>
        <v>3</v>
      </c>
      <c r="D13" s="28">
        <f>'Fuel Diesel'!D13</f>
        <v>19</v>
      </c>
      <c r="E13" s="10">
        <v>0</v>
      </c>
      <c r="F13" s="3">
        <f t="shared" si="2"/>
        <v>0</v>
      </c>
      <c r="G13" s="10">
        <v>152</v>
      </c>
      <c r="H13" s="3">
        <f t="shared" si="3"/>
        <v>608000</v>
      </c>
      <c r="I13" s="10">
        <v>225</v>
      </c>
      <c r="J13" s="3">
        <f t="shared" si="4"/>
        <v>900000</v>
      </c>
      <c r="K13" s="10">
        <f t="shared" si="0"/>
        <v>1508000</v>
      </c>
      <c r="L13" s="69">
        <f t="shared" si="1"/>
        <v>106.41450850328135</v>
      </c>
      <c r="M13" s="58"/>
    </row>
    <row r="14" spans="1:13" ht="17.100000000000001" customHeight="1">
      <c r="A14" s="68"/>
      <c r="B14" s="65">
        <v>6</v>
      </c>
      <c r="C14" s="28">
        <f>'Fuel Diesel'!C14</f>
        <v>3</v>
      </c>
      <c r="D14" s="28">
        <f>'Fuel Diesel'!D14</f>
        <v>25</v>
      </c>
      <c r="E14" s="10">
        <v>0</v>
      </c>
      <c r="F14" s="3">
        <f t="shared" si="2"/>
        <v>0</v>
      </c>
      <c r="G14" s="10">
        <v>152</v>
      </c>
      <c r="H14" s="3">
        <f t="shared" si="3"/>
        <v>608000</v>
      </c>
      <c r="I14" s="10">
        <v>224</v>
      </c>
      <c r="J14" s="3">
        <f t="shared" si="4"/>
        <v>896000</v>
      </c>
      <c r="K14" s="10">
        <f t="shared" si="0"/>
        <v>1504000</v>
      </c>
      <c r="L14" s="69">
        <f t="shared" si="1"/>
        <v>106.13224190247689</v>
      </c>
      <c r="M14" s="58"/>
    </row>
    <row r="15" spans="1:13" ht="17.100000000000001" customHeight="1">
      <c r="A15" s="68"/>
      <c r="B15" s="65">
        <v>7</v>
      </c>
      <c r="C15" s="28">
        <f>'Fuel Diesel'!C15</f>
        <v>4</v>
      </c>
      <c r="D15" s="28">
        <f>'Fuel Diesel'!D15</f>
        <v>27</v>
      </c>
      <c r="E15" s="10">
        <v>0</v>
      </c>
      <c r="F15" s="3">
        <f t="shared" si="2"/>
        <v>0</v>
      </c>
      <c r="G15" s="10">
        <v>119</v>
      </c>
      <c r="H15" s="3">
        <f t="shared" si="3"/>
        <v>476000</v>
      </c>
      <c r="I15" s="10">
        <v>174</v>
      </c>
      <c r="J15" s="3">
        <f t="shared" si="4"/>
        <v>696000</v>
      </c>
      <c r="K15" s="10">
        <f t="shared" si="0"/>
        <v>1172000</v>
      </c>
      <c r="L15" s="69">
        <f t="shared" si="1"/>
        <v>82.704114035706723</v>
      </c>
      <c r="M15" s="58"/>
    </row>
    <row r="16" spans="1:13" ht="17.100000000000001" customHeight="1">
      <c r="A16" s="68"/>
      <c r="B16" s="65">
        <v>8</v>
      </c>
      <c r="C16" s="28">
        <f>'Fuel Diesel'!C16</f>
        <v>5</v>
      </c>
      <c r="D16" s="28">
        <f>'Fuel Diesel'!D16</f>
        <v>21</v>
      </c>
      <c r="E16" s="10">
        <v>0</v>
      </c>
      <c r="F16" s="3">
        <f t="shared" si="2"/>
        <v>0</v>
      </c>
      <c r="G16" s="10">
        <v>111</v>
      </c>
      <c r="H16" s="3">
        <f t="shared" si="3"/>
        <v>444000</v>
      </c>
      <c r="I16" s="10">
        <v>166</v>
      </c>
      <c r="J16" s="3">
        <f t="shared" si="4"/>
        <v>664000</v>
      </c>
      <c r="K16" s="10">
        <f t="shared" si="0"/>
        <v>1108000</v>
      </c>
      <c r="L16" s="69">
        <f t="shared" si="1"/>
        <v>78.187848422835373</v>
      </c>
      <c r="M16" s="58"/>
    </row>
    <row r="17" spans="1:13" ht="17.100000000000001" customHeight="1">
      <c r="A17" s="68"/>
      <c r="B17" s="65">
        <v>9</v>
      </c>
      <c r="C17" s="28">
        <f>'Fuel Diesel'!C17</f>
        <v>5</v>
      </c>
      <c r="D17" s="28">
        <f>'Fuel Diesel'!D17</f>
        <v>45</v>
      </c>
      <c r="E17" s="10">
        <v>0</v>
      </c>
      <c r="F17" s="3">
        <f t="shared" si="2"/>
        <v>0</v>
      </c>
      <c r="G17" s="10">
        <v>127</v>
      </c>
      <c r="H17" s="3">
        <f t="shared" si="3"/>
        <v>508000</v>
      </c>
      <c r="I17" s="10">
        <v>190</v>
      </c>
      <c r="J17" s="3">
        <f t="shared" si="4"/>
        <v>760000</v>
      </c>
      <c r="K17" s="10">
        <f t="shared" si="0"/>
        <v>1268000</v>
      </c>
      <c r="L17" s="69">
        <f t="shared" si="1"/>
        <v>89.478512455013757</v>
      </c>
      <c r="M17" s="58"/>
    </row>
    <row r="18" spans="1:13" ht="17.100000000000001" customHeight="1">
      <c r="A18" s="68"/>
      <c r="B18" s="65">
        <v>10</v>
      </c>
      <c r="C18" s="28">
        <f>'Fuel Diesel'!C18</f>
        <v>5</v>
      </c>
      <c r="D18" s="28">
        <f>'Fuel Diesel'!D18</f>
        <v>28</v>
      </c>
      <c r="E18" s="10">
        <v>0</v>
      </c>
      <c r="F18" s="3">
        <f t="shared" si="2"/>
        <v>0</v>
      </c>
      <c r="G18" s="10">
        <v>122</v>
      </c>
      <c r="H18" s="3">
        <f t="shared" si="3"/>
        <v>488000</v>
      </c>
      <c r="I18" s="10">
        <v>189</v>
      </c>
      <c r="J18" s="3">
        <f t="shared" si="4"/>
        <v>756000</v>
      </c>
      <c r="K18" s="10">
        <f t="shared" si="0"/>
        <v>1244000</v>
      </c>
      <c r="L18" s="69">
        <f t="shared" si="1"/>
        <v>87.784912850186998</v>
      </c>
      <c r="M18" s="58"/>
    </row>
    <row r="19" spans="1:13" ht="17.100000000000001" customHeight="1">
      <c r="A19" s="68"/>
      <c r="B19" s="65">
        <v>11</v>
      </c>
      <c r="C19" s="28">
        <f>'Fuel Diesel'!C19</f>
        <v>10</v>
      </c>
      <c r="D19" s="28">
        <f>'Fuel Diesel'!D19</f>
        <v>51</v>
      </c>
      <c r="E19" s="10">
        <v>0</v>
      </c>
      <c r="F19" s="3">
        <f t="shared" si="2"/>
        <v>0</v>
      </c>
      <c r="G19" s="10">
        <v>127</v>
      </c>
      <c r="H19" s="3">
        <f t="shared" si="3"/>
        <v>508000</v>
      </c>
      <c r="I19" s="10">
        <v>185</v>
      </c>
      <c r="J19" s="3">
        <f t="shared" si="4"/>
        <v>740000</v>
      </c>
      <c r="K19" s="10">
        <f t="shared" si="0"/>
        <v>1248000</v>
      </c>
      <c r="L19" s="69">
        <f t="shared" si="1"/>
        <v>88.06717945099146</v>
      </c>
      <c r="M19" s="58"/>
    </row>
    <row r="20" spans="1:13" ht="17.100000000000001" customHeight="1">
      <c r="A20" s="68"/>
      <c r="B20" s="65">
        <v>12</v>
      </c>
      <c r="C20" s="28">
        <f>'Fuel Diesel'!C20</f>
        <v>8</v>
      </c>
      <c r="D20" s="28">
        <f>'Fuel Diesel'!D20</f>
        <v>49</v>
      </c>
      <c r="E20" s="10">
        <v>0</v>
      </c>
      <c r="F20" s="3">
        <f t="shared" si="2"/>
        <v>0</v>
      </c>
      <c r="G20" s="10">
        <v>115</v>
      </c>
      <c r="H20" s="3">
        <f>G20*4000</f>
        <v>460000</v>
      </c>
      <c r="I20" s="10">
        <v>194</v>
      </c>
      <c r="J20" s="3">
        <f t="shared" si="4"/>
        <v>776000</v>
      </c>
      <c r="K20" s="10">
        <f t="shared" si="0"/>
        <v>1236000</v>
      </c>
      <c r="L20" s="69">
        <f t="shared" si="1"/>
        <v>87.220379648578088</v>
      </c>
      <c r="M20" s="58"/>
    </row>
    <row r="21" spans="1:13" ht="17.100000000000001" customHeight="1">
      <c r="A21" s="68"/>
      <c r="B21" s="65">
        <v>13</v>
      </c>
      <c r="C21" s="28">
        <f>'Fuel Diesel'!C21</f>
        <v>10</v>
      </c>
      <c r="D21" s="28">
        <f>'Fuel Diesel'!D21</f>
        <v>37</v>
      </c>
      <c r="E21" s="10">
        <v>0</v>
      </c>
      <c r="F21" s="3">
        <f t="shared" si="2"/>
        <v>0</v>
      </c>
      <c r="G21" s="10">
        <v>134</v>
      </c>
      <c r="H21" s="3">
        <f t="shared" si="3"/>
        <v>536000</v>
      </c>
      <c r="I21" s="10">
        <v>181</v>
      </c>
      <c r="J21" s="3">
        <f t="shared" si="4"/>
        <v>724000</v>
      </c>
      <c r="K21" s="10">
        <f t="shared" si="0"/>
        <v>1260000</v>
      </c>
      <c r="L21" s="69">
        <f t="shared" si="1"/>
        <v>88.913979253404847</v>
      </c>
      <c r="M21" s="58"/>
    </row>
    <row r="22" spans="1:13" ht="17.100000000000001" customHeight="1">
      <c r="A22" s="68"/>
      <c r="B22" s="65">
        <v>14</v>
      </c>
      <c r="C22" s="28">
        <f>'Fuel Diesel'!C22</f>
        <v>7</v>
      </c>
      <c r="D22" s="28">
        <f>'Fuel Diesel'!D22</f>
        <v>45</v>
      </c>
      <c r="E22" s="10">
        <v>0</v>
      </c>
      <c r="F22" s="3">
        <f t="shared" si="2"/>
        <v>0</v>
      </c>
      <c r="G22" s="10">
        <v>124</v>
      </c>
      <c r="H22" s="3">
        <f t="shared" si="3"/>
        <v>496000</v>
      </c>
      <c r="I22" s="10">
        <v>187</v>
      </c>
      <c r="J22" s="3">
        <f t="shared" si="4"/>
        <v>748000</v>
      </c>
      <c r="K22" s="10">
        <f t="shared" si="0"/>
        <v>1244000</v>
      </c>
      <c r="L22" s="69">
        <f t="shared" si="1"/>
        <v>87.784912850186998</v>
      </c>
      <c r="M22" s="58"/>
    </row>
    <row r="23" spans="1:13" ht="17.100000000000001" customHeight="1">
      <c r="A23" s="68"/>
      <c r="B23" s="65">
        <v>15</v>
      </c>
      <c r="C23" s="28">
        <f>'Fuel Diesel'!C23</f>
        <v>5</v>
      </c>
      <c r="D23" s="28">
        <f>'Fuel Diesel'!D23</f>
        <v>32</v>
      </c>
      <c r="E23" s="10">
        <v>0</v>
      </c>
      <c r="F23" s="3">
        <f t="shared" si="2"/>
        <v>0</v>
      </c>
      <c r="G23" s="10">
        <v>112</v>
      </c>
      <c r="H23" s="3">
        <f t="shared" si="3"/>
        <v>448000</v>
      </c>
      <c r="I23" s="10">
        <v>177</v>
      </c>
      <c r="J23" s="3">
        <f t="shared" si="4"/>
        <v>708000</v>
      </c>
      <c r="K23" s="10">
        <f t="shared" si="0"/>
        <v>1156000</v>
      </c>
      <c r="L23" s="69">
        <f t="shared" si="1"/>
        <v>81.575047632488889</v>
      </c>
      <c r="M23" s="58"/>
    </row>
    <row r="24" spans="1:13" ht="17.100000000000001" customHeight="1">
      <c r="A24" s="68"/>
      <c r="B24" s="65">
        <v>16</v>
      </c>
      <c r="C24" s="28">
        <f>'Fuel Diesel'!C24</f>
        <v>5</v>
      </c>
      <c r="D24" s="28">
        <f>'Fuel Diesel'!D24</f>
        <v>17</v>
      </c>
      <c r="E24" s="10">
        <v>0</v>
      </c>
      <c r="F24" s="3">
        <f t="shared" si="2"/>
        <v>0</v>
      </c>
      <c r="G24" s="10">
        <v>128</v>
      </c>
      <c r="H24" s="3">
        <f t="shared" si="3"/>
        <v>512000</v>
      </c>
      <c r="I24" s="10">
        <v>184</v>
      </c>
      <c r="J24" s="3">
        <f t="shared" si="4"/>
        <v>736000</v>
      </c>
      <c r="K24" s="10">
        <f t="shared" si="0"/>
        <v>1248000</v>
      </c>
      <c r="L24" s="69">
        <f t="shared" si="1"/>
        <v>88.06717945099146</v>
      </c>
      <c r="M24" s="58"/>
    </row>
    <row r="25" spans="1:13" ht="17.100000000000001" customHeight="1">
      <c r="A25" s="68"/>
      <c r="B25" s="65">
        <v>17</v>
      </c>
      <c r="C25" s="28">
        <f>'Fuel Diesel'!C25</f>
        <v>8</v>
      </c>
      <c r="D25" s="28">
        <f>'Fuel Diesel'!D25</f>
        <v>22</v>
      </c>
      <c r="E25" s="10">
        <v>0</v>
      </c>
      <c r="F25" s="3">
        <f t="shared" si="2"/>
        <v>0</v>
      </c>
      <c r="G25" s="10">
        <v>133</v>
      </c>
      <c r="H25" s="3">
        <f t="shared" si="3"/>
        <v>532000</v>
      </c>
      <c r="I25" s="10">
        <v>208</v>
      </c>
      <c r="J25" s="3">
        <f t="shared" si="4"/>
        <v>832000</v>
      </c>
      <c r="K25" s="10">
        <f t="shared" si="0"/>
        <v>1364000</v>
      </c>
      <c r="L25" s="69">
        <f t="shared" si="1"/>
        <v>96.25291087432079</v>
      </c>
      <c r="M25" s="58"/>
    </row>
    <row r="26" spans="1:13" ht="17.100000000000001" customHeight="1">
      <c r="A26" s="68"/>
      <c r="B26" s="65">
        <v>18</v>
      </c>
      <c r="C26" s="28">
        <f>'Fuel Diesel'!C26</f>
        <v>9</v>
      </c>
      <c r="D26" s="28">
        <f>'Fuel Diesel'!D26</f>
        <v>21</v>
      </c>
      <c r="E26" s="10">
        <v>0</v>
      </c>
      <c r="F26" s="3">
        <f t="shared" si="2"/>
        <v>0</v>
      </c>
      <c r="G26" s="10">
        <v>153</v>
      </c>
      <c r="H26" s="3">
        <f t="shared" si="3"/>
        <v>612000</v>
      </c>
      <c r="I26" s="10">
        <v>218</v>
      </c>
      <c r="J26" s="3">
        <f t="shared" si="4"/>
        <v>872000</v>
      </c>
      <c r="K26" s="10">
        <f t="shared" si="0"/>
        <v>1484000</v>
      </c>
      <c r="L26" s="69">
        <f t="shared" si="1"/>
        <v>104.7209088984546</v>
      </c>
      <c r="M26" s="58"/>
    </row>
    <row r="27" spans="1:13" ht="17.100000000000001" customHeight="1">
      <c r="A27" s="68"/>
      <c r="B27" s="65">
        <v>19</v>
      </c>
      <c r="C27" s="28">
        <f>'Fuel Diesel'!C27</f>
        <v>6</v>
      </c>
      <c r="D27" s="28">
        <f>'Fuel Diesel'!D27</f>
        <v>30</v>
      </c>
      <c r="E27" s="10">
        <v>0</v>
      </c>
      <c r="F27" s="3">
        <f t="shared" si="2"/>
        <v>0</v>
      </c>
      <c r="G27" s="10">
        <v>150</v>
      </c>
      <c r="H27" s="3">
        <f t="shared" si="3"/>
        <v>600000</v>
      </c>
      <c r="I27" s="10">
        <v>227</v>
      </c>
      <c r="J27" s="3">
        <f t="shared" si="4"/>
        <v>908000</v>
      </c>
      <c r="K27" s="10">
        <f t="shared" si="0"/>
        <v>1508000</v>
      </c>
      <c r="L27" s="69">
        <f t="shared" si="1"/>
        <v>106.41450850328135</v>
      </c>
      <c r="M27" s="58"/>
    </row>
    <row r="28" spans="1:13" ht="17.100000000000001" customHeight="1">
      <c r="A28" s="68"/>
      <c r="B28" s="65">
        <v>20</v>
      </c>
      <c r="C28" s="28">
        <f>'Fuel Diesel'!C28</f>
        <v>8</v>
      </c>
      <c r="D28" s="28">
        <f>'Fuel Diesel'!D28</f>
        <v>28</v>
      </c>
      <c r="E28" s="10">
        <v>0</v>
      </c>
      <c r="F28" s="3">
        <f t="shared" si="2"/>
        <v>0</v>
      </c>
      <c r="G28" s="10">
        <v>129</v>
      </c>
      <c r="H28" s="3">
        <f t="shared" si="3"/>
        <v>516000</v>
      </c>
      <c r="I28" s="10">
        <v>201</v>
      </c>
      <c r="J28" s="3">
        <f t="shared" si="4"/>
        <v>804000</v>
      </c>
      <c r="K28" s="10">
        <f t="shared" si="0"/>
        <v>1320000</v>
      </c>
      <c r="L28" s="69">
        <f t="shared" si="1"/>
        <v>93.147978265471735</v>
      </c>
      <c r="M28" s="58"/>
    </row>
    <row r="29" spans="1:13" ht="17.100000000000001" customHeight="1">
      <c r="A29" s="68"/>
      <c r="B29" s="65">
        <v>21</v>
      </c>
      <c r="C29" s="28">
        <f>'Fuel Diesel'!C29</f>
        <v>12</v>
      </c>
      <c r="D29" s="28">
        <f>'Fuel Diesel'!D29</f>
        <v>55</v>
      </c>
      <c r="E29" s="10">
        <v>0</v>
      </c>
      <c r="F29" s="3">
        <f t="shared" si="2"/>
        <v>0</v>
      </c>
      <c r="G29" s="10">
        <v>147</v>
      </c>
      <c r="H29" s="3">
        <f t="shared" si="3"/>
        <v>588000</v>
      </c>
      <c r="I29" s="10">
        <v>217</v>
      </c>
      <c r="J29" s="3">
        <f t="shared" si="4"/>
        <v>868000</v>
      </c>
      <c r="K29" s="10">
        <f t="shared" si="0"/>
        <v>1456000</v>
      </c>
      <c r="L29" s="69">
        <f t="shared" si="1"/>
        <v>102.74504269282338</v>
      </c>
      <c r="M29" s="58"/>
    </row>
    <row r="30" spans="1:13" ht="17.100000000000001" customHeight="1">
      <c r="A30" s="68"/>
      <c r="B30" s="65">
        <v>22</v>
      </c>
      <c r="C30" s="28">
        <f>'Fuel Diesel'!C30</f>
        <v>5</v>
      </c>
      <c r="D30" s="28">
        <f>'Fuel Diesel'!D30</f>
        <v>64</v>
      </c>
      <c r="E30" s="10">
        <v>0</v>
      </c>
      <c r="F30" s="3">
        <f t="shared" si="2"/>
        <v>0</v>
      </c>
      <c r="G30" s="10">
        <v>161</v>
      </c>
      <c r="H30" s="3">
        <f t="shared" si="3"/>
        <v>644000</v>
      </c>
      <c r="I30" s="10">
        <v>234</v>
      </c>
      <c r="J30" s="3">
        <f t="shared" si="4"/>
        <v>936000</v>
      </c>
      <c r="K30" s="10">
        <f t="shared" si="0"/>
        <v>1580000</v>
      </c>
      <c r="L30" s="69">
        <f t="shared" si="1"/>
        <v>111.49530731776163</v>
      </c>
      <c r="M30" s="58"/>
    </row>
    <row r="31" spans="1:13" ht="17.100000000000001" customHeight="1">
      <c r="A31" s="68"/>
      <c r="B31" s="65">
        <v>23</v>
      </c>
      <c r="C31" s="28">
        <f>'Fuel Diesel'!C31</f>
        <v>11</v>
      </c>
      <c r="D31" s="28">
        <f>'Fuel Diesel'!D31</f>
        <v>29</v>
      </c>
      <c r="E31" s="10">
        <v>0</v>
      </c>
      <c r="F31" s="3">
        <f t="shared" si="2"/>
        <v>0</v>
      </c>
      <c r="G31" s="10">
        <v>160</v>
      </c>
      <c r="H31" s="3">
        <f t="shared" si="3"/>
        <v>640000</v>
      </c>
      <c r="I31" s="10">
        <v>239</v>
      </c>
      <c r="J31" s="3">
        <f t="shared" si="4"/>
        <v>956000</v>
      </c>
      <c r="K31" s="10">
        <f t="shared" si="0"/>
        <v>1596000</v>
      </c>
      <c r="L31" s="69">
        <f t="shared" si="1"/>
        <v>112.62437372097946</v>
      </c>
      <c r="M31" s="58"/>
    </row>
    <row r="32" spans="1:13" ht="17.100000000000001" customHeight="1">
      <c r="A32" s="68"/>
      <c r="B32" s="65">
        <v>24</v>
      </c>
      <c r="C32" s="28">
        <f>'Fuel Diesel'!C32</f>
        <v>13</v>
      </c>
      <c r="D32" s="28">
        <f>'Fuel Diesel'!D32</f>
        <v>42</v>
      </c>
      <c r="E32" s="10">
        <v>0</v>
      </c>
      <c r="F32" s="3">
        <f t="shared" si="2"/>
        <v>0</v>
      </c>
      <c r="G32" s="10">
        <v>163</v>
      </c>
      <c r="H32" s="3">
        <f t="shared" si="3"/>
        <v>652000</v>
      </c>
      <c r="I32" s="10">
        <v>247</v>
      </c>
      <c r="J32" s="3">
        <f t="shared" si="4"/>
        <v>988000</v>
      </c>
      <c r="K32" s="10">
        <f t="shared" si="0"/>
        <v>1640000</v>
      </c>
      <c r="L32" s="69">
        <f t="shared" si="1"/>
        <v>115.72930632982852</v>
      </c>
      <c r="M32" s="58"/>
    </row>
    <row r="33" spans="1:15" ht="17.100000000000001" customHeight="1">
      <c r="A33" s="68"/>
      <c r="B33" s="65">
        <v>25</v>
      </c>
      <c r="C33" s="28">
        <f>'Fuel Diesel'!C33</f>
        <v>4</v>
      </c>
      <c r="D33" s="28">
        <f>'Fuel Diesel'!D33</f>
        <v>47</v>
      </c>
      <c r="E33" s="10">
        <v>0</v>
      </c>
      <c r="F33" s="3">
        <f t="shared" si="2"/>
        <v>0</v>
      </c>
      <c r="G33" s="10">
        <v>166</v>
      </c>
      <c r="H33" s="3">
        <f t="shared" si="3"/>
        <v>664000</v>
      </c>
      <c r="I33" s="10">
        <v>244</v>
      </c>
      <c r="J33" s="3">
        <f t="shared" si="4"/>
        <v>976000</v>
      </c>
      <c r="K33" s="10">
        <f t="shared" si="0"/>
        <v>1640000</v>
      </c>
      <c r="L33" s="69">
        <f t="shared" si="1"/>
        <v>115.72930632982852</v>
      </c>
      <c r="M33" s="58"/>
    </row>
    <row r="34" spans="1:15" ht="17.100000000000001" customHeight="1">
      <c r="A34" s="68"/>
      <c r="B34" s="65">
        <v>26</v>
      </c>
      <c r="C34" s="28">
        <f>'Fuel Diesel'!C34</f>
        <v>10</v>
      </c>
      <c r="D34" s="28">
        <f>'Fuel Diesel'!D34</f>
        <v>16</v>
      </c>
      <c r="E34" s="10">
        <v>0</v>
      </c>
      <c r="F34" s="3">
        <f t="shared" si="2"/>
        <v>0</v>
      </c>
      <c r="G34" s="10">
        <v>164</v>
      </c>
      <c r="H34" s="3">
        <f t="shared" si="3"/>
        <v>656000</v>
      </c>
      <c r="I34" s="10">
        <v>249</v>
      </c>
      <c r="J34" s="3">
        <f t="shared" si="4"/>
        <v>996000</v>
      </c>
      <c r="K34" s="10">
        <f t="shared" si="0"/>
        <v>1652000</v>
      </c>
      <c r="L34" s="69">
        <f t="shared" si="1"/>
        <v>116.5761061322419</v>
      </c>
      <c r="M34" s="58"/>
    </row>
    <row r="35" spans="1:15" ht="17.100000000000001" customHeight="1">
      <c r="A35" s="68"/>
      <c r="B35" s="65">
        <v>27</v>
      </c>
      <c r="C35" s="28">
        <f>'Fuel Diesel'!C35</f>
        <v>4</v>
      </c>
      <c r="D35" s="28">
        <f>'Fuel Diesel'!D35</f>
        <v>44</v>
      </c>
      <c r="E35" s="10">
        <v>0</v>
      </c>
      <c r="F35" s="3">
        <f t="shared" si="2"/>
        <v>0</v>
      </c>
      <c r="G35" s="10">
        <v>163</v>
      </c>
      <c r="H35" s="3">
        <f t="shared" si="3"/>
        <v>652000</v>
      </c>
      <c r="I35" s="10">
        <v>238</v>
      </c>
      <c r="J35" s="3">
        <f t="shared" si="4"/>
        <v>952000</v>
      </c>
      <c r="K35" s="10">
        <f t="shared" si="0"/>
        <v>1604000</v>
      </c>
      <c r="L35" s="69">
        <f t="shared" si="1"/>
        <v>113.18890692258839</v>
      </c>
      <c r="M35" s="58"/>
    </row>
    <row r="36" spans="1:15" ht="17.100000000000001" customHeight="1">
      <c r="A36" s="68"/>
      <c r="B36" s="65">
        <v>28</v>
      </c>
      <c r="C36" s="28">
        <f>'Fuel Diesel'!C36</f>
        <v>3</v>
      </c>
      <c r="D36" s="28">
        <f>'Fuel Diesel'!D36</f>
        <v>23</v>
      </c>
      <c r="E36" s="10">
        <v>0</v>
      </c>
      <c r="F36" s="3">
        <f t="shared" si="2"/>
        <v>0</v>
      </c>
      <c r="G36" s="10">
        <v>148</v>
      </c>
      <c r="H36" s="3">
        <f t="shared" si="3"/>
        <v>592000</v>
      </c>
      <c r="I36" s="10">
        <v>222</v>
      </c>
      <c r="J36" s="3">
        <f t="shared" si="4"/>
        <v>888000</v>
      </c>
      <c r="K36" s="10">
        <f t="shared" si="0"/>
        <v>1480000</v>
      </c>
      <c r="L36" s="69">
        <f t="shared" si="1"/>
        <v>104.43864229765013</v>
      </c>
      <c r="M36" s="58"/>
    </row>
    <row r="37" spans="1:15" ht="17.100000000000001" customHeight="1">
      <c r="A37" s="68"/>
      <c r="B37" s="65">
        <v>29</v>
      </c>
      <c r="C37" s="28">
        <f>'Fuel Diesel'!C37</f>
        <v>2</v>
      </c>
      <c r="D37" s="28">
        <f>'Fuel Diesel'!D37</f>
        <v>18</v>
      </c>
      <c r="E37" s="10">
        <v>0</v>
      </c>
      <c r="F37" s="3">
        <f t="shared" si="2"/>
        <v>0</v>
      </c>
      <c r="G37" s="10">
        <v>151</v>
      </c>
      <c r="H37" s="3">
        <f t="shared" si="3"/>
        <v>604000</v>
      </c>
      <c r="I37" s="10">
        <v>225</v>
      </c>
      <c r="J37" s="3">
        <f t="shared" si="4"/>
        <v>900000</v>
      </c>
      <c r="K37" s="10">
        <f t="shared" si="0"/>
        <v>1504000</v>
      </c>
      <c r="L37" s="69">
        <f t="shared" si="1"/>
        <v>106.13224190247689</v>
      </c>
      <c r="M37" s="58"/>
    </row>
    <row r="38" spans="1:15" ht="17.100000000000001" customHeight="1">
      <c r="A38" s="68"/>
      <c r="B38" s="65">
        <v>30</v>
      </c>
      <c r="C38" s="28">
        <f>'Fuel Diesel'!C38</f>
        <v>5</v>
      </c>
      <c r="D38" s="28">
        <f>'Fuel Diesel'!D38</f>
        <v>13</v>
      </c>
      <c r="E38" s="10">
        <v>0</v>
      </c>
      <c r="F38" s="3">
        <f t="shared" si="2"/>
        <v>0</v>
      </c>
      <c r="G38" s="10">
        <v>143</v>
      </c>
      <c r="H38" s="3">
        <f t="shared" si="3"/>
        <v>572000</v>
      </c>
      <c r="I38" s="10">
        <v>227</v>
      </c>
      <c r="J38" s="3">
        <f t="shared" si="4"/>
        <v>908000</v>
      </c>
      <c r="K38" s="10">
        <f t="shared" si="0"/>
        <v>1480000</v>
      </c>
      <c r="L38" s="69">
        <f t="shared" si="1"/>
        <v>104.43864229765013</v>
      </c>
      <c r="M38" s="58"/>
    </row>
    <row r="39" spans="1:15" ht="17.100000000000001" customHeight="1">
      <c r="B39" s="65"/>
      <c r="C39" s="28"/>
      <c r="D39" s="28"/>
      <c r="E39" s="10"/>
      <c r="F39" s="3"/>
      <c r="G39" s="10"/>
      <c r="H39" s="3"/>
      <c r="I39" s="10"/>
      <c r="J39" s="3"/>
      <c r="K39" s="10"/>
      <c r="L39" s="69"/>
    </row>
    <row r="40" spans="1:15" ht="15.75">
      <c r="C40" s="18">
        <f>SUM(C9:C39)</f>
        <v>194</v>
      </c>
      <c r="D40" s="18">
        <f>SUM(D9:D39)</f>
        <v>961</v>
      </c>
      <c r="E40" s="18">
        <v>0</v>
      </c>
      <c r="G40" s="18">
        <f>SUM(G9:G39)</f>
        <v>4186</v>
      </c>
      <c r="I40" s="18">
        <f>SUM(I9:I39)</f>
        <v>6265</v>
      </c>
      <c r="J40" s="30">
        <f>G40+I40</f>
        <v>10451</v>
      </c>
      <c r="K40" s="37"/>
      <c r="L40" s="41">
        <f>SUM(L9:L39)</f>
        <v>2949.9682450074092</v>
      </c>
      <c r="O40" s="31" t="e">
        <f>#REF!+#REF!+#REF!+#REF!+#REF!+#REF!+#REF!+#REF!+#REF!+#REF!+L40+#REF!</f>
        <v>#REF!</v>
      </c>
    </row>
    <row r="41" spans="1:15">
      <c r="I41" s="34">
        <f>G40+I40</f>
        <v>10451</v>
      </c>
      <c r="L41" s="33"/>
    </row>
    <row r="42" spans="1:15">
      <c r="C42" t="s">
        <v>29</v>
      </c>
      <c r="E42" s="6"/>
      <c r="F42" s="6"/>
      <c r="G42" s="6"/>
      <c r="H42" s="6"/>
      <c r="I42" s="81"/>
      <c r="J42" s="81"/>
      <c r="L42" s="36"/>
    </row>
    <row r="43" spans="1:15">
      <c r="E43" s="6"/>
      <c r="F43" s="6"/>
      <c r="G43" s="6"/>
      <c r="H43" s="6"/>
      <c r="I43" s="81"/>
      <c r="J43" s="81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AB89D-D990-403A-B702-FC0420BC18FA}"/>
</file>

<file path=customXml/itemProps2.xml><?xml version="1.0" encoding="utf-8"?>
<ds:datastoreItem xmlns:ds="http://schemas.openxmlformats.org/officeDocument/2006/customXml" ds:itemID="{E143D614-412F-4192-BCF4-77B0CB6FE242}"/>
</file>

<file path=customXml/itemProps3.xml><?xml version="1.0" encoding="utf-8"?>
<ds:datastoreItem xmlns:ds="http://schemas.openxmlformats.org/officeDocument/2006/customXml" ds:itemID="{4134D393-047B-49CF-9F36-A750D6470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