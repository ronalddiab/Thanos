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Q20" i="7" l="1"/>
  <c r="Q8" i="7"/>
  <c r="Q9" i="7"/>
  <c r="Q10" i="7"/>
  <c r="Q11" i="7"/>
  <c r="Q12" i="7"/>
  <c r="Q13" i="7"/>
  <c r="Q14" i="7"/>
  <c r="Q15" i="7"/>
  <c r="Q16" i="7"/>
  <c r="Q17" i="7"/>
  <c r="Q18" i="7"/>
  <c r="Q19" i="7"/>
  <c r="AV8" i="7" l="1"/>
  <c r="AV9" i="7"/>
  <c r="AV10" i="7"/>
  <c r="AV11" i="7"/>
  <c r="AV12" i="7"/>
  <c r="AV13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W36" i="7" l="1"/>
  <c r="R31" i="9"/>
  <c r="AN37" i="7"/>
  <c r="M32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AN36" i="7"/>
  <c r="M31" i="9"/>
  <c r="AK36" i="7"/>
  <c r="J31" i="9"/>
  <c r="AH36" i="7"/>
  <c r="G31" i="9"/>
  <c r="AG36" i="7"/>
  <c r="F31" i="9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G23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O26" i="7"/>
  <c r="N21" i="9"/>
  <c r="AK26" i="7"/>
  <c r="J21" i="9"/>
  <c r="AG26" i="7"/>
  <c r="F21" i="9"/>
  <c r="AR26" i="7"/>
  <c r="Q21" i="9"/>
  <c r="AL26" i="7"/>
  <c r="K21" i="9"/>
  <c r="AH26" i="7"/>
  <c r="G21" i="9"/>
  <c r="R20" i="9"/>
  <c r="G20" i="5" s="1"/>
  <c r="AL25" i="7"/>
  <c r="K20" i="9"/>
  <c r="AG25" i="7"/>
  <c r="F20" i="9"/>
  <c r="AR25" i="7"/>
  <c r="Q20" i="9"/>
  <c r="AJ25" i="7"/>
  <c r="I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<sst xmlns="http://schemas.openxmlformats.org/spreadsheetml/2006/main" count="128" uniqueCount="49">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</sst>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Submetering!R12</f>
        <v>782.82278799999995</v>
      </c>
      <c r="H12" s="11">
        <v>0.52800000000000002</v>
      </c>
      <c r="I12" s="12">
        <f>Hotel!B17</f>
        <v>63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53020</v>
      </c>
      <c r="F13" s="11">
        <v>5.0000000000000001E-3</v>
      </c>
      <c r="G13" s="12">
        <f>Submetering!R13</f>
        <v>696.5154399999999</v>
      </c>
      <c r="H13" s="11">
        <v>0.52800000000000002</v>
      </c>
      <c r="I13" s="12">
        <f>Hotel!B18</f>
        <v>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51160</v>
      </c>
      <c r="F14" s="11">
        <v>5.0000000000000001E-3</v>
      </c>
      <c r="G14" s="12">
        <f>Submetering!R14</f>
        <v>107.505644</v>
      </c>
      <c r="H14" s="11">
        <v>0.52800000000000002</v>
      </c>
      <c r="I14" s="12">
        <f>Hotel!B19</f>
        <v>60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53850</v>
      </c>
      <c r="F15" s="11">
        <v>5.0000000000000001E-3</v>
      </c>
      <c r="G15" s="12">
        <f>Submetering!R15</f>
        <v>1097.0118179999999</v>
      </c>
      <c r="H15" s="11">
        <v>0.52800000000000002</v>
      </c>
      <c r="I15" s="12">
        <f>Hotel!B20</f>
        <v>97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53180</v>
      </c>
      <c r="F16" s="11">
        <v>5.0000000000000001E-3</v>
      </c>
      <c r="G16" s="12">
        <f>Submetering!R16</f>
        <v>675.69568500000003</v>
      </c>
      <c r="H16" s="11">
        <v>0.52800000000000002</v>
      </c>
      <c r="I16" s="12">
        <f>Hotel!B21</f>
        <v>121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52370</v>
      </c>
      <c r="F17" s="11">
        <v>5.0000000000000001E-3</v>
      </c>
      <c r="G17" s="12">
        <f>Submetering!R17</f>
        <v>701.43647299999998</v>
      </c>
      <c r="H17" s="11">
        <v>0.52800000000000002</v>
      </c>
      <c r="I17" s="12">
        <f>Hotel!B22</f>
        <v>67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51640</v>
      </c>
      <c r="F18" s="11">
        <v>5.0000000000000001E-3</v>
      </c>
      <c r="G18" s="12">
        <f>Submetering!R18</f>
        <v>702.95063700000003</v>
      </c>
      <c r="H18" s="11">
        <v>0.52800000000000002</v>
      </c>
      <c r="I18" s="12">
        <f>Hotel!B23</f>
        <v>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51910</v>
      </c>
      <c r="F19" s="11">
        <v>5.0000000000000001E-3</v>
      </c>
      <c r="G19" s="12">
        <f>Submetering!R19</f>
        <v>578.41064800000004</v>
      </c>
      <c r="H19" s="11">
        <v>0.52800000000000002</v>
      </c>
      <c r="I19" s="12">
        <f>Hotel!B24</f>
        <v>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48530</v>
      </c>
      <c r="F20" s="11">
        <v>5.0000000000000001E-3</v>
      </c>
      <c r="G20" s="12">
        <f>Submetering!R20</f>
        <v>673.42443900000001</v>
      </c>
      <c r="H20" s="11">
        <v>0.52800000000000002</v>
      </c>
      <c r="I20" s="12">
        <f>Hotel!B25</f>
        <v>47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50480</v>
      </c>
      <c r="F21" s="11">
        <v>5.0000000000000001E-3</v>
      </c>
      <c r="G21" s="12">
        <f>Submetering!R21</f>
        <v>571.59690999999998</v>
      </c>
      <c r="H21" s="11">
        <v>0.52800000000000002</v>
      </c>
      <c r="I21" s="12">
        <f>Hotel!B26</f>
        <v>55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55740</v>
      </c>
      <c r="F22" s="11">
        <v>5.0000000000000001E-3</v>
      </c>
      <c r="G22" s="12">
        <f>Submetering!R22</f>
        <v>582.95313999999996</v>
      </c>
      <c r="H22" s="11">
        <v>0.52800000000000002</v>
      </c>
      <c r="I22" s="12">
        <f>Hotel!B27</f>
        <v>110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53540</v>
      </c>
      <c r="F23" s="11">
        <v>5.0000000000000001E-3</v>
      </c>
      <c r="G23" s="12">
        <f>Submetering!R23</f>
        <v>738.15494999999999</v>
      </c>
      <c r="H23" s="11">
        <v>0.52800000000000002</v>
      </c>
      <c r="I23" s="12">
        <f>Hotel!B28</f>
        <v>126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54830</v>
      </c>
      <c r="F24" s="11">
        <v>5.0000000000000001E-3</v>
      </c>
      <c r="G24" s="12">
        <f>Submetering!R24</f>
        <v>631.02784700000007</v>
      </c>
      <c r="H24" s="11">
        <v>0.52800000000000002</v>
      </c>
      <c r="I24" s="12">
        <f>Hotel!B29</f>
        <v>68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51560</v>
      </c>
      <c r="F25" s="11">
        <v>5.0000000000000001E-3</v>
      </c>
      <c r="G25" s="12">
        <f>Submetering!R25</f>
        <v>492.86038200000002</v>
      </c>
      <c r="H25" s="11">
        <v>0.52800000000000002</v>
      </c>
      <c r="I25" s="12">
        <f>Hotel!B30</f>
        <v>85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54870</v>
      </c>
      <c r="F26" s="11">
        <v>5.0000000000000001E-3</v>
      </c>
      <c r="G26" s="12">
        <f>Submetering!R26</f>
        <v>607.55830500000002</v>
      </c>
      <c r="H26" s="11">
        <v>0.52800000000000002</v>
      </c>
      <c r="I26" s="12">
        <f>Hotel!B31</f>
        <v>66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49365</v>
      </c>
      <c r="F27" s="11">
        <v>5.0000000000000001E-3</v>
      </c>
      <c r="G27" s="12">
        <f>Submetering!R27</f>
        <v>648.44073300000002</v>
      </c>
      <c r="H27" s="11">
        <v>0.52800000000000002</v>
      </c>
      <c r="I27" s="12">
        <f>Hotel!B32</f>
        <v>66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49355</v>
      </c>
      <c r="F28" s="11">
        <v>5.0000000000000001E-3</v>
      </c>
      <c r="G28" s="12">
        <f>Submetering!R28</f>
        <v>546.99174499999992</v>
      </c>
      <c r="H28" s="11">
        <v>0.52800000000000002</v>
      </c>
      <c r="I28" s="12">
        <f>Hotel!B33</f>
        <v>80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53500</v>
      </c>
      <c r="F29" s="11">
        <v>5.0000000000000001E-3</v>
      </c>
      <c r="G29" s="12">
        <f>Submetering!R29</f>
        <v>780.93008299999997</v>
      </c>
      <c r="H29" s="11">
        <v>0.52800000000000002</v>
      </c>
      <c r="I29" s="12">
        <f>Hotel!B34</f>
        <v>133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54470</v>
      </c>
      <c r="F30" s="11">
        <v>5.0000000000000001E-3</v>
      </c>
      <c r="G30" s="12">
        <f>Submetering!R30</f>
        <v>442.89297000000005</v>
      </c>
      <c r="H30" s="11">
        <v>0.52800000000000002</v>
      </c>
      <c r="I30" s="12">
        <f>Hotel!B35</f>
        <v>146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56730</v>
      </c>
      <c r="F31" s="11">
        <v>5.0000000000000001E-3</v>
      </c>
      <c r="G31" s="12">
        <f>Submetering!R31</f>
        <v>931.58940099999995</v>
      </c>
      <c r="H31" s="11">
        <v>0.52800000000000002</v>
      </c>
      <c r="I31" s="12">
        <f>Hotel!B36</f>
        <v>72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48190</v>
      </c>
      <c r="F32" s="11">
        <v>5.0000000000000001E-3</v>
      </c>
      <c r="G32" s="12">
        <f>Submetering!R32</f>
        <v>700.30084999999997</v>
      </c>
      <c r="H32" s="11">
        <v>0.52800000000000002</v>
      </c>
      <c r="I32" s="12">
        <f>Hotel!B37</f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Hotel!AV17*0.00378541*100</f>
        <v>782.82278799999995</v>
      </c>
      <c r="S12" s="4">
        <f>Hotel!B17</f>
        <v>63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540</v>
      </c>
      <c r="F13" s="4">
        <f>Hotel!R18</f>
        <v>1840</v>
      </c>
      <c r="G13" s="4">
        <f>Hotel!S18</f>
        <v>2430</v>
      </c>
      <c r="H13" s="4">
        <f>Hotel!T18</f>
        <v>1410</v>
      </c>
      <c r="I13" s="4">
        <f>Hotel!U18</f>
        <v>5150</v>
      </c>
      <c r="J13" s="4">
        <f>Hotel!V18</f>
        <v>3400</v>
      </c>
      <c r="K13" s="4">
        <f>Hotel!W18</f>
        <v>2330</v>
      </c>
      <c r="L13" s="4">
        <f>Hotel!X18</f>
        <v>3830</v>
      </c>
      <c r="M13" s="4">
        <f>Hotel!Y18</f>
        <v>5600</v>
      </c>
      <c r="N13" s="4">
        <f>Hotel!Z18</f>
        <v>2290</v>
      </c>
      <c r="O13" s="4">
        <f>Hotel!AA18</f>
        <v>3370</v>
      </c>
      <c r="P13" s="4">
        <f>Hotel!AB18</f>
        <v>6440</v>
      </c>
      <c r="Q13" s="4">
        <f>Hotel!AC18</f>
        <v>14390</v>
      </c>
      <c r="R13" s="4">
        <f>Hotel!AV18*0.00378541*100</f>
        <v>696.5154399999999</v>
      </c>
      <c r="S13" s="4">
        <f>Hotel!B18</f>
        <v>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540</v>
      </c>
      <c r="F14" s="4">
        <f>Hotel!R19</f>
        <v>1890</v>
      </c>
      <c r="G14" s="4">
        <f>Hotel!S19</f>
        <v>1620</v>
      </c>
      <c r="H14" s="4">
        <f>Hotel!T19</f>
        <v>2420</v>
      </c>
      <c r="I14" s="4">
        <f>Hotel!U19</f>
        <v>5230</v>
      </c>
      <c r="J14" s="4">
        <f>Hotel!V19</f>
        <v>3370</v>
      </c>
      <c r="K14" s="4">
        <f>Hotel!W19</f>
        <v>2410</v>
      </c>
      <c r="L14" s="4">
        <f>Hotel!X19</f>
        <v>3670</v>
      </c>
      <c r="M14" s="4">
        <f>Hotel!Y19</f>
        <v>5400</v>
      </c>
      <c r="N14" s="4">
        <f>Hotel!Z19</f>
        <v>2390</v>
      </c>
      <c r="O14" s="4">
        <f>Hotel!AA19</f>
        <v>3540</v>
      </c>
      <c r="P14" s="4">
        <f>Hotel!AB19</f>
        <v>6580</v>
      </c>
      <c r="Q14" s="4">
        <f>Hotel!AC19</f>
        <v>12100</v>
      </c>
      <c r="R14" s="4">
        <f>Hotel!AV19*0.00378541*100</f>
        <v>107.505644</v>
      </c>
      <c r="S14" s="4">
        <f>Hotel!B19</f>
        <v>60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560</v>
      </c>
      <c r="F15" s="4">
        <f>Hotel!R20</f>
        <v>1950</v>
      </c>
      <c r="G15" s="4">
        <f>Hotel!S20</f>
        <v>30</v>
      </c>
      <c r="H15" s="4">
        <f>Hotel!T20</f>
        <v>4200</v>
      </c>
      <c r="I15" s="4">
        <f>Hotel!U20</f>
        <v>5590</v>
      </c>
      <c r="J15" s="4">
        <f>Hotel!V20</f>
        <v>3480</v>
      </c>
      <c r="K15" s="4">
        <f>Hotel!W20</f>
        <v>2470</v>
      </c>
      <c r="L15" s="4">
        <f>Hotel!X20</f>
        <v>3910</v>
      </c>
      <c r="M15" s="4">
        <f>Hotel!Y20</f>
        <v>5880</v>
      </c>
      <c r="N15" s="4">
        <f>Hotel!Z20</f>
        <v>2640</v>
      </c>
      <c r="O15" s="4">
        <f>Hotel!AA20</f>
        <v>3810</v>
      </c>
      <c r="P15" s="4">
        <f>Hotel!AB20</f>
        <v>6900</v>
      </c>
      <c r="Q15" s="4">
        <f>Hotel!AC20</f>
        <v>12430</v>
      </c>
      <c r="R15" s="4">
        <f>Hotel!AV20*0.00378541*100</f>
        <v>1097.0118179999999</v>
      </c>
      <c r="S15" s="4">
        <f>Hotel!B20</f>
        <v>97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530</v>
      </c>
      <c r="F16" s="4">
        <f>Hotel!R21</f>
        <v>1860</v>
      </c>
      <c r="G16" s="4">
        <f>Hotel!S21</f>
        <v>20</v>
      </c>
      <c r="H16" s="4">
        <f>Hotel!T21</f>
        <v>4110</v>
      </c>
      <c r="I16" s="4">
        <f>Hotel!U21</f>
        <v>5430</v>
      </c>
      <c r="J16" s="4">
        <f>Hotel!V21</f>
        <v>3320</v>
      </c>
      <c r="K16" s="4">
        <f>Hotel!W21</f>
        <v>2370</v>
      </c>
      <c r="L16" s="4">
        <f>Hotel!X21</f>
        <v>4050</v>
      </c>
      <c r="M16" s="4">
        <f>Hotel!Y21</f>
        <v>5990</v>
      </c>
      <c r="N16" s="4">
        <f>Hotel!Z21</f>
        <v>2610</v>
      </c>
      <c r="O16" s="4">
        <f>Hotel!AA21</f>
        <v>3740</v>
      </c>
      <c r="P16" s="4">
        <f>Hotel!AB21</f>
        <v>6910</v>
      </c>
      <c r="Q16" s="4">
        <f>Hotel!AC21</f>
        <v>12240</v>
      </c>
      <c r="R16" s="4">
        <f>Hotel!AV21*0.00378541*100</f>
        <v>675.69568500000003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540</v>
      </c>
      <c r="F17" s="4">
        <f>Hotel!R22</f>
        <v>1860</v>
      </c>
      <c r="G17" s="4">
        <f>Hotel!S22</f>
        <v>1860</v>
      </c>
      <c r="H17" s="4">
        <f>Hotel!T22</f>
        <v>2260</v>
      </c>
      <c r="I17" s="4">
        <f>Hotel!U22</f>
        <v>5580</v>
      </c>
      <c r="J17" s="4">
        <f>Hotel!V22</f>
        <v>3370</v>
      </c>
      <c r="K17" s="4">
        <f>Hotel!W22</f>
        <v>2370</v>
      </c>
      <c r="L17" s="4">
        <f>Hotel!X22</f>
        <v>3850</v>
      </c>
      <c r="M17" s="4">
        <f>Hotel!Y22</f>
        <v>6030</v>
      </c>
      <c r="N17" s="4">
        <f>Hotel!Z22</f>
        <v>2580</v>
      </c>
      <c r="O17" s="4">
        <f>Hotel!AA22</f>
        <v>3740</v>
      </c>
      <c r="P17" s="4">
        <f>Hotel!AB22</f>
        <v>6860</v>
      </c>
      <c r="Q17" s="4">
        <f>Hotel!AC22</f>
        <v>11470</v>
      </c>
      <c r="R17" s="4">
        <f>Hotel!AV22*0.00378541*100</f>
        <v>701.43647299999998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560</v>
      </c>
      <c r="F18" s="4">
        <f>Hotel!R23</f>
        <v>1910</v>
      </c>
      <c r="G18" s="4">
        <f>Hotel!S23</f>
        <v>2860</v>
      </c>
      <c r="H18" s="4">
        <f>Hotel!T23</f>
        <v>1470</v>
      </c>
      <c r="I18" s="4">
        <f>Hotel!U23</f>
        <v>5390</v>
      </c>
      <c r="J18" s="4">
        <f>Hotel!V23</f>
        <v>3410</v>
      </c>
      <c r="K18" s="4">
        <f>Hotel!W23</f>
        <v>2430</v>
      </c>
      <c r="L18" s="4">
        <f>Hotel!X23</f>
        <v>3730</v>
      </c>
      <c r="M18" s="4">
        <f>Hotel!Y23</f>
        <v>5880</v>
      </c>
      <c r="N18" s="4">
        <f>Hotel!Z23</f>
        <v>2610</v>
      </c>
      <c r="O18" s="4">
        <f>Hotel!AA23</f>
        <v>3580</v>
      </c>
      <c r="P18" s="4">
        <f>Hotel!AB23</f>
        <v>6940</v>
      </c>
      <c r="Q18" s="4">
        <f>Hotel!AC23</f>
        <v>10870</v>
      </c>
      <c r="R18" s="4">
        <f>Hotel!AV23*0.00378541*100</f>
        <v>702.95063700000003</v>
      </c>
      <c r="S18" s="4">
        <f>Hotel!B23</f>
        <v>38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550</v>
      </c>
      <c r="F19" s="4">
        <f>Hotel!R24</f>
        <v>1910</v>
      </c>
      <c r="G19" s="4">
        <f>Hotel!S24</f>
        <v>2710</v>
      </c>
      <c r="H19" s="4">
        <f>Hotel!T24</f>
        <v>1450</v>
      </c>
      <c r="I19" s="4">
        <f>Hotel!U24</f>
        <v>5060</v>
      </c>
      <c r="J19" s="4">
        <f>Hotel!V24</f>
        <v>3330</v>
      </c>
      <c r="K19" s="4">
        <f>Hotel!W24</f>
        <v>2430</v>
      </c>
      <c r="L19" s="4">
        <f>Hotel!X24</f>
        <v>3920</v>
      </c>
      <c r="M19" s="4">
        <f>Hotel!Y24</f>
        <v>5740</v>
      </c>
      <c r="N19" s="4">
        <f>Hotel!Z24</f>
        <v>2620</v>
      </c>
      <c r="O19" s="4">
        <f>Hotel!AA24</f>
        <v>3260</v>
      </c>
      <c r="P19" s="4">
        <f>Hotel!AB24</f>
        <v>6850</v>
      </c>
      <c r="Q19" s="4">
        <f>Hotel!AC24</f>
        <v>12080</v>
      </c>
      <c r="R19" s="4">
        <f>Hotel!AV24*0.00378541*100</f>
        <v>578.41064800000004</v>
      </c>
      <c r="S19" s="4">
        <f>Hotel!B24</f>
        <v>53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520</v>
      </c>
      <c r="F20" s="4">
        <f>Hotel!R25</f>
        <v>1810</v>
      </c>
      <c r="G20" s="4">
        <f>Hotel!S25</f>
        <v>2520</v>
      </c>
      <c r="H20" s="4">
        <f>Hotel!T25</f>
        <v>1520</v>
      </c>
      <c r="I20" s="4">
        <f>Hotel!U25</f>
        <v>4870</v>
      </c>
      <c r="J20" s="4">
        <f>Hotel!V25</f>
        <v>3110</v>
      </c>
      <c r="K20" s="4">
        <f>Hotel!W25</f>
        <v>2330</v>
      </c>
      <c r="L20" s="4">
        <f>Hotel!X25</f>
        <v>3830</v>
      </c>
      <c r="M20" s="4">
        <f>Hotel!Y25</f>
        <v>5240</v>
      </c>
      <c r="N20" s="4">
        <f>Hotel!Z25</f>
        <v>2490</v>
      </c>
      <c r="O20" s="4">
        <f>Hotel!AA25</f>
        <v>3170</v>
      </c>
      <c r="P20" s="4">
        <f>Hotel!AB25</f>
        <v>6650</v>
      </c>
      <c r="Q20" s="4">
        <f>Hotel!AC25</f>
        <v>10470</v>
      </c>
      <c r="R20" s="4">
        <f>Hotel!AV25*0.00378541*100</f>
        <v>673.42443900000001</v>
      </c>
      <c r="S20" s="4">
        <f>Hotel!B25</f>
        <v>47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550</v>
      </c>
      <c r="F21" s="4">
        <f>Hotel!R26</f>
        <v>1890</v>
      </c>
      <c r="G21" s="4">
        <f>Hotel!S26</f>
        <v>2630</v>
      </c>
      <c r="H21" s="4">
        <f>Hotel!T26</f>
        <v>1430</v>
      </c>
      <c r="I21" s="4">
        <f>Hotel!U26</f>
        <v>4880</v>
      </c>
      <c r="J21" s="4">
        <f>Hotel!V26</f>
        <v>3150</v>
      </c>
      <c r="K21" s="4">
        <f>Hotel!W26</f>
        <v>2380</v>
      </c>
      <c r="L21" s="4">
        <f>Hotel!X26</f>
        <v>4160</v>
      </c>
      <c r="M21" s="4">
        <f>Hotel!Y26</f>
        <v>5630</v>
      </c>
      <c r="N21" s="4">
        <f>Hotel!Z26</f>
        <v>2590</v>
      </c>
      <c r="O21" s="4">
        <f>Hotel!AA26</f>
        <v>3320</v>
      </c>
      <c r="P21" s="4">
        <f>Hotel!AB26</f>
        <v>6720</v>
      </c>
      <c r="Q21" s="4">
        <f>Hotel!AC26</f>
        <v>11150</v>
      </c>
      <c r="R21" s="4">
        <f>Hotel!AV26*0.00378541*100</f>
        <v>571.59690999999998</v>
      </c>
      <c r="S21" s="4">
        <f>Hotel!B26</f>
        <v>55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560</v>
      </c>
      <c r="F22" s="4">
        <f>Hotel!R27</f>
        <v>1940</v>
      </c>
      <c r="G22" s="4">
        <f>Hotel!S27</f>
        <v>2370</v>
      </c>
      <c r="H22" s="4">
        <f>Hotel!T27</f>
        <v>1600</v>
      </c>
      <c r="I22" s="4">
        <f>Hotel!U27</f>
        <v>5390</v>
      </c>
      <c r="J22" s="4">
        <f>Hotel!V27</f>
        <v>3540</v>
      </c>
      <c r="K22" s="4">
        <f>Hotel!W27</f>
        <v>2500</v>
      </c>
      <c r="L22" s="4">
        <f>Hotel!X27</f>
        <v>4550</v>
      </c>
      <c r="M22" s="4">
        <f>Hotel!Y27</f>
        <v>6080</v>
      </c>
      <c r="N22" s="4">
        <f>Hotel!Z27</f>
        <v>2660</v>
      </c>
      <c r="O22" s="4">
        <f>Hotel!AA27</f>
        <v>3620</v>
      </c>
      <c r="P22" s="4">
        <f>Hotel!AB27</f>
        <v>6860</v>
      </c>
      <c r="Q22" s="4">
        <f>Hotel!AC27</f>
        <v>14070</v>
      </c>
      <c r="R22" s="4">
        <f>Hotel!AV27*0.00378541*100</f>
        <v>582.95313999999996</v>
      </c>
      <c r="S22" s="4">
        <f>Hotel!B27</f>
        <v>110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530</v>
      </c>
      <c r="F23" s="4">
        <f>Hotel!R28</f>
        <v>1800</v>
      </c>
      <c r="G23" s="4">
        <f>Hotel!S28</f>
        <v>2280</v>
      </c>
      <c r="H23" s="4">
        <f>Hotel!T28</f>
        <v>1470</v>
      </c>
      <c r="I23" s="4">
        <f>Hotel!U28</f>
        <v>5550</v>
      </c>
      <c r="J23" s="4">
        <f>Hotel!V28</f>
        <v>3400</v>
      </c>
      <c r="K23" s="4">
        <f>Hotel!W28</f>
        <v>2280</v>
      </c>
      <c r="L23" s="4">
        <f>Hotel!X28</f>
        <v>4350</v>
      </c>
      <c r="M23" s="4">
        <f>Hotel!Y28</f>
        <v>5660</v>
      </c>
      <c r="N23" s="4">
        <f>Hotel!Z28</f>
        <v>2560</v>
      </c>
      <c r="O23" s="4">
        <f>Hotel!AA28</f>
        <v>3500</v>
      </c>
      <c r="P23" s="4">
        <f>Hotel!AB28</f>
        <v>6620</v>
      </c>
      <c r="Q23" s="4">
        <f>Hotel!AC28</f>
        <v>13540</v>
      </c>
      <c r="R23" s="4">
        <f>Hotel!AV28*0.00378541*100</f>
        <v>738.15494999999999</v>
      </c>
      <c r="S23" s="4">
        <f>Hotel!B28</f>
        <v>126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540</v>
      </c>
      <c r="F24" s="4">
        <f>Hotel!R29</f>
        <v>1870</v>
      </c>
      <c r="G24" s="4">
        <f>Hotel!S29</f>
        <v>2290</v>
      </c>
      <c r="H24" s="4">
        <f>Hotel!T29</f>
        <v>1320</v>
      </c>
      <c r="I24" s="4">
        <f>Hotel!U29</f>
        <v>5650</v>
      </c>
      <c r="J24" s="4">
        <f>Hotel!V29</f>
        <v>3430</v>
      </c>
      <c r="K24" s="4">
        <f>Hotel!W29</f>
        <v>2340</v>
      </c>
      <c r="L24" s="4">
        <f>Hotel!X29</f>
        <v>4390</v>
      </c>
      <c r="M24" s="4">
        <f>Hotel!Y29</f>
        <v>5640</v>
      </c>
      <c r="N24" s="4">
        <f>Hotel!Z29</f>
        <v>2660</v>
      </c>
      <c r="O24" s="4">
        <f>Hotel!AA29</f>
        <v>3640</v>
      </c>
      <c r="P24" s="4">
        <f>Hotel!AB29</f>
        <v>7040</v>
      </c>
      <c r="Q24" s="4">
        <f>Hotel!AC29</f>
        <v>14020</v>
      </c>
      <c r="R24" s="4">
        <f>Hotel!AV29*0.00378541*100</f>
        <v>631.02784700000007</v>
      </c>
      <c r="S24" s="4">
        <f>Hotel!B29</f>
        <v>68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540</v>
      </c>
      <c r="F25" s="4">
        <f>Hotel!R30</f>
        <v>1860</v>
      </c>
      <c r="G25" s="4">
        <f>Hotel!S30</f>
        <v>2320</v>
      </c>
      <c r="H25" s="4">
        <f>Hotel!T30</f>
        <v>1420</v>
      </c>
      <c r="I25" s="4">
        <f>Hotel!U30</f>
        <v>5380</v>
      </c>
      <c r="J25" s="4">
        <f>Hotel!V30</f>
        <v>3260</v>
      </c>
      <c r="K25" s="4">
        <f>Hotel!W30</f>
        <v>2360</v>
      </c>
      <c r="L25" s="4">
        <f>Hotel!X30</f>
        <v>4110</v>
      </c>
      <c r="M25" s="4">
        <f>Hotel!Y30</f>
        <v>5200</v>
      </c>
      <c r="N25" s="4">
        <f>Hotel!Z30</f>
        <v>2500</v>
      </c>
      <c r="O25" s="4">
        <f>Hotel!AA30</f>
        <v>3480</v>
      </c>
      <c r="P25" s="4">
        <f>Hotel!AB30</f>
        <v>6810</v>
      </c>
      <c r="Q25" s="4">
        <f>Hotel!AC30</f>
        <v>12320</v>
      </c>
      <c r="R25" s="4">
        <f>Hotel!AV30*0.00378541*100</f>
        <v>492.86038200000002</v>
      </c>
      <c r="S25" s="4">
        <f>Hotel!B30</f>
        <v>85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580</v>
      </c>
      <c r="F26" s="4">
        <f>Hotel!R31</f>
        <v>1980</v>
      </c>
      <c r="G26" s="4">
        <f>Hotel!S31</f>
        <v>2500</v>
      </c>
      <c r="H26" s="4">
        <f>Hotel!T31</f>
        <v>1510</v>
      </c>
      <c r="I26" s="4">
        <f>Hotel!U31</f>
        <v>5750</v>
      </c>
      <c r="J26" s="4">
        <f>Hotel!V31</f>
        <v>3570</v>
      </c>
      <c r="K26" s="4">
        <f>Hotel!W31</f>
        <v>2460</v>
      </c>
      <c r="L26" s="4">
        <f>Hotel!X31</f>
        <v>4790</v>
      </c>
      <c r="M26" s="4">
        <f>Hotel!Y31</f>
        <v>5810</v>
      </c>
      <c r="N26" s="4">
        <f>Hotel!Z31</f>
        <v>2660</v>
      </c>
      <c r="O26" s="4">
        <f>Hotel!AA31</f>
        <v>3720</v>
      </c>
      <c r="P26" s="4">
        <f>Hotel!AB31</f>
        <v>7190</v>
      </c>
      <c r="Q26" s="4">
        <f>Hotel!AC31</f>
        <v>12350</v>
      </c>
      <c r="R26" s="4">
        <f>Hotel!AV31*0.00378541*100</f>
        <v>607.55830500000002</v>
      </c>
      <c r="S26" s="4">
        <f>Hotel!B31</f>
        <v>66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510</v>
      </c>
      <c r="F27" s="4">
        <f>Hotel!R32</f>
        <v>1810</v>
      </c>
      <c r="G27" s="4">
        <f>Hotel!S32</f>
        <v>2140</v>
      </c>
      <c r="H27" s="4">
        <f>Hotel!T32</f>
        <v>1670</v>
      </c>
      <c r="I27" s="4">
        <f>Hotel!U32</f>
        <v>5295</v>
      </c>
      <c r="J27" s="4">
        <f>Hotel!V32</f>
        <v>3380</v>
      </c>
      <c r="K27" s="4">
        <f>Hotel!W32</f>
        <v>2270</v>
      </c>
      <c r="L27" s="4">
        <f>Hotel!X32</f>
        <v>4240</v>
      </c>
      <c r="M27" s="4">
        <f>Hotel!Y32</f>
        <v>5030</v>
      </c>
      <c r="N27" s="4">
        <f>Hotel!Z32</f>
        <v>2490</v>
      </c>
      <c r="O27" s="4">
        <f>Hotel!AA32</f>
        <v>3510</v>
      </c>
      <c r="P27" s="4">
        <f>Hotel!AB32</f>
        <v>6510</v>
      </c>
      <c r="Q27" s="4">
        <f>Hotel!AC32</f>
        <v>10510</v>
      </c>
      <c r="R27" s="4">
        <f>Hotel!AV32*0.00378541*100</f>
        <v>648.44073300000002</v>
      </c>
      <c r="S27" s="4">
        <f>Hotel!B32</f>
        <v>66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530</v>
      </c>
      <c r="F28" s="4">
        <f>Hotel!R33</f>
        <v>1840</v>
      </c>
      <c r="G28" s="4">
        <f>Hotel!S33</f>
        <v>2480</v>
      </c>
      <c r="H28" s="4">
        <f>Hotel!T33</f>
        <v>1390</v>
      </c>
      <c r="I28" s="4">
        <f>Hotel!U33</f>
        <v>5265</v>
      </c>
      <c r="J28" s="4">
        <f>Hotel!V33</f>
        <v>3380</v>
      </c>
      <c r="K28" s="4">
        <f>Hotel!W33</f>
        <v>2320</v>
      </c>
      <c r="L28" s="4">
        <f>Hotel!X33</f>
        <v>4160</v>
      </c>
      <c r="M28" s="4">
        <f>Hotel!Y33</f>
        <v>5110</v>
      </c>
      <c r="N28" s="4">
        <f>Hotel!Z33</f>
        <v>2500</v>
      </c>
      <c r="O28" s="4">
        <f>Hotel!AA33</f>
        <v>3310</v>
      </c>
      <c r="P28" s="4">
        <f>Hotel!AB33</f>
        <v>6490</v>
      </c>
      <c r="Q28" s="4">
        <f>Hotel!AC33</f>
        <v>10580</v>
      </c>
      <c r="R28" s="4">
        <f>Hotel!AV33*0.00378541*100</f>
        <v>546.99174499999992</v>
      </c>
      <c r="S28" s="4">
        <f>Hotel!B33</f>
        <v>80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550</v>
      </c>
      <c r="F29" s="4">
        <f>Hotel!R34</f>
        <v>1930</v>
      </c>
      <c r="G29" s="4">
        <f>Hotel!S34</f>
        <v>1460</v>
      </c>
      <c r="H29" s="4">
        <f>Hotel!T34</f>
        <v>2990</v>
      </c>
      <c r="I29" s="4">
        <f>Hotel!U34</f>
        <v>5450</v>
      </c>
      <c r="J29" s="4">
        <f>Hotel!V34</f>
        <v>3670</v>
      </c>
      <c r="K29" s="4">
        <f>Hotel!W34</f>
        <v>2430</v>
      </c>
      <c r="L29" s="4">
        <f>Hotel!X34</f>
        <v>4260</v>
      </c>
      <c r="M29" s="4">
        <f>Hotel!Y34</f>
        <v>5640</v>
      </c>
      <c r="N29" s="4">
        <f>Hotel!Z34</f>
        <v>2790</v>
      </c>
      <c r="O29" s="4">
        <f>Hotel!AA34</f>
        <v>3680</v>
      </c>
      <c r="P29" s="4">
        <f>Hotel!AB34</f>
        <v>6810</v>
      </c>
      <c r="Q29" s="4">
        <f>Hotel!AC34</f>
        <v>11840</v>
      </c>
      <c r="R29" s="4">
        <f>Hotel!AV34*0.00378541*100</f>
        <v>780.93008299999997</v>
      </c>
      <c r="S29" s="4">
        <f>Hotel!B34</f>
        <v>133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550</v>
      </c>
      <c r="F30" s="4">
        <f>Hotel!R35</f>
        <v>1870</v>
      </c>
      <c r="G30" s="4">
        <f>Hotel!S35</f>
        <v>2930</v>
      </c>
      <c r="H30" s="4">
        <f>Hotel!T35</f>
        <v>1440</v>
      </c>
      <c r="I30" s="4">
        <f>Hotel!U35</f>
        <v>5670</v>
      </c>
      <c r="J30" s="4">
        <f>Hotel!V35</f>
        <v>3600</v>
      </c>
      <c r="K30" s="4">
        <f>Hotel!W35</f>
        <v>2350</v>
      </c>
      <c r="L30" s="4">
        <f>Hotel!X35</f>
        <v>4090</v>
      </c>
      <c r="M30" s="4">
        <f>Hotel!Y35</f>
        <v>5730</v>
      </c>
      <c r="N30" s="4">
        <f>Hotel!Z35</f>
        <v>2820</v>
      </c>
      <c r="O30" s="4">
        <f>Hotel!AA35</f>
        <v>3890</v>
      </c>
      <c r="P30" s="4">
        <f>Hotel!AB35</f>
        <v>6980</v>
      </c>
      <c r="Q30" s="4">
        <f>Hotel!AC35</f>
        <v>12550</v>
      </c>
      <c r="R30" s="4">
        <f>Hotel!AV35*0.00378541*100</f>
        <v>442.89297000000005</v>
      </c>
      <c r="S30" s="4">
        <f>Hotel!B35</f>
        <v>146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550</v>
      </c>
      <c r="F31" s="4">
        <f>Hotel!R36</f>
        <v>1930</v>
      </c>
      <c r="G31" s="4">
        <f>Hotel!S36</f>
        <v>2830</v>
      </c>
      <c r="H31" s="4">
        <f>Hotel!T36</f>
        <v>1500</v>
      </c>
      <c r="I31" s="4">
        <f>Hotel!U36</f>
        <v>5650</v>
      </c>
      <c r="J31" s="4">
        <f>Hotel!V36</f>
        <v>3670</v>
      </c>
      <c r="K31" s="4">
        <f>Hotel!W36</f>
        <v>2400</v>
      </c>
      <c r="L31" s="4">
        <f>Hotel!X36</f>
        <v>4150</v>
      </c>
      <c r="M31" s="4">
        <f>Hotel!Y36</f>
        <v>5670</v>
      </c>
      <c r="N31" s="4">
        <f>Hotel!Z36</f>
        <v>2800</v>
      </c>
      <c r="O31" s="4">
        <f>Hotel!AA36</f>
        <v>5770</v>
      </c>
      <c r="P31" s="4">
        <f>Hotel!AB36</f>
        <v>7000</v>
      </c>
      <c r="Q31" s="4">
        <f>Hotel!AC36</f>
        <v>12810</v>
      </c>
      <c r="R31" s="4">
        <f>Hotel!AV36*0.00378541*100</f>
        <v>931.58940099999995</v>
      </c>
      <c r="S31" s="4">
        <f>Hotel!B36</f>
        <v>72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530</v>
      </c>
      <c r="F32" s="4">
        <f>Hotel!R37</f>
        <v>1850</v>
      </c>
      <c r="G32" s="4">
        <f>Hotel!S37</f>
        <v>2510</v>
      </c>
      <c r="H32" s="4">
        <f>Hotel!T37</f>
        <v>1430</v>
      </c>
      <c r="I32" s="4">
        <f>Hotel!U37</f>
        <v>5270</v>
      </c>
      <c r="J32" s="4">
        <f>Hotel!V37</f>
        <v>3370</v>
      </c>
      <c r="K32" s="4">
        <f>Hotel!W37</f>
        <v>2330</v>
      </c>
      <c r="L32" s="4">
        <f>Hotel!X37</f>
        <v>3680</v>
      </c>
      <c r="M32" s="4">
        <f>Hotel!Y37</f>
        <v>4700</v>
      </c>
      <c r="N32" s="4">
        <f>Hotel!Z37</f>
        <v>2510</v>
      </c>
      <c r="O32" s="4">
        <f>Hotel!AA37</f>
        <v>1400</v>
      </c>
      <c r="P32" s="4">
        <f>Hotel!AB37</f>
        <v>6840</v>
      </c>
      <c r="Q32" s="4">
        <f>Hotel!AC37</f>
        <v>11770</v>
      </c>
      <c r="R32" s="4">
        <f>Hotel!AV37*0.00378541*100</f>
        <v>700.30084999999997</v>
      </c>
      <c r="S32" s="4">
        <f>Hotel!B37</f>
        <v>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3" zoomScale="93" zoomScaleNormal="93" workbookViewId="0">
      <selection activeCell="AM30" sqref="AM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16"/>
        <v>540</v>
      </c>
      <c r="R17" s="37">
        <f t="shared" si="17"/>
        <v>1880</v>
      </c>
      <c r="S17" s="37">
        <f t="shared" si="15"/>
        <v>2480</v>
      </c>
      <c r="T17" s="37">
        <f t="shared" si="18"/>
        <v>1470</v>
      </c>
      <c r="U17" s="37">
        <f t="shared" si="19"/>
        <v>4960</v>
      </c>
      <c r="V17" s="37">
        <f t="shared" si="20"/>
        <v>3520</v>
      </c>
      <c r="W17" s="37">
        <f t="shared" si="21"/>
        <v>2370</v>
      </c>
      <c r="X17" s="37">
        <f t="shared" si="22"/>
        <v>4030</v>
      </c>
      <c r="Y17" s="37">
        <f t="shared" si="23"/>
        <v>5670</v>
      </c>
      <c r="Z17" s="37">
        <f t="shared" si="24"/>
        <v>2500</v>
      </c>
      <c r="AA17" s="37">
        <f t="shared" si="25"/>
        <v>3470</v>
      </c>
      <c r="AB17" s="37">
        <f t="shared" si="26"/>
        <v>6490</v>
      </c>
      <c r="AC17" s="37">
        <f t="shared" si="27"/>
        <v>12450</v>
      </c>
      <c r="AD17" s="35">
        <f t="shared" si="28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29"/>
        <v>259.14999999999998</v>
      </c>
      <c r="AU17" s="47">
        <v>402365</v>
      </c>
      <c r="AV17" s="37">
        <f t="shared" si="31"/>
        <v>2068</v>
      </c>
      <c r="AW17" s="35">
        <f t="shared" si="30"/>
        <v>4.1360000000000001</v>
      </c>
    </row>
    <row r="18" spans="1:49" x14ac:dyDescent="0.25">
      <c r="A18" s="23">
        <v>44208</v>
      </c>
      <c r="B18" s="40">
        <v>61</v>
      </c>
      <c r="C18" s="24">
        <v>6514010</v>
      </c>
      <c r="D18" s="24">
        <v>15057400</v>
      </c>
      <c r="E18" s="24">
        <v>2298490</v>
      </c>
      <c r="F18" s="24">
        <v>3243660</v>
      </c>
      <c r="G18" s="24">
        <v>9765020</v>
      </c>
      <c r="H18" s="24">
        <v>5059070</v>
      </c>
      <c r="I18" s="24">
        <v>4739040</v>
      </c>
      <c r="J18" s="24">
        <v>5430610</v>
      </c>
      <c r="K18" s="24">
        <v>8504390</v>
      </c>
      <c r="L18" s="24">
        <v>3473480</v>
      </c>
      <c r="M18" s="24">
        <v>7422390</v>
      </c>
      <c r="N18" s="24">
        <v>11045180</v>
      </c>
      <c r="O18" s="24">
        <v>15132310</v>
      </c>
      <c r="Q18" s="37">
        <f t="shared" si="16"/>
        <v>540</v>
      </c>
      <c r="R18" s="37">
        <f t="shared" si="17"/>
        <v>1840</v>
      </c>
      <c r="S18" s="37">
        <f t="shared" si="15"/>
        <v>2430</v>
      </c>
      <c r="T18" s="37">
        <f t="shared" si="18"/>
        <v>1410</v>
      </c>
      <c r="U18" s="37">
        <f t="shared" si="19"/>
        <v>5150</v>
      </c>
      <c r="V18" s="37">
        <f t="shared" si="20"/>
        <v>3400</v>
      </c>
      <c r="W18" s="37">
        <f t="shared" si="21"/>
        <v>2330</v>
      </c>
      <c r="X18" s="37">
        <f t="shared" si="22"/>
        <v>3830</v>
      </c>
      <c r="Y18" s="37">
        <f t="shared" si="23"/>
        <v>5600</v>
      </c>
      <c r="Z18" s="37">
        <f t="shared" si="24"/>
        <v>2290</v>
      </c>
      <c r="AA18" s="37">
        <f t="shared" si="25"/>
        <v>3370</v>
      </c>
      <c r="AB18" s="37">
        <f t="shared" si="26"/>
        <v>6440</v>
      </c>
      <c r="AC18" s="37">
        <f t="shared" si="27"/>
        <v>14390</v>
      </c>
      <c r="AD18" s="35">
        <f t="shared" si="28"/>
        <v>53020</v>
      </c>
      <c r="AF18" s="20">
        <f t="shared" si="1"/>
        <v>2.7</v>
      </c>
      <c r="AG18" s="20">
        <f t="shared" si="2"/>
        <v>9.2000000000000011</v>
      </c>
      <c r="AH18" s="20">
        <f t="shared" si="3"/>
        <v>12.15</v>
      </c>
      <c r="AI18" s="20">
        <f t="shared" si="4"/>
        <v>7.05</v>
      </c>
      <c r="AJ18" s="20">
        <f t="shared" si="5"/>
        <v>25.75</v>
      </c>
      <c r="AK18" s="20">
        <f t="shared" si="6"/>
        <v>17</v>
      </c>
      <c r="AL18" s="20">
        <f t="shared" si="7"/>
        <v>11.65</v>
      </c>
      <c r="AM18" s="20">
        <f t="shared" si="8"/>
        <v>19.150000000000002</v>
      </c>
      <c r="AN18" s="20">
        <f t="shared" si="9"/>
        <v>28</v>
      </c>
      <c r="AO18" s="20">
        <f t="shared" si="10"/>
        <v>11.450000000000001</v>
      </c>
      <c r="AP18" s="20">
        <f t="shared" si="11"/>
        <v>16.850000000000001</v>
      </c>
      <c r="AQ18" s="20">
        <f t="shared" si="12"/>
        <v>32.200000000000003</v>
      </c>
      <c r="AR18" s="20">
        <f t="shared" si="13"/>
        <v>71.95</v>
      </c>
      <c r="AS18" s="35">
        <f t="shared" si="29"/>
        <v>265.10000000000002</v>
      </c>
      <c r="AU18" s="47">
        <v>404205</v>
      </c>
      <c r="AV18" s="37">
        <f t="shared" si="31"/>
        <v>1840</v>
      </c>
      <c r="AW18" s="35">
        <f t="shared" si="30"/>
        <v>3.68</v>
      </c>
    </row>
    <row r="19" spans="1:49" x14ac:dyDescent="0.25">
      <c r="A19" s="23">
        <v>44209</v>
      </c>
      <c r="B19" s="40">
        <v>60</v>
      </c>
      <c r="C19" s="24">
        <v>6514550</v>
      </c>
      <c r="D19" s="24">
        <v>15059290</v>
      </c>
      <c r="E19" s="24">
        <v>2300110</v>
      </c>
      <c r="F19" s="24">
        <v>3246080</v>
      </c>
      <c r="G19" s="24">
        <v>9770250</v>
      </c>
      <c r="H19" s="24">
        <v>5062440</v>
      </c>
      <c r="I19" s="24">
        <v>4741450</v>
      </c>
      <c r="J19" s="24">
        <v>5434280</v>
      </c>
      <c r="K19" s="24">
        <v>8509790</v>
      </c>
      <c r="L19" s="24">
        <v>3475870</v>
      </c>
      <c r="M19" s="24">
        <v>7425930</v>
      </c>
      <c r="N19" s="24">
        <v>11051760</v>
      </c>
      <c r="O19" s="24">
        <v>15144410</v>
      </c>
      <c r="Q19" s="37">
        <f t="shared" si="16"/>
        <v>540</v>
      </c>
      <c r="R19" s="37">
        <f t="shared" si="17"/>
        <v>1890</v>
      </c>
      <c r="S19" s="37">
        <f t="shared" si="15"/>
        <v>1620</v>
      </c>
      <c r="T19" s="37">
        <f t="shared" si="18"/>
        <v>2420</v>
      </c>
      <c r="U19" s="37">
        <f t="shared" si="19"/>
        <v>5230</v>
      </c>
      <c r="V19" s="37">
        <f t="shared" si="20"/>
        <v>3370</v>
      </c>
      <c r="W19" s="37">
        <f t="shared" si="21"/>
        <v>2410</v>
      </c>
      <c r="X19" s="37">
        <f t="shared" si="22"/>
        <v>3670</v>
      </c>
      <c r="Y19" s="37">
        <f t="shared" si="23"/>
        <v>5400</v>
      </c>
      <c r="Z19" s="37">
        <f t="shared" si="24"/>
        <v>2390</v>
      </c>
      <c r="AA19" s="37">
        <f t="shared" si="25"/>
        <v>3540</v>
      </c>
      <c r="AB19" s="37">
        <f t="shared" si="26"/>
        <v>6580</v>
      </c>
      <c r="AC19" s="37">
        <f t="shared" si="27"/>
        <v>12100</v>
      </c>
      <c r="AD19" s="35">
        <f t="shared" si="28"/>
        <v>51160</v>
      </c>
      <c r="AF19" s="20">
        <f t="shared" si="1"/>
        <v>2.7</v>
      </c>
      <c r="AG19" s="20">
        <f t="shared" si="2"/>
        <v>9.4500000000000011</v>
      </c>
      <c r="AH19" s="20">
        <f t="shared" si="3"/>
        <v>8.1</v>
      </c>
      <c r="AI19" s="20">
        <f t="shared" si="4"/>
        <v>12.1</v>
      </c>
      <c r="AJ19" s="20">
        <f t="shared" si="5"/>
        <v>26.150000000000002</v>
      </c>
      <c r="AK19" s="20">
        <f t="shared" si="6"/>
        <v>16.850000000000001</v>
      </c>
      <c r="AL19" s="20">
        <f t="shared" si="7"/>
        <v>12.05</v>
      </c>
      <c r="AM19" s="20">
        <f t="shared" si="8"/>
        <v>18.350000000000001</v>
      </c>
      <c r="AN19" s="20">
        <f t="shared" si="9"/>
        <v>27</v>
      </c>
      <c r="AO19" s="20">
        <f t="shared" si="10"/>
        <v>11.950000000000001</v>
      </c>
      <c r="AP19" s="20">
        <f t="shared" si="11"/>
        <v>17.7</v>
      </c>
      <c r="AQ19" s="20">
        <f t="shared" si="12"/>
        <v>32.9</v>
      </c>
      <c r="AR19" s="20">
        <f t="shared" si="13"/>
        <v>60.5</v>
      </c>
      <c r="AS19" s="35">
        <f t="shared" si="29"/>
        <v>255.79999999999998</v>
      </c>
      <c r="AU19" s="47">
        <v>404489</v>
      </c>
      <c r="AV19" s="37">
        <f t="shared" si="31"/>
        <v>284</v>
      </c>
      <c r="AW19" s="35">
        <f t="shared" si="30"/>
        <v>0.56800000000000006</v>
      </c>
    </row>
    <row r="20" spans="1:49" x14ac:dyDescent="0.25">
      <c r="A20" s="23">
        <v>44210</v>
      </c>
      <c r="B20" s="40">
        <v>97</v>
      </c>
      <c r="C20" s="24">
        <v>6515110</v>
      </c>
      <c r="D20" s="24">
        <v>15061240</v>
      </c>
      <c r="E20" s="24">
        <v>2300140</v>
      </c>
      <c r="F20" s="24">
        <v>3250280</v>
      </c>
      <c r="G20" s="24">
        <v>9775840</v>
      </c>
      <c r="H20" s="24">
        <v>5065920</v>
      </c>
      <c r="I20" s="24">
        <v>4743920</v>
      </c>
      <c r="J20" s="24">
        <v>5438190</v>
      </c>
      <c r="K20" s="24">
        <v>8515670</v>
      </c>
      <c r="L20" s="24">
        <v>3478510</v>
      </c>
      <c r="M20" s="24">
        <v>7429740</v>
      </c>
      <c r="N20" s="24">
        <v>11058660</v>
      </c>
      <c r="O20" s="24">
        <v>15156840</v>
      </c>
      <c r="Q20" s="37">
        <f t="shared" si="16"/>
        <v>560</v>
      </c>
      <c r="R20" s="37">
        <f t="shared" si="17"/>
        <v>1950</v>
      </c>
      <c r="S20" s="37">
        <f t="shared" si="15"/>
        <v>30</v>
      </c>
      <c r="T20" s="37">
        <f t="shared" si="18"/>
        <v>4200</v>
      </c>
      <c r="U20" s="37">
        <f t="shared" si="19"/>
        <v>5590</v>
      </c>
      <c r="V20" s="37">
        <f t="shared" si="20"/>
        <v>3480</v>
      </c>
      <c r="W20" s="37">
        <f t="shared" si="21"/>
        <v>2470</v>
      </c>
      <c r="X20" s="37">
        <f t="shared" si="22"/>
        <v>3910</v>
      </c>
      <c r="Y20" s="37">
        <f t="shared" si="23"/>
        <v>5880</v>
      </c>
      <c r="Z20" s="37">
        <f t="shared" si="24"/>
        <v>2640</v>
      </c>
      <c r="AA20" s="37">
        <f t="shared" si="25"/>
        <v>3810</v>
      </c>
      <c r="AB20" s="37">
        <f t="shared" si="26"/>
        <v>6900</v>
      </c>
      <c r="AC20" s="37">
        <f t="shared" si="27"/>
        <v>12430</v>
      </c>
      <c r="AD20" s="35">
        <f t="shared" si="28"/>
        <v>53850</v>
      </c>
      <c r="AF20" s="20">
        <f t="shared" si="1"/>
        <v>2.8000000000000003</v>
      </c>
      <c r="AG20" s="20">
        <f t="shared" si="2"/>
        <v>9.75</v>
      </c>
      <c r="AH20" s="20">
        <f t="shared" si="3"/>
        <v>0.15</v>
      </c>
      <c r="AI20" s="20">
        <f t="shared" si="4"/>
        <v>21</v>
      </c>
      <c r="AJ20" s="20">
        <f t="shared" si="5"/>
        <v>27.95</v>
      </c>
      <c r="AK20" s="20">
        <f t="shared" si="6"/>
        <v>17.400000000000002</v>
      </c>
      <c r="AL20" s="20">
        <f t="shared" si="7"/>
        <v>12.35</v>
      </c>
      <c r="AM20" s="20">
        <f t="shared" si="8"/>
        <v>19.55</v>
      </c>
      <c r="AN20" s="20">
        <f t="shared" si="9"/>
        <v>29.400000000000002</v>
      </c>
      <c r="AO20" s="20">
        <f t="shared" si="10"/>
        <v>13.200000000000001</v>
      </c>
      <c r="AP20" s="20">
        <f t="shared" si="11"/>
        <v>19.05</v>
      </c>
      <c r="AQ20" s="20">
        <f t="shared" si="12"/>
        <v>34.5</v>
      </c>
      <c r="AR20" s="20">
        <f t="shared" si="13"/>
        <v>62.15</v>
      </c>
      <c r="AS20" s="35">
        <f t="shared" si="29"/>
        <v>269.25</v>
      </c>
      <c r="AU20" s="47">
        <v>407387</v>
      </c>
      <c r="AV20" s="37">
        <f t="shared" si="31"/>
        <v>2898</v>
      </c>
      <c r="AW20" s="35">
        <f t="shared" si="30"/>
        <v>5.7960000000000003</v>
      </c>
    </row>
    <row r="21" spans="1:49" x14ac:dyDescent="0.25">
      <c r="A21" s="23">
        <v>44211</v>
      </c>
      <c r="B21" s="40">
        <v>121</v>
      </c>
      <c r="C21" s="24">
        <v>6515640</v>
      </c>
      <c r="D21" s="24">
        <v>15063100</v>
      </c>
      <c r="E21" s="24">
        <v>2300160</v>
      </c>
      <c r="F21" s="24">
        <v>3254390</v>
      </c>
      <c r="G21" s="24">
        <v>9781270</v>
      </c>
      <c r="H21" s="24">
        <v>5069240</v>
      </c>
      <c r="I21" s="24">
        <v>4746290</v>
      </c>
      <c r="J21" s="24">
        <v>5442240</v>
      </c>
      <c r="K21" s="24">
        <v>8521660</v>
      </c>
      <c r="L21" s="24">
        <v>3481120</v>
      </c>
      <c r="M21" s="24">
        <v>7433480</v>
      </c>
      <c r="N21" s="24">
        <v>11065570</v>
      </c>
      <c r="O21" s="24">
        <v>15169080</v>
      </c>
      <c r="Q21" s="37">
        <f t="shared" si="16"/>
        <v>530</v>
      </c>
      <c r="R21" s="37">
        <f t="shared" si="17"/>
        <v>1860</v>
      </c>
      <c r="S21" s="37">
        <f t="shared" si="15"/>
        <v>20</v>
      </c>
      <c r="T21" s="37">
        <f t="shared" si="18"/>
        <v>4110</v>
      </c>
      <c r="U21" s="37">
        <f t="shared" si="19"/>
        <v>5430</v>
      </c>
      <c r="V21" s="37">
        <f t="shared" si="20"/>
        <v>3320</v>
      </c>
      <c r="W21" s="37">
        <f t="shared" si="21"/>
        <v>2370</v>
      </c>
      <c r="X21" s="37">
        <f t="shared" si="22"/>
        <v>4050</v>
      </c>
      <c r="Y21" s="37">
        <f t="shared" si="23"/>
        <v>5990</v>
      </c>
      <c r="Z21" s="37">
        <f t="shared" si="24"/>
        <v>2610</v>
      </c>
      <c r="AA21" s="37">
        <f t="shared" si="25"/>
        <v>3740</v>
      </c>
      <c r="AB21" s="37">
        <f t="shared" si="26"/>
        <v>6910</v>
      </c>
      <c r="AC21" s="37">
        <f t="shared" si="27"/>
        <v>12240</v>
      </c>
      <c r="AD21" s="35">
        <f t="shared" si="28"/>
        <v>53180</v>
      </c>
      <c r="AF21" s="20">
        <f t="shared" si="1"/>
        <v>2.65</v>
      </c>
      <c r="AG21" s="20">
        <f t="shared" si="2"/>
        <v>9.3000000000000007</v>
      </c>
      <c r="AH21" s="20">
        <f t="shared" si="3"/>
        <v>0.1</v>
      </c>
      <c r="AI21" s="20">
        <f t="shared" si="4"/>
        <v>20.55</v>
      </c>
      <c r="AJ21" s="20">
        <f t="shared" si="5"/>
        <v>27.150000000000002</v>
      </c>
      <c r="AK21" s="20">
        <f t="shared" si="6"/>
        <v>16.600000000000001</v>
      </c>
      <c r="AL21" s="20">
        <f t="shared" si="7"/>
        <v>11.85</v>
      </c>
      <c r="AM21" s="20">
        <f t="shared" si="8"/>
        <v>20.25</v>
      </c>
      <c r="AN21" s="20">
        <f t="shared" si="9"/>
        <v>29.95</v>
      </c>
      <c r="AO21" s="20">
        <f t="shared" si="10"/>
        <v>13.05</v>
      </c>
      <c r="AP21" s="20">
        <f t="shared" si="11"/>
        <v>18.7</v>
      </c>
      <c r="AQ21" s="20">
        <f t="shared" si="12"/>
        <v>34.550000000000004</v>
      </c>
      <c r="AR21" s="20">
        <f t="shared" si="13"/>
        <v>61.2</v>
      </c>
      <c r="AS21" s="35">
        <f t="shared" si="29"/>
        <v>265.89999999999998</v>
      </c>
      <c r="AU21" s="47">
        <v>409172</v>
      </c>
      <c r="AV21" s="37">
        <f t="shared" si="31"/>
        <v>1785</v>
      </c>
      <c r="AW21" s="35">
        <f t="shared" si="30"/>
        <v>3.5700000000000003</v>
      </c>
    </row>
    <row r="22" spans="1:49" x14ac:dyDescent="0.25">
      <c r="A22" s="23">
        <v>44212</v>
      </c>
      <c r="B22" s="40">
        <v>67</v>
      </c>
      <c r="C22" s="24">
        <v>6516180</v>
      </c>
      <c r="D22" s="24">
        <v>15064960</v>
      </c>
      <c r="E22" s="24">
        <v>2302020</v>
      </c>
      <c r="F22" s="24">
        <v>3256650</v>
      </c>
      <c r="G22" s="24">
        <v>9786850</v>
      </c>
      <c r="H22" s="24">
        <v>5072610</v>
      </c>
      <c r="I22" s="24">
        <v>4748660</v>
      </c>
      <c r="J22" s="44">
        <v>5446090</v>
      </c>
      <c r="K22" s="24">
        <v>8527690</v>
      </c>
      <c r="L22" s="24">
        <v>3483700</v>
      </c>
      <c r="M22" s="24">
        <v>7437220</v>
      </c>
      <c r="N22" s="24">
        <v>11072430</v>
      </c>
      <c r="O22" s="44">
        <v>15180550</v>
      </c>
      <c r="Q22" s="37">
        <f t="shared" si="16"/>
        <v>540</v>
      </c>
      <c r="R22" s="37">
        <f t="shared" si="17"/>
        <v>1860</v>
      </c>
      <c r="S22" s="37">
        <f t="shared" si="15"/>
        <v>1860</v>
      </c>
      <c r="T22" s="37">
        <f t="shared" si="18"/>
        <v>2260</v>
      </c>
      <c r="U22" s="37">
        <f t="shared" si="19"/>
        <v>5580</v>
      </c>
      <c r="V22" s="37">
        <f t="shared" si="20"/>
        <v>3370</v>
      </c>
      <c r="W22" s="37">
        <f t="shared" si="21"/>
        <v>2370</v>
      </c>
      <c r="X22" s="37">
        <f t="shared" si="22"/>
        <v>3850</v>
      </c>
      <c r="Y22" s="37">
        <f t="shared" si="23"/>
        <v>6030</v>
      </c>
      <c r="Z22" s="37">
        <f t="shared" si="24"/>
        <v>2580</v>
      </c>
      <c r="AA22" s="37">
        <f t="shared" si="25"/>
        <v>3740</v>
      </c>
      <c r="AB22" s="37">
        <f t="shared" si="26"/>
        <v>6860</v>
      </c>
      <c r="AC22" s="37">
        <f t="shared" si="27"/>
        <v>11470</v>
      </c>
      <c r="AD22" s="35">
        <f t="shared" si="28"/>
        <v>52370</v>
      </c>
      <c r="AF22" s="20">
        <f t="shared" si="1"/>
        <v>2.7</v>
      </c>
      <c r="AG22" s="20">
        <f t="shared" si="2"/>
        <v>9.3000000000000007</v>
      </c>
      <c r="AH22" s="20">
        <f t="shared" si="3"/>
        <v>9.3000000000000007</v>
      </c>
      <c r="AI22" s="20">
        <f t="shared" si="4"/>
        <v>11.3</v>
      </c>
      <c r="AJ22" s="20">
        <f t="shared" si="5"/>
        <v>27.900000000000002</v>
      </c>
      <c r="AK22" s="20">
        <f t="shared" si="6"/>
        <v>16.850000000000001</v>
      </c>
      <c r="AL22" s="20">
        <f t="shared" si="7"/>
        <v>11.85</v>
      </c>
      <c r="AM22" s="20">
        <f t="shared" si="8"/>
        <v>19.25</v>
      </c>
      <c r="AN22" s="20">
        <f t="shared" si="9"/>
        <v>30.150000000000002</v>
      </c>
      <c r="AO22" s="20">
        <f t="shared" si="10"/>
        <v>12.9</v>
      </c>
      <c r="AP22" s="20">
        <f t="shared" si="11"/>
        <v>18.7</v>
      </c>
      <c r="AQ22" s="20">
        <f t="shared" si="12"/>
        <v>34.300000000000004</v>
      </c>
      <c r="AR22" s="20">
        <f t="shared" si="13"/>
        <v>57.35</v>
      </c>
      <c r="AS22" s="35">
        <f t="shared" si="29"/>
        <v>261.85000000000002</v>
      </c>
      <c r="AU22" s="47">
        <v>411025</v>
      </c>
      <c r="AV22" s="37">
        <f t="shared" si="31"/>
        <v>1853</v>
      </c>
      <c r="AW22" s="35">
        <f t="shared" si="30"/>
        <v>3.706</v>
      </c>
    </row>
    <row r="23" spans="1:49" x14ac:dyDescent="0.25">
      <c r="A23" s="23">
        <v>44213</v>
      </c>
      <c r="B23" s="40">
        <v>38</v>
      </c>
      <c r="C23" s="24">
        <v>6516740</v>
      </c>
      <c r="D23" s="24">
        <v>15066870</v>
      </c>
      <c r="E23" s="24">
        <v>2304880</v>
      </c>
      <c r="F23" s="24">
        <v>3258120</v>
      </c>
      <c r="G23" s="24">
        <v>9792240</v>
      </c>
      <c r="H23" s="24">
        <v>5076020</v>
      </c>
      <c r="I23" s="24">
        <v>4751090</v>
      </c>
      <c r="J23" s="24">
        <v>5449820</v>
      </c>
      <c r="K23" s="24">
        <v>8533570</v>
      </c>
      <c r="L23" s="24">
        <v>3486310</v>
      </c>
      <c r="M23" s="24">
        <v>7440800</v>
      </c>
      <c r="N23" s="24">
        <v>11079370</v>
      </c>
      <c r="O23" s="24">
        <v>15191420</v>
      </c>
      <c r="Q23" s="37">
        <f t="shared" si="16"/>
        <v>560</v>
      </c>
      <c r="R23" s="37">
        <f t="shared" si="17"/>
        <v>1910</v>
      </c>
      <c r="S23" s="37">
        <f t="shared" si="15"/>
        <v>2860</v>
      </c>
      <c r="T23" s="37">
        <f t="shared" si="18"/>
        <v>1470</v>
      </c>
      <c r="U23" s="37">
        <f t="shared" si="19"/>
        <v>5390</v>
      </c>
      <c r="V23" s="37">
        <f t="shared" si="20"/>
        <v>3410</v>
      </c>
      <c r="W23" s="37">
        <f t="shared" si="21"/>
        <v>2430</v>
      </c>
      <c r="X23" s="37">
        <f t="shared" si="22"/>
        <v>3730</v>
      </c>
      <c r="Y23" s="37">
        <f t="shared" si="23"/>
        <v>5880</v>
      </c>
      <c r="Z23" s="37">
        <f t="shared" si="24"/>
        <v>2610</v>
      </c>
      <c r="AA23" s="37">
        <f t="shared" si="25"/>
        <v>3580</v>
      </c>
      <c r="AB23" s="37">
        <f t="shared" si="26"/>
        <v>6940</v>
      </c>
      <c r="AC23" s="37">
        <f t="shared" si="27"/>
        <v>10870</v>
      </c>
      <c r="AD23" s="35">
        <f t="shared" si="28"/>
        <v>51640</v>
      </c>
      <c r="AF23" s="20">
        <f t="shared" si="1"/>
        <v>2.8000000000000003</v>
      </c>
      <c r="AG23" s="20">
        <f t="shared" si="2"/>
        <v>9.5500000000000007</v>
      </c>
      <c r="AH23" s="20">
        <f t="shared" si="3"/>
        <v>14.3</v>
      </c>
      <c r="AI23" s="20">
        <f t="shared" si="4"/>
        <v>7.3500000000000005</v>
      </c>
      <c r="AJ23" s="20">
        <f t="shared" si="5"/>
        <v>26.95</v>
      </c>
      <c r="AK23" s="20">
        <f t="shared" si="6"/>
        <v>17.05</v>
      </c>
      <c r="AL23" s="20">
        <f t="shared" si="7"/>
        <v>12.15</v>
      </c>
      <c r="AM23" s="20">
        <f t="shared" si="8"/>
        <v>18.650000000000002</v>
      </c>
      <c r="AN23" s="20">
        <f t="shared" si="9"/>
        <v>29.400000000000002</v>
      </c>
      <c r="AO23" s="20">
        <f t="shared" si="10"/>
        <v>13.05</v>
      </c>
      <c r="AP23" s="20">
        <f t="shared" si="11"/>
        <v>17.900000000000002</v>
      </c>
      <c r="AQ23" s="20">
        <f t="shared" si="12"/>
        <v>34.700000000000003</v>
      </c>
      <c r="AR23" s="20">
        <f t="shared" si="13"/>
        <v>54.35</v>
      </c>
      <c r="AS23" s="35">
        <f t="shared" si="29"/>
        <v>258.20000000000005</v>
      </c>
      <c r="AU23" s="47">
        <v>412882</v>
      </c>
      <c r="AV23" s="37">
        <f t="shared" si="31"/>
        <v>1857</v>
      </c>
      <c r="AW23" s="35">
        <f t="shared" si="30"/>
        <v>3.714</v>
      </c>
    </row>
    <row r="24" spans="1:49" x14ac:dyDescent="0.25">
      <c r="A24" s="23">
        <v>44214</v>
      </c>
      <c r="B24" s="40">
        <v>53</v>
      </c>
      <c r="C24" s="24">
        <v>6517290</v>
      </c>
      <c r="D24" s="24">
        <v>15068780</v>
      </c>
      <c r="E24" s="24">
        <v>2307590</v>
      </c>
      <c r="F24" s="24">
        <v>3259570</v>
      </c>
      <c r="G24" s="24">
        <v>9797300</v>
      </c>
      <c r="H24" s="24">
        <v>5079350</v>
      </c>
      <c r="I24" s="24">
        <v>4753520</v>
      </c>
      <c r="J24" s="24">
        <v>5453740</v>
      </c>
      <c r="K24" s="24">
        <v>8539310</v>
      </c>
      <c r="L24" s="24">
        <v>3488930</v>
      </c>
      <c r="M24" s="24">
        <v>7444060</v>
      </c>
      <c r="N24" s="24">
        <v>11086220</v>
      </c>
      <c r="O24" s="24">
        <v>15203500</v>
      </c>
      <c r="Q24" s="37">
        <f t="shared" si="16"/>
        <v>550</v>
      </c>
      <c r="R24" s="37">
        <f t="shared" si="17"/>
        <v>1910</v>
      </c>
      <c r="S24" s="37">
        <f t="shared" si="15"/>
        <v>2710</v>
      </c>
      <c r="T24" s="37">
        <f t="shared" si="18"/>
        <v>1450</v>
      </c>
      <c r="U24" s="37">
        <f t="shared" si="19"/>
        <v>5060</v>
      </c>
      <c r="V24" s="37">
        <f t="shared" si="20"/>
        <v>3330</v>
      </c>
      <c r="W24" s="37">
        <f t="shared" si="21"/>
        <v>2430</v>
      </c>
      <c r="X24" s="37">
        <f t="shared" si="22"/>
        <v>3920</v>
      </c>
      <c r="Y24" s="37">
        <f t="shared" si="23"/>
        <v>5740</v>
      </c>
      <c r="Z24" s="37">
        <f t="shared" si="24"/>
        <v>2620</v>
      </c>
      <c r="AA24" s="37">
        <f t="shared" si="25"/>
        <v>3260</v>
      </c>
      <c r="AB24" s="37">
        <f t="shared" si="26"/>
        <v>6850</v>
      </c>
      <c r="AC24" s="37">
        <f t="shared" si="27"/>
        <v>12080</v>
      </c>
      <c r="AD24" s="35">
        <f t="shared" si="28"/>
        <v>51910</v>
      </c>
      <c r="AF24" s="20">
        <f t="shared" si="1"/>
        <v>2.75</v>
      </c>
      <c r="AG24" s="20">
        <f t="shared" si="2"/>
        <v>9.5500000000000007</v>
      </c>
      <c r="AH24" s="20">
        <f t="shared" si="3"/>
        <v>13.55</v>
      </c>
      <c r="AI24" s="20">
        <f t="shared" si="4"/>
        <v>7.25</v>
      </c>
      <c r="AJ24" s="20">
        <f t="shared" si="5"/>
        <v>25.3</v>
      </c>
      <c r="AK24" s="20">
        <f t="shared" si="6"/>
        <v>16.649999999999999</v>
      </c>
      <c r="AL24" s="20">
        <f t="shared" si="7"/>
        <v>12.15</v>
      </c>
      <c r="AM24" s="20">
        <f t="shared" si="8"/>
        <v>19.600000000000001</v>
      </c>
      <c r="AN24" s="20">
        <f t="shared" si="9"/>
        <v>28.7</v>
      </c>
      <c r="AO24" s="20">
        <f t="shared" si="10"/>
        <v>13.1</v>
      </c>
      <c r="AP24" s="20">
        <f t="shared" si="11"/>
        <v>16.3</v>
      </c>
      <c r="AQ24" s="20">
        <f t="shared" si="12"/>
        <v>34.25</v>
      </c>
      <c r="AR24" s="20">
        <f t="shared" si="13"/>
        <v>60.4</v>
      </c>
      <c r="AS24" s="35">
        <f t="shared" si="29"/>
        <v>259.55</v>
      </c>
      <c r="AU24" s="47">
        <v>414410</v>
      </c>
      <c r="AV24" s="37">
        <f t="shared" si="31"/>
        <v>1528</v>
      </c>
      <c r="AW24" s="35">
        <f t="shared" si="30"/>
        <v>3.056</v>
      </c>
    </row>
    <row r="25" spans="1:49" x14ac:dyDescent="0.25">
      <c r="A25" s="23">
        <v>44215</v>
      </c>
      <c r="B25" s="40">
        <v>47</v>
      </c>
      <c r="C25" s="24">
        <v>6517810</v>
      </c>
      <c r="D25" s="24">
        <v>15070590</v>
      </c>
      <c r="E25" s="24">
        <v>2310110</v>
      </c>
      <c r="F25" s="24">
        <v>3261090</v>
      </c>
      <c r="G25" s="24">
        <v>9802170</v>
      </c>
      <c r="H25" s="24">
        <v>5082460</v>
      </c>
      <c r="I25" s="24">
        <v>4755850</v>
      </c>
      <c r="J25" s="24">
        <v>5457570</v>
      </c>
      <c r="K25" s="24">
        <v>8544550</v>
      </c>
      <c r="L25" s="24">
        <v>3491420</v>
      </c>
      <c r="M25" s="24">
        <v>7447230</v>
      </c>
      <c r="N25" s="24">
        <v>11092870</v>
      </c>
      <c r="O25" s="24">
        <v>15213970</v>
      </c>
      <c r="Q25" s="37">
        <f t="shared" ref="Q25:AC27" si="33">IF((C25-C24&lt;0), "0",C25-C24)</f>
        <v>520</v>
      </c>
      <c r="R25" s="37">
        <f t="shared" si="33"/>
        <v>1810</v>
      </c>
      <c r="S25" s="37">
        <f t="shared" si="33"/>
        <v>2520</v>
      </c>
      <c r="T25" s="37">
        <f t="shared" si="33"/>
        <v>1520</v>
      </c>
      <c r="U25" s="37">
        <f t="shared" si="33"/>
        <v>4870</v>
      </c>
      <c r="V25" s="37">
        <f t="shared" si="33"/>
        <v>3110</v>
      </c>
      <c r="W25" s="37">
        <f t="shared" si="33"/>
        <v>2330</v>
      </c>
      <c r="X25" s="37">
        <f t="shared" si="33"/>
        <v>3830</v>
      </c>
      <c r="Y25" s="37">
        <f t="shared" si="33"/>
        <v>5240</v>
      </c>
      <c r="Z25" s="37">
        <f t="shared" si="33"/>
        <v>2490</v>
      </c>
      <c r="AA25" s="37">
        <f t="shared" si="33"/>
        <v>3170</v>
      </c>
      <c r="AB25" s="37">
        <f t="shared" si="33"/>
        <v>6650</v>
      </c>
      <c r="AC25" s="37">
        <f t="shared" si="33"/>
        <v>10470</v>
      </c>
      <c r="AD25" s="35">
        <f t="shared" si="28"/>
        <v>48530</v>
      </c>
      <c r="AF25" s="20">
        <f t="shared" si="1"/>
        <v>2.6</v>
      </c>
      <c r="AG25" s="20">
        <f t="shared" si="2"/>
        <v>9.0500000000000007</v>
      </c>
      <c r="AH25" s="20">
        <f t="shared" si="3"/>
        <v>12.6</v>
      </c>
      <c r="AI25" s="20">
        <f t="shared" si="4"/>
        <v>7.6000000000000005</v>
      </c>
      <c r="AJ25" s="20">
        <f t="shared" si="5"/>
        <v>24.35</v>
      </c>
      <c r="AK25" s="20">
        <f t="shared" si="6"/>
        <v>15.55</v>
      </c>
      <c r="AL25" s="20">
        <f t="shared" si="7"/>
        <v>11.65</v>
      </c>
      <c r="AM25" s="20">
        <f t="shared" si="8"/>
        <v>19.150000000000002</v>
      </c>
      <c r="AN25" s="20">
        <f t="shared" si="9"/>
        <v>26.2</v>
      </c>
      <c r="AO25" s="20">
        <f t="shared" si="10"/>
        <v>12.450000000000001</v>
      </c>
      <c r="AP25" s="20">
        <f t="shared" si="11"/>
        <v>15.85</v>
      </c>
      <c r="AQ25" s="20">
        <f t="shared" si="12"/>
        <v>33.25</v>
      </c>
      <c r="AR25" s="20">
        <f t="shared" si="13"/>
        <v>52.35</v>
      </c>
      <c r="AS25" s="35">
        <f t="shared" si="29"/>
        <v>242.64999999999998</v>
      </c>
      <c r="AU25" s="47">
        <v>416189</v>
      </c>
      <c r="AV25" s="37">
        <f t="shared" si="31"/>
        <v>1779</v>
      </c>
      <c r="AW25" s="35">
        <f t="shared" si="30"/>
        <v>3.5580000000000003</v>
      </c>
    </row>
    <row r="26" spans="1:49" x14ac:dyDescent="0.25">
      <c r="A26" s="23">
        <v>44216</v>
      </c>
      <c r="B26" s="40">
        <v>55</v>
      </c>
      <c r="C26" s="24">
        <v>6518360</v>
      </c>
      <c r="D26" s="24">
        <v>15072480</v>
      </c>
      <c r="E26" s="24">
        <v>2312740</v>
      </c>
      <c r="F26" s="24">
        <v>3262520</v>
      </c>
      <c r="G26" s="24">
        <v>9807050</v>
      </c>
      <c r="H26" s="24">
        <v>5085610</v>
      </c>
      <c r="I26" s="24">
        <v>4758230</v>
      </c>
      <c r="J26" s="24">
        <v>5461730</v>
      </c>
      <c r="K26" s="24">
        <v>8550180</v>
      </c>
      <c r="L26" s="24">
        <v>3494010</v>
      </c>
      <c r="M26" s="24">
        <v>7450550</v>
      </c>
      <c r="N26" s="24">
        <v>11099590</v>
      </c>
      <c r="O26" s="24">
        <v>15225120</v>
      </c>
      <c r="Q26" s="37">
        <f t="shared" si="33"/>
        <v>550</v>
      </c>
      <c r="R26" s="37">
        <f t="shared" si="33"/>
        <v>1890</v>
      </c>
      <c r="S26" s="37">
        <f t="shared" si="33"/>
        <v>2630</v>
      </c>
      <c r="T26" s="37">
        <f t="shared" si="33"/>
        <v>1430</v>
      </c>
      <c r="U26" s="37">
        <f t="shared" si="33"/>
        <v>4880</v>
      </c>
      <c r="V26" s="37">
        <f t="shared" si="33"/>
        <v>3150</v>
      </c>
      <c r="W26" s="37">
        <f t="shared" si="33"/>
        <v>2380</v>
      </c>
      <c r="X26" s="37">
        <f t="shared" si="33"/>
        <v>4160</v>
      </c>
      <c r="Y26" s="37">
        <f t="shared" si="33"/>
        <v>5630</v>
      </c>
      <c r="Z26" s="37">
        <f t="shared" si="33"/>
        <v>2590</v>
      </c>
      <c r="AA26" s="37">
        <f t="shared" si="33"/>
        <v>3320</v>
      </c>
      <c r="AB26" s="37">
        <f t="shared" si="33"/>
        <v>6720</v>
      </c>
      <c r="AC26" s="37">
        <f t="shared" si="33"/>
        <v>11150</v>
      </c>
      <c r="AD26" s="35">
        <f t="shared" si="28"/>
        <v>50480</v>
      </c>
      <c r="AF26" s="20">
        <f t="shared" si="1"/>
        <v>2.75</v>
      </c>
      <c r="AG26" s="20">
        <f t="shared" si="2"/>
        <v>9.4500000000000011</v>
      </c>
      <c r="AH26" s="20">
        <f t="shared" si="3"/>
        <v>13.15</v>
      </c>
      <c r="AI26" s="20">
        <f t="shared" si="4"/>
        <v>7.15</v>
      </c>
      <c r="AJ26" s="20">
        <f t="shared" si="5"/>
        <v>24.400000000000002</v>
      </c>
      <c r="AK26" s="20">
        <f t="shared" si="6"/>
        <v>15.75</v>
      </c>
      <c r="AL26" s="20">
        <f t="shared" si="7"/>
        <v>11.9</v>
      </c>
      <c r="AM26" s="20">
        <f t="shared" si="8"/>
        <v>20.8</v>
      </c>
      <c r="AN26" s="20">
        <f t="shared" si="9"/>
        <v>28.150000000000002</v>
      </c>
      <c r="AO26" s="20">
        <f t="shared" si="10"/>
        <v>12.950000000000001</v>
      </c>
      <c r="AP26" s="20">
        <f t="shared" si="11"/>
        <v>16.600000000000001</v>
      </c>
      <c r="AQ26" s="20">
        <f t="shared" si="12"/>
        <v>33.6</v>
      </c>
      <c r="AR26" s="20">
        <f t="shared" si="13"/>
        <v>55.75</v>
      </c>
      <c r="AS26" s="35">
        <f t="shared" si="29"/>
        <v>252.39999999999998</v>
      </c>
      <c r="AU26" s="47">
        <v>417699</v>
      </c>
      <c r="AV26" s="37">
        <f t="shared" si="31"/>
        <v>1510</v>
      </c>
      <c r="AW26" s="35">
        <f t="shared" si="30"/>
        <v>3.02</v>
      </c>
    </row>
    <row r="27" spans="1:49" x14ac:dyDescent="0.25">
      <c r="A27" s="23">
        <v>44217</v>
      </c>
      <c r="B27" s="40">
        <v>110</v>
      </c>
      <c r="C27" s="24">
        <v>6518920</v>
      </c>
      <c r="D27" s="24">
        <v>15074420</v>
      </c>
      <c r="E27" s="24">
        <v>2315110</v>
      </c>
      <c r="F27" s="24">
        <v>3264120</v>
      </c>
      <c r="G27" s="24">
        <v>9812440</v>
      </c>
      <c r="H27" s="24">
        <v>5089150</v>
      </c>
      <c r="I27" s="24">
        <v>4760730</v>
      </c>
      <c r="J27" s="24">
        <v>5466280</v>
      </c>
      <c r="K27" s="24">
        <v>8556260</v>
      </c>
      <c r="L27" s="24">
        <v>3496670</v>
      </c>
      <c r="M27" s="24">
        <v>7454170</v>
      </c>
      <c r="N27" s="24">
        <v>11106450</v>
      </c>
      <c r="O27" s="24">
        <v>15239190</v>
      </c>
      <c r="Q27" s="37">
        <f t="shared" si="33"/>
        <v>560</v>
      </c>
      <c r="R27" s="37">
        <f t="shared" si="33"/>
        <v>1940</v>
      </c>
      <c r="S27" s="37">
        <f t="shared" si="33"/>
        <v>2370</v>
      </c>
      <c r="T27" s="37">
        <f t="shared" si="33"/>
        <v>1600</v>
      </c>
      <c r="U27" s="37">
        <f t="shared" si="33"/>
        <v>5390</v>
      </c>
      <c r="V27" s="37">
        <f t="shared" si="33"/>
        <v>3540</v>
      </c>
      <c r="W27" s="37">
        <f t="shared" si="33"/>
        <v>2500</v>
      </c>
      <c r="X27" s="37">
        <f t="shared" si="33"/>
        <v>4550</v>
      </c>
      <c r="Y27" s="37">
        <f t="shared" si="33"/>
        <v>6080</v>
      </c>
      <c r="Z27" s="37">
        <f t="shared" si="33"/>
        <v>2660</v>
      </c>
      <c r="AA27" s="37">
        <f t="shared" si="33"/>
        <v>3620</v>
      </c>
      <c r="AB27" s="37">
        <f t="shared" si="33"/>
        <v>6860</v>
      </c>
      <c r="AC27" s="37">
        <f t="shared" si="33"/>
        <v>14070</v>
      </c>
      <c r="AD27" s="35">
        <f t="shared" si="28"/>
        <v>55740</v>
      </c>
      <c r="AF27" s="20">
        <f t="shared" si="1"/>
        <v>2.8000000000000003</v>
      </c>
      <c r="AG27" s="20">
        <f t="shared" si="2"/>
        <v>9.7000000000000011</v>
      </c>
      <c r="AH27" s="20">
        <f t="shared" si="3"/>
        <v>11.85</v>
      </c>
      <c r="AI27" s="20">
        <f t="shared" si="4"/>
        <v>8</v>
      </c>
      <c r="AJ27" s="20">
        <f t="shared" si="5"/>
        <v>26.95</v>
      </c>
      <c r="AK27" s="20">
        <f t="shared" si="6"/>
        <v>17.7</v>
      </c>
      <c r="AL27" s="20">
        <f t="shared" si="7"/>
        <v>12.5</v>
      </c>
      <c r="AM27" s="20">
        <f t="shared" si="8"/>
        <v>22.75</v>
      </c>
      <c r="AN27" s="20">
        <f t="shared" si="9"/>
        <v>30.400000000000002</v>
      </c>
      <c r="AO27" s="20">
        <f t="shared" si="10"/>
        <v>13.3</v>
      </c>
      <c r="AP27" s="20">
        <f t="shared" si="11"/>
        <v>18.100000000000001</v>
      </c>
      <c r="AQ27" s="20">
        <f t="shared" si="12"/>
        <v>34.300000000000004</v>
      </c>
      <c r="AR27" s="20">
        <f t="shared" si="13"/>
        <v>70.350000000000009</v>
      </c>
      <c r="AS27" s="35">
        <f t="shared" si="29"/>
        <v>278.70000000000005</v>
      </c>
      <c r="AU27" s="47">
        <v>419239</v>
      </c>
      <c r="AV27" s="37">
        <f>IF((AU27-AU26&lt;0),"0",AU27-AU26)</f>
        <v>1540</v>
      </c>
      <c r="AW27" s="35">
        <f t="shared" si="30"/>
        <v>3.08</v>
      </c>
    </row>
    <row r="28" spans="1:49" x14ac:dyDescent="0.25">
      <c r="A28" s="23">
        <v>44218</v>
      </c>
      <c r="B28" s="40">
        <v>126</v>
      </c>
      <c r="C28" s="24">
        <v>6519450</v>
      </c>
      <c r="D28" s="24">
        <v>15076220</v>
      </c>
      <c r="E28" s="24">
        <v>2317390</v>
      </c>
      <c r="F28" s="24">
        <v>3265590</v>
      </c>
      <c r="G28" s="24">
        <v>9817990</v>
      </c>
      <c r="H28" s="24">
        <v>5092550</v>
      </c>
      <c r="I28" s="24">
        <v>4763010</v>
      </c>
      <c r="J28" s="24">
        <v>5470630</v>
      </c>
      <c r="K28" s="24">
        <v>8561920</v>
      </c>
      <c r="L28" s="24">
        <v>3499230</v>
      </c>
      <c r="M28" s="24">
        <v>7457670</v>
      </c>
      <c r="N28" s="24">
        <v>11113070</v>
      </c>
      <c r="O28" s="24">
        <v>15252730</v>
      </c>
      <c r="Q28" s="37">
        <f t="shared" si="16"/>
        <v>530</v>
      </c>
      <c r="R28" s="37">
        <f t="shared" si="17"/>
        <v>1800</v>
      </c>
      <c r="S28" s="37">
        <f t="shared" si="15"/>
        <v>2280</v>
      </c>
      <c r="T28" s="37">
        <f t="shared" si="18"/>
        <v>1470</v>
      </c>
      <c r="U28" s="37">
        <f t="shared" si="19"/>
        <v>5550</v>
      </c>
      <c r="V28" s="37">
        <f t="shared" si="20"/>
        <v>3400</v>
      </c>
      <c r="W28" s="37">
        <f t="shared" si="21"/>
        <v>2280</v>
      </c>
      <c r="X28" s="37">
        <f t="shared" si="22"/>
        <v>4350</v>
      </c>
      <c r="Y28" s="37">
        <f t="shared" si="23"/>
        <v>5660</v>
      </c>
      <c r="Z28" s="37">
        <f t="shared" si="24"/>
        <v>2560</v>
      </c>
      <c r="AA28" s="37">
        <f t="shared" si="25"/>
        <v>3500</v>
      </c>
      <c r="AB28" s="37">
        <f t="shared" si="26"/>
        <v>6620</v>
      </c>
      <c r="AC28" s="37">
        <f t="shared" si="27"/>
        <v>13540</v>
      </c>
      <c r="AD28" s="35">
        <f t="shared" si="28"/>
        <v>53540</v>
      </c>
      <c r="AF28" s="20">
        <f t="shared" si="1"/>
        <v>2.65</v>
      </c>
      <c r="AG28" s="20">
        <f t="shared" si="2"/>
        <v>9</v>
      </c>
      <c r="AH28" s="20">
        <f t="shared" si="3"/>
        <v>11.4</v>
      </c>
      <c r="AI28" s="20">
        <f t="shared" si="4"/>
        <v>7.3500000000000005</v>
      </c>
      <c r="AJ28" s="20">
        <f t="shared" si="5"/>
        <v>27.75</v>
      </c>
      <c r="AK28" s="20">
        <f t="shared" si="6"/>
        <v>17</v>
      </c>
      <c r="AL28" s="20">
        <f t="shared" si="7"/>
        <v>11.4</v>
      </c>
      <c r="AM28" s="20">
        <f t="shared" si="8"/>
        <v>21.75</v>
      </c>
      <c r="AN28" s="20">
        <f t="shared" si="9"/>
        <v>28.3</v>
      </c>
      <c r="AO28" s="20">
        <f t="shared" si="10"/>
        <v>12.8</v>
      </c>
      <c r="AP28" s="20">
        <f t="shared" si="11"/>
        <v>17.5</v>
      </c>
      <c r="AQ28" s="20">
        <f t="shared" si="12"/>
        <v>33.1</v>
      </c>
      <c r="AR28" s="20">
        <f t="shared" si="13"/>
        <v>67.7</v>
      </c>
      <c r="AS28" s="35">
        <f t="shared" si="29"/>
        <v>267.70000000000005</v>
      </c>
      <c r="AU28" s="47">
        <v>421189</v>
      </c>
      <c r="AV28" s="37">
        <f>IF((AU28-AU27&lt;0),"0",AU28-AU27)</f>
        <v>1950</v>
      </c>
      <c r="AW28" s="35">
        <f t="shared" si="30"/>
        <v>3.9</v>
      </c>
    </row>
    <row r="29" spans="1:49" x14ac:dyDescent="0.25">
      <c r="A29" s="23">
        <v>44219</v>
      </c>
      <c r="B29" s="40">
        <v>68</v>
      </c>
      <c r="C29" s="24">
        <v>6519990</v>
      </c>
      <c r="D29" s="24">
        <v>15078090</v>
      </c>
      <c r="E29" s="24">
        <v>2319680</v>
      </c>
      <c r="F29" s="24">
        <v>3266910</v>
      </c>
      <c r="G29" s="24">
        <v>9823640</v>
      </c>
      <c r="H29" s="24">
        <v>5095980</v>
      </c>
      <c r="I29" s="24">
        <v>4765350</v>
      </c>
      <c r="J29" s="24">
        <v>5475020</v>
      </c>
      <c r="K29" s="24">
        <v>8567560</v>
      </c>
      <c r="L29" s="24">
        <v>3501890</v>
      </c>
      <c r="M29" s="24">
        <v>7461310</v>
      </c>
      <c r="N29" s="24">
        <v>11120110</v>
      </c>
      <c r="O29" s="24">
        <v>15266750</v>
      </c>
      <c r="Q29" s="37">
        <f t="shared" si="16"/>
        <v>540</v>
      </c>
      <c r="R29" s="37">
        <f t="shared" si="17"/>
        <v>1870</v>
      </c>
      <c r="S29" s="37">
        <f t="shared" si="15"/>
        <v>2290</v>
      </c>
      <c r="T29" s="37">
        <f t="shared" si="18"/>
        <v>1320</v>
      </c>
      <c r="U29" s="37">
        <f t="shared" si="19"/>
        <v>5650</v>
      </c>
      <c r="V29" s="37">
        <f t="shared" si="20"/>
        <v>3430</v>
      </c>
      <c r="W29" s="37">
        <f t="shared" si="21"/>
        <v>2340</v>
      </c>
      <c r="X29" s="37">
        <f t="shared" si="22"/>
        <v>4390</v>
      </c>
      <c r="Y29" s="37">
        <f t="shared" si="23"/>
        <v>5640</v>
      </c>
      <c r="Z29" s="37">
        <f t="shared" si="24"/>
        <v>2660</v>
      </c>
      <c r="AA29" s="37">
        <f t="shared" si="25"/>
        <v>3640</v>
      </c>
      <c r="AB29" s="37">
        <f t="shared" si="26"/>
        <v>7040</v>
      </c>
      <c r="AC29" s="37">
        <f t="shared" si="27"/>
        <v>14020</v>
      </c>
      <c r="AD29" s="35">
        <f t="shared" si="28"/>
        <v>54830</v>
      </c>
      <c r="AF29" s="20">
        <f t="shared" si="1"/>
        <v>2.7</v>
      </c>
      <c r="AG29" s="20">
        <f t="shared" si="2"/>
        <v>9.35</v>
      </c>
      <c r="AH29" s="20">
        <f t="shared" si="3"/>
        <v>11.450000000000001</v>
      </c>
      <c r="AI29" s="20">
        <f t="shared" si="4"/>
        <v>6.6000000000000005</v>
      </c>
      <c r="AJ29" s="20">
        <f t="shared" si="5"/>
        <v>28.25</v>
      </c>
      <c r="AK29" s="20">
        <f t="shared" si="6"/>
        <v>17.150000000000002</v>
      </c>
      <c r="AL29" s="20">
        <f t="shared" si="7"/>
        <v>11.700000000000001</v>
      </c>
      <c r="AM29" s="20">
        <f t="shared" si="8"/>
        <v>21.95</v>
      </c>
      <c r="AN29" s="20">
        <f t="shared" si="9"/>
        <v>28.2</v>
      </c>
      <c r="AO29" s="20">
        <f t="shared" si="10"/>
        <v>13.3</v>
      </c>
      <c r="AP29" s="20">
        <f t="shared" si="11"/>
        <v>18.2</v>
      </c>
      <c r="AQ29" s="20">
        <f t="shared" si="12"/>
        <v>35.200000000000003</v>
      </c>
      <c r="AR29" s="20">
        <f t="shared" si="13"/>
        <v>70.100000000000009</v>
      </c>
      <c r="AS29" s="35">
        <f t="shared" si="29"/>
        <v>274.15000000000003</v>
      </c>
      <c r="AU29" s="47">
        <v>422856</v>
      </c>
      <c r="AV29" s="37">
        <f t="shared" ref="AV29:AV35" si="34">IF((AU29-AU28&lt;0),"0",AU29-AU28)</f>
        <v>1667</v>
      </c>
      <c r="AW29" s="35">
        <f t="shared" si="30"/>
        <v>3.3340000000000001</v>
      </c>
    </row>
    <row r="30" spans="1:49" x14ac:dyDescent="0.25">
      <c r="A30" s="23">
        <v>44220</v>
      </c>
      <c r="B30" s="40">
        <v>85</v>
      </c>
      <c r="C30" s="24">
        <v>6520530</v>
      </c>
      <c r="D30" s="24">
        <v>15079950</v>
      </c>
      <c r="E30" s="24">
        <v>2322000</v>
      </c>
      <c r="F30" s="24">
        <v>3268330</v>
      </c>
      <c r="G30" s="24">
        <v>9829020</v>
      </c>
      <c r="H30" s="24">
        <v>5099240</v>
      </c>
      <c r="I30" s="24">
        <v>4767710</v>
      </c>
      <c r="J30" s="24">
        <v>5479130</v>
      </c>
      <c r="K30" s="24">
        <v>8572760</v>
      </c>
      <c r="L30" s="24">
        <v>3504390</v>
      </c>
      <c r="M30" s="24">
        <v>7464790</v>
      </c>
      <c r="N30" s="24">
        <v>11126920</v>
      </c>
      <c r="O30" s="24">
        <v>15279070</v>
      </c>
      <c r="Q30" s="37">
        <f t="shared" si="16"/>
        <v>540</v>
      </c>
      <c r="R30" s="37">
        <f t="shared" si="17"/>
        <v>1860</v>
      </c>
      <c r="S30" s="37">
        <f t="shared" si="15"/>
        <v>2320</v>
      </c>
      <c r="T30" s="37">
        <f t="shared" si="18"/>
        <v>1420</v>
      </c>
      <c r="U30" s="37">
        <f t="shared" si="19"/>
        <v>5380</v>
      </c>
      <c r="V30" s="37">
        <f t="shared" si="20"/>
        <v>3260</v>
      </c>
      <c r="W30" s="37">
        <f t="shared" si="21"/>
        <v>2360</v>
      </c>
      <c r="X30" s="37">
        <f t="shared" si="22"/>
        <v>4110</v>
      </c>
      <c r="Y30" s="37">
        <f t="shared" si="23"/>
        <v>5200</v>
      </c>
      <c r="Z30" s="37">
        <f t="shared" si="24"/>
        <v>2500</v>
      </c>
      <c r="AA30" s="37">
        <f t="shared" si="25"/>
        <v>3480</v>
      </c>
      <c r="AB30" s="37">
        <f t="shared" si="26"/>
        <v>6810</v>
      </c>
      <c r="AC30" s="37">
        <f t="shared" si="27"/>
        <v>12320</v>
      </c>
      <c r="AD30" s="35">
        <f t="shared" si="28"/>
        <v>51560</v>
      </c>
      <c r="AF30" s="20">
        <f t="shared" si="1"/>
        <v>2.7</v>
      </c>
      <c r="AG30" s="20">
        <f t="shared" si="2"/>
        <v>9.3000000000000007</v>
      </c>
      <c r="AH30" s="20">
        <f t="shared" si="3"/>
        <v>11.6</v>
      </c>
      <c r="AI30" s="20">
        <f t="shared" si="4"/>
        <v>7.1000000000000005</v>
      </c>
      <c r="AJ30" s="20">
        <f t="shared" si="5"/>
        <v>26.900000000000002</v>
      </c>
      <c r="AK30" s="20">
        <f t="shared" si="6"/>
        <v>16.3</v>
      </c>
      <c r="AL30" s="20">
        <f t="shared" si="7"/>
        <v>11.8</v>
      </c>
      <c r="AM30" s="20">
        <f t="shared" si="8"/>
        <v>20.55</v>
      </c>
      <c r="AN30" s="20">
        <f t="shared" si="9"/>
        <v>26</v>
      </c>
      <c r="AO30" s="20">
        <f t="shared" si="10"/>
        <v>12.5</v>
      </c>
      <c r="AP30" s="20">
        <f t="shared" si="11"/>
        <v>17.400000000000002</v>
      </c>
      <c r="AQ30" s="20">
        <f t="shared" si="12"/>
        <v>34.049999999999997</v>
      </c>
      <c r="AR30" s="20">
        <f t="shared" si="13"/>
        <v>61.6</v>
      </c>
      <c r="AS30" s="35">
        <f t="shared" si="29"/>
        <v>257.8</v>
      </c>
      <c r="AU30" s="47">
        <v>424158</v>
      </c>
      <c r="AV30" s="37">
        <f t="shared" si="34"/>
        <v>1302</v>
      </c>
      <c r="AW30" s="35">
        <f t="shared" si="30"/>
        <v>2.6040000000000001</v>
      </c>
    </row>
    <row r="31" spans="1:49" x14ac:dyDescent="0.25">
      <c r="A31" s="23">
        <v>44221</v>
      </c>
      <c r="B31" s="40">
        <v>66</v>
      </c>
      <c r="C31" s="24">
        <v>6521110</v>
      </c>
      <c r="D31" s="24">
        <v>15081930</v>
      </c>
      <c r="E31" s="24">
        <v>2324500</v>
      </c>
      <c r="F31" s="24">
        <v>3269840</v>
      </c>
      <c r="G31" s="24">
        <v>9834770</v>
      </c>
      <c r="H31" s="24">
        <v>5102810</v>
      </c>
      <c r="I31" s="24">
        <v>4770170</v>
      </c>
      <c r="J31" s="24">
        <v>5483920</v>
      </c>
      <c r="K31" s="24">
        <v>8578570</v>
      </c>
      <c r="L31" s="24">
        <v>3507050</v>
      </c>
      <c r="M31" s="24">
        <v>7468510</v>
      </c>
      <c r="N31" s="24">
        <v>11134110</v>
      </c>
      <c r="O31" s="24">
        <v>15291420</v>
      </c>
      <c r="Q31" s="37">
        <f>IF((C31-C30&lt;0), "0",C31-C30)</f>
        <v>580</v>
      </c>
      <c r="R31" s="37">
        <f t="shared" si="17"/>
        <v>1980</v>
      </c>
      <c r="S31" s="37">
        <f t="shared" si="15"/>
        <v>2500</v>
      </c>
      <c r="T31" s="37">
        <f t="shared" si="18"/>
        <v>1510</v>
      </c>
      <c r="U31" s="37">
        <f t="shared" si="19"/>
        <v>5750</v>
      </c>
      <c r="V31" s="37">
        <f t="shared" si="20"/>
        <v>3570</v>
      </c>
      <c r="W31" s="37">
        <f t="shared" si="21"/>
        <v>2460</v>
      </c>
      <c r="X31" s="37">
        <f t="shared" si="22"/>
        <v>4790</v>
      </c>
      <c r="Y31" s="37">
        <f t="shared" si="23"/>
        <v>5810</v>
      </c>
      <c r="Z31" s="37">
        <f t="shared" si="24"/>
        <v>2660</v>
      </c>
      <c r="AA31" s="37">
        <f t="shared" si="25"/>
        <v>3720</v>
      </c>
      <c r="AB31" s="37">
        <f t="shared" si="26"/>
        <v>7190</v>
      </c>
      <c r="AC31" s="37">
        <f t="shared" si="27"/>
        <v>12350</v>
      </c>
      <c r="AD31" s="35">
        <f t="shared" si="28"/>
        <v>54870</v>
      </c>
      <c r="AF31" s="20">
        <f t="shared" si="1"/>
        <v>2.9</v>
      </c>
      <c r="AG31" s="20">
        <f t="shared" si="2"/>
        <v>9.9</v>
      </c>
      <c r="AH31" s="20">
        <f t="shared" si="3"/>
        <v>12.5</v>
      </c>
      <c r="AI31" s="20">
        <f t="shared" si="4"/>
        <v>7.55</v>
      </c>
      <c r="AJ31" s="20">
        <f t="shared" si="5"/>
        <v>28.75</v>
      </c>
      <c r="AK31" s="20">
        <f t="shared" si="6"/>
        <v>17.850000000000001</v>
      </c>
      <c r="AL31" s="20">
        <f t="shared" si="7"/>
        <v>12.3</v>
      </c>
      <c r="AM31" s="20">
        <f t="shared" si="8"/>
        <v>23.95</v>
      </c>
      <c r="AN31" s="20">
        <f t="shared" si="9"/>
        <v>29.05</v>
      </c>
      <c r="AO31" s="20">
        <f t="shared" si="10"/>
        <v>13.3</v>
      </c>
      <c r="AP31" s="20">
        <f t="shared" si="11"/>
        <v>18.600000000000001</v>
      </c>
      <c r="AQ31" s="20">
        <f t="shared" si="12"/>
        <v>35.950000000000003</v>
      </c>
      <c r="AR31" s="20">
        <f t="shared" si="13"/>
        <v>61.75</v>
      </c>
      <c r="AS31" s="35">
        <f t="shared" si="29"/>
        <v>274.35000000000002</v>
      </c>
      <c r="AU31" s="47">
        <v>425763</v>
      </c>
      <c r="AV31" s="37">
        <f t="shared" si="34"/>
        <v>1605</v>
      </c>
      <c r="AW31" s="35">
        <f t="shared" si="30"/>
        <v>3.21</v>
      </c>
    </row>
    <row r="32" spans="1:49" x14ac:dyDescent="0.25">
      <c r="A32" s="23">
        <v>44222</v>
      </c>
      <c r="B32" s="40">
        <v>66</v>
      </c>
      <c r="C32" s="24">
        <v>6521620</v>
      </c>
      <c r="D32" s="24">
        <v>15083740</v>
      </c>
      <c r="E32" s="24">
        <v>2326640</v>
      </c>
      <c r="F32" s="24">
        <v>3271510</v>
      </c>
      <c r="G32" s="24">
        <v>9840065</v>
      </c>
      <c r="H32" s="24">
        <v>5106190</v>
      </c>
      <c r="I32" s="24">
        <v>4772440</v>
      </c>
      <c r="J32" s="24">
        <v>5488160</v>
      </c>
      <c r="K32" s="24">
        <v>8583600</v>
      </c>
      <c r="L32" s="24">
        <v>3509540</v>
      </c>
      <c r="M32" s="24">
        <v>7472020</v>
      </c>
      <c r="N32" s="24">
        <v>11140620</v>
      </c>
      <c r="O32" s="24">
        <v>15301930</v>
      </c>
      <c r="Q32" s="37">
        <f>IF((C32-C31&lt;0), "0",C32-C31)</f>
        <v>510</v>
      </c>
      <c r="R32" s="37">
        <f t="shared" si="17"/>
        <v>1810</v>
      </c>
      <c r="S32" s="37">
        <f t="shared" si="15"/>
        <v>2140</v>
      </c>
      <c r="T32" s="37">
        <f t="shared" si="18"/>
        <v>1670</v>
      </c>
      <c r="U32" s="37">
        <f t="shared" si="19"/>
        <v>5295</v>
      </c>
      <c r="V32" s="37">
        <f t="shared" si="20"/>
        <v>3380</v>
      </c>
      <c r="W32" s="37">
        <f t="shared" si="21"/>
        <v>2270</v>
      </c>
      <c r="X32" s="37">
        <f t="shared" si="22"/>
        <v>4240</v>
      </c>
      <c r="Y32" s="37">
        <f t="shared" si="23"/>
        <v>5030</v>
      </c>
      <c r="Z32" s="37">
        <f t="shared" si="24"/>
        <v>2490</v>
      </c>
      <c r="AA32" s="37">
        <f t="shared" si="25"/>
        <v>3510</v>
      </c>
      <c r="AB32" s="37">
        <f t="shared" si="26"/>
        <v>6510</v>
      </c>
      <c r="AC32" s="37">
        <f t="shared" si="27"/>
        <v>10510</v>
      </c>
      <c r="AD32" s="35">
        <f t="shared" si="28"/>
        <v>49365</v>
      </c>
      <c r="AF32" s="20">
        <f t="shared" si="1"/>
        <v>2.5500000000000003</v>
      </c>
      <c r="AG32" s="20">
        <f t="shared" si="2"/>
        <v>9.0500000000000007</v>
      </c>
      <c r="AH32" s="20">
        <f t="shared" si="3"/>
        <v>10.700000000000001</v>
      </c>
      <c r="AI32" s="20">
        <f t="shared" si="4"/>
        <v>8.35</v>
      </c>
      <c r="AJ32" s="20">
        <f t="shared" si="5"/>
        <v>26.475000000000001</v>
      </c>
      <c r="AK32" s="20">
        <f t="shared" si="6"/>
        <v>16.899999999999999</v>
      </c>
      <c r="AL32" s="20">
        <f t="shared" si="7"/>
        <v>11.35</v>
      </c>
      <c r="AM32" s="20">
        <f t="shared" si="8"/>
        <v>21.2</v>
      </c>
      <c r="AN32" s="20">
        <f t="shared" si="9"/>
        <v>25.150000000000002</v>
      </c>
      <c r="AO32" s="20">
        <f t="shared" si="10"/>
        <v>12.450000000000001</v>
      </c>
      <c r="AP32" s="20">
        <f t="shared" si="11"/>
        <v>17.55</v>
      </c>
      <c r="AQ32" s="20">
        <f t="shared" si="12"/>
        <v>32.549999999999997</v>
      </c>
      <c r="AR32" s="20">
        <f t="shared" si="13"/>
        <v>52.550000000000004</v>
      </c>
      <c r="AS32" s="35">
        <f t="shared" si="29"/>
        <v>246.82499999999999</v>
      </c>
      <c r="AU32" s="47">
        <v>427476</v>
      </c>
      <c r="AV32" s="37">
        <f t="shared" si="34"/>
        <v>1713</v>
      </c>
      <c r="AW32" s="35">
        <f t="shared" si="30"/>
        <v>3.4260000000000002</v>
      </c>
    </row>
    <row r="33" spans="1:49" x14ac:dyDescent="0.25">
      <c r="A33" s="23">
        <v>44223</v>
      </c>
      <c r="B33" s="40">
        <v>80</v>
      </c>
      <c r="C33" s="24">
        <v>6522150</v>
      </c>
      <c r="D33" s="24">
        <v>15085580</v>
      </c>
      <c r="E33" s="24">
        <v>2329120</v>
      </c>
      <c r="F33" s="24">
        <v>3272900</v>
      </c>
      <c r="G33" s="24">
        <v>9845330</v>
      </c>
      <c r="H33" s="24">
        <v>5109570</v>
      </c>
      <c r="I33" s="24">
        <v>4774760</v>
      </c>
      <c r="J33" s="24">
        <v>5492320</v>
      </c>
      <c r="K33" s="24">
        <v>8588710</v>
      </c>
      <c r="L33" s="24">
        <v>3512040</v>
      </c>
      <c r="M33" s="24">
        <v>7475330</v>
      </c>
      <c r="N33" s="24">
        <v>11147110</v>
      </c>
      <c r="O33" s="24">
        <v>15312510</v>
      </c>
      <c r="Q33" s="37">
        <f>IF((C33-C32&lt;0), "0",C33-C32)</f>
        <v>530</v>
      </c>
      <c r="R33" s="37">
        <f t="shared" si="17"/>
        <v>1840</v>
      </c>
      <c r="S33" s="37">
        <f t="shared" si="15"/>
        <v>2480</v>
      </c>
      <c r="T33" s="37">
        <f t="shared" si="18"/>
        <v>1390</v>
      </c>
      <c r="U33" s="37">
        <f t="shared" si="19"/>
        <v>5265</v>
      </c>
      <c r="V33" s="37">
        <f t="shared" si="20"/>
        <v>3380</v>
      </c>
      <c r="W33" s="37">
        <f t="shared" si="21"/>
        <v>2320</v>
      </c>
      <c r="X33" s="37">
        <f t="shared" si="22"/>
        <v>4160</v>
      </c>
      <c r="Y33" s="37">
        <f t="shared" si="23"/>
        <v>5110</v>
      </c>
      <c r="Z33" s="37">
        <f t="shared" si="24"/>
        <v>2500</v>
      </c>
      <c r="AA33" s="37">
        <f t="shared" si="25"/>
        <v>3310</v>
      </c>
      <c r="AB33" s="37">
        <f t="shared" si="26"/>
        <v>6490</v>
      </c>
      <c r="AC33" s="37">
        <f t="shared" si="27"/>
        <v>10580</v>
      </c>
      <c r="AD33" s="35">
        <f t="shared" si="28"/>
        <v>49355</v>
      </c>
      <c r="AF33" s="20">
        <f t="shared" si="1"/>
        <v>2.65</v>
      </c>
      <c r="AG33" s="20">
        <f t="shared" si="2"/>
        <v>9.2000000000000011</v>
      </c>
      <c r="AH33" s="20">
        <f t="shared" si="3"/>
        <v>12.4</v>
      </c>
      <c r="AI33" s="20">
        <f t="shared" si="4"/>
        <v>6.95</v>
      </c>
      <c r="AJ33" s="20">
        <f t="shared" si="5"/>
        <v>26.324999999999999</v>
      </c>
      <c r="AK33" s="20">
        <f t="shared" si="6"/>
        <v>16.899999999999999</v>
      </c>
      <c r="AL33" s="20">
        <f t="shared" si="7"/>
        <v>11.6</v>
      </c>
      <c r="AM33" s="20">
        <f t="shared" si="8"/>
        <v>20.8</v>
      </c>
      <c r="AN33" s="20">
        <f t="shared" si="9"/>
        <v>25.55</v>
      </c>
      <c r="AO33" s="20">
        <f t="shared" si="10"/>
        <v>12.5</v>
      </c>
      <c r="AP33" s="20">
        <f t="shared" si="11"/>
        <v>16.55</v>
      </c>
      <c r="AQ33" s="20">
        <f t="shared" si="12"/>
        <v>32.450000000000003</v>
      </c>
      <c r="AR33" s="20">
        <f t="shared" si="13"/>
        <v>52.9</v>
      </c>
      <c r="AS33" s="35">
        <f t="shared" si="29"/>
        <v>246.77500000000001</v>
      </c>
      <c r="AU33" s="47">
        <v>428921</v>
      </c>
      <c r="AV33" s="37">
        <f t="shared" si="34"/>
        <v>1445</v>
      </c>
      <c r="AW33" s="35">
        <f t="shared" si="30"/>
        <v>2.89</v>
      </c>
    </row>
    <row r="34" spans="1:49" x14ac:dyDescent="0.25">
      <c r="A34" s="23">
        <v>44224</v>
      </c>
      <c r="B34" s="52">
        <v>133</v>
      </c>
      <c r="C34" s="51">
        <v>6522700</v>
      </c>
      <c r="D34" s="24">
        <v>15087510</v>
      </c>
      <c r="E34" s="24">
        <v>2330580</v>
      </c>
      <c r="F34" s="24">
        <v>3275890</v>
      </c>
      <c r="G34" s="24">
        <v>9850780</v>
      </c>
      <c r="H34" s="24">
        <v>5113240</v>
      </c>
      <c r="I34" s="24">
        <v>4777190</v>
      </c>
      <c r="J34" s="24">
        <v>5496580</v>
      </c>
      <c r="K34" s="24">
        <v>8594350</v>
      </c>
      <c r="L34" s="24">
        <v>3514830</v>
      </c>
      <c r="M34" s="24">
        <v>7479010</v>
      </c>
      <c r="N34" s="24">
        <v>11153920</v>
      </c>
      <c r="O34" s="24">
        <v>15324350</v>
      </c>
      <c r="Q34" s="37">
        <f>IF((C34-C33&lt;0), "0",C34-C33)</f>
        <v>550</v>
      </c>
      <c r="R34" s="37">
        <f t="shared" si="17"/>
        <v>1930</v>
      </c>
      <c r="S34" s="37">
        <f t="shared" si="15"/>
        <v>1460</v>
      </c>
      <c r="T34" s="37">
        <f t="shared" si="18"/>
        <v>2990</v>
      </c>
      <c r="U34" s="37">
        <f t="shared" si="19"/>
        <v>5450</v>
      </c>
      <c r="V34" s="37">
        <f t="shared" si="20"/>
        <v>3670</v>
      </c>
      <c r="W34" s="37">
        <f t="shared" si="21"/>
        <v>2430</v>
      </c>
      <c r="X34" s="37">
        <f t="shared" si="22"/>
        <v>4260</v>
      </c>
      <c r="Y34" s="37">
        <f t="shared" si="23"/>
        <v>5640</v>
      </c>
      <c r="Z34" s="37">
        <f t="shared" si="24"/>
        <v>2790</v>
      </c>
      <c r="AA34" s="37">
        <f t="shared" si="25"/>
        <v>3680</v>
      </c>
      <c r="AB34" s="37">
        <f t="shared" si="26"/>
        <v>6810</v>
      </c>
      <c r="AC34" s="37">
        <f t="shared" si="27"/>
        <v>11840</v>
      </c>
      <c r="AD34" s="35">
        <f t="shared" si="28"/>
        <v>53500</v>
      </c>
      <c r="AF34" s="20">
        <f>Q34*$D$39</f>
        <v>2.75</v>
      </c>
      <c r="AG34" s="20">
        <f t="shared" si="2"/>
        <v>9.65</v>
      </c>
      <c r="AH34" s="20">
        <f t="shared" si="3"/>
        <v>7.3</v>
      </c>
      <c r="AI34" s="20">
        <f t="shared" si="4"/>
        <v>14.950000000000001</v>
      </c>
      <c r="AJ34" s="20">
        <f t="shared" si="5"/>
        <v>27.25</v>
      </c>
      <c r="AK34" s="20">
        <f t="shared" si="6"/>
        <v>18.350000000000001</v>
      </c>
      <c r="AL34" s="20">
        <f t="shared" si="7"/>
        <v>12.15</v>
      </c>
      <c r="AM34" s="20">
        <f t="shared" si="8"/>
        <v>21.3</v>
      </c>
      <c r="AN34" s="20">
        <f t="shared" si="9"/>
        <v>28.2</v>
      </c>
      <c r="AO34" s="20">
        <f t="shared" si="10"/>
        <v>13.950000000000001</v>
      </c>
      <c r="AP34" s="20">
        <f t="shared" si="11"/>
        <v>18.400000000000002</v>
      </c>
      <c r="AQ34" s="20">
        <f t="shared" si="12"/>
        <v>34.049999999999997</v>
      </c>
      <c r="AR34" s="20">
        <f t="shared" si="13"/>
        <v>59.2</v>
      </c>
      <c r="AS34" s="35">
        <f>SUM(AF34:AR34)</f>
        <v>267.5</v>
      </c>
      <c r="AU34" s="47">
        <v>430984</v>
      </c>
      <c r="AV34" s="37">
        <f t="shared" si="34"/>
        <v>2063</v>
      </c>
      <c r="AW34" s="35">
        <f t="shared" si="30"/>
        <v>4.1260000000000003</v>
      </c>
    </row>
    <row r="35" spans="1:49" x14ac:dyDescent="0.25">
      <c r="A35" s="23">
        <v>44225</v>
      </c>
      <c r="B35" s="40">
        <v>146</v>
      </c>
      <c r="C35" s="24">
        <v>6523250</v>
      </c>
      <c r="D35" s="24">
        <v>15089380</v>
      </c>
      <c r="E35" s="24">
        <v>2333510</v>
      </c>
      <c r="F35" s="24">
        <v>3277330</v>
      </c>
      <c r="G35" s="24">
        <v>9856450</v>
      </c>
      <c r="H35" s="24">
        <v>5116840</v>
      </c>
      <c r="I35" s="24">
        <v>4779540</v>
      </c>
      <c r="J35" s="24">
        <v>5500670</v>
      </c>
      <c r="K35" s="24">
        <v>8600080</v>
      </c>
      <c r="L35" s="24">
        <v>3517650</v>
      </c>
      <c r="M35" s="24">
        <v>7482900</v>
      </c>
      <c r="N35" s="24">
        <v>11160900</v>
      </c>
      <c r="O35" s="24">
        <v>15336900</v>
      </c>
      <c r="Q35" s="37">
        <f>IF((C35-C34&lt;0), "0",C35-C34)</f>
        <v>550</v>
      </c>
      <c r="R35" s="37">
        <f t="shared" si="17"/>
        <v>1870</v>
      </c>
      <c r="S35" s="37">
        <f t="shared" si="15"/>
        <v>2930</v>
      </c>
      <c r="T35" s="37">
        <f t="shared" si="18"/>
        <v>1440</v>
      </c>
      <c r="U35" s="37">
        <f t="shared" si="19"/>
        <v>5670</v>
      </c>
      <c r="V35" s="37">
        <f t="shared" si="20"/>
        <v>3600</v>
      </c>
      <c r="W35" s="37">
        <f t="shared" si="21"/>
        <v>2350</v>
      </c>
      <c r="X35" s="37">
        <f t="shared" si="22"/>
        <v>4090</v>
      </c>
      <c r="Y35" s="37">
        <f t="shared" si="23"/>
        <v>5730</v>
      </c>
      <c r="Z35" s="37">
        <f t="shared" si="24"/>
        <v>2820</v>
      </c>
      <c r="AA35" s="37">
        <f t="shared" si="25"/>
        <v>3890</v>
      </c>
      <c r="AB35" s="37">
        <f t="shared" si="26"/>
        <v>6980</v>
      </c>
      <c r="AC35" s="37">
        <f t="shared" si="27"/>
        <v>12550</v>
      </c>
      <c r="AD35" s="35">
        <f t="shared" si="28"/>
        <v>54470</v>
      </c>
      <c r="AF35" s="20">
        <f t="shared" si="1"/>
        <v>2.75</v>
      </c>
      <c r="AG35" s="20">
        <f t="shared" si="2"/>
        <v>9.35</v>
      </c>
      <c r="AH35" s="20">
        <f t="shared" si="3"/>
        <v>14.65</v>
      </c>
      <c r="AI35" s="20">
        <f t="shared" si="4"/>
        <v>7.2</v>
      </c>
      <c r="AJ35" s="20">
        <f t="shared" si="5"/>
        <v>28.35</v>
      </c>
      <c r="AK35" s="20">
        <f t="shared" si="6"/>
        <v>18</v>
      </c>
      <c r="AL35" s="20">
        <f t="shared" si="7"/>
        <v>11.75</v>
      </c>
      <c r="AM35" s="20">
        <f t="shared" si="8"/>
        <v>20.45</v>
      </c>
      <c r="AN35" s="20">
        <f t="shared" si="9"/>
        <v>28.650000000000002</v>
      </c>
      <c r="AO35" s="20">
        <f t="shared" si="10"/>
        <v>14.1</v>
      </c>
      <c r="AP35" s="20">
        <f t="shared" si="11"/>
        <v>19.45</v>
      </c>
      <c r="AQ35" s="20">
        <f t="shared" si="12"/>
        <v>34.9</v>
      </c>
      <c r="AR35" s="20">
        <f t="shared" si="13"/>
        <v>62.75</v>
      </c>
      <c r="AS35" s="35">
        <f>SUM(AF35:AR35)</f>
        <v>272.35000000000002</v>
      </c>
      <c r="AU35" s="47">
        <v>432154</v>
      </c>
      <c r="AV35" s="37">
        <f t="shared" si="34"/>
        <v>1170</v>
      </c>
      <c r="AW35" s="35">
        <f t="shared" si="30"/>
        <v>2.34</v>
      </c>
    </row>
    <row r="36" spans="1:49" x14ac:dyDescent="0.25">
      <c r="A36" s="23">
        <v>44226</v>
      </c>
      <c r="B36" s="40">
        <v>72</v>
      </c>
      <c r="C36" s="24">
        <v>6523800</v>
      </c>
      <c r="D36" s="24">
        <v>15091310</v>
      </c>
      <c r="E36" s="24">
        <v>2336340</v>
      </c>
      <c r="F36" s="24">
        <v>3278830</v>
      </c>
      <c r="G36" s="24">
        <v>9862100</v>
      </c>
      <c r="H36" s="24">
        <v>5120510</v>
      </c>
      <c r="I36" s="24">
        <v>4781940</v>
      </c>
      <c r="J36" s="53">
        <v>5504820</v>
      </c>
      <c r="K36" s="24">
        <v>8605750</v>
      </c>
      <c r="L36" s="24">
        <v>3520450</v>
      </c>
      <c r="M36" s="24">
        <v>7488670</v>
      </c>
      <c r="N36" s="24">
        <v>11167900</v>
      </c>
      <c r="O36" s="24">
        <v>15349710</v>
      </c>
      <c r="Q36" s="37">
        <f t="shared" ref="Q36:AA36" si="35">IF((C36-C35&lt;0), "0",C36-C35)</f>
        <v>550</v>
      </c>
      <c r="R36" s="37">
        <f t="shared" si="35"/>
        <v>1930</v>
      </c>
      <c r="S36" s="37">
        <f t="shared" si="35"/>
        <v>2830</v>
      </c>
      <c r="T36" s="37">
        <f t="shared" si="35"/>
        <v>1500</v>
      </c>
      <c r="U36" s="37">
        <f t="shared" si="35"/>
        <v>5650</v>
      </c>
      <c r="V36" s="37">
        <f t="shared" si="35"/>
        <v>3670</v>
      </c>
      <c r="W36" s="37">
        <f t="shared" si="35"/>
        <v>2400</v>
      </c>
      <c r="X36" s="37">
        <f t="shared" si="35"/>
        <v>4150</v>
      </c>
      <c r="Y36" s="37">
        <f t="shared" si="35"/>
        <v>5670</v>
      </c>
      <c r="Z36" s="37">
        <f t="shared" si="35"/>
        <v>2800</v>
      </c>
      <c r="AA36" s="37">
        <f t="shared" si="35"/>
        <v>5770</v>
      </c>
      <c r="AB36" s="37">
        <f t="shared" si="26"/>
        <v>7000</v>
      </c>
      <c r="AC36" s="37">
        <f t="shared" si="27"/>
        <v>12810</v>
      </c>
      <c r="AD36" s="35">
        <f t="shared" si="28"/>
        <v>56730</v>
      </c>
      <c r="AF36" s="20">
        <f t="shared" si="1"/>
        <v>2.75</v>
      </c>
      <c r="AG36" s="20">
        <f t="shared" si="2"/>
        <v>9.65</v>
      </c>
      <c r="AH36" s="20">
        <f t="shared" si="3"/>
        <v>14.15</v>
      </c>
      <c r="AI36" s="20">
        <f t="shared" si="4"/>
        <v>7.5</v>
      </c>
      <c r="AJ36" s="20">
        <f t="shared" si="5"/>
        <v>28.25</v>
      </c>
      <c r="AK36" s="20">
        <f t="shared" si="6"/>
        <v>18.350000000000001</v>
      </c>
      <c r="AL36" s="20">
        <f t="shared" si="7"/>
        <v>12</v>
      </c>
      <c r="AM36" s="20">
        <f t="shared" si="8"/>
        <v>20.75</v>
      </c>
      <c r="AN36" s="20">
        <f t="shared" si="9"/>
        <v>28.35</v>
      </c>
      <c r="AO36" s="20">
        <f t="shared" si="10"/>
        <v>14</v>
      </c>
      <c r="AP36" s="20">
        <f t="shared" si="11"/>
        <v>28.85</v>
      </c>
      <c r="AQ36" s="20">
        <f t="shared" si="12"/>
        <v>35</v>
      </c>
      <c r="AR36" s="20">
        <f t="shared" si="13"/>
        <v>64.05</v>
      </c>
      <c r="AS36" s="35">
        <f>SUM(AF36:AR36)</f>
        <v>283.64999999999998</v>
      </c>
      <c r="AU36" s="47">
        <v>434615</v>
      </c>
      <c r="AV36" s="37">
        <f t="shared" ref="AV36:AV37" si="36">IF((AU36-AU35&lt;0),"0",AU36-AU35)</f>
        <v>2461</v>
      </c>
      <c r="AW36" s="35">
        <f t="shared" ref="AW36:AW37" si="37">AV36*$D$40</f>
        <v>4.9219999999999997</v>
      </c>
    </row>
    <row r="37" spans="1:49" x14ac:dyDescent="0.25">
      <c r="A37" s="23">
        <v>44227</v>
      </c>
      <c r="B37" s="40">
        <v>76</v>
      </c>
      <c r="C37" s="24">
        <v>6524330</v>
      </c>
      <c r="D37" s="24">
        <v>15093160</v>
      </c>
      <c r="E37" s="24">
        <v>2338850</v>
      </c>
      <c r="F37" s="24">
        <v>3280260</v>
      </c>
      <c r="G37" s="24">
        <v>9867370</v>
      </c>
      <c r="H37" s="24">
        <v>5123880</v>
      </c>
      <c r="I37" s="24">
        <v>4784270</v>
      </c>
      <c r="J37" s="24">
        <v>5508500</v>
      </c>
      <c r="K37" s="24">
        <v>8610450</v>
      </c>
      <c r="L37" s="24">
        <v>3522960</v>
      </c>
      <c r="M37" s="24">
        <v>7490070</v>
      </c>
      <c r="N37" s="24">
        <v>11174740</v>
      </c>
      <c r="O37" s="24">
        <v>15361480</v>
      </c>
      <c r="Q37" s="37">
        <f t="shared" ref="Q37" si="38">IF((C37-C36&lt;0), "0",C37-C36)</f>
        <v>530</v>
      </c>
      <c r="R37" s="37">
        <f t="shared" ref="R37" si="39">IF((D37-D36&lt;0), "0",D37-D36)</f>
        <v>1850</v>
      </c>
      <c r="S37" s="37">
        <f t="shared" ref="S37" si="40">IF((E37-E36&lt;0), "0",E37-E36)</f>
        <v>2510</v>
      </c>
      <c r="T37" s="37">
        <f t="shared" ref="T37" si="41">IF((F37-F36&lt;0), "0",F37-F36)</f>
        <v>1430</v>
      </c>
      <c r="U37" s="37">
        <f t="shared" ref="U37" si="42">IF((G37-G36&lt;0), "0",G37-G36)</f>
        <v>5270</v>
      </c>
      <c r="V37" s="37">
        <f t="shared" ref="V37" si="43">IF((H37-H36&lt;0), "0",H37-H36)</f>
        <v>3370</v>
      </c>
      <c r="W37" s="37">
        <f t="shared" ref="W37" si="44">IF((I37-I36&lt;0), "0",I37-I36)</f>
        <v>2330</v>
      </c>
      <c r="X37" s="37">
        <f t="shared" ref="X37" si="45">IF((J37-J36&lt;0), "0",J37-J36)</f>
        <v>3680</v>
      </c>
      <c r="Y37" s="37">
        <f t="shared" ref="Y37" si="46">IF((K37-K36&lt;0), "0",K37-K36)</f>
        <v>4700</v>
      </c>
      <c r="Z37" s="37">
        <f t="shared" ref="Z37" si="47">IF((L37-L36&lt;0), "0",L37-L36)</f>
        <v>2510</v>
      </c>
      <c r="AA37" s="37">
        <f t="shared" ref="AA37" si="48">IF((M37-M36&lt;0), "0",M37-M36)</f>
        <v>1400</v>
      </c>
      <c r="AB37" s="37">
        <f t="shared" si="26"/>
        <v>6840</v>
      </c>
      <c r="AC37" s="37">
        <f t="shared" si="27"/>
        <v>11770</v>
      </c>
      <c r="AD37" s="35">
        <f t="shared" si="28"/>
        <v>48190</v>
      </c>
      <c r="AF37" s="20">
        <f t="shared" ref="AF37" si="49">Q37*$D$39</f>
        <v>2.65</v>
      </c>
      <c r="AG37" s="20">
        <f t="shared" ref="AG37" si="50">R37*$D$39</f>
        <v>9.25</v>
      </c>
      <c r="AH37" s="20">
        <f t="shared" ref="AH37" si="51">S37*$D$39</f>
        <v>12.55</v>
      </c>
      <c r="AI37" s="20">
        <f t="shared" ref="AI37" si="52">T37*$D$39</f>
        <v>7.15</v>
      </c>
      <c r="AJ37" s="20">
        <f t="shared" ref="AJ37" si="53">U37*$D$39</f>
        <v>26.35</v>
      </c>
      <c r="AK37" s="20">
        <f t="shared" ref="AK37" si="54">V37*$D$39</f>
        <v>16.850000000000001</v>
      </c>
      <c r="AL37" s="20">
        <f t="shared" ref="AL37" si="55">W37*$D$39</f>
        <v>11.65</v>
      </c>
      <c r="AM37" s="20">
        <f t="shared" ref="AM37" si="56">X37*$D$39</f>
        <v>18.400000000000002</v>
      </c>
      <c r="AN37" s="20">
        <f t="shared" ref="AN37" si="57">Y37*$D$39</f>
        <v>23.5</v>
      </c>
      <c r="AO37" s="20">
        <f t="shared" ref="AO37" si="58">Z37*$D$39</f>
        <v>12.55</v>
      </c>
      <c r="AP37" s="20">
        <f t="shared" ref="AP37" si="59">AA37*$D$39</f>
        <v>7</v>
      </c>
      <c r="AQ37" s="20">
        <f t="shared" ref="AQ37" si="60">AB37*$D$39</f>
        <v>34.200000000000003</v>
      </c>
      <c r="AR37" s="20">
        <f t="shared" ref="AR37" si="61">AC37*$D$39</f>
        <v>58.85</v>
      </c>
      <c r="AS37" s="35">
        <f>SUM(AF37:AR37)</f>
        <v>240.95000000000002</v>
      </c>
      <c r="AU37" s="47">
        <v>436465</v>
      </c>
      <c r="AV37" s="37">
        <f t="shared" si="36"/>
        <v>1850</v>
      </c>
      <c r="AW37" s="35">
        <f t="shared" si="37"/>
        <v>3.7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15290</v>
      </c>
      <c r="R38" s="30">
        <f t="shared" si="62"/>
        <v>52560</v>
      </c>
      <c r="S38" s="30">
        <f t="shared" si="62"/>
        <v>63250</v>
      </c>
      <c r="T38" s="30">
        <f t="shared" si="62"/>
        <v>49580</v>
      </c>
      <c r="U38" s="30">
        <f t="shared" si="62"/>
        <v>153060</v>
      </c>
      <c r="V38" s="30">
        <f t="shared" si="62"/>
        <v>95540</v>
      </c>
      <c r="W38" s="30">
        <f t="shared" si="62"/>
        <v>66300</v>
      </c>
      <c r="X38" s="30">
        <f t="shared" si="62"/>
        <v>111840</v>
      </c>
      <c r="Y38" s="30">
        <f t="shared" si="62"/>
        <v>156830</v>
      </c>
      <c r="Z38" s="30">
        <f t="shared" si="62"/>
        <v>72490</v>
      </c>
      <c r="AA38" s="30">
        <f t="shared" si="62"/>
        <v>99870</v>
      </c>
      <c r="AB38" s="30">
        <f t="shared" si="62"/>
        <v>188630</v>
      </c>
      <c r="AC38" s="30">
        <f t="shared" si="62"/>
        <v>329190</v>
      </c>
      <c r="AD38" s="35">
        <f t="shared" si="62"/>
        <v>1454430</v>
      </c>
      <c r="AF38" s="35">
        <f t="shared" ref="AF38:AS38" si="63">SUM(AF7:AF34)</f>
        <v>76.450000000000017</v>
      </c>
      <c r="AG38" s="35">
        <f t="shared" si="63"/>
        <v>262.80000000000007</v>
      </c>
      <c r="AH38" s="35">
        <f t="shared" si="63"/>
        <v>316.25000000000006</v>
      </c>
      <c r="AI38" s="35">
        <f t="shared" si="63"/>
        <v>247.89999999999995</v>
      </c>
      <c r="AJ38" s="35">
        <f t="shared" si="63"/>
        <v>765.30000000000007</v>
      </c>
      <c r="AK38" s="35">
        <f t="shared" si="63"/>
        <v>477.70000000000005</v>
      </c>
      <c r="AL38" s="35">
        <f t="shared" si="63"/>
        <v>331.50000000000006</v>
      </c>
      <c r="AM38" s="35">
        <f t="shared" si="63"/>
        <v>559.19999999999993</v>
      </c>
      <c r="AN38" s="35">
        <f t="shared" si="63"/>
        <v>784.14999999999986</v>
      </c>
      <c r="AO38" s="35">
        <f t="shared" si="63"/>
        <v>362.45</v>
      </c>
      <c r="AP38" s="35">
        <f t="shared" si="63"/>
        <v>499.35</v>
      </c>
      <c r="AQ38" s="35">
        <f t="shared" si="63"/>
        <v>943.15000000000009</v>
      </c>
      <c r="AR38" s="35">
        <f t="shared" si="63"/>
        <v>1645.9499999999998</v>
      </c>
      <c r="AS38" s="35">
        <f t="shared" si="63"/>
        <v>7272.15</v>
      </c>
      <c r="AU38" s="48"/>
      <c r="AV38" s="35">
        <f>SUM(AV7:AV34)</f>
        <v>48171</v>
      </c>
      <c r="AW38" s="35">
        <f>SUM(AW7:AW34)</f>
        <v>88.184000000000012</v>
      </c>
    </row>
    <row r="39" spans="1:49" x14ac:dyDescent="0.25">
      <c r="D39">
        <v>5.0000000000000001E-3</v>
      </c>
      <c r="AV39" s="36">
        <f>AV38*0.00378541*1000</f>
        <v>182346.98510999998</v>
      </c>
    </row>
    <row r="40" spans="1:49" x14ac:dyDescent="0.25">
      <c r="D40">
        <v>2E-3</v>
      </c>
      <c r="AV40">
        <f>AV39/31</f>
        <v>5882.1608099999994</v>
      </c>
    </row>
    <row r="41" spans="1:49" x14ac:dyDescent="0.25">
      <c r="AV41">
        <f>AV38*0.00378541</f>
        <v>182.34698510999999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2021-02-01T05:59:28Z</dcterms:modified>
</cp:coreProperties>
</file>