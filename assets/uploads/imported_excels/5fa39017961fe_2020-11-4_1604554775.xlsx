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45" i="1"/>
  <c r="AI45"/>
  <c r="AH45"/>
  <c r="AG45"/>
  <c r="AF45"/>
  <c r="AE45"/>
  <c r="AD45"/>
  <c r="AC45"/>
  <c r="AB45"/>
  <c r="AA45"/>
  <c r="Z45"/>
  <c r="Y45"/>
  <c r="X45"/>
  <c r="W45"/>
  <c r="S45"/>
  <c r="R45"/>
  <c r="Q45"/>
  <c r="P45"/>
  <c r="O45"/>
  <c r="N45"/>
  <c r="M45"/>
  <c r="L45"/>
  <c r="K45"/>
  <c r="J45"/>
  <c r="I45"/>
  <c r="H45"/>
  <c r="G45"/>
  <c r="F45"/>
  <c r="E45"/>
  <c r="AK44"/>
  <c r="AS44" s="1"/>
  <c r="AT44" s="1"/>
  <c r="T44"/>
  <c r="AK43"/>
  <c r="U43"/>
  <c r="T43"/>
  <c r="AS43" s="1"/>
  <c r="AT43" s="1"/>
  <c r="C43"/>
  <c r="AK42"/>
  <c r="U42"/>
  <c r="T42"/>
  <c r="AS42" s="1"/>
  <c r="AT42" s="1"/>
  <c r="AK41"/>
  <c r="U41"/>
  <c r="T41"/>
  <c r="V41" s="1"/>
  <c r="AK40"/>
  <c r="U40"/>
  <c r="T40"/>
  <c r="V40" s="1"/>
  <c r="AK39"/>
  <c r="U39"/>
  <c r="T39"/>
  <c r="V39" s="1"/>
  <c r="AK38"/>
  <c r="U38"/>
  <c r="T38"/>
  <c r="V38" s="1"/>
  <c r="AK37"/>
  <c r="U37"/>
  <c r="T37"/>
  <c r="V37" s="1"/>
  <c r="AK36"/>
  <c r="U36"/>
  <c r="T36"/>
  <c r="V36" s="1"/>
  <c r="AK35"/>
  <c r="U35"/>
  <c r="T35"/>
  <c r="V35" s="1"/>
  <c r="AK34"/>
  <c r="U34"/>
  <c r="T34"/>
  <c r="V34" s="1"/>
  <c r="AK33"/>
  <c r="U33"/>
  <c r="T33"/>
  <c r="AK32"/>
  <c r="U32"/>
  <c r="T32"/>
  <c r="V32" s="1"/>
  <c r="AK31"/>
  <c r="U31"/>
  <c r="T31"/>
  <c r="AK30"/>
  <c r="U30"/>
  <c r="T30"/>
  <c r="V30" s="1"/>
  <c r="AK29"/>
  <c r="U29"/>
  <c r="T29"/>
  <c r="AK28"/>
  <c r="U28"/>
  <c r="T28"/>
  <c r="V28" s="1"/>
  <c r="AK27"/>
  <c r="U27"/>
  <c r="T27"/>
  <c r="AK26"/>
  <c r="U26"/>
  <c r="T26"/>
  <c r="V26" s="1"/>
  <c r="AK25"/>
  <c r="U25"/>
  <c r="T25"/>
  <c r="AK24"/>
  <c r="U24"/>
  <c r="T24"/>
  <c r="V24" s="1"/>
  <c r="AK23"/>
  <c r="U23"/>
  <c r="T23"/>
  <c r="AK22"/>
  <c r="U22"/>
  <c r="T22"/>
  <c r="V22" s="1"/>
  <c r="AK21"/>
  <c r="U21"/>
  <c r="T21"/>
  <c r="AK20"/>
  <c r="U20"/>
  <c r="T20"/>
  <c r="V20" s="1"/>
  <c r="AK19"/>
  <c r="U19"/>
  <c r="T19"/>
  <c r="AK18"/>
  <c r="U18"/>
  <c r="T18"/>
  <c r="V18" s="1"/>
  <c r="AK17"/>
  <c r="U17"/>
  <c r="T17"/>
  <c r="AK16"/>
  <c r="U16"/>
  <c r="T16"/>
  <c r="V16" s="1"/>
  <c r="AK15"/>
  <c r="U15"/>
  <c r="T15"/>
  <c r="AK14"/>
  <c r="U14"/>
  <c r="T14"/>
  <c r="AK13"/>
  <c r="U13"/>
  <c r="T13"/>
  <c r="AK12"/>
  <c r="U12"/>
  <c r="T12"/>
  <c r="AK11"/>
  <c r="U11"/>
  <c r="T11"/>
  <c r="D11"/>
  <c r="AU11" s="1"/>
  <c r="AK10"/>
  <c r="V10"/>
  <c r="U10"/>
  <c r="T10"/>
  <c r="U9"/>
  <c r="T9"/>
  <c r="AS9" s="1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2" i="23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I32"/>
  <c r="K32"/>
  <c r="D46" i="3"/>
  <c r="F46"/>
  <c r="H46"/>
  <c r="J46"/>
  <c r="B13" i="14"/>
  <c r="B14"/>
  <c r="B15"/>
  <c r="B16"/>
  <c r="V14" i="1" l="1"/>
  <c r="U45"/>
  <c r="V12"/>
  <c r="AK45"/>
  <c r="V13"/>
  <c r="V17"/>
  <c r="V21"/>
  <c r="V25"/>
  <c r="V29"/>
  <c r="V33"/>
  <c r="V11"/>
  <c r="V15"/>
  <c r="V19"/>
  <c r="V23"/>
  <c r="V27"/>
  <c r="V31"/>
  <c r="T45"/>
  <c r="U47" s="1"/>
  <c r="U48" s="1"/>
  <c r="T46"/>
  <c r="AS11"/>
  <c r="D12" s="1"/>
  <c r="AS12"/>
  <c r="AT12" s="1"/>
  <c r="AS13"/>
  <c r="AT13" s="1"/>
  <c r="AS14"/>
  <c r="AT14" s="1"/>
  <c r="AS15"/>
  <c r="AT15" s="1"/>
  <c r="AS16"/>
  <c r="AT16" s="1"/>
  <c r="AS17"/>
  <c r="AT17" s="1"/>
  <c r="AS18"/>
  <c r="AT18" s="1"/>
  <c r="AS19"/>
  <c r="AT19" s="1"/>
  <c r="AS20"/>
  <c r="AT20" s="1"/>
  <c r="AS21"/>
  <c r="AT21" s="1"/>
  <c r="AS22"/>
  <c r="AT22" s="1"/>
  <c r="AS23"/>
  <c r="AT23" s="1"/>
  <c r="AS24"/>
  <c r="AT24" s="1"/>
  <c r="AS25"/>
  <c r="AT25" s="1"/>
  <c r="AS26"/>
  <c r="AT26" s="1"/>
  <c r="AS27"/>
  <c r="AT27" s="1"/>
  <c r="AS28"/>
  <c r="AT28" s="1"/>
  <c r="AS29"/>
  <c r="AT29" s="1"/>
  <c r="AS30"/>
  <c r="AT30" s="1"/>
  <c r="AS31"/>
  <c r="AT31" s="1"/>
  <c r="AS32"/>
  <c r="AT32" s="1"/>
  <c r="AS33"/>
  <c r="AT33" s="1"/>
  <c r="AS34"/>
  <c r="AT34" s="1"/>
  <c r="AS35"/>
  <c r="AT35" s="1"/>
  <c r="AS36"/>
  <c r="AT36" s="1"/>
  <c r="AS37"/>
  <c r="AT37" s="1"/>
  <c r="AS38"/>
  <c r="AT38" s="1"/>
  <c r="AS39"/>
  <c r="AT39" s="1"/>
  <c r="AS40"/>
  <c r="AT40" s="1"/>
  <c r="AS41"/>
  <c r="AT41" s="1"/>
  <c r="AS10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V45" i="1" l="1"/>
  <c r="AU12"/>
  <c r="D13"/>
  <c r="AS45"/>
  <c r="AS47" s="1"/>
  <c r="AS48" s="1"/>
  <c r="AT11"/>
  <c r="AT45" s="1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AU13" i="1" l="1"/>
  <c r="D14"/>
  <c r="G10" i="15"/>
  <c r="G11"/>
  <c r="G12"/>
  <c r="G13"/>
  <c r="G14"/>
  <c r="AU14" i="1" l="1"/>
  <c r="D15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U15" i="1" l="1"/>
  <c r="D16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13"/>
  <c r="Q14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AU16" i="1" l="1"/>
  <c r="D17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AU17" i="1" l="1"/>
  <c r="D18"/>
  <c r="G35" i="10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AU18" i="1" l="1"/>
  <c r="D19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U19" i="1" l="1"/>
  <c r="D20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U20" i="1" l="1"/>
  <c r="D21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AU21" i="1" l="1"/>
  <c r="D22"/>
  <c r="K15" i="10"/>
  <c r="F15" i="23"/>
  <c r="S14" i="18"/>
  <c r="S12"/>
  <c r="S9"/>
  <c r="S10"/>
  <c r="S8"/>
  <c r="S7"/>
  <c r="AU22" i="1" l="1"/>
  <c r="D23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U23" i="1" l="1"/>
  <c r="D24"/>
  <c r="S15" i="18"/>
  <c r="S34"/>
  <c r="K9" i="12"/>
  <c r="M9" s="1"/>
  <c r="AU24" i="1" l="1"/>
  <c r="D25"/>
  <c r="C9" i="23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U25" i="1" l="1"/>
  <c r="D26"/>
  <c r="S4" i="18"/>
  <c r="E34" i="24"/>
  <c r="S35" i="18"/>
  <c r="F9" i="10"/>
  <c r="F11"/>
  <c r="F12"/>
  <c r="F14"/>
  <c r="F15"/>
  <c r="F16"/>
  <c r="C16" i="23"/>
  <c r="C17"/>
  <c r="F18" i="10"/>
  <c r="C18" i="23"/>
  <c r="F19" i="10"/>
  <c r="C19" i="23"/>
  <c r="F20" i="10"/>
  <c r="C20" i="23"/>
  <c r="C21"/>
  <c r="F22" i="10"/>
  <c r="C22" i="23"/>
  <c r="C23"/>
  <c r="C24"/>
  <c r="C25"/>
  <c r="C26"/>
  <c r="C27"/>
  <c r="C28"/>
  <c r="C29"/>
  <c r="C30"/>
  <c r="C31"/>
  <c r="C32"/>
  <c r="F33" i="10"/>
  <c r="F34"/>
  <c r="F35"/>
  <c r="F34" i="24"/>
  <c r="I34"/>
  <c r="AU26" i="1" l="1"/>
  <c r="D27"/>
  <c r="C14" i="23"/>
  <c r="E15" i="14"/>
  <c r="F32" i="10"/>
  <c r="F27"/>
  <c r="F25"/>
  <c r="F23"/>
  <c r="F21"/>
  <c r="F31"/>
  <c r="F28"/>
  <c r="F26"/>
  <c r="F24"/>
  <c r="C15" i="23"/>
  <c r="E16" i="14"/>
  <c r="C13" i="23"/>
  <c r="E14" i="14"/>
  <c r="K7" i="13"/>
  <c r="E7" i="14"/>
  <c r="C12" i="23"/>
  <c r="K13" i="13"/>
  <c r="E13" i="14"/>
  <c r="F11"/>
  <c r="F8"/>
  <c r="K6" i="13"/>
  <c r="E6" i="14"/>
  <c r="E12"/>
  <c r="K12" i="13"/>
  <c r="F17" i="10"/>
  <c r="F13"/>
  <c r="F10"/>
  <c r="F8"/>
  <c r="F7"/>
  <c r="F6"/>
  <c r="F5"/>
  <c r="C11" i="23"/>
  <c r="C6"/>
  <c r="AU27" i="1" l="1"/>
  <c r="D28"/>
  <c r="F16" i="14"/>
  <c r="F15"/>
  <c r="F10"/>
  <c r="F13"/>
  <c r="F14"/>
  <c r="F7"/>
  <c r="F9"/>
  <c r="F6"/>
  <c r="F12"/>
  <c r="E14" i="3"/>
  <c r="K13" i="10" s="1"/>
  <c r="E15" i="3"/>
  <c r="K14" i="10" s="1"/>
  <c r="AU28" i="1" l="1"/>
  <c r="D29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AU29" i="1" l="1"/>
  <c r="D30"/>
  <c r="H11" i="15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AU30" i="1" l="1"/>
  <c r="D31"/>
  <c r="I29" i="15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J28" s="1"/>
  <c r="G29"/>
  <c r="G30"/>
  <c r="G31"/>
  <c r="G33"/>
  <c r="G36"/>
  <c r="G37"/>
  <c r="G38"/>
  <c r="G39"/>
  <c r="G40"/>
  <c r="J27" l="1"/>
  <c r="L22" i="10"/>
  <c r="AU31" i="1"/>
  <c r="D32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U32" i="1" l="1"/>
  <c r="D33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AU33" i="1" l="1"/>
  <c r="D34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U34" i="1" l="1"/>
  <c r="D35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U35" i="1" l="1"/>
  <c r="D36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U36" i="1" l="1"/>
  <c r="D37"/>
  <c r="AC23" i="12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U37" i="1" l="1"/>
  <c r="D38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U38" i="1" l="1"/>
  <c r="D39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U39" i="1" l="1"/>
  <c r="D40"/>
  <c r="F39" i="14"/>
  <c r="U9" i="10"/>
  <c r="X10"/>
  <c r="T9"/>
  <c r="S9"/>
  <c r="Z9" s="1"/>
  <c r="R9"/>
  <c r="V8"/>
  <c r="W8" s="1"/>
  <c r="F8" i="13"/>
  <c r="E9"/>
  <c r="G8"/>
  <c r="AU40" i="1" l="1"/>
  <c r="D41"/>
  <c r="V9" i="10"/>
  <c r="W9" s="1"/>
  <c r="X11"/>
  <c r="S10"/>
  <c r="Z10" s="1"/>
  <c r="U10"/>
  <c r="R10"/>
  <c r="T10"/>
  <c r="F9" i="13"/>
  <c r="E10"/>
  <c r="G9"/>
  <c r="AU41" i="1" l="1"/>
  <c r="D42"/>
  <c r="X12" i="10"/>
  <c r="T11"/>
  <c r="R11"/>
  <c r="U11"/>
  <c r="S11"/>
  <c r="Z11" s="1"/>
  <c r="V10"/>
  <c r="W10" s="1"/>
  <c r="F10" i="13"/>
  <c r="E11"/>
  <c r="G10"/>
  <c r="D43" i="1" l="1"/>
  <c r="AU43" s="1"/>
  <c r="AU42"/>
  <c r="V11" i="10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john.japhet</author>
  </authors>
  <commentList>
    <comment ref="G38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If only needed at this time. If not please ignore it, as its not included on the forecast diesel scheduling.</t>
        </r>
      </text>
    </comment>
  </commentList>
</comments>
</file>

<file path=xl/sharedStrings.xml><?xml version="1.0" encoding="utf-8"?>
<sst xmlns="http://schemas.openxmlformats.org/spreadsheetml/2006/main" count="535" uniqueCount="325">
  <si>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</si>
  <si>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</si>
  <si>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</si>
  <si>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</si>
  <si>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</si>
  <si>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</si>
  <si>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</si>
  <si>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</si>
  <si>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</si>
  <si>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</si>
  <si>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</si>
  <si>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</si>
  <si>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</si>
  <si>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</si>
  <si>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</si>
  <si>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</si>
  <si>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</si>
  <si>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</si>
  <si>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</si>
  <si>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</si>
  <si>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</si>
  <si>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</si>
  <si>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</si>
  <si>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</si>
  <si>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</si>
  <si>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</si>
  <si>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</si>
  <si>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</si>
  <si>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</si>
  <si>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</si>
  <si>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</si>
  <si>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</si>
  <si>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</si>
  <si>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</si>
  <si>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</si>
  <si>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</si>
  <si>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</si>
  <si>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</si>
  <si>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</si>
  <si>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</si>
  <si>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</si>
  <si>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</si>
  <si>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</si>
  <si>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</si>
  <si>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</si>
  <si>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</si>
  <si>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</si>
  <si>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</si>
  <si>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</si>
  <si>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</si>
  <si>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</si>
  <si>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</si>
  <si>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</si>
  <si>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</si>
  <si>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</si>
  <si>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</si>
  <si>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</si>
  <si>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</si>
  <si>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</si>
  <si>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</si>
  <si>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</si>
  <si>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</si>
  <si>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</si>
  <si>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</si>
  <si>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</si>
  <si>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</si>
  <si>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</si>
  <si>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</si>
  <si>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</si>
  <si>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</si>
  <si>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</si>
  <si>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</si>
  <si>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</si>
  <si>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</si>
  <si>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</si>
  <si>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</si>
  <si>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</si>
  <si>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</si>
  <si>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</si>
  <si>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</si>
  <si>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</si>
  <si>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</si>
  <si>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</si>
  <si>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</si>
  <si>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</si>
  <si>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</si>
  <si>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</si>
  <si>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</si>
  <si>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</si>
  <si>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</si>
  <si>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</si>
  <si>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</si>
  <si>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</si>
  <si>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</si>
  <si>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</si>
  <si>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</si>
  <si>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</si>
  <si>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</si>
  <si>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</si>
  <si>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</si>
  <si>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</si>
  <si>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</si>
  <si>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</si>
  <si>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</si>
  <si>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</si>
  <si>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</si>
  <si>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</si>
  <si>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</si>
  <si>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</si>
  <si>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</si>
  <si>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</si>
  <si>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</si>
  <si>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</si>
  <si>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</si>
  <si>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</si>
  <si>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</si>
  <si>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</si>
  <si>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</si>
  <si>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</si>
  <si>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</si>
  <si>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</si>
  <si>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</si>
  <si>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</si>
  <si>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</si>
  <si>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</si>
  <si>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</si>
  <si>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</si>
  <si>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</si>
  <si>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</si>
  <si>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</si>
  <si>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</si>
  <si>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</si>
  <si>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</si>
  <si>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</si>
  <si>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</si>
  <si>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</si>
  <si>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</si>
  <si>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</si>
  <si>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</si>
  <si>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</si>
  <si>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</si>
  <si>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</si>
  <si>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</si>
  <si>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</si>
  <si>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</si>
  <si>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</si>
  <si>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</si>
  <si>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</si>
  <si>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</si>
  <si>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</si>
  <si>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</si>
  <si>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</si>
  <si>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</si>
  <si>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</si>
  <si>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</si>
  <si>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</si>
  <si>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</si>
  <si>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</si>
  <si>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</si>
  <si>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</si>
  <si>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</si>
  <si>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</si>
  <si>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</si>
  <si>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</si>
  <si>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</si>
  <si>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</si>
  <si>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</si>
  <si>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</si>
  <si>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</si>
  <si>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</si>
  <si>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</si>
  <si>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</si>
  <si>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</si>
  <si>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</si>
  <si>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</si>
  <si>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</si>
  <si>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</si>
  <si>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</si>
  <si>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</si>
  <si>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</si>
  <si>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</si>
  <si>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</si>
  <si>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</si>
  <si>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</si>
  <si>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</si>
  <si>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</si>
  <si>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</si>
  <si>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</si>
  <si>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</si>
  <si>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</si>
  <si>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</si>
  <si>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</si>
  <si>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</si>
  <si>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</si>
  <si>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</si>
  <si>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</si>
  <si>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</si>
  <si>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</si>
  <si>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</si>
  <si>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</si>
  <si>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</si>
  <si>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</si>
  <si>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</si>
  <si>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</si>
  <si>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</si>
  <si>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</si>
  <si>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</si>
  <si>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</si>
  <si>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</si>
  <si>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</si>
  <si>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</si>
  <si>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</si>
  <si>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</si>
  <si>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</si>
  <si>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</si>
  <si>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</si>
  <si>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</si>
  <si>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</si>
  <si>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</si>
  <si>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</si>
  <si>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</si>
  <si>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</si>
  <si>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</si>
  <si>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</si>
  <si>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</si>
  <si>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</si>
  <si>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</si>
  <si>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</si>
  <si>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</si>
  <si>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</si>
  <si>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</si>
  <si>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</si>
  <si>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</si>
  <si>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</si>
  <si>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</si>
  <si>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</si>
  <si>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</si>
  <si>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</si>
  <si>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</si>
  <si>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</si>
  <si>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</si>
  <si>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</si>
  <si>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</si>
  <si>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</si>
  <si>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</si>
  <si>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</si>
  <si>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</si>
  <si>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</si>
  <si>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</si>
  <si>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</si>
  <si>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</si>
  <si>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</si>
  <si>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</si>
  <si>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</si>
  <si>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</si>
  <si>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</si>
  <si>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</si>
  <si>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</si>
  <si>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</si>
  <si>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</si>
  <si>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</si>
  <si>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</si>
  <si>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</si>
  <si>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</si>
  <si>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</si>
  <si>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</si>
  <si>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</si>
  <si>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</si>
  <si>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</si>
  <si>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</si>
  <si>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</si>
  <si>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</si>
  <si>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</si>
  <si>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</si>
  <si>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</si>
  <si>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</si>
  <si>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</si>
  <si>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</si>
  <si>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</si>
  <si>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</si>
  <si>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</si>
  <si>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</si>
  <si>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</si>
  <si>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</si>
  <si>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</si>
  <si>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</si>
  <si>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</si>
  <si>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</si>
  <si>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</si>
  <si>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</si>
  <si>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</si>
  <si>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</si>
  <si>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</si>
  <si>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</si>
  <si>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</si>
  <si>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</si>
  <si>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</si>
  <si>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</si>
  <si>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</si>
  <si>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</si>
  <si>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</si>
  <si>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</si>
  <si>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</si>
  <si>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</si>
  <si>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</si>
  <si>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</si>
  <si>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</si>
  <si>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</si>
  <si>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</si>
  <si>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</si>
  <si>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</si>
  <si>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</si>
  <si>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</si>
  <si>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</si>
  <si>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</si>
  <si>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</si>
  <si>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</si>
  <si>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Generator and Diseal Summry Report  October 2020</t>
  </si>
  <si>
    <t>Cash paid</t>
  </si>
  <si>
    <t>Puma</t>
  </si>
  <si>
    <t>HLP REPORT OCTOBER 2020</t>
  </si>
  <si>
    <t>DAILY UTILITY REPORT NOVEMBER 2020</t>
  </si>
  <si>
    <t>T688AAK</t>
  </si>
  <si>
    <t>Ahadi</t>
  </si>
  <si>
    <t>huruma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</si>
</sst>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1107.92</c:v>
                </c:pt>
                <c:pt idx="1">
                  <c:v>1164.9899999999998</c:v>
                </c:pt>
                <c:pt idx="2">
                  <c:v>1046.3499999999999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8065408"/>
        <c:axId val="1180712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8072832"/>
        <c:axId val="118074368"/>
      </c:lineChart>
      <c:catAx>
        <c:axId val="11806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71296"/>
        <c:crosses val="autoZero"/>
        <c:auto val="1"/>
        <c:lblAlgn val="ctr"/>
        <c:lblOffset val="100"/>
      </c:catAx>
      <c:valAx>
        <c:axId val="1180712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65408"/>
        <c:crosses val="autoZero"/>
        <c:crossBetween val="between"/>
        <c:majorUnit val="200"/>
      </c:valAx>
      <c:catAx>
        <c:axId val="118072832"/>
        <c:scaling>
          <c:orientation val="minMax"/>
        </c:scaling>
        <c:delete val="1"/>
        <c:axPos val="b"/>
        <c:tickLblPos val="none"/>
        <c:crossAx val="118074368"/>
        <c:crosses val="autoZero"/>
        <c:auto val="1"/>
        <c:lblAlgn val="ctr"/>
        <c:lblOffset val="100"/>
      </c:catAx>
      <c:valAx>
        <c:axId val="118074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72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7095168"/>
        <c:axId val="1270967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7098240"/>
        <c:axId val="127104128"/>
      </c:lineChart>
      <c:catAx>
        <c:axId val="12709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96704"/>
        <c:crosses val="autoZero"/>
        <c:auto val="1"/>
        <c:lblAlgn val="ctr"/>
        <c:lblOffset val="100"/>
      </c:catAx>
      <c:valAx>
        <c:axId val="12709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95168"/>
        <c:crosses val="autoZero"/>
        <c:crossBetween val="between"/>
        <c:majorUnit val="200"/>
      </c:valAx>
      <c:catAx>
        <c:axId val="127098240"/>
        <c:scaling>
          <c:orientation val="minMax"/>
        </c:scaling>
        <c:delete val="1"/>
        <c:axPos val="b"/>
        <c:tickLblPos val="none"/>
        <c:crossAx val="127104128"/>
        <c:crosses val="autoZero"/>
        <c:auto val="1"/>
        <c:lblAlgn val="ctr"/>
        <c:lblOffset val="100"/>
      </c:catAx>
      <c:valAx>
        <c:axId val="127104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98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994.31999999999994</c:v>
                </c:pt>
                <c:pt idx="3">
                  <c:v>1159.02</c:v>
                </c:pt>
                <c:pt idx="4">
                  <c:v>1164.9899999999998</c:v>
                </c:pt>
                <c:pt idx="5">
                  <c:v>1046.3499999999999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8120320"/>
        <c:axId val="128121856"/>
      </c:lineChart>
      <c:catAx>
        <c:axId val="12812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21856"/>
        <c:crosses val="autoZero"/>
        <c:auto val="1"/>
        <c:lblAlgn val="ctr"/>
        <c:lblOffset val="200"/>
        <c:tickLblSkip val="1"/>
      </c:catAx>
      <c:valAx>
        <c:axId val="128121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2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8385664"/>
        <c:axId val="118416128"/>
      </c:lineChart>
      <c:catAx>
        <c:axId val="11838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16128"/>
        <c:crosses val="autoZero"/>
        <c:auto val="1"/>
        <c:lblAlgn val="ctr"/>
        <c:lblOffset val="100"/>
      </c:catAx>
      <c:valAx>
        <c:axId val="1184161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8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9581824"/>
        <c:axId val="129583744"/>
      </c:lineChart>
      <c:catAx>
        <c:axId val="129581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83744"/>
        <c:crosses val="autoZero"/>
        <c:auto val="1"/>
        <c:lblAlgn val="ctr"/>
        <c:lblOffset val="100"/>
      </c:catAx>
      <c:valAx>
        <c:axId val="129583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81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0382848"/>
        <c:axId val="130393216"/>
      </c:lineChart>
      <c:catAx>
        <c:axId val="130382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93216"/>
        <c:crosses val="autoZero"/>
        <c:auto val="1"/>
        <c:lblAlgn val="ctr"/>
        <c:lblOffset val="100"/>
      </c:catAx>
      <c:valAx>
        <c:axId val="1303932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28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-321299.17599999998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0385408"/>
        <c:axId val="130386944"/>
      </c:lineChart>
      <c:catAx>
        <c:axId val="13038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6944"/>
        <c:crosses val="autoZero"/>
        <c:auto val="1"/>
        <c:lblAlgn val="ctr"/>
        <c:lblOffset val="100"/>
      </c:catAx>
      <c:valAx>
        <c:axId val="130386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5179392"/>
        <c:axId val="165180928"/>
      </c:lineChart>
      <c:catAx>
        <c:axId val="16517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80928"/>
        <c:crosses val="autoZero"/>
        <c:auto val="1"/>
        <c:lblAlgn val="ctr"/>
        <c:lblOffset val="100"/>
      </c:catAx>
      <c:valAx>
        <c:axId val="16518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956.05</c:v>
                </c:pt>
                <c:pt idx="3">
                  <c:v>1107.92</c:v>
                </c:pt>
                <c:pt idx="4">
                  <c:v>1164.9899999999998</c:v>
                </c:pt>
                <c:pt idx="5">
                  <c:v>1046.3499999999999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5360768"/>
        <c:axId val="165362304"/>
      </c:lineChart>
      <c:catAx>
        <c:axId val="16536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62304"/>
        <c:crosses val="autoZero"/>
        <c:auto val="1"/>
        <c:lblAlgn val="ctr"/>
        <c:lblOffset val="100"/>
      </c:catAx>
      <c:valAx>
        <c:axId val="16536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6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5"/>
          <c:y val="7.471324705111402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5386880"/>
        <c:axId val="165396864"/>
      </c:lineChart>
      <c:catAx>
        <c:axId val="16538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96864"/>
        <c:crosses val="autoZero"/>
        <c:auto val="1"/>
        <c:lblAlgn val="ctr"/>
        <c:lblOffset val="200"/>
        <c:tickLblSkip val="1"/>
      </c:catAx>
      <c:valAx>
        <c:axId val="165396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8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30450176"/>
        <c:axId val="130451712"/>
      </c:lineChart>
      <c:catAx>
        <c:axId val="1304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1712"/>
        <c:crosses val="autoZero"/>
        <c:auto val="1"/>
        <c:lblAlgn val="ctr"/>
        <c:lblOffset val="100"/>
      </c:catAx>
      <c:valAx>
        <c:axId val="130451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30464000"/>
        <c:axId val="135876992"/>
      </c:lineChart>
      <c:catAx>
        <c:axId val="130464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76992"/>
        <c:crosses val="autoZero"/>
        <c:auto val="1"/>
        <c:lblAlgn val="ctr"/>
        <c:lblOffset val="100"/>
      </c:catAx>
      <c:valAx>
        <c:axId val="135876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640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36057600"/>
        <c:axId val="136059520"/>
      </c:lineChart>
      <c:catAx>
        <c:axId val="136057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59520"/>
        <c:crosses val="autoZero"/>
        <c:auto val="1"/>
        <c:lblAlgn val="ctr"/>
        <c:lblOffset val="100"/>
      </c:catAx>
      <c:valAx>
        <c:axId val="136059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57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36100864"/>
        <c:axId val="136106752"/>
      </c:lineChart>
      <c:catAx>
        <c:axId val="13610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06752"/>
        <c:crosses val="autoZero"/>
        <c:auto val="1"/>
        <c:lblAlgn val="ctr"/>
        <c:lblOffset val="100"/>
      </c:catAx>
      <c:valAx>
        <c:axId val="13610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0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35915008"/>
        <c:axId val="135916544"/>
      </c:lineChart>
      <c:catAx>
        <c:axId val="13591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16544"/>
        <c:crosses val="autoZero"/>
        <c:auto val="1"/>
        <c:lblAlgn val="ctr"/>
        <c:lblOffset val="100"/>
      </c:catAx>
      <c:valAx>
        <c:axId val="13591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1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36383104"/>
        <c:axId val="136388992"/>
      </c:lineChart>
      <c:catAx>
        <c:axId val="13638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88992"/>
        <c:crosses val="autoZero"/>
        <c:auto val="1"/>
        <c:lblAlgn val="ctr"/>
        <c:lblOffset val="100"/>
      </c:catAx>
      <c:valAx>
        <c:axId val="13638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8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172"/>
          <c:y val="7.471324705111434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7077120"/>
        <c:axId val="1370786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7080192"/>
        <c:axId val="137094272"/>
      </c:lineChart>
      <c:catAx>
        <c:axId val="1370771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78656"/>
        <c:crosses val="autoZero"/>
        <c:lblAlgn val="ctr"/>
        <c:lblOffset val="100"/>
        <c:tickMarkSkip val="1"/>
      </c:catAx>
      <c:valAx>
        <c:axId val="137078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77120"/>
        <c:crosses val="autoZero"/>
        <c:crossBetween val="between"/>
      </c:valAx>
      <c:catAx>
        <c:axId val="137080192"/>
        <c:scaling>
          <c:orientation val="minMax"/>
        </c:scaling>
        <c:delete val="1"/>
        <c:axPos val="b"/>
        <c:numFmt formatCode="[$-409]d\-mmm\-yy;@" sourceLinked="1"/>
        <c:tickLblPos val="none"/>
        <c:crossAx val="137094272"/>
        <c:crosses val="autoZero"/>
        <c:lblAlgn val="ctr"/>
        <c:lblOffset val="100"/>
      </c:catAx>
      <c:valAx>
        <c:axId val="13709427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80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6979584"/>
        <c:axId val="136981120"/>
      </c:lineChart>
      <c:catAx>
        <c:axId val="13697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81120"/>
        <c:crosses val="autoZero"/>
        <c:auto val="1"/>
        <c:lblAlgn val="ctr"/>
        <c:lblOffset val="100"/>
      </c:catAx>
      <c:valAx>
        <c:axId val="1369811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7017984"/>
        <c:axId val="138281344"/>
      </c:lineChart>
      <c:catAx>
        <c:axId val="13701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81344"/>
        <c:crosses val="autoZero"/>
        <c:auto val="1"/>
        <c:lblAlgn val="ctr"/>
        <c:lblOffset val="100"/>
      </c:catAx>
      <c:valAx>
        <c:axId val="1382813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1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38336896"/>
        <c:axId val="1383427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38344320"/>
        <c:axId val="138345856"/>
      </c:lineChart>
      <c:catAx>
        <c:axId val="138336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42784"/>
        <c:crosses val="autoZero"/>
        <c:lblAlgn val="ctr"/>
        <c:lblOffset val="100"/>
        <c:tickMarkSkip val="1"/>
      </c:catAx>
      <c:valAx>
        <c:axId val="13834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36896"/>
        <c:crosses val="autoZero"/>
        <c:crossBetween val="between"/>
      </c:valAx>
      <c:catAx>
        <c:axId val="138344320"/>
        <c:scaling>
          <c:orientation val="minMax"/>
        </c:scaling>
        <c:delete val="1"/>
        <c:axPos val="b"/>
        <c:numFmt formatCode="General" sourceLinked="1"/>
        <c:tickLblPos val="none"/>
        <c:crossAx val="138345856"/>
        <c:crosses val="autoZero"/>
        <c:lblAlgn val="ctr"/>
        <c:lblOffset val="100"/>
      </c:catAx>
      <c:valAx>
        <c:axId val="1383458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44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9181440"/>
        <c:axId val="139183232"/>
      </c:lineChart>
      <c:catAx>
        <c:axId val="13918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83232"/>
        <c:crosses val="autoZero"/>
        <c:auto val="1"/>
        <c:lblAlgn val="ctr"/>
        <c:lblOffset val="100"/>
      </c:catAx>
      <c:valAx>
        <c:axId val="13918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8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9543680"/>
        <c:axId val="139545216"/>
      </c:lineChart>
      <c:catAx>
        <c:axId val="13954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45216"/>
        <c:crosses val="autoZero"/>
        <c:auto val="1"/>
        <c:lblAlgn val="ctr"/>
        <c:lblOffset val="100"/>
      </c:catAx>
      <c:valAx>
        <c:axId val="13954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4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7992576"/>
        <c:axId val="1279941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8016384"/>
        <c:axId val="128017920"/>
      </c:lineChart>
      <c:catAx>
        <c:axId val="1279925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94112"/>
        <c:crosses val="autoZero"/>
        <c:lblAlgn val="ctr"/>
        <c:lblOffset val="100"/>
        <c:tickMarkSkip val="1"/>
      </c:catAx>
      <c:valAx>
        <c:axId val="127994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92576"/>
        <c:crosses val="autoZero"/>
        <c:crossBetween val="between"/>
      </c:valAx>
      <c:catAx>
        <c:axId val="128016384"/>
        <c:scaling>
          <c:orientation val="minMax"/>
        </c:scaling>
        <c:delete val="1"/>
        <c:axPos val="b"/>
        <c:numFmt formatCode="[$-409]d\-mmm\-yy;@" sourceLinked="1"/>
        <c:tickLblPos val="none"/>
        <c:crossAx val="128017920"/>
        <c:crosses val="autoZero"/>
        <c:lblAlgn val="ctr"/>
        <c:lblOffset val="100"/>
      </c:catAx>
      <c:valAx>
        <c:axId val="1280179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16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8047744"/>
        <c:axId val="1280495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8051072"/>
        <c:axId val="128052608"/>
      </c:lineChart>
      <c:catAx>
        <c:axId val="1280477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49536"/>
        <c:crosses val="autoZero"/>
        <c:lblAlgn val="ctr"/>
        <c:lblOffset val="100"/>
        <c:tickMarkSkip val="1"/>
      </c:catAx>
      <c:valAx>
        <c:axId val="12804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47744"/>
        <c:crosses val="autoZero"/>
        <c:crossBetween val="between"/>
      </c:valAx>
      <c:catAx>
        <c:axId val="128051072"/>
        <c:scaling>
          <c:orientation val="minMax"/>
        </c:scaling>
        <c:delete val="1"/>
        <c:axPos val="b"/>
        <c:numFmt formatCode="General" sourceLinked="1"/>
        <c:tickLblPos val="none"/>
        <c:crossAx val="128052608"/>
        <c:crosses val="autoZero"/>
        <c:lblAlgn val="ctr"/>
        <c:lblOffset val="100"/>
      </c:catAx>
      <c:valAx>
        <c:axId val="128052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51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1240192"/>
        <c:axId val="14124172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1268096"/>
        <c:axId val="141269632"/>
      </c:lineChart>
      <c:catAx>
        <c:axId val="1412401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41728"/>
        <c:crosses val="autoZero"/>
        <c:lblAlgn val="ctr"/>
        <c:lblOffset val="100"/>
        <c:tickMarkSkip val="1"/>
      </c:catAx>
      <c:valAx>
        <c:axId val="141241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40192"/>
        <c:crosses val="autoZero"/>
        <c:crossBetween val="between"/>
      </c:valAx>
      <c:catAx>
        <c:axId val="141268096"/>
        <c:scaling>
          <c:orientation val="minMax"/>
        </c:scaling>
        <c:delete val="1"/>
        <c:axPos val="b"/>
        <c:numFmt formatCode="[$-409]d\-mmm\-yy;@" sourceLinked="1"/>
        <c:tickLblPos val="none"/>
        <c:crossAx val="141269632"/>
        <c:crosses val="autoZero"/>
        <c:lblAlgn val="ctr"/>
        <c:lblOffset val="100"/>
      </c:catAx>
      <c:valAx>
        <c:axId val="1412696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680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2360960"/>
        <c:axId val="1423624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2364032"/>
        <c:axId val="142365824"/>
      </c:lineChart>
      <c:catAx>
        <c:axId val="1423609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62496"/>
        <c:crosses val="autoZero"/>
        <c:lblAlgn val="ctr"/>
        <c:lblOffset val="100"/>
        <c:tickMarkSkip val="1"/>
      </c:catAx>
      <c:valAx>
        <c:axId val="14236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60960"/>
        <c:crosses val="autoZero"/>
        <c:crossBetween val="between"/>
      </c:valAx>
      <c:catAx>
        <c:axId val="142364032"/>
        <c:scaling>
          <c:orientation val="minMax"/>
        </c:scaling>
        <c:delete val="1"/>
        <c:axPos val="b"/>
        <c:numFmt formatCode="General" sourceLinked="1"/>
        <c:tickLblPos val="none"/>
        <c:crossAx val="142365824"/>
        <c:crosses val="autoZero"/>
        <c:lblAlgn val="ctr"/>
        <c:lblOffset val="100"/>
      </c:catAx>
      <c:valAx>
        <c:axId val="142365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64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41161984"/>
        <c:axId val="141163904"/>
      </c:lineChart>
      <c:catAx>
        <c:axId val="141161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3904"/>
        <c:crosses val="autoZero"/>
        <c:auto val="1"/>
        <c:lblAlgn val="ctr"/>
        <c:lblOffset val="100"/>
      </c:catAx>
      <c:valAx>
        <c:axId val="141163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61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42589952"/>
        <c:axId val="142591872"/>
      </c:lineChart>
      <c:catAx>
        <c:axId val="142589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91872"/>
        <c:crosses val="autoZero"/>
        <c:auto val="1"/>
        <c:lblAlgn val="ctr"/>
        <c:lblOffset val="100"/>
      </c:catAx>
      <c:valAx>
        <c:axId val="142591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899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994.31999999999994</c:v>
                </c:pt>
                <c:pt idx="3">
                  <c:v>1159.02</c:v>
                </c:pt>
                <c:pt idx="4">
                  <c:v>1164.9899999999998</c:v>
                </c:pt>
                <c:pt idx="5">
                  <c:v>1046.3499999999999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42825728"/>
        <c:axId val="142831616"/>
      </c:lineChart>
      <c:catAx>
        <c:axId val="14282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31616"/>
        <c:crosses val="autoZero"/>
        <c:auto val="1"/>
        <c:lblAlgn val="ctr"/>
        <c:lblOffset val="200"/>
        <c:tickLblSkip val="1"/>
      </c:catAx>
      <c:valAx>
        <c:axId val="142831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2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42860288"/>
        <c:axId val="142861824"/>
      </c:lineChart>
      <c:catAx>
        <c:axId val="14286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61824"/>
        <c:crosses val="autoZero"/>
        <c:auto val="1"/>
        <c:lblAlgn val="ctr"/>
        <c:lblOffset val="100"/>
      </c:catAx>
      <c:valAx>
        <c:axId val="1428618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6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-321299.17599999998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43291904"/>
        <c:axId val="143293440"/>
      </c:lineChart>
      <c:catAx>
        <c:axId val="14329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93440"/>
        <c:crosses val="autoZero"/>
        <c:auto val="1"/>
        <c:lblAlgn val="ctr"/>
        <c:lblOffset val="100"/>
      </c:catAx>
      <c:valAx>
        <c:axId val="143293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9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6083584"/>
        <c:axId val="166098048"/>
      </c:lineChart>
      <c:catAx>
        <c:axId val="166083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8048"/>
        <c:crosses val="autoZero"/>
        <c:auto val="1"/>
        <c:lblAlgn val="ctr"/>
        <c:lblOffset val="100"/>
      </c:catAx>
      <c:valAx>
        <c:axId val="166098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83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131200"/>
        <c:axId val="166133120"/>
      </c:lineChart>
      <c:catAx>
        <c:axId val="166131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33120"/>
        <c:crosses val="autoZero"/>
        <c:auto val="1"/>
        <c:lblAlgn val="ctr"/>
        <c:lblOffset val="100"/>
      </c:catAx>
      <c:valAx>
        <c:axId val="1661331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312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994.31999999999994</c:v>
                </c:pt>
                <c:pt idx="3">
                  <c:v>1159.02</c:v>
                </c:pt>
                <c:pt idx="4">
                  <c:v>1164.9899999999998</c:v>
                </c:pt>
                <c:pt idx="5">
                  <c:v>1046.3499999999999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6305792"/>
        <c:axId val="166307328"/>
      </c:lineChart>
      <c:catAx>
        <c:axId val="16630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07328"/>
        <c:crosses val="autoZero"/>
        <c:auto val="1"/>
        <c:lblAlgn val="ctr"/>
        <c:lblOffset val="200"/>
        <c:tickLblSkip val="1"/>
      </c:catAx>
      <c:valAx>
        <c:axId val="166307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0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6012416"/>
        <c:axId val="166013952"/>
      </c:lineChart>
      <c:catAx>
        <c:axId val="1660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13952"/>
        <c:crosses val="autoZero"/>
        <c:auto val="1"/>
        <c:lblAlgn val="ctr"/>
        <c:lblOffset val="100"/>
      </c:catAx>
      <c:valAx>
        <c:axId val="1660139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1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-321299.17599999998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042624"/>
        <c:axId val="166052608"/>
      </c:lineChart>
      <c:catAx>
        <c:axId val="1660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52608"/>
        <c:crosses val="autoZero"/>
        <c:auto val="1"/>
        <c:lblAlgn val="ctr"/>
        <c:lblOffset val="100"/>
      </c:catAx>
      <c:valAx>
        <c:axId val="166052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7310080"/>
        <c:axId val="167312000"/>
      </c:lineChart>
      <c:catAx>
        <c:axId val="167310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12000"/>
        <c:crosses val="autoZero"/>
        <c:auto val="1"/>
        <c:lblAlgn val="ctr"/>
        <c:lblOffset val="100"/>
      </c:catAx>
      <c:valAx>
        <c:axId val="1673120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10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7787520"/>
        <c:axId val="167810176"/>
      </c:lineChart>
      <c:catAx>
        <c:axId val="167787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0176"/>
        <c:crosses val="autoZero"/>
        <c:auto val="1"/>
        <c:lblAlgn val="ctr"/>
        <c:lblOffset val="100"/>
      </c:catAx>
      <c:valAx>
        <c:axId val="1678101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87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7970304"/>
        <c:axId val="167971840"/>
      </c:lineChart>
      <c:catAx>
        <c:axId val="16797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1840"/>
        <c:crosses val="autoZero"/>
        <c:auto val="1"/>
        <c:lblAlgn val="ctr"/>
        <c:lblOffset val="200"/>
        <c:tickLblSkip val="1"/>
      </c:catAx>
      <c:valAx>
        <c:axId val="167971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8012800"/>
        <c:axId val="168018688"/>
      </c:lineChart>
      <c:catAx>
        <c:axId val="16801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18688"/>
        <c:crosses val="autoZero"/>
        <c:auto val="1"/>
        <c:lblAlgn val="ctr"/>
        <c:lblOffset val="100"/>
      </c:catAx>
      <c:valAx>
        <c:axId val="16801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1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0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8301312"/>
        <c:axId val="168302848"/>
      </c:lineChart>
      <c:catAx>
        <c:axId val="1683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2848"/>
        <c:crosses val="autoZero"/>
        <c:auto val="1"/>
        <c:lblAlgn val="ctr"/>
        <c:lblOffset val="100"/>
      </c:catAx>
      <c:valAx>
        <c:axId val="16830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8360192"/>
        <c:axId val="168640896"/>
      </c:lineChart>
      <c:catAx>
        <c:axId val="168360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0896"/>
        <c:crosses val="autoZero"/>
        <c:auto val="1"/>
        <c:lblAlgn val="ctr"/>
        <c:lblOffset val="100"/>
      </c:catAx>
      <c:valAx>
        <c:axId val="168640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60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8678144"/>
        <c:axId val="168680064"/>
      </c:lineChart>
      <c:catAx>
        <c:axId val="168678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80064"/>
        <c:crosses val="autoZero"/>
        <c:auto val="1"/>
        <c:lblAlgn val="ctr"/>
        <c:lblOffset val="100"/>
      </c:catAx>
      <c:valAx>
        <c:axId val="1686800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781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8836096"/>
        <c:axId val="168850176"/>
      </c:lineChart>
      <c:catAx>
        <c:axId val="16883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50176"/>
        <c:crosses val="autoZero"/>
        <c:auto val="1"/>
        <c:lblAlgn val="ctr"/>
        <c:lblOffset val="200"/>
        <c:tickLblSkip val="1"/>
      </c:catAx>
      <c:valAx>
        <c:axId val="168850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3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8882944"/>
        <c:axId val="168884480"/>
      </c:lineChart>
      <c:catAx>
        <c:axId val="1688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4480"/>
        <c:crosses val="autoZero"/>
        <c:auto val="1"/>
        <c:lblAlgn val="ctr"/>
        <c:lblOffset val="100"/>
      </c:catAx>
      <c:valAx>
        <c:axId val="16888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0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9036032"/>
        <c:axId val="169050112"/>
      </c:lineChart>
      <c:catAx>
        <c:axId val="16903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50112"/>
        <c:crosses val="autoZero"/>
        <c:auto val="1"/>
        <c:lblAlgn val="ctr"/>
        <c:lblOffset val="100"/>
      </c:catAx>
      <c:valAx>
        <c:axId val="16905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3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opLeftCell="A16" workbookViewId="0">
      <selection activeCell="D38" sqref="D38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2"/>
    <col min="9" max="9" width="11.5703125" style="12"/>
    <col min="10" max="10" width="11.5703125" style="432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0" t="s">
        <v>278</v>
      </c>
      <c r="I1" s="419" t="s">
        <v>279</v>
      </c>
      <c r="J1" s="430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11</v>
      </c>
      <c r="D2" s="424">
        <v>2020</v>
      </c>
      <c r="E2" s="425">
        <f>'UTILITY REPORT 1'!F3</f>
        <v>2415</v>
      </c>
      <c r="F2" s="426">
        <f>('UTILITY REPORT 1'!E3*'UTILITY REPORT 1'!D3)/'UTILITY REPORT 1'!F3</f>
        <v>0.39587991718426502</v>
      </c>
      <c r="G2" s="426">
        <f>IF('Utility summery'!M6&lt;0,"0",'Utility summery'!M6)</f>
        <v>0</v>
      </c>
      <c r="H2" s="431">
        <v>0</v>
      </c>
      <c r="I2" s="426">
        <f>IF('UTILITY REPORT 1'!G3&lt;0,"0",'UTILITY REPORT 1'!G3)</f>
        <v>54</v>
      </c>
      <c r="J2" s="431">
        <v>0</v>
      </c>
      <c r="K2" s="425">
        <f>'UTILITY REPORT 1'!C3</f>
        <v>3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11</v>
      </c>
      <c r="D3" s="424">
        <v>2020</v>
      </c>
      <c r="E3" s="425">
        <f>'UTILITY REPORT 1'!F4</f>
        <v>2617</v>
      </c>
      <c r="F3" s="426">
        <f>('UTILITY REPORT 1'!E4*'UTILITY REPORT 1'!D4)/'UTILITY REPORT 1'!F4</f>
        <v>0.42335498662590754</v>
      </c>
      <c r="G3" s="426">
        <f>IF('Utility summery'!M7&lt;0,"0",'Utility summery'!M7)</f>
        <v>57.420000000012813</v>
      </c>
      <c r="H3" s="431">
        <v>0</v>
      </c>
      <c r="I3" s="426">
        <f>IF('UTILITY REPORT 1'!G4&lt;0,"0",'UTILITY REPORT 1'!G4)</f>
        <v>48</v>
      </c>
      <c r="J3" s="431">
        <v>0</v>
      </c>
      <c r="K3" s="425">
        <f>'UTILITY REPORT 1'!C4</f>
        <v>5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0" si="0">B3+1</f>
        <v>3</v>
      </c>
      <c r="C4" s="423">
        <v>11</v>
      </c>
      <c r="D4" s="424">
        <v>2020</v>
      </c>
      <c r="E4" s="425">
        <f>'UTILITY REPORT 1'!F5</f>
        <v>2592</v>
      </c>
      <c r="F4" s="426">
        <f>('UTILITY REPORT 1'!E5*'UTILITY REPORT 1'!D5)/'UTILITY REPORT 1'!F5</f>
        <v>0.44945601851851841</v>
      </c>
      <c r="G4" s="426">
        <f>IF('Utility summery'!M8&lt;0,"0",'Utility summery'!M8)</f>
        <v>50.159999999974396</v>
      </c>
      <c r="H4" s="431">
        <v>0</v>
      </c>
      <c r="I4" s="426">
        <f>IF('UTILITY REPORT 1'!G5&lt;0,"0",'UTILITY REPORT 1'!G5)</f>
        <v>81</v>
      </c>
      <c r="J4" s="431">
        <v>0</v>
      </c>
      <c r="K4" s="425">
        <f>'UTILITY REPORT 1'!C5</f>
        <v>7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11</v>
      </c>
      <c r="D5" s="424">
        <v>2020</v>
      </c>
      <c r="E5" s="425">
        <f>'UTILITY REPORT 1'!F6</f>
        <v>2655</v>
      </c>
      <c r="F5" s="426">
        <f>('UTILITY REPORT 1'!E6*'UTILITY REPORT 1'!D6)/'UTILITY REPORT 1'!F6</f>
        <v>0.39410546139359698</v>
      </c>
      <c r="G5" s="426">
        <f>IF('Utility summery'!M9&lt;0,"0",'Utility summery'!M9)</f>
        <v>57.815999999997445</v>
      </c>
      <c r="H5" s="431">
        <v>0</v>
      </c>
      <c r="I5" s="426">
        <f>IF('UTILITY REPORT 1'!G6&lt;0,"0",'UTILITY REPORT 1'!G6)</f>
        <v>50</v>
      </c>
      <c r="J5" s="431">
        <v>0</v>
      </c>
      <c r="K5" s="425">
        <f>'UTILITY REPORT 1'!C6</f>
        <v>6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11</v>
      </c>
      <c r="D6" s="424">
        <v>2020</v>
      </c>
      <c r="E6" s="425">
        <f>'UTILITY REPORT 1'!F7</f>
        <v>0</v>
      </c>
      <c r="F6" s="426" t="e">
        <f>('UTILITY REPORT 1'!E7*'UTILITY REPORT 1'!D7)/'UTILITY REPORT 1'!F7</f>
        <v>#DIV/0!</v>
      </c>
      <c r="G6" s="426" t="str">
        <f>IF('Utility summery'!M10&lt;0,"0",'Utility summery'!M10)</f>
        <v>0</v>
      </c>
      <c r="H6" s="431">
        <v>0</v>
      </c>
      <c r="I6" s="426" t="str">
        <f>IF('UTILITY REPORT 1'!G7&lt;0,"0",'UTILITY REPORT 1'!G7)</f>
        <v>0</v>
      </c>
      <c r="J6" s="431">
        <v>0</v>
      </c>
      <c r="K6" s="425">
        <f>'UTILITY REPORT 1'!C7</f>
        <v>0</v>
      </c>
      <c r="L6" s="427" t="e">
        <f>E6*F6+G6*H6+#REF!*#REF!+I6*J6</f>
        <v>#DIV/0!</v>
      </c>
    </row>
    <row r="7" spans="1:12">
      <c r="A7" s="422" t="s">
        <v>283</v>
      </c>
      <c r="B7" s="423">
        <f t="shared" si="0"/>
        <v>6</v>
      </c>
      <c r="C7" s="423">
        <v>11</v>
      </c>
      <c r="D7" s="424">
        <v>2020</v>
      </c>
      <c r="E7" s="425">
        <f>'UTILITY REPORT 1'!F8</f>
        <v>0</v>
      </c>
      <c r="F7" s="426" t="e">
        <f>('UTILITY REPORT 1'!E8*'UTILITY REPORT 1'!D8)/'UTILITY REPORT 1'!F8</f>
        <v>#DIV/0!</v>
      </c>
      <c r="G7" s="426">
        <f>IF('Utility summery'!M11&lt;0,"0",'Utility summery'!M11)</f>
        <v>0</v>
      </c>
      <c r="H7" s="431">
        <v>0</v>
      </c>
      <c r="I7" s="426">
        <f>IF('UTILITY REPORT 1'!G8&lt;0,"0",'UTILITY REPORT 1'!G8)</f>
        <v>0</v>
      </c>
      <c r="J7" s="431">
        <v>0</v>
      </c>
      <c r="K7" s="425">
        <f>'UTILITY REPORT 1'!C8</f>
        <v>0</v>
      </c>
      <c r="L7" s="427" t="e">
        <f>E7*F7+G7*H7+#REF!*#REF!+I7*J7</f>
        <v>#DIV/0!</v>
      </c>
    </row>
    <row r="8" spans="1:12">
      <c r="A8" s="422" t="s">
        <v>283</v>
      </c>
      <c r="B8" s="423">
        <f t="shared" si="0"/>
        <v>7</v>
      </c>
      <c r="C8" s="423">
        <v>11</v>
      </c>
      <c r="D8" s="424">
        <v>2020</v>
      </c>
      <c r="E8" s="425">
        <f>'UTILITY REPORT 1'!F9</f>
        <v>0</v>
      </c>
      <c r="F8" s="426" t="e">
        <f>('UTILITY REPORT 1'!E9*'UTILITY REPORT 1'!D9)/'UTILITY REPORT 1'!F9</f>
        <v>#DIV/0!</v>
      </c>
      <c r="G8" s="426">
        <f>IF('Utility summery'!M12&lt;0,"0",'Utility summery'!M12)</f>
        <v>0</v>
      </c>
      <c r="H8" s="431">
        <v>0</v>
      </c>
      <c r="I8" s="426">
        <f>IF('UTILITY REPORT 1'!G9&lt;0,"0",'UTILITY REPORT 1'!G9)</f>
        <v>0</v>
      </c>
      <c r="J8" s="431">
        <v>0</v>
      </c>
      <c r="K8" s="425">
        <f>'UTILITY REPORT 1'!C9</f>
        <v>0</v>
      </c>
      <c r="L8" s="427" t="e">
        <f>E8*F8+G8*H8+#REF!*#REF!+I8*J8</f>
        <v>#DIV/0!</v>
      </c>
    </row>
    <row r="9" spans="1:12">
      <c r="A9" s="422" t="s">
        <v>283</v>
      </c>
      <c r="B9" s="423">
        <f t="shared" si="0"/>
        <v>8</v>
      </c>
      <c r="C9" s="423">
        <v>11</v>
      </c>
      <c r="D9" s="424">
        <v>2020</v>
      </c>
      <c r="E9" s="425">
        <f>'UTILITY REPORT 1'!F10</f>
        <v>0</v>
      </c>
      <c r="F9" s="426" t="e">
        <f>('UTILITY REPORT 1'!E10*'UTILITY REPORT 1'!D10)/'UTILITY REPORT 1'!F10</f>
        <v>#DIV/0!</v>
      </c>
      <c r="G9" s="426">
        <f>IF('Utility summery'!M13&lt;0,"0",'Utility summery'!M13)</f>
        <v>0</v>
      </c>
      <c r="H9" s="431">
        <v>0</v>
      </c>
      <c r="I9" s="426">
        <f>IF('UTILITY REPORT 1'!G10&lt;0,"0",'UTILITY REPORT 1'!G10)</f>
        <v>0</v>
      </c>
      <c r="J9" s="431">
        <v>0</v>
      </c>
      <c r="K9" s="425">
        <f>'UTILITY REPORT 1'!C10</f>
        <v>0</v>
      </c>
      <c r="L9" s="427" t="e">
        <f>E9*F9+G9*H9+#REF!*#REF!+I9*J9</f>
        <v>#DIV/0!</v>
      </c>
    </row>
    <row r="10" spans="1:12">
      <c r="A10" s="422" t="s">
        <v>283</v>
      </c>
      <c r="B10" s="423">
        <f t="shared" si="0"/>
        <v>9</v>
      </c>
      <c r="C10" s="423">
        <v>11</v>
      </c>
      <c r="D10" s="424">
        <v>2020</v>
      </c>
      <c r="E10" s="425">
        <f>'UTILITY REPORT 1'!F11</f>
        <v>0</v>
      </c>
      <c r="F10" s="426" t="e">
        <f>('UTILITY REPORT 1'!E11*'UTILITY REPORT 1'!D11)/'UTILITY REPORT 1'!F11</f>
        <v>#DIV/0!</v>
      </c>
      <c r="G10" s="426">
        <f>IF('Utility summery'!M14&lt;0,"0",'Utility summery'!M14)</f>
        <v>0</v>
      </c>
      <c r="H10" s="431">
        <v>0</v>
      </c>
      <c r="I10" s="426">
        <f>IF('UTILITY REPORT 1'!G11&lt;0,"0",'UTILITY REPORT 1'!G11)</f>
        <v>0</v>
      </c>
      <c r="J10" s="431">
        <v>0</v>
      </c>
      <c r="K10" s="425">
        <f>'UTILITY REPORT 1'!C11</f>
        <v>0</v>
      </c>
      <c r="L10" s="427" t="e">
        <f>E10*F10+G10*H10+#REF!*#REF!+I10*J10</f>
        <v>#DIV/0!</v>
      </c>
    </row>
    <row r="11" spans="1:12">
      <c r="A11" s="422" t="s">
        <v>283</v>
      </c>
      <c r="B11" s="423">
        <f t="shared" si="0"/>
        <v>10</v>
      </c>
      <c r="C11" s="423">
        <v>11</v>
      </c>
      <c r="D11" s="424">
        <v>2020</v>
      </c>
      <c r="E11" s="425">
        <f>'UTILITY REPORT 1'!F12</f>
        <v>0</v>
      </c>
      <c r="F11" s="426" t="e">
        <f>('UTILITY REPORT 1'!E12*'UTILITY REPORT 1'!D12)/'UTILITY REPORT 1'!F12</f>
        <v>#DIV/0!</v>
      </c>
      <c r="G11" s="426">
        <f>IF('Utility summery'!M15&lt;0,"0",'Utility summery'!M15)</f>
        <v>0</v>
      </c>
      <c r="H11" s="431">
        <v>0</v>
      </c>
      <c r="I11" s="426">
        <f>IF('UTILITY REPORT 1'!G12&lt;0,"0",'UTILITY REPORT 1'!G12)</f>
        <v>0</v>
      </c>
      <c r="J11" s="431">
        <v>0</v>
      </c>
      <c r="K11" s="425">
        <f>'UTILITY REPORT 1'!C12</f>
        <v>0</v>
      </c>
      <c r="L11" s="427" t="e">
        <f>E11*F11+G11*H11+#REF!*#REF!+I11*J11</f>
        <v>#DIV/0!</v>
      </c>
    </row>
    <row r="12" spans="1:12">
      <c r="A12" s="422" t="s">
        <v>283</v>
      </c>
      <c r="B12" s="423">
        <f t="shared" si="0"/>
        <v>11</v>
      </c>
      <c r="C12" s="423">
        <v>11</v>
      </c>
      <c r="D12" s="424">
        <v>2020</v>
      </c>
      <c r="E12" s="425">
        <f>'UTILITY REPORT 1'!F13</f>
        <v>0</v>
      </c>
      <c r="F12" s="426" t="e">
        <f>('UTILITY REPORT 1'!E13*'UTILITY REPORT 1'!D13)/'UTILITY REPORT 1'!F13</f>
        <v>#DIV/0!</v>
      </c>
      <c r="G12" s="426">
        <f>IF('Utility summery'!M16&lt;0,"0",'Utility summery'!M16)</f>
        <v>0</v>
      </c>
      <c r="H12" s="431">
        <v>0</v>
      </c>
      <c r="I12" s="426">
        <f>IF('UTILITY REPORT 1'!G13&lt;0,"0",'UTILITY REPORT 1'!G13)</f>
        <v>0</v>
      </c>
      <c r="J12" s="431">
        <v>0</v>
      </c>
      <c r="K12" s="425">
        <f>'UTILITY REPORT 1'!C13</f>
        <v>0</v>
      </c>
      <c r="L12" s="427" t="e">
        <f>E12*F12+G12*H12+#REF!*#REF!+I12*J12</f>
        <v>#DIV/0!</v>
      </c>
    </row>
    <row r="13" spans="1:12">
      <c r="A13" s="422" t="s">
        <v>283</v>
      </c>
      <c r="B13" s="423">
        <f t="shared" si="0"/>
        <v>12</v>
      </c>
      <c r="C13" s="423">
        <v>11</v>
      </c>
      <c r="D13" s="424">
        <v>2020</v>
      </c>
      <c r="E13" s="425">
        <f>'UTILITY REPORT 1'!F14</f>
        <v>0</v>
      </c>
      <c r="F13" s="426" t="e">
        <f>('UTILITY REPORT 1'!E14*'UTILITY REPORT 1'!D14)/'UTILITY REPORT 1'!F14</f>
        <v>#DIV/0!</v>
      </c>
      <c r="G13" s="426">
        <f>IF('Utility summery'!M17&lt;0,"0",'Utility summery'!M17)</f>
        <v>0</v>
      </c>
      <c r="H13" s="431">
        <v>0</v>
      </c>
      <c r="I13" s="426">
        <f>IF('UTILITY REPORT 1'!G14&lt;0,"0",'UTILITY REPORT 1'!G14)</f>
        <v>0</v>
      </c>
      <c r="J13" s="431">
        <v>0</v>
      </c>
      <c r="K13" s="425">
        <f>'UTILITY REPORT 1'!C14</f>
        <v>0</v>
      </c>
      <c r="L13" s="427" t="e">
        <f>E13*F13+G13*H13+#REF!*#REF!+I13*J13</f>
        <v>#DIV/0!</v>
      </c>
    </row>
    <row r="14" spans="1:12">
      <c r="A14" s="422" t="s">
        <v>283</v>
      </c>
      <c r="B14" s="423">
        <f t="shared" si="0"/>
        <v>13</v>
      </c>
      <c r="C14" s="423">
        <v>11</v>
      </c>
      <c r="D14" s="424">
        <v>2020</v>
      </c>
      <c r="E14" s="425">
        <f>'UTILITY REPORT 1'!F15</f>
        <v>0</v>
      </c>
      <c r="F14" s="426" t="e">
        <f>('UTILITY REPORT 1'!E15*'UTILITY REPORT 1'!D15)/'UTILITY REPORT 1'!F15</f>
        <v>#DIV/0!</v>
      </c>
      <c r="G14" s="426">
        <f>IF('Utility summery'!M18&lt;0,"0",'Utility summery'!M18)</f>
        <v>0</v>
      </c>
      <c r="H14" s="431">
        <v>0</v>
      </c>
      <c r="I14" s="426">
        <f>IF('UTILITY REPORT 1'!G15&lt;0,"0",'UTILITY REPORT 1'!G15)</f>
        <v>0</v>
      </c>
      <c r="J14" s="431">
        <v>0</v>
      </c>
      <c r="K14" s="425">
        <f>'UTILITY REPORT 1'!C15</f>
        <v>0</v>
      </c>
      <c r="L14" s="427" t="e">
        <f>E14*F14+G14*H14+#REF!*#REF!+I14*J14</f>
        <v>#DIV/0!</v>
      </c>
    </row>
    <row r="15" spans="1:12">
      <c r="A15" s="422" t="s">
        <v>283</v>
      </c>
      <c r="B15" s="423">
        <f t="shared" si="0"/>
        <v>14</v>
      </c>
      <c r="C15" s="423">
        <v>11</v>
      </c>
      <c r="D15" s="424">
        <v>2020</v>
      </c>
      <c r="E15" s="425">
        <f>'UTILITY REPORT 1'!F16</f>
        <v>0</v>
      </c>
      <c r="F15" s="426" t="e">
        <f>('UTILITY REPORT 1'!E16*'UTILITY REPORT 1'!D16)/'UTILITY REPORT 1'!F16</f>
        <v>#DIV/0!</v>
      </c>
      <c r="G15" s="426">
        <f>IF('Utility summery'!M19&lt;0,"0",'Utility summery'!M19)</f>
        <v>0</v>
      </c>
      <c r="H15" s="431">
        <v>0</v>
      </c>
      <c r="I15" s="426">
        <f>IF('UTILITY REPORT 1'!G16&lt;0,"0",'UTILITY REPORT 1'!G16)</f>
        <v>0</v>
      </c>
      <c r="J15" s="431">
        <v>0</v>
      </c>
      <c r="K15" s="425">
        <f>'UTILITY REPORT 1'!C16</f>
        <v>0</v>
      </c>
      <c r="L15" s="427" t="e">
        <f>E15*F15+G15*H15+#REF!*#REF!+I15*J15</f>
        <v>#DIV/0!</v>
      </c>
    </row>
    <row r="16" spans="1:12">
      <c r="A16" s="422" t="s">
        <v>283</v>
      </c>
      <c r="B16" s="423">
        <f t="shared" si="0"/>
        <v>15</v>
      </c>
      <c r="C16" s="423">
        <v>11</v>
      </c>
      <c r="D16" s="424">
        <v>2020</v>
      </c>
      <c r="E16" s="425">
        <f>'UTILITY REPORT 1'!F17</f>
        <v>0</v>
      </c>
      <c r="F16" s="426" t="e">
        <f>('UTILITY REPORT 1'!E17*'UTILITY REPORT 1'!D17)/'UTILITY REPORT 1'!F17</f>
        <v>#DIV/0!</v>
      </c>
      <c r="G16" s="426">
        <f>IF('Utility summery'!M20&lt;0,"0",'Utility summery'!M20)</f>
        <v>0</v>
      </c>
      <c r="H16" s="431">
        <v>0</v>
      </c>
      <c r="I16" s="426">
        <f>IF('UTILITY REPORT 1'!G17&lt;0,"0",'UTILITY REPORT 1'!G17)</f>
        <v>0</v>
      </c>
      <c r="J16" s="431">
        <v>0</v>
      </c>
      <c r="K16" s="425">
        <f>'UTILITY REPORT 1'!C17</f>
        <v>0</v>
      </c>
      <c r="L16" s="427" t="e">
        <f>E16*F16+G16*H16+#REF!*#REF!+I16*J16</f>
        <v>#DIV/0!</v>
      </c>
    </row>
    <row r="17" spans="1:12">
      <c r="A17" s="422" t="s">
        <v>283</v>
      </c>
      <c r="B17" s="423">
        <f t="shared" si="0"/>
        <v>16</v>
      </c>
      <c r="C17" s="423">
        <v>11</v>
      </c>
      <c r="D17" s="424">
        <v>2020</v>
      </c>
      <c r="E17" s="425">
        <f>'UTILITY REPORT 1'!F18</f>
        <v>0</v>
      </c>
      <c r="F17" s="426" t="e">
        <f>('UTILITY REPORT 1'!E18*'UTILITY REPORT 1'!D18)/'UTILITY REPORT 1'!F18</f>
        <v>#DIV/0!</v>
      </c>
      <c r="G17" s="426">
        <f>IF('Utility summery'!M21&lt;0,"0",'Utility summery'!M21)</f>
        <v>0</v>
      </c>
      <c r="H17" s="431">
        <v>0</v>
      </c>
      <c r="I17" s="426">
        <f>IF('UTILITY REPORT 1'!G18&lt;0,"0",'UTILITY REPORT 1'!G18)</f>
        <v>0</v>
      </c>
      <c r="J17" s="431">
        <v>0</v>
      </c>
      <c r="K17" s="425">
        <f>'UTILITY REPORT 1'!C18</f>
        <v>0</v>
      </c>
      <c r="L17" s="427" t="e">
        <f>E17*F17+G17*H17+#REF!*#REF!+I17*J17</f>
        <v>#DIV/0!</v>
      </c>
    </row>
    <row r="18" spans="1:12">
      <c r="A18" s="422" t="s">
        <v>283</v>
      </c>
      <c r="B18" s="423">
        <f t="shared" si="0"/>
        <v>17</v>
      </c>
      <c r="C18" s="423">
        <v>11</v>
      </c>
      <c r="D18" s="424">
        <v>2020</v>
      </c>
      <c r="E18" s="425">
        <f>'UTILITY REPORT 1'!F19</f>
        <v>0</v>
      </c>
      <c r="F18" s="426" t="e">
        <f>('UTILITY REPORT 1'!E19*'UTILITY REPORT 1'!D19)/'UTILITY REPORT 1'!F19</f>
        <v>#DIV/0!</v>
      </c>
      <c r="G18" s="426">
        <f>IF('Utility summery'!M22&lt;0,"0",'Utility summery'!M22)</f>
        <v>0</v>
      </c>
      <c r="H18" s="431">
        <v>0</v>
      </c>
      <c r="I18" s="426">
        <f>IF('UTILITY REPORT 1'!G19&lt;0,"0",'UTILITY REPORT 1'!G19)</f>
        <v>0</v>
      </c>
      <c r="J18" s="431">
        <v>0</v>
      </c>
      <c r="K18" s="425">
        <f>'UTILITY REPORT 1'!C19</f>
        <v>0</v>
      </c>
      <c r="L18" s="427" t="e">
        <f>E18*F18+G18*H18+#REF!*#REF!+I18*J18</f>
        <v>#DIV/0!</v>
      </c>
    </row>
    <row r="19" spans="1:12">
      <c r="A19" s="422" t="s">
        <v>283</v>
      </c>
      <c r="B19" s="423">
        <f t="shared" si="0"/>
        <v>18</v>
      </c>
      <c r="C19" s="423">
        <v>11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>
        <f>IF('Utility summery'!M23&lt;0,"0",'Utility summery'!M23)</f>
        <v>0</v>
      </c>
      <c r="H19" s="431">
        <v>0</v>
      </c>
      <c r="I19" s="426">
        <f>IF('UTILITY REPORT 1'!G20&lt;0,"0",'UTILITY REPORT 1'!G20)</f>
        <v>0</v>
      </c>
      <c r="J19" s="431">
        <v>0</v>
      </c>
      <c r="K19" s="425">
        <f>'UTILITY REPORT 1'!C20</f>
        <v>0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11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1">
        <v>0</v>
      </c>
      <c r="I20" s="426">
        <f>IF('UTILITY REPORT 1'!G21&lt;0,"0",'UTILITY REPORT 1'!G21)</f>
        <v>0</v>
      </c>
      <c r="J20" s="431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11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1">
        <v>0</v>
      </c>
      <c r="I21" s="426">
        <f>IF('UTILITY REPORT 1'!G22&lt;0,"0",'UTILITY REPORT 1'!G22)</f>
        <v>0</v>
      </c>
      <c r="J21" s="431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11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1">
        <v>0</v>
      </c>
      <c r="I22" s="426">
        <f>IF('UTILITY REPORT 1'!G23&lt;0,"0",'UTILITY REPORT 1'!G23)</f>
        <v>0</v>
      </c>
      <c r="J22" s="431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11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1">
        <v>0</v>
      </c>
      <c r="I23" s="426">
        <f>IF('UTILITY REPORT 1'!G24&lt;0,"0",'UTILITY REPORT 1'!G24)</f>
        <v>0</v>
      </c>
      <c r="J23" s="431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11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1">
        <v>0</v>
      </c>
      <c r="I24" s="426">
        <f>IF('UTILITY REPORT 1'!G25&lt;0,"0",'UTILITY REPORT 1'!G25)</f>
        <v>0</v>
      </c>
      <c r="J24" s="431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11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1">
        <v>0</v>
      </c>
      <c r="I25" s="426">
        <f>IF('UTILITY REPORT 1'!G26&lt;0,"0",'UTILITY REPORT 1'!G26)</f>
        <v>0</v>
      </c>
      <c r="J25" s="431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11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1">
        <v>0</v>
      </c>
      <c r="I26" s="426">
        <f>IF('UTILITY REPORT 1'!G27&lt;0,"0",'UTILITY REPORT 1'!G27)</f>
        <v>0</v>
      </c>
      <c r="J26" s="431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11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1">
        <v>0</v>
      </c>
      <c r="I27" s="426">
        <f>IF('UTILITY REPORT 1'!G28&lt;0,"0",'UTILITY REPORT 1'!G28)</f>
        <v>0</v>
      </c>
      <c r="J27" s="431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11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1">
        <v>0</v>
      </c>
      <c r="I28" s="426">
        <f>IF('UTILITY REPORT 1'!G29&lt;0,"0",'UTILITY REPORT 1'!G29)</f>
        <v>0</v>
      </c>
      <c r="J28" s="431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11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1">
        <v>0</v>
      </c>
      <c r="I29" s="426">
        <f>IF('UTILITY REPORT 1'!G30&lt;0,"0",'UTILITY REPORT 1'!G30)</f>
        <v>0</v>
      </c>
      <c r="J29" s="431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11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1">
        <v>0</v>
      </c>
      <c r="I30" s="426">
        <f>IF('UTILITY REPORT 1'!G31&lt;0,"0",'UTILITY REPORT 1'!G31)</f>
        <v>0</v>
      </c>
      <c r="J30" s="431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11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1">
        <v>0</v>
      </c>
      <c r="I31" s="426">
        <f>IF('UTILITY REPORT 1'!G32&lt;0,"0",'UTILITY REPORT 1'!G32)</f>
        <v>0</v>
      </c>
      <c r="J31" s="431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/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1">
        <v>0</v>
      </c>
      <c r="I32" s="426">
        <f>IF('UTILITY REPORT 1'!G33&lt;0,"0",'UTILITY REPORT 1'!G33)</f>
        <v>0</v>
      </c>
      <c r="J32" s="431">
        <v>0</v>
      </c>
      <c r="K32" s="425">
        <f>'UTILITY REPORT 1'!C33</f>
        <v>0</v>
      </c>
    </row>
    <row r="33" spans="6:10">
      <c r="F33" s="426"/>
      <c r="G33" s="426"/>
      <c r="H33" s="431"/>
      <c r="I33" s="426" t="s">
        <v>253</v>
      </c>
      <c r="J33" s="431"/>
    </row>
    <row r="34" spans="6:10">
      <c r="F34" s="426"/>
      <c r="G34" s="426"/>
      <c r="H34" s="431"/>
      <c r="I34" s="426"/>
      <c r="J34" s="431"/>
    </row>
    <row r="35" spans="6:10">
      <c r="F35" s="426"/>
      <c r="G35" s="426"/>
      <c r="H35" s="431"/>
      <c r="I35" s="426"/>
      <c r="J35" s="431"/>
    </row>
    <row r="36" spans="6:10">
      <c r="F36" s="426"/>
      <c r="G36" s="426"/>
      <c r="H36" s="431"/>
      <c r="I36" s="426"/>
      <c r="J36" s="431"/>
    </row>
    <row r="37" spans="6:10">
      <c r="F37" s="426"/>
      <c r="G37" s="426"/>
      <c r="H37" s="431"/>
      <c r="I37" s="426"/>
      <c r="J37" s="431"/>
    </row>
    <row r="38" spans="6:10">
      <c r="F38" s="426"/>
      <c r="G38" s="426"/>
      <c r="H38" s="431"/>
      <c r="I38" s="426"/>
      <c r="J38" s="431"/>
    </row>
    <row r="39" spans="6:10">
      <c r="F39" s="426"/>
      <c r="G39" s="426"/>
      <c r="H39" s="431"/>
      <c r="I39" s="426"/>
      <c r="J39" s="4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7" sqref="C37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287</v>
      </c>
      <c r="F1" s="476" t="s">
        <v>286</v>
      </c>
      <c r="G1" s="477" t="s">
        <v>275</v>
      </c>
      <c r="H1" s="476" t="s">
        <v>284</v>
      </c>
      <c r="I1" s="476" t="s">
        <v>285</v>
      </c>
      <c r="J1" s="476" t="s">
        <v>288</v>
      </c>
      <c r="K1" s="477" t="s">
        <v>266</v>
      </c>
      <c r="L1" s="476" t="s">
        <v>289</v>
      </c>
      <c r="M1" s="477" t="s">
        <v>290</v>
      </c>
      <c r="N1" s="477" t="s">
        <v>291</v>
      </c>
      <c r="O1" s="477" t="s">
        <v>291</v>
      </c>
      <c r="P1" s="477" t="s">
        <v>304</v>
      </c>
      <c r="Q1" s="477" t="s">
        <v>292</v>
      </c>
      <c r="R1" s="477" t="s">
        <v>293</v>
      </c>
      <c r="S1" s="477" t="s">
        <v>294</v>
      </c>
      <c r="T1" s="477" t="s">
        <v>295</v>
      </c>
      <c r="U1" s="477" t="s">
        <v>296</v>
      </c>
      <c r="V1" s="477" t="s">
        <v>297</v>
      </c>
      <c r="W1" s="480" t="s">
        <v>305</v>
      </c>
      <c r="X1" s="481" t="s">
        <v>281</v>
      </c>
    </row>
    <row r="2" spans="1:24">
      <c r="A2" s="468" t="s">
        <v>283</v>
      </c>
      <c r="B2" s="469">
        <v>1</v>
      </c>
      <c r="C2" s="469">
        <v>11</v>
      </c>
      <c r="D2" s="470">
        <v>2020</v>
      </c>
      <c r="E2" s="471">
        <f>'UTILITY REPORT 1'!I3</f>
        <v>0</v>
      </c>
      <c r="F2" s="471">
        <f>'UTILITY REPORT 1'!E3</f>
        <v>956.05</v>
      </c>
      <c r="G2" s="472">
        <f>'UTILITY REPORT 1'!F3</f>
        <v>2415</v>
      </c>
      <c r="H2" s="471">
        <f>IF('Kit report'!F4&lt;0,"0",'Kit report'!F4)</f>
        <v>203.99999999986903</v>
      </c>
      <c r="I2" s="471">
        <f>IF('Kit report'!X4&lt;0,"0",'Kit report'!X4)</f>
        <v>139.99999999996362</v>
      </c>
      <c r="J2" s="471">
        <f>IF('Utility summery'!H6&lt;0,"0",'Utility summery'!H6)</f>
        <v>36</v>
      </c>
      <c r="K2" s="472">
        <f>IF('UTILITY REPORT 1'!H3&lt;0,"0",'UTILITY REPORT 1'!H3)</f>
        <v>41</v>
      </c>
      <c r="L2" s="471">
        <f>'Water-Meter'!K6</f>
        <v>0</v>
      </c>
      <c r="M2" s="472">
        <f>'Water-Meter'!H6</f>
        <v>0</v>
      </c>
      <c r="N2" s="472">
        <f>'Water-Meter'!Q6</f>
        <v>5</v>
      </c>
      <c r="O2" s="471" t="e">
        <f>K2*E2+H2*I2+#REF!*#REF!+J2*L2</f>
        <v>#REF!</v>
      </c>
      <c r="P2" s="471">
        <f>'Water-Meter'!E6</f>
        <v>54</v>
      </c>
      <c r="Q2" s="413">
        <f>IF('Water-Meter'!U6&lt;0,"0",'Water-Meter'!U6)</f>
        <v>0</v>
      </c>
      <c r="R2" s="413">
        <f>IF('Water-Meter'!X6&lt;0,"0",'Water-Meter'!X6)</f>
        <v>0</v>
      </c>
      <c r="S2" s="413">
        <f>IF('Water-Meter'!AA6&lt;0,"0",'Water-Meter'!AA6)</f>
        <v>1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42</v>
      </c>
      <c r="X2" s="482">
        <f>Total!K2</f>
        <v>3</v>
      </c>
    </row>
    <row r="3" spans="1:24">
      <c r="A3" s="467" t="s">
        <v>283</v>
      </c>
      <c r="B3" s="464">
        <f>B2+1</f>
        <v>2</v>
      </c>
      <c r="C3" s="469">
        <v>11</v>
      </c>
      <c r="D3" s="470">
        <v>2020</v>
      </c>
      <c r="E3" s="465">
        <f>'UTILITY REPORT 1'!I4</f>
        <v>21.62</v>
      </c>
      <c r="F3" s="465">
        <f>'UTILITY REPORT 1'!E4</f>
        <v>1107.92</v>
      </c>
      <c r="G3" s="466">
        <f>'UTILITY REPORT 1'!F4</f>
        <v>2617</v>
      </c>
      <c r="H3" s="465">
        <f>IF('Kit report'!F5&lt;0,"0",'Kit report'!F5)</f>
        <v>216.00000000013097</v>
      </c>
      <c r="I3" s="465">
        <f>IF('Kit report'!X5&lt;0,"0",'Kit report'!X5)</f>
        <v>220.00000000007276</v>
      </c>
      <c r="J3" s="465">
        <f>IF('Utility summery'!H7&lt;0,"0",'Utility summery'!H7)</f>
        <v>26</v>
      </c>
      <c r="K3" s="466">
        <f>IF('UTILITY REPORT 1'!H4&lt;0,"0",'UTILITY REPORT 1'!H4)</f>
        <v>48</v>
      </c>
      <c r="L3" s="465">
        <f>'Water-Meter'!K7</f>
        <v>1</v>
      </c>
      <c r="M3" s="466">
        <f>'Water-Meter'!H7</f>
        <v>0</v>
      </c>
      <c r="N3" s="466">
        <f>'Water-Meter'!Q7</f>
        <v>3</v>
      </c>
      <c r="O3" s="465" t="e">
        <f>K3*E3+H3*I3+#REF!*#REF!+J3*L3</f>
        <v>#REF!</v>
      </c>
      <c r="P3" s="471">
        <f>'Water-Meter'!E7</f>
        <v>48</v>
      </c>
      <c r="Q3" s="243">
        <f>IF('Water-Meter'!U7&lt;0,"0",'Water-Meter'!U7)</f>
        <v>61</v>
      </c>
      <c r="R3" s="243">
        <f>IF('Water-Meter'!X7&lt;0,"0",'Water-Meter'!X7)</f>
        <v>0</v>
      </c>
      <c r="S3" s="243">
        <f>IF('Water-Meter'!AA7&lt;0,"0",'Water-Meter'!AA7)</f>
        <v>0</v>
      </c>
      <c r="T3" s="243">
        <f>IF('Water-Meter'!AD7&lt;0,"0",'Water-Meter'!AD7)</f>
        <v>19</v>
      </c>
      <c r="U3" s="243">
        <f>IF('Water-Meter'!AG7&lt;0,"0",'Water-Meter'!AG7)</f>
        <v>0</v>
      </c>
      <c r="V3" s="243">
        <f>IF('Water-Meter'!AJ7&lt;0,"0",'Water-Meter'!AJ7)</f>
        <v>23</v>
      </c>
      <c r="W3" s="31">
        <f>'Water-Meter'!AN7</f>
        <v>103</v>
      </c>
      <c r="X3" s="482">
        <f>Total!K3</f>
        <v>5</v>
      </c>
    </row>
    <row r="4" spans="1:24">
      <c r="A4" s="467" t="s">
        <v>283</v>
      </c>
      <c r="B4" s="464">
        <f t="shared" ref="B4:B30" si="0">B3+1</f>
        <v>3</v>
      </c>
      <c r="C4" s="469">
        <v>11</v>
      </c>
      <c r="D4" s="470">
        <v>2020</v>
      </c>
      <c r="E4" s="465">
        <f>'UTILITY REPORT 1'!I5</f>
        <v>38.269999999999996</v>
      </c>
      <c r="F4" s="465">
        <f>'UTILITY REPORT 1'!E5</f>
        <v>1164.9899999999998</v>
      </c>
      <c r="G4" s="466">
        <f>'UTILITY REPORT 1'!F5</f>
        <v>2592</v>
      </c>
      <c r="H4" s="465">
        <f>IF('Kit report'!F6&lt;0,"0",'Kit report'!F6)</f>
        <v>215.99999999991269</v>
      </c>
      <c r="I4" s="465">
        <f>IF('Kit report'!X6&lt;0,"0",'Kit report'!X6)</f>
        <v>100</v>
      </c>
      <c r="J4" s="465">
        <f>IF('Utility summery'!H8&lt;0,"0",'Utility summery'!H8)</f>
        <v>26</v>
      </c>
      <c r="K4" s="466">
        <f>IF('UTILITY REPORT 1'!H5&lt;0,"0",'UTILITY REPORT 1'!H5)</f>
        <v>48</v>
      </c>
      <c r="L4" s="465">
        <f>'Water-Meter'!K8</f>
        <v>2</v>
      </c>
      <c r="M4" s="466">
        <f>'Water-Meter'!H8</f>
        <v>0</v>
      </c>
      <c r="N4" s="466">
        <f>'Water-Meter'!Q8</f>
        <v>11</v>
      </c>
      <c r="O4" s="465" t="e">
        <f>K4*E4+H4*I4+#REF!*#REF!+J4*L4</f>
        <v>#REF!</v>
      </c>
      <c r="P4" s="471">
        <f>'Water-Meter'!E8</f>
        <v>81</v>
      </c>
      <c r="Q4" s="243">
        <f>IF('Water-Meter'!U8&lt;0,"0",'Water-Meter'!U8)</f>
        <v>85</v>
      </c>
      <c r="R4" s="243">
        <f>IF('Water-Meter'!X8&lt;0,"0",'Water-Meter'!X8)</f>
        <v>0</v>
      </c>
      <c r="S4" s="243">
        <f>IF('Water-Meter'!AA8&lt;0,"0",'Water-Meter'!AA8)</f>
        <v>31</v>
      </c>
      <c r="T4" s="243">
        <f>IF('Water-Meter'!AD8&lt;0,"0",'Water-Meter'!AD8)</f>
        <v>18</v>
      </c>
      <c r="U4" s="243">
        <f>IF('Water-Meter'!AG8&lt;0,"0",'Water-Meter'!AG8)</f>
        <v>0</v>
      </c>
      <c r="V4" s="243">
        <f>IF('Water-Meter'!AJ8&lt;0,"0",'Water-Meter'!AJ8)</f>
        <v>21</v>
      </c>
      <c r="W4" s="31">
        <f>'Water-Meter'!AN8</f>
        <v>155</v>
      </c>
      <c r="X4" s="482">
        <f>Total!K4</f>
        <v>7</v>
      </c>
    </row>
    <row r="5" spans="1:24">
      <c r="A5" s="467" t="s">
        <v>283</v>
      </c>
      <c r="B5" s="464">
        <f t="shared" si="0"/>
        <v>4</v>
      </c>
      <c r="C5" s="469">
        <v>11</v>
      </c>
      <c r="D5" s="470">
        <v>2020</v>
      </c>
      <c r="E5" s="465">
        <f>'UTILITY REPORT 1'!I6</f>
        <v>51.1</v>
      </c>
      <c r="F5" s="465">
        <f>'UTILITY REPORT 1'!E6</f>
        <v>1046.3499999999999</v>
      </c>
      <c r="G5" s="466">
        <f>'UTILITY REPORT 1'!F6</f>
        <v>2655</v>
      </c>
      <c r="H5" s="465">
        <f>IF('Kit report'!F7&lt;0,"0",'Kit report'!F7)</f>
        <v>227.99999999995634</v>
      </c>
      <c r="I5" s="465">
        <f>IF('Kit report'!X7&lt;0,"0",'Kit report'!X7)</f>
        <v>60.00000000003638</v>
      </c>
      <c r="J5" s="465">
        <f>IF('Utility summery'!H9&lt;0,"0",'Utility summery'!H9)</f>
        <v>45</v>
      </c>
      <c r="K5" s="466">
        <f>IF('UTILITY REPORT 1'!H6&lt;0,"0",'UTILITY REPORT 1'!H6)</f>
        <v>77</v>
      </c>
      <c r="L5" s="465">
        <f>'Water-Meter'!K9</f>
        <v>1</v>
      </c>
      <c r="M5" s="466">
        <f>'Water-Meter'!H9</f>
        <v>0</v>
      </c>
      <c r="N5" s="466">
        <f>'Water-Meter'!Q9</f>
        <v>9</v>
      </c>
      <c r="O5" s="465" t="e">
        <f>K5*E5+H5*I5+#REF!*#REF!+J5*L5</f>
        <v>#REF!</v>
      </c>
      <c r="P5" s="471">
        <f>'Water-Meter'!E9</f>
        <v>50</v>
      </c>
      <c r="Q5" s="243">
        <f>IF('Water-Meter'!U9&lt;0,"0",'Water-Meter'!U9)</f>
        <v>81</v>
      </c>
      <c r="R5" s="243">
        <f>IF('Water-Meter'!X9&lt;0,"0",'Water-Meter'!X9)</f>
        <v>0</v>
      </c>
      <c r="S5" s="243">
        <f>IF('Water-Meter'!AA9&lt;0,"0",'Water-Meter'!AA9)</f>
        <v>48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22</v>
      </c>
      <c r="W5" s="31">
        <f>'Water-Meter'!AN9</f>
        <v>169</v>
      </c>
      <c r="X5" s="482">
        <f>Total!K5</f>
        <v>6</v>
      </c>
    </row>
    <row r="6" spans="1:24">
      <c r="A6" s="467" t="s">
        <v>283</v>
      </c>
      <c r="B6" s="464">
        <f t="shared" si="0"/>
        <v>5</v>
      </c>
      <c r="C6" s="469">
        <v>11</v>
      </c>
      <c r="D6" s="470">
        <v>2020</v>
      </c>
      <c r="E6" s="465">
        <f>'UTILITY REPORT 1'!I7</f>
        <v>0</v>
      </c>
      <c r="F6" s="465">
        <f>'UTILITY REPORT 1'!E7</f>
        <v>0</v>
      </c>
      <c r="G6" s="466">
        <f>'UTILITY REPORT 1'!F7</f>
        <v>0</v>
      </c>
      <c r="H6" s="465" t="str">
        <f>IF('Kit report'!F8&lt;0,"0",'Kit report'!F8)</f>
        <v>0</v>
      </c>
      <c r="I6" s="465" t="str">
        <f>IF('Kit report'!X8&lt;0,"0",'Kit report'!X8)</f>
        <v>0</v>
      </c>
      <c r="J6" s="465" t="str">
        <f>IF('Utility summery'!H10&lt;0,"0",'Utility summery'!H10)</f>
        <v>0</v>
      </c>
      <c r="K6" s="466" t="str">
        <f>IF('UTILITY REPORT 1'!H7&lt;0,"0",'UTILITY REPORT 1'!H7)</f>
        <v>0</v>
      </c>
      <c r="L6" s="465" t="str">
        <f>'Water-Meter'!K10</f>
        <v>0</v>
      </c>
      <c r="M6" s="466" t="str">
        <f>'Water-Meter'!H10</f>
        <v>0</v>
      </c>
      <c r="N6" s="466" t="str">
        <f>'Water-Meter'!Q10</f>
        <v>0</v>
      </c>
      <c r="O6" s="465" t="e">
        <f>K6*E6+H6*I6+#REF!*#REF!+J6*L6</f>
        <v>#REF!</v>
      </c>
      <c r="P6" s="471" t="str">
        <f>'Water-Meter'!E10</f>
        <v>0</v>
      </c>
      <c r="Q6" s="243" t="str">
        <f>IF('Water-Meter'!U10&lt;0,"0",'Water-Meter'!U10)</f>
        <v>0</v>
      </c>
      <c r="R6" s="243" t="str">
        <f>IF('Water-Meter'!X10&lt;0,"0",'Water-Meter'!X10)</f>
        <v>0</v>
      </c>
      <c r="S6" s="243" t="str">
        <f>IF('Water-Meter'!AA10&lt;0,"0",'Water-Meter'!AA10)</f>
        <v>0</v>
      </c>
      <c r="T6" s="243" t="str">
        <f>IF('Water-Meter'!AD10&lt;0,"0",'Water-Meter'!AD10)</f>
        <v>0</v>
      </c>
      <c r="U6" s="243" t="str">
        <f>IF('Water-Meter'!AG10&lt;0,"0",'Water-Meter'!AG10)</f>
        <v>0</v>
      </c>
      <c r="V6" s="243" t="str">
        <f>IF('Water-Meter'!AJ10&lt;0,"0",'Water-Meter'!AJ10)</f>
        <v>0</v>
      </c>
      <c r="W6" s="31">
        <f>'Water-Meter'!AN10</f>
        <v>0</v>
      </c>
      <c r="X6" s="482">
        <f>Total!K6</f>
        <v>0</v>
      </c>
    </row>
    <row r="7" spans="1:24">
      <c r="A7" s="467" t="s">
        <v>283</v>
      </c>
      <c r="B7" s="464">
        <f t="shared" si="0"/>
        <v>6</v>
      </c>
      <c r="C7" s="469">
        <v>11</v>
      </c>
      <c r="D7" s="470">
        <v>2020</v>
      </c>
      <c r="E7" s="465">
        <f>'UTILITY REPORT 1'!I8</f>
        <v>0</v>
      </c>
      <c r="F7" s="465">
        <f>'UTILITY REPORT 1'!E8</f>
        <v>0</v>
      </c>
      <c r="G7" s="466">
        <f>'UTILITY REPORT 1'!F8</f>
        <v>0</v>
      </c>
      <c r="H7" s="465">
        <f>IF('Kit report'!F9&lt;0,"0",'Kit report'!F9)</f>
        <v>0</v>
      </c>
      <c r="I7" s="465">
        <f>IF('Kit report'!X9&lt;0,"0",'Kit report'!X9)</f>
        <v>0</v>
      </c>
      <c r="J7" s="465">
        <f>IF('Utility summery'!H11&lt;0,"0",'Utility summery'!H11)</f>
        <v>0</v>
      </c>
      <c r="K7" s="466">
        <f>IF('UTILITY REPORT 1'!H8&lt;0,"0",'UTILITY REPORT 1'!H8)</f>
        <v>0</v>
      </c>
      <c r="L7" s="465">
        <f>'Water-Meter'!K11</f>
        <v>0</v>
      </c>
      <c r="M7" s="466">
        <f>'Water-Meter'!H11</f>
        <v>0</v>
      </c>
      <c r="N7" s="466">
        <f>'Water-Meter'!Q11</f>
        <v>0</v>
      </c>
      <c r="O7" s="465" t="e">
        <f>K7*E7+H7*I7+#REF!*#REF!+J7*L7</f>
        <v>#REF!</v>
      </c>
      <c r="P7" s="471">
        <f>'Water-Meter'!E11</f>
        <v>0</v>
      </c>
      <c r="Q7" s="243">
        <f>IF('Water-Meter'!U11&lt;0,"0",'Water-Meter'!U11)</f>
        <v>0</v>
      </c>
      <c r="R7" s="243">
        <f>IF('Water-Meter'!X11&lt;0,"0",'Water-Meter'!X11)</f>
        <v>0</v>
      </c>
      <c r="S7" s="243">
        <f>IF('Water-Meter'!AA11&lt;0,"0",'Water-Meter'!AA11)</f>
        <v>0</v>
      </c>
      <c r="T7" s="243">
        <f>IF('Water-Meter'!AD11&lt;0,"0",'Water-Meter'!AD11)</f>
        <v>0</v>
      </c>
      <c r="U7" s="243">
        <f>IF('Water-Meter'!AG11&lt;0,"0",'Water-Meter'!AG11)</f>
        <v>0</v>
      </c>
      <c r="V7" s="243">
        <f>IF('Water-Meter'!AJ11&lt;0,"0",'Water-Meter'!AJ11)</f>
        <v>0</v>
      </c>
      <c r="W7" s="31">
        <f>'Water-Meter'!AN11</f>
        <v>0</v>
      </c>
      <c r="X7" s="482">
        <f>Total!K7</f>
        <v>0</v>
      </c>
    </row>
    <row r="8" spans="1:24">
      <c r="A8" s="467" t="s">
        <v>283</v>
      </c>
      <c r="B8" s="464">
        <f t="shared" si="0"/>
        <v>7</v>
      </c>
      <c r="C8" s="469">
        <v>11</v>
      </c>
      <c r="D8" s="470">
        <v>2020</v>
      </c>
      <c r="E8" s="465">
        <f>'UTILITY REPORT 1'!I9</f>
        <v>0</v>
      </c>
      <c r="F8" s="465">
        <f>'UTILITY REPORT 1'!E9</f>
        <v>0</v>
      </c>
      <c r="G8" s="466">
        <f>'UTILITY REPORT 1'!F9</f>
        <v>0</v>
      </c>
      <c r="H8" s="465">
        <f>IF('Kit report'!F10&lt;0,"0",'Kit report'!F10)</f>
        <v>0</v>
      </c>
      <c r="I8" s="465">
        <f>IF('Kit report'!X10&lt;0,"0",'Kit report'!X10)</f>
        <v>0</v>
      </c>
      <c r="J8" s="465">
        <f>IF('Utility summery'!H12&lt;0,"0",'Utility summery'!H12)</f>
        <v>0</v>
      </c>
      <c r="K8" s="466">
        <f>IF('UTILITY REPORT 1'!H9&lt;0,"0",'UTILITY REPORT 1'!H9)</f>
        <v>0</v>
      </c>
      <c r="L8" s="465">
        <f>'Water-Meter'!K12</f>
        <v>0</v>
      </c>
      <c r="M8" s="466">
        <f>'Water-Meter'!H12</f>
        <v>0</v>
      </c>
      <c r="N8" s="466">
        <f>'Water-Meter'!Q12</f>
        <v>0</v>
      </c>
      <c r="O8" s="465" t="e">
        <f>K8*E8+H8*I8+#REF!*#REF!+J8*L8</f>
        <v>#REF!</v>
      </c>
      <c r="P8" s="471">
        <f>'Water-Meter'!E12</f>
        <v>0</v>
      </c>
      <c r="Q8" s="243">
        <f>IF('Water-Meter'!U12&lt;0,"0",'Water-Meter'!U12)</f>
        <v>0</v>
      </c>
      <c r="R8" s="243">
        <f>IF('Water-Meter'!X12&lt;0,"0",'Water-Meter'!X12)</f>
        <v>0</v>
      </c>
      <c r="S8" s="243">
        <f>IF('Water-Meter'!AA12&lt;0,"0",'Water-Meter'!AA12)</f>
        <v>0</v>
      </c>
      <c r="T8" s="243">
        <f>IF('Water-Meter'!AD12&lt;0,"0",'Water-Meter'!AD12)</f>
        <v>0</v>
      </c>
      <c r="U8" s="243">
        <f>IF('Water-Meter'!AG12&lt;0,"0",'Water-Meter'!AG12)</f>
        <v>0</v>
      </c>
      <c r="V8" s="243">
        <f>IF('Water-Meter'!AJ12&lt;0,"0",'Water-Meter'!AJ12)</f>
        <v>0</v>
      </c>
      <c r="W8" s="31">
        <f>'Water-Meter'!AN12</f>
        <v>0</v>
      </c>
      <c r="X8" s="482">
        <f>Total!K8</f>
        <v>0</v>
      </c>
    </row>
    <row r="9" spans="1:24">
      <c r="A9" s="467" t="s">
        <v>283</v>
      </c>
      <c r="B9" s="464">
        <f t="shared" si="0"/>
        <v>8</v>
      </c>
      <c r="C9" s="469">
        <v>11</v>
      </c>
      <c r="D9" s="470">
        <v>2020</v>
      </c>
      <c r="E9" s="465">
        <f>'UTILITY REPORT 1'!I10</f>
        <v>0</v>
      </c>
      <c r="F9" s="465">
        <f>'UTILITY REPORT 1'!E10</f>
        <v>0</v>
      </c>
      <c r="G9" s="466">
        <f>'UTILITY REPORT 1'!F10</f>
        <v>0</v>
      </c>
      <c r="H9" s="465">
        <f>IF('Kit report'!F11&lt;0,"0",'Kit report'!F11)</f>
        <v>0</v>
      </c>
      <c r="I9" s="465">
        <f>IF('Kit report'!X11&lt;0,"0",'Kit report'!X11)</f>
        <v>0</v>
      </c>
      <c r="J9" s="465">
        <f>IF('Utility summery'!H13&lt;0,"0",'Utility summery'!H13)</f>
        <v>0</v>
      </c>
      <c r="K9" s="466">
        <f>IF('UTILITY REPORT 1'!H10&lt;0,"0",'UTILITY REPORT 1'!H10)</f>
        <v>0</v>
      </c>
      <c r="L9" s="465">
        <f>'Water-Meter'!K13</f>
        <v>0</v>
      </c>
      <c r="M9" s="466">
        <f>'Water-Meter'!H13</f>
        <v>0</v>
      </c>
      <c r="N9" s="466">
        <f>'Water-Meter'!Q13</f>
        <v>0</v>
      </c>
      <c r="O9" s="465" t="e">
        <f>K9*E9+H9*I9+#REF!*#REF!+J9*L9</f>
        <v>#REF!</v>
      </c>
      <c r="P9" s="471">
        <f>'Water-Meter'!E13</f>
        <v>0</v>
      </c>
      <c r="Q9" s="243">
        <f>IF('Water-Meter'!U13&lt;0,"0",'Water-Meter'!U13)</f>
        <v>0</v>
      </c>
      <c r="R9" s="243">
        <f>IF('Water-Meter'!X13&lt;0,"0",'Water-Meter'!X13)</f>
        <v>0</v>
      </c>
      <c r="S9" s="243">
        <f>IF('Water-Meter'!AA13&lt;0,"0",'Water-Meter'!AA13)</f>
        <v>0</v>
      </c>
      <c r="T9" s="243">
        <f>IF('Water-Meter'!AD13&lt;0,"0",'Water-Meter'!AD13)</f>
        <v>0</v>
      </c>
      <c r="U9" s="243">
        <f>IF('Water-Meter'!AG13&lt;0,"0",'Water-Meter'!AG13)</f>
        <v>0</v>
      </c>
      <c r="V9" s="243">
        <f>IF('Water-Meter'!AJ13&lt;0,"0",'Water-Meter'!AJ13)</f>
        <v>0</v>
      </c>
      <c r="W9" s="31">
        <f>'Water-Meter'!AN13</f>
        <v>0</v>
      </c>
      <c r="X9" s="482">
        <f>Total!K9</f>
        <v>0</v>
      </c>
    </row>
    <row r="10" spans="1:24">
      <c r="A10" s="467" t="s">
        <v>283</v>
      </c>
      <c r="B10" s="464">
        <f t="shared" si="0"/>
        <v>9</v>
      </c>
      <c r="C10" s="469">
        <v>11</v>
      </c>
      <c r="D10" s="470">
        <v>2020</v>
      </c>
      <c r="E10" s="465">
        <f>'UTILITY REPORT 1'!I11</f>
        <v>0</v>
      </c>
      <c r="F10" s="465">
        <f>'UTILITY REPORT 1'!E11</f>
        <v>0</v>
      </c>
      <c r="G10" s="466">
        <f>'UTILITY REPORT 1'!F11</f>
        <v>0</v>
      </c>
      <c r="H10" s="465">
        <f>IF('Kit report'!F12&lt;0,"0",'Kit report'!F12)</f>
        <v>0</v>
      </c>
      <c r="I10" s="465">
        <f>IF('Kit report'!X12&lt;0,"0",'Kit report'!X12)</f>
        <v>0</v>
      </c>
      <c r="J10" s="465">
        <f>IF('Utility summery'!H14&lt;0,"0",'Utility summery'!H14)</f>
        <v>0</v>
      </c>
      <c r="K10" s="466">
        <f>IF('UTILITY REPORT 1'!H11&lt;0,"0",'UTILITY REPORT 1'!H11)</f>
        <v>0</v>
      </c>
      <c r="L10" s="465">
        <f>'Water-Meter'!K14</f>
        <v>0</v>
      </c>
      <c r="M10" s="466">
        <f>'Water-Meter'!H14</f>
        <v>0</v>
      </c>
      <c r="N10" s="466">
        <f>'Water-Meter'!Q14</f>
        <v>0</v>
      </c>
      <c r="O10" s="465" t="e">
        <f>K10*E10+H10*I10+#REF!*#REF!+J10*L10</f>
        <v>#REF!</v>
      </c>
      <c r="P10" s="471">
        <f>'Water-Meter'!E14</f>
        <v>0</v>
      </c>
      <c r="Q10" s="243">
        <f>IF('Water-Meter'!U14&lt;0,"0",'Water-Meter'!U14)</f>
        <v>0</v>
      </c>
      <c r="R10" s="243">
        <f>IF('Water-Meter'!X14&lt;0,"0",'Water-Meter'!X14)</f>
        <v>0</v>
      </c>
      <c r="S10" s="243">
        <f>IF('Water-Meter'!AA14&lt;0,"0",'Water-Meter'!AA14)</f>
        <v>0</v>
      </c>
      <c r="T10" s="243">
        <f>IF('Water-Meter'!AD14&lt;0,"0",'Water-Meter'!AD14)</f>
        <v>0</v>
      </c>
      <c r="U10" s="243">
        <f>IF('Water-Meter'!AG14&lt;0,"0",'Water-Meter'!AG14)</f>
        <v>0</v>
      </c>
      <c r="V10" s="243">
        <f>IF('Water-Meter'!AJ14&lt;0,"0",'Water-Meter'!AJ14)</f>
        <v>0</v>
      </c>
      <c r="W10" s="31">
        <f>'Water-Meter'!AN14</f>
        <v>0</v>
      </c>
      <c r="X10" s="482">
        <f>Total!K10</f>
        <v>0</v>
      </c>
    </row>
    <row r="11" spans="1:24">
      <c r="A11" s="467" t="s">
        <v>283</v>
      </c>
      <c r="B11" s="464">
        <f t="shared" si="0"/>
        <v>10</v>
      </c>
      <c r="C11" s="469">
        <v>11</v>
      </c>
      <c r="D11" s="470">
        <v>2020</v>
      </c>
      <c r="E11" s="465">
        <f>'UTILITY REPORT 1'!I12</f>
        <v>0</v>
      </c>
      <c r="F11" s="465">
        <f>'UTILITY REPORT 1'!E12</f>
        <v>0</v>
      </c>
      <c r="G11" s="466">
        <f>'UTILITY REPORT 1'!F12</f>
        <v>0</v>
      </c>
      <c r="H11" s="465">
        <f>IF('Kit report'!F13&lt;0,"0",'Kit report'!F13)</f>
        <v>0</v>
      </c>
      <c r="I11" s="465">
        <f>IF('Kit report'!X13&lt;0,"0",'Kit report'!X13)</f>
        <v>0</v>
      </c>
      <c r="J11" s="465">
        <f>IF('Utility summery'!H15&lt;0,"0",'Utility summery'!H15)</f>
        <v>0</v>
      </c>
      <c r="K11" s="466">
        <f>IF('UTILITY REPORT 1'!H12&lt;0,"0",'UTILITY REPORT 1'!H12)</f>
        <v>0</v>
      </c>
      <c r="L11" s="465">
        <f>'Water-Meter'!K15</f>
        <v>0</v>
      </c>
      <c r="M11" s="466">
        <f>'Water-Meter'!H15</f>
        <v>0</v>
      </c>
      <c r="N11" s="466">
        <f>'Water-Meter'!Q15</f>
        <v>0</v>
      </c>
      <c r="O11" s="465" t="e">
        <f>K11*E11+H11*I11+#REF!*#REF!+J11*L11</f>
        <v>#REF!</v>
      </c>
      <c r="P11" s="471">
        <f>'Water-Meter'!E15</f>
        <v>0</v>
      </c>
      <c r="Q11" s="243">
        <f>IF('Water-Meter'!U15&lt;0,"0",'Water-Meter'!U15)</f>
        <v>0</v>
      </c>
      <c r="R11" s="243">
        <f>IF('Water-Meter'!X15&lt;0,"0",'Water-Meter'!X15)</f>
        <v>0</v>
      </c>
      <c r="S11" s="243">
        <f>IF('Water-Meter'!AA15&lt;0,"0",'Water-Meter'!AA15)</f>
        <v>0</v>
      </c>
      <c r="T11" s="243">
        <f>IF('Water-Meter'!AD15&lt;0,"0",'Water-Meter'!AD15)</f>
        <v>0</v>
      </c>
      <c r="U11" s="243">
        <f>IF('Water-Meter'!AG15&lt;0,"0",'Water-Meter'!AG15)</f>
        <v>0</v>
      </c>
      <c r="V11" s="243">
        <f>IF('Water-Meter'!AJ15&lt;0,"0",'Water-Meter'!AJ15)</f>
        <v>0</v>
      </c>
      <c r="W11" s="31">
        <f>'Water-Meter'!AN15</f>
        <v>0</v>
      </c>
      <c r="X11" s="482">
        <f>Total!K11</f>
        <v>0</v>
      </c>
    </row>
    <row r="12" spans="1:24">
      <c r="A12" s="467" t="s">
        <v>283</v>
      </c>
      <c r="B12" s="464">
        <f t="shared" si="0"/>
        <v>11</v>
      </c>
      <c r="C12" s="469">
        <v>11</v>
      </c>
      <c r="D12" s="470">
        <v>2020</v>
      </c>
      <c r="E12" s="465">
        <f>'UTILITY REPORT 1'!I13</f>
        <v>0</v>
      </c>
      <c r="F12" s="465">
        <f>'UTILITY REPORT 1'!E13</f>
        <v>0</v>
      </c>
      <c r="G12" s="466">
        <f>'UTILITY REPORT 1'!F13</f>
        <v>0</v>
      </c>
      <c r="H12" s="465">
        <f>IF('Kit report'!F14&lt;0,"0",'Kit report'!F14)</f>
        <v>0</v>
      </c>
      <c r="I12" s="465">
        <f>IF('Kit report'!X14&lt;0,"0",'Kit report'!X14)</f>
        <v>0</v>
      </c>
      <c r="J12" s="465">
        <f>IF('Utility summery'!H16&lt;0,"0",'Utility summery'!H16)</f>
        <v>0</v>
      </c>
      <c r="K12" s="466">
        <f>IF('UTILITY REPORT 1'!H13&lt;0,"0",'UTILITY REPORT 1'!H13)</f>
        <v>0</v>
      </c>
      <c r="L12" s="465">
        <f>'Water-Meter'!K16</f>
        <v>0</v>
      </c>
      <c r="M12" s="466">
        <f>'Water-Meter'!H16</f>
        <v>0</v>
      </c>
      <c r="N12" s="466">
        <f>'Water-Meter'!Q16</f>
        <v>0</v>
      </c>
      <c r="O12" s="465" t="e">
        <f>K12*E12+H12*I12+#REF!*#REF!+J12*L12</f>
        <v>#REF!</v>
      </c>
      <c r="P12" s="471">
        <f>'Water-Meter'!E16</f>
        <v>0</v>
      </c>
      <c r="Q12" s="243">
        <f>IF('Water-Meter'!U16&lt;0,"0",'Water-Meter'!U16)</f>
        <v>0</v>
      </c>
      <c r="R12" s="243">
        <f>IF('Water-Meter'!X16&lt;0,"0",'Water-Meter'!X16)</f>
        <v>0</v>
      </c>
      <c r="S12" s="243">
        <f>IF('Water-Meter'!AA16&lt;0,"0",'Water-Meter'!AA16)</f>
        <v>0</v>
      </c>
      <c r="T12" s="243">
        <f>IF('Water-Meter'!AD16&lt;0,"0",'Water-Meter'!AD16)</f>
        <v>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0</v>
      </c>
      <c r="X12" s="482">
        <f>Total!K12</f>
        <v>0</v>
      </c>
    </row>
    <row r="13" spans="1:24">
      <c r="A13" s="467" t="s">
        <v>283</v>
      </c>
      <c r="B13" s="464">
        <f t="shared" si="0"/>
        <v>12</v>
      </c>
      <c r="C13" s="469">
        <v>11</v>
      </c>
      <c r="D13" s="470">
        <v>2020</v>
      </c>
      <c r="E13" s="465">
        <f>'UTILITY REPORT 1'!I14</f>
        <v>0</v>
      </c>
      <c r="F13" s="465">
        <f>'UTILITY REPORT 1'!E14</f>
        <v>0</v>
      </c>
      <c r="G13" s="466">
        <f>'UTILITY REPORT 1'!F14</f>
        <v>0</v>
      </c>
      <c r="H13" s="465">
        <f>IF('Kit report'!F15&lt;0,"0",'Kit report'!F15)</f>
        <v>0</v>
      </c>
      <c r="I13" s="465">
        <f>IF('Kit report'!X15&lt;0,"0",'Kit report'!X15)</f>
        <v>0</v>
      </c>
      <c r="J13" s="465">
        <f>IF('Utility summery'!H17&lt;0,"0",'Utility summery'!H17)</f>
        <v>0</v>
      </c>
      <c r="K13" s="466">
        <f>IF('UTILITY REPORT 1'!H14&lt;0,"0",'UTILITY REPORT 1'!H14)</f>
        <v>0</v>
      </c>
      <c r="L13" s="465">
        <f>'Water-Meter'!K17</f>
        <v>0</v>
      </c>
      <c r="M13" s="466">
        <f>'Water-Meter'!H17</f>
        <v>0</v>
      </c>
      <c r="N13" s="466">
        <f>'Water-Meter'!Q17</f>
        <v>0</v>
      </c>
      <c r="O13" s="465" t="e">
        <f>K13*E13+H13*I13+#REF!*#REF!+J13*L13</f>
        <v>#REF!</v>
      </c>
      <c r="P13" s="471">
        <f>'Water-Meter'!E17</f>
        <v>0</v>
      </c>
      <c r="Q13" s="243">
        <f>IF('Water-Meter'!U17&lt;0,"0",'Water-Meter'!U17)</f>
        <v>0</v>
      </c>
      <c r="R13" s="243">
        <f>IF('Water-Meter'!X17&lt;0,"0",'Water-Meter'!X17)</f>
        <v>0</v>
      </c>
      <c r="S13" s="243">
        <f>IF('Water-Meter'!AA17&lt;0,"0",'Water-Meter'!AA17)</f>
        <v>0</v>
      </c>
      <c r="T13" s="243">
        <f>IF('Water-Meter'!AD17&lt;0,"0",'Water-Meter'!AD17)</f>
        <v>0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0</v>
      </c>
      <c r="X13" s="482">
        <f>Total!K13</f>
        <v>0</v>
      </c>
    </row>
    <row r="14" spans="1:24">
      <c r="A14" s="467" t="s">
        <v>283</v>
      </c>
      <c r="B14" s="464">
        <f t="shared" si="0"/>
        <v>13</v>
      </c>
      <c r="C14" s="469">
        <v>11</v>
      </c>
      <c r="D14" s="470">
        <v>2020</v>
      </c>
      <c r="E14" s="465">
        <f>'UTILITY REPORT 1'!I15</f>
        <v>0</v>
      </c>
      <c r="F14" s="465">
        <f>'UTILITY REPORT 1'!E15</f>
        <v>0</v>
      </c>
      <c r="G14" s="466">
        <f>'UTILITY REPORT 1'!F15</f>
        <v>0</v>
      </c>
      <c r="H14" s="465">
        <f>IF('Kit report'!F16&lt;0,"0",'Kit report'!F16)</f>
        <v>0</v>
      </c>
      <c r="I14" s="465">
        <f>IF('Kit report'!X16&lt;0,"0",'Kit report'!X16)</f>
        <v>0</v>
      </c>
      <c r="J14" s="465">
        <f>IF('Utility summery'!H18&lt;0,"0",'Utility summery'!H18)</f>
        <v>0</v>
      </c>
      <c r="K14" s="466">
        <f>IF('UTILITY REPORT 1'!H15&lt;0,"0",'UTILITY REPORT 1'!H15)</f>
        <v>0</v>
      </c>
      <c r="L14" s="465">
        <f>'Water-Meter'!K18</f>
        <v>0</v>
      </c>
      <c r="M14" s="466">
        <f>'Water-Meter'!H18</f>
        <v>0</v>
      </c>
      <c r="N14" s="466">
        <f>'Water-Meter'!Q18</f>
        <v>0</v>
      </c>
      <c r="O14" s="465" t="e">
        <f>K14*E14+H14*I14+#REF!*#REF!+J14*L14</f>
        <v>#REF!</v>
      </c>
      <c r="P14" s="471">
        <f>'Water-Meter'!E18</f>
        <v>0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0</v>
      </c>
      <c r="T14" s="243">
        <f>IF('Water-Meter'!AD18&lt;0,"0",'Water-Meter'!AD18)</f>
        <v>0</v>
      </c>
      <c r="U14" s="243">
        <f>IF('Water-Meter'!AG18&lt;0,"0",'Water-Meter'!AG18)</f>
        <v>0</v>
      </c>
      <c r="V14" s="243">
        <f>IF('Water-Meter'!AJ18&lt;0,"0",'Water-Meter'!AJ18)</f>
        <v>0</v>
      </c>
      <c r="W14" s="31">
        <f>'Water-Meter'!AN18</f>
        <v>0</v>
      </c>
      <c r="X14" s="482">
        <f>Total!K14</f>
        <v>0</v>
      </c>
    </row>
    <row r="15" spans="1:24">
      <c r="A15" s="467" t="s">
        <v>283</v>
      </c>
      <c r="B15" s="464">
        <f t="shared" si="0"/>
        <v>14</v>
      </c>
      <c r="C15" s="469">
        <v>11</v>
      </c>
      <c r="D15" s="470">
        <v>2020</v>
      </c>
      <c r="E15" s="465">
        <f>'UTILITY REPORT 1'!I16</f>
        <v>0</v>
      </c>
      <c r="F15" s="465">
        <f>'UTILITY REPORT 1'!E16</f>
        <v>0</v>
      </c>
      <c r="G15" s="466">
        <f>'UTILITY REPORT 1'!F16</f>
        <v>0</v>
      </c>
      <c r="H15" s="465">
        <f>IF('Kit report'!F17&lt;0,"0",'Kit report'!F17)</f>
        <v>0</v>
      </c>
      <c r="I15" s="465">
        <f>IF('Kit report'!X17&lt;0,"0",'Kit report'!X17)</f>
        <v>0</v>
      </c>
      <c r="J15" s="465">
        <f>IF('Utility summery'!H19&lt;0,"0",'Utility summery'!H19)</f>
        <v>0</v>
      </c>
      <c r="K15" s="466">
        <f>IF('UTILITY REPORT 1'!H16&lt;0,"0",'UTILITY REPORT 1'!H16)</f>
        <v>0</v>
      </c>
      <c r="L15" s="465">
        <f>'Water-Meter'!K19</f>
        <v>0</v>
      </c>
      <c r="M15" s="466">
        <f>'Water-Meter'!H19</f>
        <v>0</v>
      </c>
      <c r="N15" s="466">
        <f>'Water-Meter'!Q19</f>
        <v>0</v>
      </c>
      <c r="O15" s="465" t="e">
        <f>K15*E15+H15*I15+#REF!*#REF!+J15*L15</f>
        <v>#REF!</v>
      </c>
      <c r="P15" s="471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82">
        <f>Total!K15</f>
        <v>0</v>
      </c>
    </row>
    <row r="16" spans="1:24">
      <c r="A16" s="467" t="s">
        <v>283</v>
      </c>
      <c r="B16" s="464">
        <f t="shared" si="0"/>
        <v>15</v>
      </c>
      <c r="C16" s="469">
        <v>11</v>
      </c>
      <c r="D16" s="470">
        <v>2020</v>
      </c>
      <c r="E16" s="465">
        <f>'UTILITY REPORT 1'!I17</f>
        <v>0</v>
      </c>
      <c r="F16" s="465">
        <f>'UTILITY REPORT 1'!E17</f>
        <v>0</v>
      </c>
      <c r="G16" s="466">
        <f>'UTILITY REPORT 1'!F17</f>
        <v>0</v>
      </c>
      <c r="H16" s="465">
        <f>IF('Kit report'!F18&lt;0,"0",'Kit report'!F18)</f>
        <v>0</v>
      </c>
      <c r="I16" s="465">
        <f>IF('Kit report'!X18&lt;0,"0",'Kit report'!X18)</f>
        <v>0</v>
      </c>
      <c r="J16" s="465">
        <f>IF('Utility summery'!H20&lt;0,"0",'Utility summery'!H20)</f>
        <v>0</v>
      </c>
      <c r="K16" s="466">
        <f>IF('UTILITY REPORT 1'!H17&lt;0,"0",'UTILITY REPORT 1'!H17)</f>
        <v>0</v>
      </c>
      <c r="L16" s="465">
        <f>'Water-Meter'!K20</f>
        <v>0</v>
      </c>
      <c r="M16" s="466">
        <f>'Water-Meter'!H20</f>
        <v>0</v>
      </c>
      <c r="N16" s="466">
        <f>'Water-Meter'!Q20</f>
        <v>0</v>
      </c>
      <c r="O16" s="465" t="e">
        <f>K16*E16+H16*I16+#REF!*#REF!+J16*L16</f>
        <v>#REF!</v>
      </c>
      <c r="P16" s="471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82">
        <f>Total!K16</f>
        <v>0</v>
      </c>
    </row>
    <row r="17" spans="1:24">
      <c r="A17" s="467" t="s">
        <v>283</v>
      </c>
      <c r="B17" s="464">
        <f t="shared" si="0"/>
        <v>16</v>
      </c>
      <c r="C17" s="469">
        <v>11</v>
      </c>
      <c r="D17" s="470">
        <v>2020</v>
      </c>
      <c r="E17" s="465">
        <f>'UTILITY REPORT 1'!I18</f>
        <v>0</v>
      </c>
      <c r="F17" s="465">
        <f>'UTILITY REPORT 1'!E18</f>
        <v>0</v>
      </c>
      <c r="G17" s="466">
        <f>'UTILITY REPORT 1'!F18</f>
        <v>0</v>
      </c>
      <c r="H17" s="465">
        <f>IF('Kit report'!F19&lt;0,"0",'Kit report'!F19)</f>
        <v>0</v>
      </c>
      <c r="I17" s="465">
        <f>IF('Kit report'!X19&lt;0,"0",'Kit report'!X19)</f>
        <v>0</v>
      </c>
      <c r="J17" s="465">
        <f>IF('Utility summery'!H21&lt;0,"0",'Utility summery'!H21)</f>
        <v>0</v>
      </c>
      <c r="K17" s="466">
        <f>IF('UTILITY REPORT 1'!H18&lt;0,"0",'UTILITY REPORT 1'!H18)</f>
        <v>0</v>
      </c>
      <c r="L17" s="465">
        <f>'Water-Meter'!K21</f>
        <v>0</v>
      </c>
      <c r="M17" s="466">
        <f>'Water-Meter'!H21</f>
        <v>0</v>
      </c>
      <c r="N17" s="466">
        <f>'Water-Meter'!Q21</f>
        <v>0</v>
      </c>
      <c r="O17" s="465" t="e">
        <f>K17*E17+H17*I17+#REF!*#REF!+J17*L17</f>
        <v>#REF!</v>
      </c>
      <c r="P17" s="471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82">
        <f>Total!K17</f>
        <v>0</v>
      </c>
    </row>
    <row r="18" spans="1:24">
      <c r="A18" s="467" t="s">
        <v>283</v>
      </c>
      <c r="B18" s="464">
        <f t="shared" si="0"/>
        <v>17</v>
      </c>
      <c r="C18" s="469">
        <v>11</v>
      </c>
      <c r="D18" s="470">
        <v>2020</v>
      </c>
      <c r="E18" s="465">
        <f>'UTILITY REPORT 1'!I19</f>
        <v>0</v>
      </c>
      <c r="F18" s="465">
        <f>'UTILITY REPORT 1'!E19</f>
        <v>0</v>
      </c>
      <c r="G18" s="466">
        <f>'UTILITY REPORT 1'!F19</f>
        <v>0</v>
      </c>
      <c r="H18" s="465">
        <f>IF('Kit report'!F20&lt;0,"0",'Kit report'!F20)</f>
        <v>0</v>
      </c>
      <c r="I18" s="465">
        <f>IF('Kit report'!X20&lt;0,"0",'Kit report'!X20)</f>
        <v>0</v>
      </c>
      <c r="J18" s="465">
        <f>IF('Utility summery'!H22&lt;0,"0",'Utility summery'!H22)</f>
        <v>0</v>
      </c>
      <c r="K18" s="466">
        <f>IF('UTILITY REPORT 1'!H19&lt;0,"0",'UTILITY REPORT 1'!H19)</f>
        <v>0</v>
      </c>
      <c r="L18" s="465">
        <f>'Water-Meter'!K22</f>
        <v>0</v>
      </c>
      <c r="M18" s="466">
        <f>'Water-Meter'!H22</f>
        <v>0</v>
      </c>
      <c r="N18" s="466">
        <f>'Water-Meter'!Q22</f>
        <v>0</v>
      </c>
      <c r="O18" s="465" t="e">
        <f>K18*E18+H18*I18+#REF!*#REF!+J18*L18</f>
        <v>#REF!</v>
      </c>
      <c r="P18" s="471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82">
        <f>Total!K18</f>
        <v>0</v>
      </c>
    </row>
    <row r="19" spans="1:24">
      <c r="A19" s="467" t="s">
        <v>283</v>
      </c>
      <c r="B19" s="464">
        <f t="shared" si="0"/>
        <v>18</v>
      </c>
      <c r="C19" s="469">
        <v>11</v>
      </c>
      <c r="D19" s="470">
        <v>2020</v>
      </c>
      <c r="E19" s="465">
        <f>'UTILITY REPORT 1'!I20</f>
        <v>0</v>
      </c>
      <c r="F19" s="465">
        <f>'UTILITY REPORT 1'!E20</f>
        <v>0</v>
      </c>
      <c r="G19" s="466">
        <f>'UTILITY REPORT 1'!F20</f>
        <v>0</v>
      </c>
      <c r="H19" s="465">
        <f>IF('Kit report'!F21&lt;0,"0",'Kit report'!F21)</f>
        <v>0</v>
      </c>
      <c r="I19" s="465">
        <f>IF('Kit report'!X21&lt;0,"0",'Kit report'!X21)</f>
        <v>0</v>
      </c>
      <c r="J19" s="465">
        <f>IF('Utility summery'!H23&lt;0,"0",'Utility summery'!H23)</f>
        <v>0</v>
      </c>
      <c r="K19" s="466">
        <f>IF('UTILITY REPORT 1'!H20&lt;0,"0",'UTILITY REPORT 1'!H20)</f>
        <v>0</v>
      </c>
      <c r="L19" s="465">
        <f>'Water-Meter'!K23</f>
        <v>0</v>
      </c>
      <c r="M19" s="466">
        <f>'Water-Meter'!H23</f>
        <v>0</v>
      </c>
      <c r="N19" s="466">
        <f>'Water-Meter'!Q23</f>
        <v>0</v>
      </c>
      <c r="O19" s="465" t="e">
        <f>K19*E19+H19*I19+#REF!*#REF!+J19*L19</f>
        <v>#REF!</v>
      </c>
      <c r="P19" s="471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82">
        <f>Total!K19</f>
        <v>0</v>
      </c>
    </row>
    <row r="20" spans="1:24">
      <c r="A20" s="467" t="s">
        <v>283</v>
      </c>
      <c r="B20" s="464">
        <f t="shared" si="0"/>
        <v>19</v>
      </c>
      <c r="C20" s="469">
        <v>11</v>
      </c>
      <c r="D20" s="470">
        <v>2020</v>
      </c>
      <c r="E20" s="465">
        <f>'UTILITY REPORT 1'!I21</f>
        <v>0</v>
      </c>
      <c r="F20" s="465">
        <f>'UTILITY REPORT 1'!E21</f>
        <v>0</v>
      </c>
      <c r="G20" s="466">
        <f>'UTILITY REPORT 1'!F21</f>
        <v>0</v>
      </c>
      <c r="H20" s="465">
        <f>IF('Kit report'!F22&lt;0,"0",'Kit report'!F22)</f>
        <v>0</v>
      </c>
      <c r="I20" s="465">
        <f>IF('Kit report'!X22&lt;0,"0",'Kit report'!X22)</f>
        <v>0</v>
      </c>
      <c r="J20" s="465">
        <f>IF('Utility summery'!H24&lt;0,"0",'Utility summery'!H24)</f>
        <v>0</v>
      </c>
      <c r="K20" s="466">
        <f>IF('UTILITY REPORT 1'!H21&lt;0,"0",'UTILITY REPORT 1'!H21)</f>
        <v>0</v>
      </c>
      <c r="L20" s="465">
        <f>'Water-Meter'!K24</f>
        <v>0</v>
      </c>
      <c r="M20" s="466">
        <f>'Water-Meter'!H24</f>
        <v>0</v>
      </c>
      <c r="N20" s="466">
        <f>'Water-Meter'!Q24</f>
        <v>0</v>
      </c>
      <c r="O20" s="465" t="e">
        <f>K20*E20+H20*I20+#REF!*#REF!+J20*L20</f>
        <v>#REF!</v>
      </c>
      <c r="P20" s="471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2">
        <f>Total!K20</f>
        <v>0</v>
      </c>
    </row>
    <row r="21" spans="1:24">
      <c r="A21" s="467" t="s">
        <v>283</v>
      </c>
      <c r="B21" s="464">
        <f t="shared" si="0"/>
        <v>20</v>
      </c>
      <c r="C21" s="469">
        <v>11</v>
      </c>
      <c r="D21" s="470">
        <v>2020</v>
      </c>
      <c r="E21" s="465">
        <f>'UTILITY REPORT 1'!I22</f>
        <v>0</v>
      </c>
      <c r="F21" s="465">
        <f>'UTILITY REPORT 1'!E22</f>
        <v>0</v>
      </c>
      <c r="G21" s="466">
        <f>'UTILITY REPORT 1'!F22</f>
        <v>0</v>
      </c>
      <c r="H21" s="465">
        <f>IF('Kit report'!F23&lt;0,"0",'Kit report'!F23)</f>
        <v>0</v>
      </c>
      <c r="I21" s="465">
        <f>IF('Kit report'!X23&lt;0,"0",'Kit report'!X23)</f>
        <v>0</v>
      </c>
      <c r="J21" s="465">
        <f>IF('Utility summery'!H25&lt;0,"0",'Utility summery'!H25)</f>
        <v>0</v>
      </c>
      <c r="K21" s="466">
        <f>IF('UTILITY REPORT 1'!H22&lt;0,"0",'UTILITY REPORT 1'!H22)</f>
        <v>0</v>
      </c>
      <c r="L21" s="465">
        <f>'Water-Meter'!K25</f>
        <v>0</v>
      </c>
      <c r="M21" s="466">
        <f>'Water-Meter'!H25</f>
        <v>0</v>
      </c>
      <c r="N21" s="466">
        <f>'Water-Meter'!Q25</f>
        <v>0</v>
      </c>
      <c r="O21" s="465" t="e">
        <f>K21*E21+H21*I21+#REF!*#REF!+J21*L21</f>
        <v>#REF!</v>
      </c>
      <c r="P21" s="471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2">
        <f>Total!K21</f>
        <v>0</v>
      </c>
    </row>
    <row r="22" spans="1:24">
      <c r="A22" s="467" t="s">
        <v>283</v>
      </c>
      <c r="B22" s="464">
        <f t="shared" si="0"/>
        <v>21</v>
      </c>
      <c r="C22" s="469">
        <v>11</v>
      </c>
      <c r="D22" s="470">
        <v>2020</v>
      </c>
      <c r="E22" s="465">
        <f>'UTILITY REPORT 1'!I23</f>
        <v>0</v>
      </c>
      <c r="F22" s="465">
        <f>'UTILITY REPORT 1'!E23</f>
        <v>0</v>
      </c>
      <c r="G22" s="466">
        <f>'UTILITY REPORT 1'!F23</f>
        <v>0</v>
      </c>
      <c r="H22" s="465">
        <f>IF('Kit report'!F24&lt;0,"0",'Kit report'!F24)</f>
        <v>0</v>
      </c>
      <c r="I22" s="465">
        <f>IF('Kit report'!X24&lt;0,"0",'Kit report'!X24)</f>
        <v>0</v>
      </c>
      <c r="J22" s="465">
        <f>IF('Utility summery'!H26&lt;0,"0",'Utility summery'!H26)</f>
        <v>0</v>
      </c>
      <c r="K22" s="466">
        <f>IF('UTILITY REPORT 1'!H23&lt;0,"0",'UTILITY REPORT 1'!H23)</f>
        <v>0</v>
      </c>
      <c r="L22" s="465">
        <f>'Water-Meter'!K26</f>
        <v>0</v>
      </c>
      <c r="M22" s="466">
        <f>'Water-Meter'!H26</f>
        <v>0</v>
      </c>
      <c r="N22" s="466">
        <f>'Water-Meter'!Q26</f>
        <v>0</v>
      </c>
      <c r="O22" s="465" t="e">
        <f>K22*E22+H22*I22+#REF!*#REF!+J22*L22</f>
        <v>#REF!</v>
      </c>
      <c r="P22" s="471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2">
        <f>Total!K22</f>
        <v>0</v>
      </c>
    </row>
    <row r="23" spans="1:24">
      <c r="A23" s="467" t="s">
        <v>283</v>
      </c>
      <c r="B23" s="464">
        <f t="shared" si="0"/>
        <v>22</v>
      </c>
      <c r="C23" s="469">
        <v>11</v>
      </c>
      <c r="D23" s="470">
        <v>2020</v>
      </c>
      <c r="E23" s="465">
        <f>'UTILITY REPORT 1'!I24</f>
        <v>0</v>
      </c>
      <c r="F23" s="465">
        <f>'UTILITY REPORT 1'!E24</f>
        <v>0</v>
      </c>
      <c r="G23" s="466">
        <f>'UTILITY REPORT 1'!F24</f>
        <v>0</v>
      </c>
      <c r="H23" s="465">
        <f>IF('Kit report'!F25&lt;0,"0",'Kit report'!F25)</f>
        <v>0</v>
      </c>
      <c r="I23" s="465">
        <f>IF('Kit report'!X25&lt;0,"0",'Kit report'!X25)</f>
        <v>0</v>
      </c>
      <c r="J23" s="465">
        <f>IF('Utility summery'!H27&lt;0,"0",'Utility summery'!H27)</f>
        <v>0</v>
      </c>
      <c r="K23" s="466">
        <f>IF('UTILITY REPORT 1'!H24&lt;0,"0",'UTILITY REPORT 1'!H24)</f>
        <v>0</v>
      </c>
      <c r="L23" s="465">
        <f>'Water-Meter'!K27</f>
        <v>0</v>
      </c>
      <c r="M23" s="466">
        <f>'Water-Meter'!H27</f>
        <v>0</v>
      </c>
      <c r="N23" s="466">
        <f>'Water-Meter'!Q27</f>
        <v>0</v>
      </c>
      <c r="O23" s="465" t="e">
        <f>K23*E23+H23*I23+#REF!*#REF!+J23*L23</f>
        <v>#REF!</v>
      </c>
      <c r="P23" s="471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2">
        <f>Total!K23</f>
        <v>0</v>
      </c>
    </row>
    <row r="24" spans="1:24">
      <c r="A24" s="467" t="s">
        <v>283</v>
      </c>
      <c r="B24" s="464">
        <f t="shared" si="0"/>
        <v>23</v>
      </c>
      <c r="C24" s="469">
        <v>11</v>
      </c>
      <c r="D24" s="470">
        <v>2020</v>
      </c>
      <c r="E24" s="465">
        <f>'UTILITY REPORT 1'!I25</f>
        <v>0</v>
      </c>
      <c r="F24" s="465">
        <f>'UTILITY REPORT 1'!E25</f>
        <v>0</v>
      </c>
      <c r="G24" s="466">
        <f>'UTILITY REPORT 1'!F25</f>
        <v>0</v>
      </c>
      <c r="H24" s="465">
        <f>IF('Kit report'!F26&lt;0,"0",'Kit report'!F26)</f>
        <v>0</v>
      </c>
      <c r="I24" s="465">
        <f>IF('Kit report'!X26&lt;0,"0",'Kit report'!X26)</f>
        <v>0</v>
      </c>
      <c r="J24" s="465">
        <f>IF('Utility summery'!H28&lt;0,"0",'Utility summery'!H28)</f>
        <v>0</v>
      </c>
      <c r="K24" s="466">
        <f>IF('UTILITY REPORT 1'!H25&lt;0,"0",'UTILITY REPORT 1'!H25)</f>
        <v>0</v>
      </c>
      <c r="L24" s="465">
        <f>'Water-Meter'!K28</f>
        <v>0</v>
      </c>
      <c r="M24" s="466">
        <f>'Water-Meter'!H28</f>
        <v>0</v>
      </c>
      <c r="N24" s="466">
        <f>'Water-Meter'!Q28</f>
        <v>0</v>
      </c>
      <c r="O24" s="465" t="e">
        <f>K24*E24+H24*I24+#REF!*#REF!+J24*L24</f>
        <v>#REF!</v>
      </c>
      <c r="P24" s="471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2">
        <f>Total!K24</f>
        <v>0</v>
      </c>
    </row>
    <row r="25" spans="1:24">
      <c r="A25" s="467" t="s">
        <v>283</v>
      </c>
      <c r="B25" s="464">
        <f t="shared" si="0"/>
        <v>24</v>
      </c>
      <c r="C25" s="469">
        <v>11</v>
      </c>
      <c r="D25" s="470">
        <v>2020</v>
      </c>
      <c r="E25" s="465">
        <f>'UTILITY REPORT 1'!I26</f>
        <v>0</v>
      </c>
      <c r="F25" s="465">
        <f>'UTILITY REPORT 1'!E26</f>
        <v>0</v>
      </c>
      <c r="G25" s="466">
        <f>'UTILITY REPORT 1'!F26</f>
        <v>0</v>
      </c>
      <c r="H25" s="465">
        <f>IF('Kit report'!F27&lt;0,"0",'Kit report'!F27)</f>
        <v>0</v>
      </c>
      <c r="I25" s="465">
        <f>IF('Kit report'!X27&lt;0,"0",'Kit report'!X27)</f>
        <v>0</v>
      </c>
      <c r="J25" s="465">
        <f>IF('Utility summery'!H29&lt;0,"0",'Utility summery'!H29)</f>
        <v>0</v>
      </c>
      <c r="K25" s="466">
        <f>IF('UTILITY REPORT 1'!H26&lt;0,"0",'UTILITY REPORT 1'!H26)</f>
        <v>0</v>
      </c>
      <c r="L25" s="465">
        <f>'Water-Meter'!K29</f>
        <v>0</v>
      </c>
      <c r="M25" s="466">
        <f>'Water-Meter'!H29</f>
        <v>0</v>
      </c>
      <c r="N25" s="466">
        <f>'Water-Meter'!Q29</f>
        <v>0</v>
      </c>
      <c r="O25" s="465" t="e">
        <f>K25*E25+H25*I25+#REF!*#REF!+J25*L25</f>
        <v>#REF!</v>
      </c>
      <c r="P25" s="471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2">
        <f>Total!K25</f>
        <v>0</v>
      </c>
    </row>
    <row r="26" spans="1:24">
      <c r="A26" s="467" t="s">
        <v>283</v>
      </c>
      <c r="B26" s="464">
        <f>B25+1</f>
        <v>25</v>
      </c>
      <c r="C26" s="469">
        <v>11</v>
      </c>
      <c r="D26" s="470">
        <v>2020</v>
      </c>
      <c r="E26" s="465">
        <f>'UTILITY REPORT 1'!I27</f>
        <v>0</v>
      </c>
      <c r="F26" s="465">
        <f>'UTILITY REPORT 1'!E27</f>
        <v>0</v>
      </c>
      <c r="G26" s="466">
        <f>'UTILITY REPORT 1'!F27</f>
        <v>0</v>
      </c>
      <c r="H26" s="465">
        <f>IF('Kit report'!F28&lt;0,"0",'Kit report'!F28)</f>
        <v>0</v>
      </c>
      <c r="I26" s="465">
        <f>IF('Kit report'!X28&lt;0,"0",'Kit report'!X28)</f>
        <v>0</v>
      </c>
      <c r="J26" s="465">
        <f>IF('Utility summery'!H30&lt;0,"0",'Utility summery'!H30)</f>
        <v>0</v>
      </c>
      <c r="K26" s="466">
        <f>IF('UTILITY REPORT 1'!H27&lt;0,"0",'UTILITY REPORT 1'!H27)</f>
        <v>0</v>
      </c>
      <c r="L26" s="465">
        <f>'Water-Meter'!K30</f>
        <v>0</v>
      </c>
      <c r="M26" s="466">
        <f>'Water-Meter'!H30</f>
        <v>0</v>
      </c>
      <c r="N26" s="466">
        <f>'Water-Meter'!Q30</f>
        <v>0</v>
      </c>
      <c r="O26" s="465" t="e">
        <f>K26*E26+H26*I26+#REF!*#REF!+J26*L26</f>
        <v>#REF!</v>
      </c>
      <c r="P26" s="471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2">
        <f>Total!K26</f>
        <v>0</v>
      </c>
    </row>
    <row r="27" spans="1:24">
      <c r="A27" s="467" t="s">
        <v>283</v>
      </c>
      <c r="B27" s="464">
        <f t="shared" si="0"/>
        <v>26</v>
      </c>
      <c r="C27" s="469">
        <v>11</v>
      </c>
      <c r="D27" s="470">
        <v>2020</v>
      </c>
      <c r="E27" s="465">
        <f>'UTILITY REPORT 1'!I28</f>
        <v>0</v>
      </c>
      <c r="F27" s="465">
        <f>'UTILITY REPORT 1'!E28</f>
        <v>0</v>
      </c>
      <c r="G27" s="466">
        <f>'UTILITY REPORT 1'!F28</f>
        <v>0</v>
      </c>
      <c r="H27" s="465">
        <f>IF('Kit report'!F29&lt;0,"0",'Kit report'!F29)</f>
        <v>0</v>
      </c>
      <c r="I27" s="465">
        <f>IF('Kit report'!X29&lt;0,"0",'Kit report'!X29)</f>
        <v>0</v>
      </c>
      <c r="J27" s="465">
        <f>IF('Utility summery'!H31&lt;0,"0",'Utility summery'!H31)</f>
        <v>0</v>
      </c>
      <c r="K27" s="466">
        <f>IF('UTILITY REPORT 1'!H28&lt;0,"0",'UTILITY REPORT 1'!H28)</f>
        <v>0</v>
      </c>
      <c r="L27" s="465">
        <f>'Water-Meter'!K31</f>
        <v>0</v>
      </c>
      <c r="M27" s="466">
        <f>'Water-Meter'!H31</f>
        <v>0</v>
      </c>
      <c r="N27" s="466">
        <f>'Water-Meter'!Q31</f>
        <v>0</v>
      </c>
      <c r="O27" s="465" t="e">
        <f>K27*E27+H27*I27+#REF!*#REF!+J27*L27</f>
        <v>#REF!</v>
      </c>
      <c r="P27" s="471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2">
        <f>Total!K27</f>
        <v>0</v>
      </c>
    </row>
    <row r="28" spans="1:24">
      <c r="A28" s="467" t="s">
        <v>283</v>
      </c>
      <c r="B28" s="464">
        <f t="shared" si="0"/>
        <v>27</v>
      </c>
      <c r="C28" s="469">
        <v>11</v>
      </c>
      <c r="D28" s="470">
        <v>2020</v>
      </c>
      <c r="E28" s="465">
        <f>'UTILITY REPORT 1'!I29</f>
        <v>0</v>
      </c>
      <c r="F28" s="465">
        <f>'UTILITY REPORT 1'!E29</f>
        <v>0</v>
      </c>
      <c r="G28" s="466">
        <f>'UTILITY REPORT 1'!F29</f>
        <v>0</v>
      </c>
      <c r="H28" s="465">
        <f>IF('Kit report'!F30&lt;0,"0",'Kit report'!F30)</f>
        <v>0</v>
      </c>
      <c r="I28" s="465">
        <f>IF('Kit report'!X30&lt;0,"0",'Kit report'!X30)</f>
        <v>0</v>
      </c>
      <c r="J28" s="465">
        <f>IF('Utility summery'!H32&lt;0,"0",'Utility summery'!H32)</f>
        <v>0</v>
      </c>
      <c r="K28" s="466">
        <f>IF('UTILITY REPORT 1'!H29&lt;0,"0",'UTILITY REPORT 1'!H29)</f>
        <v>0</v>
      </c>
      <c r="L28" s="465">
        <f>'Water-Meter'!K32</f>
        <v>0</v>
      </c>
      <c r="M28" s="466">
        <f>'Water-Meter'!H32</f>
        <v>0</v>
      </c>
      <c r="N28" s="466">
        <f>'Water-Meter'!Q32</f>
        <v>0</v>
      </c>
      <c r="O28" s="465" t="e">
        <f>K28*E28+H28*I28+#REF!*#REF!+J28*L28</f>
        <v>#REF!</v>
      </c>
      <c r="P28" s="471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2">
        <f>Total!K28</f>
        <v>0</v>
      </c>
    </row>
    <row r="29" spans="1:24">
      <c r="A29" s="467" t="s">
        <v>283</v>
      </c>
      <c r="B29" s="464">
        <f t="shared" si="0"/>
        <v>28</v>
      </c>
      <c r="C29" s="469">
        <v>11</v>
      </c>
      <c r="D29" s="470">
        <v>2020</v>
      </c>
      <c r="E29" s="465">
        <f>'UTILITY REPORT 1'!I30</f>
        <v>0</v>
      </c>
      <c r="F29" s="465">
        <f>'UTILITY REPORT 1'!E30</f>
        <v>0</v>
      </c>
      <c r="G29" s="466">
        <f>'UTILITY REPORT 1'!F30</f>
        <v>0</v>
      </c>
      <c r="H29" s="465">
        <f>IF('Kit report'!F31&lt;0,"0",'Kit report'!F31)</f>
        <v>0</v>
      </c>
      <c r="I29" s="465">
        <f>IF('Kit report'!X31&lt;0,"0",'Kit report'!X31)</f>
        <v>0</v>
      </c>
      <c r="J29" s="465">
        <f>IF('Utility summery'!H33&lt;0,"0",'Utility summery'!H33)</f>
        <v>0</v>
      </c>
      <c r="K29" s="466">
        <f>IF('UTILITY REPORT 1'!H30&lt;0,"0",'UTILITY REPORT 1'!H30)</f>
        <v>0</v>
      </c>
      <c r="L29" s="465">
        <f>'Water-Meter'!K33</f>
        <v>0</v>
      </c>
      <c r="M29" s="466">
        <f>'Water-Meter'!H33</f>
        <v>0</v>
      </c>
      <c r="N29" s="466">
        <f>'Water-Meter'!Q33</f>
        <v>0</v>
      </c>
      <c r="O29" s="465" t="e">
        <f>K29*E29+H29*I29+#REF!*#REF!+J29*L29</f>
        <v>#REF!</v>
      </c>
      <c r="P29" s="471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2">
        <f>Total!K29</f>
        <v>0</v>
      </c>
    </row>
    <row r="30" spans="1:24">
      <c r="A30" s="467" t="s">
        <v>283</v>
      </c>
      <c r="B30" s="464">
        <f t="shared" si="0"/>
        <v>29</v>
      </c>
      <c r="C30" s="469">
        <v>11</v>
      </c>
      <c r="D30" s="470">
        <v>2020</v>
      </c>
      <c r="E30" s="465">
        <f>'UTILITY REPORT 1'!I31</f>
        <v>0</v>
      </c>
      <c r="F30" s="465">
        <f>'UTILITY REPORT 1'!E31</f>
        <v>0</v>
      </c>
      <c r="G30" s="466">
        <f>'UTILITY REPORT 1'!F31</f>
        <v>0</v>
      </c>
      <c r="H30" s="465">
        <f>IF('Kit report'!F32&lt;0,"0",'Kit report'!F32)</f>
        <v>0</v>
      </c>
      <c r="I30" s="465">
        <f>IF('Kit report'!X32&lt;0,"0",'Kit report'!X32)</f>
        <v>0</v>
      </c>
      <c r="J30" s="465">
        <f>IF('Utility summery'!H34&lt;0,"0",'Utility summery'!H34)</f>
        <v>0</v>
      </c>
      <c r="K30" s="466">
        <f>IF('UTILITY REPORT 1'!H31&lt;0,"0",'UTILITY REPORT 1'!H31)</f>
        <v>0</v>
      </c>
      <c r="L30" s="465">
        <f>'Water-Meter'!K34</f>
        <v>0</v>
      </c>
      <c r="M30" s="466">
        <f>'Water-Meter'!H34</f>
        <v>0</v>
      </c>
      <c r="N30" s="466">
        <f>'Water-Meter'!Q34</f>
        <v>0</v>
      </c>
      <c r="O30" s="465" t="e">
        <f>K30*E30+H30*I30+#REF!*#REF!+J30*L30</f>
        <v>#REF!</v>
      </c>
      <c r="P30" s="471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2">
        <f>Total!K30</f>
        <v>0</v>
      </c>
    </row>
    <row r="31" spans="1:24">
      <c r="A31" s="467" t="s">
        <v>283</v>
      </c>
      <c r="B31" s="464">
        <v>30</v>
      </c>
      <c r="C31" s="469">
        <v>11</v>
      </c>
      <c r="D31" s="470">
        <v>2020</v>
      </c>
      <c r="E31" s="465">
        <f>'UTILITY REPORT 1'!I32</f>
        <v>0</v>
      </c>
      <c r="F31" s="465">
        <f>'UTILITY REPORT 1'!E32</f>
        <v>0</v>
      </c>
      <c r="G31" s="466">
        <f>'UTILITY REPORT 1'!F32</f>
        <v>0</v>
      </c>
      <c r="H31" s="465">
        <f>IF('Kit report'!F33&lt;0,"0",'Kit report'!F33)</f>
        <v>0</v>
      </c>
      <c r="I31" s="465">
        <f>IF('Kit report'!X33&lt;0,"0",'Kit report'!X33)</f>
        <v>0</v>
      </c>
      <c r="J31" s="465">
        <f>IF('Utility summery'!H35&lt;0,"0",'Utility summery'!H35)</f>
        <v>0</v>
      </c>
      <c r="K31" s="466">
        <f>IF('UTILITY REPORT 1'!H32&lt;0,"0",'UTILITY REPORT 1'!H32)</f>
        <v>0</v>
      </c>
      <c r="L31" s="465">
        <f>'Water-Meter'!K35</f>
        <v>0</v>
      </c>
      <c r="M31" s="466">
        <f>'Water-Meter'!H35</f>
        <v>0</v>
      </c>
      <c r="N31" s="466">
        <f>'Water-Meter'!Q35</f>
        <v>0</v>
      </c>
      <c r="O31" s="465" t="e">
        <f>K31*E31+H31*I31+#REF!*#REF!+J31*L31</f>
        <v>#REF!</v>
      </c>
      <c r="P31" s="471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2">
        <f>Total!K31</f>
        <v>0</v>
      </c>
    </row>
    <row r="32" spans="1:24">
      <c r="A32" s="467"/>
      <c r="B32" s="464"/>
      <c r="C32" s="469"/>
      <c r="D32" s="470"/>
      <c r="E32" s="465">
        <f>'UTILITY REPORT 1'!I33</f>
        <v>0</v>
      </c>
      <c r="F32" s="465">
        <f>'UTILITY REPORT 1'!E33</f>
        <v>0</v>
      </c>
      <c r="G32" s="466">
        <f>'UTILITY REPORT 1'!F33</f>
        <v>0</v>
      </c>
      <c r="H32" s="465">
        <f>IF('Kit report'!F34&lt;0,"0",'Kit report'!F34)</f>
        <v>0</v>
      </c>
      <c r="I32" s="465">
        <f>IF('Kit report'!X34&lt;0,"0",'Kit report'!X34)</f>
        <v>0</v>
      </c>
      <c r="J32" s="465">
        <f>IF('Utility summery'!H36&lt;0,"0",'Utility summery'!H36)</f>
        <v>0</v>
      </c>
      <c r="K32" s="466">
        <f>IF('UTILITY REPORT 1'!H33&lt;0,"0",'UTILITY REPORT 1'!H33)</f>
        <v>0</v>
      </c>
      <c r="L32" s="465">
        <f>'Water-Meter'!K36</f>
        <v>0</v>
      </c>
      <c r="M32" s="466">
        <f>'Water-Meter'!H36</f>
        <v>0</v>
      </c>
      <c r="N32" s="466">
        <f>'Water-Meter'!Q36</f>
        <v>0</v>
      </c>
      <c r="O32" s="243"/>
      <c r="P32" s="471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2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7" t="s">
        <v>314</v>
      </c>
      <c r="B1" s="837"/>
      <c r="C1" s="837"/>
      <c r="D1" s="837"/>
      <c r="E1" s="837"/>
      <c r="F1" s="837"/>
      <c r="G1" s="837"/>
      <c r="H1" s="837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44136</v>
      </c>
      <c r="B3" s="412">
        <f>Gen!C11</f>
        <v>2.5999999999999999E-2</v>
      </c>
      <c r="C3" s="413">
        <f>'Summery Report'!E5</f>
        <v>3</v>
      </c>
      <c r="D3" s="414">
        <v>1</v>
      </c>
      <c r="E3" s="413">
        <f>Gen!T11</f>
        <v>956.05</v>
      </c>
      <c r="F3" s="413">
        <f>Gen!U11</f>
        <v>2415</v>
      </c>
      <c r="G3" s="413">
        <f>'Water-Meter'!E6</f>
        <v>54</v>
      </c>
      <c r="H3" s="413">
        <f>'Utility report '!AC6</f>
        <v>41</v>
      </c>
      <c r="I3" s="413">
        <f>Gen!AK11</f>
        <v>0</v>
      </c>
    </row>
    <row r="4" spans="1:9" ht="13.5">
      <c r="A4" s="410">
        <f>Gen!B12</f>
        <v>44137</v>
      </c>
      <c r="B4" s="412">
        <f>Gen!C12</f>
        <v>5.1900000000000002E-2</v>
      </c>
      <c r="C4" s="413">
        <f>'Summery Report'!E6</f>
        <v>5</v>
      </c>
      <c r="D4" s="414">
        <v>1</v>
      </c>
      <c r="E4" s="413">
        <f>Gen!T12</f>
        <v>1107.92</v>
      </c>
      <c r="F4" s="413">
        <f>Gen!U12</f>
        <v>2617</v>
      </c>
      <c r="G4" s="413">
        <f>'Water-Meter'!E7</f>
        <v>48</v>
      </c>
      <c r="H4" s="413">
        <f>'Utility report '!AC7</f>
        <v>48</v>
      </c>
      <c r="I4" s="413">
        <f>Gen!AK12</f>
        <v>21.62</v>
      </c>
    </row>
    <row r="5" spans="1:9" ht="13.5">
      <c r="A5" s="410">
        <f>Gen!B13</f>
        <v>44138</v>
      </c>
      <c r="B5" s="412">
        <f>Gen!C13</f>
        <v>7.7899999999999997E-2</v>
      </c>
      <c r="C5" s="413">
        <f>'Summery Report'!E7</f>
        <v>7</v>
      </c>
      <c r="D5" s="414">
        <v>1</v>
      </c>
      <c r="E5" s="413">
        <f>Gen!T13</f>
        <v>1164.9899999999998</v>
      </c>
      <c r="F5" s="413">
        <f>Gen!U13</f>
        <v>2592</v>
      </c>
      <c r="G5" s="413">
        <f>'Water-Meter'!E8</f>
        <v>81</v>
      </c>
      <c r="H5" s="413">
        <f>'Utility report '!AC8</f>
        <v>48</v>
      </c>
      <c r="I5" s="413">
        <f>Gen!AK13</f>
        <v>38.269999999999996</v>
      </c>
    </row>
    <row r="6" spans="1:9" ht="13.5">
      <c r="A6" s="410">
        <f>Gen!B14</f>
        <v>44139</v>
      </c>
      <c r="B6" s="412">
        <f>Gen!C14</f>
        <v>6.4899999999999999E-2</v>
      </c>
      <c r="C6" s="413">
        <f>'Summery Report'!E8</f>
        <v>6</v>
      </c>
      <c r="D6" s="414">
        <v>1</v>
      </c>
      <c r="E6" s="413">
        <f>Gen!T14</f>
        <v>1046.3499999999999</v>
      </c>
      <c r="F6" s="413">
        <f>Gen!U14</f>
        <v>2655</v>
      </c>
      <c r="G6" s="413">
        <f>'Water-Meter'!E9</f>
        <v>50</v>
      </c>
      <c r="H6" s="413">
        <f>'Utility report '!AC9</f>
        <v>77</v>
      </c>
      <c r="I6" s="413">
        <f>Gen!AK14</f>
        <v>51.1</v>
      </c>
    </row>
    <row r="7" spans="1:9" ht="13.5">
      <c r="A7" s="410">
        <f>Gen!B15</f>
        <v>44140</v>
      </c>
      <c r="B7" s="412">
        <f>Gen!C15</f>
        <v>0</v>
      </c>
      <c r="C7" s="413">
        <f>'Summery Report'!E9</f>
        <v>0</v>
      </c>
      <c r="D7" s="414">
        <v>1</v>
      </c>
      <c r="E7" s="413">
        <f>Gen!T15</f>
        <v>0</v>
      </c>
      <c r="F7" s="413">
        <f>Gen!U15</f>
        <v>0</v>
      </c>
      <c r="G7" s="413" t="str">
        <f>'Water-Meter'!E10</f>
        <v>0</v>
      </c>
      <c r="H7" s="413">
        <f>'Utility report '!AC10</f>
        <v>-40979</v>
      </c>
      <c r="I7" s="413">
        <f>Gen!AK15</f>
        <v>0</v>
      </c>
    </row>
    <row r="8" spans="1:9" ht="13.5">
      <c r="A8" s="410">
        <f>Gen!B16</f>
        <v>44141</v>
      </c>
      <c r="B8" s="412">
        <f>Gen!C16</f>
        <v>0</v>
      </c>
      <c r="C8" s="413">
        <f>'Summery Report'!E10</f>
        <v>0</v>
      </c>
      <c r="D8" s="414">
        <v>1</v>
      </c>
      <c r="E8" s="413">
        <f>Gen!T16</f>
        <v>0</v>
      </c>
      <c r="F8" s="413">
        <f>Gen!U16</f>
        <v>0</v>
      </c>
      <c r="G8" s="413">
        <f>'Water-Meter'!E11</f>
        <v>0</v>
      </c>
      <c r="H8" s="413">
        <f>'Utility report '!AC11</f>
        <v>0</v>
      </c>
      <c r="I8" s="413">
        <f>Gen!AK16</f>
        <v>0</v>
      </c>
    </row>
    <row r="9" spans="1:9" ht="13.5">
      <c r="A9" s="410">
        <f>Gen!B17</f>
        <v>44142</v>
      </c>
      <c r="B9" s="412">
        <f>Gen!C17</f>
        <v>0</v>
      </c>
      <c r="C9" s="413">
        <f>'Summery Report'!E11</f>
        <v>0</v>
      </c>
      <c r="D9" s="414">
        <v>1</v>
      </c>
      <c r="E9" s="413">
        <f>Gen!T17</f>
        <v>0</v>
      </c>
      <c r="F9" s="413">
        <f>Gen!U17</f>
        <v>0</v>
      </c>
      <c r="G9" s="413">
        <f>'Water-Meter'!E12</f>
        <v>0</v>
      </c>
      <c r="H9" s="413">
        <f>'Utility report '!AC12</f>
        <v>0</v>
      </c>
      <c r="I9" s="413">
        <f>Gen!AK17</f>
        <v>0</v>
      </c>
    </row>
    <row r="10" spans="1:9" ht="13.5">
      <c r="A10" s="410">
        <f>Gen!B18</f>
        <v>44143</v>
      </c>
      <c r="B10" s="412">
        <f>Gen!C18</f>
        <v>0</v>
      </c>
      <c r="C10" s="413">
        <f>'Summery Report'!E12</f>
        <v>0</v>
      </c>
      <c r="D10" s="414">
        <v>1</v>
      </c>
      <c r="E10" s="413">
        <f>Gen!T18</f>
        <v>0</v>
      </c>
      <c r="F10" s="413">
        <f>Gen!U18</f>
        <v>0</v>
      </c>
      <c r="G10" s="413">
        <f>'Water-Meter'!E13</f>
        <v>0</v>
      </c>
      <c r="H10" s="413">
        <f>'Utility report '!AC13</f>
        <v>0</v>
      </c>
      <c r="I10" s="413">
        <f>Gen!AK18</f>
        <v>0</v>
      </c>
    </row>
    <row r="11" spans="1:9" ht="13.5">
      <c r="A11" s="410">
        <f>Gen!B19</f>
        <v>44144</v>
      </c>
      <c r="B11" s="412">
        <f>Gen!C19</f>
        <v>0</v>
      </c>
      <c r="C11" s="413">
        <f>'Summery Report'!E13</f>
        <v>0</v>
      </c>
      <c r="D11" s="414">
        <v>1</v>
      </c>
      <c r="E11" s="413">
        <f>Gen!T19</f>
        <v>0</v>
      </c>
      <c r="F11" s="413">
        <f>Gen!U19</f>
        <v>0</v>
      </c>
      <c r="G11" s="413">
        <f>'Water-Meter'!E14</f>
        <v>0</v>
      </c>
      <c r="H11" s="413">
        <f>'Utility report '!AC14</f>
        <v>0</v>
      </c>
      <c r="I11" s="413">
        <f>Gen!AK19</f>
        <v>0</v>
      </c>
    </row>
    <row r="12" spans="1:9" ht="13.5">
      <c r="A12" s="410">
        <f>Gen!B20</f>
        <v>44145</v>
      </c>
      <c r="B12" s="412">
        <f>Gen!C20</f>
        <v>0</v>
      </c>
      <c r="C12" s="413">
        <f>'Summery Report'!E14</f>
        <v>0</v>
      </c>
      <c r="D12" s="414">
        <v>1</v>
      </c>
      <c r="E12" s="413">
        <f>Gen!T20</f>
        <v>0</v>
      </c>
      <c r="F12" s="413">
        <f>Gen!U20</f>
        <v>0</v>
      </c>
      <c r="G12" s="413">
        <f>'Water-Meter'!E15</f>
        <v>0</v>
      </c>
      <c r="H12" s="413">
        <f>'Utility report '!AC15</f>
        <v>0</v>
      </c>
      <c r="I12" s="413">
        <f>Gen!AK20</f>
        <v>0</v>
      </c>
    </row>
    <row r="13" spans="1:9" ht="13.5">
      <c r="A13" s="410">
        <f>Gen!B21</f>
        <v>44146</v>
      </c>
      <c r="B13" s="412">
        <f>Gen!C21</f>
        <v>0</v>
      </c>
      <c r="C13" s="413">
        <f>'Summery Report'!E15</f>
        <v>0</v>
      </c>
      <c r="D13" s="414">
        <v>1</v>
      </c>
      <c r="E13" s="413">
        <f>Gen!T21</f>
        <v>0</v>
      </c>
      <c r="F13" s="413">
        <f>Gen!U21</f>
        <v>0</v>
      </c>
      <c r="G13" s="413">
        <f>'Water-Meter'!E16</f>
        <v>0</v>
      </c>
      <c r="H13" s="413">
        <f>'Utility report '!AC16</f>
        <v>0</v>
      </c>
      <c r="I13" s="413">
        <f>Gen!AK21</f>
        <v>0</v>
      </c>
    </row>
    <row r="14" spans="1:9" ht="13.5">
      <c r="A14" s="410">
        <f>Gen!B22</f>
        <v>44147</v>
      </c>
      <c r="B14" s="412">
        <f>Gen!C22</f>
        <v>0</v>
      </c>
      <c r="C14" s="413">
        <f>'Summery Report'!E16</f>
        <v>0</v>
      </c>
      <c r="D14" s="414">
        <v>1</v>
      </c>
      <c r="E14" s="413">
        <f>Gen!T22</f>
        <v>0</v>
      </c>
      <c r="F14" s="413">
        <f>Gen!U22</f>
        <v>0</v>
      </c>
      <c r="G14" s="413">
        <f>'Water-Meter'!E17</f>
        <v>0</v>
      </c>
      <c r="H14" s="413">
        <f>'Utility report '!AC17</f>
        <v>0</v>
      </c>
      <c r="I14" s="413">
        <f>Gen!AK22</f>
        <v>0</v>
      </c>
    </row>
    <row r="15" spans="1:9" ht="13.5">
      <c r="A15" s="410">
        <f>Gen!B23</f>
        <v>44148</v>
      </c>
      <c r="B15" s="412">
        <f>Gen!C23</f>
        <v>0</v>
      </c>
      <c r="C15" s="413">
        <f>'Summery Report'!E17</f>
        <v>0</v>
      </c>
      <c r="D15" s="414">
        <v>1</v>
      </c>
      <c r="E15" s="413">
        <f>Gen!T23</f>
        <v>0</v>
      </c>
      <c r="F15" s="413">
        <f>Gen!U23</f>
        <v>0</v>
      </c>
      <c r="G15" s="413">
        <f>'Water-Meter'!E18</f>
        <v>0</v>
      </c>
      <c r="H15" s="413">
        <f>'Utility report '!AC18</f>
        <v>0</v>
      </c>
      <c r="I15" s="413">
        <f>Gen!AK23</f>
        <v>0</v>
      </c>
    </row>
    <row r="16" spans="1:9" ht="13.5">
      <c r="A16" s="410">
        <f>Gen!B24</f>
        <v>44149</v>
      </c>
      <c r="B16" s="412">
        <f>Gen!C24</f>
        <v>0</v>
      </c>
      <c r="C16" s="413">
        <f>'Summery Report'!E18</f>
        <v>0</v>
      </c>
      <c r="D16" s="414">
        <v>1</v>
      </c>
      <c r="E16" s="413">
        <f>Gen!T24</f>
        <v>0</v>
      </c>
      <c r="F16" s="413">
        <f>Gen!U24</f>
        <v>0</v>
      </c>
      <c r="G16" s="413">
        <f>'Water-Meter'!E19</f>
        <v>0</v>
      </c>
      <c r="H16" s="413">
        <f>'Utility report '!AC19</f>
        <v>0</v>
      </c>
      <c r="I16" s="413">
        <f>Gen!AK24</f>
        <v>0</v>
      </c>
    </row>
    <row r="17" spans="1:9" ht="13.5">
      <c r="A17" s="410">
        <f>Gen!B25</f>
        <v>44150</v>
      </c>
      <c r="B17" s="412">
        <f>Gen!C25</f>
        <v>0</v>
      </c>
      <c r="C17" s="413">
        <f>'Summery Report'!E19</f>
        <v>0</v>
      </c>
      <c r="D17" s="414">
        <v>1</v>
      </c>
      <c r="E17" s="413">
        <f>Gen!T25</f>
        <v>0</v>
      </c>
      <c r="F17" s="413">
        <f>Gen!U25</f>
        <v>0</v>
      </c>
      <c r="G17" s="413">
        <f>'Water-Meter'!E20</f>
        <v>0</v>
      </c>
      <c r="H17" s="413">
        <f>'Utility report '!AC20</f>
        <v>0</v>
      </c>
      <c r="I17" s="413">
        <f>Gen!AK25</f>
        <v>0</v>
      </c>
    </row>
    <row r="18" spans="1:9" ht="13.5">
      <c r="A18" s="410">
        <f>Gen!B26</f>
        <v>44151</v>
      </c>
      <c r="B18" s="412">
        <f>Gen!C26</f>
        <v>0</v>
      </c>
      <c r="C18" s="413">
        <f>'Summery Report'!E20</f>
        <v>0</v>
      </c>
      <c r="D18" s="414">
        <v>1</v>
      </c>
      <c r="E18" s="413">
        <f>Gen!T26</f>
        <v>0</v>
      </c>
      <c r="F18" s="413">
        <f>Gen!U26</f>
        <v>0</v>
      </c>
      <c r="G18" s="413">
        <f>'Water-Meter'!E21</f>
        <v>0</v>
      </c>
      <c r="H18" s="413">
        <f>'Utility report '!AC21</f>
        <v>0</v>
      </c>
      <c r="I18" s="413">
        <f>Gen!AK26</f>
        <v>0</v>
      </c>
    </row>
    <row r="19" spans="1:9" ht="13.5">
      <c r="A19" s="410">
        <f>Gen!B27</f>
        <v>44152</v>
      </c>
      <c r="B19" s="412">
        <f>Gen!C27</f>
        <v>0</v>
      </c>
      <c r="C19" s="413">
        <f>'Summery Report'!E21</f>
        <v>0</v>
      </c>
      <c r="D19" s="414">
        <v>1</v>
      </c>
      <c r="E19" s="413">
        <f>Gen!T27</f>
        <v>0</v>
      </c>
      <c r="F19" s="413">
        <f>Gen!U27</f>
        <v>0</v>
      </c>
      <c r="G19" s="413">
        <f>'Water-Meter'!E22</f>
        <v>0</v>
      </c>
      <c r="H19" s="413">
        <f>'Utility report '!AC22</f>
        <v>0</v>
      </c>
      <c r="I19" s="413">
        <f>Gen!AK27</f>
        <v>0</v>
      </c>
    </row>
    <row r="20" spans="1:9" ht="13.5">
      <c r="A20" s="410">
        <f>Gen!B28</f>
        <v>44153</v>
      </c>
      <c r="B20" s="412">
        <f>Gen!C28</f>
        <v>0</v>
      </c>
      <c r="C20" s="413">
        <f>'Summery Report'!E22</f>
        <v>0</v>
      </c>
      <c r="D20" s="414">
        <v>1</v>
      </c>
      <c r="E20" s="413">
        <f>Gen!T28</f>
        <v>0</v>
      </c>
      <c r="F20" s="413">
        <f>Gen!U28</f>
        <v>0</v>
      </c>
      <c r="G20" s="413">
        <f>'Water-Meter'!E23</f>
        <v>0</v>
      </c>
      <c r="H20" s="413">
        <f>'Utility report '!AC23</f>
        <v>0</v>
      </c>
      <c r="I20" s="413">
        <f>Gen!AK28</f>
        <v>0</v>
      </c>
    </row>
    <row r="21" spans="1:9" ht="13.5">
      <c r="A21" s="410">
        <f>Gen!B29</f>
        <v>44154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44155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44156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44157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44158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44159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44160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44161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44162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44163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44164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44165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44166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15" t="s">
        <v>0</v>
      </c>
      <c r="B4" s="816" t="s">
        <v>141</v>
      </c>
      <c r="C4" s="817" t="s">
        <v>248</v>
      </c>
      <c r="D4" s="838" t="s">
        <v>135</v>
      </c>
      <c r="E4" s="838"/>
      <c r="F4" s="838"/>
      <c r="G4" s="839" t="s">
        <v>20</v>
      </c>
      <c r="H4" s="839"/>
      <c r="I4" s="839"/>
      <c r="J4" s="840" t="s">
        <v>54</v>
      </c>
      <c r="K4" s="840"/>
      <c r="L4" s="840"/>
      <c r="M4" s="840"/>
      <c r="N4" s="841" t="s">
        <v>143</v>
      </c>
      <c r="O4" s="841"/>
      <c r="P4" s="841"/>
      <c r="Q4" s="818"/>
      <c r="R4" s="818"/>
      <c r="S4" s="819"/>
    </row>
    <row r="5" spans="1:19" ht="25.5">
      <c r="A5" s="820"/>
      <c r="B5" s="821"/>
      <c r="C5" s="822"/>
      <c r="D5" s="823" t="s">
        <v>136</v>
      </c>
      <c r="E5" s="823" t="s">
        <v>137</v>
      </c>
      <c r="F5" s="823" t="s">
        <v>121</v>
      </c>
      <c r="G5" s="824" t="s">
        <v>138</v>
      </c>
      <c r="H5" s="824" t="s">
        <v>19</v>
      </c>
      <c r="I5" s="825" t="s">
        <v>139</v>
      </c>
      <c r="J5" s="826" t="s">
        <v>142</v>
      </c>
      <c r="K5" s="826" t="s">
        <v>140</v>
      </c>
      <c r="L5" s="826" t="s">
        <v>140</v>
      </c>
      <c r="M5" s="827" t="s">
        <v>18</v>
      </c>
      <c r="N5" s="828" t="s">
        <v>144</v>
      </c>
      <c r="O5" s="828" t="s">
        <v>146</v>
      </c>
      <c r="P5" s="829" t="s">
        <v>145</v>
      </c>
      <c r="Q5" s="830" t="s">
        <v>148</v>
      </c>
      <c r="R5" s="830" t="s">
        <v>147</v>
      </c>
      <c r="S5" s="831" t="s">
        <v>149</v>
      </c>
    </row>
    <row r="6" spans="1:19" ht="14.25">
      <c r="A6" s="459">
        <f>Gen!B11</f>
        <v>44136</v>
      </c>
      <c r="B6" s="6">
        <f>'Summery Report'!E5</f>
        <v>3</v>
      </c>
      <c r="C6" s="6">
        <f>Gen!U11</f>
        <v>2415</v>
      </c>
      <c r="D6" s="153">
        <f>Gen!T11</f>
        <v>956.05</v>
      </c>
      <c r="E6" s="153">
        <f>Gen!AK11</f>
        <v>0</v>
      </c>
      <c r="F6" s="153">
        <f>Gen!AS11</f>
        <v>956.05</v>
      </c>
      <c r="G6" s="154">
        <f>'Utility report '!AC6</f>
        <v>41</v>
      </c>
      <c r="H6" s="154">
        <f>'Utility report '!AE6</f>
        <v>36</v>
      </c>
      <c r="I6" s="297">
        <f>'Water-Meter'!E6</f>
        <v>54</v>
      </c>
      <c r="J6" s="155">
        <f>'Lpg (2)'!B10</f>
        <v>30</v>
      </c>
      <c r="K6" s="155">
        <f>'Lpg (2)'!C10</f>
        <v>85</v>
      </c>
      <c r="L6" s="155">
        <f>'Lpg (2)'!D10</f>
        <v>85</v>
      </c>
      <c r="M6" s="458">
        <f>'Lpg (2)'!G10</f>
        <v>0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0" t="e">
        <f t="shared" ref="S6:S37" si="1">Q6/B6</f>
        <v>#REF!</v>
      </c>
    </row>
    <row r="7" spans="1:19" ht="14.25">
      <c r="A7" s="459">
        <f>Gen!B12</f>
        <v>44137</v>
      </c>
      <c r="B7" s="6">
        <f>'Summery Report'!E6</f>
        <v>5</v>
      </c>
      <c r="C7" s="6">
        <f>Gen!U12</f>
        <v>2617</v>
      </c>
      <c r="D7" s="153">
        <f>Gen!T12</f>
        <v>1107.92</v>
      </c>
      <c r="E7" s="153">
        <f>Gen!AK12</f>
        <v>21.62</v>
      </c>
      <c r="F7" s="153">
        <f>Gen!AS12</f>
        <v>1129.54</v>
      </c>
      <c r="G7" s="154">
        <f>'Utility report '!AC7</f>
        <v>48</v>
      </c>
      <c r="H7" s="154">
        <f>'Utility report '!AE7</f>
        <v>26</v>
      </c>
      <c r="I7" s="297">
        <f>'Water-Meter'!E7</f>
        <v>48</v>
      </c>
      <c r="J7" s="155">
        <f>'Lpg (2)'!B11</f>
        <v>25</v>
      </c>
      <c r="K7" s="155">
        <f>'Lpg (2)'!C11</f>
        <v>85</v>
      </c>
      <c r="L7" s="155">
        <f>'Lpg (2)'!D11</f>
        <v>85</v>
      </c>
      <c r="M7" s="458">
        <f>'Lpg (2)'!G11</f>
        <v>57.420000000012813</v>
      </c>
      <c r="N7" s="152">
        <f>D7*1.4</f>
        <v>1551.088</v>
      </c>
      <c r="O7" s="152">
        <f>E7*1.4</f>
        <v>30.268000000000001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310.2176</v>
      </c>
      <c r="S7" s="460" t="e">
        <f t="shared" si="1"/>
        <v>#REF!</v>
      </c>
    </row>
    <row r="8" spans="1:19" ht="14.25">
      <c r="A8" s="459">
        <f>Gen!B13</f>
        <v>44138</v>
      </c>
      <c r="B8" s="6">
        <f>'Summery Report'!E7</f>
        <v>7</v>
      </c>
      <c r="C8" s="6">
        <f>Gen!U13</f>
        <v>2592</v>
      </c>
      <c r="D8" s="153">
        <f>Gen!T13</f>
        <v>1164.9899999999998</v>
      </c>
      <c r="E8" s="153">
        <f>Gen!AK13</f>
        <v>38.269999999999996</v>
      </c>
      <c r="F8" s="153">
        <f>Gen!AS13</f>
        <v>1203.2599999999998</v>
      </c>
      <c r="G8" s="154">
        <f>'Utility report '!AC8</f>
        <v>48</v>
      </c>
      <c r="H8" s="154">
        <f>'Utility report '!AE8</f>
        <v>26</v>
      </c>
      <c r="I8" s="297">
        <f>'Water-Meter'!E8</f>
        <v>81</v>
      </c>
      <c r="J8" s="155">
        <f>'Lpg (2)'!B12</f>
        <v>22</v>
      </c>
      <c r="K8" s="155">
        <f>'Lpg (2)'!C12</f>
        <v>85</v>
      </c>
      <c r="L8" s="155">
        <f>'Lpg (2)'!D12</f>
        <v>85</v>
      </c>
      <c r="M8" s="458">
        <f>'Lpg (2)'!G12</f>
        <v>50.159999999974396</v>
      </c>
      <c r="N8" s="152">
        <f t="shared" ref="N8:O36" si="2">D8*1.4</f>
        <v>1630.9859999999996</v>
      </c>
      <c r="O8" s="152">
        <f t="shared" si="2"/>
        <v>53.577999999999989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232.99799999999996</v>
      </c>
      <c r="S8" s="460" t="e">
        <f t="shared" si="1"/>
        <v>#REF!</v>
      </c>
    </row>
    <row r="9" spans="1:19" ht="14.25">
      <c r="A9" s="459">
        <f>Gen!B14</f>
        <v>44139</v>
      </c>
      <c r="B9" s="6">
        <f>'Summery Report'!E8</f>
        <v>6</v>
      </c>
      <c r="C9" s="6">
        <f>Gen!U14</f>
        <v>2655</v>
      </c>
      <c r="D9" s="153">
        <f>Gen!T14</f>
        <v>1046.3499999999999</v>
      </c>
      <c r="E9" s="153">
        <f>Gen!AK14</f>
        <v>51.1</v>
      </c>
      <c r="F9" s="153">
        <f>Gen!AS14</f>
        <v>1097.4499999999998</v>
      </c>
      <c r="G9" s="154">
        <f>'Utility report '!AC9</f>
        <v>77</v>
      </c>
      <c r="H9" s="154">
        <f>'Utility report '!AE9</f>
        <v>45</v>
      </c>
      <c r="I9" s="297">
        <f>'Water-Meter'!E9</f>
        <v>50</v>
      </c>
      <c r="J9" s="155">
        <f>'Lpg (2)'!B13</f>
        <v>20</v>
      </c>
      <c r="K9" s="155">
        <f>'Lpg (2)'!C13</f>
        <v>85</v>
      </c>
      <c r="L9" s="155">
        <f>'Lpg (2)'!D13</f>
        <v>85</v>
      </c>
      <c r="M9" s="458">
        <f>'Lpg (2)'!G13</f>
        <v>57.815999999997445</v>
      </c>
      <c r="N9" s="152">
        <f t="shared" si="2"/>
        <v>1464.8899999999999</v>
      </c>
      <c r="O9" s="152">
        <f t="shared" si="2"/>
        <v>71.539999999999992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244.14833333333331</v>
      </c>
      <c r="S9" s="460" t="e">
        <f t="shared" si="1"/>
        <v>#REF!</v>
      </c>
    </row>
    <row r="10" spans="1:19" ht="14.25">
      <c r="A10" s="459">
        <f>Gen!B15</f>
        <v>44140</v>
      </c>
      <c r="B10" s="6">
        <f>'Summery Report'!E9</f>
        <v>0</v>
      </c>
      <c r="C10" s="6">
        <f>Gen!U15</f>
        <v>0</v>
      </c>
      <c r="D10" s="153">
        <f>Gen!T15</f>
        <v>0</v>
      </c>
      <c r="E10" s="153">
        <f>Gen!AK15</f>
        <v>0</v>
      </c>
      <c r="F10" s="153">
        <f>Gen!AS15</f>
        <v>0</v>
      </c>
      <c r="G10" s="154">
        <f>'Utility report '!AC10</f>
        <v>-40979</v>
      </c>
      <c r="H10" s="154">
        <f>'Utility report '!AE10</f>
        <v>-206847</v>
      </c>
      <c r="I10" s="297" t="str">
        <f>'Water-Meter'!E10</f>
        <v>0</v>
      </c>
      <c r="J10" s="155">
        <f>'Lpg (2)'!B14</f>
        <v>0</v>
      </c>
      <c r="K10" s="155">
        <f>'Lpg (2)'!C14</f>
        <v>0</v>
      </c>
      <c r="L10" s="155">
        <f>'Lpg (2)'!D14</f>
        <v>0</v>
      </c>
      <c r="M10" s="458">
        <f>'Lpg (2)'!G14</f>
        <v>-321299.17599999998</v>
      </c>
      <c r="N10" s="152">
        <f t="shared" si="2"/>
        <v>0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 t="e">
        <f t="shared" si="0"/>
        <v>#DIV/0!</v>
      </c>
      <c r="S10" s="460" t="e">
        <f t="shared" si="1"/>
        <v>#REF!</v>
      </c>
    </row>
    <row r="11" spans="1:19" ht="14.25">
      <c r="A11" s="459">
        <f>Gen!B16</f>
        <v>44141</v>
      </c>
      <c r="B11" s="6">
        <f>'Summery Report'!E10</f>
        <v>0</v>
      </c>
      <c r="C11" s="6">
        <f>Gen!U16</f>
        <v>0</v>
      </c>
      <c r="D11" s="153">
        <f>Gen!T16</f>
        <v>0</v>
      </c>
      <c r="E11" s="153">
        <f>Gen!AK16</f>
        <v>0</v>
      </c>
      <c r="F11" s="153">
        <f>Gen!AS16</f>
        <v>0</v>
      </c>
      <c r="G11" s="154">
        <f>'Utility report '!AC11</f>
        <v>0</v>
      </c>
      <c r="H11" s="154">
        <f>'Utility report '!AE11</f>
        <v>0</v>
      </c>
      <c r="I11" s="297">
        <f>'Water-Meter'!E11</f>
        <v>0</v>
      </c>
      <c r="J11" s="155">
        <f>'Lpg (2)'!B15</f>
        <v>0</v>
      </c>
      <c r="K11" s="155">
        <f>'Lpg (2)'!C15</f>
        <v>0</v>
      </c>
      <c r="L11" s="155">
        <f>'Lpg (2)'!D15</f>
        <v>0</v>
      </c>
      <c r="M11" s="458">
        <f>'Lpg (2)'!G15</f>
        <v>0</v>
      </c>
      <c r="N11" s="152">
        <f t="shared" si="2"/>
        <v>0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 t="e">
        <f t="shared" si="0"/>
        <v>#DIV/0!</v>
      </c>
      <c r="S11" s="460" t="e">
        <f t="shared" si="1"/>
        <v>#REF!</v>
      </c>
    </row>
    <row r="12" spans="1:19" ht="14.25">
      <c r="A12" s="459">
        <f>Gen!B17</f>
        <v>44142</v>
      </c>
      <c r="B12" s="6">
        <f>'Summery Report'!E11</f>
        <v>0</v>
      </c>
      <c r="C12" s="6">
        <f>Gen!U17</f>
        <v>0</v>
      </c>
      <c r="D12" s="153">
        <f>Gen!T17</f>
        <v>0</v>
      </c>
      <c r="E12" s="153">
        <f>Gen!AK17</f>
        <v>0</v>
      </c>
      <c r="F12" s="153">
        <f>Gen!AS17</f>
        <v>0</v>
      </c>
      <c r="G12" s="154">
        <f>'Utility report '!AC12</f>
        <v>0</v>
      </c>
      <c r="H12" s="154">
        <f>'Utility report '!AE12</f>
        <v>0</v>
      </c>
      <c r="I12" s="297">
        <f>'Water-Meter'!E12</f>
        <v>0</v>
      </c>
      <c r="J12" s="155">
        <f>'Lpg (2)'!B16</f>
        <v>0</v>
      </c>
      <c r="K12" s="155">
        <f>'Lpg (2)'!C16</f>
        <v>0</v>
      </c>
      <c r="L12" s="155">
        <f>'Lpg (2)'!D16</f>
        <v>0</v>
      </c>
      <c r="M12" s="458">
        <f>'Lpg (2)'!G16</f>
        <v>0</v>
      </c>
      <c r="N12" s="152">
        <f t="shared" si="2"/>
        <v>0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 t="e">
        <f t="shared" si="0"/>
        <v>#DIV/0!</v>
      </c>
      <c r="S12" s="460" t="e">
        <f t="shared" si="1"/>
        <v>#REF!</v>
      </c>
    </row>
    <row r="13" spans="1:19" ht="14.25">
      <c r="A13" s="459">
        <f>Gen!B18</f>
        <v>44143</v>
      </c>
      <c r="B13" s="6">
        <f>'Summery Report'!E12</f>
        <v>0</v>
      </c>
      <c r="C13" s="6">
        <f>Gen!U18</f>
        <v>0</v>
      </c>
      <c r="D13" s="153">
        <f>Gen!T18</f>
        <v>0</v>
      </c>
      <c r="E13" s="153">
        <f>Gen!AK18</f>
        <v>0</v>
      </c>
      <c r="F13" s="153">
        <f>Gen!AS18</f>
        <v>0</v>
      </c>
      <c r="G13" s="154">
        <f>'Utility report '!AC13</f>
        <v>0</v>
      </c>
      <c r="H13" s="154">
        <f>'Utility report '!AE13</f>
        <v>0</v>
      </c>
      <c r="I13" s="297">
        <f>'Water-Meter'!E13</f>
        <v>0</v>
      </c>
      <c r="J13" s="155">
        <f>'Lpg (2)'!B17</f>
        <v>0</v>
      </c>
      <c r="K13" s="155">
        <f>'Lpg (2)'!C17</f>
        <v>0</v>
      </c>
      <c r="L13" s="155">
        <f>'Lpg (2)'!D17</f>
        <v>0</v>
      </c>
      <c r="M13" s="458">
        <f>'Lpg (2)'!G17</f>
        <v>0</v>
      </c>
      <c r="N13" s="152">
        <f t="shared" si="2"/>
        <v>0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 t="e">
        <f t="shared" si="0"/>
        <v>#DIV/0!</v>
      </c>
      <c r="S13" s="460" t="e">
        <f t="shared" si="1"/>
        <v>#REF!</v>
      </c>
    </row>
    <row r="14" spans="1:19" ht="14.25">
      <c r="A14" s="459">
        <f>Gen!B19</f>
        <v>44144</v>
      </c>
      <c r="B14" s="6">
        <f>'Summery Report'!E13</f>
        <v>0</v>
      </c>
      <c r="C14" s="6">
        <f>Gen!U19</f>
        <v>0</v>
      </c>
      <c r="D14" s="153">
        <f>Gen!T19</f>
        <v>0</v>
      </c>
      <c r="E14" s="153">
        <f>Gen!AK19</f>
        <v>0</v>
      </c>
      <c r="F14" s="153">
        <f>Gen!AS19</f>
        <v>0</v>
      </c>
      <c r="G14" s="154">
        <f>'Utility report '!AC14</f>
        <v>0</v>
      </c>
      <c r="H14" s="154">
        <f>'Utility report '!AE14</f>
        <v>0</v>
      </c>
      <c r="I14" s="297">
        <f>'Water-Meter'!E14</f>
        <v>0</v>
      </c>
      <c r="J14" s="155">
        <f>'Lpg (2)'!B18</f>
        <v>0</v>
      </c>
      <c r="K14" s="155">
        <f>'Lpg (2)'!C18</f>
        <v>0</v>
      </c>
      <c r="L14" s="155">
        <f>'Lpg (2)'!D18</f>
        <v>0</v>
      </c>
      <c r="M14" s="458">
        <f>'Lpg (2)'!G18</f>
        <v>0</v>
      </c>
      <c r="N14" s="152">
        <f t="shared" si="2"/>
        <v>0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 t="e">
        <f t="shared" si="0"/>
        <v>#DIV/0!</v>
      </c>
      <c r="S14" s="460" t="e">
        <f t="shared" si="1"/>
        <v>#REF!</v>
      </c>
    </row>
    <row r="15" spans="1:19" ht="14.25">
      <c r="A15" s="459">
        <f>Gen!B20</f>
        <v>44145</v>
      </c>
      <c r="B15" s="6">
        <f>'Summery Report'!E14</f>
        <v>0</v>
      </c>
      <c r="C15" s="6">
        <f>Gen!U20</f>
        <v>0</v>
      </c>
      <c r="D15" s="153">
        <f>Gen!T20</f>
        <v>0</v>
      </c>
      <c r="E15" s="153">
        <f>Gen!AK20</f>
        <v>0</v>
      </c>
      <c r="F15" s="153">
        <f>Gen!AS20</f>
        <v>0</v>
      </c>
      <c r="G15" s="154">
        <f>'Utility report '!AC15</f>
        <v>0</v>
      </c>
      <c r="H15" s="154">
        <f>'Utility report '!AE15</f>
        <v>0</v>
      </c>
      <c r="I15" s="297">
        <f>'Water-Meter'!E15</f>
        <v>0</v>
      </c>
      <c r="J15" s="155">
        <f>'Lpg (2)'!B19</f>
        <v>0</v>
      </c>
      <c r="K15" s="155">
        <f>'Lpg (2)'!C19</f>
        <v>0</v>
      </c>
      <c r="L15" s="155">
        <f>'Lpg (2)'!D19</f>
        <v>0</v>
      </c>
      <c r="M15" s="458">
        <f>'Lpg (2)'!G19</f>
        <v>0</v>
      </c>
      <c r="N15" s="152">
        <f t="shared" si="2"/>
        <v>0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 t="e">
        <f t="shared" si="0"/>
        <v>#DIV/0!</v>
      </c>
      <c r="S15" s="460" t="e">
        <f t="shared" si="1"/>
        <v>#REF!</v>
      </c>
    </row>
    <row r="16" spans="1:19" ht="14.25">
      <c r="A16" s="459">
        <f>Gen!B21</f>
        <v>44146</v>
      </c>
      <c r="B16" s="6">
        <f>'Summery Report'!E15</f>
        <v>0</v>
      </c>
      <c r="C16" s="6">
        <f>Gen!U21</f>
        <v>0</v>
      </c>
      <c r="D16" s="153">
        <f>Gen!T21</f>
        <v>0</v>
      </c>
      <c r="E16" s="153">
        <f>Gen!AK21</f>
        <v>0</v>
      </c>
      <c r="F16" s="153">
        <f>Gen!AS21</f>
        <v>0</v>
      </c>
      <c r="G16" s="154">
        <f>'Utility report '!AC16</f>
        <v>0</v>
      </c>
      <c r="H16" s="154">
        <f>'Utility report '!AE16</f>
        <v>0</v>
      </c>
      <c r="I16" s="297">
        <f>'Water-Meter'!E16</f>
        <v>0</v>
      </c>
      <c r="J16" s="155">
        <f>'Lpg (2)'!B20</f>
        <v>0</v>
      </c>
      <c r="K16" s="155">
        <f>'Lpg (2)'!C20</f>
        <v>0</v>
      </c>
      <c r="L16" s="155">
        <f>'Lpg (2)'!D20</f>
        <v>0</v>
      </c>
      <c r="M16" s="458">
        <f>'Lpg (2)'!G20</f>
        <v>0</v>
      </c>
      <c r="N16" s="152">
        <f t="shared" si="2"/>
        <v>0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 t="e">
        <f t="shared" si="0"/>
        <v>#DIV/0!</v>
      </c>
      <c r="S16" s="460" t="e">
        <f t="shared" si="1"/>
        <v>#REF!</v>
      </c>
    </row>
    <row r="17" spans="1:19" ht="14.25">
      <c r="A17" s="459">
        <f>Gen!B22</f>
        <v>44147</v>
      </c>
      <c r="B17" s="6">
        <f>'Summery Report'!E16</f>
        <v>0</v>
      </c>
      <c r="C17" s="6">
        <f>Gen!U22</f>
        <v>0</v>
      </c>
      <c r="D17" s="153">
        <f>Gen!T22</f>
        <v>0</v>
      </c>
      <c r="E17" s="153">
        <f>Gen!AK22</f>
        <v>0</v>
      </c>
      <c r="F17" s="153">
        <f>Gen!AS22</f>
        <v>0</v>
      </c>
      <c r="G17" s="154">
        <f>'Utility report '!AC17</f>
        <v>0</v>
      </c>
      <c r="H17" s="154">
        <f>'Utility report '!AE17</f>
        <v>0</v>
      </c>
      <c r="I17" s="297">
        <f>'Water-Meter'!E17</f>
        <v>0</v>
      </c>
      <c r="J17" s="155">
        <f>'Lpg (2)'!B21</f>
        <v>0</v>
      </c>
      <c r="K17" s="155">
        <f>'Lpg (2)'!C22</f>
        <v>0</v>
      </c>
      <c r="L17" s="155">
        <f>'Lpg (2)'!D21</f>
        <v>0</v>
      </c>
      <c r="M17" s="458">
        <f>'Lpg (2)'!G21</f>
        <v>0</v>
      </c>
      <c r="N17" s="152">
        <f t="shared" si="2"/>
        <v>0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 t="e">
        <f t="shared" si="0"/>
        <v>#DIV/0!</v>
      </c>
      <c r="S17" s="460" t="e">
        <f t="shared" si="1"/>
        <v>#REF!</v>
      </c>
    </row>
    <row r="18" spans="1:19" ht="14.25">
      <c r="A18" s="459">
        <f>Gen!B23</f>
        <v>44148</v>
      </c>
      <c r="B18" s="6">
        <f>'Summery Report'!E17</f>
        <v>0</v>
      </c>
      <c r="C18" s="6">
        <f>Gen!U23</f>
        <v>0</v>
      </c>
      <c r="D18" s="153">
        <f>Gen!T23</f>
        <v>0</v>
      </c>
      <c r="E18" s="153">
        <f>Gen!AK23</f>
        <v>0</v>
      </c>
      <c r="F18" s="153">
        <f>Gen!AS23</f>
        <v>0</v>
      </c>
      <c r="G18" s="154">
        <f>'Utility report '!AC18</f>
        <v>0</v>
      </c>
      <c r="H18" s="154">
        <f>'Utility report '!AE18</f>
        <v>0</v>
      </c>
      <c r="I18" s="297">
        <f>'Water-Meter'!E18</f>
        <v>0</v>
      </c>
      <c r="J18" s="155">
        <f>'Lpg (2)'!B22</f>
        <v>0</v>
      </c>
      <c r="K18" s="155">
        <f>'Lpg (2)'!C23</f>
        <v>0</v>
      </c>
      <c r="L18" s="155">
        <f>'Lpg (2)'!D22</f>
        <v>0</v>
      </c>
      <c r="M18" s="458">
        <f>'Lpg (2)'!G22</f>
        <v>0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 t="e">
        <f t="shared" si="0"/>
        <v>#DIV/0!</v>
      </c>
      <c r="S18" s="460" t="e">
        <f t="shared" si="1"/>
        <v>#REF!</v>
      </c>
    </row>
    <row r="19" spans="1:19" ht="14.25">
      <c r="A19" s="459">
        <f>Gen!B24</f>
        <v>44149</v>
      </c>
      <c r="B19" s="6">
        <f>'Summery Report'!E18</f>
        <v>0</v>
      </c>
      <c r="C19" s="6">
        <f>Gen!U24</f>
        <v>0</v>
      </c>
      <c r="D19" s="153">
        <f>Gen!T24</f>
        <v>0</v>
      </c>
      <c r="E19" s="153">
        <f>Gen!AK24</f>
        <v>0</v>
      </c>
      <c r="F19" s="153">
        <f>Gen!AS24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8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60" t="e">
        <f t="shared" si="1"/>
        <v>#REF!</v>
      </c>
    </row>
    <row r="20" spans="1:19" ht="14.25">
      <c r="A20" s="459">
        <f>Gen!B25</f>
        <v>44150</v>
      </c>
      <c r="B20" s="6">
        <f>'Summery Report'!E19</f>
        <v>0</v>
      </c>
      <c r="C20" s="6">
        <f>Gen!U25</f>
        <v>0</v>
      </c>
      <c r="D20" s="153">
        <f>Gen!T25</f>
        <v>0</v>
      </c>
      <c r="E20" s="153">
        <f>Gen!AK25</f>
        <v>0</v>
      </c>
      <c r="F20" s="153">
        <f>Gen!AS25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8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60" t="e">
        <f t="shared" si="1"/>
        <v>#REF!</v>
      </c>
    </row>
    <row r="21" spans="1:19" ht="14.25">
      <c r="A21" s="459">
        <f>Gen!B26</f>
        <v>44151</v>
      </c>
      <c r="B21" s="6">
        <f>'Summery Report'!E20</f>
        <v>0</v>
      </c>
      <c r="C21" s="6">
        <f>Gen!U26</f>
        <v>0</v>
      </c>
      <c r="D21" s="153">
        <f>Gen!T26</f>
        <v>0</v>
      </c>
      <c r="E21" s="153">
        <f>Gen!AK26</f>
        <v>0</v>
      </c>
      <c r="F21" s="153">
        <f>Gen!AS26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8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60" t="e">
        <f t="shared" si="1"/>
        <v>#REF!</v>
      </c>
    </row>
    <row r="22" spans="1:19" ht="14.25">
      <c r="A22" s="459">
        <f>Gen!B27</f>
        <v>44152</v>
      </c>
      <c r="B22" s="6">
        <f>'Summery Report'!E21</f>
        <v>0</v>
      </c>
      <c r="C22" s="6">
        <f>Gen!U27</f>
        <v>0</v>
      </c>
      <c r="D22" s="153">
        <f>Gen!T27</f>
        <v>0</v>
      </c>
      <c r="E22" s="153">
        <f>Gen!AK27</f>
        <v>0</v>
      </c>
      <c r="F22" s="153">
        <f>Gen!AS27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8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60" t="e">
        <f t="shared" si="1"/>
        <v>#REF!</v>
      </c>
    </row>
    <row r="23" spans="1:19" ht="14.25">
      <c r="A23" s="459">
        <f>Gen!B28</f>
        <v>44153</v>
      </c>
      <c r="B23" s="6">
        <f>'Summery Report'!E22</f>
        <v>0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8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60" t="e">
        <f t="shared" si="1"/>
        <v>#REF!</v>
      </c>
    </row>
    <row r="24" spans="1:19" ht="14.25">
      <c r="A24" s="459">
        <f>Gen!B29</f>
        <v>44154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8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0" t="e">
        <f t="shared" si="1"/>
        <v>#REF!</v>
      </c>
    </row>
    <row r="25" spans="1:19" ht="14.25">
      <c r="A25" s="459">
        <f>Gen!B30</f>
        <v>44155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8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0" t="e">
        <f t="shared" si="1"/>
        <v>#REF!</v>
      </c>
    </row>
    <row r="26" spans="1:19" ht="14.25">
      <c r="A26" s="459">
        <f>Gen!B31</f>
        <v>44156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8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0" t="e">
        <f t="shared" si="1"/>
        <v>#REF!</v>
      </c>
    </row>
    <row r="27" spans="1:19" ht="14.25">
      <c r="A27" s="459">
        <f>Gen!B32</f>
        <v>44157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8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0" t="e">
        <f t="shared" si="1"/>
        <v>#REF!</v>
      </c>
    </row>
    <row r="28" spans="1:19" ht="14.25">
      <c r="A28" s="459">
        <f>Gen!B33</f>
        <v>44158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8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0" t="e">
        <f t="shared" si="1"/>
        <v>#REF!</v>
      </c>
    </row>
    <row r="29" spans="1:19" ht="14.25">
      <c r="A29" s="459">
        <f>Gen!B34</f>
        <v>44159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8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0" t="e">
        <f t="shared" si="1"/>
        <v>#REF!</v>
      </c>
    </row>
    <row r="30" spans="1:19" ht="14.25">
      <c r="A30" s="459">
        <f>Gen!B35</f>
        <v>44160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8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0" t="e">
        <f t="shared" si="1"/>
        <v>#REF!</v>
      </c>
    </row>
    <row r="31" spans="1:19" ht="14.25">
      <c r="A31" s="459">
        <f>Gen!B36</f>
        <v>44161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8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0" t="e">
        <f t="shared" si="1"/>
        <v>#REF!</v>
      </c>
    </row>
    <row r="32" spans="1:19" ht="14.25">
      <c r="A32" s="459">
        <f>Gen!B37</f>
        <v>44162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8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0" t="e">
        <f t="shared" si="1"/>
        <v>#REF!</v>
      </c>
    </row>
    <row r="33" spans="1:19" ht="14.25">
      <c r="A33" s="459">
        <f>Gen!B38</f>
        <v>44163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8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0" t="e">
        <f t="shared" si="1"/>
        <v>#REF!</v>
      </c>
    </row>
    <row r="34" spans="1:19" ht="14.25">
      <c r="A34" s="459">
        <f>Gen!B39</f>
        <v>44164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8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0" t="e">
        <f t="shared" si="1"/>
        <v>#REF!</v>
      </c>
    </row>
    <row r="35" spans="1:19" ht="14.25">
      <c r="A35" s="459">
        <f>Gen!B40</f>
        <v>44165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8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0" t="e">
        <f t="shared" si="1"/>
        <v>#REF!</v>
      </c>
    </row>
    <row r="36" spans="1:19" ht="14.25">
      <c r="A36" s="459">
        <f>Gen!B41</f>
        <v>44166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8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0" t="e">
        <f t="shared" si="1"/>
        <v>#REF!</v>
      </c>
    </row>
    <row r="37" spans="1:19" ht="14.25">
      <c r="A37" s="459">
        <f>Gen!B42</f>
        <v>0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8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0" t="e">
        <f t="shared" si="1"/>
        <v>#REF!</v>
      </c>
    </row>
    <row r="38" spans="1:19" ht="14.25">
      <c r="A38" s="45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1"/>
    </row>
    <row r="39" spans="1:19" ht="13.5" thickBot="1">
      <c r="A39" s="55" t="s">
        <v>13</v>
      </c>
      <c r="B39" s="462">
        <f>SUM(B7:B37)</f>
        <v>18</v>
      </c>
      <c r="C39" s="462">
        <f>SUM(C7:C35)</f>
        <v>7864</v>
      </c>
      <c r="D39" s="462">
        <f>SUM(D7:D35)</f>
        <v>3319.2599999999998</v>
      </c>
      <c r="E39" s="462">
        <f t="shared" ref="E39:S39" si="3">SUM(E7:E35)</f>
        <v>110.99000000000001</v>
      </c>
      <c r="F39" s="462">
        <f t="shared" si="3"/>
        <v>3430.2499999999995</v>
      </c>
      <c r="G39" s="462">
        <f t="shared" si="3"/>
        <v>-40806</v>
      </c>
      <c r="H39" s="462">
        <f t="shared" si="3"/>
        <v>-206750</v>
      </c>
      <c r="I39" s="462">
        <f t="shared" si="3"/>
        <v>179</v>
      </c>
      <c r="J39" s="462">
        <f t="shared" si="3"/>
        <v>67</v>
      </c>
      <c r="K39" s="462">
        <f t="shared" si="3"/>
        <v>255</v>
      </c>
      <c r="L39" s="462">
        <f t="shared" si="3"/>
        <v>255</v>
      </c>
      <c r="M39" s="462">
        <f t="shared" si="3"/>
        <v>-321133.77999999997</v>
      </c>
      <c r="N39" s="462">
        <f t="shared" si="3"/>
        <v>4646.9639999999999</v>
      </c>
      <c r="O39" s="462">
        <f t="shared" si="3"/>
        <v>155.38599999999997</v>
      </c>
      <c r="P39" s="462" t="e">
        <f t="shared" si="3"/>
        <v>#REF!</v>
      </c>
      <c r="Q39" s="462" t="e">
        <f t="shared" si="3"/>
        <v>#REF!</v>
      </c>
      <c r="R39" s="462" t="e">
        <f t="shared" si="3"/>
        <v>#DIV/0!</v>
      </c>
      <c r="S39" s="463" t="e">
        <f t="shared" si="3"/>
        <v>#REF!</v>
      </c>
    </row>
    <row r="42" spans="1:19">
      <c r="I42" s="530"/>
    </row>
    <row r="43" spans="1:19">
      <c r="I43" s="53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4" zoomScalePageLayoutView="85" workbookViewId="0">
      <pane xSplit="1" topLeftCell="M1" activePane="topRight" state="frozen"/>
      <selection pane="topRight" activeCell="AD13" sqref="AD1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49" t="s">
        <v>321</v>
      </c>
      <c r="B1" s="850"/>
      <c r="C1" s="850"/>
      <c r="D1" s="850"/>
      <c r="E1" s="850"/>
      <c r="F1" s="850"/>
      <c r="G1" s="850"/>
      <c r="H1" s="850"/>
      <c r="I1" s="850"/>
      <c r="J1" s="851"/>
      <c r="K1" s="851"/>
      <c r="L1" s="851"/>
      <c r="M1" s="851"/>
      <c r="N1" s="851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2"/>
    </row>
    <row r="2" spans="1:37" ht="61.5" customHeight="1" thickBot="1">
      <c r="A2" s="138" t="s">
        <v>98</v>
      </c>
      <c r="B2" s="853" t="s">
        <v>99</v>
      </c>
      <c r="C2" s="854"/>
      <c r="D2" s="855"/>
      <c r="E2" s="139"/>
      <c r="F2" s="139"/>
      <c r="G2" s="139"/>
      <c r="H2" s="136" t="s">
        <v>124</v>
      </c>
      <c r="I2" s="786" t="s">
        <v>100</v>
      </c>
      <c r="J2" s="788" t="s">
        <v>122</v>
      </c>
      <c r="K2" s="789"/>
      <c r="L2" s="790" t="s">
        <v>123</v>
      </c>
      <c r="M2" s="640" t="s">
        <v>101</v>
      </c>
      <c r="N2" s="285" t="s">
        <v>102</v>
      </c>
      <c r="O2" s="842" t="s">
        <v>103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285" t="s">
        <v>104</v>
      </c>
      <c r="AB2" s="853" t="s">
        <v>164</v>
      </c>
      <c r="AC2" s="855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56">
        <f>SUM(D3/B3)</f>
        <v>1.3262195121951219</v>
      </c>
      <c r="G3" s="857"/>
      <c r="H3" s="128">
        <f>Gen!D11</f>
        <v>32519.1</v>
      </c>
      <c r="I3" s="641"/>
      <c r="J3" s="791"/>
      <c r="K3" s="792" t="s">
        <v>165</v>
      </c>
      <c r="L3" s="791"/>
      <c r="M3" s="643" t="s">
        <v>111</v>
      </c>
      <c r="N3" s="791"/>
      <c r="O3" s="842" t="s">
        <v>112</v>
      </c>
      <c r="P3" s="842"/>
      <c r="Q3" s="842"/>
      <c r="R3" s="842"/>
      <c r="S3" s="843" t="s">
        <v>113</v>
      </c>
      <c r="T3" s="844"/>
      <c r="U3" s="844"/>
      <c r="V3" s="845"/>
      <c r="W3" s="846" t="s">
        <v>114</v>
      </c>
      <c r="X3" s="847"/>
      <c r="Y3" s="847"/>
      <c r="Z3" s="848"/>
      <c r="AA3" s="287" t="s">
        <v>115</v>
      </c>
      <c r="AB3" s="127" t="s">
        <v>111</v>
      </c>
      <c r="AD3" s="127">
        <v>0</v>
      </c>
      <c r="AE3" s="127" t="s">
        <v>116</v>
      </c>
      <c r="AF3" s="780" t="s">
        <v>117</v>
      </c>
      <c r="AG3" s="781" t="s">
        <v>117</v>
      </c>
      <c r="AH3" s="408" t="s">
        <v>117</v>
      </c>
      <c r="AI3" s="135" t="s">
        <v>118</v>
      </c>
      <c r="AJ3" s="782" t="s">
        <v>115</v>
      </c>
      <c r="AK3" s="783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87"/>
      <c r="J4" s="801"/>
      <c r="K4" s="290"/>
      <c r="L4" s="790"/>
      <c r="M4" s="793"/>
      <c r="N4" s="285"/>
      <c r="O4" s="794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84">
        <v>2000</v>
      </c>
      <c r="AG4" s="785">
        <v>1000</v>
      </c>
      <c r="AH4" s="640">
        <v>1000</v>
      </c>
      <c r="AI4" s="127">
        <f>SUM([2]Sheet1!$AA$36)</f>
        <v>950</v>
      </c>
      <c r="AJ4" s="642" t="s">
        <v>10</v>
      </c>
      <c r="AK4" s="127" t="s">
        <v>119</v>
      </c>
    </row>
    <row r="5" spans="1:37" ht="18.75">
      <c r="A5" s="796"/>
      <c r="B5" s="804"/>
      <c r="C5" s="805"/>
      <c r="D5" s="806"/>
      <c r="E5" s="806"/>
      <c r="F5" s="806"/>
      <c r="G5" s="806"/>
      <c r="H5" s="807"/>
      <c r="I5" s="807"/>
      <c r="J5" s="739"/>
      <c r="K5" s="758"/>
      <c r="L5" s="129"/>
      <c r="M5" s="479"/>
      <c r="N5" s="795"/>
      <c r="O5" s="738"/>
      <c r="P5" s="757">
        <v>19032</v>
      </c>
      <c r="Q5" s="768"/>
      <c r="R5" s="758"/>
      <c r="S5" s="738"/>
      <c r="T5" s="745">
        <v>17126</v>
      </c>
      <c r="U5" s="738"/>
      <c r="V5" s="758"/>
      <c r="W5" s="738"/>
      <c r="X5" s="750">
        <v>25503</v>
      </c>
      <c r="Y5" s="738"/>
      <c r="Z5" s="743"/>
      <c r="AA5" s="754"/>
      <c r="AB5" s="753">
        <v>40765</v>
      </c>
      <c r="AC5" s="738"/>
      <c r="AD5" s="735">
        <v>206714</v>
      </c>
      <c r="AE5" s="740"/>
      <c r="AF5" s="761">
        <v>0.85</v>
      </c>
      <c r="AG5" s="762">
        <v>0.85</v>
      </c>
      <c r="AH5" s="775">
        <v>0.85</v>
      </c>
      <c r="AI5" s="765"/>
      <c r="AJ5" s="754"/>
      <c r="AK5" s="754"/>
    </row>
    <row r="6" spans="1:37" ht="18.75">
      <c r="A6" s="797">
        <f>Gen!B11</f>
        <v>44136</v>
      </c>
      <c r="B6" s="433">
        <f>'Summery Report'!E5</f>
        <v>3</v>
      </c>
      <c r="C6" s="802">
        <f>Gen!C11</f>
        <v>2.5999999999999999E-2</v>
      </c>
      <c r="D6" s="764">
        <f>'Summery Report'!E5</f>
        <v>3</v>
      </c>
      <c r="E6" s="764">
        <f>SUM(F3)</f>
        <v>1.3262195121951219</v>
      </c>
      <c r="F6" s="446">
        <f>SUM(J6*E6)/D6</f>
        <v>422.64405487804873</v>
      </c>
      <c r="G6" s="446">
        <f t="shared" ref="G6:G36" si="0">SUM(L6*E6)/D6</f>
        <v>422.64405487804873</v>
      </c>
      <c r="H6" s="764">
        <f>Gen!D11</f>
        <v>32519.1</v>
      </c>
      <c r="I6" s="764">
        <f>Gen!F11</f>
        <v>0</v>
      </c>
      <c r="J6" s="803">
        <f>Gen!T11</f>
        <v>956.05</v>
      </c>
      <c r="K6" s="808">
        <f>Gen!AK11</f>
        <v>0</v>
      </c>
      <c r="L6" s="799">
        <f t="shared" ref="L6:L13" si="1">SUM(J6:K6)</f>
        <v>956.05</v>
      </c>
      <c r="M6" s="457">
        <f>'Water-Meter'!K46</f>
        <v>524.55386960882572</v>
      </c>
      <c r="N6" s="759">
        <f>'Water-Meter'!E6</f>
        <v>54</v>
      </c>
      <c r="O6" s="749"/>
      <c r="P6" s="757">
        <v>19032</v>
      </c>
      <c r="Q6" s="769">
        <f t="shared" ref="Q6:Q36" si="2">SUM(P6-P5)</f>
        <v>0</v>
      </c>
      <c r="R6" s="434">
        <f>SUM(Q6*O6)</f>
        <v>0</v>
      </c>
      <c r="S6" s="744"/>
      <c r="T6" s="745">
        <v>17126</v>
      </c>
      <c r="U6" s="769">
        <f>T6-T5</f>
        <v>0</v>
      </c>
      <c r="V6" s="435" t="s">
        <v>246</v>
      </c>
      <c r="W6" s="749">
        <v>2.2999999999999998</v>
      </c>
      <c r="X6" s="750">
        <v>25523</v>
      </c>
      <c r="Y6" s="769">
        <f>X6-X5</f>
        <v>20</v>
      </c>
      <c r="Z6" s="752">
        <f t="shared" ref="Z6:AA6" si="3">Y6-Y5</f>
        <v>20</v>
      </c>
      <c r="AA6" s="755">
        <f t="shared" si="3"/>
        <v>20</v>
      </c>
      <c r="AB6" s="753">
        <v>40806</v>
      </c>
      <c r="AC6" s="733">
        <f>AB6-AB5</f>
        <v>41</v>
      </c>
      <c r="AD6" s="735">
        <v>206750</v>
      </c>
      <c r="AE6" s="179">
        <f>AD6-AD5</f>
        <v>36</v>
      </c>
      <c r="AF6" s="763">
        <f>'Lpg (2)'!B10*2000/85</f>
        <v>705.88235294117646</v>
      </c>
      <c r="AG6" s="267">
        <f>'Lpg (2)'!C10*1000/85</f>
        <v>1000</v>
      </c>
      <c r="AH6" s="776">
        <f>'Lpg (2)'!D10*1000/85</f>
        <v>1000</v>
      </c>
      <c r="AI6" s="766">
        <f>SUM(AF6*2000)+(AG6*1000)+(AH6*1000)</f>
        <v>3411764.7058823528</v>
      </c>
      <c r="AJ6" s="436">
        <f t="shared" ref="AJ6:AJ36" si="4">SUM(AI5-AI6)</f>
        <v>-3411764.7058823528</v>
      </c>
      <c r="AK6" s="133"/>
    </row>
    <row r="7" spans="1:37" ht="18.75">
      <c r="A7" s="797">
        <f>Gen!B12</f>
        <v>44137</v>
      </c>
      <c r="B7" s="433">
        <f>'Summery Report'!E6</f>
        <v>5</v>
      </c>
      <c r="C7" s="802">
        <f>Gen!C12</f>
        <v>5.1900000000000002E-2</v>
      </c>
      <c r="D7" s="764">
        <f>'Summery Report'!E6</f>
        <v>5</v>
      </c>
      <c r="E7" s="764">
        <f>SUM(E6)</f>
        <v>1.3262195121951219</v>
      </c>
      <c r="F7" s="446">
        <f>SUM(J7*E7)/D7</f>
        <v>293.86902439024391</v>
      </c>
      <c r="G7" s="446">
        <f t="shared" si="0"/>
        <v>299.60359756097557</v>
      </c>
      <c r="H7" s="764">
        <f>Gen!D12</f>
        <v>31563.05</v>
      </c>
      <c r="I7" s="764">
        <f>Gen!F12</f>
        <v>0</v>
      </c>
      <c r="J7" s="803">
        <f>Gen!T12</f>
        <v>1107.92</v>
      </c>
      <c r="K7" s="808">
        <f>Gen!AK12</f>
        <v>21.62</v>
      </c>
      <c r="L7" s="799">
        <f t="shared" si="1"/>
        <v>1129.54</v>
      </c>
      <c r="M7" s="457">
        <f>'Water-Meter'!K47</f>
        <v>416.41123778431614</v>
      </c>
      <c r="N7" s="759">
        <f>'Water-Meter'!E7</f>
        <v>48</v>
      </c>
      <c r="O7" s="749"/>
      <c r="P7" s="757">
        <v>19032</v>
      </c>
      <c r="Q7" s="769">
        <f t="shared" si="2"/>
        <v>0</v>
      </c>
      <c r="R7" s="434">
        <f t="shared" ref="R7:R36" si="5">SUM(Q7*O7)</f>
        <v>0</v>
      </c>
      <c r="S7" s="744"/>
      <c r="T7" s="745">
        <v>17126</v>
      </c>
      <c r="U7" s="769">
        <f t="shared" ref="U7:U36" si="6">T7-T6</f>
        <v>0</v>
      </c>
      <c r="V7" s="435">
        <f t="shared" ref="V7:V9" si="7">SUM(U7*S7)</f>
        <v>0</v>
      </c>
      <c r="W7" s="749">
        <v>2.2999999999999998</v>
      </c>
      <c r="X7" s="750">
        <v>25548</v>
      </c>
      <c r="Y7" s="769">
        <f t="shared" ref="Y7:Y36" si="8">X7-X6</f>
        <v>25</v>
      </c>
      <c r="Z7" s="748">
        <f t="shared" ref="Z7:Z36" si="9">SUM(Y7*W7)</f>
        <v>57.499999999999993</v>
      </c>
      <c r="AA7" s="756">
        <f t="shared" ref="AA7:AA36" si="10">SUM(Z7*X9)</f>
        <v>1471769.9999999998</v>
      </c>
      <c r="AB7" s="753">
        <v>40854</v>
      </c>
      <c r="AC7" s="733">
        <f t="shared" ref="AC7:AC27" si="11">AB7-AB6</f>
        <v>48</v>
      </c>
      <c r="AD7" s="735">
        <v>206776</v>
      </c>
      <c r="AE7" s="179">
        <f>AD7-AD6</f>
        <v>26</v>
      </c>
      <c r="AF7" s="763">
        <f>'Lpg (2)'!B11*2000/85</f>
        <v>588.23529411764707</v>
      </c>
      <c r="AG7" s="267">
        <f>'Lpg (2)'!C11*1000/85</f>
        <v>1000</v>
      </c>
      <c r="AH7" s="776">
        <f>'Lpg (2)'!D11*1000/85</f>
        <v>1000</v>
      </c>
      <c r="AI7" s="766">
        <f t="shared" ref="AI7:AI14" si="12">SUM(AF6*2000)+(AG7*1000)+(AH7*1000)</f>
        <v>3411764.7058823528</v>
      </c>
      <c r="AJ7" s="436">
        <f t="shared" si="4"/>
        <v>0</v>
      </c>
      <c r="AK7" s="133"/>
    </row>
    <row r="8" spans="1:37" ht="18.75">
      <c r="A8" s="797">
        <f>Gen!B13</f>
        <v>44138</v>
      </c>
      <c r="B8" s="433">
        <f>'Summery Report'!E7</f>
        <v>7</v>
      </c>
      <c r="C8" s="802">
        <f>Gen!C13</f>
        <v>7.7899999999999997E-2</v>
      </c>
      <c r="D8" s="764">
        <f>'Summery Report'!E7</f>
        <v>7</v>
      </c>
      <c r="E8" s="764">
        <f t="shared" ref="E8:E36" si="13">SUM(E7)</f>
        <v>1.3262195121951219</v>
      </c>
      <c r="F8" s="446">
        <f t="shared" ref="F8:F36" si="14">SUM(J8*E8)/D8</f>
        <v>220.71892421602783</v>
      </c>
      <c r="G8" s="446">
        <f t="shared" si="0"/>
        <v>227.96955574912886</v>
      </c>
      <c r="H8" s="764">
        <f>Gen!D13</f>
        <v>30433.51</v>
      </c>
      <c r="I8" s="764">
        <f>Gen!F13</f>
        <v>0</v>
      </c>
      <c r="J8" s="803">
        <f>Gen!T13</f>
        <v>1164.9899999999998</v>
      </c>
      <c r="K8" s="808">
        <f>Gen!AK13</f>
        <v>38.269999999999996</v>
      </c>
      <c r="L8" s="799">
        <f t="shared" si="1"/>
        <v>1203.2599999999998</v>
      </c>
      <c r="M8" s="457">
        <f>'Water-Meter'!K48</f>
        <v>420.68537496944975</v>
      </c>
      <c r="N8" s="759">
        <f>'Water-Meter'!E8</f>
        <v>81</v>
      </c>
      <c r="O8" s="749"/>
      <c r="P8" s="757">
        <v>19032</v>
      </c>
      <c r="Q8" s="769">
        <f t="shared" si="2"/>
        <v>0</v>
      </c>
      <c r="R8" s="434">
        <f t="shared" si="5"/>
        <v>0</v>
      </c>
      <c r="S8" s="744"/>
      <c r="T8" s="745">
        <v>17126</v>
      </c>
      <c r="U8" s="769">
        <f t="shared" si="6"/>
        <v>0</v>
      </c>
      <c r="V8" s="435">
        <f t="shared" si="7"/>
        <v>0</v>
      </c>
      <c r="W8" s="749">
        <v>2.2999999999999998</v>
      </c>
      <c r="X8" s="750">
        <v>25572</v>
      </c>
      <c r="Y8" s="769">
        <f t="shared" si="8"/>
        <v>24</v>
      </c>
      <c r="Z8" s="748">
        <f t="shared" si="9"/>
        <v>55.199999999999996</v>
      </c>
      <c r="AA8" s="756">
        <f t="shared" si="10"/>
        <v>0</v>
      </c>
      <c r="AB8" s="753">
        <v>40902</v>
      </c>
      <c r="AC8" s="733">
        <f t="shared" si="11"/>
        <v>48</v>
      </c>
      <c r="AD8" s="735">
        <v>206802</v>
      </c>
      <c r="AE8" s="179">
        <f t="shared" ref="AE8:AE37" si="15">AD8-AD7</f>
        <v>26</v>
      </c>
      <c r="AF8" s="763">
        <f>'Lpg (2)'!B12*2000/85</f>
        <v>517.64705882352939</v>
      </c>
      <c r="AG8" s="267">
        <f>'Lpg (2)'!C12*1000/85</f>
        <v>1000</v>
      </c>
      <c r="AH8" s="776">
        <f>'Lpg (2)'!D12*1000/85</f>
        <v>1000</v>
      </c>
      <c r="AI8" s="766">
        <f t="shared" si="12"/>
        <v>3176470.5882352944</v>
      </c>
      <c r="AJ8" s="436">
        <f t="shared" si="4"/>
        <v>235294.11764705833</v>
      </c>
      <c r="AK8" s="133"/>
    </row>
    <row r="9" spans="1:37" ht="18.75">
      <c r="A9" s="797">
        <f>Gen!B14</f>
        <v>44139</v>
      </c>
      <c r="B9" s="433">
        <f>'Summery Report'!E8</f>
        <v>6</v>
      </c>
      <c r="C9" s="802">
        <f>Gen!C14</f>
        <v>6.4899999999999999E-2</v>
      </c>
      <c r="D9" s="764">
        <f>'Summery Report'!E8</f>
        <v>6</v>
      </c>
      <c r="E9" s="764">
        <f t="shared" si="13"/>
        <v>1.3262195121951219</v>
      </c>
      <c r="F9" s="446">
        <f t="shared" si="14"/>
        <v>231.28163109756096</v>
      </c>
      <c r="G9" s="446">
        <f t="shared" si="0"/>
        <v>242.57660060975604</v>
      </c>
      <c r="H9" s="764">
        <f>Gen!D14</f>
        <v>47230.25</v>
      </c>
      <c r="I9" s="764">
        <f>Gen!F14</f>
        <v>18000</v>
      </c>
      <c r="J9" s="803">
        <f>Gen!T14</f>
        <v>1046.3499999999999</v>
      </c>
      <c r="K9" s="808">
        <f>Gen!AK14</f>
        <v>51.1</v>
      </c>
      <c r="L9" s="799">
        <f t="shared" si="1"/>
        <v>1097.4499999999998</v>
      </c>
      <c r="M9" s="457">
        <f>'Water-Meter'!K49</f>
        <v>446.25443518658005</v>
      </c>
      <c r="N9" s="759">
        <f>'Water-Meter'!E9</f>
        <v>50</v>
      </c>
      <c r="O9" s="749"/>
      <c r="P9" s="757">
        <v>19032</v>
      </c>
      <c r="Q9" s="769">
        <f t="shared" si="2"/>
        <v>0</v>
      </c>
      <c r="R9" s="434">
        <f t="shared" si="5"/>
        <v>0</v>
      </c>
      <c r="S9" s="744"/>
      <c r="T9" s="745">
        <v>17126</v>
      </c>
      <c r="U9" s="769">
        <f t="shared" si="6"/>
        <v>0</v>
      </c>
      <c r="V9" s="435">
        <f t="shared" si="7"/>
        <v>0</v>
      </c>
      <c r="W9" s="749">
        <v>2.2999999999999998</v>
      </c>
      <c r="X9" s="750">
        <v>25596</v>
      </c>
      <c r="Y9" s="769">
        <f t="shared" si="8"/>
        <v>24</v>
      </c>
      <c r="Z9" s="748">
        <f t="shared" si="9"/>
        <v>55.199999999999996</v>
      </c>
      <c r="AA9" s="756">
        <f t="shared" si="10"/>
        <v>0</v>
      </c>
      <c r="AB9" s="753">
        <v>40979</v>
      </c>
      <c r="AC9" s="733">
        <f t="shared" si="11"/>
        <v>77</v>
      </c>
      <c r="AD9" s="735">
        <v>206847</v>
      </c>
      <c r="AE9" s="179">
        <f t="shared" si="15"/>
        <v>45</v>
      </c>
      <c r="AF9" s="763">
        <f>'Lpg (2)'!B13*2000/85</f>
        <v>470.58823529411762</v>
      </c>
      <c r="AG9" s="267">
        <f>'Lpg (2)'!C13*1000/85</f>
        <v>1000</v>
      </c>
      <c r="AH9" s="776">
        <f>'Lpg (2)'!D13*1000/85</f>
        <v>1000</v>
      </c>
      <c r="AI9" s="766">
        <f t="shared" si="12"/>
        <v>3035294.1176470588</v>
      </c>
      <c r="AJ9" s="436">
        <f t="shared" si="4"/>
        <v>141176.47058823565</v>
      </c>
      <c r="AK9" s="133"/>
    </row>
    <row r="10" spans="1:37" ht="18.75">
      <c r="A10" s="797">
        <f>Gen!B15</f>
        <v>44140</v>
      </c>
      <c r="B10" s="433">
        <f>'Summery Report'!E9</f>
        <v>0</v>
      </c>
      <c r="C10" s="802">
        <f>Gen!C15</f>
        <v>0</v>
      </c>
      <c r="D10" s="764">
        <f>'Summery Report'!E9</f>
        <v>0</v>
      </c>
      <c r="E10" s="764">
        <f t="shared" si="13"/>
        <v>1.3262195121951219</v>
      </c>
      <c r="F10" s="446" t="e">
        <f t="shared" si="14"/>
        <v>#DIV/0!</v>
      </c>
      <c r="G10" s="446" t="e">
        <f t="shared" si="0"/>
        <v>#DIV/0!</v>
      </c>
      <c r="H10" s="764">
        <f>Gen!D15</f>
        <v>46132.800000000003</v>
      </c>
      <c r="I10" s="764">
        <f>Gen!F15</f>
        <v>0</v>
      </c>
      <c r="J10" s="803">
        <f>Gen!T15</f>
        <v>0</v>
      </c>
      <c r="K10" s="808">
        <f>Gen!AK15</f>
        <v>0</v>
      </c>
      <c r="L10" s="799">
        <f t="shared" si="1"/>
        <v>0</v>
      </c>
      <c r="M10" s="457">
        <f>'Water-Meter'!K50</f>
        <v>533.57755777672651</v>
      </c>
      <c r="N10" s="759" t="str">
        <f>'Water-Meter'!E10</f>
        <v>0</v>
      </c>
      <c r="O10" s="749"/>
      <c r="P10" s="757"/>
      <c r="Q10" s="769">
        <f t="shared" si="2"/>
        <v>-19032</v>
      </c>
      <c r="R10" s="434">
        <f t="shared" si="5"/>
        <v>0</v>
      </c>
      <c r="S10" s="744"/>
      <c r="T10" s="745"/>
      <c r="U10" s="769">
        <f t="shared" si="6"/>
        <v>-17126</v>
      </c>
      <c r="V10" s="435">
        <f t="shared" ref="V10:V16" si="16">SUM(U10*S10)</f>
        <v>0</v>
      </c>
      <c r="W10" s="744"/>
      <c r="X10" s="750"/>
      <c r="Y10" s="769">
        <f t="shared" si="8"/>
        <v>-25596</v>
      </c>
      <c r="Z10" s="748">
        <f t="shared" si="9"/>
        <v>0</v>
      </c>
      <c r="AA10" s="756">
        <f t="shared" si="10"/>
        <v>0</v>
      </c>
      <c r="AB10" s="753"/>
      <c r="AC10" s="733">
        <f t="shared" si="11"/>
        <v>-40979</v>
      </c>
      <c r="AD10" s="735"/>
      <c r="AE10" s="179">
        <f t="shared" si="15"/>
        <v>-206847</v>
      </c>
      <c r="AF10" s="763">
        <f>'Lpg (2)'!B14*2000/85</f>
        <v>0</v>
      </c>
      <c r="AG10" s="267">
        <f>'Lpg (2)'!C14*1000/85</f>
        <v>0</v>
      </c>
      <c r="AH10" s="776">
        <f>'Lpg (2)'!D14*1000/85</f>
        <v>0</v>
      </c>
      <c r="AI10" s="766">
        <f t="shared" si="12"/>
        <v>941176.4705882353</v>
      </c>
      <c r="AJ10" s="436">
        <f t="shared" si="4"/>
        <v>2094117.6470588236</v>
      </c>
      <c r="AK10" s="133"/>
    </row>
    <row r="11" spans="1:37" ht="18.75">
      <c r="A11" s="797">
        <f>Gen!B16</f>
        <v>44141</v>
      </c>
      <c r="B11" s="433">
        <f>'Summery Report'!E10</f>
        <v>0</v>
      </c>
      <c r="C11" s="802">
        <f>Gen!C16</f>
        <v>0</v>
      </c>
      <c r="D11" s="764">
        <f>'Summery Report'!E10</f>
        <v>0</v>
      </c>
      <c r="E11" s="764">
        <f t="shared" si="13"/>
        <v>1.3262195121951219</v>
      </c>
      <c r="F11" s="446" t="e">
        <f t="shared" si="14"/>
        <v>#DIV/0!</v>
      </c>
      <c r="G11" s="446" t="e">
        <f t="shared" si="0"/>
        <v>#DIV/0!</v>
      </c>
      <c r="H11" s="764">
        <f>Gen!D16</f>
        <v>46132.800000000003</v>
      </c>
      <c r="I11" s="764">
        <f>Gen!F16</f>
        <v>0</v>
      </c>
      <c r="J11" s="803">
        <f>Gen!T16</f>
        <v>0</v>
      </c>
      <c r="K11" s="808">
        <f>Gen!AK16</f>
        <v>0</v>
      </c>
      <c r="L11" s="799">
        <f t="shared" si="1"/>
        <v>0</v>
      </c>
      <c r="M11" s="457">
        <f>'Water-Meter'!K51</f>
        <v>0</v>
      </c>
      <c r="N11" s="759">
        <f>'Water-Meter'!E11</f>
        <v>0</v>
      </c>
      <c r="O11" s="749"/>
      <c r="P11" s="757"/>
      <c r="Q11" s="769">
        <f t="shared" si="2"/>
        <v>0</v>
      </c>
      <c r="R11" s="434">
        <f t="shared" si="5"/>
        <v>0</v>
      </c>
      <c r="S11" s="744"/>
      <c r="T11" s="745"/>
      <c r="U11" s="769">
        <f t="shared" si="6"/>
        <v>0</v>
      </c>
      <c r="V11" s="435">
        <f t="shared" si="16"/>
        <v>0</v>
      </c>
      <c r="W11" s="744"/>
      <c r="X11" s="750"/>
      <c r="Y11" s="769">
        <f t="shared" si="8"/>
        <v>0</v>
      </c>
      <c r="Z11" s="748">
        <f t="shared" si="9"/>
        <v>0</v>
      </c>
      <c r="AA11" s="756">
        <f t="shared" si="10"/>
        <v>0</v>
      </c>
      <c r="AB11" s="753"/>
      <c r="AC11" s="733">
        <f t="shared" si="11"/>
        <v>0</v>
      </c>
      <c r="AD11" s="735"/>
      <c r="AE11" s="179">
        <f t="shared" si="15"/>
        <v>0</v>
      </c>
      <c r="AF11" s="763">
        <f>'Lpg (2)'!B15*2000/85</f>
        <v>0</v>
      </c>
      <c r="AG11" s="267">
        <f>'Lpg (2)'!C15*1000/85</f>
        <v>0</v>
      </c>
      <c r="AH11" s="776">
        <f>'Lpg (2)'!D15*1000/85</f>
        <v>0</v>
      </c>
      <c r="AI11" s="766">
        <f t="shared" si="12"/>
        <v>0</v>
      </c>
      <c r="AJ11" s="436">
        <f t="shared" si="4"/>
        <v>941176.4705882353</v>
      </c>
      <c r="AK11" s="133"/>
    </row>
    <row r="12" spans="1:37" ht="18.75">
      <c r="A12" s="797">
        <f>Gen!B17</f>
        <v>44142</v>
      </c>
      <c r="B12" s="433">
        <f>'Summery Report'!E11</f>
        <v>0</v>
      </c>
      <c r="C12" s="802">
        <f>Gen!C17</f>
        <v>0</v>
      </c>
      <c r="D12" s="764">
        <f>'Summery Report'!E11</f>
        <v>0</v>
      </c>
      <c r="E12" s="764">
        <f t="shared" si="13"/>
        <v>1.3262195121951219</v>
      </c>
      <c r="F12" s="446" t="e">
        <f t="shared" si="14"/>
        <v>#DIV/0!</v>
      </c>
      <c r="G12" s="446" t="e">
        <f t="shared" si="0"/>
        <v>#DIV/0!</v>
      </c>
      <c r="H12" s="764">
        <f>Gen!D17</f>
        <v>46132.800000000003</v>
      </c>
      <c r="I12" s="764">
        <f>Gen!F17</f>
        <v>0</v>
      </c>
      <c r="J12" s="803">
        <f>Gen!T17</f>
        <v>0</v>
      </c>
      <c r="K12" s="808">
        <f>Gen!AK17</f>
        <v>0</v>
      </c>
      <c r="L12" s="799">
        <f t="shared" si="1"/>
        <v>0</v>
      </c>
      <c r="M12" s="457">
        <f>'Water-Meter'!K52</f>
        <v>0</v>
      </c>
      <c r="N12" s="759">
        <f>'Water-Meter'!E12</f>
        <v>0</v>
      </c>
      <c r="O12" s="749"/>
      <c r="P12" s="757"/>
      <c r="Q12" s="769">
        <f t="shared" si="2"/>
        <v>0</v>
      </c>
      <c r="R12" s="434">
        <f t="shared" si="5"/>
        <v>0</v>
      </c>
      <c r="S12" s="744"/>
      <c r="T12" s="745"/>
      <c r="U12" s="769">
        <f t="shared" si="6"/>
        <v>0</v>
      </c>
      <c r="V12" s="435">
        <f t="shared" si="16"/>
        <v>0</v>
      </c>
      <c r="W12" s="744"/>
      <c r="X12" s="750"/>
      <c r="Y12" s="769">
        <f t="shared" si="8"/>
        <v>0</v>
      </c>
      <c r="Z12" s="748">
        <f t="shared" si="9"/>
        <v>0</v>
      </c>
      <c r="AA12" s="756">
        <f t="shared" si="10"/>
        <v>0</v>
      </c>
      <c r="AB12" s="753"/>
      <c r="AC12" s="733">
        <f t="shared" si="11"/>
        <v>0</v>
      </c>
      <c r="AD12" s="735"/>
      <c r="AE12" s="179">
        <f t="shared" si="15"/>
        <v>0</v>
      </c>
      <c r="AF12" s="763">
        <f>'Lpg (2)'!B16*2000/85</f>
        <v>0</v>
      </c>
      <c r="AG12" s="267">
        <f>'Lpg (2)'!C16*1000/85</f>
        <v>0</v>
      </c>
      <c r="AH12" s="776">
        <f>'Lpg (2)'!D16*1000/85</f>
        <v>0</v>
      </c>
      <c r="AI12" s="766">
        <f t="shared" si="12"/>
        <v>0</v>
      </c>
      <c r="AJ12" s="436">
        <f t="shared" si="4"/>
        <v>0</v>
      </c>
      <c r="AK12" s="133"/>
    </row>
    <row r="13" spans="1:37" ht="18.75">
      <c r="A13" s="797">
        <f>Gen!B18</f>
        <v>44143</v>
      </c>
      <c r="B13" s="433">
        <f>'Summery Report'!E12</f>
        <v>0</v>
      </c>
      <c r="C13" s="802">
        <f>Gen!C18</f>
        <v>0</v>
      </c>
      <c r="D13" s="764">
        <f>'Summery Report'!E12</f>
        <v>0</v>
      </c>
      <c r="E13" s="764">
        <f t="shared" si="13"/>
        <v>1.3262195121951219</v>
      </c>
      <c r="F13" s="446" t="e">
        <f t="shared" si="14"/>
        <v>#DIV/0!</v>
      </c>
      <c r="G13" s="446" t="e">
        <f t="shared" si="0"/>
        <v>#DIV/0!</v>
      </c>
      <c r="H13" s="764">
        <f>Gen!D18</f>
        <v>46132.800000000003</v>
      </c>
      <c r="I13" s="764">
        <f>Gen!F18</f>
        <v>0</v>
      </c>
      <c r="J13" s="803">
        <f>Gen!T18</f>
        <v>0</v>
      </c>
      <c r="K13" s="808">
        <f>Gen!AK18</f>
        <v>0</v>
      </c>
      <c r="L13" s="799">
        <f t="shared" si="1"/>
        <v>0</v>
      </c>
      <c r="M13" s="457">
        <f>'Water-Meter'!K53</f>
        <v>0</v>
      </c>
      <c r="N13" s="759">
        <f>'Water-Meter'!E13</f>
        <v>0</v>
      </c>
      <c r="O13" s="749"/>
      <c r="P13" s="757"/>
      <c r="Q13" s="769">
        <f t="shared" si="2"/>
        <v>0</v>
      </c>
      <c r="R13" s="434">
        <f t="shared" si="5"/>
        <v>0</v>
      </c>
      <c r="S13" s="744"/>
      <c r="T13" s="745"/>
      <c r="U13" s="769">
        <f t="shared" si="6"/>
        <v>0</v>
      </c>
      <c r="V13" s="435">
        <f t="shared" si="16"/>
        <v>0</v>
      </c>
      <c r="W13" s="744"/>
      <c r="X13" s="750"/>
      <c r="Y13" s="769">
        <f t="shared" si="8"/>
        <v>0</v>
      </c>
      <c r="Z13" s="748">
        <f t="shared" si="9"/>
        <v>0</v>
      </c>
      <c r="AA13" s="756">
        <f t="shared" si="10"/>
        <v>0</v>
      </c>
      <c r="AB13" s="753"/>
      <c r="AC13" s="733">
        <f t="shared" si="11"/>
        <v>0</v>
      </c>
      <c r="AD13" s="735"/>
      <c r="AE13" s="179">
        <f t="shared" si="15"/>
        <v>0</v>
      </c>
      <c r="AF13" s="763">
        <f>'Lpg (2)'!B17*2000/85</f>
        <v>0</v>
      </c>
      <c r="AG13" s="267">
        <f>'Lpg (2)'!C17*1000/85</f>
        <v>0</v>
      </c>
      <c r="AH13" s="776">
        <f>'Lpg (2)'!D17*1000/85</f>
        <v>0</v>
      </c>
      <c r="AI13" s="766">
        <f t="shared" si="12"/>
        <v>0</v>
      </c>
      <c r="AJ13" s="436">
        <f t="shared" si="4"/>
        <v>0</v>
      </c>
      <c r="AK13" s="133"/>
    </row>
    <row r="14" spans="1:37" ht="18.75">
      <c r="A14" s="797">
        <f>Gen!B19</f>
        <v>44144</v>
      </c>
      <c r="B14" s="433">
        <f>'Summery Report'!E13</f>
        <v>0</v>
      </c>
      <c r="C14" s="802">
        <f>Gen!C19</f>
        <v>0</v>
      </c>
      <c r="D14" s="764">
        <f>'Summery Report'!E13</f>
        <v>0</v>
      </c>
      <c r="E14" s="764">
        <f t="shared" si="13"/>
        <v>1.3262195121951219</v>
      </c>
      <c r="F14" s="446" t="e">
        <f t="shared" si="14"/>
        <v>#DIV/0!</v>
      </c>
      <c r="G14" s="446" t="e">
        <f t="shared" si="0"/>
        <v>#DIV/0!</v>
      </c>
      <c r="H14" s="764">
        <f>Gen!D19</f>
        <v>46132.800000000003</v>
      </c>
      <c r="I14" s="764">
        <f>Gen!F19</f>
        <v>0</v>
      </c>
      <c r="J14" s="803">
        <f>Gen!T19</f>
        <v>0</v>
      </c>
      <c r="K14" s="808">
        <f>Gen!AK19</f>
        <v>0</v>
      </c>
      <c r="L14" s="799">
        <f t="shared" ref="L14:L37" si="17">SUM(J14:K14)</f>
        <v>0</v>
      </c>
      <c r="M14" s="457">
        <f>'Water-Meter'!K54</f>
        <v>0</v>
      </c>
      <c r="N14" s="759">
        <f>'Water-Meter'!E14</f>
        <v>0</v>
      </c>
      <c r="O14" s="749"/>
      <c r="P14" s="757"/>
      <c r="Q14" s="769">
        <f t="shared" si="2"/>
        <v>0</v>
      </c>
      <c r="R14" s="434">
        <f t="shared" si="5"/>
        <v>0</v>
      </c>
      <c r="S14" s="744"/>
      <c r="T14" s="745"/>
      <c r="U14" s="769">
        <f t="shared" si="6"/>
        <v>0</v>
      </c>
      <c r="V14" s="435">
        <f t="shared" si="16"/>
        <v>0</v>
      </c>
      <c r="W14" s="744"/>
      <c r="X14" s="750"/>
      <c r="Y14" s="769">
        <f t="shared" si="8"/>
        <v>0</v>
      </c>
      <c r="Z14" s="748">
        <f t="shared" si="9"/>
        <v>0</v>
      </c>
      <c r="AA14" s="756">
        <f t="shared" si="10"/>
        <v>0</v>
      </c>
      <c r="AB14" s="753"/>
      <c r="AC14" s="733">
        <f t="shared" si="11"/>
        <v>0</v>
      </c>
      <c r="AD14" s="735"/>
      <c r="AE14" s="179">
        <f t="shared" si="15"/>
        <v>0</v>
      </c>
      <c r="AF14" s="763">
        <f>'Lpg (2)'!B18*2000/85</f>
        <v>0</v>
      </c>
      <c r="AG14" s="267">
        <f>'Lpg (2)'!C18*1000/85</f>
        <v>0</v>
      </c>
      <c r="AH14" s="776">
        <f>'Lpg (2)'!D18*1000/85</f>
        <v>0</v>
      </c>
      <c r="AI14" s="766">
        <f t="shared" si="12"/>
        <v>0</v>
      </c>
      <c r="AJ14" s="436">
        <f t="shared" si="4"/>
        <v>0</v>
      </c>
      <c r="AK14" s="133"/>
    </row>
    <row r="15" spans="1:37" ht="18.75">
      <c r="A15" s="797">
        <f>Gen!B20</f>
        <v>44145</v>
      </c>
      <c r="B15" s="433">
        <f>'Summery Report'!E14</f>
        <v>0</v>
      </c>
      <c r="C15" s="802">
        <f>Gen!C20</f>
        <v>0</v>
      </c>
      <c r="D15" s="764">
        <f>'Summery Report'!E14</f>
        <v>0</v>
      </c>
      <c r="E15" s="764">
        <f t="shared" si="13"/>
        <v>1.3262195121951219</v>
      </c>
      <c r="F15" s="446" t="e">
        <f t="shared" si="14"/>
        <v>#DIV/0!</v>
      </c>
      <c r="G15" s="446" t="e">
        <f t="shared" si="0"/>
        <v>#DIV/0!</v>
      </c>
      <c r="H15" s="764">
        <f>Gen!D20</f>
        <v>46132.800000000003</v>
      </c>
      <c r="I15" s="764">
        <f>Gen!F20</f>
        <v>0</v>
      </c>
      <c r="J15" s="803">
        <f>Gen!T20</f>
        <v>0</v>
      </c>
      <c r="K15" s="808">
        <f>Gen!AK20</f>
        <v>0</v>
      </c>
      <c r="L15" s="799">
        <f t="shared" si="17"/>
        <v>0</v>
      </c>
      <c r="M15" s="457">
        <f>'Water-Meter'!K55</f>
        <v>0</v>
      </c>
      <c r="N15" s="759">
        <f>'Water-Meter'!E15</f>
        <v>0</v>
      </c>
      <c r="O15" s="749"/>
      <c r="P15" s="757"/>
      <c r="Q15" s="769">
        <f t="shared" si="2"/>
        <v>0</v>
      </c>
      <c r="R15" s="434">
        <f t="shared" si="5"/>
        <v>0</v>
      </c>
      <c r="S15" s="744"/>
      <c r="T15" s="745"/>
      <c r="U15" s="769">
        <f t="shared" si="6"/>
        <v>0</v>
      </c>
      <c r="V15" s="435">
        <f t="shared" si="16"/>
        <v>0</v>
      </c>
      <c r="W15" s="744"/>
      <c r="X15" s="750"/>
      <c r="Y15" s="769">
        <f t="shared" si="8"/>
        <v>0</v>
      </c>
      <c r="Z15" s="748">
        <f t="shared" si="9"/>
        <v>0</v>
      </c>
      <c r="AA15" s="756">
        <f t="shared" si="10"/>
        <v>0</v>
      </c>
      <c r="AB15" s="753"/>
      <c r="AC15" s="733">
        <f t="shared" si="11"/>
        <v>0</v>
      </c>
      <c r="AD15" s="735"/>
      <c r="AE15" s="179">
        <f>AD15-AD14</f>
        <v>0</v>
      </c>
      <c r="AF15" s="763">
        <f>'Lpg (2)'!B19*2000/85</f>
        <v>0</v>
      </c>
      <c r="AG15" s="267">
        <f>'Lpg (2)'!C19*1000/85</f>
        <v>0</v>
      </c>
      <c r="AH15" s="776">
        <f>'Lpg (2)'!D19*1000/85</f>
        <v>0</v>
      </c>
      <c r="AI15" s="766">
        <f t="shared" ref="AI15:AI35" si="18">SUM(AF15*2000)+(AG15*1000)+(AH15*1000)</f>
        <v>0</v>
      </c>
      <c r="AJ15" s="436">
        <f t="shared" si="4"/>
        <v>0</v>
      </c>
      <c r="AK15" s="133"/>
    </row>
    <row r="16" spans="1:37" ht="18.75">
      <c r="A16" s="797">
        <f>Gen!B21</f>
        <v>44146</v>
      </c>
      <c r="B16" s="433">
        <f>'Summery Report'!E15</f>
        <v>0</v>
      </c>
      <c r="C16" s="802">
        <f>Gen!C21</f>
        <v>0</v>
      </c>
      <c r="D16" s="764">
        <f>'Summery Report'!E15</f>
        <v>0</v>
      </c>
      <c r="E16" s="764">
        <f t="shared" si="13"/>
        <v>1.3262195121951219</v>
      </c>
      <c r="F16" s="446" t="e">
        <f t="shared" si="14"/>
        <v>#DIV/0!</v>
      </c>
      <c r="G16" s="446" t="e">
        <f t="shared" si="0"/>
        <v>#DIV/0!</v>
      </c>
      <c r="H16" s="764">
        <f>Gen!D21</f>
        <v>46132.800000000003</v>
      </c>
      <c r="I16" s="764">
        <f>Gen!F21</f>
        <v>0</v>
      </c>
      <c r="J16" s="803">
        <f>Gen!T21</f>
        <v>0</v>
      </c>
      <c r="K16" s="808">
        <f>Gen!AK21</f>
        <v>0</v>
      </c>
      <c r="L16" s="799">
        <f t="shared" si="17"/>
        <v>0</v>
      </c>
      <c r="M16" s="457">
        <f>'Water-Meter'!K56</f>
        <v>0</v>
      </c>
      <c r="N16" s="759">
        <f>'Water-Meter'!E16</f>
        <v>0</v>
      </c>
      <c r="O16" s="749"/>
      <c r="P16" s="757"/>
      <c r="Q16" s="769">
        <f t="shared" si="2"/>
        <v>0</v>
      </c>
      <c r="R16" s="434">
        <f t="shared" si="5"/>
        <v>0</v>
      </c>
      <c r="S16" s="744"/>
      <c r="T16" s="745"/>
      <c r="U16" s="769">
        <f t="shared" si="6"/>
        <v>0</v>
      </c>
      <c r="V16" s="435">
        <f t="shared" si="16"/>
        <v>0</v>
      </c>
      <c r="W16" s="744"/>
      <c r="X16" s="750"/>
      <c r="Y16" s="769">
        <f t="shared" si="8"/>
        <v>0</v>
      </c>
      <c r="Z16" s="748">
        <f t="shared" si="9"/>
        <v>0</v>
      </c>
      <c r="AA16" s="756">
        <f t="shared" si="10"/>
        <v>0</v>
      </c>
      <c r="AB16" s="753"/>
      <c r="AC16" s="733">
        <f t="shared" si="11"/>
        <v>0</v>
      </c>
      <c r="AD16" s="735"/>
      <c r="AE16" s="179">
        <f t="shared" si="15"/>
        <v>0</v>
      </c>
      <c r="AF16" s="763">
        <f>'Lpg (2)'!B20*2000/85</f>
        <v>0</v>
      </c>
      <c r="AG16" s="267">
        <f>'Lpg (2)'!C20*1000/85</f>
        <v>0</v>
      </c>
      <c r="AH16" s="776">
        <f>'Lpg (2)'!D20*1000/85</f>
        <v>0</v>
      </c>
      <c r="AI16" s="766">
        <f t="shared" si="18"/>
        <v>0</v>
      </c>
      <c r="AJ16" s="436">
        <f t="shared" si="4"/>
        <v>0</v>
      </c>
      <c r="AK16" s="133"/>
    </row>
    <row r="17" spans="1:37" ht="18.75">
      <c r="A17" s="797">
        <f>Gen!B22</f>
        <v>44147</v>
      </c>
      <c r="B17" s="433">
        <f>'Summery Report'!E16</f>
        <v>0</v>
      </c>
      <c r="C17" s="802">
        <f>Gen!C22</f>
        <v>0</v>
      </c>
      <c r="D17" s="764">
        <f>'Summery Report'!E16</f>
        <v>0</v>
      </c>
      <c r="E17" s="764">
        <f t="shared" si="13"/>
        <v>1.3262195121951219</v>
      </c>
      <c r="F17" s="446" t="e">
        <f t="shared" si="14"/>
        <v>#DIV/0!</v>
      </c>
      <c r="G17" s="446" t="e">
        <f t="shared" si="0"/>
        <v>#DIV/0!</v>
      </c>
      <c r="H17" s="764">
        <f>Gen!D22</f>
        <v>46132.800000000003</v>
      </c>
      <c r="I17" s="764">
        <f>Gen!F22</f>
        <v>0</v>
      </c>
      <c r="J17" s="803">
        <f>Gen!T22</f>
        <v>0</v>
      </c>
      <c r="K17" s="808">
        <f>Gen!AK22</f>
        <v>0</v>
      </c>
      <c r="L17" s="799">
        <f t="shared" si="17"/>
        <v>0</v>
      </c>
      <c r="M17" s="457">
        <f>'Water-Meter'!K57</f>
        <v>0</v>
      </c>
      <c r="N17" s="759">
        <f>'Water-Meter'!E17</f>
        <v>0</v>
      </c>
      <c r="O17" s="749"/>
      <c r="P17" s="757"/>
      <c r="Q17" s="769">
        <f>SUM(P18-P16)</f>
        <v>0</v>
      </c>
      <c r="R17" s="434">
        <f t="shared" si="5"/>
        <v>0</v>
      </c>
      <c r="S17" s="744"/>
      <c r="T17" s="745"/>
      <c r="U17" s="769">
        <f t="shared" si="6"/>
        <v>0</v>
      </c>
      <c r="V17" s="435">
        <f t="shared" ref="V17:V36" si="19">SUM(U17*S17)</f>
        <v>0</v>
      </c>
      <c r="W17" s="744"/>
      <c r="X17" s="750"/>
      <c r="Y17" s="769">
        <f t="shared" si="8"/>
        <v>0</v>
      </c>
      <c r="Z17" s="748">
        <f t="shared" si="9"/>
        <v>0</v>
      </c>
      <c r="AA17" s="756">
        <f t="shared" si="10"/>
        <v>0</v>
      </c>
      <c r="AB17" s="753"/>
      <c r="AC17" s="733">
        <f t="shared" si="11"/>
        <v>0</v>
      </c>
      <c r="AD17" s="735"/>
      <c r="AE17" s="179">
        <f t="shared" si="15"/>
        <v>0</v>
      </c>
      <c r="AF17" s="763">
        <f>'Lpg (2)'!B21*2000/85</f>
        <v>0</v>
      </c>
      <c r="AG17" s="267">
        <f>'Lpg (2)'!C21*1000/85</f>
        <v>0</v>
      </c>
      <c r="AH17" s="776">
        <f>'Lpg (2)'!D21*1000/85</f>
        <v>0</v>
      </c>
      <c r="AI17" s="766">
        <f t="shared" si="18"/>
        <v>0</v>
      </c>
      <c r="AJ17" s="436">
        <f t="shared" si="4"/>
        <v>0</v>
      </c>
      <c r="AK17" s="133"/>
    </row>
    <row r="18" spans="1:37" ht="18.75">
      <c r="A18" s="797">
        <f>Gen!B23</f>
        <v>44148</v>
      </c>
      <c r="B18" s="433">
        <f>'Summery Report'!E17</f>
        <v>0</v>
      </c>
      <c r="C18" s="802">
        <f>Gen!C23</f>
        <v>0</v>
      </c>
      <c r="D18" s="764">
        <f>'Summery Report'!E17</f>
        <v>0</v>
      </c>
      <c r="E18" s="764">
        <f t="shared" si="13"/>
        <v>1.3262195121951219</v>
      </c>
      <c r="F18" s="446" t="e">
        <f t="shared" si="14"/>
        <v>#DIV/0!</v>
      </c>
      <c r="G18" s="446" t="e">
        <f t="shared" si="0"/>
        <v>#DIV/0!</v>
      </c>
      <c r="H18" s="764">
        <f>Gen!D23</f>
        <v>46132.800000000003</v>
      </c>
      <c r="I18" s="764">
        <f>Gen!F23</f>
        <v>0</v>
      </c>
      <c r="J18" s="803">
        <f>Gen!T23</f>
        <v>0</v>
      </c>
      <c r="K18" s="808">
        <f>Gen!AK23</f>
        <v>0</v>
      </c>
      <c r="L18" s="799">
        <f t="shared" si="17"/>
        <v>0</v>
      </c>
      <c r="M18" s="457">
        <f>'Water-Meter'!K58</f>
        <v>0</v>
      </c>
      <c r="N18" s="759">
        <f>'Water-Meter'!E18</f>
        <v>0</v>
      </c>
      <c r="O18" s="749"/>
      <c r="P18" s="757"/>
      <c r="Q18" s="769"/>
      <c r="R18" s="434">
        <f t="shared" si="5"/>
        <v>0</v>
      </c>
      <c r="S18" s="744"/>
      <c r="T18" s="745"/>
      <c r="U18" s="769">
        <f t="shared" si="6"/>
        <v>0</v>
      </c>
      <c r="V18" s="435">
        <f t="shared" si="19"/>
        <v>0</v>
      </c>
      <c r="W18" s="744"/>
      <c r="X18" s="750"/>
      <c r="Y18" s="769">
        <f t="shared" si="8"/>
        <v>0</v>
      </c>
      <c r="Z18" s="748">
        <f t="shared" si="9"/>
        <v>0</v>
      </c>
      <c r="AA18" s="756">
        <f t="shared" si="10"/>
        <v>0</v>
      </c>
      <c r="AB18" s="753"/>
      <c r="AC18" s="733">
        <f t="shared" si="11"/>
        <v>0</v>
      </c>
      <c r="AD18" s="735"/>
      <c r="AE18" s="179">
        <f t="shared" si="15"/>
        <v>0</v>
      </c>
      <c r="AF18" s="763">
        <f>'Lpg (2)'!B22*2000/85</f>
        <v>0</v>
      </c>
      <c r="AG18" s="267">
        <f>'Lpg (2)'!C22*1000/85</f>
        <v>0</v>
      </c>
      <c r="AH18" s="776">
        <f>'Lpg (2)'!D22*1000/85</f>
        <v>0</v>
      </c>
      <c r="AI18" s="766">
        <f t="shared" si="18"/>
        <v>0</v>
      </c>
      <c r="AJ18" s="436">
        <f t="shared" si="4"/>
        <v>0</v>
      </c>
      <c r="AK18" s="133"/>
    </row>
    <row r="19" spans="1:37" ht="18.75">
      <c r="A19" s="797">
        <f>Gen!B24</f>
        <v>44149</v>
      </c>
      <c r="B19" s="433">
        <f>'Summery Report'!E18</f>
        <v>0</v>
      </c>
      <c r="C19" s="802">
        <f>Gen!C24</f>
        <v>0</v>
      </c>
      <c r="D19" s="764">
        <f>'Summery Report'!E18</f>
        <v>0</v>
      </c>
      <c r="E19" s="764">
        <f t="shared" si="13"/>
        <v>1.3262195121951219</v>
      </c>
      <c r="F19" s="446" t="e">
        <f t="shared" si="14"/>
        <v>#DIV/0!</v>
      </c>
      <c r="G19" s="446" t="e">
        <f t="shared" si="0"/>
        <v>#DIV/0!</v>
      </c>
      <c r="H19" s="764">
        <f>Gen!D24</f>
        <v>46132.800000000003</v>
      </c>
      <c r="I19" s="764">
        <f>Gen!F24</f>
        <v>0</v>
      </c>
      <c r="J19" s="803">
        <f>Gen!T24</f>
        <v>0</v>
      </c>
      <c r="K19" s="808">
        <f>Gen!AK24</f>
        <v>0</v>
      </c>
      <c r="L19" s="799">
        <f t="shared" si="17"/>
        <v>0</v>
      </c>
      <c r="M19" s="457">
        <f>'Water-Meter'!K59</f>
        <v>0</v>
      </c>
      <c r="N19" s="759">
        <f>'Water-Meter'!E19</f>
        <v>0</v>
      </c>
      <c r="O19" s="749"/>
      <c r="P19" s="757"/>
      <c r="Q19" s="769"/>
      <c r="R19" s="434">
        <f t="shared" si="5"/>
        <v>0</v>
      </c>
      <c r="S19" s="744"/>
      <c r="T19" s="745"/>
      <c r="U19" s="769">
        <f t="shared" si="6"/>
        <v>0</v>
      </c>
      <c r="V19" s="435">
        <f t="shared" si="19"/>
        <v>0</v>
      </c>
      <c r="W19" s="744"/>
      <c r="X19" s="750"/>
      <c r="Y19" s="769">
        <f t="shared" si="8"/>
        <v>0</v>
      </c>
      <c r="Z19" s="748">
        <f t="shared" si="9"/>
        <v>0</v>
      </c>
      <c r="AA19" s="756">
        <f t="shared" si="10"/>
        <v>0</v>
      </c>
      <c r="AB19" s="753"/>
      <c r="AC19" s="733">
        <f t="shared" si="11"/>
        <v>0</v>
      </c>
      <c r="AD19" s="735"/>
      <c r="AE19" s="179">
        <f t="shared" si="15"/>
        <v>0</v>
      </c>
      <c r="AF19" s="763">
        <f>'Lpg (2)'!B23*2000/85</f>
        <v>0</v>
      </c>
      <c r="AG19" s="267">
        <f>'Lpg (2)'!C23*1000/85</f>
        <v>0</v>
      </c>
      <c r="AH19" s="776">
        <f>'Lpg (2)'!D23*1000/85</f>
        <v>0</v>
      </c>
      <c r="AI19" s="766">
        <f t="shared" si="18"/>
        <v>0</v>
      </c>
      <c r="AJ19" s="436">
        <f t="shared" si="4"/>
        <v>0</v>
      </c>
      <c r="AK19" s="133"/>
    </row>
    <row r="20" spans="1:37" ht="18.75">
      <c r="A20" s="797">
        <f>Gen!B25</f>
        <v>44150</v>
      </c>
      <c r="B20" s="433">
        <f>'Summery Report'!E19</f>
        <v>0</v>
      </c>
      <c r="C20" s="802">
        <f>Gen!C25</f>
        <v>0</v>
      </c>
      <c r="D20" s="764">
        <f>'Summery Report'!E19</f>
        <v>0</v>
      </c>
      <c r="E20" s="764">
        <f t="shared" si="13"/>
        <v>1.3262195121951219</v>
      </c>
      <c r="F20" s="446" t="e">
        <f t="shared" si="14"/>
        <v>#DIV/0!</v>
      </c>
      <c r="G20" s="446" t="e">
        <f t="shared" si="0"/>
        <v>#DIV/0!</v>
      </c>
      <c r="H20" s="764">
        <f>Gen!D25</f>
        <v>46132.800000000003</v>
      </c>
      <c r="I20" s="764">
        <f>Gen!F25</f>
        <v>0</v>
      </c>
      <c r="J20" s="803">
        <f>Gen!T25</f>
        <v>0</v>
      </c>
      <c r="K20" s="808">
        <f>Gen!AK25</f>
        <v>0</v>
      </c>
      <c r="L20" s="799">
        <f t="shared" si="17"/>
        <v>0</v>
      </c>
      <c r="M20" s="457">
        <f>'Water-Meter'!K60</f>
        <v>0</v>
      </c>
      <c r="N20" s="759">
        <f>'Water-Meter'!E20</f>
        <v>0</v>
      </c>
      <c r="O20" s="749"/>
      <c r="P20" s="757"/>
      <c r="Q20" s="769">
        <f t="shared" si="2"/>
        <v>0</v>
      </c>
      <c r="R20" s="434">
        <f t="shared" si="5"/>
        <v>0</v>
      </c>
      <c r="S20" s="744"/>
      <c r="T20" s="745"/>
      <c r="U20" s="769">
        <f t="shared" si="6"/>
        <v>0</v>
      </c>
      <c r="V20" s="435">
        <f t="shared" si="19"/>
        <v>0</v>
      </c>
      <c r="W20" s="744"/>
      <c r="X20" s="750"/>
      <c r="Y20" s="769">
        <f t="shared" si="8"/>
        <v>0</v>
      </c>
      <c r="Z20" s="748">
        <f t="shared" si="9"/>
        <v>0</v>
      </c>
      <c r="AA20" s="756">
        <f t="shared" si="10"/>
        <v>0</v>
      </c>
      <c r="AB20" s="753"/>
      <c r="AC20" s="733">
        <f t="shared" si="11"/>
        <v>0</v>
      </c>
      <c r="AD20" s="735"/>
      <c r="AE20" s="179">
        <f t="shared" si="15"/>
        <v>0</v>
      </c>
      <c r="AF20" s="763">
        <f>'Lpg (2)'!B24*2000/85</f>
        <v>0</v>
      </c>
      <c r="AG20" s="267">
        <f>'Lpg (2)'!C24*1000/85</f>
        <v>0</v>
      </c>
      <c r="AH20" s="776">
        <f>'Lpg (2)'!D24*1000/85</f>
        <v>0</v>
      </c>
      <c r="AI20" s="766">
        <f t="shared" si="18"/>
        <v>0</v>
      </c>
      <c r="AJ20" s="436">
        <f t="shared" si="4"/>
        <v>0</v>
      </c>
      <c r="AK20" s="133"/>
    </row>
    <row r="21" spans="1:37" ht="18.75">
      <c r="A21" s="797">
        <f>Gen!B26</f>
        <v>44151</v>
      </c>
      <c r="B21" s="433">
        <f>'Summery Report'!E20</f>
        <v>0</v>
      </c>
      <c r="C21" s="802">
        <f>Gen!C26</f>
        <v>0</v>
      </c>
      <c r="D21" s="764">
        <f>'Summery Report'!E20</f>
        <v>0</v>
      </c>
      <c r="E21" s="764">
        <f t="shared" si="13"/>
        <v>1.3262195121951219</v>
      </c>
      <c r="F21" s="446" t="e">
        <f t="shared" si="14"/>
        <v>#DIV/0!</v>
      </c>
      <c r="G21" s="446" t="e">
        <f t="shared" si="0"/>
        <v>#DIV/0!</v>
      </c>
      <c r="H21" s="764">
        <f>Gen!D26</f>
        <v>46132.800000000003</v>
      </c>
      <c r="I21" s="764">
        <f>Gen!F26</f>
        <v>0</v>
      </c>
      <c r="J21" s="803">
        <f>Gen!T26</f>
        <v>0</v>
      </c>
      <c r="K21" s="808">
        <f>Gen!AK26</f>
        <v>0</v>
      </c>
      <c r="L21" s="799">
        <f t="shared" si="17"/>
        <v>0</v>
      </c>
      <c r="M21" s="457">
        <f>'Water-Meter'!K61</f>
        <v>0</v>
      </c>
      <c r="N21" s="759">
        <f>'Water-Meter'!E21</f>
        <v>0</v>
      </c>
      <c r="O21" s="749"/>
      <c r="P21" s="757"/>
      <c r="Q21" s="769">
        <f t="shared" si="2"/>
        <v>0</v>
      </c>
      <c r="R21" s="434">
        <f t="shared" si="5"/>
        <v>0</v>
      </c>
      <c r="S21" s="744"/>
      <c r="T21" s="745"/>
      <c r="U21" s="769">
        <f>T22-T20</f>
        <v>0</v>
      </c>
      <c r="V21" s="435">
        <f t="shared" si="19"/>
        <v>0</v>
      </c>
      <c r="W21" s="744"/>
      <c r="X21" s="750"/>
      <c r="Y21" s="769">
        <f t="shared" si="8"/>
        <v>0</v>
      </c>
      <c r="Z21" s="748">
        <f t="shared" si="9"/>
        <v>0</v>
      </c>
      <c r="AA21" s="756">
        <f t="shared" si="10"/>
        <v>0</v>
      </c>
      <c r="AB21" s="753"/>
      <c r="AC21" s="733">
        <f t="shared" si="11"/>
        <v>0</v>
      </c>
      <c r="AD21" s="735"/>
      <c r="AE21" s="179">
        <f t="shared" si="15"/>
        <v>0</v>
      </c>
      <c r="AF21" s="763">
        <f>'Lpg (2)'!B25*2000/85</f>
        <v>0</v>
      </c>
      <c r="AG21" s="267">
        <f>'Lpg (2)'!C25*1000/85</f>
        <v>0</v>
      </c>
      <c r="AH21" s="776">
        <f>'Lpg (2)'!D25*1000/85</f>
        <v>0</v>
      </c>
      <c r="AI21" s="766">
        <f t="shared" si="18"/>
        <v>0</v>
      </c>
      <c r="AJ21" s="436">
        <f t="shared" si="4"/>
        <v>0</v>
      </c>
      <c r="AK21" s="133"/>
    </row>
    <row r="22" spans="1:37" ht="18.75">
      <c r="A22" s="797">
        <f>Gen!B27</f>
        <v>44152</v>
      </c>
      <c r="B22" s="433">
        <f>'Summery Report'!E21</f>
        <v>0</v>
      </c>
      <c r="C22" s="802">
        <f>Gen!C27</f>
        <v>0</v>
      </c>
      <c r="D22" s="764">
        <f>'Summery Report'!E21</f>
        <v>0</v>
      </c>
      <c r="E22" s="764">
        <f t="shared" si="13"/>
        <v>1.3262195121951219</v>
      </c>
      <c r="F22" s="446" t="e">
        <f t="shared" si="14"/>
        <v>#DIV/0!</v>
      </c>
      <c r="G22" s="446" t="e">
        <f t="shared" si="0"/>
        <v>#DIV/0!</v>
      </c>
      <c r="H22" s="764">
        <f>Gen!D27</f>
        <v>46132.800000000003</v>
      </c>
      <c r="I22" s="764">
        <f>Gen!F27</f>
        <v>0</v>
      </c>
      <c r="J22" s="803">
        <f>Gen!T27</f>
        <v>0</v>
      </c>
      <c r="K22" s="808">
        <f>Gen!AK27</f>
        <v>0</v>
      </c>
      <c r="L22" s="799">
        <f t="shared" si="17"/>
        <v>0</v>
      </c>
      <c r="M22" s="457">
        <f>'Water-Meter'!K62</f>
        <v>0</v>
      </c>
      <c r="N22" s="759">
        <f>'Water-Meter'!E22</f>
        <v>0</v>
      </c>
      <c r="O22" s="749"/>
      <c r="P22" s="757"/>
      <c r="Q22" s="769">
        <f t="shared" si="2"/>
        <v>0</v>
      </c>
      <c r="R22" s="434">
        <f t="shared" si="5"/>
        <v>0</v>
      </c>
      <c r="S22" s="744"/>
      <c r="T22" s="745"/>
      <c r="U22" s="769">
        <f t="shared" ref="U22:U23" si="20">T23-T21</f>
        <v>0</v>
      </c>
      <c r="V22" s="435">
        <f t="shared" si="19"/>
        <v>0</v>
      </c>
      <c r="W22" s="744"/>
      <c r="X22" s="750"/>
      <c r="Y22" s="769">
        <f t="shared" si="8"/>
        <v>0</v>
      </c>
      <c r="Z22" s="748">
        <f t="shared" si="9"/>
        <v>0</v>
      </c>
      <c r="AA22" s="756">
        <f t="shared" si="10"/>
        <v>0</v>
      </c>
      <c r="AB22" s="753"/>
      <c r="AC22" s="733">
        <f t="shared" si="11"/>
        <v>0</v>
      </c>
      <c r="AD22" s="735"/>
      <c r="AE22" s="179">
        <f t="shared" si="15"/>
        <v>0</v>
      </c>
      <c r="AF22" s="763">
        <f>'Lpg (2)'!B26*2000/85</f>
        <v>0</v>
      </c>
      <c r="AG22" s="267">
        <f>'Lpg (2)'!C26*1000/85</f>
        <v>0</v>
      </c>
      <c r="AH22" s="776">
        <f>'Lpg (2)'!D26*1000/85</f>
        <v>0</v>
      </c>
      <c r="AI22" s="766">
        <f t="shared" si="18"/>
        <v>0</v>
      </c>
      <c r="AJ22" s="436">
        <f t="shared" si="4"/>
        <v>0</v>
      </c>
      <c r="AK22" s="133"/>
    </row>
    <row r="23" spans="1:37" ht="18.75">
      <c r="A23" s="797">
        <f>Gen!B28</f>
        <v>44153</v>
      </c>
      <c r="B23" s="433">
        <f>'Summery Report'!E22</f>
        <v>0</v>
      </c>
      <c r="C23" s="802">
        <f>Gen!C28</f>
        <v>0</v>
      </c>
      <c r="D23" s="764">
        <f>'Summery Report'!E22</f>
        <v>0</v>
      </c>
      <c r="E23" s="764">
        <f t="shared" si="13"/>
        <v>1.3262195121951219</v>
      </c>
      <c r="F23" s="446" t="e">
        <f t="shared" si="14"/>
        <v>#DIV/0!</v>
      </c>
      <c r="G23" s="446" t="e">
        <f t="shared" si="0"/>
        <v>#DIV/0!</v>
      </c>
      <c r="H23" s="764">
        <f>Gen!D28</f>
        <v>46132.800000000003</v>
      </c>
      <c r="I23" s="764">
        <f>Gen!F28</f>
        <v>15000</v>
      </c>
      <c r="J23" s="803">
        <f>Gen!T28</f>
        <v>0</v>
      </c>
      <c r="K23" s="808">
        <f>Gen!AK28</f>
        <v>0</v>
      </c>
      <c r="L23" s="799">
        <f t="shared" si="17"/>
        <v>0</v>
      </c>
      <c r="M23" s="457">
        <f>'Water-Meter'!K63</f>
        <v>0</v>
      </c>
      <c r="N23" s="759">
        <f>'Water-Meter'!E23</f>
        <v>0</v>
      </c>
      <c r="O23" s="749"/>
      <c r="P23" s="757"/>
      <c r="Q23" s="769">
        <f t="shared" si="2"/>
        <v>0</v>
      </c>
      <c r="R23" s="434">
        <f t="shared" si="5"/>
        <v>0</v>
      </c>
      <c r="S23" s="744"/>
      <c r="T23" s="745"/>
      <c r="U23" s="769">
        <f t="shared" si="20"/>
        <v>0</v>
      </c>
      <c r="V23" s="435">
        <f t="shared" si="19"/>
        <v>0</v>
      </c>
      <c r="W23" s="744"/>
      <c r="X23" s="750"/>
      <c r="Y23" s="769">
        <f t="shared" si="8"/>
        <v>0</v>
      </c>
      <c r="Z23" s="748">
        <f t="shared" si="9"/>
        <v>0</v>
      </c>
      <c r="AA23" s="756">
        <f t="shared" si="10"/>
        <v>0</v>
      </c>
      <c r="AB23" s="753"/>
      <c r="AC23" s="733">
        <f t="shared" si="11"/>
        <v>0</v>
      </c>
      <c r="AD23" s="736"/>
      <c r="AE23" s="179">
        <f t="shared" si="15"/>
        <v>0</v>
      </c>
      <c r="AF23" s="763">
        <f>'Lpg (2)'!B27*2000/85</f>
        <v>0</v>
      </c>
      <c r="AG23" s="267">
        <f>'Lpg (2)'!C27*1000/85</f>
        <v>0</v>
      </c>
      <c r="AH23" s="776">
        <f>'Lpg (2)'!D27*1000/85</f>
        <v>0</v>
      </c>
      <c r="AI23" s="766">
        <f t="shared" si="18"/>
        <v>0</v>
      </c>
      <c r="AJ23" s="436">
        <f t="shared" si="4"/>
        <v>0</v>
      </c>
      <c r="AK23" s="133"/>
    </row>
    <row r="24" spans="1:37" ht="18.75">
      <c r="A24" s="797">
        <f>Gen!B29</f>
        <v>44154</v>
      </c>
      <c r="B24" s="433">
        <f>'Summery Report'!E23</f>
        <v>0</v>
      </c>
      <c r="C24" s="802">
        <f>Gen!C29</f>
        <v>0</v>
      </c>
      <c r="D24" s="764">
        <f>'Summery Report'!E23</f>
        <v>0</v>
      </c>
      <c r="E24" s="764">
        <f t="shared" si="13"/>
        <v>1.3262195121951219</v>
      </c>
      <c r="F24" s="446" t="e">
        <f t="shared" si="14"/>
        <v>#DIV/0!</v>
      </c>
      <c r="G24" s="446" t="e">
        <f t="shared" si="0"/>
        <v>#DIV/0!</v>
      </c>
      <c r="H24" s="764">
        <f>Gen!D29</f>
        <v>46132.800000000003</v>
      </c>
      <c r="I24" s="764">
        <f>Gen!F29</f>
        <v>0</v>
      </c>
      <c r="J24" s="803">
        <f>Gen!T29</f>
        <v>0</v>
      </c>
      <c r="K24" s="808">
        <f>Gen!AK29</f>
        <v>0</v>
      </c>
      <c r="L24" s="799">
        <f t="shared" si="17"/>
        <v>0</v>
      </c>
      <c r="M24" s="457">
        <f>'Water-Meter'!K64</f>
        <v>0</v>
      </c>
      <c r="N24" s="759">
        <f>'Water-Meter'!E24</f>
        <v>0</v>
      </c>
      <c r="O24" s="749"/>
      <c r="P24" s="757"/>
      <c r="Q24" s="769">
        <f t="shared" si="2"/>
        <v>0</v>
      </c>
      <c r="R24" s="434">
        <f t="shared" si="5"/>
        <v>0</v>
      </c>
      <c r="S24" s="744"/>
      <c r="T24" s="745"/>
      <c r="U24" s="769">
        <f t="shared" si="6"/>
        <v>0</v>
      </c>
      <c r="V24" s="435">
        <f t="shared" si="19"/>
        <v>0</v>
      </c>
      <c r="W24" s="744"/>
      <c r="X24" s="750"/>
      <c r="Y24" s="769">
        <f t="shared" si="8"/>
        <v>0</v>
      </c>
      <c r="Z24" s="748">
        <f t="shared" si="9"/>
        <v>0</v>
      </c>
      <c r="AA24" s="756">
        <f t="shared" si="10"/>
        <v>0</v>
      </c>
      <c r="AB24" s="753"/>
      <c r="AC24" s="733">
        <f t="shared" si="11"/>
        <v>0</v>
      </c>
      <c r="AD24" s="736"/>
      <c r="AE24" s="179">
        <f t="shared" si="15"/>
        <v>0</v>
      </c>
      <c r="AF24" s="763">
        <f>'Lpg (2)'!B28*2000/85</f>
        <v>0</v>
      </c>
      <c r="AG24" s="267">
        <f>'Lpg (2)'!C28*1000/85</f>
        <v>0</v>
      </c>
      <c r="AH24" s="776">
        <f>'Lpg (2)'!D28*1000/85</f>
        <v>0</v>
      </c>
      <c r="AI24" s="766">
        <f t="shared" si="18"/>
        <v>0</v>
      </c>
      <c r="AJ24" s="436">
        <f t="shared" si="4"/>
        <v>0</v>
      </c>
      <c r="AK24" s="133"/>
    </row>
    <row r="25" spans="1:37" ht="18.75">
      <c r="A25" s="797">
        <f>Gen!B30</f>
        <v>44155</v>
      </c>
      <c r="B25" s="433">
        <f>'Summery Report'!E24</f>
        <v>0</v>
      </c>
      <c r="C25" s="802">
        <f>Gen!C30</f>
        <v>0</v>
      </c>
      <c r="D25" s="764">
        <f>'Summery Report'!E24</f>
        <v>0</v>
      </c>
      <c r="E25" s="764">
        <f t="shared" si="13"/>
        <v>1.3262195121951219</v>
      </c>
      <c r="F25" s="446" t="e">
        <f t="shared" si="14"/>
        <v>#DIV/0!</v>
      </c>
      <c r="G25" s="446" t="e">
        <f t="shared" si="0"/>
        <v>#DIV/0!</v>
      </c>
      <c r="H25" s="764">
        <f>Gen!D30</f>
        <v>46132.800000000003</v>
      </c>
      <c r="I25" s="764">
        <f>Gen!F30</f>
        <v>0</v>
      </c>
      <c r="J25" s="803">
        <f>Gen!T30</f>
        <v>0</v>
      </c>
      <c r="K25" s="808">
        <f>Gen!AK30</f>
        <v>0</v>
      </c>
      <c r="L25" s="799">
        <f t="shared" si="17"/>
        <v>0</v>
      </c>
      <c r="M25" s="457">
        <f>'Water-Meter'!K65</f>
        <v>0</v>
      </c>
      <c r="N25" s="759">
        <f>'Water-Meter'!E25</f>
        <v>0</v>
      </c>
      <c r="O25" s="749"/>
      <c r="P25" s="757"/>
      <c r="Q25" s="769">
        <f t="shared" si="2"/>
        <v>0</v>
      </c>
      <c r="R25" s="434">
        <f t="shared" si="5"/>
        <v>0</v>
      </c>
      <c r="S25" s="744"/>
      <c r="T25" s="745"/>
      <c r="U25" s="769">
        <f t="shared" si="6"/>
        <v>0</v>
      </c>
      <c r="V25" s="435">
        <f t="shared" si="19"/>
        <v>0</v>
      </c>
      <c r="W25" s="744"/>
      <c r="X25" s="750"/>
      <c r="Y25" s="769">
        <f t="shared" si="8"/>
        <v>0</v>
      </c>
      <c r="Z25" s="748">
        <f t="shared" si="9"/>
        <v>0</v>
      </c>
      <c r="AA25" s="756">
        <f t="shared" si="10"/>
        <v>0</v>
      </c>
      <c r="AB25" s="753"/>
      <c r="AC25" s="733">
        <f t="shared" si="11"/>
        <v>0</v>
      </c>
      <c r="AD25" s="736"/>
      <c r="AE25" s="179">
        <f t="shared" si="15"/>
        <v>0</v>
      </c>
      <c r="AF25" s="763">
        <f>'Lpg (2)'!B29*2000/85</f>
        <v>0</v>
      </c>
      <c r="AG25" s="267">
        <f>'Lpg (2)'!C29*1000/85</f>
        <v>0</v>
      </c>
      <c r="AH25" s="776">
        <f>'Lpg (2)'!D29*1000/85</f>
        <v>0</v>
      </c>
      <c r="AI25" s="766">
        <f t="shared" si="18"/>
        <v>0</v>
      </c>
      <c r="AJ25" s="436">
        <f t="shared" si="4"/>
        <v>0</v>
      </c>
      <c r="AK25" s="133"/>
    </row>
    <row r="26" spans="1:37" ht="18.75">
      <c r="A26" s="797">
        <f>Gen!B31</f>
        <v>44156</v>
      </c>
      <c r="B26" s="433">
        <f>'Summery Report'!E25</f>
        <v>0</v>
      </c>
      <c r="C26" s="802">
        <f>Gen!C31</f>
        <v>0</v>
      </c>
      <c r="D26" s="764">
        <f>'Summery Report'!E25</f>
        <v>0</v>
      </c>
      <c r="E26" s="764">
        <f t="shared" si="13"/>
        <v>1.3262195121951219</v>
      </c>
      <c r="F26" s="446" t="e">
        <f>SUM(J26*E26)/D26</f>
        <v>#DIV/0!</v>
      </c>
      <c r="G26" s="446" t="e">
        <f t="shared" si="0"/>
        <v>#DIV/0!</v>
      </c>
      <c r="H26" s="764">
        <f>Gen!D31</f>
        <v>46132.800000000003</v>
      </c>
      <c r="I26" s="764">
        <f>Gen!F31</f>
        <v>0</v>
      </c>
      <c r="J26" s="803">
        <f>Gen!T31</f>
        <v>0</v>
      </c>
      <c r="K26" s="808">
        <f>Gen!AK31</f>
        <v>0</v>
      </c>
      <c r="L26" s="799">
        <f t="shared" si="17"/>
        <v>0</v>
      </c>
      <c r="M26" s="457">
        <f>'Water-Meter'!K66</f>
        <v>0</v>
      </c>
      <c r="N26" s="759">
        <f>'Water-Meter'!E26</f>
        <v>0</v>
      </c>
      <c r="O26" s="749"/>
      <c r="P26" s="757"/>
      <c r="Q26" s="769">
        <f t="shared" si="2"/>
        <v>0</v>
      </c>
      <c r="R26" s="434">
        <f t="shared" si="5"/>
        <v>0</v>
      </c>
      <c r="S26" s="744"/>
      <c r="T26" s="745"/>
      <c r="U26" s="769">
        <f t="shared" si="6"/>
        <v>0</v>
      </c>
      <c r="V26" s="435">
        <f t="shared" si="19"/>
        <v>0</v>
      </c>
      <c r="W26" s="744"/>
      <c r="X26" s="750"/>
      <c r="Y26" s="769">
        <f t="shared" si="8"/>
        <v>0</v>
      </c>
      <c r="Z26" s="748">
        <f t="shared" si="9"/>
        <v>0</v>
      </c>
      <c r="AA26" s="756">
        <f t="shared" si="10"/>
        <v>0</v>
      </c>
      <c r="AB26" s="753"/>
      <c r="AC26" s="733">
        <f t="shared" si="11"/>
        <v>0</v>
      </c>
      <c r="AD26" s="736"/>
      <c r="AE26" s="179">
        <f t="shared" si="15"/>
        <v>0</v>
      </c>
      <c r="AF26" s="763">
        <f>'Lpg (2)'!B30*2000/85</f>
        <v>0</v>
      </c>
      <c r="AG26" s="267">
        <f>'Lpg (2)'!C30*1000/85</f>
        <v>0</v>
      </c>
      <c r="AH26" s="776">
        <f>'Lpg (2)'!D30*1000/85</f>
        <v>0</v>
      </c>
      <c r="AI26" s="766">
        <f t="shared" si="18"/>
        <v>0</v>
      </c>
      <c r="AJ26" s="436">
        <f t="shared" si="4"/>
        <v>0</v>
      </c>
      <c r="AK26" s="133"/>
    </row>
    <row r="27" spans="1:37" ht="18.75">
      <c r="A27" s="797">
        <f>Gen!B32</f>
        <v>44157</v>
      </c>
      <c r="B27" s="433">
        <f>'Summery Report'!E26</f>
        <v>0</v>
      </c>
      <c r="C27" s="802">
        <f>Gen!C32</f>
        <v>0</v>
      </c>
      <c r="D27" s="764">
        <f>'Summery Report'!E26</f>
        <v>0</v>
      </c>
      <c r="E27" s="764">
        <f t="shared" si="13"/>
        <v>1.3262195121951219</v>
      </c>
      <c r="F27" s="446" t="e">
        <f t="shared" si="14"/>
        <v>#DIV/0!</v>
      </c>
      <c r="G27" s="446" t="e">
        <f t="shared" si="0"/>
        <v>#DIV/0!</v>
      </c>
      <c r="H27" s="764">
        <f>Gen!D32</f>
        <v>46132.800000000003</v>
      </c>
      <c r="I27" s="764">
        <f>Gen!F32</f>
        <v>0</v>
      </c>
      <c r="J27" s="803">
        <f>Gen!T32</f>
        <v>0</v>
      </c>
      <c r="K27" s="808">
        <f>Gen!AK32</f>
        <v>0</v>
      </c>
      <c r="L27" s="799">
        <f t="shared" si="17"/>
        <v>0</v>
      </c>
      <c r="M27" s="457">
        <f>'Water-Meter'!K67</f>
        <v>0</v>
      </c>
      <c r="N27" s="759">
        <f>'Water-Meter'!E27</f>
        <v>0</v>
      </c>
      <c r="O27" s="749"/>
      <c r="P27" s="757"/>
      <c r="Q27" s="769">
        <f t="shared" si="2"/>
        <v>0</v>
      </c>
      <c r="R27" s="434">
        <f t="shared" si="5"/>
        <v>0</v>
      </c>
      <c r="S27" s="744"/>
      <c r="T27" s="745"/>
      <c r="U27" s="769">
        <f t="shared" si="6"/>
        <v>0</v>
      </c>
      <c r="V27" s="435">
        <f t="shared" si="19"/>
        <v>0</v>
      </c>
      <c r="W27" s="744"/>
      <c r="X27" s="750"/>
      <c r="Y27" s="769">
        <f t="shared" si="8"/>
        <v>0</v>
      </c>
      <c r="Z27" s="748">
        <f t="shared" si="9"/>
        <v>0</v>
      </c>
      <c r="AA27" s="756">
        <f t="shared" si="10"/>
        <v>0</v>
      </c>
      <c r="AB27" s="753"/>
      <c r="AC27" s="733">
        <f t="shared" si="11"/>
        <v>0</v>
      </c>
      <c r="AD27" s="736"/>
      <c r="AE27" s="179">
        <f t="shared" si="15"/>
        <v>0</v>
      </c>
      <c r="AF27" s="763">
        <f>'Lpg (2)'!B31*2000/85</f>
        <v>0</v>
      </c>
      <c r="AG27" s="267">
        <f>'Lpg (2)'!C31*1000/85</f>
        <v>0</v>
      </c>
      <c r="AH27" s="776">
        <f>'Lpg (2)'!D31*1000/85</f>
        <v>0</v>
      </c>
      <c r="AI27" s="766">
        <f t="shared" si="18"/>
        <v>0</v>
      </c>
      <c r="AJ27" s="436">
        <f t="shared" si="4"/>
        <v>0</v>
      </c>
      <c r="AK27" s="133"/>
    </row>
    <row r="28" spans="1:37" ht="18.75">
      <c r="A28" s="797">
        <f>Gen!B33</f>
        <v>44158</v>
      </c>
      <c r="B28" s="433">
        <f>'Summery Report'!E27</f>
        <v>0</v>
      </c>
      <c r="C28" s="802">
        <f>Gen!C33</f>
        <v>0</v>
      </c>
      <c r="D28" s="764">
        <f>'Summery Report'!E27</f>
        <v>0</v>
      </c>
      <c r="E28" s="764">
        <f t="shared" si="13"/>
        <v>1.3262195121951219</v>
      </c>
      <c r="F28" s="446" t="e">
        <f t="shared" si="14"/>
        <v>#DIV/0!</v>
      </c>
      <c r="G28" s="446" t="e">
        <f t="shared" si="0"/>
        <v>#DIV/0!</v>
      </c>
      <c r="H28" s="764">
        <f>Gen!D33</f>
        <v>46132.800000000003</v>
      </c>
      <c r="I28" s="764">
        <f>Gen!F33</f>
        <v>0</v>
      </c>
      <c r="J28" s="803">
        <f>Gen!T33</f>
        <v>0</v>
      </c>
      <c r="K28" s="808">
        <f>Gen!AK33</f>
        <v>0</v>
      </c>
      <c r="L28" s="799">
        <f t="shared" si="17"/>
        <v>0</v>
      </c>
      <c r="M28" s="457">
        <f>'Water-Meter'!K68</f>
        <v>0</v>
      </c>
      <c r="N28" s="759">
        <f>'Water-Meter'!E28</f>
        <v>0</v>
      </c>
      <c r="O28" s="749"/>
      <c r="P28" s="757"/>
      <c r="Q28" s="769">
        <f t="shared" si="2"/>
        <v>0</v>
      </c>
      <c r="R28" s="434">
        <f t="shared" si="5"/>
        <v>0</v>
      </c>
      <c r="S28" s="744"/>
      <c r="T28" s="745"/>
      <c r="U28" s="769">
        <f t="shared" si="6"/>
        <v>0</v>
      </c>
      <c r="V28" s="435">
        <f t="shared" si="19"/>
        <v>0</v>
      </c>
      <c r="W28" s="744"/>
      <c r="X28" s="750"/>
      <c r="Y28" s="769">
        <f t="shared" si="8"/>
        <v>0</v>
      </c>
      <c r="Z28" s="748">
        <f t="shared" si="9"/>
        <v>0</v>
      </c>
      <c r="AA28" s="756">
        <f t="shared" si="10"/>
        <v>0</v>
      </c>
      <c r="AB28" s="753"/>
      <c r="AC28" s="733">
        <f t="shared" ref="AC28:AC37" si="21">SUM(AB28-AB27)</f>
        <v>0</v>
      </c>
      <c r="AD28" s="736"/>
      <c r="AE28" s="179">
        <f t="shared" si="15"/>
        <v>0</v>
      </c>
      <c r="AF28" s="763">
        <f>'Lpg (2)'!B32*2000/85</f>
        <v>0</v>
      </c>
      <c r="AG28" s="267">
        <f>'Lpg (2)'!C32*1000/85</f>
        <v>0</v>
      </c>
      <c r="AH28" s="776">
        <f>'Lpg (2)'!D32*1000/85</f>
        <v>0</v>
      </c>
      <c r="AI28" s="766">
        <f t="shared" si="18"/>
        <v>0</v>
      </c>
      <c r="AJ28" s="436">
        <f t="shared" si="4"/>
        <v>0</v>
      </c>
      <c r="AK28" s="133"/>
    </row>
    <row r="29" spans="1:37" ht="18.75">
      <c r="A29" s="797">
        <f>Gen!B34</f>
        <v>44159</v>
      </c>
      <c r="B29" s="433">
        <f>'Summery Report'!E28</f>
        <v>0</v>
      </c>
      <c r="C29" s="802">
        <f>Gen!C34</f>
        <v>0</v>
      </c>
      <c r="D29" s="764">
        <f>'Summery Report'!E28</f>
        <v>0</v>
      </c>
      <c r="E29" s="764">
        <f t="shared" si="13"/>
        <v>1.3262195121951219</v>
      </c>
      <c r="F29" s="446" t="e">
        <f t="shared" si="14"/>
        <v>#DIV/0!</v>
      </c>
      <c r="G29" s="446" t="e">
        <f t="shared" si="0"/>
        <v>#DIV/0!</v>
      </c>
      <c r="H29" s="764">
        <f>Gen!D34</f>
        <v>46132.800000000003</v>
      </c>
      <c r="I29" s="764">
        <f>Gen!F34</f>
        <v>0</v>
      </c>
      <c r="J29" s="803">
        <f>Gen!T34</f>
        <v>0</v>
      </c>
      <c r="K29" s="808">
        <f>Gen!AK34</f>
        <v>0</v>
      </c>
      <c r="L29" s="799">
        <f t="shared" si="17"/>
        <v>0</v>
      </c>
      <c r="M29" s="457">
        <f>'Water-Meter'!K69</f>
        <v>0</v>
      </c>
      <c r="N29" s="759">
        <f>'Water-Meter'!E29</f>
        <v>0</v>
      </c>
      <c r="O29" s="749"/>
      <c r="P29" s="757"/>
      <c r="Q29" s="769">
        <f t="shared" si="2"/>
        <v>0</v>
      </c>
      <c r="R29" s="434">
        <f t="shared" si="5"/>
        <v>0</v>
      </c>
      <c r="S29" s="744"/>
      <c r="T29" s="745"/>
      <c r="U29" s="769">
        <f t="shared" si="6"/>
        <v>0</v>
      </c>
      <c r="V29" s="435">
        <f t="shared" si="19"/>
        <v>0</v>
      </c>
      <c r="W29" s="744"/>
      <c r="X29" s="750"/>
      <c r="Y29" s="769">
        <f t="shared" si="8"/>
        <v>0</v>
      </c>
      <c r="Z29" s="748">
        <f t="shared" si="9"/>
        <v>0</v>
      </c>
      <c r="AA29" s="756">
        <f t="shared" si="10"/>
        <v>0</v>
      </c>
      <c r="AB29" s="753"/>
      <c r="AC29" s="733">
        <f t="shared" si="21"/>
        <v>0</v>
      </c>
      <c r="AD29" s="736"/>
      <c r="AE29" s="179">
        <f t="shared" si="15"/>
        <v>0</v>
      </c>
      <c r="AF29" s="763">
        <f>'Lpg (2)'!B33*2000/85</f>
        <v>0</v>
      </c>
      <c r="AG29" s="267">
        <f>'Lpg (2)'!C33*1000/85</f>
        <v>0</v>
      </c>
      <c r="AH29" s="776">
        <f>'Lpg (2)'!D33*1000/85</f>
        <v>0</v>
      </c>
      <c r="AI29" s="766">
        <f t="shared" si="18"/>
        <v>0</v>
      </c>
      <c r="AJ29" s="436">
        <f t="shared" si="4"/>
        <v>0</v>
      </c>
      <c r="AK29" s="133"/>
    </row>
    <row r="30" spans="1:37" ht="18.75">
      <c r="A30" s="797">
        <f>Gen!B35</f>
        <v>44160</v>
      </c>
      <c r="B30" s="433">
        <f>'Summery Report'!E29</f>
        <v>0</v>
      </c>
      <c r="C30" s="802">
        <f>Gen!C35</f>
        <v>0</v>
      </c>
      <c r="D30" s="764">
        <f>'Summery Report'!E29</f>
        <v>0</v>
      </c>
      <c r="E30" s="764">
        <f t="shared" si="13"/>
        <v>1.3262195121951219</v>
      </c>
      <c r="F30" s="446" t="e">
        <f t="shared" si="14"/>
        <v>#DIV/0!</v>
      </c>
      <c r="G30" s="446" t="e">
        <f t="shared" si="0"/>
        <v>#DIV/0!</v>
      </c>
      <c r="H30" s="764">
        <f>Gen!D35</f>
        <v>46132.800000000003</v>
      </c>
      <c r="I30" s="764">
        <f>Gen!F35</f>
        <v>0</v>
      </c>
      <c r="J30" s="803">
        <f>Gen!T35</f>
        <v>0</v>
      </c>
      <c r="K30" s="808">
        <f>Gen!AK35</f>
        <v>0</v>
      </c>
      <c r="L30" s="799">
        <f t="shared" si="17"/>
        <v>0</v>
      </c>
      <c r="M30" s="457">
        <f>'Water-Meter'!K70</f>
        <v>0</v>
      </c>
      <c r="N30" s="759">
        <f>'Water-Meter'!E30</f>
        <v>0</v>
      </c>
      <c r="O30" s="749"/>
      <c r="P30" s="757"/>
      <c r="Q30" s="769">
        <f t="shared" si="2"/>
        <v>0</v>
      </c>
      <c r="R30" s="434">
        <f t="shared" si="5"/>
        <v>0</v>
      </c>
      <c r="S30" s="744"/>
      <c r="T30" s="745"/>
      <c r="U30" s="769">
        <f t="shared" si="6"/>
        <v>0</v>
      </c>
      <c r="V30" s="435">
        <f t="shared" si="19"/>
        <v>0</v>
      </c>
      <c r="W30" s="744"/>
      <c r="X30" s="750"/>
      <c r="Y30" s="769">
        <f t="shared" si="8"/>
        <v>0</v>
      </c>
      <c r="Z30" s="748">
        <f t="shared" si="9"/>
        <v>0</v>
      </c>
      <c r="AA30" s="756">
        <f t="shared" si="10"/>
        <v>0</v>
      </c>
      <c r="AB30" s="753"/>
      <c r="AC30" s="733">
        <f t="shared" si="21"/>
        <v>0</v>
      </c>
      <c r="AD30" s="736"/>
      <c r="AE30" s="179">
        <f t="shared" si="15"/>
        <v>0</v>
      </c>
      <c r="AF30" s="763">
        <f>'Lpg (2)'!B34*2000/85</f>
        <v>0</v>
      </c>
      <c r="AG30" s="267">
        <f>'Lpg (2)'!C34*1000/85</f>
        <v>0</v>
      </c>
      <c r="AH30" s="776">
        <f>'Lpg (2)'!D34*1000/85</f>
        <v>0</v>
      </c>
      <c r="AI30" s="766">
        <f t="shared" si="18"/>
        <v>0</v>
      </c>
      <c r="AJ30" s="436">
        <f t="shared" si="4"/>
        <v>0</v>
      </c>
      <c r="AK30" s="133"/>
    </row>
    <row r="31" spans="1:37" ht="18.75">
      <c r="A31" s="797">
        <f>Gen!B36</f>
        <v>44161</v>
      </c>
      <c r="B31" s="433">
        <f>'Summery Report'!E30</f>
        <v>0</v>
      </c>
      <c r="C31" s="802">
        <f>Gen!C36</f>
        <v>0</v>
      </c>
      <c r="D31" s="764">
        <f>'Summery Report'!E30</f>
        <v>0</v>
      </c>
      <c r="E31" s="764">
        <f t="shared" si="13"/>
        <v>1.3262195121951219</v>
      </c>
      <c r="F31" s="446" t="e">
        <f t="shared" si="14"/>
        <v>#DIV/0!</v>
      </c>
      <c r="G31" s="446" t="e">
        <f t="shared" si="0"/>
        <v>#DIV/0!</v>
      </c>
      <c r="H31" s="764">
        <f>Gen!D36</f>
        <v>46132.800000000003</v>
      </c>
      <c r="I31" s="764">
        <f>Gen!F36</f>
        <v>0</v>
      </c>
      <c r="J31" s="803">
        <f>Gen!T36</f>
        <v>0</v>
      </c>
      <c r="K31" s="808">
        <f>Gen!AK36</f>
        <v>0</v>
      </c>
      <c r="L31" s="799">
        <f t="shared" si="17"/>
        <v>0</v>
      </c>
      <c r="M31" s="457">
        <f>'Water-Meter'!K71</f>
        <v>0</v>
      </c>
      <c r="N31" s="759">
        <f>'Water-Meter'!E31</f>
        <v>0</v>
      </c>
      <c r="O31" s="749"/>
      <c r="P31" s="757"/>
      <c r="Q31" s="769">
        <f t="shared" si="2"/>
        <v>0</v>
      </c>
      <c r="R31" s="434">
        <f t="shared" si="5"/>
        <v>0</v>
      </c>
      <c r="S31" s="744"/>
      <c r="T31" s="745"/>
      <c r="U31" s="769">
        <f t="shared" si="6"/>
        <v>0</v>
      </c>
      <c r="V31" s="435">
        <f t="shared" si="19"/>
        <v>0</v>
      </c>
      <c r="W31" s="744"/>
      <c r="X31" s="751"/>
      <c r="Y31" s="769">
        <f t="shared" si="8"/>
        <v>0</v>
      </c>
      <c r="Z31" s="748">
        <f t="shared" si="9"/>
        <v>0</v>
      </c>
      <c r="AA31" s="756">
        <f t="shared" si="10"/>
        <v>0</v>
      </c>
      <c r="AB31" s="753"/>
      <c r="AC31" s="733">
        <f t="shared" si="21"/>
        <v>0</v>
      </c>
      <c r="AD31" s="736"/>
      <c r="AE31" s="179">
        <f t="shared" si="15"/>
        <v>0</v>
      </c>
      <c r="AF31" s="763">
        <f>'Lpg (2)'!B35*2000/85</f>
        <v>0</v>
      </c>
      <c r="AG31" s="267">
        <f>'Lpg (2)'!C35*1000/85</f>
        <v>0</v>
      </c>
      <c r="AH31" s="776">
        <f>'Lpg (2)'!D35*1000/85</f>
        <v>0</v>
      </c>
      <c r="AI31" s="766">
        <f t="shared" si="18"/>
        <v>0</v>
      </c>
      <c r="AJ31" s="436">
        <f t="shared" si="4"/>
        <v>0</v>
      </c>
      <c r="AK31" s="133"/>
    </row>
    <row r="32" spans="1:37" ht="18.75">
      <c r="A32" s="797">
        <f>Gen!B37</f>
        <v>44162</v>
      </c>
      <c r="B32" s="433">
        <f>'Summery Report'!E31</f>
        <v>0</v>
      </c>
      <c r="C32" s="802">
        <f>Gen!C37</f>
        <v>0</v>
      </c>
      <c r="D32" s="764">
        <f>'Summery Report'!E31</f>
        <v>0</v>
      </c>
      <c r="E32" s="764">
        <f t="shared" si="13"/>
        <v>1.3262195121951219</v>
      </c>
      <c r="F32" s="446" t="e">
        <f t="shared" si="14"/>
        <v>#DIV/0!</v>
      </c>
      <c r="G32" s="446" t="e">
        <f t="shared" si="0"/>
        <v>#DIV/0!</v>
      </c>
      <c r="H32" s="764">
        <f>Gen!D37</f>
        <v>46132.800000000003</v>
      </c>
      <c r="I32" s="764">
        <f>Gen!F37</f>
        <v>0</v>
      </c>
      <c r="J32" s="803">
        <f>Gen!T37</f>
        <v>0</v>
      </c>
      <c r="K32" s="808">
        <f>Gen!AK37</f>
        <v>0</v>
      </c>
      <c r="L32" s="799">
        <f t="shared" si="17"/>
        <v>0</v>
      </c>
      <c r="M32" s="457">
        <f>'Water-Meter'!K72</f>
        <v>0</v>
      </c>
      <c r="N32" s="759">
        <f>'Water-Meter'!E32</f>
        <v>0</v>
      </c>
      <c r="O32" s="749"/>
      <c r="P32" s="757"/>
      <c r="Q32" s="769">
        <f t="shared" si="2"/>
        <v>0</v>
      </c>
      <c r="R32" s="434">
        <f t="shared" si="5"/>
        <v>0</v>
      </c>
      <c r="S32" s="744"/>
      <c r="T32" s="745"/>
      <c r="U32" s="769">
        <f t="shared" si="6"/>
        <v>0</v>
      </c>
      <c r="V32" s="435">
        <f t="shared" si="19"/>
        <v>0</v>
      </c>
      <c r="W32" s="744"/>
      <c r="X32" s="750"/>
      <c r="Y32" s="769">
        <f t="shared" si="8"/>
        <v>0</v>
      </c>
      <c r="Z32" s="748">
        <f t="shared" si="9"/>
        <v>0</v>
      </c>
      <c r="AA32" s="756">
        <f t="shared" si="10"/>
        <v>0</v>
      </c>
      <c r="AB32" s="753"/>
      <c r="AC32" s="733">
        <f t="shared" si="21"/>
        <v>0</v>
      </c>
      <c r="AD32" s="736"/>
      <c r="AE32" s="179">
        <f t="shared" si="15"/>
        <v>0</v>
      </c>
      <c r="AF32" s="763">
        <f>'Lpg (2)'!B36*2000/85</f>
        <v>0</v>
      </c>
      <c r="AG32" s="267">
        <f>'Lpg (2)'!C36*1000/85</f>
        <v>0</v>
      </c>
      <c r="AH32" s="776">
        <f>'Lpg (2)'!D36*1000/85</f>
        <v>0</v>
      </c>
      <c r="AI32" s="766">
        <f t="shared" si="18"/>
        <v>0</v>
      </c>
      <c r="AJ32" s="436">
        <f t="shared" si="4"/>
        <v>0</v>
      </c>
      <c r="AK32" s="133"/>
    </row>
    <row r="33" spans="1:37" ht="18.75">
      <c r="A33" s="797">
        <f>Gen!B38</f>
        <v>44163</v>
      </c>
      <c r="B33" s="433">
        <f>'Summery Report'!E32</f>
        <v>0</v>
      </c>
      <c r="C33" s="802">
        <f>Gen!C38</f>
        <v>0</v>
      </c>
      <c r="D33" s="764">
        <f>'Summery Report'!E32</f>
        <v>0</v>
      </c>
      <c r="E33" s="764">
        <f t="shared" si="13"/>
        <v>1.3262195121951219</v>
      </c>
      <c r="F33" s="446" t="e">
        <f t="shared" si="14"/>
        <v>#DIV/0!</v>
      </c>
      <c r="G33" s="446" t="e">
        <f t="shared" si="0"/>
        <v>#DIV/0!</v>
      </c>
      <c r="H33" s="764">
        <f>Gen!D38</f>
        <v>46132.800000000003</v>
      </c>
      <c r="I33" s="764">
        <f>Gen!F38</f>
        <v>10000</v>
      </c>
      <c r="J33" s="803">
        <f>Gen!T38</f>
        <v>0</v>
      </c>
      <c r="K33" s="808">
        <f>Gen!AK38</f>
        <v>0</v>
      </c>
      <c r="L33" s="799">
        <f t="shared" si="17"/>
        <v>0</v>
      </c>
      <c r="M33" s="457">
        <f>'Water-Meter'!K73</f>
        <v>0</v>
      </c>
      <c r="N33" s="759">
        <f>'Water-Meter'!E33</f>
        <v>0</v>
      </c>
      <c r="O33" s="749"/>
      <c r="P33" s="757"/>
      <c r="Q33" s="769">
        <f t="shared" si="2"/>
        <v>0</v>
      </c>
      <c r="R33" s="434">
        <f t="shared" si="5"/>
        <v>0</v>
      </c>
      <c r="S33" s="744"/>
      <c r="T33" s="745"/>
      <c r="U33" s="769">
        <f t="shared" si="6"/>
        <v>0</v>
      </c>
      <c r="V33" s="435">
        <f t="shared" si="19"/>
        <v>0</v>
      </c>
      <c r="W33" s="744"/>
      <c r="X33" s="750"/>
      <c r="Y33" s="769">
        <f t="shared" si="8"/>
        <v>0</v>
      </c>
      <c r="Z33" s="748">
        <f t="shared" si="9"/>
        <v>0</v>
      </c>
      <c r="AA33" s="756">
        <f t="shared" si="10"/>
        <v>0</v>
      </c>
      <c r="AB33" s="753"/>
      <c r="AC33" s="733">
        <f t="shared" si="21"/>
        <v>0</v>
      </c>
      <c r="AD33" s="736"/>
      <c r="AE33" s="179">
        <f t="shared" si="15"/>
        <v>0</v>
      </c>
      <c r="AF33" s="763">
        <f>'Lpg (2)'!B37*2000/85</f>
        <v>0</v>
      </c>
      <c r="AG33" s="267">
        <f>'Lpg (2)'!C37*1000/85</f>
        <v>0</v>
      </c>
      <c r="AH33" s="776">
        <f>'Lpg (2)'!D37*1000/85</f>
        <v>0</v>
      </c>
      <c r="AI33" s="766">
        <f t="shared" si="18"/>
        <v>0</v>
      </c>
      <c r="AJ33" s="436">
        <f t="shared" si="4"/>
        <v>0</v>
      </c>
      <c r="AK33" s="133"/>
    </row>
    <row r="34" spans="1:37" ht="18.75">
      <c r="A34" s="797">
        <f>Gen!B39</f>
        <v>44164</v>
      </c>
      <c r="B34" s="433">
        <f>'Summery Report'!E33</f>
        <v>0</v>
      </c>
      <c r="C34" s="802">
        <f>Gen!C39</f>
        <v>0</v>
      </c>
      <c r="D34" s="764">
        <f>'Summery Report'!E33</f>
        <v>0</v>
      </c>
      <c r="E34" s="764">
        <f t="shared" si="13"/>
        <v>1.3262195121951219</v>
      </c>
      <c r="F34" s="446" t="e">
        <f t="shared" si="14"/>
        <v>#DIV/0!</v>
      </c>
      <c r="G34" s="446" t="e">
        <f t="shared" si="0"/>
        <v>#DIV/0!</v>
      </c>
      <c r="H34" s="764">
        <f>Gen!D39</f>
        <v>46132.800000000003</v>
      </c>
      <c r="I34" s="764">
        <f>Gen!F39</f>
        <v>0</v>
      </c>
      <c r="J34" s="803">
        <f>Gen!T39</f>
        <v>0</v>
      </c>
      <c r="K34" s="808">
        <f>Gen!AK39</f>
        <v>0</v>
      </c>
      <c r="L34" s="799">
        <f t="shared" si="17"/>
        <v>0</v>
      </c>
      <c r="M34" s="457">
        <f>'Water-Meter'!K74</f>
        <v>0</v>
      </c>
      <c r="N34" s="759">
        <f>'Water-Meter'!E34</f>
        <v>0</v>
      </c>
      <c r="O34" s="749"/>
      <c r="P34" s="757"/>
      <c r="Q34" s="769">
        <f t="shared" si="2"/>
        <v>0</v>
      </c>
      <c r="R34" s="434">
        <f t="shared" si="5"/>
        <v>0</v>
      </c>
      <c r="S34" s="744"/>
      <c r="T34" s="745"/>
      <c r="U34" s="769">
        <f t="shared" si="6"/>
        <v>0</v>
      </c>
      <c r="V34" s="435">
        <f t="shared" si="19"/>
        <v>0</v>
      </c>
      <c r="W34" s="744"/>
      <c r="X34" s="750"/>
      <c r="Y34" s="769">
        <f t="shared" si="8"/>
        <v>0</v>
      </c>
      <c r="Z34" s="748">
        <f t="shared" si="9"/>
        <v>0</v>
      </c>
      <c r="AA34" s="756">
        <f t="shared" si="10"/>
        <v>0</v>
      </c>
      <c r="AB34" s="753"/>
      <c r="AC34" s="733">
        <f t="shared" si="21"/>
        <v>0</v>
      </c>
      <c r="AD34" s="736"/>
      <c r="AE34" s="179">
        <f t="shared" si="15"/>
        <v>0</v>
      </c>
      <c r="AF34" s="763">
        <f>'Lpg (2)'!B38*2000/85</f>
        <v>0</v>
      </c>
      <c r="AG34" s="267">
        <f>'Lpg (2)'!C38*1000/85</f>
        <v>0</v>
      </c>
      <c r="AH34" s="776">
        <f>'Lpg (2)'!D38*1000/85</f>
        <v>0</v>
      </c>
      <c r="AI34" s="766">
        <f t="shared" si="18"/>
        <v>0</v>
      </c>
      <c r="AJ34" s="436">
        <f t="shared" si="4"/>
        <v>0</v>
      </c>
      <c r="AK34" s="133"/>
    </row>
    <row r="35" spans="1:37" ht="18.75">
      <c r="A35" s="797">
        <f>Gen!B40</f>
        <v>44165</v>
      </c>
      <c r="B35" s="433">
        <f>'Summery Report'!E34</f>
        <v>0</v>
      </c>
      <c r="C35" s="802">
        <f>Gen!C40</f>
        <v>0</v>
      </c>
      <c r="D35" s="764">
        <f>'Summery Report'!E34</f>
        <v>0</v>
      </c>
      <c r="E35" s="764">
        <f t="shared" si="13"/>
        <v>1.3262195121951219</v>
      </c>
      <c r="F35" s="446" t="e">
        <f t="shared" si="14"/>
        <v>#DIV/0!</v>
      </c>
      <c r="G35" s="446" t="e">
        <f t="shared" si="0"/>
        <v>#DIV/0!</v>
      </c>
      <c r="H35" s="764">
        <f>Gen!D40</f>
        <v>46132.800000000003</v>
      </c>
      <c r="I35" s="764">
        <f>Gen!F40</f>
        <v>0</v>
      </c>
      <c r="J35" s="803">
        <f>Gen!T40</f>
        <v>0</v>
      </c>
      <c r="K35" s="808">
        <f>Gen!AK40</f>
        <v>0</v>
      </c>
      <c r="L35" s="799">
        <f t="shared" si="17"/>
        <v>0</v>
      </c>
      <c r="M35" s="457">
        <f>'Water-Meter'!K75</f>
        <v>0</v>
      </c>
      <c r="N35" s="759">
        <f>'Water-Meter'!E35</f>
        <v>0</v>
      </c>
      <c r="O35" s="749"/>
      <c r="P35" s="757"/>
      <c r="Q35" s="769">
        <f t="shared" si="2"/>
        <v>0</v>
      </c>
      <c r="R35" s="434">
        <f t="shared" si="5"/>
        <v>0</v>
      </c>
      <c r="S35" s="744"/>
      <c r="T35" s="745"/>
      <c r="U35" s="769">
        <f t="shared" si="6"/>
        <v>0</v>
      </c>
      <c r="V35" s="435">
        <f t="shared" si="19"/>
        <v>0</v>
      </c>
      <c r="W35" s="744"/>
      <c r="X35" s="750"/>
      <c r="Y35" s="769">
        <f t="shared" si="8"/>
        <v>0</v>
      </c>
      <c r="Z35" s="748">
        <f t="shared" si="9"/>
        <v>0</v>
      </c>
      <c r="AA35" s="756">
        <f t="shared" si="10"/>
        <v>0</v>
      </c>
      <c r="AB35" s="753"/>
      <c r="AC35" s="733">
        <f t="shared" si="21"/>
        <v>0</v>
      </c>
      <c r="AD35" s="736"/>
      <c r="AE35" s="179">
        <f t="shared" si="15"/>
        <v>0</v>
      </c>
      <c r="AF35" s="763">
        <f>'Lpg (2)'!B39*2000/85</f>
        <v>0</v>
      </c>
      <c r="AG35" s="267">
        <f>'Lpg (2)'!C39*1000/85</f>
        <v>0</v>
      </c>
      <c r="AH35" s="776">
        <f>'Lpg (2)'!D39*1000/85</f>
        <v>0</v>
      </c>
      <c r="AI35" s="766">
        <f t="shared" si="18"/>
        <v>0</v>
      </c>
      <c r="AJ35" s="436">
        <f t="shared" si="4"/>
        <v>0</v>
      </c>
      <c r="AK35" s="133"/>
    </row>
    <row r="36" spans="1:37" ht="18.75">
      <c r="A36" s="797">
        <f>Gen!B41</f>
        <v>44166</v>
      </c>
      <c r="B36" s="433">
        <f>'Summery Report'!E35</f>
        <v>0</v>
      </c>
      <c r="C36" s="802">
        <f>Gen!C41</f>
        <v>0</v>
      </c>
      <c r="D36" s="764">
        <f>'Summery Report'!E35</f>
        <v>0</v>
      </c>
      <c r="E36" s="764">
        <f t="shared" si="13"/>
        <v>1.3262195121951219</v>
      </c>
      <c r="F36" s="446" t="e">
        <f t="shared" si="14"/>
        <v>#DIV/0!</v>
      </c>
      <c r="G36" s="446" t="e">
        <f t="shared" si="0"/>
        <v>#DIV/0!</v>
      </c>
      <c r="H36" s="764">
        <f>Gen!D41</f>
        <v>46132.800000000003</v>
      </c>
      <c r="I36" s="764">
        <f>Gen!F41</f>
        <v>0</v>
      </c>
      <c r="J36" s="803">
        <f>Gen!T41</f>
        <v>0</v>
      </c>
      <c r="K36" s="808">
        <f>Gen!AK41</f>
        <v>0</v>
      </c>
      <c r="L36" s="799">
        <f t="shared" si="17"/>
        <v>0</v>
      </c>
      <c r="M36" s="457">
        <f>'Water-Meter'!K76</f>
        <v>0</v>
      </c>
      <c r="N36" s="759">
        <f>'Water-Meter'!E36</f>
        <v>0</v>
      </c>
      <c r="O36" s="749"/>
      <c r="P36" s="757"/>
      <c r="Q36" s="769">
        <f t="shared" si="2"/>
        <v>0</v>
      </c>
      <c r="R36" s="434">
        <f t="shared" si="5"/>
        <v>0</v>
      </c>
      <c r="S36" s="744"/>
      <c r="T36" s="745"/>
      <c r="U36" s="769">
        <f t="shared" si="6"/>
        <v>0</v>
      </c>
      <c r="V36" s="435">
        <f t="shared" si="19"/>
        <v>0</v>
      </c>
      <c r="W36" s="744"/>
      <c r="X36" s="750"/>
      <c r="Y36" s="769">
        <f t="shared" si="8"/>
        <v>0</v>
      </c>
      <c r="Z36" s="748">
        <f t="shared" si="9"/>
        <v>0</v>
      </c>
      <c r="AA36" s="756">
        <f t="shared" si="10"/>
        <v>0</v>
      </c>
      <c r="AB36" s="753"/>
      <c r="AC36" s="733">
        <f t="shared" si="21"/>
        <v>0</v>
      </c>
      <c r="AD36" s="736"/>
      <c r="AE36" s="179">
        <f t="shared" si="15"/>
        <v>0</v>
      </c>
      <c r="AF36" s="763">
        <f>'Lpg (2)'!B40*2000/85</f>
        <v>0</v>
      </c>
      <c r="AG36" s="267">
        <f>'Lpg (2)'!C40*1000/85</f>
        <v>0</v>
      </c>
      <c r="AH36" s="776">
        <f>'Lpg (2)'!D40*1000/85</f>
        <v>0</v>
      </c>
      <c r="AI36" s="766">
        <f>SUM(AF36*1000)+(AG36*1000)+(AH36*2000)</f>
        <v>0</v>
      </c>
      <c r="AJ36" s="436">
        <f t="shared" si="4"/>
        <v>0</v>
      </c>
      <c r="AK36" s="133"/>
    </row>
    <row r="37" spans="1:37" s="9" customFormat="1" ht="18" thickBot="1">
      <c r="A37" s="798">
        <f>Gen!B42</f>
        <v>0</v>
      </c>
      <c r="B37" s="809">
        <v>0</v>
      </c>
      <c r="C37" s="810"/>
      <c r="D37" s="810"/>
      <c r="E37" s="810"/>
      <c r="F37" s="810"/>
      <c r="G37" s="810"/>
      <c r="H37" s="811"/>
      <c r="I37" s="812"/>
      <c r="J37" s="813">
        <f>SUM(J6:J36)</f>
        <v>4275.3099999999995</v>
      </c>
      <c r="K37" s="814"/>
      <c r="L37" s="800">
        <f t="shared" si="17"/>
        <v>4275.3099999999995</v>
      </c>
      <c r="M37" s="457">
        <f>'Water-Meter'!K77</f>
        <v>0</v>
      </c>
      <c r="N37" s="760">
        <f>'Water-Meter'!E37</f>
        <v>0</v>
      </c>
      <c r="O37" s="746"/>
      <c r="P37" s="747"/>
      <c r="Q37" s="770">
        <f t="shared" ref="Q37" si="22">SUM(P37-P36)</f>
        <v>0</v>
      </c>
      <c r="R37" s="771">
        <f t="shared" ref="R37" si="23">SUM(Q37*O37)</f>
        <v>0</v>
      </c>
      <c r="S37" s="746"/>
      <c r="T37" s="747"/>
      <c r="U37" s="770">
        <f t="shared" ref="U37" si="24">T37-T36</f>
        <v>0</v>
      </c>
      <c r="V37" s="772">
        <f t="shared" ref="V37" si="25">SUM(U37*S37)</f>
        <v>0</v>
      </c>
      <c r="W37" s="746"/>
      <c r="X37" s="747"/>
      <c r="Y37" s="770">
        <f t="shared" ref="Y37" si="26">X37-X36</f>
        <v>0</v>
      </c>
      <c r="Z37" s="773">
        <f t="shared" ref="Z37" si="27">SUM(Y37*W37)</f>
        <v>0</v>
      </c>
      <c r="AA37" s="774">
        <f t="shared" ref="AA37" si="28">SUM(Z37*X39)</f>
        <v>0</v>
      </c>
      <c r="AB37" s="741"/>
      <c r="AC37" s="734">
        <f t="shared" si="21"/>
        <v>0</v>
      </c>
      <c r="AD37" s="737"/>
      <c r="AE37" s="742">
        <f t="shared" si="15"/>
        <v>0</v>
      </c>
      <c r="AF37" s="777">
        <f>'Lpg (2)'!B41*2000/85</f>
        <v>0</v>
      </c>
      <c r="AG37" s="778">
        <f>'Lpg (2)'!C41*1000/85</f>
        <v>0</v>
      </c>
      <c r="AH37" s="779">
        <f>'Lpg (2)'!D41*1000/85</f>
        <v>0</v>
      </c>
      <c r="AI37" s="767"/>
      <c r="AJ37" s="437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8"/>
    </row>
    <row r="44" spans="1:37" ht="15">
      <c r="C44" s="131"/>
      <c r="J44" s="131"/>
      <c r="X44" s="439"/>
    </row>
    <row r="45" spans="1:37" ht="15">
      <c r="C45" s="131"/>
      <c r="J45" s="131"/>
      <c r="X45" s="438"/>
    </row>
    <row r="46" spans="1:37" ht="15">
      <c r="C46" s="131"/>
      <c r="J46" s="131"/>
      <c r="X46" s="439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0"/>
    </row>
    <row r="67" spans="3:24" ht="15">
      <c r="C67" s="131"/>
      <c r="J67" s="131"/>
      <c r="X67" s="441"/>
    </row>
    <row r="68" spans="3:24" ht="15">
      <c r="C68" s="131"/>
      <c r="J68" s="131"/>
      <c r="X68" s="441"/>
    </row>
    <row r="69" spans="3:24" ht="15">
      <c r="C69" s="131"/>
      <c r="J69" s="131"/>
      <c r="X69" s="441"/>
    </row>
    <row r="70" spans="3:24" ht="15">
      <c r="C70" s="131"/>
      <c r="J70" s="131"/>
      <c r="X70" s="441"/>
    </row>
    <row r="71" spans="3:24" ht="15">
      <c r="C71" s="131"/>
      <c r="J71" s="131"/>
      <c r="X71" s="441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1" sqref="W1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8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8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603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2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4">
        <f>Gen!B11</f>
        <v>44136</v>
      </c>
      <c r="B3" s="861" t="s">
        <v>156</v>
      </c>
      <c r="C3" s="862"/>
      <c r="D3" s="167"/>
      <c r="E3" s="663">
        <v>8902.2000000000007</v>
      </c>
      <c r="F3" s="605" t="s">
        <v>157</v>
      </c>
      <c r="G3" s="606"/>
      <c r="H3" s="861" t="s">
        <v>156</v>
      </c>
      <c r="I3" s="862"/>
      <c r="J3" s="632">
        <f>'Water-Meter'!G5</f>
        <v>38000</v>
      </c>
      <c r="K3" s="607">
        <f>'Water-Meter'!G5</f>
        <v>38000</v>
      </c>
      <c r="L3" s="242"/>
      <c r="M3" s="861" t="s">
        <v>156</v>
      </c>
      <c r="N3" s="862"/>
      <c r="O3" s="167">
        <f>'Water-Meter'!J5</f>
        <v>8086</v>
      </c>
      <c r="P3" s="608">
        <f>'Water-Meter'!J5</f>
        <v>8086</v>
      </c>
      <c r="Q3" s="166"/>
      <c r="R3" s="242"/>
      <c r="S3" s="664"/>
      <c r="T3" s="861" t="s">
        <v>156</v>
      </c>
      <c r="U3" s="862"/>
      <c r="V3" s="167"/>
      <c r="W3" s="665">
        <v>7845.7</v>
      </c>
      <c r="X3" s="609">
        <f t="shared" ref="X3:X35" si="0">(W3-V3)*200</f>
        <v>1569140</v>
      </c>
      <c r="Y3" s="861" t="s">
        <v>156</v>
      </c>
      <c r="Z3" s="862"/>
      <c r="AA3" s="167"/>
      <c r="AB3" s="170"/>
      <c r="AC3" s="171"/>
    </row>
    <row r="4" spans="1:29" ht="18.75">
      <c r="A4" s="666">
        <f>Gen!C11</f>
        <v>2.5999999999999999E-2</v>
      </c>
      <c r="B4" s="610">
        <f>Gen!B11</f>
        <v>44136</v>
      </c>
      <c r="C4" s="611"/>
      <c r="D4" s="612">
        <f t="shared" ref="D4:D23" si="1">E3</f>
        <v>8902.2000000000007</v>
      </c>
      <c r="E4" s="649">
        <v>8903.9</v>
      </c>
      <c r="F4" s="612">
        <f t="shared" ref="F4:F15" si="2">SUM(E4-D4)*120</f>
        <v>203.99999999986903</v>
      </c>
      <c r="G4" s="611"/>
      <c r="H4" s="650">
        <f>B4</f>
        <v>44136</v>
      </c>
      <c r="I4" s="611"/>
      <c r="J4" s="651">
        <f>'Water-Meter'!G6</f>
        <v>38000</v>
      </c>
      <c r="K4" s="652">
        <f>'Water-Meter'!G6</f>
        <v>38000</v>
      </c>
      <c r="L4" s="611">
        <f t="shared" ref="L4:L34" si="3">SUM(K4-J4)</f>
        <v>0</v>
      </c>
      <c r="M4" s="650">
        <f>H4</f>
        <v>44136</v>
      </c>
      <c r="N4" s="611"/>
      <c r="O4" s="61">
        <f>'Water-Meter'!J6</f>
        <v>8086</v>
      </c>
      <c r="P4" s="618">
        <f>'Water-Meter'!J6</f>
        <v>8086</v>
      </c>
      <c r="Q4" s="611">
        <f>N4-O3</f>
        <v>-8086</v>
      </c>
      <c r="R4" s="653">
        <f t="shared" ref="R4:R20" si="4">SUM(Q4/1615)</f>
        <v>-5.0068111455108362</v>
      </c>
      <c r="S4" s="654">
        <f>Gen!T11</f>
        <v>956.05</v>
      </c>
      <c r="T4" s="650">
        <f>M4</f>
        <v>44136</v>
      </c>
      <c r="U4" s="611"/>
      <c r="V4" s="612">
        <f t="shared" ref="V4:V33" si="5">W3</f>
        <v>7845.7</v>
      </c>
      <c r="W4" s="655">
        <v>7846.4</v>
      </c>
      <c r="X4" s="612">
        <f t="shared" si="0"/>
        <v>139.99999999996362</v>
      </c>
      <c r="Y4" s="650">
        <f>T4</f>
        <v>44136</v>
      </c>
      <c r="Z4" s="611"/>
      <c r="AA4" s="611"/>
      <c r="AB4" s="618">
        <f>'Water-Meter'!P6</f>
        <v>20406</v>
      </c>
      <c r="AC4" s="619">
        <f>AA4-AB3</f>
        <v>0</v>
      </c>
    </row>
    <row r="5" spans="1:29" ht="18.75">
      <c r="A5" s="667">
        <f>Gen!C12</f>
        <v>5.1900000000000002E-2</v>
      </c>
      <c r="B5" s="613">
        <f>Gen!B12</f>
        <v>44137</v>
      </c>
      <c r="C5" s="597"/>
      <c r="D5" s="602">
        <f t="shared" si="1"/>
        <v>8903.9</v>
      </c>
      <c r="E5" s="598">
        <v>8905.7000000000007</v>
      </c>
      <c r="F5" s="602">
        <f t="shared" si="2"/>
        <v>216.00000000013097</v>
      </c>
      <c r="G5" s="597"/>
      <c r="H5" s="644">
        <f t="shared" ref="H5:H35" si="6">B5</f>
        <v>44137</v>
      </c>
      <c r="I5" s="597"/>
      <c r="J5" s="645">
        <f>'Water-Meter'!G7</f>
        <v>38000</v>
      </c>
      <c r="K5" s="646">
        <f>'Water-Meter'!G7</f>
        <v>38000</v>
      </c>
      <c r="L5" s="597">
        <f t="shared" si="3"/>
        <v>0</v>
      </c>
      <c r="M5" s="644">
        <f t="shared" ref="M5:M35" si="7">H5</f>
        <v>44137</v>
      </c>
      <c r="N5" s="597"/>
      <c r="O5" s="6">
        <f>'Water-Meter'!J7</f>
        <v>8087</v>
      </c>
      <c r="P5" s="601">
        <f>'Water-Meter'!J7</f>
        <v>8087</v>
      </c>
      <c r="Q5" s="597">
        <f t="shared" ref="Q5:Q20" si="8">N5-O4</f>
        <v>-8086</v>
      </c>
      <c r="R5" s="647">
        <f t="shared" si="4"/>
        <v>-5.0068111455108362</v>
      </c>
      <c r="S5" s="648">
        <f>Gen!T12</f>
        <v>1107.92</v>
      </c>
      <c r="T5" s="644">
        <f t="shared" ref="T5:T30" si="9">M5</f>
        <v>44137</v>
      </c>
      <c r="U5" s="597"/>
      <c r="V5" s="602">
        <f t="shared" si="5"/>
        <v>7846.4</v>
      </c>
      <c r="W5" s="599">
        <v>7847.5</v>
      </c>
      <c r="X5" s="602">
        <f t="shared" si="0"/>
        <v>220.00000000007276</v>
      </c>
      <c r="Y5" s="644">
        <f t="shared" ref="Y5:Y30" si="10">T5</f>
        <v>44137</v>
      </c>
      <c r="Z5" s="597"/>
      <c r="AA5" s="597"/>
      <c r="AB5" s="601">
        <f>'Water-Meter'!P7</f>
        <v>20409</v>
      </c>
      <c r="AC5" s="656">
        <f t="shared" ref="AC5:AC35" si="11">AA5-AB4</f>
        <v>-20406</v>
      </c>
    </row>
    <row r="6" spans="1:29" ht="18.75">
      <c r="A6" s="667">
        <f>Gen!C13</f>
        <v>7.7899999999999997E-2</v>
      </c>
      <c r="B6" s="613">
        <f>Gen!B13</f>
        <v>44138</v>
      </c>
      <c r="C6" s="597"/>
      <c r="D6" s="602">
        <f t="shared" si="1"/>
        <v>8905.7000000000007</v>
      </c>
      <c r="E6" s="598">
        <v>8907.5</v>
      </c>
      <c r="F6" s="602">
        <f t="shared" si="2"/>
        <v>215.99999999991269</v>
      </c>
      <c r="G6" s="597"/>
      <c r="H6" s="644">
        <f t="shared" si="6"/>
        <v>44138</v>
      </c>
      <c r="I6" s="597"/>
      <c r="J6" s="645">
        <f>'Water-Meter'!G8</f>
        <v>38000</v>
      </c>
      <c r="K6" s="646">
        <f>'Water-Meter'!G8</f>
        <v>38000</v>
      </c>
      <c r="L6" s="597">
        <f t="shared" si="3"/>
        <v>0</v>
      </c>
      <c r="M6" s="644">
        <f t="shared" si="7"/>
        <v>44138</v>
      </c>
      <c r="N6" s="597"/>
      <c r="O6" s="6">
        <f>'Water-Meter'!J8</f>
        <v>8089</v>
      </c>
      <c r="P6" s="601">
        <f>'Water-Meter'!J8</f>
        <v>8089</v>
      </c>
      <c r="Q6" s="597">
        <f t="shared" si="8"/>
        <v>-8087</v>
      </c>
      <c r="R6" s="647">
        <f t="shared" si="4"/>
        <v>-5.007430340557276</v>
      </c>
      <c r="S6" s="648">
        <f>Gen!T13</f>
        <v>1164.9899999999998</v>
      </c>
      <c r="T6" s="644">
        <f t="shared" si="9"/>
        <v>44138</v>
      </c>
      <c r="U6" s="597"/>
      <c r="V6" s="602">
        <f t="shared" si="5"/>
        <v>7847.5</v>
      </c>
      <c r="W6" s="599">
        <v>7848</v>
      </c>
      <c r="X6" s="602">
        <f t="shared" si="0"/>
        <v>100</v>
      </c>
      <c r="Y6" s="644">
        <f t="shared" si="10"/>
        <v>44138</v>
      </c>
      <c r="Z6" s="597"/>
      <c r="AA6" s="597"/>
      <c r="AB6" s="601">
        <f>'Water-Meter'!P8</f>
        <v>20420</v>
      </c>
      <c r="AC6" s="656">
        <f t="shared" si="11"/>
        <v>-20409</v>
      </c>
    </row>
    <row r="7" spans="1:29" ht="18.75">
      <c r="A7" s="667">
        <f>Gen!C14</f>
        <v>6.4899999999999999E-2</v>
      </c>
      <c r="B7" s="613">
        <f>Gen!B14</f>
        <v>44139</v>
      </c>
      <c r="C7" s="597"/>
      <c r="D7" s="602">
        <f t="shared" si="1"/>
        <v>8907.5</v>
      </c>
      <c r="E7" s="598">
        <v>8909.4</v>
      </c>
      <c r="F7" s="602">
        <f t="shared" si="2"/>
        <v>227.99999999995634</v>
      </c>
      <c r="G7" s="597"/>
      <c r="H7" s="644">
        <f t="shared" si="6"/>
        <v>44139</v>
      </c>
      <c r="I7" s="597"/>
      <c r="J7" s="645">
        <f>'Water-Meter'!G9</f>
        <v>38000</v>
      </c>
      <c r="K7" s="646">
        <f>'Water-Meter'!G9</f>
        <v>38000</v>
      </c>
      <c r="L7" s="597">
        <f t="shared" si="3"/>
        <v>0</v>
      </c>
      <c r="M7" s="644">
        <f t="shared" si="7"/>
        <v>44139</v>
      </c>
      <c r="N7" s="597"/>
      <c r="O7" s="6">
        <f>'Water-Meter'!J9</f>
        <v>8090</v>
      </c>
      <c r="P7" s="601">
        <f>'Water-Meter'!J9</f>
        <v>8090</v>
      </c>
      <c r="Q7" s="597">
        <f t="shared" si="8"/>
        <v>-8089</v>
      </c>
      <c r="R7" s="647">
        <f t="shared" si="4"/>
        <v>-5.0086687306501547</v>
      </c>
      <c r="S7" s="648">
        <f>Gen!T14</f>
        <v>1046.3499999999999</v>
      </c>
      <c r="T7" s="644">
        <f t="shared" si="9"/>
        <v>44139</v>
      </c>
      <c r="U7" s="597"/>
      <c r="V7" s="602">
        <f t="shared" si="5"/>
        <v>7848</v>
      </c>
      <c r="W7" s="599">
        <v>7848.3</v>
      </c>
      <c r="X7" s="602">
        <f t="shared" si="0"/>
        <v>60.00000000003638</v>
      </c>
      <c r="Y7" s="644">
        <f t="shared" si="10"/>
        <v>44139</v>
      </c>
      <c r="Z7" s="597"/>
      <c r="AA7" s="597"/>
      <c r="AB7" s="601">
        <f>'Water-Meter'!P9</f>
        <v>20429</v>
      </c>
      <c r="AC7" s="656">
        <f t="shared" si="11"/>
        <v>-20420</v>
      </c>
    </row>
    <row r="8" spans="1:29" ht="18.75">
      <c r="A8" s="667">
        <f>Gen!C15</f>
        <v>0</v>
      </c>
      <c r="B8" s="613">
        <f>Gen!B15</f>
        <v>44140</v>
      </c>
      <c r="C8" s="597"/>
      <c r="D8" s="602">
        <f t="shared" si="1"/>
        <v>8909.4</v>
      </c>
      <c r="E8" s="598"/>
      <c r="F8" s="602">
        <f t="shared" si="2"/>
        <v>-1069128</v>
      </c>
      <c r="G8" s="597"/>
      <c r="H8" s="644">
        <f t="shared" si="6"/>
        <v>44140</v>
      </c>
      <c r="I8" s="597"/>
      <c r="J8" s="645">
        <f>'Water-Meter'!G10</f>
        <v>0</v>
      </c>
      <c r="K8" s="646">
        <f>'Water-Meter'!G10</f>
        <v>0</v>
      </c>
      <c r="L8" s="597">
        <f t="shared" si="3"/>
        <v>0</v>
      </c>
      <c r="M8" s="644">
        <f t="shared" si="7"/>
        <v>44140</v>
      </c>
      <c r="N8" s="597"/>
      <c r="O8" s="6">
        <f>'Water-Meter'!J10</f>
        <v>0</v>
      </c>
      <c r="P8" s="601">
        <f>'Water-Meter'!J10</f>
        <v>0</v>
      </c>
      <c r="Q8" s="597">
        <f t="shared" si="8"/>
        <v>-8090</v>
      </c>
      <c r="R8" s="647">
        <f t="shared" si="4"/>
        <v>-5.0092879256965945</v>
      </c>
      <c r="S8" s="648">
        <f>Gen!T15</f>
        <v>0</v>
      </c>
      <c r="T8" s="644">
        <f t="shared" si="9"/>
        <v>44140</v>
      </c>
      <c r="U8" s="597"/>
      <c r="V8" s="602">
        <f t="shared" si="5"/>
        <v>7848.3</v>
      </c>
      <c r="W8" s="599"/>
      <c r="X8" s="602">
        <f t="shared" si="0"/>
        <v>-1569660</v>
      </c>
      <c r="Y8" s="644">
        <f t="shared" si="10"/>
        <v>44140</v>
      </c>
      <c r="Z8" s="597"/>
      <c r="AA8" s="597"/>
      <c r="AB8" s="601">
        <f>'Water-Meter'!P10</f>
        <v>0</v>
      </c>
      <c r="AC8" s="656">
        <f t="shared" si="11"/>
        <v>-20429</v>
      </c>
    </row>
    <row r="9" spans="1:29" ht="18.75">
      <c r="A9" s="667">
        <f>Gen!C16</f>
        <v>0</v>
      </c>
      <c r="B9" s="613">
        <f>Gen!B16</f>
        <v>44141</v>
      </c>
      <c r="C9" s="597"/>
      <c r="D9" s="602">
        <f t="shared" si="1"/>
        <v>0</v>
      </c>
      <c r="E9" s="598"/>
      <c r="F9" s="602">
        <f t="shared" si="2"/>
        <v>0</v>
      </c>
      <c r="G9" s="597"/>
      <c r="H9" s="644">
        <f t="shared" si="6"/>
        <v>44141</v>
      </c>
      <c r="I9" s="597"/>
      <c r="J9" s="645">
        <f>'Water-Meter'!G11</f>
        <v>0</v>
      </c>
      <c r="K9" s="646">
        <f>'Water-Meter'!G11</f>
        <v>0</v>
      </c>
      <c r="L9" s="597">
        <f t="shared" si="3"/>
        <v>0</v>
      </c>
      <c r="M9" s="644">
        <f t="shared" si="7"/>
        <v>44141</v>
      </c>
      <c r="N9" s="597"/>
      <c r="O9" s="6">
        <f>'Water-Meter'!J11</f>
        <v>0</v>
      </c>
      <c r="P9" s="601">
        <f>'Water-Meter'!J11</f>
        <v>0</v>
      </c>
      <c r="Q9" s="597">
        <f t="shared" si="8"/>
        <v>0</v>
      </c>
      <c r="R9" s="647">
        <f t="shared" si="4"/>
        <v>0</v>
      </c>
      <c r="S9" s="648">
        <f>Gen!T16</f>
        <v>0</v>
      </c>
      <c r="T9" s="644">
        <f t="shared" si="9"/>
        <v>44141</v>
      </c>
      <c r="U9" s="597"/>
      <c r="V9" s="602">
        <f t="shared" si="5"/>
        <v>0</v>
      </c>
      <c r="W9" s="599"/>
      <c r="X9" s="602">
        <f t="shared" si="0"/>
        <v>0</v>
      </c>
      <c r="Y9" s="644">
        <f t="shared" si="10"/>
        <v>44141</v>
      </c>
      <c r="Z9" s="597"/>
      <c r="AA9" s="597"/>
      <c r="AB9" s="601">
        <f>'Water-Meter'!P11</f>
        <v>0</v>
      </c>
      <c r="AC9" s="656">
        <f t="shared" si="11"/>
        <v>0</v>
      </c>
    </row>
    <row r="10" spans="1:29" ht="18.75">
      <c r="A10" s="667">
        <f>Gen!C17</f>
        <v>0</v>
      </c>
      <c r="B10" s="613">
        <f>Gen!B17</f>
        <v>44142</v>
      </c>
      <c r="C10" s="597"/>
      <c r="D10" s="602">
        <f t="shared" si="1"/>
        <v>0</v>
      </c>
      <c r="E10" s="598"/>
      <c r="F10" s="602">
        <f t="shared" si="2"/>
        <v>0</v>
      </c>
      <c r="G10" s="597"/>
      <c r="H10" s="644">
        <f t="shared" si="6"/>
        <v>44142</v>
      </c>
      <c r="I10" s="597"/>
      <c r="J10" s="645">
        <f>'Water-Meter'!G12</f>
        <v>0</v>
      </c>
      <c r="K10" s="646">
        <f>'Water-Meter'!G12</f>
        <v>0</v>
      </c>
      <c r="L10" s="597">
        <f t="shared" si="3"/>
        <v>0</v>
      </c>
      <c r="M10" s="644">
        <f t="shared" si="7"/>
        <v>44142</v>
      </c>
      <c r="N10" s="597"/>
      <c r="O10" s="6">
        <f>'Water-Meter'!J12</f>
        <v>0</v>
      </c>
      <c r="P10" s="601">
        <f>'Water-Meter'!J12</f>
        <v>0</v>
      </c>
      <c r="Q10" s="597">
        <f t="shared" si="8"/>
        <v>0</v>
      </c>
      <c r="R10" s="647">
        <f t="shared" si="4"/>
        <v>0</v>
      </c>
      <c r="S10" s="648">
        <f>Gen!T17</f>
        <v>0</v>
      </c>
      <c r="T10" s="644">
        <f t="shared" si="9"/>
        <v>44142</v>
      </c>
      <c r="U10" s="597"/>
      <c r="V10" s="602">
        <f t="shared" si="5"/>
        <v>0</v>
      </c>
      <c r="W10" s="599"/>
      <c r="X10" s="602">
        <f t="shared" si="0"/>
        <v>0</v>
      </c>
      <c r="Y10" s="644">
        <f t="shared" si="10"/>
        <v>44142</v>
      </c>
      <c r="Z10" s="597"/>
      <c r="AA10" s="597"/>
      <c r="AB10" s="601">
        <f>'Water-Meter'!P12</f>
        <v>0</v>
      </c>
      <c r="AC10" s="656">
        <f t="shared" si="11"/>
        <v>0</v>
      </c>
    </row>
    <row r="11" spans="1:29" ht="18.75">
      <c r="A11" s="667">
        <f>Gen!C18</f>
        <v>0</v>
      </c>
      <c r="B11" s="613">
        <f>Gen!B18</f>
        <v>44143</v>
      </c>
      <c r="C11" s="597"/>
      <c r="D11" s="602">
        <f t="shared" si="1"/>
        <v>0</v>
      </c>
      <c r="E11" s="598"/>
      <c r="F11" s="602">
        <f t="shared" si="2"/>
        <v>0</v>
      </c>
      <c r="G11" s="597"/>
      <c r="H11" s="644">
        <f t="shared" si="6"/>
        <v>44143</v>
      </c>
      <c r="I11" s="597"/>
      <c r="J11" s="645">
        <f>'Water-Meter'!G13</f>
        <v>0</v>
      </c>
      <c r="K11" s="646">
        <f>'Water-Meter'!G13</f>
        <v>0</v>
      </c>
      <c r="L11" s="597">
        <f t="shared" si="3"/>
        <v>0</v>
      </c>
      <c r="M11" s="644">
        <f t="shared" si="7"/>
        <v>44143</v>
      </c>
      <c r="N11" s="597"/>
      <c r="O11" s="6">
        <f>'Water-Meter'!J13</f>
        <v>0</v>
      </c>
      <c r="P11" s="601">
        <f>'Water-Meter'!J13</f>
        <v>0</v>
      </c>
      <c r="Q11" s="597">
        <f t="shared" si="8"/>
        <v>0</v>
      </c>
      <c r="R11" s="647">
        <f t="shared" si="4"/>
        <v>0</v>
      </c>
      <c r="S11" s="648">
        <f>Gen!T18</f>
        <v>0</v>
      </c>
      <c r="T11" s="644">
        <f t="shared" si="9"/>
        <v>44143</v>
      </c>
      <c r="U11" s="597"/>
      <c r="V11" s="602">
        <f t="shared" si="5"/>
        <v>0</v>
      </c>
      <c r="W11" s="599"/>
      <c r="X11" s="602">
        <f t="shared" si="0"/>
        <v>0</v>
      </c>
      <c r="Y11" s="644">
        <f t="shared" si="10"/>
        <v>44143</v>
      </c>
      <c r="Z11" s="597"/>
      <c r="AA11" s="597"/>
      <c r="AB11" s="601">
        <f>'Water-Meter'!P13</f>
        <v>0</v>
      </c>
      <c r="AC11" s="656">
        <f t="shared" si="11"/>
        <v>0</v>
      </c>
    </row>
    <row r="12" spans="1:29" ht="18.75">
      <c r="A12" s="667">
        <f>Gen!C19</f>
        <v>0</v>
      </c>
      <c r="B12" s="613">
        <f>Gen!B19</f>
        <v>44144</v>
      </c>
      <c r="C12" s="597"/>
      <c r="D12" s="602">
        <f t="shared" si="1"/>
        <v>0</v>
      </c>
      <c r="E12" s="598"/>
      <c r="F12" s="602">
        <f t="shared" si="2"/>
        <v>0</v>
      </c>
      <c r="G12" s="597"/>
      <c r="H12" s="644">
        <f t="shared" si="6"/>
        <v>44144</v>
      </c>
      <c r="I12" s="597"/>
      <c r="J12" s="645">
        <f>'Water-Meter'!G14</f>
        <v>0</v>
      </c>
      <c r="K12" s="646">
        <f>'Water-Meter'!G14</f>
        <v>0</v>
      </c>
      <c r="L12" s="597">
        <f t="shared" si="3"/>
        <v>0</v>
      </c>
      <c r="M12" s="644">
        <f t="shared" si="7"/>
        <v>44144</v>
      </c>
      <c r="N12" s="597"/>
      <c r="O12" s="6">
        <f>'Water-Meter'!J14</f>
        <v>0</v>
      </c>
      <c r="P12" s="601">
        <f>'Water-Meter'!J14</f>
        <v>0</v>
      </c>
      <c r="Q12" s="597">
        <f t="shared" si="8"/>
        <v>0</v>
      </c>
      <c r="R12" s="647">
        <f t="shared" si="4"/>
        <v>0</v>
      </c>
      <c r="S12" s="648">
        <f>Gen!T19</f>
        <v>0</v>
      </c>
      <c r="T12" s="644">
        <f t="shared" si="9"/>
        <v>44144</v>
      </c>
      <c r="U12" s="597"/>
      <c r="V12" s="602">
        <f t="shared" si="5"/>
        <v>0</v>
      </c>
      <c r="W12" s="599"/>
      <c r="X12" s="602">
        <f t="shared" si="0"/>
        <v>0</v>
      </c>
      <c r="Y12" s="644">
        <f t="shared" si="10"/>
        <v>44144</v>
      </c>
      <c r="Z12" s="597"/>
      <c r="AA12" s="597"/>
      <c r="AB12" s="601">
        <f>'Water-Meter'!P14</f>
        <v>0</v>
      </c>
      <c r="AC12" s="656">
        <f t="shared" si="11"/>
        <v>0</v>
      </c>
    </row>
    <row r="13" spans="1:29" ht="18.75">
      <c r="A13" s="667">
        <f>Gen!C20</f>
        <v>0</v>
      </c>
      <c r="B13" s="613">
        <f>Gen!B20</f>
        <v>44145</v>
      </c>
      <c r="C13" s="597"/>
      <c r="D13" s="602">
        <f t="shared" si="1"/>
        <v>0</v>
      </c>
      <c r="E13" s="598"/>
      <c r="F13" s="602">
        <f t="shared" si="2"/>
        <v>0</v>
      </c>
      <c r="G13" s="597"/>
      <c r="H13" s="644">
        <f t="shared" si="6"/>
        <v>44145</v>
      </c>
      <c r="I13" s="597"/>
      <c r="J13" s="645">
        <f>'Water-Meter'!G15</f>
        <v>0</v>
      </c>
      <c r="K13" s="646">
        <f>'Water-Meter'!G15</f>
        <v>0</v>
      </c>
      <c r="L13" s="597">
        <f t="shared" si="3"/>
        <v>0</v>
      </c>
      <c r="M13" s="644">
        <f t="shared" si="7"/>
        <v>44145</v>
      </c>
      <c r="N13" s="597"/>
      <c r="O13" s="6">
        <f>'Water-Meter'!J15</f>
        <v>0</v>
      </c>
      <c r="P13" s="601">
        <f>'Water-Meter'!J15</f>
        <v>0</v>
      </c>
      <c r="Q13" s="597">
        <f t="shared" si="8"/>
        <v>0</v>
      </c>
      <c r="R13" s="647">
        <f t="shared" si="4"/>
        <v>0</v>
      </c>
      <c r="S13" s="648">
        <f>Gen!T20</f>
        <v>0</v>
      </c>
      <c r="T13" s="644">
        <f t="shared" si="9"/>
        <v>44145</v>
      </c>
      <c r="U13" s="597"/>
      <c r="V13" s="602">
        <f t="shared" si="5"/>
        <v>0</v>
      </c>
      <c r="W13" s="599"/>
      <c r="X13" s="602">
        <f t="shared" si="0"/>
        <v>0</v>
      </c>
      <c r="Y13" s="644">
        <f t="shared" si="10"/>
        <v>44145</v>
      </c>
      <c r="Z13" s="597"/>
      <c r="AA13" s="597"/>
      <c r="AB13" s="601">
        <f>'Water-Meter'!P15</f>
        <v>0</v>
      </c>
      <c r="AC13" s="656">
        <f t="shared" si="11"/>
        <v>0</v>
      </c>
    </row>
    <row r="14" spans="1:29" ht="18.75">
      <c r="A14" s="667">
        <f>Gen!C21</f>
        <v>0</v>
      </c>
      <c r="B14" s="613">
        <f>Gen!B21</f>
        <v>44146</v>
      </c>
      <c r="C14" s="597"/>
      <c r="D14" s="602">
        <f t="shared" si="1"/>
        <v>0</v>
      </c>
      <c r="E14" s="598"/>
      <c r="F14" s="602">
        <f t="shared" si="2"/>
        <v>0</v>
      </c>
      <c r="G14" s="597"/>
      <c r="H14" s="644">
        <f t="shared" si="6"/>
        <v>44146</v>
      </c>
      <c r="I14" s="597"/>
      <c r="J14" s="645">
        <f>'Water-Meter'!G16</f>
        <v>0</v>
      </c>
      <c r="K14" s="646">
        <f>'Water-Meter'!G16</f>
        <v>0</v>
      </c>
      <c r="L14" s="597">
        <f t="shared" si="3"/>
        <v>0</v>
      </c>
      <c r="M14" s="644">
        <f t="shared" si="7"/>
        <v>44146</v>
      </c>
      <c r="N14" s="597"/>
      <c r="O14" s="6">
        <f>'Water-Meter'!J16</f>
        <v>0</v>
      </c>
      <c r="P14" s="601">
        <f>'Water-Meter'!J16</f>
        <v>0</v>
      </c>
      <c r="Q14" s="597">
        <f t="shared" si="8"/>
        <v>0</v>
      </c>
      <c r="R14" s="647">
        <f t="shared" si="4"/>
        <v>0</v>
      </c>
      <c r="S14" s="648">
        <f>Gen!T21</f>
        <v>0</v>
      </c>
      <c r="T14" s="644">
        <f t="shared" si="9"/>
        <v>44146</v>
      </c>
      <c r="U14" s="597"/>
      <c r="V14" s="602">
        <f t="shared" si="5"/>
        <v>0</v>
      </c>
      <c r="W14" s="599"/>
      <c r="X14" s="602">
        <f t="shared" si="0"/>
        <v>0</v>
      </c>
      <c r="Y14" s="644">
        <f t="shared" si="10"/>
        <v>44146</v>
      </c>
      <c r="Z14" s="597"/>
      <c r="AA14" s="597"/>
      <c r="AB14" s="601">
        <f>'Water-Meter'!P16</f>
        <v>0</v>
      </c>
      <c r="AC14" s="656">
        <f t="shared" si="11"/>
        <v>0</v>
      </c>
    </row>
    <row r="15" spans="1:29" ht="18.75">
      <c r="A15" s="667">
        <f>Gen!C22</f>
        <v>0</v>
      </c>
      <c r="B15" s="613">
        <f>Gen!B22</f>
        <v>44147</v>
      </c>
      <c r="C15" s="597"/>
      <c r="D15" s="602">
        <f t="shared" si="1"/>
        <v>0</v>
      </c>
      <c r="E15" s="598"/>
      <c r="F15" s="602">
        <f t="shared" si="2"/>
        <v>0</v>
      </c>
      <c r="G15" s="597"/>
      <c r="H15" s="644">
        <f t="shared" si="6"/>
        <v>44147</v>
      </c>
      <c r="I15" s="597"/>
      <c r="J15" s="645">
        <f>'Water-Meter'!G17</f>
        <v>0</v>
      </c>
      <c r="K15" s="646">
        <f>'Water-Meter'!G17</f>
        <v>0</v>
      </c>
      <c r="L15" s="597">
        <f t="shared" si="3"/>
        <v>0</v>
      </c>
      <c r="M15" s="644">
        <f t="shared" si="7"/>
        <v>44147</v>
      </c>
      <c r="N15" s="597"/>
      <c r="O15" s="6">
        <f>'Water-Meter'!J17</f>
        <v>0</v>
      </c>
      <c r="P15" s="601">
        <f>'Water-Meter'!J17</f>
        <v>0</v>
      </c>
      <c r="Q15" s="597">
        <f t="shared" si="8"/>
        <v>0</v>
      </c>
      <c r="R15" s="647">
        <f t="shared" si="4"/>
        <v>0</v>
      </c>
      <c r="S15" s="648">
        <f>Gen!T22</f>
        <v>0</v>
      </c>
      <c r="T15" s="644">
        <f t="shared" si="9"/>
        <v>44147</v>
      </c>
      <c r="U15" s="597"/>
      <c r="V15" s="602">
        <f t="shared" si="5"/>
        <v>0</v>
      </c>
      <c r="W15" s="599"/>
      <c r="X15" s="602">
        <f t="shared" si="0"/>
        <v>0</v>
      </c>
      <c r="Y15" s="644">
        <f t="shared" si="10"/>
        <v>44147</v>
      </c>
      <c r="Z15" s="597"/>
      <c r="AA15" s="597"/>
      <c r="AB15" s="601">
        <f>'Water-Meter'!P17</f>
        <v>0</v>
      </c>
      <c r="AC15" s="656">
        <f t="shared" si="11"/>
        <v>0</v>
      </c>
    </row>
    <row r="16" spans="1:29" ht="18.75">
      <c r="A16" s="667">
        <f>Gen!C23</f>
        <v>0</v>
      </c>
      <c r="B16" s="613">
        <f>Gen!B23</f>
        <v>44148</v>
      </c>
      <c r="C16" s="597"/>
      <c r="D16" s="602">
        <f t="shared" si="1"/>
        <v>0</v>
      </c>
      <c r="E16" s="598"/>
      <c r="F16" s="602">
        <f>SUM(E16-D16)*120</f>
        <v>0</v>
      </c>
      <c r="G16" s="597"/>
      <c r="H16" s="644">
        <f t="shared" si="6"/>
        <v>44148</v>
      </c>
      <c r="I16" s="597"/>
      <c r="J16" s="645">
        <f>'Water-Meter'!G18</f>
        <v>0</v>
      </c>
      <c r="K16" s="646">
        <f>'Water-Meter'!G18</f>
        <v>0</v>
      </c>
      <c r="L16" s="597">
        <f t="shared" si="3"/>
        <v>0</v>
      </c>
      <c r="M16" s="644">
        <f t="shared" si="7"/>
        <v>44148</v>
      </c>
      <c r="N16" s="597"/>
      <c r="O16" s="6">
        <f>'Water-Meter'!J18</f>
        <v>0</v>
      </c>
      <c r="P16" s="601">
        <f>'Water-Meter'!J18</f>
        <v>0</v>
      </c>
      <c r="Q16" s="597">
        <f t="shared" si="8"/>
        <v>0</v>
      </c>
      <c r="R16" s="647">
        <f t="shared" si="4"/>
        <v>0</v>
      </c>
      <c r="S16" s="648">
        <f>Gen!T23</f>
        <v>0</v>
      </c>
      <c r="T16" s="644">
        <f t="shared" si="9"/>
        <v>44148</v>
      </c>
      <c r="U16" s="597"/>
      <c r="V16" s="602">
        <f t="shared" si="5"/>
        <v>0</v>
      </c>
      <c r="W16" s="599"/>
      <c r="X16" s="602">
        <f t="shared" si="0"/>
        <v>0</v>
      </c>
      <c r="Y16" s="644">
        <f t="shared" si="10"/>
        <v>44148</v>
      </c>
      <c r="Z16" s="597"/>
      <c r="AA16" s="597"/>
      <c r="AB16" s="601">
        <f>'Water-Meter'!P18</f>
        <v>0</v>
      </c>
      <c r="AC16" s="656">
        <f t="shared" si="11"/>
        <v>0</v>
      </c>
    </row>
    <row r="17" spans="1:29" ht="18.75">
      <c r="A17" s="667">
        <f>Gen!C24</f>
        <v>0</v>
      </c>
      <c r="B17" s="613">
        <f>Gen!B24</f>
        <v>44149</v>
      </c>
      <c r="C17" s="597"/>
      <c r="D17" s="602">
        <f t="shared" si="1"/>
        <v>0</v>
      </c>
      <c r="E17" s="598"/>
      <c r="F17" s="602">
        <f>SUM(E17-D17)*120</f>
        <v>0</v>
      </c>
      <c r="G17" s="597"/>
      <c r="H17" s="644">
        <f t="shared" si="6"/>
        <v>44149</v>
      </c>
      <c r="I17" s="597"/>
      <c r="J17" s="645">
        <f>'Water-Meter'!G19</f>
        <v>0</v>
      </c>
      <c r="K17" s="646">
        <f>'Water-Meter'!G19</f>
        <v>0</v>
      </c>
      <c r="L17" s="597">
        <f t="shared" si="3"/>
        <v>0</v>
      </c>
      <c r="M17" s="644">
        <f t="shared" si="7"/>
        <v>44149</v>
      </c>
      <c r="N17" s="597"/>
      <c r="O17" s="6">
        <f>'Water-Meter'!J19</f>
        <v>0</v>
      </c>
      <c r="P17" s="601">
        <f>'Water-Meter'!J19</f>
        <v>0</v>
      </c>
      <c r="Q17" s="597">
        <f t="shared" si="8"/>
        <v>0</v>
      </c>
      <c r="R17" s="647">
        <f t="shared" si="4"/>
        <v>0</v>
      </c>
      <c r="S17" s="648">
        <f>Gen!T24</f>
        <v>0</v>
      </c>
      <c r="T17" s="644">
        <f t="shared" si="9"/>
        <v>44149</v>
      </c>
      <c r="U17" s="597"/>
      <c r="V17" s="602">
        <f t="shared" si="5"/>
        <v>0</v>
      </c>
      <c r="W17" s="599"/>
      <c r="X17" s="602">
        <f t="shared" si="0"/>
        <v>0</v>
      </c>
      <c r="Y17" s="644">
        <f t="shared" si="10"/>
        <v>44149</v>
      </c>
      <c r="Z17" s="597"/>
      <c r="AA17" s="597"/>
      <c r="AB17" s="601">
        <f>'Water-Meter'!P19</f>
        <v>0</v>
      </c>
      <c r="AC17" s="656">
        <f t="shared" si="11"/>
        <v>0</v>
      </c>
    </row>
    <row r="18" spans="1:29" ht="18.75">
      <c r="A18" s="667">
        <f>Gen!C25</f>
        <v>0</v>
      </c>
      <c r="B18" s="613">
        <f>Gen!B25</f>
        <v>44150</v>
      </c>
      <c r="C18" s="597"/>
      <c r="D18" s="602">
        <f t="shared" si="1"/>
        <v>0</v>
      </c>
      <c r="E18" s="598"/>
      <c r="F18" s="602">
        <f t="shared" ref="F18:F22" si="12">SUM(E18-D18)*120</f>
        <v>0</v>
      </c>
      <c r="G18" s="597"/>
      <c r="H18" s="644">
        <f t="shared" si="6"/>
        <v>44150</v>
      </c>
      <c r="I18" s="597"/>
      <c r="J18" s="645">
        <f>'Water-Meter'!G20</f>
        <v>0</v>
      </c>
      <c r="K18" s="646">
        <f>'Water-Meter'!G20</f>
        <v>0</v>
      </c>
      <c r="L18" s="597">
        <f t="shared" si="3"/>
        <v>0</v>
      </c>
      <c r="M18" s="644">
        <f t="shared" si="7"/>
        <v>44150</v>
      </c>
      <c r="N18" s="597"/>
      <c r="O18" s="6">
        <f>'Water-Meter'!J20</f>
        <v>0</v>
      </c>
      <c r="P18" s="601">
        <f>'Water-Meter'!J20</f>
        <v>0</v>
      </c>
      <c r="Q18" s="597">
        <f t="shared" si="8"/>
        <v>0</v>
      </c>
      <c r="R18" s="647">
        <f t="shared" si="4"/>
        <v>0</v>
      </c>
      <c r="S18" s="648">
        <f>Gen!T25</f>
        <v>0</v>
      </c>
      <c r="T18" s="644">
        <f t="shared" si="9"/>
        <v>44150</v>
      </c>
      <c r="U18" s="597"/>
      <c r="V18" s="602">
        <f t="shared" si="5"/>
        <v>0</v>
      </c>
      <c r="W18" s="599"/>
      <c r="X18" s="602">
        <f t="shared" si="0"/>
        <v>0</v>
      </c>
      <c r="Y18" s="644">
        <f t="shared" si="10"/>
        <v>44150</v>
      </c>
      <c r="Z18" s="597"/>
      <c r="AA18" s="597"/>
      <c r="AB18" s="601">
        <f>'Water-Meter'!P20</f>
        <v>0</v>
      </c>
      <c r="AC18" s="656">
        <f t="shared" si="11"/>
        <v>0</v>
      </c>
    </row>
    <row r="19" spans="1:29" ht="18.75">
      <c r="A19" s="667">
        <f>Gen!C26</f>
        <v>0</v>
      </c>
      <c r="B19" s="613">
        <f>Gen!B26</f>
        <v>44151</v>
      </c>
      <c r="C19" s="600"/>
      <c r="D19" s="602">
        <f t="shared" si="1"/>
        <v>0</v>
      </c>
      <c r="E19" s="598"/>
      <c r="F19" s="602">
        <f t="shared" si="12"/>
        <v>0</v>
      </c>
      <c r="G19" s="597"/>
      <c r="H19" s="644">
        <f t="shared" si="6"/>
        <v>44151</v>
      </c>
      <c r="I19" s="600"/>
      <c r="J19" s="645">
        <f>'Water-Meter'!G21</f>
        <v>0</v>
      </c>
      <c r="K19" s="646">
        <f>'Water-Meter'!G21</f>
        <v>0</v>
      </c>
      <c r="L19" s="597">
        <f t="shared" si="3"/>
        <v>0</v>
      </c>
      <c r="M19" s="644">
        <f t="shared" si="7"/>
        <v>44151</v>
      </c>
      <c r="N19" s="600"/>
      <c r="O19" s="6">
        <f>'Water-Meter'!J21</f>
        <v>0</v>
      </c>
      <c r="P19" s="601">
        <f>'Water-Meter'!J21</f>
        <v>0</v>
      </c>
      <c r="Q19" s="597">
        <f t="shared" si="8"/>
        <v>0</v>
      </c>
      <c r="R19" s="647">
        <f t="shared" si="4"/>
        <v>0</v>
      </c>
      <c r="S19" s="648">
        <f>Gen!T26</f>
        <v>0</v>
      </c>
      <c r="T19" s="644">
        <f t="shared" si="9"/>
        <v>44151</v>
      </c>
      <c r="U19" s="600"/>
      <c r="V19" s="602">
        <f t="shared" si="5"/>
        <v>0</v>
      </c>
      <c r="W19" s="599"/>
      <c r="X19" s="602">
        <f t="shared" si="0"/>
        <v>0</v>
      </c>
      <c r="Y19" s="644">
        <f t="shared" si="10"/>
        <v>44151</v>
      </c>
      <c r="Z19" s="600"/>
      <c r="AA19" s="597"/>
      <c r="AB19" s="601">
        <f>'Water-Meter'!P21</f>
        <v>0</v>
      </c>
      <c r="AC19" s="656">
        <f t="shared" si="11"/>
        <v>0</v>
      </c>
    </row>
    <row r="20" spans="1:29" ht="18.75">
      <c r="A20" s="667">
        <f>Gen!C27</f>
        <v>0</v>
      </c>
      <c r="B20" s="613">
        <f>Gen!B27</f>
        <v>44152</v>
      </c>
      <c r="C20" s="600"/>
      <c r="D20" s="602">
        <f t="shared" si="1"/>
        <v>0</v>
      </c>
      <c r="E20" s="598"/>
      <c r="F20" s="602">
        <f t="shared" si="12"/>
        <v>0</v>
      </c>
      <c r="G20" s="597"/>
      <c r="H20" s="644">
        <f t="shared" si="6"/>
        <v>44152</v>
      </c>
      <c r="I20" s="600"/>
      <c r="J20" s="645">
        <f>'Water-Meter'!G22</f>
        <v>0</v>
      </c>
      <c r="K20" s="646">
        <f>'Water-Meter'!G22</f>
        <v>0</v>
      </c>
      <c r="L20" s="597">
        <f t="shared" si="3"/>
        <v>0</v>
      </c>
      <c r="M20" s="644">
        <f t="shared" si="7"/>
        <v>44152</v>
      </c>
      <c r="N20" s="600"/>
      <c r="O20" s="6">
        <f>'Water-Meter'!J22</f>
        <v>0</v>
      </c>
      <c r="P20" s="601">
        <f>'Water-Meter'!J22</f>
        <v>0</v>
      </c>
      <c r="Q20" s="597">
        <f t="shared" si="8"/>
        <v>0</v>
      </c>
      <c r="R20" s="647">
        <f t="shared" si="4"/>
        <v>0</v>
      </c>
      <c r="S20" s="648">
        <f>Gen!T27</f>
        <v>0</v>
      </c>
      <c r="T20" s="644">
        <f t="shared" si="9"/>
        <v>44152</v>
      </c>
      <c r="U20" s="600"/>
      <c r="V20" s="602">
        <f t="shared" si="5"/>
        <v>0</v>
      </c>
      <c r="W20" s="599"/>
      <c r="X20" s="602">
        <f t="shared" si="0"/>
        <v>0</v>
      </c>
      <c r="Y20" s="644">
        <f t="shared" si="10"/>
        <v>44152</v>
      </c>
      <c r="Z20" s="600"/>
      <c r="AA20" s="597"/>
      <c r="AB20" s="601">
        <f>'Water-Meter'!P22</f>
        <v>0</v>
      </c>
      <c r="AC20" s="656">
        <f t="shared" si="11"/>
        <v>0</v>
      </c>
    </row>
    <row r="21" spans="1:29" ht="18.75">
      <c r="A21" s="667">
        <f>Gen!C28</f>
        <v>0</v>
      </c>
      <c r="B21" s="613">
        <f>Gen!B28</f>
        <v>44153</v>
      </c>
      <c r="C21" s="600"/>
      <c r="D21" s="602">
        <f t="shared" si="1"/>
        <v>0</v>
      </c>
      <c r="E21" s="598"/>
      <c r="F21" s="602">
        <f t="shared" si="12"/>
        <v>0</v>
      </c>
      <c r="G21" s="597"/>
      <c r="H21" s="644">
        <f t="shared" si="6"/>
        <v>44153</v>
      </c>
      <c r="I21" s="600"/>
      <c r="J21" s="645">
        <f>'Water-Meter'!G23</f>
        <v>0</v>
      </c>
      <c r="K21" s="646">
        <f>'Water-Meter'!G23</f>
        <v>0</v>
      </c>
      <c r="L21" s="597">
        <f t="shared" si="3"/>
        <v>0</v>
      </c>
      <c r="M21" s="644">
        <f t="shared" si="7"/>
        <v>44153</v>
      </c>
      <c r="N21" s="600"/>
      <c r="O21" s="6">
        <f>'Water-Meter'!J23</f>
        <v>0</v>
      </c>
      <c r="P21" s="601">
        <f>'Water-Meter'!J23</f>
        <v>0</v>
      </c>
      <c r="Q21" s="597">
        <f t="shared" ref="Q21:Q35" si="13">N21-O20</f>
        <v>0</v>
      </c>
      <c r="R21" s="647">
        <f t="shared" ref="R21:R35" si="14">SUM(Q21/1615)</f>
        <v>0</v>
      </c>
      <c r="S21" s="648">
        <f>Gen!T28</f>
        <v>0</v>
      </c>
      <c r="T21" s="644">
        <f t="shared" si="9"/>
        <v>44153</v>
      </c>
      <c r="U21" s="600"/>
      <c r="V21" s="602">
        <f t="shared" si="5"/>
        <v>0</v>
      </c>
      <c r="W21" s="599"/>
      <c r="X21" s="602">
        <f t="shared" si="0"/>
        <v>0</v>
      </c>
      <c r="Y21" s="644">
        <f t="shared" si="10"/>
        <v>44153</v>
      </c>
      <c r="Z21" s="600"/>
      <c r="AA21" s="597"/>
      <c r="AB21" s="601">
        <f>'Water-Meter'!P23</f>
        <v>0</v>
      </c>
      <c r="AC21" s="656">
        <f t="shared" si="11"/>
        <v>0</v>
      </c>
    </row>
    <row r="22" spans="1:29" ht="18.75">
      <c r="A22" s="667">
        <f>Gen!C29</f>
        <v>0</v>
      </c>
      <c r="B22" s="613">
        <f>Gen!B29</f>
        <v>44154</v>
      </c>
      <c r="C22" s="597"/>
      <c r="D22" s="602">
        <f t="shared" si="1"/>
        <v>0</v>
      </c>
      <c r="E22" s="598"/>
      <c r="F22" s="602">
        <f t="shared" si="12"/>
        <v>0</v>
      </c>
      <c r="G22" s="597"/>
      <c r="H22" s="644">
        <f t="shared" si="6"/>
        <v>44154</v>
      </c>
      <c r="I22" s="597"/>
      <c r="J22" s="645">
        <f>'Water-Meter'!G24</f>
        <v>0</v>
      </c>
      <c r="K22" s="646">
        <f>'Water-Meter'!G24</f>
        <v>0</v>
      </c>
      <c r="L22" s="597">
        <f t="shared" si="3"/>
        <v>0</v>
      </c>
      <c r="M22" s="644">
        <f t="shared" si="7"/>
        <v>44154</v>
      </c>
      <c r="N22" s="597"/>
      <c r="O22" s="6">
        <f>'Water-Meter'!J24</f>
        <v>0</v>
      </c>
      <c r="P22" s="601">
        <f>'Water-Meter'!J24</f>
        <v>0</v>
      </c>
      <c r="Q22" s="597">
        <f t="shared" si="13"/>
        <v>0</v>
      </c>
      <c r="R22" s="647">
        <f t="shared" si="14"/>
        <v>0</v>
      </c>
      <c r="S22" s="648">
        <f>Gen!T29</f>
        <v>0</v>
      </c>
      <c r="T22" s="644">
        <f t="shared" si="9"/>
        <v>44154</v>
      </c>
      <c r="U22" s="597"/>
      <c r="V22" s="602">
        <f t="shared" si="5"/>
        <v>0</v>
      </c>
      <c r="W22" s="599"/>
      <c r="X22" s="602">
        <f t="shared" si="0"/>
        <v>0</v>
      </c>
      <c r="Y22" s="644">
        <f t="shared" si="10"/>
        <v>44154</v>
      </c>
      <c r="Z22" s="597"/>
      <c r="AA22" s="597"/>
      <c r="AB22" s="601">
        <f>'Water-Meter'!P24</f>
        <v>0</v>
      </c>
      <c r="AC22" s="656">
        <f t="shared" si="11"/>
        <v>0</v>
      </c>
    </row>
    <row r="23" spans="1:29" ht="18.75">
      <c r="A23" s="667">
        <f>Gen!C30</f>
        <v>0</v>
      </c>
      <c r="B23" s="613">
        <f>Gen!B30</f>
        <v>44155</v>
      </c>
      <c r="C23" s="600"/>
      <c r="D23" s="602">
        <f t="shared" si="1"/>
        <v>0</v>
      </c>
      <c r="E23" s="598"/>
      <c r="F23" s="602">
        <f t="shared" ref="F23:F34" si="15">SUM(E23-D23)*120</f>
        <v>0</v>
      </c>
      <c r="G23" s="597"/>
      <c r="H23" s="644">
        <f t="shared" si="6"/>
        <v>44155</v>
      </c>
      <c r="I23" s="600"/>
      <c r="J23" s="645">
        <f>'Water-Meter'!G25</f>
        <v>0</v>
      </c>
      <c r="K23" s="646">
        <f>'Water-Meter'!G26</f>
        <v>0</v>
      </c>
      <c r="L23" s="597">
        <f t="shared" si="3"/>
        <v>0</v>
      </c>
      <c r="M23" s="644">
        <f t="shared" si="7"/>
        <v>44155</v>
      </c>
      <c r="N23" s="600"/>
      <c r="O23" s="6">
        <f>'Water-Meter'!J25</f>
        <v>0</v>
      </c>
      <c r="P23" s="601">
        <f>'Water-Meter'!J25</f>
        <v>0</v>
      </c>
      <c r="Q23" s="597">
        <f t="shared" si="13"/>
        <v>0</v>
      </c>
      <c r="R23" s="647">
        <f t="shared" si="14"/>
        <v>0</v>
      </c>
      <c r="S23" s="648">
        <f>Gen!T30</f>
        <v>0</v>
      </c>
      <c r="T23" s="644">
        <f t="shared" si="9"/>
        <v>44155</v>
      </c>
      <c r="U23" s="600"/>
      <c r="V23" s="602">
        <f t="shared" si="5"/>
        <v>0</v>
      </c>
      <c r="W23" s="599"/>
      <c r="X23" s="602">
        <f t="shared" si="0"/>
        <v>0</v>
      </c>
      <c r="Y23" s="644">
        <f t="shared" si="10"/>
        <v>44155</v>
      </c>
      <c r="Z23" s="600"/>
      <c r="AA23" s="597"/>
      <c r="AB23" s="601">
        <f>'Water-Meter'!P25</f>
        <v>0</v>
      </c>
      <c r="AC23" s="656">
        <f t="shared" si="11"/>
        <v>0</v>
      </c>
    </row>
    <row r="24" spans="1:29" ht="18.75">
      <c r="A24" s="667">
        <f>Gen!C31</f>
        <v>0</v>
      </c>
      <c r="B24" s="613">
        <f>Gen!B31</f>
        <v>44156</v>
      </c>
      <c r="C24" s="600"/>
      <c r="D24" s="602">
        <f t="shared" ref="D24:D35" si="16">SUM(E23)</f>
        <v>0</v>
      </c>
      <c r="E24" s="598"/>
      <c r="F24" s="602">
        <f t="shared" si="15"/>
        <v>0</v>
      </c>
      <c r="G24" s="597"/>
      <c r="H24" s="644">
        <f t="shared" si="6"/>
        <v>44156</v>
      </c>
      <c r="I24" s="600"/>
      <c r="J24" s="645">
        <f>'Water-Meter'!G26</f>
        <v>0</v>
      </c>
      <c r="K24" s="646">
        <f>'Water-Meter'!G27</f>
        <v>0</v>
      </c>
      <c r="L24" s="597">
        <f t="shared" si="3"/>
        <v>0</v>
      </c>
      <c r="M24" s="644">
        <f t="shared" si="7"/>
        <v>44156</v>
      </c>
      <c r="N24" s="600"/>
      <c r="O24" s="6">
        <f>'Water-Meter'!J26</f>
        <v>0</v>
      </c>
      <c r="P24" s="601">
        <f>'Water-Meter'!J26</f>
        <v>0</v>
      </c>
      <c r="Q24" s="597">
        <f t="shared" si="13"/>
        <v>0</v>
      </c>
      <c r="R24" s="647">
        <f t="shared" si="14"/>
        <v>0</v>
      </c>
      <c r="S24" s="648">
        <f>Gen!T31</f>
        <v>0</v>
      </c>
      <c r="T24" s="644">
        <v>5835.7</v>
      </c>
      <c r="U24" s="600"/>
      <c r="V24" s="602">
        <f t="shared" si="5"/>
        <v>0</v>
      </c>
      <c r="W24" s="599"/>
      <c r="X24" s="602">
        <f t="shared" si="0"/>
        <v>0</v>
      </c>
      <c r="Y24" s="644">
        <f t="shared" si="10"/>
        <v>5835.7</v>
      </c>
      <c r="Z24" s="600"/>
      <c r="AA24" s="597"/>
      <c r="AB24" s="601">
        <f>'Water-Meter'!P26</f>
        <v>0</v>
      </c>
      <c r="AC24" s="656">
        <f t="shared" si="11"/>
        <v>0</v>
      </c>
    </row>
    <row r="25" spans="1:29" ht="18.75">
      <c r="A25" s="667">
        <f>Gen!C32</f>
        <v>0</v>
      </c>
      <c r="B25" s="613">
        <f>Gen!B32</f>
        <v>44157</v>
      </c>
      <c r="C25" s="600"/>
      <c r="D25" s="602">
        <f t="shared" si="16"/>
        <v>0</v>
      </c>
      <c r="E25" s="598"/>
      <c r="F25" s="602">
        <f t="shared" si="15"/>
        <v>0</v>
      </c>
      <c r="G25" s="597"/>
      <c r="H25" s="644">
        <f t="shared" si="6"/>
        <v>44157</v>
      </c>
      <c r="I25" s="600"/>
      <c r="J25" s="645">
        <f>'Water-Meter'!G27</f>
        <v>0</v>
      </c>
      <c r="K25" s="646">
        <f>'Water-Meter'!G28</f>
        <v>0</v>
      </c>
      <c r="L25" s="597">
        <f t="shared" si="3"/>
        <v>0</v>
      </c>
      <c r="M25" s="644">
        <f t="shared" si="7"/>
        <v>44157</v>
      </c>
      <c r="N25" s="600"/>
      <c r="O25" s="6">
        <f>'Water-Meter'!J27</f>
        <v>0</v>
      </c>
      <c r="P25" s="601">
        <f>'Water-Meter'!J27</f>
        <v>0</v>
      </c>
      <c r="Q25" s="597">
        <f t="shared" si="13"/>
        <v>0</v>
      </c>
      <c r="R25" s="647">
        <f t="shared" si="14"/>
        <v>0</v>
      </c>
      <c r="S25" s="648">
        <f>Gen!T32</f>
        <v>0</v>
      </c>
      <c r="T25" s="644">
        <f t="shared" si="9"/>
        <v>44157</v>
      </c>
      <c r="U25" s="600"/>
      <c r="V25" s="602">
        <f t="shared" si="5"/>
        <v>0</v>
      </c>
      <c r="W25" s="599"/>
      <c r="X25" s="602">
        <f t="shared" si="0"/>
        <v>0</v>
      </c>
      <c r="Y25" s="644">
        <f t="shared" si="10"/>
        <v>44157</v>
      </c>
      <c r="Z25" s="600"/>
      <c r="AA25" s="597"/>
      <c r="AB25" s="601">
        <f>'Water-Meter'!P27</f>
        <v>0</v>
      </c>
      <c r="AC25" s="656">
        <f t="shared" si="11"/>
        <v>0</v>
      </c>
    </row>
    <row r="26" spans="1:29" ht="18.75">
      <c r="A26" s="667">
        <f>Gen!C33</f>
        <v>0</v>
      </c>
      <c r="B26" s="613">
        <f>Gen!B33</f>
        <v>44158</v>
      </c>
      <c r="C26" s="600"/>
      <c r="D26" s="602">
        <f t="shared" si="16"/>
        <v>0</v>
      </c>
      <c r="E26" s="598"/>
      <c r="F26" s="602">
        <f t="shared" si="15"/>
        <v>0</v>
      </c>
      <c r="G26" s="597"/>
      <c r="H26" s="644">
        <f t="shared" si="6"/>
        <v>44158</v>
      </c>
      <c r="I26" s="600"/>
      <c r="J26" s="645">
        <f>'Water-Meter'!G28</f>
        <v>0</v>
      </c>
      <c r="K26" s="646">
        <f>'Water-Meter'!G29</f>
        <v>0</v>
      </c>
      <c r="L26" s="597">
        <f t="shared" si="3"/>
        <v>0</v>
      </c>
      <c r="M26" s="644">
        <f t="shared" si="7"/>
        <v>44158</v>
      </c>
      <c r="N26" s="600"/>
      <c r="O26" s="6">
        <f>'Water-Meter'!J28</f>
        <v>0</v>
      </c>
      <c r="P26" s="601">
        <f>'Water-Meter'!J28</f>
        <v>0</v>
      </c>
      <c r="Q26" s="597">
        <f t="shared" si="13"/>
        <v>0</v>
      </c>
      <c r="R26" s="647">
        <f t="shared" si="14"/>
        <v>0</v>
      </c>
      <c r="S26" s="648">
        <f>Gen!T33</f>
        <v>0</v>
      </c>
      <c r="T26" s="644">
        <f t="shared" si="9"/>
        <v>44158</v>
      </c>
      <c r="U26" s="600"/>
      <c r="V26" s="602">
        <f t="shared" si="5"/>
        <v>0</v>
      </c>
      <c r="W26" s="599"/>
      <c r="X26" s="602">
        <f t="shared" si="0"/>
        <v>0</v>
      </c>
      <c r="Y26" s="644">
        <f t="shared" si="10"/>
        <v>44158</v>
      </c>
      <c r="Z26" s="600"/>
      <c r="AA26" s="597"/>
      <c r="AB26" s="601">
        <f>'Water-Meter'!P28</f>
        <v>0</v>
      </c>
      <c r="AC26" s="656">
        <f t="shared" si="11"/>
        <v>0</v>
      </c>
    </row>
    <row r="27" spans="1:29" ht="18.75">
      <c r="A27" s="667">
        <f>Gen!C34</f>
        <v>0</v>
      </c>
      <c r="B27" s="613">
        <f>Gen!B34</f>
        <v>44159</v>
      </c>
      <c r="C27" s="600"/>
      <c r="D27" s="602">
        <f t="shared" si="16"/>
        <v>0</v>
      </c>
      <c r="E27" s="598"/>
      <c r="F27" s="602">
        <f t="shared" si="15"/>
        <v>0</v>
      </c>
      <c r="G27" s="597"/>
      <c r="H27" s="644">
        <f t="shared" si="6"/>
        <v>44159</v>
      </c>
      <c r="I27" s="600"/>
      <c r="J27" s="645">
        <f>'Water-Meter'!G29</f>
        <v>0</v>
      </c>
      <c r="K27" s="646">
        <f>'Water-Meter'!G30</f>
        <v>0</v>
      </c>
      <c r="L27" s="597">
        <f t="shared" si="3"/>
        <v>0</v>
      </c>
      <c r="M27" s="644">
        <f t="shared" si="7"/>
        <v>44159</v>
      </c>
      <c r="N27" s="600"/>
      <c r="O27" s="6">
        <f>'Water-Meter'!J29</f>
        <v>0</v>
      </c>
      <c r="P27" s="601">
        <f>'Water-Meter'!J29</f>
        <v>0</v>
      </c>
      <c r="Q27" s="597">
        <f t="shared" si="13"/>
        <v>0</v>
      </c>
      <c r="R27" s="647">
        <f t="shared" si="14"/>
        <v>0</v>
      </c>
      <c r="S27" s="648">
        <f>Gen!T34</f>
        <v>0</v>
      </c>
      <c r="T27" s="644">
        <f t="shared" si="9"/>
        <v>44159</v>
      </c>
      <c r="U27" s="600"/>
      <c r="V27" s="602">
        <f t="shared" si="5"/>
        <v>0</v>
      </c>
      <c r="W27" s="599"/>
      <c r="X27" s="602">
        <f t="shared" si="0"/>
        <v>0</v>
      </c>
      <c r="Y27" s="644">
        <f t="shared" si="10"/>
        <v>44159</v>
      </c>
      <c r="Z27" s="600"/>
      <c r="AA27" s="597"/>
      <c r="AB27" s="601">
        <f>'Water-Meter'!P29</f>
        <v>0</v>
      </c>
      <c r="AC27" s="656">
        <f t="shared" si="11"/>
        <v>0</v>
      </c>
    </row>
    <row r="28" spans="1:29" ht="18.75">
      <c r="A28" s="667">
        <f>Gen!C35</f>
        <v>0</v>
      </c>
      <c r="B28" s="613">
        <f>Gen!B35</f>
        <v>44160</v>
      </c>
      <c r="C28" s="600"/>
      <c r="D28" s="602">
        <f t="shared" si="16"/>
        <v>0</v>
      </c>
      <c r="E28" s="598"/>
      <c r="F28" s="602">
        <f t="shared" si="15"/>
        <v>0</v>
      </c>
      <c r="G28" s="597"/>
      <c r="H28" s="644">
        <f t="shared" si="6"/>
        <v>44160</v>
      </c>
      <c r="I28" s="600"/>
      <c r="J28" s="645">
        <f>'Water-Meter'!G30</f>
        <v>0</v>
      </c>
      <c r="K28" s="646">
        <f>'Water-Meter'!G31</f>
        <v>0</v>
      </c>
      <c r="L28" s="597">
        <f t="shared" si="3"/>
        <v>0</v>
      </c>
      <c r="M28" s="644">
        <f t="shared" si="7"/>
        <v>44160</v>
      </c>
      <c r="N28" s="600"/>
      <c r="O28" s="6">
        <f>'Water-Meter'!J30</f>
        <v>0</v>
      </c>
      <c r="P28" s="601">
        <f>'Water-Meter'!J30</f>
        <v>0</v>
      </c>
      <c r="Q28" s="597">
        <f t="shared" si="13"/>
        <v>0</v>
      </c>
      <c r="R28" s="647">
        <f t="shared" si="14"/>
        <v>0</v>
      </c>
      <c r="S28" s="648">
        <f>Gen!T35</f>
        <v>0</v>
      </c>
      <c r="T28" s="644">
        <f t="shared" si="9"/>
        <v>44160</v>
      </c>
      <c r="U28" s="600"/>
      <c r="V28" s="602">
        <f t="shared" si="5"/>
        <v>0</v>
      </c>
      <c r="W28" s="599"/>
      <c r="X28" s="602">
        <f t="shared" si="0"/>
        <v>0</v>
      </c>
      <c r="Y28" s="644">
        <f t="shared" si="10"/>
        <v>44160</v>
      </c>
      <c r="Z28" s="600"/>
      <c r="AA28" s="597"/>
      <c r="AB28" s="601">
        <f>'Water-Meter'!P30</f>
        <v>0</v>
      </c>
      <c r="AC28" s="656">
        <f t="shared" si="11"/>
        <v>0</v>
      </c>
    </row>
    <row r="29" spans="1:29" ht="18.75">
      <c r="A29" s="667">
        <f>Gen!C36</f>
        <v>0</v>
      </c>
      <c r="B29" s="613">
        <f>Gen!B36</f>
        <v>44161</v>
      </c>
      <c r="C29" s="600"/>
      <c r="D29" s="602">
        <f t="shared" si="16"/>
        <v>0</v>
      </c>
      <c r="E29" s="598"/>
      <c r="F29" s="602">
        <f t="shared" si="15"/>
        <v>0</v>
      </c>
      <c r="G29" s="597"/>
      <c r="H29" s="644">
        <f t="shared" si="6"/>
        <v>44161</v>
      </c>
      <c r="I29" s="600"/>
      <c r="J29" s="645">
        <f>'Water-Meter'!G31</f>
        <v>0</v>
      </c>
      <c r="K29" s="646">
        <f>'Water-Meter'!G32</f>
        <v>0</v>
      </c>
      <c r="L29" s="597">
        <f t="shared" si="3"/>
        <v>0</v>
      </c>
      <c r="M29" s="644">
        <f t="shared" si="7"/>
        <v>44161</v>
      </c>
      <c r="N29" s="600"/>
      <c r="O29" s="6">
        <f>'Water-Meter'!J31</f>
        <v>0</v>
      </c>
      <c r="P29" s="601">
        <f>'Water-Meter'!J31</f>
        <v>0</v>
      </c>
      <c r="Q29" s="597">
        <f t="shared" si="13"/>
        <v>0</v>
      </c>
      <c r="R29" s="647">
        <f t="shared" si="14"/>
        <v>0</v>
      </c>
      <c r="S29" s="648">
        <f>Gen!T36</f>
        <v>0</v>
      </c>
      <c r="T29" s="644">
        <f t="shared" si="9"/>
        <v>44161</v>
      </c>
      <c r="U29" s="600"/>
      <c r="V29" s="602">
        <f t="shared" si="5"/>
        <v>0</v>
      </c>
      <c r="W29" s="599"/>
      <c r="X29" s="602">
        <f t="shared" si="0"/>
        <v>0</v>
      </c>
      <c r="Y29" s="644">
        <f t="shared" si="10"/>
        <v>44161</v>
      </c>
      <c r="Z29" s="600"/>
      <c r="AA29" s="597"/>
      <c r="AB29" s="601">
        <f>'Water-Meter'!P31</f>
        <v>0</v>
      </c>
      <c r="AC29" s="656">
        <f t="shared" si="11"/>
        <v>0</v>
      </c>
    </row>
    <row r="30" spans="1:29" ht="18.75">
      <c r="A30" s="667">
        <f>Gen!C37</f>
        <v>0</v>
      </c>
      <c r="B30" s="613">
        <f>Gen!B37</f>
        <v>44162</v>
      </c>
      <c r="C30" s="600"/>
      <c r="D30" s="602">
        <f t="shared" si="16"/>
        <v>0</v>
      </c>
      <c r="E30" s="598"/>
      <c r="F30" s="602">
        <f t="shared" si="15"/>
        <v>0</v>
      </c>
      <c r="G30" s="597"/>
      <c r="H30" s="644">
        <f t="shared" si="6"/>
        <v>44162</v>
      </c>
      <c r="I30" s="600"/>
      <c r="J30" s="645">
        <f>'Water-Meter'!G32</f>
        <v>0</v>
      </c>
      <c r="K30" s="646">
        <f>'Water-Meter'!G33</f>
        <v>0</v>
      </c>
      <c r="L30" s="597">
        <f t="shared" si="3"/>
        <v>0</v>
      </c>
      <c r="M30" s="644">
        <f t="shared" si="7"/>
        <v>44162</v>
      </c>
      <c r="N30" s="600"/>
      <c r="O30" s="6">
        <f>'Water-Meter'!J32</f>
        <v>0</v>
      </c>
      <c r="P30" s="601">
        <f>'Water-Meter'!J32</f>
        <v>0</v>
      </c>
      <c r="Q30" s="597">
        <f t="shared" si="13"/>
        <v>0</v>
      </c>
      <c r="R30" s="647">
        <f t="shared" si="14"/>
        <v>0</v>
      </c>
      <c r="S30" s="648">
        <f>Gen!T37</f>
        <v>0</v>
      </c>
      <c r="T30" s="644">
        <f t="shared" si="9"/>
        <v>44162</v>
      </c>
      <c r="U30" s="600"/>
      <c r="V30" s="602">
        <f t="shared" si="5"/>
        <v>0</v>
      </c>
      <c r="W30" s="599"/>
      <c r="X30" s="602">
        <f t="shared" si="0"/>
        <v>0</v>
      </c>
      <c r="Y30" s="644">
        <f t="shared" si="10"/>
        <v>44162</v>
      </c>
      <c r="Z30" s="600"/>
      <c r="AA30" s="597"/>
      <c r="AB30" s="601">
        <f>'Water-Meter'!P32</f>
        <v>0</v>
      </c>
      <c r="AC30" s="656">
        <f t="shared" si="11"/>
        <v>0</v>
      </c>
    </row>
    <row r="31" spans="1:29" ht="18.75">
      <c r="A31" s="667">
        <f>Gen!C38</f>
        <v>0</v>
      </c>
      <c r="B31" s="613">
        <f>Gen!B38</f>
        <v>44163</v>
      </c>
      <c r="C31" s="600"/>
      <c r="D31" s="602">
        <f t="shared" si="16"/>
        <v>0</v>
      </c>
      <c r="E31" s="598"/>
      <c r="F31" s="602">
        <f t="shared" si="15"/>
        <v>0</v>
      </c>
      <c r="G31" s="597"/>
      <c r="H31" s="644">
        <f t="shared" si="6"/>
        <v>44163</v>
      </c>
      <c r="I31" s="600"/>
      <c r="J31" s="645">
        <f>'Water-Meter'!G33</f>
        <v>0</v>
      </c>
      <c r="K31" s="646">
        <f>'Water-Meter'!G34</f>
        <v>0</v>
      </c>
      <c r="L31" s="597">
        <f t="shared" si="3"/>
        <v>0</v>
      </c>
      <c r="M31" s="644">
        <f t="shared" si="7"/>
        <v>44163</v>
      </c>
      <c r="N31" s="600"/>
      <c r="O31" s="6">
        <f>'Water-Meter'!J33</f>
        <v>0</v>
      </c>
      <c r="P31" s="601">
        <f>'Water-Meter'!J33</f>
        <v>0</v>
      </c>
      <c r="Q31" s="597">
        <f t="shared" si="13"/>
        <v>0</v>
      </c>
      <c r="R31" s="647">
        <f t="shared" si="14"/>
        <v>0</v>
      </c>
      <c r="S31" s="648">
        <f>Gen!T38</f>
        <v>0</v>
      </c>
      <c r="T31" s="644">
        <f>M31</f>
        <v>44163</v>
      </c>
      <c r="U31" s="600"/>
      <c r="V31" s="602">
        <f t="shared" si="5"/>
        <v>0</v>
      </c>
      <c r="W31" s="599"/>
      <c r="X31" s="602">
        <f t="shared" si="0"/>
        <v>0</v>
      </c>
      <c r="Y31" s="644">
        <f>T31</f>
        <v>44163</v>
      </c>
      <c r="Z31" s="600"/>
      <c r="AA31" s="597"/>
      <c r="AB31" s="601">
        <f>'Water-Meter'!P33</f>
        <v>0</v>
      </c>
      <c r="AC31" s="656">
        <f t="shared" si="11"/>
        <v>0</v>
      </c>
    </row>
    <row r="32" spans="1:29" ht="18.75">
      <c r="A32" s="667">
        <f>Gen!C39</f>
        <v>0</v>
      </c>
      <c r="B32" s="613">
        <f>Gen!B39</f>
        <v>44164</v>
      </c>
      <c r="C32" s="600"/>
      <c r="D32" s="602">
        <f t="shared" si="16"/>
        <v>0</v>
      </c>
      <c r="E32" s="598"/>
      <c r="F32" s="602">
        <f t="shared" si="15"/>
        <v>0</v>
      </c>
      <c r="G32" s="597"/>
      <c r="H32" s="644">
        <f t="shared" si="6"/>
        <v>44164</v>
      </c>
      <c r="I32" s="600"/>
      <c r="J32" s="645">
        <f>'Water-Meter'!G34</f>
        <v>0</v>
      </c>
      <c r="K32" s="646">
        <f>'Water-Meter'!G34</f>
        <v>0</v>
      </c>
      <c r="L32" s="597">
        <f t="shared" si="3"/>
        <v>0</v>
      </c>
      <c r="M32" s="644">
        <f t="shared" si="7"/>
        <v>44164</v>
      </c>
      <c r="N32" s="600"/>
      <c r="O32" s="6">
        <f>'Water-Meter'!J34</f>
        <v>0</v>
      </c>
      <c r="P32" s="601">
        <f>'Water-Meter'!J34</f>
        <v>0</v>
      </c>
      <c r="Q32" s="597">
        <f t="shared" si="13"/>
        <v>0</v>
      </c>
      <c r="R32" s="647">
        <f t="shared" si="14"/>
        <v>0</v>
      </c>
      <c r="S32" s="648">
        <f>Gen!T39</f>
        <v>0</v>
      </c>
      <c r="T32" s="644">
        <f t="shared" ref="T32:T35" si="17">M32</f>
        <v>44164</v>
      </c>
      <c r="U32" s="600"/>
      <c r="V32" s="602">
        <f t="shared" si="5"/>
        <v>0</v>
      </c>
      <c r="W32" s="599"/>
      <c r="X32" s="602">
        <f t="shared" si="0"/>
        <v>0</v>
      </c>
      <c r="Y32" s="644">
        <f t="shared" ref="Y32:Y35" si="18">T32</f>
        <v>44164</v>
      </c>
      <c r="Z32" s="600"/>
      <c r="AA32" s="597"/>
      <c r="AB32" s="601">
        <f>'Water-Meter'!P34</f>
        <v>0</v>
      </c>
      <c r="AC32" s="656">
        <f t="shared" si="11"/>
        <v>0</v>
      </c>
    </row>
    <row r="33" spans="1:29" ht="18.75">
      <c r="A33" s="667">
        <f>Gen!C40</f>
        <v>0</v>
      </c>
      <c r="B33" s="613">
        <f>Gen!B40</f>
        <v>44165</v>
      </c>
      <c r="C33" s="600"/>
      <c r="D33" s="602">
        <f t="shared" si="16"/>
        <v>0</v>
      </c>
      <c r="E33" s="598"/>
      <c r="F33" s="602">
        <f t="shared" si="15"/>
        <v>0</v>
      </c>
      <c r="G33" s="597"/>
      <c r="H33" s="644">
        <f t="shared" si="6"/>
        <v>44165</v>
      </c>
      <c r="I33" s="600"/>
      <c r="J33" s="645">
        <f>'Water-Meter'!G35</f>
        <v>0</v>
      </c>
      <c r="K33" s="646">
        <f>'Water-Meter'!G35</f>
        <v>0</v>
      </c>
      <c r="L33" s="597">
        <f t="shared" si="3"/>
        <v>0</v>
      </c>
      <c r="M33" s="644">
        <f t="shared" si="7"/>
        <v>44165</v>
      </c>
      <c r="N33" s="600"/>
      <c r="O33" s="6">
        <f>'Water-Meter'!J35</f>
        <v>0</v>
      </c>
      <c r="P33" s="601">
        <f>'Water-Meter'!J35</f>
        <v>0</v>
      </c>
      <c r="Q33" s="597">
        <f t="shared" si="13"/>
        <v>0</v>
      </c>
      <c r="R33" s="647">
        <f t="shared" si="14"/>
        <v>0</v>
      </c>
      <c r="S33" s="648">
        <f>Gen!T40</f>
        <v>0</v>
      </c>
      <c r="T33" s="644">
        <f t="shared" si="17"/>
        <v>44165</v>
      </c>
      <c r="U33" s="600"/>
      <c r="V33" s="602">
        <f t="shared" si="5"/>
        <v>0</v>
      </c>
      <c r="W33" s="599"/>
      <c r="X33" s="602">
        <f t="shared" si="0"/>
        <v>0</v>
      </c>
      <c r="Y33" s="644">
        <f t="shared" si="18"/>
        <v>44165</v>
      </c>
      <c r="Z33" s="600"/>
      <c r="AA33" s="597"/>
      <c r="AB33" s="601">
        <f>'Water-Meter'!P35</f>
        <v>0</v>
      </c>
      <c r="AC33" s="656">
        <f t="shared" si="11"/>
        <v>0</v>
      </c>
    </row>
    <row r="34" spans="1:29" ht="18.75">
      <c r="A34" s="667">
        <f>Gen!C41</f>
        <v>0</v>
      </c>
      <c r="B34" s="613">
        <f>Gen!B41</f>
        <v>44166</v>
      </c>
      <c r="C34" s="6"/>
      <c r="D34" s="602">
        <f t="shared" si="16"/>
        <v>0</v>
      </c>
      <c r="E34" s="598"/>
      <c r="F34" s="602">
        <f t="shared" si="15"/>
        <v>0</v>
      </c>
      <c r="G34" s="6"/>
      <c r="H34" s="644">
        <f t="shared" si="6"/>
        <v>44166</v>
      </c>
      <c r="I34" s="6"/>
      <c r="J34" s="645">
        <f>'Water-Meter'!G36</f>
        <v>0</v>
      </c>
      <c r="K34" s="646">
        <f>'Water-Meter'!G36</f>
        <v>0</v>
      </c>
      <c r="L34" s="597">
        <f t="shared" si="3"/>
        <v>0</v>
      </c>
      <c r="M34" s="644">
        <f t="shared" si="7"/>
        <v>44166</v>
      </c>
      <c r="N34" s="6"/>
      <c r="O34" s="6">
        <f>'Water-Meter'!J36</f>
        <v>0</v>
      </c>
      <c r="P34" s="601">
        <f>'Water-Meter'!J36</f>
        <v>0</v>
      </c>
      <c r="Q34" s="597">
        <f t="shared" si="13"/>
        <v>0</v>
      </c>
      <c r="R34" s="647">
        <f t="shared" si="14"/>
        <v>0</v>
      </c>
      <c r="S34" s="648">
        <f>Gen!T41</f>
        <v>0</v>
      </c>
      <c r="T34" s="644">
        <f t="shared" si="17"/>
        <v>44166</v>
      </c>
      <c r="U34" s="6"/>
      <c r="V34" s="602">
        <f t="shared" ref="V34:V35" si="19">SUM(W33)</f>
        <v>0</v>
      </c>
      <c r="W34" s="599"/>
      <c r="X34" s="602">
        <f t="shared" si="0"/>
        <v>0</v>
      </c>
      <c r="Y34" s="644">
        <f t="shared" si="18"/>
        <v>44166</v>
      </c>
      <c r="Z34" s="6"/>
      <c r="AA34" s="597"/>
      <c r="AB34" s="601">
        <f>'Water-Meter'!P36</f>
        <v>0</v>
      </c>
      <c r="AC34" s="656">
        <f t="shared" si="11"/>
        <v>0</v>
      </c>
    </row>
    <row r="35" spans="1:29" ht="20.25" customHeight="1" thickBot="1">
      <c r="A35" s="668" t="e">
        <f>[1]Gen!B42</f>
        <v>#REF!</v>
      </c>
      <c r="B35" s="614" t="e">
        <f>[1]Gen!A42</f>
        <v>#REF!</v>
      </c>
      <c r="C35" s="8"/>
      <c r="D35" s="615">
        <f t="shared" si="16"/>
        <v>0</v>
      </c>
      <c r="E35" s="616"/>
      <c r="F35" s="617">
        <f>SUM(F4:F6)</f>
        <v>635.99999999991269</v>
      </c>
      <c r="G35" s="8"/>
      <c r="H35" s="657" t="e">
        <f t="shared" si="6"/>
        <v>#REF!</v>
      </c>
      <c r="I35" s="8"/>
      <c r="J35" s="620">
        <f t="shared" ref="J35" si="20">SUM(K34)</f>
        <v>0</v>
      </c>
      <c r="K35" s="658">
        <f>'Water-Meter'!G37</f>
        <v>0</v>
      </c>
      <c r="L35" s="8">
        <f>SUM(L5:L34)</f>
        <v>0</v>
      </c>
      <c r="M35" s="657" t="e">
        <f t="shared" si="7"/>
        <v>#REF!</v>
      </c>
      <c r="N35" s="8"/>
      <c r="O35" s="620"/>
      <c r="P35" s="621">
        <f>'Water-Meter'!J37</f>
        <v>0</v>
      </c>
      <c r="Q35" s="620">
        <f t="shared" si="13"/>
        <v>0</v>
      </c>
      <c r="R35" s="659">
        <f t="shared" si="14"/>
        <v>0</v>
      </c>
      <c r="S35" s="660">
        <f>Gen!T42</f>
        <v>0</v>
      </c>
      <c r="T35" s="657" t="e">
        <f t="shared" si="17"/>
        <v>#REF!</v>
      </c>
      <c r="U35" s="8"/>
      <c r="V35" s="615">
        <f t="shared" si="19"/>
        <v>0</v>
      </c>
      <c r="W35" s="622"/>
      <c r="X35" s="615">
        <f t="shared" si="0"/>
        <v>0</v>
      </c>
      <c r="Y35" s="657" t="e">
        <f t="shared" si="18"/>
        <v>#REF!</v>
      </c>
      <c r="Z35" s="8"/>
      <c r="AA35" s="620"/>
      <c r="AB35" s="621">
        <f>'Water-Meter'!P37</f>
        <v>0</v>
      </c>
      <c r="AC35" s="661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460.00000000003638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1" sqref="E1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3" t="s">
        <v>317</v>
      </c>
      <c r="B2" s="864"/>
      <c r="C2" s="864"/>
      <c r="D2" s="864"/>
      <c r="E2" s="865"/>
      <c r="F2" s="119"/>
      <c r="G2" s="119"/>
      <c r="H2" s="119"/>
      <c r="I2" s="119"/>
      <c r="J2" s="119"/>
      <c r="K2" s="119"/>
      <c r="L2" s="690"/>
    </row>
    <row r="3" spans="1:13" ht="50.25" customHeight="1" thickBot="1">
      <c r="A3" s="691"/>
      <c r="B3" s="692"/>
      <c r="C3" s="76"/>
      <c r="D3" s="76"/>
      <c r="E3" s="76"/>
      <c r="F3" s="76"/>
      <c r="G3" s="76"/>
      <c r="H3" s="76"/>
      <c r="I3" s="76"/>
      <c r="J3" s="76"/>
      <c r="K3" s="76"/>
      <c r="L3" s="693"/>
    </row>
    <row r="4" spans="1:13" s="51" customFormat="1" ht="50.25" customHeight="1" thickBot="1">
      <c r="A4" s="694" t="s">
        <v>0</v>
      </c>
      <c r="B4" s="695" t="s">
        <v>66</v>
      </c>
      <c r="C4" s="696" t="s">
        <v>50</v>
      </c>
      <c r="D4" s="697" t="s">
        <v>64</v>
      </c>
      <c r="E4" s="697" t="s">
        <v>65</v>
      </c>
      <c r="F4" s="698" t="s">
        <v>42</v>
      </c>
      <c r="G4" s="697" t="s">
        <v>203</v>
      </c>
      <c r="H4" s="697" t="s">
        <v>206</v>
      </c>
      <c r="I4" s="697" t="s">
        <v>204</v>
      </c>
      <c r="J4" s="697" t="s">
        <v>205</v>
      </c>
      <c r="K4" s="698" t="s">
        <v>51</v>
      </c>
      <c r="L4" s="699" t="s">
        <v>76</v>
      </c>
    </row>
    <row r="5" spans="1:13">
      <c r="A5" s="687">
        <f>Gen!B11</f>
        <v>44136</v>
      </c>
      <c r="B5" s="669">
        <f>'Daily report Gen'!Z6</f>
        <v>26</v>
      </c>
      <c r="C5" s="670">
        <f>Gen!C11</f>
        <v>2.5999999999999999E-2</v>
      </c>
      <c r="D5" s="671">
        <f t="shared" ref="D5:D36" si="0">E5</f>
        <v>3</v>
      </c>
      <c r="E5" s="672">
        <v>3</v>
      </c>
      <c r="F5" s="673">
        <f>Gen!U9</f>
        <v>0</v>
      </c>
      <c r="G5" s="674">
        <f>Gen!T9</f>
        <v>0</v>
      </c>
      <c r="H5" s="674">
        <f>Gen!AK11</f>
        <v>0</v>
      </c>
      <c r="I5" s="674">
        <f t="shared" ref="I5:I36" si="1">SUM(G5:H5)</f>
        <v>0</v>
      </c>
      <c r="J5" s="675">
        <f>Gen!D11</f>
        <v>32519.1</v>
      </c>
      <c r="K5" s="676">
        <f>'Water-Meter'!E6</f>
        <v>54</v>
      </c>
      <c r="L5" s="677">
        <f>'Lpg (2)'!G10</f>
        <v>0</v>
      </c>
      <c r="M5" s="80" t="e">
        <f>SUM(#REF!-#REF!)</f>
        <v>#REF!</v>
      </c>
    </row>
    <row r="6" spans="1:13">
      <c r="A6" s="688">
        <f>Gen!B12</f>
        <v>44137</v>
      </c>
      <c r="B6" s="678">
        <f>'Daily report Gen'!Z7</f>
        <v>23</v>
      </c>
      <c r="C6" s="88">
        <f>Gen!C12</f>
        <v>5.1900000000000002E-2</v>
      </c>
      <c r="D6" s="442">
        <f t="shared" si="0"/>
        <v>5</v>
      </c>
      <c r="E6" s="75">
        <v>5</v>
      </c>
      <c r="F6" s="71">
        <f>Gen!U10</f>
        <v>0</v>
      </c>
      <c r="G6" s="86">
        <f>Gen!T10</f>
        <v>0</v>
      </c>
      <c r="H6" s="86">
        <f>Gen!AK12</f>
        <v>21.62</v>
      </c>
      <c r="I6" s="86">
        <f t="shared" si="1"/>
        <v>21.62</v>
      </c>
      <c r="J6" s="455">
        <f>Gen!D12</f>
        <v>31563.05</v>
      </c>
      <c r="K6" s="296">
        <f>'Water-Meter'!E7</f>
        <v>48</v>
      </c>
      <c r="L6" s="679">
        <f>'Lpg (2)'!G11</f>
        <v>57.420000000012813</v>
      </c>
      <c r="M6" s="80" t="e">
        <f>SUM(#REF!-#REF!)</f>
        <v>#REF!</v>
      </c>
    </row>
    <row r="7" spans="1:13">
      <c r="A7" s="688">
        <f>Gen!B13</f>
        <v>44138</v>
      </c>
      <c r="B7" s="678">
        <f>'Daily report Gen'!Z8</f>
        <v>24</v>
      </c>
      <c r="C7" s="88">
        <f>Gen!C13</f>
        <v>7.7899999999999997E-2</v>
      </c>
      <c r="D7" s="442">
        <f t="shared" si="0"/>
        <v>7</v>
      </c>
      <c r="E7" s="75">
        <v>7</v>
      </c>
      <c r="F7" s="71">
        <f>Gen!U11</f>
        <v>2415</v>
      </c>
      <c r="G7" s="86">
        <f>Gen!T11</f>
        <v>956.05</v>
      </c>
      <c r="H7" s="86">
        <f>Gen!AK13</f>
        <v>38.269999999999996</v>
      </c>
      <c r="I7" s="86">
        <f t="shared" si="1"/>
        <v>994.31999999999994</v>
      </c>
      <c r="J7" s="455">
        <f>Gen!D13</f>
        <v>30433.51</v>
      </c>
      <c r="K7" s="296">
        <f>'Water-Meter'!E8</f>
        <v>81</v>
      </c>
      <c r="L7" s="679">
        <f>'Lpg (2)'!G12</f>
        <v>50.159999999974396</v>
      </c>
      <c r="M7" s="80" t="e">
        <f>SUM(#REF!-#REF!)</f>
        <v>#REF!</v>
      </c>
    </row>
    <row r="8" spans="1:13">
      <c r="A8" s="688">
        <f>Gen!B14</f>
        <v>44139</v>
      </c>
      <c r="B8" s="678">
        <f>'Daily report Gen'!Z9</f>
        <v>24</v>
      </c>
      <c r="C8" s="88">
        <f>Gen!C14</f>
        <v>6.4899999999999999E-2</v>
      </c>
      <c r="D8" s="442">
        <f>E8</f>
        <v>6</v>
      </c>
      <c r="E8" s="75">
        <v>6</v>
      </c>
      <c r="F8" s="71">
        <f>Gen!U12</f>
        <v>2617</v>
      </c>
      <c r="G8" s="86">
        <f>Gen!T12</f>
        <v>1107.92</v>
      </c>
      <c r="H8" s="86">
        <f>Gen!AK14</f>
        <v>51.1</v>
      </c>
      <c r="I8" s="86">
        <f t="shared" si="1"/>
        <v>1159.02</v>
      </c>
      <c r="J8" s="455">
        <f>Gen!D14</f>
        <v>47230.25</v>
      </c>
      <c r="K8" s="296">
        <f>'Water-Meter'!E9</f>
        <v>50</v>
      </c>
      <c r="L8" s="679">
        <f>'Lpg (2)'!G13</f>
        <v>57.815999999997445</v>
      </c>
      <c r="M8" s="80" t="e">
        <f>SUM(#REF!-#REF!)</f>
        <v>#REF!</v>
      </c>
    </row>
    <row r="9" spans="1:13">
      <c r="A9" s="688">
        <f>Gen!B15</f>
        <v>44140</v>
      </c>
      <c r="B9" s="678">
        <f>'Daily report Gen'!Z10</f>
        <v>-155254</v>
      </c>
      <c r="C9" s="88">
        <f>Gen!C15</f>
        <v>0</v>
      </c>
      <c r="D9" s="442">
        <f t="shared" si="0"/>
        <v>0</v>
      </c>
      <c r="E9" s="75"/>
      <c r="F9" s="71">
        <f>Gen!U13</f>
        <v>2592</v>
      </c>
      <c r="G9" s="86">
        <f>Gen!T13</f>
        <v>1164.9899999999998</v>
      </c>
      <c r="H9" s="86">
        <f>Gen!AK15</f>
        <v>0</v>
      </c>
      <c r="I9" s="86">
        <f t="shared" si="1"/>
        <v>1164.9899999999998</v>
      </c>
      <c r="J9" s="455">
        <f>Gen!D15</f>
        <v>46132.800000000003</v>
      </c>
      <c r="K9" s="296" t="str">
        <f>'Water-Meter'!E10</f>
        <v>0</v>
      </c>
      <c r="L9" s="679">
        <f>'Lpg (2)'!G14</f>
        <v>-321299.17599999998</v>
      </c>
      <c r="M9" s="80" t="e">
        <f>SUM(#REF!-#REF!)</f>
        <v>#REF!</v>
      </c>
    </row>
    <row r="10" spans="1:13">
      <c r="A10" s="688">
        <f>Gen!B16</f>
        <v>44141</v>
      </c>
      <c r="B10" s="678">
        <f>'Daily report Gen'!Z11</f>
        <v>0</v>
      </c>
      <c r="C10" s="88">
        <f>Gen!C16</f>
        <v>0</v>
      </c>
      <c r="D10" s="442">
        <f t="shared" si="0"/>
        <v>0</v>
      </c>
      <c r="E10" s="75"/>
      <c r="F10" s="71">
        <f>Gen!U14</f>
        <v>2655</v>
      </c>
      <c r="G10" s="86">
        <f>Gen!T14</f>
        <v>1046.3499999999999</v>
      </c>
      <c r="H10" s="86">
        <f>Gen!AK16</f>
        <v>0</v>
      </c>
      <c r="I10" s="86">
        <f t="shared" si="1"/>
        <v>1046.3499999999999</v>
      </c>
      <c r="J10" s="455">
        <f>Gen!D16</f>
        <v>46132.800000000003</v>
      </c>
      <c r="K10" s="296">
        <f>'Water-Meter'!E11</f>
        <v>0</v>
      </c>
      <c r="L10" s="679">
        <f>'Lpg (2)'!G15</f>
        <v>0</v>
      </c>
      <c r="M10" s="80" t="e">
        <f>SUM(#REF!-#REF!)</f>
        <v>#REF!</v>
      </c>
    </row>
    <row r="11" spans="1:13">
      <c r="A11" s="688">
        <f>Gen!B17</f>
        <v>44142</v>
      </c>
      <c r="B11" s="678">
        <f>'Daily report Gen'!Z12</f>
        <v>0</v>
      </c>
      <c r="C11" s="88">
        <f>Gen!C17</f>
        <v>0</v>
      </c>
      <c r="D11" s="442">
        <f t="shared" si="0"/>
        <v>0</v>
      </c>
      <c r="E11" s="75"/>
      <c r="F11" s="71">
        <f>Gen!U15</f>
        <v>0</v>
      </c>
      <c r="G11" s="86">
        <f>Gen!T15</f>
        <v>0</v>
      </c>
      <c r="H11" s="86">
        <f>Gen!AK17</f>
        <v>0</v>
      </c>
      <c r="I11" s="86">
        <f t="shared" si="1"/>
        <v>0</v>
      </c>
      <c r="J11" s="455">
        <f>Gen!D17</f>
        <v>46132.800000000003</v>
      </c>
      <c r="K11" s="296">
        <f>'Water-Meter'!E12</f>
        <v>0</v>
      </c>
      <c r="L11" s="679">
        <f>'Lpg (2)'!G16</f>
        <v>0</v>
      </c>
      <c r="M11" s="80" t="e">
        <f>SUM(#REF!-#REF!)</f>
        <v>#REF!</v>
      </c>
    </row>
    <row r="12" spans="1:13">
      <c r="A12" s="688">
        <f>Gen!B18</f>
        <v>44143</v>
      </c>
      <c r="B12" s="678">
        <f>'Daily report Gen'!Z13</f>
        <v>0</v>
      </c>
      <c r="C12" s="88">
        <f>Gen!C18</f>
        <v>0</v>
      </c>
      <c r="D12" s="442">
        <f t="shared" si="0"/>
        <v>0</v>
      </c>
      <c r="E12" s="75"/>
      <c r="F12" s="71">
        <f>Gen!U16</f>
        <v>0</v>
      </c>
      <c r="G12" s="86">
        <f>Gen!T16</f>
        <v>0</v>
      </c>
      <c r="H12" s="86">
        <f>Gen!AK18</f>
        <v>0</v>
      </c>
      <c r="I12" s="86">
        <f t="shared" si="1"/>
        <v>0</v>
      </c>
      <c r="J12" s="455">
        <f>Gen!D18</f>
        <v>46132.800000000003</v>
      </c>
      <c r="K12" s="296">
        <f>'Water-Meter'!E13</f>
        <v>0</v>
      </c>
      <c r="L12" s="679">
        <f>'Lpg (2)'!G17</f>
        <v>0</v>
      </c>
      <c r="M12" s="80" t="e">
        <f>SUM(#REF!-#REF!)</f>
        <v>#REF!</v>
      </c>
    </row>
    <row r="13" spans="1:13">
      <c r="A13" s="688">
        <f>Gen!B19</f>
        <v>44144</v>
      </c>
      <c r="B13" s="678">
        <f>'Daily report Gen'!Z14</f>
        <v>0</v>
      </c>
      <c r="C13" s="88">
        <f>Gen!C19</f>
        <v>0</v>
      </c>
      <c r="D13" s="442">
        <f t="shared" si="0"/>
        <v>0</v>
      </c>
      <c r="E13" s="75"/>
      <c r="F13" s="71">
        <f>Gen!U17</f>
        <v>0</v>
      </c>
      <c r="G13" s="86">
        <f>Gen!T17</f>
        <v>0</v>
      </c>
      <c r="H13" s="86">
        <f>Gen!AK19</f>
        <v>0</v>
      </c>
      <c r="I13" s="86">
        <f t="shared" si="1"/>
        <v>0</v>
      </c>
      <c r="J13" s="455">
        <f>Gen!D19</f>
        <v>46132.800000000003</v>
      </c>
      <c r="K13" s="296">
        <f>'Water-Meter'!E14</f>
        <v>0</v>
      </c>
      <c r="L13" s="679">
        <f>'Lpg (2)'!G18</f>
        <v>0</v>
      </c>
      <c r="M13" s="80" t="e">
        <f>SUM(#REF!-#REF!)</f>
        <v>#REF!</v>
      </c>
    </row>
    <row r="14" spans="1:13">
      <c r="A14" s="688">
        <f>Gen!B20</f>
        <v>44145</v>
      </c>
      <c r="B14" s="678">
        <f>'Daily report Gen'!Z15</f>
        <v>0</v>
      </c>
      <c r="C14" s="88">
        <f>Gen!C20</f>
        <v>0</v>
      </c>
      <c r="D14" s="442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455">
        <f>Gen!D20</f>
        <v>46132.800000000003</v>
      </c>
      <c r="K14" s="296">
        <f>'Water-Meter'!E15</f>
        <v>0</v>
      </c>
      <c r="L14" s="679">
        <f>'Lpg (2)'!G19</f>
        <v>0</v>
      </c>
      <c r="M14" s="80" t="e">
        <f>SUM(#REF!-#REF!)</f>
        <v>#REF!</v>
      </c>
    </row>
    <row r="15" spans="1:13">
      <c r="A15" s="688">
        <f>Gen!B21</f>
        <v>44146</v>
      </c>
      <c r="B15" s="678">
        <f>'Daily report Gen'!Z16</f>
        <v>0</v>
      </c>
      <c r="C15" s="88">
        <f>Gen!C21</f>
        <v>0</v>
      </c>
      <c r="D15" s="44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455">
        <f>Gen!D21</f>
        <v>46132.800000000003</v>
      </c>
      <c r="K15" s="296">
        <f>'Water-Meter'!E16</f>
        <v>0</v>
      </c>
      <c r="L15" s="679">
        <f>'Lpg (2)'!G20</f>
        <v>0</v>
      </c>
      <c r="M15" s="80" t="e">
        <f>SUM(#REF!-#REF!)</f>
        <v>#REF!</v>
      </c>
    </row>
    <row r="16" spans="1:13">
      <c r="A16" s="688">
        <f>Gen!B22</f>
        <v>44147</v>
      </c>
      <c r="B16" s="678">
        <f>'Daily report Gen'!Z17</f>
        <v>0</v>
      </c>
      <c r="C16" s="88">
        <f>Gen!C22</f>
        <v>0</v>
      </c>
      <c r="D16" s="44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455">
        <f>Gen!D22</f>
        <v>46132.800000000003</v>
      </c>
      <c r="K16" s="296">
        <f>'Water-Meter'!E17</f>
        <v>0</v>
      </c>
      <c r="L16" s="679">
        <f>'Lpg (2)'!G21</f>
        <v>0</v>
      </c>
      <c r="M16" s="80" t="e">
        <f>SUM(#REF!-#REF!)</f>
        <v>#REF!</v>
      </c>
    </row>
    <row r="17" spans="1:13">
      <c r="A17" s="688">
        <f>Gen!B23</f>
        <v>44148</v>
      </c>
      <c r="B17" s="678">
        <f>'Daily report Gen'!Z18</f>
        <v>0</v>
      </c>
      <c r="C17" s="88">
        <f>Gen!C23</f>
        <v>0</v>
      </c>
      <c r="D17" s="44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455">
        <f>Gen!D23</f>
        <v>46132.800000000003</v>
      </c>
      <c r="K17" s="296">
        <f>'Water-Meter'!E18</f>
        <v>0</v>
      </c>
      <c r="L17" s="679">
        <f>'Lpg (2)'!G22</f>
        <v>0</v>
      </c>
      <c r="M17" s="80" t="e">
        <f>SUM(#REF!-#REF!)</f>
        <v>#REF!</v>
      </c>
    </row>
    <row r="18" spans="1:13">
      <c r="A18" s="688">
        <f>Gen!B24</f>
        <v>44149</v>
      </c>
      <c r="B18" s="678">
        <f>'Daily report Gen'!Z19</f>
        <v>0</v>
      </c>
      <c r="C18" s="88">
        <f>Gen!C24</f>
        <v>0</v>
      </c>
      <c r="D18" s="44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455">
        <f>Gen!D24</f>
        <v>46132.800000000003</v>
      </c>
      <c r="K18" s="296">
        <f>'Water-Meter'!E19</f>
        <v>0</v>
      </c>
      <c r="L18" s="679">
        <f>'Lpg (2)'!G23</f>
        <v>0</v>
      </c>
      <c r="M18" s="80" t="e">
        <f>SUM(#REF!-#REF!)</f>
        <v>#REF!</v>
      </c>
    </row>
    <row r="19" spans="1:13">
      <c r="A19" s="688">
        <f>Gen!B25</f>
        <v>44150</v>
      </c>
      <c r="B19" s="678">
        <f>'Daily report Gen'!Z20</f>
        <v>0</v>
      </c>
      <c r="C19" s="88">
        <f>Gen!C25</f>
        <v>0</v>
      </c>
      <c r="D19" s="44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455">
        <f>Gen!D25</f>
        <v>46132.800000000003</v>
      </c>
      <c r="K19" s="296">
        <f>'Water-Meter'!E20</f>
        <v>0</v>
      </c>
      <c r="L19" s="679">
        <f>'Lpg (2)'!G24</f>
        <v>0</v>
      </c>
      <c r="M19" s="80" t="e">
        <f>SUM(#REF!-#REF!)</f>
        <v>#REF!</v>
      </c>
    </row>
    <row r="20" spans="1:13">
      <c r="A20" s="688">
        <f>Gen!B26</f>
        <v>44151</v>
      </c>
      <c r="B20" s="678">
        <f>'Daily report Gen'!Z21</f>
        <v>0</v>
      </c>
      <c r="C20" s="88">
        <f>Gen!C26</f>
        <v>0</v>
      </c>
      <c r="D20" s="44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455">
        <f>Gen!D26</f>
        <v>46132.800000000003</v>
      </c>
      <c r="K20" s="296">
        <f>'Water-Meter'!E21</f>
        <v>0</v>
      </c>
      <c r="L20" s="679">
        <f>'Lpg (2)'!G25</f>
        <v>0</v>
      </c>
      <c r="M20" s="80" t="e">
        <f>SUM(#REF!-#REF!)</f>
        <v>#REF!</v>
      </c>
    </row>
    <row r="21" spans="1:13">
      <c r="A21" s="688">
        <f>Gen!B27</f>
        <v>44152</v>
      </c>
      <c r="B21" s="678">
        <f>'Daily report Gen'!Z22</f>
        <v>0</v>
      </c>
      <c r="C21" s="88">
        <f>Gen!C27</f>
        <v>0</v>
      </c>
      <c r="D21" s="44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455">
        <f>Gen!D27</f>
        <v>46132.800000000003</v>
      </c>
      <c r="K21" s="296">
        <f>'Water-Meter'!E22</f>
        <v>0</v>
      </c>
      <c r="L21" s="679">
        <f>'Lpg (2)'!G26</f>
        <v>0</v>
      </c>
      <c r="M21" s="80" t="e">
        <f>SUM(#REF!-#REF!)</f>
        <v>#REF!</v>
      </c>
    </row>
    <row r="22" spans="1:13">
      <c r="A22" s="688">
        <f>Gen!B28</f>
        <v>44153</v>
      </c>
      <c r="B22" s="678">
        <f>'Daily report Gen'!Z23</f>
        <v>0</v>
      </c>
      <c r="C22" s="88">
        <f>Gen!C28</f>
        <v>0</v>
      </c>
      <c r="D22" s="44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455">
        <f>Gen!D28</f>
        <v>46132.800000000003</v>
      </c>
      <c r="K22" s="296">
        <f>'Water-Meter'!E23</f>
        <v>0</v>
      </c>
      <c r="L22" s="679">
        <f>'Lpg (2)'!G27</f>
        <v>0</v>
      </c>
      <c r="M22" s="80" t="e">
        <f>SUM(#REF!-#REF!)</f>
        <v>#REF!</v>
      </c>
    </row>
    <row r="23" spans="1:13">
      <c r="A23" s="688">
        <f>Gen!B29</f>
        <v>44154</v>
      </c>
      <c r="B23" s="678">
        <f>'Daily report Gen'!Z24</f>
        <v>0</v>
      </c>
      <c r="C23" s="88">
        <f>Gen!C29</f>
        <v>0</v>
      </c>
      <c r="D23" s="44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455">
        <f>Gen!D29</f>
        <v>46132.800000000003</v>
      </c>
      <c r="K23" s="296">
        <f>'Water-Meter'!E24</f>
        <v>0</v>
      </c>
      <c r="L23" s="679">
        <f>'Lpg (2)'!G28</f>
        <v>0</v>
      </c>
      <c r="M23" s="80" t="e">
        <f>SUM(#REF!-#REF!)</f>
        <v>#REF!</v>
      </c>
    </row>
    <row r="24" spans="1:13">
      <c r="A24" s="688">
        <f>Gen!B30</f>
        <v>44155</v>
      </c>
      <c r="B24" s="678">
        <f>'Daily report Gen'!Z25</f>
        <v>0</v>
      </c>
      <c r="C24" s="88">
        <f>Gen!C30</f>
        <v>0</v>
      </c>
      <c r="D24" s="44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5">
        <f>Gen!D30</f>
        <v>46132.800000000003</v>
      </c>
      <c r="K24" s="296">
        <f>'Water-Meter'!E25</f>
        <v>0</v>
      </c>
      <c r="L24" s="679">
        <f>'Lpg (2)'!G29</f>
        <v>0</v>
      </c>
      <c r="M24" s="80" t="e">
        <f>SUM(#REF!-#REF!)</f>
        <v>#REF!</v>
      </c>
    </row>
    <row r="25" spans="1:13">
      <c r="A25" s="688">
        <f>Gen!B31</f>
        <v>44156</v>
      </c>
      <c r="B25" s="678">
        <f>'Daily report Gen'!Z26</f>
        <v>0</v>
      </c>
      <c r="C25" s="88">
        <f>Gen!C31</f>
        <v>0</v>
      </c>
      <c r="D25" s="44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5">
        <f>Gen!D31</f>
        <v>46132.800000000003</v>
      </c>
      <c r="K25" s="296">
        <f>'Water-Meter'!E26</f>
        <v>0</v>
      </c>
      <c r="L25" s="679">
        <f>'Lpg (2)'!G30</f>
        <v>0</v>
      </c>
      <c r="M25" s="80" t="e">
        <f>SUM(#REF!-#REF!)</f>
        <v>#REF!</v>
      </c>
    </row>
    <row r="26" spans="1:13">
      <c r="A26" s="688">
        <f>Gen!B32</f>
        <v>44157</v>
      </c>
      <c r="B26" s="678">
        <f>'Daily report Gen'!Z27</f>
        <v>0</v>
      </c>
      <c r="C26" s="88">
        <f>Gen!C32</f>
        <v>0</v>
      </c>
      <c r="D26" s="44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5">
        <f>Gen!D32</f>
        <v>46132.800000000003</v>
      </c>
      <c r="K26" s="296">
        <f>'Water-Meter'!E27</f>
        <v>0</v>
      </c>
      <c r="L26" s="679">
        <f>'Lpg (2)'!G31</f>
        <v>0</v>
      </c>
      <c r="M26" s="80" t="e">
        <f>SUM(#REF!-#REF!)</f>
        <v>#REF!</v>
      </c>
    </row>
    <row r="27" spans="1:13">
      <c r="A27" s="688">
        <f>Gen!B33</f>
        <v>44158</v>
      </c>
      <c r="B27" s="678">
        <f>'Daily report Gen'!Z28</f>
        <v>0</v>
      </c>
      <c r="C27" s="88">
        <f>Gen!C33</f>
        <v>0</v>
      </c>
      <c r="D27" s="44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5">
        <f>Gen!D33</f>
        <v>46132.800000000003</v>
      </c>
      <c r="K27" s="296">
        <f>'Water-Meter'!E28</f>
        <v>0</v>
      </c>
      <c r="L27" s="679">
        <f>'Lpg (2)'!G32</f>
        <v>0</v>
      </c>
      <c r="M27" s="80" t="e">
        <f>SUM(#REF!-#REF!)</f>
        <v>#REF!</v>
      </c>
    </row>
    <row r="28" spans="1:13">
      <c r="A28" s="688">
        <f>Gen!B34</f>
        <v>44159</v>
      </c>
      <c r="B28" s="678">
        <f>'Daily report Gen'!Z29</f>
        <v>0</v>
      </c>
      <c r="C28" s="88">
        <f>Gen!C34</f>
        <v>0</v>
      </c>
      <c r="D28" s="44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5">
        <f>Gen!D34</f>
        <v>46132.800000000003</v>
      </c>
      <c r="K28" s="296">
        <f>'Water-Meter'!E29</f>
        <v>0</v>
      </c>
      <c r="L28" s="679">
        <f>'Lpg (2)'!G33</f>
        <v>0</v>
      </c>
      <c r="M28" s="80" t="e">
        <f>SUM(#REF!-#REF!)</f>
        <v>#REF!</v>
      </c>
    </row>
    <row r="29" spans="1:13">
      <c r="A29" s="688">
        <f>Gen!B35</f>
        <v>44160</v>
      </c>
      <c r="B29" s="678">
        <f>'Daily report Gen'!Z30</f>
        <v>0</v>
      </c>
      <c r="C29" s="88">
        <f>Gen!C35</f>
        <v>0</v>
      </c>
      <c r="D29" s="44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5">
        <f>Gen!D35</f>
        <v>46132.800000000003</v>
      </c>
      <c r="K29" s="296">
        <f>'Water-Meter'!E30</f>
        <v>0</v>
      </c>
      <c r="L29" s="679">
        <f>'Lpg (2)'!G34</f>
        <v>0</v>
      </c>
      <c r="M29" s="80" t="e">
        <f>SUM(#REF!-#REF!)</f>
        <v>#REF!</v>
      </c>
    </row>
    <row r="30" spans="1:13">
      <c r="A30" s="688">
        <f>Gen!B36</f>
        <v>44161</v>
      </c>
      <c r="B30" s="678">
        <f>'Daily report Gen'!Z31</f>
        <v>0</v>
      </c>
      <c r="C30" s="88">
        <f>Gen!C36</f>
        <v>0</v>
      </c>
      <c r="D30" s="44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5">
        <f>Gen!D36</f>
        <v>46132.800000000003</v>
      </c>
      <c r="K30" s="296">
        <f>'Water-Meter'!E31</f>
        <v>0</v>
      </c>
      <c r="L30" s="679">
        <f>'Lpg (2)'!G35</f>
        <v>0</v>
      </c>
      <c r="M30" s="80" t="e">
        <f>SUM(#REF!-#REF!)</f>
        <v>#REF!</v>
      </c>
    </row>
    <row r="31" spans="1:13">
      <c r="A31" s="688">
        <f>Gen!B37</f>
        <v>44162</v>
      </c>
      <c r="B31" s="678">
        <f>'Daily report Gen'!Z32</f>
        <v>0</v>
      </c>
      <c r="C31" s="88">
        <f>Gen!C37</f>
        <v>0</v>
      </c>
      <c r="D31" s="44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5">
        <f>Gen!D37</f>
        <v>46132.800000000003</v>
      </c>
      <c r="K31" s="296">
        <f>'Water-Meter'!E32</f>
        <v>0</v>
      </c>
      <c r="L31" s="679">
        <f>'Lpg (2)'!G36</f>
        <v>0</v>
      </c>
      <c r="M31" s="80" t="e">
        <f>SUM(#REF!-#REF!)</f>
        <v>#REF!</v>
      </c>
    </row>
    <row r="32" spans="1:13">
      <c r="A32" s="688">
        <f>Gen!B38</f>
        <v>44163</v>
      </c>
      <c r="B32" s="678">
        <f>'Daily report Gen'!Z33</f>
        <v>0</v>
      </c>
      <c r="C32" s="88">
        <f>Gen!C38</f>
        <v>0</v>
      </c>
      <c r="D32" s="44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5">
        <f>Gen!D38</f>
        <v>46132.800000000003</v>
      </c>
      <c r="K32" s="296">
        <f>'Water-Meter'!E33</f>
        <v>0</v>
      </c>
      <c r="L32" s="679">
        <f>'Lpg (2)'!G37</f>
        <v>0</v>
      </c>
      <c r="M32" s="80" t="e">
        <f>SUM(#REF!-#REF!)</f>
        <v>#REF!</v>
      </c>
    </row>
    <row r="33" spans="1:13">
      <c r="A33" s="688">
        <f>Gen!B39</f>
        <v>44164</v>
      </c>
      <c r="B33" s="678">
        <f>'Daily report Gen'!Z34</f>
        <v>0</v>
      </c>
      <c r="C33" s="88">
        <f>Gen!C39</f>
        <v>0</v>
      </c>
      <c r="D33" s="44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5">
        <f>Gen!D39</f>
        <v>46132.800000000003</v>
      </c>
      <c r="K33" s="296">
        <f>'Water-Meter'!E34</f>
        <v>0</v>
      </c>
      <c r="L33" s="679">
        <f>'Lpg (2)'!G38</f>
        <v>0</v>
      </c>
      <c r="M33" s="80" t="e">
        <f>SUM(#REF!-#REF!)</f>
        <v>#REF!</v>
      </c>
    </row>
    <row r="34" spans="1:13">
      <c r="A34" s="688">
        <f>Gen!B40</f>
        <v>44165</v>
      </c>
      <c r="B34" s="678">
        <f>'Daily report Gen'!Z35</f>
        <v>0</v>
      </c>
      <c r="C34" s="88">
        <f>Gen!C40</f>
        <v>0</v>
      </c>
      <c r="D34" s="44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5">
        <f>Gen!D40</f>
        <v>46132.800000000003</v>
      </c>
      <c r="K34" s="296">
        <f>'Water-Meter'!E35</f>
        <v>0</v>
      </c>
      <c r="L34" s="679">
        <f>'Lpg (2)'!G39</f>
        <v>0</v>
      </c>
      <c r="M34" s="80" t="e">
        <f>SUM(#REF!-#REF!)</f>
        <v>#REF!</v>
      </c>
    </row>
    <row r="35" spans="1:13">
      <c r="A35" s="688">
        <f>Gen!B41</f>
        <v>44166</v>
      </c>
      <c r="B35" s="678">
        <f>'Daily report Gen'!Z36</f>
        <v>0</v>
      </c>
      <c r="C35" s="88">
        <f>Gen!C41</f>
        <v>0</v>
      </c>
      <c r="D35" s="44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5">
        <f>Gen!D41</f>
        <v>46132.800000000003</v>
      </c>
      <c r="K35" s="296">
        <f>'Water-Meter'!E36</f>
        <v>0</v>
      </c>
      <c r="L35" s="679">
        <f>'Lpg (2)'!G40</f>
        <v>0</v>
      </c>
      <c r="M35" s="80" t="e">
        <f>SUM(#REF!-#REF!)</f>
        <v>#REF!</v>
      </c>
    </row>
    <row r="36" spans="1:13" ht="13.5" thickBot="1">
      <c r="A36" s="689">
        <f>Gen!B42</f>
        <v>0</v>
      </c>
      <c r="B36" s="680">
        <f>'Daily report Gen'!Z37</f>
        <v>0</v>
      </c>
      <c r="C36" s="681">
        <f>Gen!C42</f>
        <v>0</v>
      </c>
      <c r="D36" s="682">
        <f t="shared" si="0"/>
        <v>0</v>
      </c>
      <c r="E36" s="683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84">
        <f>Gen!D42</f>
        <v>46132.800000000003</v>
      </c>
      <c r="K36" s="685">
        <f>'Water-Meter'!E37</f>
        <v>0</v>
      </c>
      <c r="L36" s="686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F1" activePane="topRight" state="frozen"/>
      <selection pane="topRight" activeCell="X15" sqref="X1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44136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20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 thickBot="1">
      <c r="A5" s="708"/>
      <c r="B5" s="700"/>
      <c r="C5" s="701"/>
      <c r="D5" s="702"/>
      <c r="E5" s="703"/>
      <c r="F5" s="703"/>
      <c r="G5" s="703"/>
      <c r="H5" s="703"/>
      <c r="I5" s="307">
        <v>311462</v>
      </c>
      <c r="J5" s="705">
        <v>20697.5</v>
      </c>
      <c r="K5" s="711"/>
      <c r="L5" s="307">
        <v>35368</v>
      </c>
      <c r="M5" s="712"/>
      <c r="N5" s="702"/>
      <c r="O5" s="702">
        <v>30278</v>
      </c>
      <c r="P5" s="713"/>
      <c r="Q5" s="702"/>
      <c r="R5" s="702">
        <v>35756</v>
      </c>
      <c r="S5" s="713"/>
      <c r="T5" s="702"/>
      <c r="U5" s="702">
        <v>32563</v>
      </c>
      <c r="V5" s="713"/>
      <c r="W5" s="702"/>
      <c r="X5" s="702">
        <v>21192</v>
      </c>
      <c r="Y5" s="713"/>
      <c r="Z5" s="713"/>
      <c r="AA5" s="702"/>
      <c r="AB5" s="702"/>
      <c r="AC5" s="714"/>
    </row>
    <row r="6" spans="1:29" ht="20.100000000000001" customHeight="1" thickBot="1">
      <c r="A6" s="709">
        <f>Gen!B11</f>
        <v>44136</v>
      </c>
      <c r="B6" s="704">
        <f>Gen!C11</f>
        <v>2.5999999999999999E-2</v>
      </c>
      <c r="C6" s="835">
        <v>11879.5</v>
      </c>
      <c r="D6" s="836">
        <v>21840.2</v>
      </c>
      <c r="E6" s="500"/>
      <c r="F6" s="307"/>
      <c r="G6" s="307">
        <v>58.61</v>
      </c>
      <c r="H6" s="307"/>
      <c r="I6" s="307">
        <v>31150.9</v>
      </c>
      <c r="J6" s="705">
        <v>20700.5</v>
      </c>
      <c r="K6" s="715">
        <f>L5</f>
        <v>35368</v>
      </c>
      <c r="L6" s="307">
        <v>35381</v>
      </c>
      <c r="M6" s="306">
        <f>L6-K6</f>
        <v>13</v>
      </c>
      <c r="N6" s="308">
        <f>O5</f>
        <v>30278</v>
      </c>
      <c r="O6" s="702">
        <v>30278</v>
      </c>
      <c r="P6" s="306">
        <f>O6-N6</f>
        <v>0</v>
      </c>
      <c r="Q6" s="306">
        <f>R5</f>
        <v>35756</v>
      </c>
      <c r="R6" s="702">
        <v>35756</v>
      </c>
      <c r="S6" s="306">
        <f>R6-Q6</f>
        <v>0</v>
      </c>
      <c r="T6" s="306">
        <f>U5</f>
        <v>32563</v>
      </c>
      <c r="U6" s="702">
        <v>32563</v>
      </c>
      <c r="V6" s="306">
        <f>U6-T6</f>
        <v>0</v>
      </c>
      <c r="W6" s="308">
        <f>X5</f>
        <v>21192</v>
      </c>
      <c r="X6" s="307">
        <v>21205</v>
      </c>
      <c r="Y6" s="306">
        <f>X6-W6</f>
        <v>13</v>
      </c>
      <c r="Z6" s="309">
        <f>Y6+V6+S6+P6+M6</f>
        <v>26</v>
      </c>
      <c r="AA6" s="126">
        <v>230</v>
      </c>
      <c r="AB6" s="126">
        <v>125</v>
      </c>
      <c r="AC6" s="716">
        <f>Gen!T11</f>
        <v>956.05</v>
      </c>
    </row>
    <row r="7" spans="1:29" ht="20.100000000000001" customHeight="1" thickBot="1">
      <c r="A7" s="709">
        <f>Gen!B12</f>
        <v>44137</v>
      </c>
      <c r="B7" s="704">
        <f>Gen!C12</f>
        <v>5.1900000000000002E-2</v>
      </c>
      <c r="C7" s="835">
        <v>9664.24</v>
      </c>
      <c r="D7" s="836">
        <v>21840.2</v>
      </c>
      <c r="E7" s="500"/>
      <c r="F7" s="307"/>
      <c r="G7" s="307">
        <v>21.62</v>
      </c>
      <c r="H7" s="307"/>
      <c r="I7" s="307">
        <v>31153.9</v>
      </c>
      <c r="J7" s="705">
        <v>20703.7</v>
      </c>
      <c r="K7" s="715">
        <f t="shared" ref="K7:K37" si="0">L6</f>
        <v>35381</v>
      </c>
      <c r="L7" s="307">
        <v>35391</v>
      </c>
      <c r="M7" s="306">
        <f t="shared" ref="M7:M37" si="1">L7-K7</f>
        <v>10</v>
      </c>
      <c r="N7" s="308">
        <f t="shared" ref="N7:N37" si="2">O6</f>
        <v>30278</v>
      </c>
      <c r="O7" s="702">
        <v>30278</v>
      </c>
      <c r="P7" s="306">
        <f t="shared" ref="P7:P37" si="3">O7-N7</f>
        <v>0</v>
      </c>
      <c r="Q7" s="306">
        <f t="shared" ref="Q7:Q37" si="4">R6</f>
        <v>35756</v>
      </c>
      <c r="R7" s="702">
        <v>35756</v>
      </c>
      <c r="S7" s="306">
        <f t="shared" ref="S7:S37" si="5">R7-Q7</f>
        <v>0</v>
      </c>
      <c r="T7" s="306">
        <f t="shared" ref="T7:T37" si="6">U6</f>
        <v>32563</v>
      </c>
      <c r="U7" s="307">
        <v>32576</v>
      </c>
      <c r="V7" s="306">
        <f t="shared" ref="V7:V37" si="7">U7-T7</f>
        <v>13</v>
      </c>
      <c r="W7" s="308">
        <f t="shared" ref="W7:W37" si="8">X6</f>
        <v>21205</v>
      </c>
      <c r="X7" s="307">
        <v>21205</v>
      </c>
      <c r="Y7" s="306">
        <f t="shared" ref="Y7:Y37" si="9">X7-W7</f>
        <v>0</v>
      </c>
      <c r="Z7" s="309">
        <f t="shared" ref="Z7:Z25" si="10">Y7+V7+S7+P7+M7</f>
        <v>23</v>
      </c>
      <c r="AA7" s="126">
        <v>210</v>
      </c>
      <c r="AB7" s="126">
        <v>121</v>
      </c>
      <c r="AC7" s="716">
        <f>Gen!T12</f>
        <v>1107.92</v>
      </c>
    </row>
    <row r="8" spans="1:29" ht="20.100000000000001" customHeight="1" thickBot="1">
      <c r="A8" s="709">
        <f>Gen!B13</f>
        <v>44138</v>
      </c>
      <c r="B8" s="704">
        <f>Gen!C13</f>
        <v>7.7899999999999997E-2</v>
      </c>
      <c r="C8" s="835">
        <v>8593.31</v>
      </c>
      <c r="D8" s="836">
        <v>21840.2</v>
      </c>
      <c r="E8" s="500"/>
      <c r="F8" s="307"/>
      <c r="G8" s="307">
        <v>38.270000000000003</v>
      </c>
      <c r="H8" s="307"/>
      <c r="I8" s="307">
        <v>31157.5</v>
      </c>
      <c r="J8" s="705">
        <v>20707.099999999999</v>
      </c>
      <c r="K8" s="715">
        <f t="shared" si="0"/>
        <v>35391</v>
      </c>
      <c r="L8" s="307">
        <v>35391</v>
      </c>
      <c r="M8" s="306">
        <f t="shared" si="1"/>
        <v>0</v>
      </c>
      <c r="N8" s="308">
        <f t="shared" si="2"/>
        <v>30278</v>
      </c>
      <c r="O8" s="307">
        <v>30290</v>
      </c>
      <c r="P8" s="306">
        <f t="shared" si="3"/>
        <v>12</v>
      </c>
      <c r="Q8" s="306">
        <f t="shared" si="4"/>
        <v>35756</v>
      </c>
      <c r="R8" s="702">
        <v>35756</v>
      </c>
      <c r="S8" s="306">
        <f t="shared" si="5"/>
        <v>0</v>
      </c>
      <c r="T8" s="306">
        <f t="shared" si="6"/>
        <v>32576</v>
      </c>
      <c r="U8" s="307">
        <v>32576</v>
      </c>
      <c r="V8" s="306">
        <f t="shared" si="7"/>
        <v>0</v>
      </c>
      <c r="W8" s="308">
        <f t="shared" si="8"/>
        <v>21205</v>
      </c>
      <c r="X8" s="307">
        <v>21217</v>
      </c>
      <c r="Y8" s="306">
        <f t="shared" si="9"/>
        <v>12</v>
      </c>
      <c r="Z8" s="309">
        <f t="shared" si="10"/>
        <v>24</v>
      </c>
      <c r="AA8" s="126">
        <v>225</v>
      </c>
      <c r="AB8" s="126">
        <v>120</v>
      </c>
      <c r="AC8" s="716">
        <f>Gen!T13</f>
        <v>1164.9899999999998</v>
      </c>
    </row>
    <row r="9" spans="1:29" ht="20.100000000000001" customHeight="1">
      <c r="A9" s="709">
        <f>Gen!B14</f>
        <v>44139</v>
      </c>
      <c r="B9" s="704">
        <f>Gen!C14</f>
        <v>6.4899999999999999E-2</v>
      </c>
      <c r="C9" s="835">
        <v>7390.05</v>
      </c>
      <c r="D9" s="836">
        <v>21840.2</v>
      </c>
      <c r="E9" s="500"/>
      <c r="F9" s="307"/>
      <c r="G9" s="307"/>
      <c r="H9" s="307"/>
      <c r="I9" s="307">
        <v>31161.3</v>
      </c>
      <c r="J9" s="705">
        <v>20710.7</v>
      </c>
      <c r="K9" s="715">
        <f t="shared" si="0"/>
        <v>35391</v>
      </c>
      <c r="L9" s="307">
        <v>35391</v>
      </c>
      <c r="M9" s="306">
        <f t="shared" si="1"/>
        <v>0</v>
      </c>
      <c r="N9" s="308">
        <f t="shared" si="2"/>
        <v>30290</v>
      </c>
      <c r="O9" s="307">
        <v>30301</v>
      </c>
      <c r="P9" s="306">
        <f t="shared" si="3"/>
        <v>11</v>
      </c>
      <c r="Q9" s="306">
        <f t="shared" si="4"/>
        <v>35756</v>
      </c>
      <c r="R9" s="702">
        <v>35756</v>
      </c>
      <c r="S9" s="306">
        <f t="shared" si="5"/>
        <v>0</v>
      </c>
      <c r="T9" s="306">
        <f t="shared" si="6"/>
        <v>32576</v>
      </c>
      <c r="U9" s="307">
        <v>32589</v>
      </c>
      <c r="V9" s="306">
        <f t="shared" si="7"/>
        <v>13</v>
      </c>
      <c r="W9" s="308">
        <f t="shared" si="8"/>
        <v>21217</v>
      </c>
      <c r="X9" s="307">
        <v>21217</v>
      </c>
      <c r="Y9" s="306">
        <f t="shared" si="9"/>
        <v>0</v>
      </c>
      <c r="Z9" s="309">
        <f t="shared" si="10"/>
        <v>24</v>
      </c>
      <c r="AA9" s="126">
        <v>23</v>
      </c>
      <c r="AB9" s="126">
        <v>115</v>
      </c>
      <c r="AC9" s="716">
        <f>Gen!T14</f>
        <v>1046.3499999999999</v>
      </c>
    </row>
    <row r="10" spans="1:29" ht="20.100000000000001" customHeight="1">
      <c r="A10" s="709">
        <f>Gen!B15</f>
        <v>44140</v>
      </c>
      <c r="B10" s="704">
        <f>Gen!C15</f>
        <v>0</v>
      </c>
      <c r="C10" s="835">
        <v>24292.6</v>
      </c>
      <c r="D10" s="836">
        <v>21840.2</v>
      </c>
      <c r="E10" s="500"/>
      <c r="F10" s="307"/>
      <c r="G10" s="307"/>
      <c r="H10" s="307"/>
      <c r="I10" s="307"/>
      <c r="J10" s="705"/>
      <c r="K10" s="715">
        <f t="shared" si="0"/>
        <v>35391</v>
      </c>
      <c r="L10" s="307"/>
      <c r="M10" s="306">
        <f t="shared" si="1"/>
        <v>-35391</v>
      </c>
      <c r="N10" s="308">
        <f t="shared" si="2"/>
        <v>30301</v>
      </c>
      <c r="O10" s="307"/>
      <c r="P10" s="306">
        <f t="shared" si="3"/>
        <v>-30301</v>
      </c>
      <c r="Q10" s="306">
        <f t="shared" si="4"/>
        <v>35756</v>
      </c>
      <c r="R10" s="307"/>
      <c r="S10" s="306">
        <f t="shared" si="5"/>
        <v>-35756</v>
      </c>
      <c r="T10" s="306">
        <f t="shared" si="6"/>
        <v>32589</v>
      </c>
      <c r="U10" s="307"/>
      <c r="V10" s="306">
        <f t="shared" si="7"/>
        <v>-32589</v>
      </c>
      <c r="W10" s="308">
        <f t="shared" si="8"/>
        <v>21217</v>
      </c>
      <c r="X10" s="307"/>
      <c r="Y10" s="306">
        <f t="shared" si="9"/>
        <v>-21217</v>
      </c>
      <c r="Z10" s="309">
        <f t="shared" si="10"/>
        <v>-155254</v>
      </c>
      <c r="AA10" s="126"/>
      <c r="AB10" s="126"/>
      <c r="AC10" s="716">
        <f>Gen!T15</f>
        <v>0</v>
      </c>
    </row>
    <row r="11" spans="1:29" ht="20.100000000000001" customHeight="1">
      <c r="A11" s="709">
        <f>Gen!B16</f>
        <v>44141</v>
      </c>
      <c r="B11" s="704">
        <f>Gen!C16</f>
        <v>0</v>
      </c>
      <c r="C11" s="835"/>
      <c r="D11" s="836"/>
      <c r="E11" s="500"/>
      <c r="F11" s="307"/>
      <c r="G11" s="307"/>
      <c r="H11" s="307"/>
      <c r="I11" s="307"/>
      <c r="J11" s="705"/>
      <c r="K11" s="715">
        <f t="shared" si="0"/>
        <v>0</v>
      </c>
      <c r="L11" s="307"/>
      <c r="M11" s="306">
        <f t="shared" si="1"/>
        <v>0</v>
      </c>
      <c r="N11" s="308">
        <f t="shared" si="2"/>
        <v>0</v>
      </c>
      <c r="O11" s="307"/>
      <c r="P11" s="306">
        <f t="shared" si="3"/>
        <v>0</v>
      </c>
      <c r="Q11" s="306">
        <f t="shared" si="4"/>
        <v>0</v>
      </c>
      <c r="R11" s="307"/>
      <c r="S11" s="306">
        <f t="shared" si="5"/>
        <v>0</v>
      </c>
      <c r="T11" s="306">
        <f t="shared" si="6"/>
        <v>0</v>
      </c>
      <c r="U11" s="307"/>
      <c r="V11" s="306">
        <f t="shared" si="7"/>
        <v>0</v>
      </c>
      <c r="W11" s="308">
        <f t="shared" si="8"/>
        <v>0</v>
      </c>
      <c r="X11" s="307"/>
      <c r="Y11" s="306">
        <f t="shared" si="9"/>
        <v>0</v>
      </c>
      <c r="Z11" s="309">
        <f t="shared" si="10"/>
        <v>0</v>
      </c>
      <c r="AA11" s="126"/>
      <c r="AB11" s="126"/>
      <c r="AC11" s="716">
        <f>Gen!T16</f>
        <v>0</v>
      </c>
    </row>
    <row r="12" spans="1:29" ht="20.100000000000001" customHeight="1">
      <c r="A12" s="709">
        <f>Gen!B17</f>
        <v>44142</v>
      </c>
      <c r="B12" s="704">
        <f>Gen!C17</f>
        <v>0</v>
      </c>
      <c r="C12" s="835"/>
      <c r="D12" s="836"/>
      <c r="E12" s="500"/>
      <c r="F12" s="307"/>
      <c r="G12" s="307"/>
      <c r="H12" s="307"/>
      <c r="I12" s="307"/>
      <c r="J12" s="705"/>
      <c r="K12" s="715">
        <f t="shared" si="0"/>
        <v>0</v>
      </c>
      <c r="L12" s="307"/>
      <c r="M12" s="306">
        <f t="shared" si="1"/>
        <v>0</v>
      </c>
      <c r="N12" s="308">
        <f t="shared" si="2"/>
        <v>0</v>
      </c>
      <c r="O12" s="307"/>
      <c r="P12" s="306">
        <f t="shared" si="3"/>
        <v>0</v>
      </c>
      <c r="Q12" s="306">
        <f t="shared" si="4"/>
        <v>0</v>
      </c>
      <c r="R12" s="307"/>
      <c r="S12" s="306">
        <f t="shared" si="5"/>
        <v>0</v>
      </c>
      <c r="T12" s="306">
        <f t="shared" si="6"/>
        <v>0</v>
      </c>
      <c r="U12" s="307"/>
      <c r="V12" s="306">
        <f t="shared" si="7"/>
        <v>0</v>
      </c>
      <c r="W12" s="308">
        <f t="shared" si="8"/>
        <v>0</v>
      </c>
      <c r="X12" s="307"/>
      <c r="Y12" s="306">
        <f t="shared" si="9"/>
        <v>0</v>
      </c>
      <c r="Z12" s="309">
        <f t="shared" si="10"/>
        <v>0</v>
      </c>
      <c r="AA12" s="126"/>
      <c r="AB12" s="126"/>
      <c r="AC12" s="716">
        <f>Gen!T17</f>
        <v>0</v>
      </c>
    </row>
    <row r="13" spans="1:29" ht="20.100000000000001" customHeight="1">
      <c r="A13" s="709">
        <f>Gen!B18</f>
        <v>44143</v>
      </c>
      <c r="B13" s="704">
        <f>Gen!C18</f>
        <v>0</v>
      </c>
      <c r="C13" s="835"/>
      <c r="D13" s="836"/>
      <c r="E13" s="500"/>
      <c r="F13" s="307"/>
      <c r="G13" s="307"/>
      <c r="H13" s="307"/>
      <c r="I13" s="307"/>
      <c r="J13" s="705"/>
      <c r="K13" s="715">
        <f t="shared" si="0"/>
        <v>0</v>
      </c>
      <c r="L13" s="307"/>
      <c r="M13" s="306">
        <f t="shared" si="1"/>
        <v>0</v>
      </c>
      <c r="N13" s="308">
        <f t="shared" si="2"/>
        <v>0</v>
      </c>
      <c r="O13" s="307"/>
      <c r="P13" s="306">
        <f t="shared" si="3"/>
        <v>0</v>
      </c>
      <c r="Q13" s="306">
        <f t="shared" si="4"/>
        <v>0</v>
      </c>
      <c r="R13" s="307"/>
      <c r="S13" s="306">
        <f t="shared" si="5"/>
        <v>0</v>
      </c>
      <c r="T13" s="306">
        <f t="shared" si="6"/>
        <v>0</v>
      </c>
      <c r="U13" s="307"/>
      <c r="V13" s="306">
        <f t="shared" si="7"/>
        <v>0</v>
      </c>
      <c r="W13" s="308">
        <f t="shared" si="8"/>
        <v>0</v>
      </c>
      <c r="X13" s="307"/>
      <c r="Y13" s="306">
        <f t="shared" si="9"/>
        <v>0</v>
      </c>
      <c r="Z13" s="309">
        <f t="shared" si="10"/>
        <v>0</v>
      </c>
      <c r="AA13" s="126"/>
      <c r="AB13" s="126"/>
      <c r="AC13" s="716">
        <f>Gen!T18</f>
        <v>0</v>
      </c>
    </row>
    <row r="14" spans="1:29" ht="20.100000000000001" customHeight="1">
      <c r="A14" s="709">
        <f>Gen!B19</f>
        <v>44144</v>
      </c>
      <c r="B14" s="704">
        <f>Gen!C19</f>
        <v>0</v>
      </c>
      <c r="C14" s="835"/>
      <c r="D14" s="836"/>
      <c r="E14" s="500"/>
      <c r="F14" s="307"/>
      <c r="G14" s="307"/>
      <c r="H14" s="307"/>
      <c r="I14" s="307"/>
      <c r="J14" s="705"/>
      <c r="K14" s="715">
        <f t="shared" si="0"/>
        <v>0</v>
      </c>
      <c r="L14" s="307"/>
      <c r="M14" s="306">
        <f t="shared" si="1"/>
        <v>0</v>
      </c>
      <c r="N14" s="308">
        <f t="shared" si="2"/>
        <v>0</v>
      </c>
      <c r="O14" s="307"/>
      <c r="P14" s="306">
        <f t="shared" si="3"/>
        <v>0</v>
      </c>
      <c r="Q14" s="306">
        <f t="shared" si="4"/>
        <v>0</v>
      </c>
      <c r="R14" s="307"/>
      <c r="S14" s="306">
        <f t="shared" si="5"/>
        <v>0</v>
      </c>
      <c r="T14" s="306">
        <f t="shared" si="6"/>
        <v>0</v>
      </c>
      <c r="U14" s="307"/>
      <c r="V14" s="306">
        <f t="shared" si="7"/>
        <v>0</v>
      </c>
      <c r="W14" s="308">
        <f t="shared" si="8"/>
        <v>0</v>
      </c>
      <c r="X14" s="307"/>
      <c r="Y14" s="306">
        <f t="shared" si="9"/>
        <v>0</v>
      </c>
      <c r="Z14" s="309">
        <f t="shared" si="10"/>
        <v>0</v>
      </c>
      <c r="AA14" s="126"/>
      <c r="AB14" s="126"/>
      <c r="AC14" s="716">
        <f>Gen!T19</f>
        <v>0</v>
      </c>
    </row>
    <row r="15" spans="1:29" ht="20.100000000000001" customHeight="1">
      <c r="A15" s="709">
        <f>Gen!B20</f>
        <v>44145</v>
      </c>
      <c r="B15" s="704">
        <f>Gen!C20</f>
        <v>0</v>
      </c>
      <c r="C15" s="835"/>
      <c r="D15" s="836"/>
      <c r="E15" s="500"/>
      <c r="F15" s="307"/>
      <c r="G15" s="307"/>
      <c r="H15" s="307"/>
      <c r="I15" s="307"/>
      <c r="J15" s="705"/>
      <c r="K15" s="715">
        <f t="shared" si="0"/>
        <v>0</v>
      </c>
      <c r="L15" s="307"/>
      <c r="M15" s="306">
        <f t="shared" si="1"/>
        <v>0</v>
      </c>
      <c r="N15" s="308">
        <f t="shared" si="2"/>
        <v>0</v>
      </c>
      <c r="O15" s="307"/>
      <c r="P15" s="306">
        <f t="shared" si="3"/>
        <v>0</v>
      </c>
      <c r="Q15" s="306">
        <f t="shared" si="4"/>
        <v>0</v>
      </c>
      <c r="R15" s="307"/>
      <c r="S15" s="306">
        <f t="shared" si="5"/>
        <v>0</v>
      </c>
      <c r="T15" s="306">
        <f t="shared" si="6"/>
        <v>0</v>
      </c>
      <c r="U15" s="307"/>
      <c r="V15" s="306">
        <f t="shared" si="7"/>
        <v>0</v>
      </c>
      <c r="W15" s="308">
        <f t="shared" si="8"/>
        <v>0</v>
      </c>
      <c r="X15" s="307"/>
      <c r="Y15" s="306">
        <f t="shared" si="9"/>
        <v>0</v>
      </c>
      <c r="Z15" s="309">
        <f t="shared" si="10"/>
        <v>0</v>
      </c>
      <c r="AA15" s="126"/>
      <c r="AB15" s="126"/>
      <c r="AC15" s="716">
        <f>Gen!T20</f>
        <v>0</v>
      </c>
    </row>
    <row r="16" spans="1:29" ht="20.100000000000001" customHeight="1">
      <c r="A16" s="709">
        <f>Gen!B21</f>
        <v>44146</v>
      </c>
      <c r="B16" s="704">
        <f>Gen!C21</f>
        <v>0</v>
      </c>
      <c r="C16" s="835"/>
      <c r="D16" s="836"/>
      <c r="E16" s="500"/>
      <c r="F16" s="307"/>
      <c r="G16" s="307"/>
      <c r="H16" s="307"/>
      <c r="I16" s="307"/>
      <c r="J16" s="705"/>
      <c r="K16" s="715">
        <f t="shared" si="0"/>
        <v>0</v>
      </c>
      <c r="L16" s="307"/>
      <c r="M16" s="306">
        <f>L16-K16</f>
        <v>0</v>
      </c>
      <c r="N16" s="308">
        <f t="shared" si="2"/>
        <v>0</v>
      </c>
      <c r="O16" s="307"/>
      <c r="P16" s="306">
        <f t="shared" si="3"/>
        <v>0</v>
      </c>
      <c r="Q16" s="306">
        <f t="shared" si="4"/>
        <v>0</v>
      </c>
      <c r="R16" s="307"/>
      <c r="S16" s="306">
        <f t="shared" si="5"/>
        <v>0</v>
      </c>
      <c r="T16" s="306">
        <f t="shared" si="6"/>
        <v>0</v>
      </c>
      <c r="U16" s="307"/>
      <c r="V16" s="306">
        <f t="shared" si="7"/>
        <v>0</v>
      </c>
      <c r="W16" s="308">
        <f t="shared" si="8"/>
        <v>0</v>
      </c>
      <c r="X16" s="307"/>
      <c r="Y16" s="306">
        <f t="shared" si="9"/>
        <v>0</v>
      </c>
      <c r="Z16" s="309">
        <f t="shared" si="10"/>
        <v>0</v>
      </c>
      <c r="AA16" s="126"/>
      <c r="AB16" s="126"/>
      <c r="AC16" s="716">
        <f>Gen!T21</f>
        <v>0</v>
      </c>
    </row>
    <row r="17" spans="1:29" ht="20.100000000000001" customHeight="1">
      <c r="A17" s="709">
        <f>Gen!B22</f>
        <v>44147</v>
      </c>
      <c r="B17" s="704">
        <f>Gen!C22</f>
        <v>0</v>
      </c>
      <c r="C17" s="835"/>
      <c r="D17" s="836"/>
      <c r="E17" s="500"/>
      <c r="F17" s="307"/>
      <c r="G17" s="307"/>
      <c r="H17" s="307"/>
      <c r="I17" s="307"/>
      <c r="J17" s="705"/>
      <c r="K17" s="715">
        <f>L16</f>
        <v>0</v>
      </c>
      <c r="L17" s="307"/>
      <c r="M17" s="306">
        <f>L17-K17</f>
        <v>0</v>
      </c>
      <c r="N17" s="308">
        <f t="shared" si="2"/>
        <v>0</v>
      </c>
      <c r="O17" s="307"/>
      <c r="P17" s="306">
        <f t="shared" si="3"/>
        <v>0</v>
      </c>
      <c r="Q17" s="306">
        <f t="shared" si="4"/>
        <v>0</v>
      </c>
      <c r="R17" s="307"/>
      <c r="S17" s="306">
        <f t="shared" si="5"/>
        <v>0</v>
      </c>
      <c r="T17" s="306">
        <f t="shared" si="6"/>
        <v>0</v>
      </c>
      <c r="U17" s="307"/>
      <c r="V17" s="306">
        <f t="shared" si="7"/>
        <v>0</v>
      </c>
      <c r="W17" s="308">
        <f t="shared" si="8"/>
        <v>0</v>
      </c>
      <c r="X17" s="307"/>
      <c r="Y17" s="306">
        <f t="shared" si="9"/>
        <v>0</v>
      </c>
      <c r="Z17" s="309">
        <f t="shared" si="10"/>
        <v>0</v>
      </c>
      <c r="AA17" s="126"/>
      <c r="AB17" s="126"/>
      <c r="AC17" s="716">
        <f>Gen!T22</f>
        <v>0</v>
      </c>
    </row>
    <row r="18" spans="1:29" ht="20.100000000000001" customHeight="1">
      <c r="A18" s="709">
        <f>Gen!B23</f>
        <v>44148</v>
      </c>
      <c r="B18" s="704">
        <f>Gen!C23</f>
        <v>0</v>
      </c>
      <c r="C18" s="835"/>
      <c r="D18" s="836"/>
      <c r="E18" s="307"/>
      <c r="F18" s="307"/>
      <c r="G18" s="307"/>
      <c r="H18" s="307"/>
      <c r="I18" s="307"/>
      <c r="J18" s="705"/>
      <c r="K18" s="715">
        <f>L17</f>
        <v>0</v>
      </c>
      <c r="L18" s="307"/>
      <c r="M18" s="306">
        <f t="shared" si="1"/>
        <v>0</v>
      </c>
      <c r="N18" s="308">
        <f t="shared" si="2"/>
        <v>0</v>
      </c>
      <c r="O18" s="307"/>
      <c r="P18" s="306">
        <f t="shared" si="3"/>
        <v>0</v>
      </c>
      <c r="Q18" s="306">
        <f t="shared" si="4"/>
        <v>0</v>
      </c>
      <c r="R18" s="307"/>
      <c r="S18" s="306">
        <f t="shared" si="5"/>
        <v>0</v>
      </c>
      <c r="T18" s="306">
        <f t="shared" si="6"/>
        <v>0</v>
      </c>
      <c r="U18" s="307"/>
      <c r="V18" s="306">
        <f t="shared" si="7"/>
        <v>0</v>
      </c>
      <c r="W18" s="308">
        <f t="shared" si="8"/>
        <v>0</v>
      </c>
      <c r="X18" s="307"/>
      <c r="Y18" s="306">
        <f t="shared" si="9"/>
        <v>0</v>
      </c>
      <c r="Z18" s="309">
        <f t="shared" si="10"/>
        <v>0</v>
      </c>
      <c r="AA18" s="126"/>
      <c r="AB18" s="126"/>
      <c r="AC18" s="716">
        <f>Gen!T23</f>
        <v>0</v>
      </c>
    </row>
    <row r="19" spans="1:29" ht="20.100000000000001" customHeight="1">
      <c r="A19" s="709">
        <f>Gen!B24</f>
        <v>44149</v>
      </c>
      <c r="B19" s="704">
        <f>Gen!C24</f>
        <v>0</v>
      </c>
      <c r="C19" s="835"/>
      <c r="D19" s="836"/>
      <c r="E19" s="307"/>
      <c r="F19" s="307"/>
      <c r="G19" s="307"/>
      <c r="H19" s="307"/>
      <c r="I19" s="307"/>
      <c r="J19" s="705"/>
      <c r="K19" s="715">
        <f t="shared" si="0"/>
        <v>0</v>
      </c>
      <c r="L19" s="307"/>
      <c r="M19" s="306">
        <f t="shared" si="1"/>
        <v>0</v>
      </c>
      <c r="N19" s="308">
        <f t="shared" si="2"/>
        <v>0</v>
      </c>
      <c r="O19" s="307"/>
      <c r="P19" s="306">
        <f t="shared" si="3"/>
        <v>0</v>
      </c>
      <c r="Q19" s="306">
        <f t="shared" si="4"/>
        <v>0</v>
      </c>
      <c r="R19" s="307"/>
      <c r="S19" s="306">
        <f t="shared" si="5"/>
        <v>0</v>
      </c>
      <c r="T19" s="306">
        <f t="shared" si="6"/>
        <v>0</v>
      </c>
      <c r="U19" s="307"/>
      <c r="V19" s="306">
        <f t="shared" si="7"/>
        <v>0</v>
      </c>
      <c r="W19" s="308">
        <f t="shared" si="8"/>
        <v>0</v>
      </c>
      <c r="X19" s="307"/>
      <c r="Y19" s="306">
        <f t="shared" si="9"/>
        <v>0</v>
      </c>
      <c r="Z19" s="309">
        <f t="shared" si="10"/>
        <v>0</v>
      </c>
      <c r="AA19" s="126"/>
      <c r="AB19" s="126"/>
      <c r="AC19" s="716">
        <f>Gen!T24</f>
        <v>0</v>
      </c>
    </row>
    <row r="20" spans="1:29" ht="20.100000000000001" customHeight="1">
      <c r="A20" s="709">
        <f>Gen!B25</f>
        <v>44150</v>
      </c>
      <c r="B20" s="704">
        <f>Gen!C25</f>
        <v>0</v>
      </c>
      <c r="C20" s="835"/>
      <c r="D20" s="836"/>
      <c r="E20" s="307"/>
      <c r="F20" s="307"/>
      <c r="G20" s="307"/>
      <c r="H20" s="307"/>
      <c r="I20" s="307"/>
      <c r="J20" s="705"/>
      <c r="K20" s="715">
        <f t="shared" si="0"/>
        <v>0</v>
      </c>
      <c r="L20" s="307"/>
      <c r="M20" s="306">
        <f t="shared" si="1"/>
        <v>0</v>
      </c>
      <c r="N20" s="308">
        <f t="shared" si="2"/>
        <v>0</v>
      </c>
      <c r="O20" s="307"/>
      <c r="P20" s="306">
        <f t="shared" si="3"/>
        <v>0</v>
      </c>
      <c r="Q20" s="306">
        <f t="shared" si="4"/>
        <v>0</v>
      </c>
      <c r="R20" s="307"/>
      <c r="S20" s="306">
        <f t="shared" si="5"/>
        <v>0</v>
      </c>
      <c r="T20" s="306">
        <f t="shared" si="6"/>
        <v>0</v>
      </c>
      <c r="U20" s="307"/>
      <c r="V20" s="306">
        <f t="shared" si="7"/>
        <v>0</v>
      </c>
      <c r="W20" s="308">
        <f t="shared" si="8"/>
        <v>0</v>
      </c>
      <c r="X20" s="307"/>
      <c r="Y20" s="306">
        <f t="shared" si="9"/>
        <v>0</v>
      </c>
      <c r="Z20" s="309">
        <f t="shared" si="10"/>
        <v>0</v>
      </c>
      <c r="AA20" s="126"/>
      <c r="AB20" s="126"/>
      <c r="AC20" s="716">
        <f>Gen!T25</f>
        <v>0</v>
      </c>
    </row>
    <row r="21" spans="1:29" ht="20.100000000000001" customHeight="1">
      <c r="A21" s="709">
        <f>Gen!B26</f>
        <v>44151</v>
      </c>
      <c r="B21" s="704">
        <f>Gen!C26</f>
        <v>0</v>
      </c>
      <c r="C21" s="835"/>
      <c r="D21" s="836"/>
      <c r="E21" s="307"/>
      <c r="F21" s="307"/>
      <c r="G21" s="307"/>
      <c r="H21" s="307"/>
      <c r="I21" s="307"/>
      <c r="J21" s="705"/>
      <c r="K21" s="715">
        <f t="shared" si="0"/>
        <v>0</v>
      </c>
      <c r="L21" s="307"/>
      <c r="M21" s="306">
        <f t="shared" si="1"/>
        <v>0</v>
      </c>
      <c r="N21" s="308">
        <f t="shared" si="2"/>
        <v>0</v>
      </c>
      <c r="O21" s="307"/>
      <c r="P21" s="306">
        <f t="shared" si="3"/>
        <v>0</v>
      </c>
      <c r="Q21" s="306">
        <f t="shared" si="4"/>
        <v>0</v>
      </c>
      <c r="R21" s="307"/>
      <c r="S21" s="306">
        <f t="shared" si="5"/>
        <v>0</v>
      </c>
      <c r="T21" s="306">
        <f t="shared" si="6"/>
        <v>0</v>
      </c>
      <c r="U21" s="307"/>
      <c r="V21" s="306">
        <f t="shared" si="7"/>
        <v>0</v>
      </c>
      <c r="W21" s="308">
        <f t="shared" si="8"/>
        <v>0</v>
      </c>
      <c r="X21" s="307"/>
      <c r="Y21" s="306">
        <f t="shared" si="9"/>
        <v>0</v>
      </c>
      <c r="Z21" s="309">
        <f t="shared" si="10"/>
        <v>0</v>
      </c>
      <c r="AA21" s="126"/>
      <c r="AB21" s="126"/>
      <c r="AC21" s="716">
        <f>Gen!T26</f>
        <v>0</v>
      </c>
    </row>
    <row r="22" spans="1:29" ht="18.75" customHeight="1">
      <c r="A22" s="709">
        <f>Gen!B27</f>
        <v>44152</v>
      </c>
      <c r="B22" s="704">
        <f>Gen!C27</f>
        <v>0</v>
      </c>
      <c r="C22" s="835"/>
      <c r="D22" s="836"/>
      <c r="E22" s="307"/>
      <c r="F22" s="307"/>
      <c r="G22" s="307"/>
      <c r="H22" s="307"/>
      <c r="I22" s="307"/>
      <c r="J22" s="705"/>
      <c r="K22" s="715">
        <f t="shared" si="0"/>
        <v>0</v>
      </c>
      <c r="L22" s="307"/>
      <c r="M22" s="306">
        <f t="shared" si="1"/>
        <v>0</v>
      </c>
      <c r="N22" s="308">
        <f t="shared" si="2"/>
        <v>0</v>
      </c>
      <c r="O22" s="307"/>
      <c r="P22" s="306">
        <f t="shared" si="3"/>
        <v>0</v>
      </c>
      <c r="Q22" s="306">
        <f t="shared" si="4"/>
        <v>0</v>
      </c>
      <c r="R22" s="307"/>
      <c r="S22" s="306">
        <f t="shared" si="5"/>
        <v>0</v>
      </c>
      <c r="T22" s="306">
        <f t="shared" si="6"/>
        <v>0</v>
      </c>
      <c r="U22" s="307"/>
      <c r="V22" s="306">
        <f t="shared" si="7"/>
        <v>0</v>
      </c>
      <c r="W22" s="308">
        <f t="shared" si="8"/>
        <v>0</v>
      </c>
      <c r="X22" s="307"/>
      <c r="Y22" s="306">
        <f t="shared" si="9"/>
        <v>0</v>
      </c>
      <c r="Z22" s="309">
        <f t="shared" si="10"/>
        <v>0</v>
      </c>
      <c r="AA22" s="126"/>
      <c r="AB22" s="126"/>
      <c r="AC22" s="716">
        <f>Gen!T27</f>
        <v>0</v>
      </c>
    </row>
    <row r="23" spans="1:29" ht="20.100000000000001" customHeight="1">
      <c r="A23" s="709">
        <f>Gen!B28</f>
        <v>44153</v>
      </c>
      <c r="B23" s="704">
        <f>Gen!C28</f>
        <v>0</v>
      </c>
      <c r="C23" s="835"/>
      <c r="D23" s="836"/>
      <c r="E23" s="500"/>
      <c r="F23" s="307"/>
      <c r="G23" s="307"/>
      <c r="H23" s="307"/>
      <c r="I23" s="307"/>
      <c r="J23" s="705"/>
      <c r="K23" s="715">
        <f t="shared" si="0"/>
        <v>0</v>
      </c>
      <c r="L23" s="307"/>
      <c r="M23" s="306">
        <f t="shared" si="1"/>
        <v>0</v>
      </c>
      <c r="N23" s="308">
        <f t="shared" si="2"/>
        <v>0</v>
      </c>
      <c r="O23" s="307"/>
      <c r="P23" s="306">
        <f t="shared" si="3"/>
        <v>0</v>
      </c>
      <c r="Q23" s="306">
        <f t="shared" si="4"/>
        <v>0</v>
      </c>
      <c r="R23" s="307"/>
      <c r="S23" s="306">
        <f t="shared" si="5"/>
        <v>0</v>
      </c>
      <c r="T23" s="306">
        <f t="shared" si="6"/>
        <v>0</v>
      </c>
      <c r="U23" s="307"/>
      <c r="V23" s="306">
        <f t="shared" si="7"/>
        <v>0</v>
      </c>
      <c r="W23" s="308">
        <f t="shared" si="8"/>
        <v>0</v>
      </c>
      <c r="X23" s="307"/>
      <c r="Y23" s="306">
        <f t="shared" si="9"/>
        <v>0</v>
      </c>
      <c r="Z23" s="309">
        <f t="shared" si="10"/>
        <v>0</v>
      </c>
      <c r="AA23" s="126"/>
      <c r="AB23" s="126"/>
      <c r="AC23" s="716">
        <f>Gen!T28</f>
        <v>0</v>
      </c>
    </row>
    <row r="24" spans="1:29" ht="20.100000000000001" customHeight="1">
      <c r="A24" s="709">
        <f>Gen!B29</f>
        <v>44154</v>
      </c>
      <c r="B24" s="704">
        <f>Gen!C29</f>
        <v>0</v>
      </c>
      <c r="C24" s="835"/>
      <c r="D24" s="836"/>
      <c r="E24" s="307"/>
      <c r="F24" s="307"/>
      <c r="G24" s="307"/>
      <c r="H24" s="307"/>
      <c r="I24" s="307"/>
      <c r="J24" s="705"/>
      <c r="K24" s="715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16">
        <f>Gen!T29</f>
        <v>0</v>
      </c>
    </row>
    <row r="25" spans="1:29" ht="18.75" customHeight="1">
      <c r="A25" s="709">
        <f>Gen!B30</f>
        <v>44155</v>
      </c>
      <c r="B25" s="704">
        <f>Gen!C30</f>
        <v>0</v>
      </c>
      <c r="C25" s="835"/>
      <c r="D25" s="836"/>
      <c r="E25" s="307"/>
      <c r="F25" s="307"/>
      <c r="G25" s="307"/>
      <c r="H25" s="307"/>
      <c r="I25" s="307"/>
      <c r="J25" s="705"/>
      <c r="K25" s="715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16">
        <f>Gen!T30</f>
        <v>0</v>
      </c>
    </row>
    <row r="26" spans="1:29" ht="20.100000000000001" customHeight="1">
      <c r="A26" s="709">
        <f>Gen!B31</f>
        <v>44156</v>
      </c>
      <c r="B26" s="704">
        <f>Gen!C31</f>
        <v>0</v>
      </c>
      <c r="C26" s="835"/>
      <c r="D26" s="836"/>
      <c r="E26" s="307"/>
      <c r="F26" s="307"/>
      <c r="G26" s="307"/>
      <c r="H26" s="307"/>
      <c r="I26" s="307"/>
      <c r="J26" s="705"/>
      <c r="K26" s="715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16">
        <f>Gen!T31</f>
        <v>0</v>
      </c>
    </row>
    <row r="27" spans="1:29" ht="20.100000000000001" customHeight="1">
      <c r="A27" s="709">
        <f>Gen!B32</f>
        <v>44157</v>
      </c>
      <c r="B27" s="704">
        <f>Gen!C32</f>
        <v>0</v>
      </c>
      <c r="C27" s="835"/>
      <c r="D27" s="836"/>
      <c r="E27" s="307"/>
      <c r="F27" s="307"/>
      <c r="G27" s="307"/>
      <c r="H27" s="307"/>
      <c r="I27" s="307"/>
      <c r="J27" s="705"/>
      <c r="K27" s="715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16">
        <f>Gen!T32</f>
        <v>0</v>
      </c>
    </row>
    <row r="28" spans="1:29" ht="20.100000000000001" customHeight="1">
      <c r="A28" s="709">
        <f>Gen!B33</f>
        <v>44158</v>
      </c>
      <c r="B28" s="704">
        <f>Gen!C33</f>
        <v>0</v>
      </c>
      <c r="C28" s="835"/>
      <c r="D28" s="836"/>
      <c r="E28" s="307"/>
      <c r="F28" s="307"/>
      <c r="G28" s="307"/>
      <c r="H28" s="307"/>
      <c r="I28" s="307"/>
      <c r="J28" s="705"/>
      <c r="K28" s="715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16">
        <f>Gen!T33</f>
        <v>0</v>
      </c>
    </row>
    <row r="29" spans="1:29" ht="20.100000000000001" customHeight="1">
      <c r="A29" s="709">
        <f>Gen!B34</f>
        <v>44159</v>
      </c>
      <c r="B29" s="704">
        <f>Gen!C34</f>
        <v>0</v>
      </c>
      <c r="C29" s="835"/>
      <c r="D29" s="836"/>
      <c r="E29" s="307"/>
      <c r="F29" s="307"/>
      <c r="G29" s="307"/>
      <c r="H29" s="307"/>
      <c r="I29" s="307"/>
      <c r="J29" s="705"/>
      <c r="K29" s="715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16">
        <f>Gen!T34</f>
        <v>0</v>
      </c>
    </row>
    <row r="30" spans="1:29" ht="20.100000000000001" customHeight="1">
      <c r="A30" s="709">
        <f>Gen!B35</f>
        <v>44160</v>
      </c>
      <c r="B30" s="704">
        <f>Gen!C35</f>
        <v>0</v>
      </c>
      <c r="C30" s="835"/>
      <c r="D30" s="836"/>
      <c r="E30" s="307"/>
      <c r="F30" s="307"/>
      <c r="G30" s="307"/>
      <c r="H30" s="307"/>
      <c r="I30" s="307"/>
      <c r="J30" s="705"/>
      <c r="K30" s="715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16">
        <f>Gen!T35</f>
        <v>0</v>
      </c>
    </row>
    <row r="31" spans="1:29" ht="20.100000000000001" customHeight="1">
      <c r="A31" s="709">
        <f>Gen!B36</f>
        <v>44161</v>
      </c>
      <c r="B31" s="704">
        <f>Gen!C36</f>
        <v>0</v>
      </c>
      <c r="C31" s="835"/>
      <c r="D31" s="836"/>
      <c r="E31" s="307"/>
      <c r="F31" s="307"/>
      <c r="G31" s="307"/>
      <c r="H31" s="307"/>
      <c r="I31" s="307"/>
      <c r="J31" s="705"/>
      <c r="K31" s="715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16">
        <f>Gen!T36</f>
        <v>0</v>
      </c>
    </row>
    <row r="32" spans="1:29" ht="20.100000000000001" customHeight="1">
      <c r="A32" s="709">
        <f>Gen!B37</f>
        <v>44162</v>
      </c>
      <c r="B32" s="704">
        <f>Gen!C37</f>
        <v>0</v>
      </c>
      <c r="C32" s="835"/>
      <c r="D32" s="836"/>
      <c r="E32" s="307"/>
      <c r="F32" s="307"/>
      <c r="G32" s="307"/>
      <c r="H32" s="307"/>
      <c r="I32" s="307"/>
      <c r="J32" s="705"/>
      <c r="K32" s="715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16">
        <f>Gen!T37</f>
        <v>0</v>
      </c>
    </row>
    <row r="33" spans="1:29" ht="20.100000000000001" customHeight="1">
      <c r="A33" s="709">
        <f>Gen!B38</f>
        <v>44163</v>
      </c>
      <c r="B33" s="704">
        <f>Gen!C38</f>
        <v>0</v>
      </c>
      <c r="C33" s="835"/>
      <c r="D33" s="836"/>
      <c r="E33" s="307"/>
      <c r="F33" s="307"/>
      <c r="G33" s="307"/>
      <c r="H33" s="307"/>
      <c r="I33" s="307"/>
      <c r="J33" s="705"/>
      <c r="K33" s="715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16">
        <f>Gen!T38</f>
        <v>0</v>
      </c>
    </row>
    <row r="34" spans="1:29" ht="20.100000000000001" customHeight="1">
      <c r="A34" s="709">
        <f>Gen!B39</f>
        <v>44164</v>
      </c>
      <c r="B34" s="704">
        <f>Gen!C39</f>
        <v>0</v>
      </c>
      <c r="C34" s="835"/>
      <c r="D34" s="836"/>
      <c r="E34" s="307"/>
      <c r="F34" s="307"/>
      <c r="G34" s="307"/>
      <c r="H34" s="307"/>
      <c r="I34" s="307"/>
      <c r="J34" s="705"/>
      <c r="K34" s="715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16">
        <f>Gen!T39</f>
        <v>0</v>
      </c>
    </row>
    <row r="35" spans="1:29" ht="20.100000000000001" customHeight="1">
      <c r="A35" s="709">
        <f>Gen!B40</f>
        <v>44165</v>
      </c>
      <c r="B35" s="704">
        <f>Gen!C40</f>
        <v>0</v>
      </c>
      <c r="C35" s="835"/>
      <c r="D35" s="836"/>
      <c r="E35" s="307"/>
      <c r="F35" s="307"/>
      <c r="G35" s="307"/>
      <c r="H35" s="307"/>
      <c r="I35" s="307"/>
      <c r="J35" s="705"/>
      <c r="K35" s="715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16">
        <f>Gen!T40</f>
        <v>0</v>
      </c>
    </row>
    <row r="36" spans="1:29" ht="20.100000000000001" customHeight="1" thickBot="1">
      <c r="A36" s="710">
        <f>Gen!B41</f>
        <v>44166</v>
      </c>
      <c r="B36" s="704">
        <f>Gen!C41</f>
        <v>0</v>
      </c>
      <c r="C36" s="835"/>
      <c r="D36" s="836"/>
      <c r="E36" s="307"/>
      <c r="F36" s="307"/>
      <c r="G36" s="307"/>
      <c r="H36" s="307"/>
      <c r="I36" s="307"/>
      <c r="J36" s="705"/>
      <c r="K36" s="715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16">
        <f>Gen!T41</f>
        <v>0</v>
      </c>
    </row>
    <row r="37" spans="1:29" ht="21" customHeight="1" thickBot="1">
      <c r="A37" s="710">
        <f>Gen!B42</f>
        <v>0</v>
      </c>
      <c r="B37" s="704">
        <f>Gen!C42</f>
        <v>0</v>
      </c>
      <c r="C37" s="706"/>
      <c r="D37" s="706"/>
      <c r="E37" s="706"/>
      <c r="F37" s="706"/>
      <c r="G37" s="706"/>
      <c r="H37" s="706"/>
      <c r="I37" s="706"/>
      <c r="J37" s="707"/>
      <c r="K37" s="717">
        <f t="shared" si="0"/>
        <v>0</v>
      </c>
      <c r="L37" s="706"/>
      <c r="M37" s="718">
        <f t="shared" si="1"/>
        <v>0</v>
      </c>
      <c r="N37" s="719">
        <f t="shared" si="2"/>
        <v>0</v>
      </c>
      <c r="O37" s="706"/>
      <c r="P37" s="718">
        <f t="shared" si="3"/>
        <v>0</v>
      </c>
      <c r="Q37" s="718">
        <f t="shared" si="4"/>
        <v>0</v>
      </c>
      <c r="R37" s="706"/>
      <c r="S37" s="718">
        <f t="shared" si="5"/>
        <v>0</v>
      </c>
      <c r="T37" s="718">
        <f t="shared" si="6"/>
        <v>0</v>
      </c>
      <c r="U37" s="706"/>
      <c r="V37" s="718">
        <f t="shared" si="7"/>
        <v>0</v>
      </c>
      <c r="W37" s="719">
        <f t="shared" si="8"/>
        <v>0</v>
      </c>
      <c r="X37" s="706"/>
      <c r="Y37" s="718">
        <f t="shared" si="9"/>
        <v>0</v>
      </c>
      <c r="Z37" s="720">
        <f t="shared" si="11"/>
        <v>0</v>
      </c>
      <c r="AA37" s="721"/>
      <c r="AB37" s="721"/>
      <c r="AC37" s="722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7"/>
  <sheetViews>
    <sheetView topLeftCell="A7" zoomScale="115" zoomScaleNormal="115" workbookViewId="0">
      <pane xSplit="2" topLeftCell="C1" activePane="topRight" state="frozen"/>
      <selection pane="topRight" activeCell="K23" sqref="K23"/>
    </sheetView>
  </sheetViews>
  <sheetFormatPr defaultColWidth="9.140625" defaultRowHeight="11.25"/>
  <cols>
    <col min="1" max="1" width="9.140625" style="181"/>
    <col min="2" max="2" width="9.85546875" style="536" customWidth="1"/>
    <col min="3" max="3" width="9.5703125" style="536" customWidth="1"/>
    <col min="4" max="4" width="9" style="536" customWidth="1"/>
    <col min="5" max="5" width="9.140625" style="536" customWidth="1"/>
    <col min="6" max="6" width="10.140625" style="536" bestFit="1" customWidth="1"/>
    <col min="7" max="7" width="10.7109375" style="536" customWidth="1"/>
    <col min="8" max="8" width="11.28515625" style="536" customWidth="1"/>
    <col min="9" max="9" width="9.7109375" style="536" customWidth="1"/>
    <col min="10" max="10" width="8" style="536" customWidth="1"/>
    <col min="11" max="11" width="8.7109375" style="536" customWidth="1"/>
    <col min="12" max="12" width="8.28515625" style="536" customWidth="1"/>
    <col min="13" max="13" width="10.140625" style="536" customWidth="1"/>
    <col min="14" max="14" width="10.85546875" style="536" customWidth="1"/>
    <col min="15" max="15" width="11.42578125" style="536" customWidth="1"/>
    <col min="16" max="16" width="10.140625" style="536" customWidth="1"/>
    <col min="17" max="17" width="14.42578125" style="536" customWidth="1"/>
    <col min="18" max="18" width="10.7109375" style="536" customWidth="1"/>
    <col min="19" max="19" width="13.140625" style="536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95"/>
      <c r="C1" s="895"/>
    </row>
    <row r="2" spans="2:47" ht="26.25">
      <c r="B2" s="895"/>
      <c r="C2" s="895"/>
      <c r="E2" s="877" t="s">
        <v>320</v>
      </c>
      <c r="F2" s="877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878"/>
      <c r="AD2" s="878"/>
      <c r="AE2" s="878"/>
      <c r="AF2" s="878"/>
      <c r="AG2" s="878"/>
      <c r="AH2" s="878"/>
      <c r="AI2" s="878"/>
      <c r="AJ2" s="878"/>
      <c r="AK2" s="878"/>
      <c r="AL2" s="878"/>
      <c r="AM2" s="878"/>
      <c r="AN2" s="878"/>
      <c r="AO2" s="878"/>
      <c r="AP2" s="878"/>
      <c r="AQ2" s="878"/>
      <c r="AR2" s="878"/>
      <c r="AS2" s="878"/>
      <c r="AT2" s="878"/>
      <c r="AU2" s="878"/>
    </row>
    <row r="3" spans="2:47" ht="12.75" customHeight="1">
      <c r="B3" s="895"/>
      <c r="C3" s="895"/>
      <c r="I3" s="894"/>
      <c r="J3" s="894"/>
      <c r="K3" s="894"/>
      <c r="L3" s="182"/>
      <c r="R3" s="182"/>
    </row>
    <row r="4" spans="2:47" ht="11.25" customHeight="1">
      <c r="B4" s="895"/>
      <c r="C4" s="895"/>
      <c r="I4" s="894"/>
      <c r="J4" s="894"/>
      <c r="K4" s="894"/>
      <c r="L4" s="182"/>
      <c r="R4" s="182"/>
    </row>
    <row r="5" spans="2:47" ht="12" thickBot="1">
      <c r="B5" s="895"/>
      <c r="C5" s="895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95"/>
      <c r="C6" s="895"/>
      <c r="D6" s="187"/>
      <c r="G6" s="885" t="s">
        <v>57</v>
      </c>
      <c r="H6" s="886"/>
      <c r="I6" s="886"/>
      <c r="J6" s="886"/>
      <c r="K6" s="886"/>
      <c r="L6" s="886"/>
      <c r="M6" s="887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79" t="s">
        <v>201</v>
      </c>
      <c r="H7" s="880"/>
      <c r="I7" s="880"/>
      <c r="J7" s="880"/>
      <c r="K7" s="880"/>
      <c r="L7" s="880"/>
      <c r="M7" s="881"/>
      <c r="N7" s="882" t="s">
        <v>40</v>
      </c>
      <c r="O7" s="883"/>
      <c r="P7" s="883"/>
      <c r="Q7" s="883"/>
      <c r="R7" s="883"/>
      <c r="S7" s="884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1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2"/>
      <c r="C9" s="195"/>
      <c r="D9" s="723">
        <v>32519.1</v>
      </c>
      <c r="E9" s="727"/>
      <c r="F9" s="593"/>
      <c r="G9" s="375"/>
      <c r="H9" s="566"/>
      <c r="I9" s="567"/>
      <c r="J9" s="568"/>
      <c r="K9" s="569"/>
      <c r="L9" s="570"/>
      <c r="M9" s="571"/>
      <c r="N9" s="376"/>
      <c r="O9" s="377"/>
      <c r="P9" s="377"/>
      <c r="Q9" s="377"/>
      <c r="R9" s="377"/>
      <c r="S9" s="576"/>
      <c r="T9" s="582">
        <f t="shared" ref="T9:T45" si="0">SUM(G9:M9)</f>
        <v>0</v>
      </c>
      <c r="U9" s="583">
        <f t="shared" ref="U9:U43" si="1">SUM(N9:S9)</f>
        <v>0</v>
      </c>
      <c r="V9" s="584"/>
      <c r="W9" s="580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3"/>
      <c r="C10" s="589"/>
      <c r="D10" s="724"/>
      <c r="E10" s="728"/>
      <c r="F10" s="594"/>
      <c r="G10" s="300"/>
      <c r="H10" s="572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7"/>
      <c r="T10" s="585">
        <f t="shared" si="0"/>
        <v>0</v>
      </c>
      <c r="U10" s="219">
        <f t="shared" si="1"/>
        <v>0</v>
      </c>
      <c r="V10" s="586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6">
        <v>44136</v>
      </c>
      <c r="C11" s="590">
        <v>2.5999999999999999E-2</v>
      </c>
      <c r="D11" s="725">
        <f>SUM(D9+E11)</f>
        <v>32519.1</v>
      </c>
      <c r="E11" s="729"/>
      <c r="F11" s="594"/>
      <c r="G11" s="300"/>
      <c r="H11" s="572">
        <v>432.45</v>
      </c>
      <c r="I11" s="205"/>
      <c r="J11" s="206"/>
      <c r="K11" s="205"/>
      <c r="L11" s="205"/>
      <c r="M11" s="300">
        <v>523.6</v>
      </c>
      <c r="N11" s="207">
        <v>1083</v>
      </c>
      <c r="O11" s="208"/>
      <c r="P11" s="207"/>
      <c r="Q11" s="207"/>
      <c r="R11" s="207"/>
      <c r="S11" s="577">
        <v>1332</v>
      </c>
      <c r="T11" s="585">
        <f t="shared" si="0"/>
        <v>956.05</v>
      </c>
      <c r="U11" s="219">
        <f t="shared" si="1"/>
        <v>2415</v>
      </c>
      <c r="V11" s="586">
        <f t="shared" ref="V11:V41" si="4">T11/U11</f>
        <v>0.39587991718426502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956.05</v>
      </c>
      <c r="AT11" s="222">
        <f>AS11*AV11</f>
        <v>0</v>
      </c>
      <c r="AU11" s="284">
        <f t="shared" ref="AU11:AU43" si="5">D11</f>
        <v>32519.1</v>
      </c>
    </row>
    <row r="12" spans="2:47" ht="13.5" customHeight="1">
      <c r="B12" s="596">
        <v>44137</v>
      </c>
      <c r="C12" s="590">
        <v>5.1900000000000002E-2</v>
      </c>
      <c r="D12" s="725">
        <f t="shared" ref="D12:D43" si="6">SUM(D11-AS11+E12)</f>
        <v>31563.05</v>
      </c>
      <c r="E12" s="729"/>
      <c r="F12" s="594"/>
      <c r="G12" s="300"/>
      <c r="H12" s="572">
        <v>443.5</v>
      </c>
      <c r="I12" s="205"/>
      <c r="J12" s="224"/>
      <c r="K12" s="205"/>
      <c r="L12" s="205">
        <v>664.42</v>
      </c>
      <c r="M12" s="300"/>
      <c r="N12" s="299">
        <v>1069</v>
      </c>
      <c r="O12" s="207"/>
      <c r="P12" s="207"/>
      <c r="Q12" s="207"/>
      <c r="R12" s="207">
        <v>1548</v>
      </c>
      <c r="S12" s="577"/>
      <c r="T12" s="585">
        <f t="shared" si="0"/>
        <v>1107.92</v>
      </c>
      <c r="U12" s="219">
        <f t="shared" si="1"/>
        <v>2617</v>
      </c>
      <c r="V12" s="586">
        <f t="shared" si="4"/>
        <v>0.42335498662590754</v>
      </c>
      <c r="W12" s="212"/>
      <c r="X12" s="220">
        <v>21.62</v>
      </c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21.62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1129.54</v>
      </c>
      <c r="AT12" s="222">
        <f t="shared" ref="AT12:AT44" si="7">AS12*AV12</f>
        <v>0</v>
      </c>
      <c r="AU12" s="284">
        <f t="shared" si="5"/>
        <v>31563.05</v>
      </c>
    </row>
    <row r="13" spans="2:47" ht="13.5" customHeight="1">
      <c r="B13" s="596">
        <v>44138</v>
      </c>
      <c r="C13" s="590">
        <v>7.7899999999999997E-2</v>
      </c>
      <c r="D13" s="725">
        <f t="shared" si="6"/>
        <v>30433.51</v>
      </c>
      <c r="E13" s="729"/>
      <c r="F13" s="594"/>
      <c r="G13" s="592"/>
      <c r="H13" s="572"/>
      <c r="I13" s="205">
        <v>578.92999999999995</v>
      </c>
      <c r="J13" s="224"/>
      <c r="K13" s="205"/>
      <c r="L13" s="205"/>
      <c r="M13" s="300">
        <v>586.05999999999995</v>
      </c>
      <c r="N13" s="299"/>
      <c r="O13" s="207">
        <v>1213</v>
      </c>
      <c r="P13" s="207"/>
      <c r="Q13" s="207"/>
      <c r="R13" s="207"/>
      <c r="S13" s="577">
        <v>1379</v>
      </c>
      <c r="T13" s="585">
        <f t="shared" si="0"/>
        <v>1164.9899999999998</v>
      </c>
      <c r="U13" s="219">
        <f t="shared" si="1"/>
        <v>2592</v>
      </c>
      <c r="V13" s="586">
        <f t="shared" si="4"/>
        <v>0.44945601851851841</v>
      </c>
      <c r="W13" s="212"/>
      <c r="X13" s="220"/>
      <c r="Y13" s="198">
        <v>23.27</v>
      </c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>
        <v>15</v>
      </c>
      <c r="AK13" s="272">
        <f t="shared" si="3"/>
        <v>38.269999999999996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1203.2599999999998</v>
      </c>
      <c r="AT13" s="222">
        <f t="shared" si="7"/>
        <v>0</v>
      </c>
      <c r="AU13" s="284">
        <f t="shared" si="5"/>
        <v>30433.51</v>
      </c>
    </row>
    <row r="14" spans="2:47" ht="13.5" customHeight="1">
      <c r="B14" s="596">
        <v>44139</v>
      </c>
      <c r="C14" s="590">
        <v>6.4899999999999999E-2</v>
      </c>
      <c r="D14" s="725">
        <f t="shared" si="6"/>
        <v>47230.25</v>
      </c>
      <c r="E14" s="729">
        <v>18000</v>
      </c>
      <c r="F14" s="594">
        <v>18000</v>
      </c>
      <c r="G14" s="834" t="s">
        <v>319</v>
      </c>
      <c r="H14" s="572"/>
      <c r="I14" s="205">
        <v>410.01</v>
      </c>
      <c r="J14" s="224"/>
      <c r="K14" s="205"/>
      <c r="L14" s="205">
        <v>636.34</v>
      </c>
      <c r="M14" s="300"/>
      <c r="N14" s="299"/>
      <c r="O14" s="207">
        <v>1191</v>
      </c>
      <c r="P14" s="207"/>
      <c r="Q14" s="207"/>
      <c r="R14" s="207">
        <v>1464</v>
      </c>
      <c r="S14" s="577"/>
      <c r="T14" s="585">
        <f t="shared" si="0"/>
        <v>1046.3499999999999</v>
      </c>
      <c r="U14" s="219">
        <f t="shared" si="1"/>
        <v>2655</v>
      </c>
      <c r="V14" s="586">
        <f t="shared" si="4"/>
        <v>0.39410546139359698</v>
      </c>
      <c r="W14" s="212"/>
      <c r="X14" s="220">
        <v>51.1</v>
      </c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51.1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1097.4499999999998</v>
      </c>
      <c r="AT14" s="222">
        <f t="shared" si="7"/>
        <v>0</v>
      </c>
      <c r="AU14" s="284">
        <f t="shared" si="5"/>
        <v>47230.25</v>
      </c>
    </row>
    <row r="15" spans="2:47" ht="13.5" customHeight="1">
      <c r="B15" s="596">
        <v>44140</v>
      </c>
      <c r="C15" s="590"/>
      <c r="D15" s="725">
        <f t="shared" si="6"/>
        <v>46132.800000000003</v>
      </c>
      <c r="E15" s="729"/>
      <c r="F15" s="594"/>
      <c r="G15" s="592"/>
      <c r="H15" s="572"/>
      <c r="I15" s="205"/>
      <c r="J15" s="224"/>
      <c r="K15" s="205"/>
      <c r="L15" s="205"/>
      <c r="M15" s="300"/>
      <c r="N15" s="299"/>
      <c r="O15" s="207"/>
      <c r="P15" s="207"/>
      <c r="Q15" s="207"/>
      <c r="R15" s="207"/>
      <c r="S15" s="577"/>
      <c r="T15" s="585">
        <f t="shared" si="0"/>
        <v>0</v>
      </c>
      <c r="U15" s="219">
        <f t="shared" si="1"/>
        <v>0</v>
      </c>
      <c r="V15" s="586" t="e">
        <f t="shared" si="4"/>
        <v>#DIV/0!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0</v>
      </c>
      <c r="AT15" s="222">
        <f t="shared" si="7"/>
        <v>0</v>
      </c>
      <c r="AU15" s="284">
        <f t="shared" si="5"/>
        <v>46132.800000000003</v>
      </c>
    </row>
    <row r="16" spans="2:47" ht="13.5" customHeight="1">
      <c r="B16" s="596">
        <v>44141</v>
      </c>
      <c r="C16" s="590"/>
      <c r="D16" s="725">
        <f t="shared" si="6"/>
        <v>46132.800000000003</v>
      </c>
      <c r="E16" s="729"/>
      <c r="F16" s="594"/>
      <c r="G16" s="592"/>
      <c r="H16" s="572"/>
      <c r="I16" s="205"/>
      <c r="J16" s="224"/>
      <c r="K16" s="205"/>
      <c r="L16" s="205"/>
      <c r="M16" s="300"/>
      <c r="N16" s="299"/>
      <c r="O16" s="207"/>
      <c r="P16" s="207"/>
      <c r="Q16" s="207"/>
      <c r="R16" s="207"/>
      <c r="S16" s="577"/>
      <c r="T16" s="585">
        <f t="shared" si="0"/>
        <v>0</v>
      </c>
      <c r="U16" s="219">
        <f t="shared" si="1"/>
        <v>0</v>
      </c>
      <c r="V16" s="586" t="e">
        <f t="shared" si="4"/>
        <v>#DIV/0!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0</v>
      </c>
      <c r="AT16" s="222">
        <f t="shared" si="7"/>
        <v>0</v>
      </c>
      <c r="AU16" s="284">
        <f t="shared" si="5"/>
        <v>46132.800000000003</v>
      </c>
    </row>
    <row r="17" spans="2:47" ht="13.5" customHeight="1">
      <c r="B17" s="596">
        <v>44142</v>
      </c>
      <c r="C17" s="590"/>
      <c r="D17" s="725">
        <f t="shared" si="6"/>
        <v>46132.800000000003</v>
      </c>
      <c r="E17" s="729"/>
      <c r="F17" s="594"/>
      <c r="G17" s="592"/>
      <c r="H17" s="572"/>
      <c r="I17" s="205"/>
      <c r="J17" s="224"/>
      <c r="K17" s="205"/>
      <c r="L17" s="205"/>
      <c r="M17" s="300"/>
      <c r="N17" s="299"/>
      <c r="O17" s="207"/>
      <c r="P17" s="207"/>
      <c r="Q17" s="207"/>
      <c r="R17" s="207"/>
      <c r="S17" s="577"/>
      <c r="T17" s="585">
        <f t="shared" si="0"/>
        <v>0</v>
      </c>
      <c r="U17" s="219">
        <f t="shared" si="1"/>
        <v>0</v>
      </c>
      <c r="V17" s="586" t="e">
        <f t="shared" si="4"/>
        <v>#DIV/0!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0</v>
      </c>
      <c r="AT17" s="222">
        <f t="shared" si="7"/>
        <v>0</v>
      </c>
      <c r="AU17" s="284">
        <f t="shared" si="5"/>
        <v>46132.800000000003</v>
      </c>
    </row>
    <row r="18" spans="2:47" ht="13.5" customHeight="1">
      <c r="B18" s="596">
        <v>44143</v>
      </c>
      <c r="C18" s="590"/>
      <c r="D18" s="725">
        <f t="shared" si="6"/>
        <v>46132.800000000003</v>
      </c>
      <c r="E18" s="729"/>
      <c r="F18" s="594"/>
      <c r="G18" s="592"/>
      <c r="H18" s="572"/>
      <c r="I18" s="205"/>
      <c r="J18" s="224"/>
      <c r="K18" s="205"/>
      <c r="L18" s="205"/>
      <c r="M18" s="300"/>
      <c r="N18" s="299"/>
      <c r="O18" s="207"/>
      <c r="P18" s="207"/>
      <c r="Q18" s="207"/>
      <c r="R18" s="207"/>
      <c r="S18" s="577"/>
      <c r="T18" s="585">
        <f t="shared" si="0"/>
        <v>0</v>
      </c>
      <c r="U18" s="219">
        <f t="shared" si="1"/>
        <v>0</v>
      </c>
      <c r="V18" s="586" t="e">
        <f t="shared" si="4"/>
        <v>#DIV/0!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93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0</v>
      </c>
      <c r="AT18" s="222">
        <f t="shared" si="7"/>
        <v>0</v>
      </c>
      <c r="AU18" s="284">
        <f t="shared" si="5"/>
        <v>46132.800000000003</v>
      </c>
    </row>
    <row r="19" spans="2:47" ht="13.5" customHeight="1">
      <c r="B19" s="596">
        <v>44144</v>
      </c>
      <c r="C19" s="590"/>
      <c r="D19" s="725">
        <f t="shared" si="6"/>
        <v>46132.800000000003</v>
      </c>
      <c r="E19" s="729"/>
      <c r="F19" s="594"/>
      <c r="G19" s="592"/>
      <c r="H19" s="572"/>
      <c r="I19" s="205"/>
      <c r="J19" s="224"/>
      <c r="K19" s="205"/>
      <c r="L19" s="205"/>
      <c r="M19" s="300"/>
      <c r="N19" s="299"/>
      <c r="O19" s="207"/>
      <c r="P19" s="207"/>
      <c r="Q19" s="207"/>
      <c r="R19" s="207"/>
      <c r="S19" s="577"/>
      <c r="T19" s="585">
        <f t="shared" si="0"/>
        <v>0</v>
      </c>
      <c r="U19" s="219">
        <f t="shared" si="1"/>
        <v>0</v>
      </c>
      <c r="V19" s="586" t="e">
        <f t="shared" si="4"/>
        <v>#DIV/0!</v>
      </c>
      <c r="W19" s="212"/>
      <c r="X19" s="220"/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0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0</v>
      </c>
      <c r="AT19" s="222">
        <f t="shared" si="7"/>
        <v>0</v>
      </c>
      <c r="AU19" s="284">
        <f t="shared" si="5"/>
        <v>46132.800000000003</v>
      </c>
    </row>
    <row r="20" spans="2:47" ht="14.25">
      <c r="B20" s="596">
        <v>44145</v>
      </c>
      <c r="C20" s="590"/>
      <c r="D20" s="725">
        <f t="shared" si="6"/>
        <v>46132.800000000003</v>
      </c>
      <c r="E20" s="729"/>
      <c r="F20" s="594"/>
      <c r="G20" s="592"/>
      <c r="H20" s="572"/>
      <c r="I20" s="220"/>
      <c r="J20" s="224"/>
      <c r="K20" s="205"/>
      <c r="L20" s="205"/>
      <c r="M20" s="535"/>
      <c r="N20" s="299"/>
      <c r="O20" s="207"/>
      <c r="P20" s="207"/>
      <c r="Q20" s="207"/>
      <c r="R20" s="207"/>
      <c r="S20" s="578"/>
      <c r="T20" s="585">
        <f t="shared" si="0"/>
        <v>0</v>
      </c>
      <c r="U20" s="219">
        <f t="shared" si="1"/>
        <v>0</v>
      </c>
      <c r="V20" s="586" t="e">
        <f t="shared" si="4"/>
        <v>#DIV/0!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0</v>
      </c>
      <c r="AT20" s="222">
        <f t="shared" si="7"/>
        <v>0</v>
      </c>
      <c r="AU20" s="284">
        <f t="shared" si="5"/>
        <v>46132.800000000003</v>
      </c>
    </row>
    <row r="21" spans="2:47" ht="14.25">
      <c r="B21" s="596">
        <v>44146</v>
      </c>
      <c r="C21" s="590"/>
      <c r="D21" s="725">
        <f t="shared" si="6"/>
        <v>46132.800000000003</v>
      </c>
      <c r="E21" s="729"/>
      <c r="F21" s="594"/>
      <c r="G21" s="592"/>
      <c r="H21" s="572"/>
      <c r="I21" s="220"/>
      <c r="J21" s="224"/>
      <c r="K21" s="205"/>
      <c r="L21" s="205"/>
      <c r="M21" s="504"/>
      <c r="N21" s="299"/>
      <c r="O21" s="299"/>
      <c r="P21" s="207"/>
      <c r="Q21" s="207"/>
      <c r="R21" s="207"/>
      <c r="S21" s="577"/>
      <c r="T21" s="585">
        <f t="shared" si="0"/>
        <v>0</v>
      </c>
      <c r="U21" s="219">
        <f t="shared" si="1"/>
        <v>0</v>
      </c>
      <c r="V21" s="586" t="e">
        <f t="shared" si="4"/>
        <v>#DIV/0!</v>
      </c>
      <c r="W21" s="212"/>
      <c r="X21" s="220"/>
      <c r="Y21" s="198"/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/>
      <c r="AK21" s="272">
        <f t="shared" si="3"/>
        <v>0</v>
      </c>
      <c r="AL21" s="214"/>
      <c r="AM21" s="215"/>
      <c r="AN21" s="221"/>
      <c r="AO21" s="226"/>
      <c r="AP21" s="226"/>
      <c r="AQ21" s="226"/>
      <c r="AR21" s="227"/>
      <c r="AS21" s="216">
        <f>SUM(AK21+T21)</f>
        <v>0</v>
      </c>
      <c r="AT21" s="222">
        <f t="shared" si="7"/>
        <v>0</v>
      </c>
      <c r="AU21" s="284">
        <f t="shared" si="5"/>
        <v>46132.800000000003</v>
      </c>
    </row>
    <row r="22" spans="2:47" ht="14.25">
      <c r="B22" s="596">
        <v>44147</v>
      </c>
      <c r="C22" s="590"/>
      <c r="D22" s="725">
        <f t="shared" si="6"/>
        <v>46132.800000000003</v>
      </c>
      <c r="E22" s="729"/>
      <c r="F22" s="594"/>
      <c r="G22" s="833"/>
      <c r="H22" s="572"/>
      <c r="I22" s="205"/>
      <c r="J22" s="224"/>
      <c r="K22" s="205"/>
      <c r="L22" s="205"/>
      <c r="M22" s="535"/>
      <c r="N22" s="299"/>
      <c r="O22" s="299"/>
      <c r="P22" s="207"/>
      <c r="Q22" s="207"/>
      <c r="R22" s="207"/>
      <c r="S22" s="577"/>
      <c r="T22" s="585">
        <f t="shared" si="0"/>
        <v>0</v>
      </c>
      <c r="U22" s="219">
        <f t="shared" si="1"/>
        <v>0</v>
      </c>
      <c r="V22" s="586" t="e">
        <f t="shared" si="4"/>
        <v>#DIV/0!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/>
      <c r="AJ22" s="393"/>
      <c r="AK22" s="272">
        <f t="shared" si="3"/>
        <v>0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0</v>
      </c>
      <c r="AT22" s="222">
        <f t="shared" si="7"/>
        <v>0</v>
      </c>
      <c r="AU22" s="284">
        <f t="shared" si="5"/>
        <v>46132.800000000003</v>
      </c>
    </row>
    <row r="23" spans="2:47" ht="14.25">
      <c r="B23" s="596">
        <v>44148</v>
      </c>
      <c r="C23" s="590"/>
      <c r="D23" s="725">
        <f t="shared" si="6"/>
        <v>46132.800000000003</v>
      </c>
      <c r="E23" s="729"/>
      <c r="F23" s="594"/>
      <c r="G23" s="833"/>
      <c r="H23" s="572"/>
      <c r="I23" s="220"/>
      <c r="J23" s="224"/>
      <c r="K23" s="205"/>
      <c r="L23" s="205"/>
      <c r="M23" s="535"/>
      <c r="N23" s="299"/>
      <c r="O23" s="207"/>
      <c r="P23" s="207"/>
      <c r="Q23" s="207"/>
      <c r="R23" s="207"/>
      <c r="S23" s="577"/>
      <c r="T23" s="585">
        <f t="shared" si="0"/>
        <v>0</v>
      </c>
      <c r="U23" s="219">
        <f t="shared" si="1"/>
        <v>0</v>
      </c>
      <c r="V23" s="586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46132.800000000003</v>
      </c>
    </row>
    <row r="24" spans="2:47" ht="14.25">
      <c r="B24" s="596">
        <v>44149</v>
      </c>
      <c r="C24" s="590"/>
      <c r="D24" s="725">
        <f t="shared" si="6"/>
        <v>46132.800000000003</v>
      </c>
      <c r="E24" s="730"/>
      <c r="F24" s="594"/>
      <c r="G24" s="592"/>
      <c r="H24" s="572"/>
      <c r="I24" s="205"/>
      <c r="J24" s="224"/>
      <c r="K24" s="205"/>
      <c r="L24" s="205"/>
      <c r="M24" s="535"/>
      <c r="N24" s="299"/>
      <c r="O24" s="299"/>
      <c r="P24" s="207"/>
      <c r="Q24" s="207"/>
      <c r="R24" s="207"/>
      <c r="S24" s="577"/>
      <c r="T24" s="585">
        <f t="shared" si="0"/>
        <v>0</v>
      </c>
      <c r="U24" s="219">
        <f t="shared" si="1"/>
        <v>0</v>
      </c>
      <c r="V24" s="586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46132.800000000003</v>
      </c>
    </row>
    <row r="25" spans="2:47" ht="14.25">
      <c r="B25" s="596">
        <v>44150</v>
      </c>
      <c r="C25" s="590"/>
      <c r="D25" s="725">
        <f t="shared" si="6"/>
        <v>46132.800000000003</v>
      </c>
      <c r="E25" s="729"/>
      <c r="F25" s="594"/>
      <c r="G25" s="592"/>
      <c r="H25" s="572"/>
      <c r="I25" s="220"/>
      <c r="J25" s="224"/>
      <c r="K25" s="205"/>
      <c r="L25" s="205"/>
      <c r="M25" s="535"/>
      <c r="N25" s="299"/>
      <c r="O25" s="207"/>
      <c r="P25" s="207"/>
      <c r="Q25" s="207"/>
      <c r="R25" s="207"/>
      <c r="S25" s="577"/>
      <c r="T25" s="585">
        <f t="shared" si="0"/>
        <v>0</v>
      </c>
      <c r="U25" s="219">
        <f t="shared" si="1"/>
        <v>0</v>
      </c>
      <c r="V25" s="586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46132.800000000003</v>
      </c>
    </row>
    <row r="26" spans="2:47" ht="14.25">
      <c r="B26" s="596">
        <v>44151</v>
      </c>
      <c r="C26" s="590"/>
      <c r="D26" s="725">
        <f t="shared" si="6"/>
        <v>46132.800000000003</v>
      </c>
      <c r="E26" s="729"/>
      <c r="F26" s="594"/>
      <c r="G26" s="833"/>
      <c r="H26" s="572"/>
      <c r="I26" s="220"/>
      <c r="J26" s="224"/>
      <c r="K26" s="205"/>
      <c r="L26" s="205"/>
      <c r="M26" s="535"/>
      <c r="N26" s="299"/>
      <c r="O26" s="207"/>
      <c r="P26" s="207"/>
      <c r="Q26" s="207"/>
      <c r="R26" s="207"/>
      <c r="S26" s="577"/>
      <c r="T26" s="585">
        <f t="shared" si="0"/>
        <v>0</v>
      </c>
      <c r="U26" s="219">
        <f t="shared" si="1"/>
        <v>0</v>
      </c>
      <c r="V26" s="586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46132.800000000003</v>
      </c>
    </row>
    <row r="27" spans="2:47" ht="14.25">
      <c r="B27" s="596">
        <v>44152</v>
      </c>
      <c r="C27" s="590"/>
      <c r="D27" s="725">
        <f t="shared" si="6"/>
        <v>46132.800000000003</v>
      </c>
      <c r="E27" s="729"/>
      <c r="F27" s="594"/>
      <c r="G27" s="592"/>
      <c r="H27" s="572"/>
      <c r="I27" s="220"/>
      <c r="J27" s="224"/>
      <c r="K27" s="205"/>
      <c r="L27" s="205"/>
      <c r="M27" s="535"/>
      <c r="N27" s="299"/>
      <c r="O27" s="207"/>
      <c r="P27" s="207"/>
      <c r="Q27" s="207"/>
      <c r="R27" s="207"/>
      <c r="S27" s="577"/>
      <c r="T27" s="585">
        <f t="shared" si="0"/>
        <v>0</v>
      </c>
      <c r="U27" s="219">
        <f t="shared" si="1"/>
        <v>0</v>
      </c>
      <c r="V27" s="586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93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46132.800000000003</v>
      </c>
    </row>
    <row r="28" spans="2:47" ht="14.25">
      <c r="B28" s="596">
        <v>44153</v>
      </c>
      <c r="C28" s="590"/>
      <c r="D28" s="725">
        <f t="shared" si="6"/>
        <v>46132.800000000003</v>
      </c>
      <c r="E28" s="729"/>
      <c r="F28" s="594">
        <v>15000</v>
      </c>
      <c r="G28" s="834" t="s">
        <v>319</v>
      </c>
      <c r="H28" s="572"/>
      <c r="I28" s="220"/>
      <c r="J28" s="206"/>
      <c r="K28" s="205"/>
      <c r="L28" s="205"/>
      <c r="M28" s="535"/>
      <c r="N28" s="299"/>
      <c r="O28" s="207"/>
      <c r="P28" s="207"/>
      <c r="Q28" s="207"/>
      <c r="R28" s="207"/>
      <c r="S28" s="577"/>
      <c r="T28" s="585">
        <f t="shared" si="0"/>
        <v>0</v>
      </c>
      <c r="U28" s="219">
        <f t="shared" si="1"/>
        <v>0</v>
      </c>
      <c r="V28" s="586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>D28</f>
        <v>46132.800000000003</v>
      </c>
    </row>
    <row r="29" spans="2:47" ht="14.25">
      <c r="B29" s="596">
        <v>44154</v>
      </c>
      <c r="C29" s="590"/>
      <c r="D29" s="725">
        <f t="shared" si="6"/>
        <v>46132.800000000003</v>
      </c>
      <c r="E29" s="729"/>
      <c r="F29" s="594"/>
      <c r="G29" s="592"/>
      <c r="H29" s="572"/>
      <c r="I29" s="220"/>
      <c r="J29" s="206"/>
      <c r="K29" s="205"/>
      <c r="L29" s="205"/>
      <c r="M29" s="535"/>
      <c r="N29" s="299"/>
      <c r="O29" s="207"/>
      <c r="P29" s="207"/>
      <c r="Q29" s="207"/>
      <c r="R29" s="207"/>
      <c r="S29" s="577"/>
      <c r="T29" s="585">
        <f t="shared" si="0"/>
        <v>0</v>
      </c>
      <c r="U29" s="219">
        <f t="shared" si="1"/>
        <v>0</v>
      </c>
      <c r="V29" s="586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46132.800000000003</v>
      </c>
    </row>
    <row r="30" spans="2:47" ht="14.25">
      <c r="B30" s="596">
        <v>44155</v>
      </c>
      <c r="C30" s="590"/>
      <c r="D30" s="725">
        <f t="shared" si="6"/>
        <v>46132.800000000003</v>
      </c>
      <c r="E30" s="729"/>
      <c r="F30" s="594"/>
      <c r="G30" s="592"/>
      <c r="H30" s="572"/>
      <c r="I30" s="220"/>
      <c r="J30" s="206"/>
      <c r="K30" s="205"/>
      <c r="L30" s="205"/>
      <c r="M30" s="535"/>
      <c r="N30" s="299"/>
      <c r="O30" s="207"/>
      <c r="P30" s="207"/>
      <c r="Q30" s="207"/>
      <c r="R30" s="207"/>
      <c r="S30" s="577"/>
      <c r="T30" s="585">
        <f t="shared" si="0"/>
        <v>0</v>
      </c>
      <c r="U30" s="219">
        <f t="shared" si="1"/>
        <v>0</v>
      </c>
      <c r="V30" s="586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46132.800000000003</v>
      </c>
    </row>
    <row r="31" spans="2:47" ht="14.25">
      <c r="B31" s="596">
        <v>44156</v>
      </c>
      <c r="C31" s="590"/>
      <c r="D31" s="725">
        <f t="shared" si="6"/>
        <v>46132.800000000003</v>
      </c>
      <c r="E31" s="729"/>
      <c r="F31" s="594"/>
      <c r="G31" s="592"/>
      <c r="H31" s="572"/>
      <c r="I31" s="220"/>
      <c r="J31" s="206"/>
      <c r="K31" s="205"/>
      <c r="L31" s="205"/>
      <c r="M31" s="535"/>
      <c r="N31" s="299"/>
      <c r="O31" s="207"/>
      <c r="P31" s="207"/>
      <c r="Q31" s="207"/>
      <c r="R31" s="207"/>
      <c r="S31" s="577"/>
      <c r="T31" s="585">
        <f t="shared" si="0"/>
        <v>0</v>
      </c>
      <c r="U31" s="219">
        <f t="shared" si="1"/>
        <v>0</v>
      </c>
      <c r="V31" s="586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46132.800000000003</v>
      </c>
    </row>
    <row r="32" spans="2:47" ht="14.25">
      <c r="B32" s="596">
        <v>44157</v>
      </c>
      <c r="C32" s="590"/>
      <c r="D32" s="725">
        <f t="shared" si="6"/>
        <v>46132.800000000003</v>
      </c>
      <c r="E32" s="729"/>
      <c r="F32" s="594"/>
      <c r="G32" s="592"/>
      <c r="H32" s="572"/>
      <c r="I32" s="220"/>
      <c r="J32" s="206"/>
      <c r="K32" s="205"/>
      <c r="L32" s="205"/>
      <c r="M32" s="535"/>
      <c r="N32" s="299"/>
      <c r="O32" s="207"/>
      <c r="P32" s="207"/>
      <c r="Q32" s="207"/>
      <c r="R32" s="207"/>
      <c r="S32" s="577"/>
      <c r="T32" s="585">
        <f t="shared" si="0"/>
        <v>0</v>
      </c>
      <c r="U32" s="219">
        <f t="shared" si="1"/>
        <v>0</v>
      </c>
      <c r="V32" s="586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46132.800000000003</v>
      </c>
    </row>
    <row r="33" spans="2:47" ht="14.25">
      <c r="B33" s="596">
        <v>44158</v>
      </c>
      <c r="C33" s="590"/>
      <c r="D33" s="725">
        <f t="shared" si="6"/>
        <v>46132.800000000003</v>
      </c>
      <c r="E33" s="729"/>
      <c r="F33" s="594"/>
      <c r="G33" s="592"/>
      <c r="H33" s="572"/>
      <c r="I33" s="220"/>
      <c r="J33" s="206"/>
      <c r="K33" s="205"/>
      <c r="L33" s="205"/>
      <c r="M33" s="535"/>
      <c r="N33" s="299"/>
      <c r="O33" s="207"/>
      <c r="P33" s="207"/>
      <c r="Q33" s="207"/>
      <c r="R33" s="207"/>
      <c r="S33" s="577"/>
      <c r="T33" s="585">
        <f t="shared" si="0"/>
        <v>0</v>
      </c>
      <c r="U33" s="219">
        <f t="shared" si="1"/>
        <v>0</v>
      </c>
      <c r="V33" s="586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46132.800000000003</v>
      </c>
    </row>
    <row r="34" spans="2:47" ht="14.25">
      <c r="B34" s="596">
        <v>44159</v>
      </c>
      <c r="C34" s="590"/>
      <c r="D34" s="725">
        <f t="shared" si="6"/>
        <v>46132.800000000003</v>
      </c>
      <c r="E34" s="729"/>
      <c r="F34" s="594"/>
      <c r="G34" s="592"/>
      <c r="H34" s="572"/>
      <c r="I34" s="205"/>
      <c r="J34" s="205"/>
      <c r="K34" s="205"/>
      <c r="L34" s="205"/>
      <c r="M34" s="535"/>
      <c r="N34" s="299"/>
      <c r="O34" s="207"/>
      <c r="P34" s="207"/>
      <c r="Q34" s="207"/>
      <c r="R34" s="207"/>
      <c r="S34" s="577"/>
      <c r="T34" s="585">
        <f t="shared" si="0"/>
        <v>0</v>
      </c>
      <c r="U34" s="219">
        <f t="shared" si="1"/>
        <v>0</v>
      </c>
      <c r="V34" s="586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46132.800000000003</v>
      </c>
    </row>
    <row r="35" spans="2:47" ht="14.25">
      <c r="B35" s="596">
        <v>44160</v>
      </c>
      <c r="C35" s="590"/>
      <c r="D35" s="725">
        <f t="shared" si="6"/>
        <v>46132.800000000003</v>
      </c>
      <c r="E35" s="729"/>
      <c r="F35" s="594"/>
      <c r="G35" s="592"/>
      <c r="H35" s="572"/>
      <c r="I35" s="220"/>
      <c r="J35" s="206"/>
      <c r="K35" s="205"/>
      <c r="L35" s="205"/>
      <c r="M35" s="535"/>
      <c r="N35" s="299"/>
      <c r="O35" s="207"/>
      <c r="P35" s="207"/>
      <c r="Q35" s="207"/>
      <c r="R35" s="207"/>
      <c r="S35" s="577"/>
      <c r="T35" s="585">
        <f t="shared" si="0"/>
        <v>0</v>
      </c>
      <c r="U35" s="219">
        <f>O35+Q35</f>
        <v>0</v>
      </c>
      <c r="V35" s="586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46132.800000000003</v>
      </c>
    </row>
    <row r="36" spans="2:47" ht="14.25">
      <c r="B36" s="596">
        <v>44161</v>
      </c>
      <c r="C36" s="590"/>
      <c r="D36" s="725">
        <f t="shared" si="6"/>
        <v>46132.800000000003</v>
      </c>
      <c r="E36" s="729"/>
      <c r="F36" s="594"/>
      <c r="G36" s="535"/>
      <c r="H36" s="572"/>
      <c r="I36" s="220"/>
      <c r="J36" s="206"/>
      <c r="K36" s="205"/>
      <c r="L36" s="205"/>
      <c r="M36" s="535"/>
      <c r="N36" s="299"/>
      <c r="O36" s="207"/>
      <c r="P36" s="207"/>
      <c r="Q36" s="207"/>
      <c r="R36" s="207"/>
      <c r="S36" s="577"/>
      <c r="T36" s="585">
        <f t="shared" si="0"/>
        <v>0</v>
      </c>
      <c r="U36" s="219">
        <f t="shared" si="1"/>
        <v>0</v>
      </c>
      <c r="V36" s="586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46132.800000000003</v>
      </c>
    </row>
    <row r="37" spans="2:47" ht="14.25">
      <c r="B37" s="596">
        <v>44162</v>
      </c>
      <c r="C37" s="590"/>
      <c r="D37" s="725">
        <f t="shared" si="6"/>
        <v>46132.800000000003</v>
      </c>
      <c r="E37" s="729"/>
      <c r="F37" s="594"/>
      <c r="G37" s="535"/>
      <c r="H37" s="572"/>
      <c r="I37" s="220"/>
      <c r="J37" s="206"/>
      <c r="K37" s="205"/>
      <c r="L37" s="205"/>
      <c r="M37" s="535"/>
      <c r="N37" s="299"/>
      <c r="O37" s="207"/>
      <c r="P37" s="207"/>
      <c r="Q37" s="207"/>
      <c r="R37" s="207"/>
      <c r="S37" s="577"/>
      <c r="T37" s="585">
        <f t="shared" si="0"/>
        <v>0</v>
      </c>
      <c r="U37" s="219">
        <f t="shared" si="1"/>
        <v>0</v>
      </c>
      <c r="V37" s="586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49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46132.800000000003</v>
      </c>
    </row>
    <row r="38" spans="2:47" ht="14.25">
      <c r="B38" s="596">
        <v>44163</v>
      </c>
      <c r="C38" s="590"/>
      <c r="D38" s="725">
        <f t="shared" si="6"/>
        <v>46132.800000000003</v>
      </c>
      <c r="E38" s="729"/>
      <c r="F38" s="594">
        <v>10000</v>
      </c>
      <c r="G38" s="834" t="s">
        <v>319</v>
      </c>
      <c r="H38" s="572"/>
      <c r="I38" s="220"/>
      <c r="J38" s="206"/>
      <c r="K38" s="205"/>
      <c r="L38" s="205"/>
      <c r="M38" s="535"/>
      <c r="N38" s="299"/>
      <c r="O38" s="207"/>
      <c r="P38" s="207"/>
      <c r="Q38" s="207"/>
      <c r="R38" s="207"/>
      <c r="S38" s="577"/>
      <c r="T38" s="585">
        <f t="shared" si="0"/>
        <v>0</v>
      </c>
      <c r="U38" s="219">
        <f t="shared" si="1"/>
        <v>0</v>
      </c>
      <c r="V38" s="586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9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46132.800000000003</v>
      </c>
    </row>
    <row r="39" spans="2:47" ht="14.25">
      <c r="B39" s="596">
        <v>44164</v>
      </c>
      <c r="C39" s="590"/>
      <c r="D39" s="725">
        <f t="shared" si="6"/>
        <v>46132.800000000003</v>
      </c>
      <c r="E39" s="729"/>
      <c r="F39" s="594"/>
      <c r="G39" s="535"/>
      <c r="H39" s="572"/>
      <c r="I39" s="220"/>
      <c r="J39" s="228"/>
      <c r="K39" s="205"/>
      <c r="L39" s="205"/>
      <c r="M39" s="535"/>
      <c r="N39" s="299"/>
      <c r="O39" s="207"/>
      <c r="P39" s="229"/>
      <c r="Q39" s="207"/>
      <c r="R39" s="207"/>
      <c r="S39" s="577"/>
      <c r="T39" s="585">
        <f t="shared" si="0"/>
        <v>0</v>
      </c>
      <c r="U39" s="219">
        <f t="shared" si="1"/>
        <v>0</v>
      </c>
      <c r="V39" s="586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49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46132.800000000003</v>
      </c>
    </row>
    <row r="40" spans="2:47" ht="14.25">
      <c r="B40" s="596">
        <v>44165</v>
      </c>
      <c r="C40" s="590"/>
      <c r="D40" s="725">
        <f t="shared" si="6"/>
        <v>46132.800000000003</v>
      </c>
      <c r="E40" s="729"/>
      <c r="F40" s="594"/>
      <c r="G40" s="300"/>
      <c r="H40" s="572"/>
      <c r="I40" s="220"/>
      <c r="J40" s="206"/>
      <c r="K40" s="205"/>
      <c r="L40" s="205"/>
      <c r="M40" s="535"/>
      <c r="N40" s="299"/>
      <c r="O40" s="207"/>
      <c r="P40" s="207"/>
      <c r="Q40" s="207"/>
      <c r="R40" s="207"/>
      <c r="S40" s="577"/>
      <c r="T40" s="585">
        <f t="shared" si="0"/>
        <v>0</v>
      </c>
      <c r="U40" s="219">
        <f t="shared" si="1"/>
        <v>0</v>
      </c>
      <c r="V40" s="586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9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46132.800000000003</v>
      </c>
    </row>
    <row r="41" spans="2:47" ht="14.25">
      <c r="B41" s="596">
        <v>44166</v>
      </c>
      <c r="C41" s="590"/>
      <c r="D41" s="725">
        <f t="shared" si="6"/>
        <v>46132.800000000003</v>
      </c>
      <c r="E41" s="729"/>
      <c r="F41" s="594"/>
      <c r="G41" s="300"/>
      <c r="H41" s="572"/>
      <c r="I41" s="205"/>
      <c r="J41" s="205"/>
      <c r="K41" s="205"/>
      <c r="L41" s="205"/>
      <c r="M41" s="535"/>
      <c r="N41" s="299"/>
      <c r="O41" s="207"/>
      <c r="P41" s="207"/>
      <c r="Q41" s="207"/>
      <c r="R41" s="207"/>
      <c r="S41" s="577"/>
      <c r="T41" s="585">
        <f t="shared" si="0"/>
        <v>0</v>
      </c>
      <c r="U41" s="219">
        <f t="shared" si="1"/>
        <v>0</v>
      </c>
      <c r="V41" s="586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9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46132.800000000003</v>
      </c>
    </row>
    <row r="42" spans="2:47" ht="14.25">
      <c r="B42" s="596"/>
      <c r="C42" s="591"/>
      <c r="D42" s="725">
        <f t="shared" si="6"/>
        <v>46132.800000000003</v>
      </c>
      <c r="E42" s="731"/>
      <c r="F42" s="594"/>
      <c r="G42" s="300"/>
      <c r="H42" s="572"/>
      <c r="I42" s="205"/>
      <c r="J42" s="205"/>
      <c r="K42" s="205"/>
      <c r="L42" s="205"/>
      <c r="M42" s="535"/>
      <c r="N42" s="299"/>
      <c r="O42" s="207"/>
      <c r="P42" s="207"/>
      <c r="Q42" s="207"/>
      <c r="R42" s="207"/>
      <c r="S42" s="577"/>
      <c r="T42" s="585">
        <f t="shared" si="0"/>
        <v>0</v>
      </c>
      <c r="U42" s="219">
        <f t="shared" si="1"/>
        <v>0</v>
      </c>
      <c r="V42" s="586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9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46132.800000000003</v>
      </c>
    </row>
    <row r="43" spans="2:47" ht="14.25">
      <c r="B43" s="505" t="s">
        <v>25</v>
      </c>
      <c r="C43" s="478">
        <f>AVERAGE(C11:C42)</f>
        <v>5.5175000000000002E-2</v>
      </c>
      <c r="D43" s="724">
        <f t="shared" si="6"/>
        <v>46132.800000000003</v>
      </c>
      <c r="E43" s="731"/>
      <c r="F43" s="594"/>
      <c r="G43" s="300"/>
      <c r="H43" s="523"/>
      <c r="I43" s="205"/>
      <c r="J43" s="205"/>
      <c r="K43" s="205"/>
      <c r="L43" s="205"/>
      <c r="M43" s="535"/>
      <c r="N43" s="299"/>
      <c r="O43" s="207"/>
      <c r="P43" s="207"/>
      <c r="Q43" s="207"/>
      <c r="R43" s="207"/>
      <c r="S43" s="577"/>
      <c r="T43" s="585">
        <f t="shared" si="0"/>
        <v>0</v>
      </c>
      <c r="U43" s="219">
        <f t="shared" si="1"/>
        <v>0</v>
      </c>
      <c r="V43" s="586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9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46132.800000000003</v>
      </c>
    </row>
    <row r="44" spans="2:47" ht="15" thickBot="1">
      <c r="B44" s="506"/>
      <c r="C44" s="507"/>
      <c r="D44" s="726"/>
      <c r="E44" s="732"/>
      <c r="F44" s="595"/>
      <c r="G44" s="301"/>
      <c r="H44" s="573"/>
      <c r="I44" s="574"/>
      <c r="J44" s="574"/>
      <c r="K44" s="574"/>
      <c r="L44" s="574"/>
      <c r="M44" s="575"/>
      <c r="N44" s="298"/>
      <c r="O44" s="196"/>
      <c r="P44" s="196"/>
      <c r="Q44" s="196"/>
      <c r="R44" s="196"/>
      <c r="S44" s="579"/>
      <c r="T44" s="585">
        <f t="shared" si="0"/>
        <v>0</v>
      </c>
      <c r="U44" s="587"/>
      <c r="V44" s="588"/>
      <c r="W44" s="581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6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3"/>
      <c r="C45" s="563"/>
      <c r="D45" s="564"/>
      <c r="E45" s="310">
        <f>SUM(E11:E44)</f>
        <v>18000</v>
      </c>
      <c r="F45" s="315">
        <f>SUM(F11:F42)</f>
        <v>43000</v>
      </c>
      <c r="G45" s="316">
        <f t="shared" ref="G45:P45" si="8">SUM(G11:G44)</f>
        <v>0</v>
      </c>
      <c r="H45" s="315">
        <f t="shared" si="8"/>
        <v>875.95</v>
      </c>
      <c r="I45" s="310">
        <f t="shared" si="8"/>
        <v>988.93999999999994</v>
      </c>
      <c r="J45" s="315">
        <f t="shared" si="8"/>
        <v>0</v>
      </c>
      <c r="K45" s="310">
        <f t="shared" si="8"/>
        <v>0</v>
      </c>
      <c r="L45" s="315">
        <f t="shared" si="8"/>
        <v>1300.76</v>
      </c>
      <c r="M45" s="310">
        <f t="shared" si="8"/>
        <v>1109.6599999999999</v>
      </c>
      <c r="N45" s="315">
        <f t="shared" si="8"/>
        <v>2152</v>
      </c>
      <c r="O45" s="565">
        <f t="shared" si="8"/>
        <v>2404</v>
      </c>
      <c r="P45" s="315">
        <f t="shared" si="8"/>
        <v>0</v>
      </c>
      <c r="Q45" s="310">
        <f>SUM(Q11:Q43)</f>
        <v>0</v>
      </c>
      <c r="R45" s="315">
        <f>SUM(R11:R44)</f>
        <v>3012</v>
      </c>
      <c r="S45" s="310">
        <f>SUM(S11:S44)</f>
        <v>2711</v>
      </c>
      <c r="T45" s="562">
        <f t="shared" si="0"/>
        <v>4275.3099999999995</v>
      </c>
      <c r="U45" s="310">
        <f>SUM(N45:S45)</f>
        <v>10279</v>
      </c>
      <c r="V45" s="235" t="e">
        <f>SUM(V11:V42)</f>
        <v>#DIV/0!</v>
      </c>
      <c r="W45" s="557">
        <f t="shared" ref="W45:AC45" si="9">SUM(W9:W44)</f>
        <v>0</v>
      </c>
      <c r="X45" s="235">
        <f t="shared" si="9"/>
        <v>72.72</v>
      </c>
      <c r="Y45" s="557">
        <f t="shared" si="9"/>
        <v>23.27</v>
      </c>
      <c r="Z45" s="235">
        <f t="shared" si="9"/>
        <v>0</v>
      </c>
      <c r="AA45" s="557">
        <f t="shared" si="9"/>
        <v>0</v>
      </c>
      <c r="AB45" s="235">
        <f t="shared" si="9"/>
        <v>0</v>
      </c>
      <c r="AC45" s="557">
        <f t="shared" si="9"/>
        <v>0</v>
      </c>
      <c r="AD45" s="235">
        <f>SUM(AD10:AD44)</f>
        <v>0</v>
      </c>
      <c r="AE45" s="557">
        <f>SUM(AE10:AE44)</f>
        <v>0</v>
      </c>
      <c r="AF45" s="235">
        <f>SUM(AF9:AF44)</f>
        <v>0</v>
      </c>
      <c r="AG45" s="557">
        <f>SUM(AG9:AG44)</f>
        <v>0</v>
      </c>
      <c r="AH45" s="235">
        <f>SUM(AH9:AH44)</f>
        <v>0</v>
      </c>
      <c r="AI45" s="557">
        <f>SUM(AI9:AI43)</f>
        <v>0</v>
      </c>
      <c r="AJ45" s="235">
        <f>SUM(AJ9:AJ39)</f>
        <v>15</v>
      </c>
      <c r="AK45" s="557">
        <f>SUM(AK9:AK44)</f>
        <v>110.99000000000001</v>
      </c>
      <c r="AL45" s="235"/>
      <c r="AM45" s="235"/>
      <c r="AN45" s="235"/>
      <c r="AO45" s="235"/>
      <c r="AP45" s="235"/>
      <c r="AQ45" s="235"/>
      <c r="AR45" s="558"/>
      <c r="AS45" s="559">
        <f>SUM(AS11:AS43)</f>
        <v>4386.2999999999993</v>
      </c>
      <c r="AT45" s="560">
        <f>SUM(AT11:AT44)</f>
        <v>0</v>
      </c>
      <c r="AU45" s="561"/>
    </row>
    <row r="46" spans="2:47" ht="14.25" thickBot="1">
      <c r="B46" s="536" t="s">
        <v>67</v>
      </c>
      <c r="T46" s="623">
        <f>AVERAGE(T11:T26)</f>
        <v>267.20687499999997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9897342.6499999985</v>
      </c>
      <c r="V47" s="320" t="s">
        <v>244</v>
      </c>
      <c r="AS47" s="532">
        <f>AS45*2143</f>
        <v>9399840.8999999985</v>
      </c>
      <c r="AT47" s="531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4323.8718435998244</v>
      </c>
      <c r="V48" s="320" t="s">
        <v>245</v>
      </c>
      <c r="X48" s="192"/>
      <c r="Y48" s="192"/>
      <c r="Z48" s="192"/>
      <c r="AA48" s="192"/>
      <c r="AB48" s="192"/>
      <c r="AS48" s="319">
        <f>AS47/2289</f>
        <v>4106.5272608125815</v>
      </c>
      <c r="AT48" s="533" t="s">
        <v>245</v>
      </c>
      <c r="AU48" s="237"/>
    </row>
    <row r="49" spans="3:47" ht="14.25" thickBot="1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71" t="s">
        <v>241</v>
      </c>
      <c r="D50" s="872"/>
      <c r="E50" s="872"/>
      <c r="F50" s="872"/>
      <c r="G50" s="873"/>
      <c r="I50" s="874" t="s">
        <v>213</v>
      </c>
      <c r="J50" s="875"/>
      <c r="K50" s="875"/>
      <c r="L50" s="875"/>
      <c r="M50" s="876"/>
      <c r="O50" s="888" t="s">
        <v>309</v>
      </c>
      <c r="P50" s="889"/>
      <c r="Q50" s="889"/>
      <c r="R50" s="889"/>
      <c r="S50" s="890"/>
      <c r="U50" s="891" t="s">
        <v>226</v>
      </c>
      <c r="V50" s="892"/>
      <c r="W50" s="892"/>
      <c r="X50" s="892"/>
      <c r="Y50" s="892"/>
      <c r="Z50" s="893"/>
    </row>
    <row r="51" spans="3:47" ht="25.5" customHeight="1" thickBot="1">
      <c r="C51" s="511" t="s">
        <v>98</v>
      </c>
      <c r="D51" s="429" t="s">
        <v>196</v>
      </c>
      <c r="E51" s="512" t="s">
        <v>197</v>
      </c>
      <c r="F51" s="512" t="s">
        <v>212</v>
      </c>
      <c r="G51" s="513" t="s">
        <v>308</v>
      </c>
      <c r="I51" s="511" t="s">
        <v>98</v>
      </c>
      <c r="J51" s="429" t="s">
        <v>196</v>
      </c>
      <c r="K51" s="555" t="s">
        <v>197</v>
      </c>
      <c r="L51" s="515" t="s">
        <v>212</v>
      </c>
      <c r="M51" s="513" t="s">
        <v>308</v>
      </c>
      <c r="O51" s="553" t="s">
        <v>98</v>
      </c>
      <c r="P51" s="547" t="s">
        <v>196</v>
      </c>
      <c r="Q51" s="554" t="s">
        <v>197</v>
      </c>
      <c r="R51" s="548" t="s">
        <v>212</v>
      </c>
      <c r="S51" s="549" t="s">
        <v>215</v>
      </c>
      <c r="U51" s="348" t="s">
        <v>0</v>
      </c>
      <c r="V51" s="635" t="s">
        <v>196</v>
      </c>
      <c r="W51" s="637" t="s">
        <v>227</v>
      </c>
      <c r="X51" s="636" t="s">
        <v>212</v>
      </c>
      <c r="Y51" s="349" t="s">
        <v>228</v>
      </c>
      <c r="Z51" s="350" t="s">
        <v>229</v>
      </c>
    </row>
    <row r="52" spans="3:47" ht="11.25" customHeight="1">
      <c r="C52" s="508"/>
      <c r="D52" s="508"/>
      <c r="E52" s="510"/>
      <c r="F52" s="509"/>
      <c r="G52" s="537"/>
      <c r="I52" s="540"/>
      <c r="J52" s="516"/>
      <c r="K52" s="516"/>
      <c r="L52" s="516"/>
      <c r="M52" s="541"/>
      <c r="O52" s="351"/>
      <c r="P52" s="516"/>
      <c r="Q52" s="534"/>
      <c r="R52" s="534"/>
      <c r="S52" s="520"/>
      <c r="U52" s="351">
        <v>44138</v>
      </c>
      <c r="V52" s="542" t="s">
        <v>322</v>
      </c>
      <c r="W52" s="633">
        <v>15</v>
      </c>
      <c r="X52" s="543" t="s">
        <v>323</v>
      </c>
      <c r="Y52" s="543" t="s">
        <v>324</v>
      </c>
      <c r="Z52" s="544" t="s">
        <v>318</v>
      </c>
    </row>
    <row r="53" spans="3:47" ht="11.25" customHeight="1">
      <c r="C53" s="508"/>
      <c r="D53" s="508"/>
      <c r="E53" s="510"/>
      <c r="F53" s="509"/>
      <c r="G53" s="537"/>
      <c r="I53" s="525"/>
      <c r="J53" s="266"/>
      <c r="K53" s="266"/>
      <c r="L53" s="266"/>
      <c r="M53" s="537"/>
      <c r="O53" s="344"/>
      <c r="P53" s="266"/>
      <c r="Q53" s="428"/>
      <c r="R53" s="428"/>
      <c r="S53" s="521"/>
      <c r="U53" s="344"/>
      <c r="V53" s="393"/>
      <c r="W53" s="634"/>
      <c r="X53" s="304"/>
      <c r="Y53" s="304"/>
      <c r="Z53" s="545"/>
    </row>
    <row r="54" spans="3:47" ht="11.25" customHeight="1">
      <c r="C54" s="344"/>
      <c r="D54" s="304"/>
      <c r="E54" s="389"/>
      <c r="F54" s="304"/>
      <c r="G54" s="537"/>
      <c r="I54" s="525"/>
      <c r="J54" s="266"/>
      <c r="K54" s="266"/>
      <c r="L54" s="266"/>
      <c r="M54" s="538"/>
      <c r="O54" s="344"/>
      <c r="P54" s="266"/>
      <c r="Q54" s="428"/>
      <c r="R54" s="428"/>
      <c r="S54" s="521"/>
      <c r="U54" s="344"/>
      <c r="V54" s="393"/>
      <c r="W54" s="634"/>
      <c r="X54" s="304"/>
      <c r="Y54" s="304"/>
      <c r="Z54" s="545"/>
    </row>
    <row r="55" spans="3:47" ht="11.25" customHeight="1">
      <c r="C55" s="344"/>
      <c r="D55" s="304"/>
      <c r="E55" s="389"/>
      <c r="F55" s="304"/>
      <c r="G55" s="537"/>
      <c r="I55" s="517"/>
      <c r="J55" s="266"/>
      <c r="K55" s="266"/>
      <c r="L55" s="266"/>
      <c r="M55" s="538"/>
      <c r="O55" s="523"/>
      <c r="P55" s="266"/>
      <c r="Q55" s="428"/>
      <c r="R55" s="428"/>
      <c r="S55" s="521"/>
      <c r="U55" s="344"/>
      <c r="V55" s="393"/>
      <c r="W55" s="634"/>
      <c r="X55" s="304"/>
      <c r="Y55" s="304"/>
      <c r="Z55" s="545"/>
    </row>
    <row r="56" spans="3:47" ht="11.25" customHeight="1">
      <c r="C56" s="344"/>
      <c r="D56" s="304"/>
      <c r="E56" s="389"/>
      <c r="F56" s="304"/>
      <c r="G56" s="537"/>
      <c r="I56" s="517"/>
      <c r="J56" s="266"/>
      <c r="K56" s="266"/>
      <c r="L56" s="266"/>
      <c r="M56" s="538"/>
      <c r="O56" s="523"/>
      <c r="P56" s="266"/>
      <c r="Q56" s="428"/>
      <c r="R56" s="428"/>
      <c r="S56" s="521"/>
      <c r="U56" s="344"/>
      <c r="V56" s="393"/>
      <c r="W56" s="634"/>
      <c r="X56" s="304"/>
      <c r="Y56" s="304"/>
      <c r="Z56" s="545"/>
    </row>
    <row r="57" spans="3:47" ht="11.25" customHeight="1">
      <c r="C57" s="344"/>
      <c r="D57" s="304"/>
      <c r="E57" s="389"/>
      <c r="F57" s="304"/>
      <c r="G57" s="537"/>
      <c r="I57" s="517"/>
      <c r="J57" s="266"/>
      <c r="K57" s="266"/>
      <c r="L57" s="266"/>
      <c r="M57" s="538"/>
      <c r="O57" s="523"/>
      <c r="P57" s="266"/>
      <c r="Q57" s="428"/>
      <c r="R57" s="428"/>
      <c r="S57" s="521"/>
      <c r="U57" s="344"/>
      <c r="V57" s="393"/>
      <c r="W57" s="634"/>
      <c r="X57" s="304"/>
      <c r="Y57" s="304"/>
      <c r="Z57" s="545"/>
    </row>
    <row r="58" spans="3:47" ht="11.25" customHeight="1">
      <c r="C58" s="344"/>
      <c r="D58" s="304"/>
      <c r="E58" s="389"/>
      <c r="F58" s="304"/>
      <c r="G58" s="538"/>
      <c r="I58" s="517"/>
      <c r="J58" s="266"/>
      <c r="K58" s="266"/>
      <c r="L58" s="266"/>
      <c r="M58" s="538"/>
      <c r="O58" s="523"/>
      <c r="P58" s="266"/>
      <c r="Q58" s="428"/>
      <c r="R58" s="428"/>
      <c r="S58" s="521"/>
      <c r="U58" s="344"/>
      <c r="V58" s="393"/>
      <c r="W58" s="634"/>
      <c r="X58" s="304"/>
      <c r="Y58" s="304"/>
      <c r="Z58" s="545"/>
    </row>
    <row r="59" spans="3:47" ht="11.25" customHeight="1">
      <c r="C59" s="344"/>
      <c r="D59" s="304"/>
      <c r="E59" s="389"/>
      <c r="F59" s="304"/>
      <c r="G59" s="538"/>
      <c r="I59" s="517"/>
      <c r="J59" s="266"/>
      <c r="K59" s="266"/>
      <c r="L59" s="266"/>
      <c r="M59" s="538"/>
      <c r="O59" s="523"/>
      <c r="P59" s="266"/>
      <c r="Q59" s="428"/>
      <c r="R59" s="428"/>
      <c r="S59" s="521"/>
      <c r="U59" s="344"/>
      <c r="V59" s="393"/>
      <c r="W59" s="634"/>
      <c r="X59" s="304"/>
      <c r="Y59" s="304"/>
      <c r="Z59" s="545"/>
    </row>
    <row r="60" spans="3:47" ht="11.25" customHeight="1">
      <c r="C60" s="344"/>
      <c r="D60" s="304"/>
      <c r="E60" s="389"/>
      <c r="F60" s="304"/>
      <c r="G60" s="538"/>
      <c r="I60" s="517"/>
      <c r="J60" s="266"/>
      <c r="K60" s="266"/>
      <c r="L60" s="266"/>
      <c r="M60" s="538"/>
      <c r="O60" s="523"/>
      <c r="P60" s="266"/>
      <c r="Q60" s="428"/>
      <c r="R60" s="428"/>
      <c r="S60" s="521"/>
      <c r="U60" s="344"/>
      <c r="V60" s="393"/>
      <c r="W60" s="634"/>
      <c r="X60" s="304"/>
      <c r="Y60" s="304"/>
      <c r="Z60" s="545"/>
    </row>
    <row r="61" spans="3:47" ht="11.25" customHeight="1">
      <c r="C61" s="344"/>
      <c r="D61" s="304"/>
      <c r="E61" s="389"/>
      <c r="F61" s="304"/>
      <c r="G61" s="538"/>
      <c r="I61" s="517"/>
      <c r="J61" s="266"/>
      <c r="K61" s="266"/>
      <c r="L61" s="266"/>
      <c r="M61" s="538"/>
      <c r="O61" s="523"/>
      <c r="P61" s="266"/>
      <c r="Q61" s="428"/>
      <c r="R61" s="428"/>
      <c r="S61" s="521"/>
      <c r="U61" s="344"/>
      <c r="V61" s="393"/>
      <c r="W61" s="634"/>
      <c r="X61" s="304"/>
      <c r="Y61" s="304"/>
      <c r="Z61" s="545"/>
    </row>
    <row r="62" spans="3:47" ht="11.25" customHeight="1">
      <c r="C62" s="344"/>
      <c r="D62" s="304"/>
      <c r="E62" s="389"/>
      <c r="F62" s="304"/>
      <c r="G62" s="538"/>
      <c r="I62" s="517"/>
      <c r="J62" s="266"/>
      <c r="K62" s="266"/>
      <c r="L62" s="266"/>
      <c r="M62" s="538"/>
      <c r="O62" s="523"/>
      <c r="P62" s="266"/>
      <c r="Q62" s="428"/>
      <c r="R62" s="428"/>
      <c r="S62" s="521"/>
      <c r="U62" s="344"/>
      <c r="V62" s="393"/>
      <c r="W62" s="634"/>
      <c r="X62" s="304"/>
      <c r="Y62" s="304"/>
      <c r="Z62" s="545"/>
    </row>
    <row r="63" spans="3:47" ht="11.25" customHeight="1">
      <c r="C63" s="344"/>
      <c r="D63" s="304"/>
      <c r="E63" s="389"/>
      <c r="F63" s="304"/>
      <c r="G63" s="538"/>
      <c r="I63" s="517"/>
      <c r="J63" s="266"/>
      <c r="K63" s="266"/>
      <c r="L63" s="266"/>
      <c r="M63" s="538"/>
      <c r="O63" s="523"/>
      <c r="P63" s="266"/>
      <c r="Q63" s="428"/>
      <c r="R63" s="428"/>
      <c r="S63" s="521"/>
      <c r="U63" s="344"/>
      <c r="V63" s="393"/>
      <c r="W63" s="634"/>
      <c r="X63" s="304"/>
      <c r="Y63" s="304"/>
      <c r="Z63" s="545"/>
    </row>
    <row r="64" spans="3:47" ht="11.25" customHeight="1">
      <c r="C64" s="344"/>
      <c r="D64" s="304"/>
      <c r="E64" s="389"/>
      <c r="F64" s="304"/>
      <c r="G64" s="538"/>
      <c r="I64" s="517"/>
      <c r="J64" s="266"/>
      <c r="K64" s="266"/>
      <c r="L64" s="266"/>
      <c r="M64" s="538"/>
      <c r="O64" s="523"/>
      <c r="P64" s="266"/>
      <c r="Q64" s="428"/>
      <c r="R64" s="428"/>
      <c r="S64" s="521"/>
      <c r="U64" s="344"/>
      <c r="V64" s="393"/>
      <c r="W64" s="634"/>
      <c r="X64" s="304"/>
      <c r="Y64" s="304"/>
      <c r="Z64" s="545"/>
    </row>
    <row r="65" spans="3:26" ht="11.25" customHeight="1">
      <c r="C65" s="344"/>
      <c r="D65" s="304"/>
      <c r="E65" s="389"/>
      <c r="F65" s="304"/>
      <c r="G65" s="538"/>
      <c r="I65" s="517"/>
      <c r="J65" s="266"/>
      <c r="K65" s="266"/>
      <c r="L65" s="266"/>
      <c r="M65" s="538"/>
      <c r="O65" s="523"/>
      <c r="P65" s="266"/>
      <c r="Q65" s="428"/>
      <c r="R65" s="428"/>
      <c r="S65" s="521"/>
      <c r="U65" s="344"/>
      <c r="V65" s="393"/>
      <c r="W65" s="634"/>
      <c r="X65" s="304"/>
      <c r="Y65" s="304"/>
      <c r="Z65" s="545"/>
    </row>
    <row r="66" spans="3:26" ht="11.25" customHeight="1">
      <c r="C66" s="344"/>
      <c r="D66" s="304"/>
      <c r="E66" s="389"/>
      <c r="F66" s="304"/>
      <c r="G66" s="538"/>
      <c r="I66" s="517"/>
      <c r="J66" s="266"/>
      <c r="K66" s="266"/>
      <c r="L66" s="266"/>
      <c r="M66" s="538"/>
      <c r="O66" s="523"/>
      <c r="P66" s="266"/>
      <c r="Q66" s="266"/>
      <c r="R66" s="550"/>
      <c r="S66" s="521"/>
      <c r="U66" s="344"/>
      <c r="V66" s="393"/>
      <c r="W66" s="634"/>
      <c r="X66" s="304"/>
      <c r="Y66" s="304"/>
      <c r="Z66" s="545"/>
    </row>
    <row r="67" spans="3:26" ht="11.25" customHeight="1">
      <c r="C67" s="344"/>
      <c r="D67" s="304"/>
      <c r="E67" s="389"/>
      <c r="F67" s="304"/>
      <c r="G67" s="538"/>
      <c r="I67" s="517"/>
      <c r="J67" s="266"/>
      <c r="K67" s="266"/>
      <c r="L67" s="266"/>
      <c r="M67" s="538"/>
      <c r="O67" s="523"/>
      <c r="P67" s="266"/>
      <c r="Q67" s="266"/>
      <c r="R67" s="550"/>
      <c r="S67" s="521"/>
      <c r="U67" s="344"/>
      <c r="V67" s="393"/>
      <c r="W67" s="634"/>
      <c r="X67" s="304"/>
      <c r="Y67" s="304"/>
      <c r="Z67" s="545"/>
    </row>
    <row r="68" spans="3:26" ht="11.25" customHeight="1">
      <c r="C68" s="344"/>
      <c r="D68" s="304"/>
      <c r="E68" s="389"/>
      <c r="F68" s="304"/>
      <c r="G68" s="538"/>
      <c r="I68" s="517"/>
      <c r="J68" s="266"/>
      <c r="K68" s="266"/>
      <c r="L68" s="266"/>
      <c r="M68" s="538"/>
      <c r="O68" s="523"/>
      <c r="P68" s="266"/>
      <c r="Q68" s="266"/>
      <c r="R68" s="428"/>
      <c r="S68" s="521"/>
      <c r="U68" s="344"/>
      <c r="V68" s="393"/>
      <c r="W68" s="634"/>
      <c r="X68" s="304"/>
      <c r="Y68" s="304"/>
      <c r="Z68" s="545"/>
    </row>
    <row r="69" spans="3:26" ht="11.25" customHeight="1">
      <c r="C69" s="344"/>
      <c r="D69" s="304"/>
      <c r="E69" s="389"/>
      <c r="F69" s="304"/>
      <c r="G69" s="538"/>
      <c r="I69" s="517"/>
      <c r="J69" s="266"/>
      <c r="K69" s="266"/>
      <c r="L69" s="266"/>
      <c r="M69" s="538"/>
      <c r="O69" s="523"/>
      <c r="P69" s="266"/>
      <c r="Q69" s="266"/>
      <c r="R69" s="428"/>
      <c r="S69" s="521"/>
      <c r="U69" s="344"/>
      <c r="V69" s="393"/>
      <c r="W69" s="634"/>
      <c r="X69" s="304"/>
      <c r="Y69" s="304"/>
      <c r="Z69" s="545"/>
    </row>
    <row r="70" spans="3:26" ht="11.25" customHeight="1">
      <c r="C70" s="344"/>
      <c r="D70" s="304"/>
      <c r="E70" s="389"/>
      <c r="F70" s="304"/>
      <c r="G70" s="538"/>
      <c r="I70" s="517"/>
      <c r="J70" s="266"/>
      <c r="K70" s="266"/>
      <c r="L70" s="266"/>
      <c r="M70" s="538"/>
      <c r="O70" s="523"/>
      <c r="P70" s="266"/>
      <c r="Q70" s="266"/>
      <c r="R70" s="428"/>
      <c r="S70" s="521"/>
      <c r="U70" s="344"/>
      <c r="V70" s="393"/>
      <c r="W70" s="634"/>
      <c r="X70" s="304"/>
      <c r="Y70" s="304"/>
      <c r="Z70" s="545"/>
    </row>
    <row r="71" spans="3:26" ht="11.25" customHeight="1">
      <c r="C71" s="344"/>
      <c r="D71" s="304"/>
      <c r="E71" s="389"/>
      <c r="F71" s="304"/>
      <c r="G71" s="538"/>
      <c r="I71" s="517"/>
      <c r="J71" s="266"/>
      <c r="K71" s="266"/>
      <c r="L71" s="266"/>
      <c r="M71" s="538"/>
      <c r="O71" s="523"/>
      <c r="P71" s="266"/>
      <c r="Q71" s="266"/>
      <c r="R71" s="428"/>
      <c r="S71" s="521"/>
      <c r="U71" s="344"/>
      <c r="V71" s="393"/>
      <c r="W71" s="634"/>
      <c r="X71" s="304"/>
      <c r="Y71" s="304"/>
      <c r="Z71" s="545"/>
    </row>
    <row r="72" spans="3:26" ht="11.25" customHeight="1">
      <c r="C72" s="344"/>
      <c r="D72" s="304"/>
      <c r="E72" s="389"/>
      <c r="F72" s="304"/>
      <c r="G72" s="538"/>
      <c r="I72" s="518"/>
      <c r="J72" s="268"/>
      <c r="K72" s="268"/>
      <c r="L72" s="268"/>
      <c r="M72" s="538"/>
      <c r="O72" s="523"/>
      <c r="P72" s="266"/>
      <c r="Q72" s="266"/>
      <c r="R72" s="551"/>
      <c r="S72" s="521"/>
      <c r="U72" s="344"/>
      <c r="V72" s="393"/>
      <c r="W72" s="634"/>
      <c r="X72" s="304"/>
      <c r="Y72" s="304"/>
      <c r="Z72" s="545"/>
    </row>
    <row r="73" spans="3:26" ht="11.25" customHeight="1">
      <c r="C73" s="344"/>
      <c r="D73" s="304"/>
      <c r="E73" s="389"/>
      <c r="F73" s="304"/>
      <c r="G73" s="538"/>
      <c r="I73" s="517"/>
      <c r="J73" s="266"/>
      <c r="K73" s="266"/>
      <c r="L73" s="266"/>
      <c r="M73" s="538"/>
      <c r="O73" s="523"/>
      <c r="P73" s="266"/>
      <c r="Q73" s="266"/>
      <c r="R73" s="428"/>
      <c r="S73" s="521"/>
      <c r="U73" s="344"/>
      <c r="V73" s="393"/>
      <c r="W73" s="634"/>
      <c r="X73" s="304"/>
      <c r="Y73" s="304"/>
      <c r="Z73" s="545"/>
    </row>
    <row r="74" spans="3:26" ht="11.25" customHeight="1">
      <c r="C74" s="344"/>
      <c r="D74" s="304"/>
      <c r="E74" s="389"/>
      <c r="F74" s="304"/>
      <c r="G74" s="538"/>
      <c r="I74" s="517"/>
      <c r="J74" s="266"/>
      <c r="K74" s="266"/>
      <c r="L74" s="266"/>
      <c r="M74" s="538"/>
      <c r="O74" s="523"/>
      <c r="P74" s="266"/>
      <c r="Q74" s="266"/>
      <c r="R74" s="428"/>
      <c r="S74" s="521"/>
      <c r="U74" s="344"/>
      <c r="V74" s="393"/>
      <c r="W74" s="634"/>
      <c r="X74" s="304"/>
      <c r="Y74" s="304"/>
      <c r="Z74" s="545"/>
    </row>
    <row r="75" spans="3:26" ht="11.25" customHeight="1">
      <c r="C75" s="344"/>
      <c r="D75" s="304"/>
      <c r="E75" s="389"/>
      <c r="F75" s="304"/>
      <c r="G75" s="538"/>
      <c r="I75" s="517"/>
      <c r="J75" s="266"/>
      <c r="K75" s="266"/>
      <c r="L75" s="266"/>
      <c r="M75" s="538"/>
      <c r="O75" s="523"/>
      <c r="P75" s="266"/>
      <c r="Q75" s="266"/>
      <c r="R75" s="428"/>
      <c r="S75" s="521"/>
      <c r="U75" s="344"/>
      <c r="V75" s="393"/>
      <c r="W75" s="634"/>
      <c r="X75" s="304"/>
      <c r="Y75" s="304"/>
      <c r="Z75" s="545"/>
    </row>
    <row r="76" spans="3:26" ht="9.75" customHeight="1">
      <c r="C76" s="344"/>
      <c r="D76" s="304"/>
      <c r="E76" s="389"/>
      <c r="F76" s="304"/>
      <c r="G76" s="538"/>
      <c r="I76" s="517"/>
      <c r="J76" s="266"/>
      <c r="K76" s="266"/>
      <c r="L76" s="266"/>
      <c r="M76" s="538"/>
      <c r="O76" s="523"/>
      <c r="P76" s="266"/>
      <c r="Q76" s="266"/>
      <c r="R76" s="428"/>
      <c r="S76" s="521"/>
      <c r="U76" s="344"/>
      <c r="V76" s="393"/>
      <c r="W76" s="633"/>
      <c r="X76" s="304"/>
      <c r="Y76" s="304"/>
      <c r="Z76" s="545"/>
    </row>
    <row r="77" spans="3:26" ht="11.25" hidden="1" customHeight="1">
      <c r="C77" s="344"/>
      <c r="D77" s="304"/>
      <c r="E77" s="389"/>
      <c r="F77" s="304"/>
      <c r="G77" s="538"/>
      <c r="I77" s="517"/>
      <c r="J77" s="428"/>
      <c r="K77" s="428"/>
      <c r="L77" s="266"/>
      <c r="M77" s="538"/>
      <c r="O77" s="523"/>
      <c r="P77" s="266"/>
      <c r="Q77" s="266"/>
      <c r="R77" s="428"/>
      <c r="S77" s="521"/>
      <c r="U77" s="344"/>
      <c r="V77" s="393"/>
      <c r="W77" s="304"/>
      <c r="X77" s="304"/>
      <c r="Y77" s="304"/>
      <c r="Z77" s="545"/>
    </row>
    <row r="78" spans="3:26" ht="11.25" customHeight="1">
      <c r="C78" s="344"/>
      <c r="D78" s="304"/>
      <c r="E78" s="389"/>
      <c r="F78" s="304"/>
      <c r="G78" s="538"/>
      <c r="I78" s="517"/>
      <c r="J78" s="266"/>
      <c r="K78" s="266"/>
      <c r="L78" s="266"/>
      <c r="M78" s="538"/>
      <c r="O78" s="523"/>
      <c r="P78" s="266"/>
      <c r="Q78" s="266"/>
      <c r="R78" s="428"/>
      <c r="S78" s="521"/>
      <c r="U78" s="344"/>
      <c r="V78" s="393"/>
      <c r="W78" s="304"/>
      <c r="X78" s="304"/>
      <c r="Y78" s="304"/>
      <c r="Z78" s="545"/>
    </row>
    <row r="79" spans="3:26" ht="11.25" customHeight="1">
      <c r="C79" s="344"/>
      <c r="D79" s="304"/>
      <c r="E79" s="389"/>
      <c r="F79" s="304"/>
      <c r="G79" s="538"/>
      <c r="I79" s="517"/>
      <c r="J79" s="266"/>
      <c r="K79" s="266"/>
      <c r="L79" s="266"/>
      <c r="M79" s="538"/>
      <c r="O79" s="523"/>
      <c r="P79" s="266"/>
      <c r="Q79" s="266"/>
      <c r="R79" s="428"/>
      <c r="S79" s="521"/>
      <c r="U79" s="344"/>
      <c r="V79" s="393"/>
      <c r="W79" s="304"/>
      <c r="X79" s="304"/>
      <c r="Y79" s="304"/>
      <c r="Z79" s="545"/>
    </row>
    <row r="80" spans="3:26" ht="11.25" customHeight="1">
      <c r="C80" s="344"/>
      <c r="D80" s="304"/>
      <c r="E80" s="389"/>
      <c r="F80" s="304"/>
      <c r="G80" s="538"/>
      <c r="I80" s="517"/>
      <c r="J80" s="266"/>
      <c r="K80" s="266"/>
      <c r="L80" s="266"/>
      <c r="M80" s="538"/>
      <c r="O80" s="523"/>
      <c r="P80" s="266"/>
      <c r="Q80" s="266"/>
      <c r="R80" s="428"/>
      <c r="S80" s="521"/>
      <c r="U80" s="344"/>
      <c r="V80" s="393"/>
      <c r="W80" s="304"/>
      <c r="X80" s="304"/>
      <c r="Y80" s="304"/>
      <c r="Z80" s="545"/>
    </row>
    <row r="81" spans="3:26" ht="11.25" customHeight="1">
      <c r="C81" s="344"/>
      <c r="D81" s="304"/>
      <c r="E81" s="389"/>
      <c r="F81" s="304"/>
      <c r="G81" s="538"/>
      <c r="I81" s="517"/>
      <c r="J81" s="266"/>
      <c r="K81" s="266"/>
      <c r="L81" s="266"/>
      <c r="M81" s="538"/>
      <c r="O81" s="523"/>
      <c r="P81" s="266"/>
      <c r="Q81" s="266"/>
      <c r="R81" s="428"/>
      <c r="S81" s="521"/>
      <c r="U81" s="344"/>
      <c r="V81" s="393"/>
      <c r="W81" s="304"/>
      <c r="X81" s="304"/>
      <c r="Y81" s="304"/>
      <c r="Z81" s="545"/>
    </row>
    <row r="82" spans="3:26" ht="11.25" customHeight="1">
      <c r="C82" s="344"/>
      <c r="D82" s="304"/>
      <c r="E82" s="389"/>
      <c r="F82" s="304"/>
      <c r="G82" s="538"/>
      <c r="I82" s="517"/>
      <c r="J82" s="266"/>
      <c r="K82" s="266"/>
      <c r="L82" s="266"/>
      <c r="M82" s="538"/>
      <c r="O82" s="523"/>
      <c r="P82" s="266"/>
      <c r="Q82" s="266"/>
      <c r="R82" s="428"/>
      <c r="S82" s="521"/>
      <c r="U82" s="344"/>
      <c r="V82" s="393"/>
      <c r="W82" s="304"/>
      <c r="X82" s="304"/>
      <c r="Y82" s="304"/>
      <c r="Z82" s="545"/>
    </row>
    <row r="83" spans="3:26" ht="11.25" customHeight="1">
      <c r="C83" s="344"/>
      <c r="D83" s="304"/>
      <c r="E83" s="389"/>
      <c r="F83" s="304"/>
      <c r="G83" s="538"/>
      <c r="I83" s="517"/>
      <c r="J83" s="266"/>
      <c r="K83" s="266"/>
      <c r="L83" s="266"/>
      <c r="M83" s="538"/>
      <c r="O83" s="523"/>
      <c r="P83" s="266"/>
      <c r="Q83" s="266"/>
      <c r="R83" s="428"/>
      <c r="S83" s="521"/>
      <c r="U83" s="344"/>
      <c r="V83" s="393"/>
      <c r="W83" s="304"/>
      <c r="X83" s="304"/>
      <c r="Y83" s="304"/>
      <c r="Z83" s="545"/>
    </row>
    <row r="84" spans="3:26" ht="11.25" customHeight="1">
      <c r="C84" s="344"/>
      <c r="D84" s="304"/>
      <c r="E84" s="389"/>
      <c r="F84" s="304"/>
      <c r="G84" s="538"/>
      <c r="I84" s="517"/>
      <c r="J84" s="266"/>
      <c r="K84" s="266"/>
      <c r="L84" s="266"/>
      <c r="M84" s="538"/>
      <c r="O84" s="523"/>
      <c r="P84" s="266"/>
      <c r="Q84" s="266"/>
      <c r="R84" s="428"/>
      <c r="S84" s="521"/>
      <c r="U84" s="344"/>
      <c r="V84" s="304"/>
      <c r="W84" s="304"/>
      <c r="X84" s="304"/>
      <c r="Y84" s="304"/>
      <c r="Z84" s="545"/>
    </row>
    <row r="85" spans="3:26" ht="11.25" customHeight="1">
      <c r="C85" s="344"/>
      <c r="D85" s="304"/>
      <c r="E85" s="389"/>
      <c r="F85" s="304"/>
      <c r="G85" s="538"/>
      <c r="I85" s="517"/>
      <c r="J85" s="266"/>
      <c r="K85" s="266"/>
      <c r="L85" s="266"/>
      <c r="M85" s="538"/>
      <c r="O85" s="523"/>
      <c r="P85" s="266"/>
      <c r="Q85" s="266"/>
      <c r="R85" s="428"/>
      <c r="S85" s="521"/>
      <c r="U85" s="344"/>
      <c r="V85" s="304"/>
      <c r="W85" s="304"/>
      <c r="X85" s="304"/>
      <c r="Y85" s="304"/>
      <c r="Z85" s="545"/>
    </row>
    <row r="86" spans="3:26" ht="11.25" customHeight="1">
      <c r="C86" s="344"/>
      <c r="D86" s="304"/>
      <c r="E86" s="389"/>
      <c r="F86" s="304"/>
      <c r="G86" s="538"/>
      <c r="I86" s="517"/>
      <c r="J86" s="266"/>
      <c r="K86" s="266"/>
      <c r="L86" s="266"/>
      <c r="M86" s="538"/>
      <c r="O86" s="523"/>
      <c r="P86" s="266"/>
      <c r="Q86" s="266"/>
      <c r="R86" s="428"/>
      <c r="S86" s="521"/>
      <c r="U86" s="344"/>
      <c r="V86" s="304"/>
      <c r="W86" s="304"/>
      <c r="X86" s="304"/>
      <c r="Y86" s="304"/>
      <c r="Z86" s="545"/>
    </row>
    <row r="87" spans="3:26" ht="11.25" customHeight="1">
      <c r="C87" s="344"/>
      <c r="D87" s="304"/>
      <c r="E87" s="389"/>
      <c r="F87" s="304"/>
      <c r="G87" s="538"/>
      <c r="I87" s="517"/>
      <c r="J87" s="266"/>
      <c r="K87" s="266"/>
      <c r="L87" s="266"/>
      <c r="M87" s="538"/>
      <c r="O87" s="523"/>
      <c r="P87" s="266"/>
      <c r="Q87" s="266"/>
      <c r="R87" s="428"/>
      <c r="S87" s="521"/>
      <c r="U87" s="344"/>
      <c r="V87" s="304"/>
      <c r="W87" s="304"/>
      <c r="X87" s="304"/>
      <c r="Y87" s="304"/>
      <c r="Z87" s="545"/>
    </row>
    <row r="88" spans="3:26" ht="11.25" customHeight="1">
      <c r="C88" s="344"/>
      <c r="D88" s="304"/>
      <c r="E88" s="389"/>
      <c r="F88" s="304"/>
      <c r="G88" s="538"/>
      <c r="I88" s="517"/>
      <c r="J88" s="266"/>
      <c r="K88" s="266"/>
      <c r="L88" s="266"/>
      <c r="M88" s="538"/>
      <c r="O88" s="523"/>
      <c r="P88" s="266"/>
      <c r="Q88" s="266"/>
      <c r="R88" s="428"/>
      <c r="S88" s="521"/>
      <c r="U88" s="344"/>
      <c r="V88" s="304"/>
      <c r="W88" s="304"/>
      <c r="X88" s="304"/>
      <c r="Y88" s="304"/>
      <c r="Z88" s="545"/>
    </row>
    <row r="89" spans="3:26" ht="11.25" customHeight="1">
      <c r="C89" s="344"/>
      <c r="D89" s="304"/>
      <c r="E89" s="389"/>
      <c r="F89" s="304"/>
      <c r="G89" s="538"/>
      <c r="I89" s="517"/>
      <c r="J89" s="266"/>
      <c r="K89" s="266"/>
      <c r="L89" s="266"/>
      <c r="M89" s="538"/>
      <c r="O89" s="523"/>
      <c r="P89" s="266"/>
      <c r="Q89" s="266"/>
      <c r="R89" s="428"/>
      <c r="S89" s="521"/>
      <c r="U89" s="344"/>
      <c r="V89" s="304"/>
      <c r="W89" s="304"/>
      <c r="X89" s="304"/>
      <c r="Y89" s="304"/>
      <c r="Z89" s="545"/>
    </row>
    <row r="90" spans="3:26" ht="11.25" customHeight="1">
      <c r="C90" s="344"/>
      <c r="D90" s="304"/>
      <c r="E90" s="389"/>
      <c r="F90" s="304"/>
      <c r="G90" s="538"/>
      <c r="I90" s="517"/>
      <c r="J90" s="266"/>
      <c r="K90" s="266"/>
      <c r="L90" s="266"/>
      <c r="M90" s="538"/>
      <c r="O90" s="523"/>
      <c r="P90" s="266"/>
      <c r="Q90" s="266"/>
      <c r="R90" s="428"/>
      <c r="S90" s="521"/>
      <c r="U90" s="344"/>
      <c r="V90" s="304"/>
      <c r="W90" s="304"/>
      <c r="X90" s="304"/>
      <c r="Y90" s="304"/>
      <c r="Z90" s="545"/>
    </row>
    <row r="91" spans="3:26">
      <c r="C91" s="344"/>
      <c r="D91" s="304"/>
      <c r="E91" s="389"/>
      <c r="F91" s="304"/>
      <c r="G91" s="538"/>
      <c r="I91" s="517"/>
      <c r="J91" s="266"/>
      <c r="K91" s="266"/>
      <c r="L91" s="266"/>
      <c r="M91" s="538"/>
      <c r="O91" s="523"/>
      <c r="P91" s="266"/>
      <c r="Q91" s="266"/>
      <c r="R91" s="428"/>
      <c r="S91" s="521"/>
      <c r="U91" s="344"/>
      <c r="V91" s="304"/>
      <c r="W91" s="304"/>
      <c r="X91" s="304"/>
      <c r="Y91" s="304"/>
      <c r="Z91" s="545"/>
    </row>
    <row r="92" spans="3:26">
      <c r="C92" s="344"/>
      <c r="D92" s="304"/>
      <c r="E92" s="389"/>
      <c r="F92" s="304"/>
      <c r="G92" s="538"/>
      <c r="I92" s="517"/>
      <c r="J92" s="266"/>
      <c r="K92" s="266"/>
      <c r="L92" s="266"/>
      <c r="M92" s="538"/>
      <c r="O92" s="523"/>
      <c r="P92" s="266"/>
      <c r="Q92" s="266"/>
      <c r="R92" s="428"/>
      <c r="S92" s="521"/>
      <c r="U92" s="344"/>
      <c r="V92" s="304"/>
      <c r="W92" s="304"/>
      <c r="X92" s="304"/>
      <c r="Y92" s="304"/>
      <c r="Z92" s="545"/>
    </row>
    <row r="93" spans="3:26">
      <c r="C93" s="344"/>
      <c r="D93" s="304"/>
      <c r="E93" s="389"/>
      <c r="F93" s="304"/>
      <c r="G93" s="538"/>
      <c r="I93" s="517"/>
      <c r="J93" s="266"/>
      <c r="K93" s="266"/>
      <c r="L93" s="266"/>
      <c r="M93" s="538"/>
      <c r="O93" s="523"/>
      <c r="P93" s="266"/>
      <c r="Q93" s="266"/>
      <c r="R93" s="428"/>
      <c r="S93" s="521"/>
      <c r="U93" s="344"/>
      <c r="V93" s="304"/>
      <c r="W93" s="304"/>
      <c r="X93" s="304"/>
      <c r="Y93" s="304"/>
      <c r="Z93" s="545"/>
    </row>
    <row r="94" spans="3:26">
      <c r="C94" s="344"/>
      <c r="D94" s="304"/>
      <c r="E94" s="389"/>
      <c r="F94" s="304"/>
      <c r="G94" s="538"/>
      <c r="I94" s="517"/>
      <c r="J94" s="266"/>
      <c r="K94" s="266"/>
      <c r="L94" s="266"/>
      <c r="M94" s="538"/>
      <c r="O94" s="523"/>
      <c r="P94" s="266"/>
      <c r="Q94" s="266"/>
      <c r="R94" s="428"/>
      <c r="S94" s="521"/>
      <c r="U94" s="344"/>
      <c r="V94" s="304"/>
      <c r="W94" s="304"/>
      <c r="X94" s="304"/>
      <c r="Y94" s="304"/>
      <c r="Z94" s="545"/>
    </row>
    <row r="95" spans="3:26">
      <c r="C95" s="344"/>
      <c r="D95" s="304"/>
      <c r="E95" s="389"/>
      <c r="F95" s="304"/>
      <c r="G95" s="538"/>
      <c r="I95" s="517"/>
      <c r="J95" s="266"/>
      <c r="K95" s="266"/>
      <c r="L95" s="266"/>
      <c r="M95" s="538"/>
      <c r="O95" s="523"/>
      <c r="P95" s="266"/>
      <c r="Q95" s="266"/>
      <c r="R95" s="428"/>
      <c r="S95" s="521"/>
      <c r="U95" s="344"/>
      <c r="V95" s="304"/>
      <c r="W95" s="304"/>
      <c r="X95" s="304"/>
      <c r="Y95" s="304"/>
      <c r="Z95" s="545"/>
    </row>
    <row r="96" spans="3:26">
      <c r="C96" s="344"/>
      <c r="D96" s="304"/>
      <c r="E96" s="389"/>
      <c r="F96" s="304"/>
      <c r="G96" s="538"/>
      <c r="I96" s="517"/>
      <c r="J96" s="266"/>
      <c r="K96" s="266"/>
      <c r="L96" s="266"/>
      <c r="M96" s="538"/>
      <c r="O96" s="523"/>
      <c r="P96" s="266"/>
      <c r="Q96" s="266"/>
      <c r="R96" s="428"/>
      <c r="S96" s="521"/>
      <c r="U96" s="344"/>
      <c r="V96" s="304"/>
      <c r="W96" s="304"/>
      <c r="X96" s="304"/>
      <c r="Y96" s="304"/>
      <c r="Z96" s="545"/>
    </row>
    <row r="97" spans="3:26" ht="12" thickBot="1">
      <c r="C97" s="345"/>
      <c r="D97" s="346"/>
      <c r="E97" s="347"/>
      <c r="F97" s="346"/>
      <c r="G97" s="539"/>
      <c r="I97" s="519"/>
      <c r="J97" s="514"/>
      <c r="K97" s="514"/>
      <c r="L97" s="514"/>
      <c r="M97" s="539"/>
      <c r="O97" s="524"/>
      <c r="P97" s="514"/>
      <c r="Q97" s="514"/>
      <c r="R97" s="552"/>
      <c r="S97" s="522"/>
      <c r="U97" s="345"/>
      <c r="V97" s="346"/>
      <c r="W97" s="346"/>
      <c r="X97" s="346"/>
      <c r="Y97" s="346"/>
      <c r="Z97" s="546"/>
    </row>
  </sheetData>
  <mergeCells count="10">
    <mergeCell ref="C50:G50"/>
    <mergeCell ref="I50:M50"/>
    <mergeCell ref="E2:AU2"/>
    <mergeCell ref="G7:M7"/>
    <mergeCell ref="N7:S7"/>
    <mergeCell ref="G6:M6"/>
    <mergeCell ref="O50:S50"/>
    <mergeCell ref="U50:Z50"/>
    <mergeCell ref="I3:K4"/>
    <mergeCell ref="B1:C6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44136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44137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44138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44139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44140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44141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44142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44143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44144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44145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44146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44147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44148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44149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44150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44151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44152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44153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44154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44155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44156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44157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44158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44159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44160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44161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44162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44163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44164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44165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44166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1" sqref="F2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6" t="s">
        <v>70</v>
      </c>
      <c r="D3" s="527"/>
      <c r="E3" s="527"/>
      <c r="F3" s="528"/>
      <c r="G3" s="529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897"/>
      <c r="D6" s="898"/>
      <c r="E6" s="899"/>
      <c r="F6" s="899"/>
      <c r="G6" s="49" t="s">
        <v>4</v>
      </c>
      <c r="H6" s="47" t="s">
        <v>14</v>
      </c>
      <c r="I6" s="42"/>
      <c r="J6" s="114"/>
    </row>
    <row r="7" spans="1:15" ht="18" customHeight="1">
      <c r="A7" s="900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01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/>
      <c r="C9" s="269"/>
      <c r="D9" s="269"/>
      <c r="E9" s="269"/>
      <c r="F9" s="269">
        <v>72984.95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44136</v>
      </c>
      <c r="B10" s="269">
        <v>30</v>
      </c>
      <c r="C10" s="269">
        <v>85</v>
      </c>
      <c r="D10" s="269">
        <v>85</v>
      </c>
      <c r="E10" s="269"/>
      <c r="F10" s="269">
        <v>72984.95</v>
      </c>
      <c r="G10" s="269">
        <f t="shared" ref="G10:G40" si="0">(F10-F9)*4.4</f>
        <v>0</v>
      </c>
      <c r="H10" s="112">
        <f>Gen!C11</f>
        <v>2.5999999999999999E-2</v>
      </c>
      <c r="I10" s="6">
        <f>SUM(F10/H10)</f>
        <v>2807113.4615384615</v>
      </c>
      <c r="J10" s="117">
        <f t="shared" ref="J10:J40" si="1">SUM(G10/I10)</f>
        <v>0</v>
      </c>
      <c r="N10" s="157"/>
      <c r="O10" s="157"/>
    </row>
    <row r="11" spans="1:15" ht="18.75">
      <c r="A11" s="95">
        <f>Gen!B12</f>
        <v>44137</v>
      </c>
      <c r="B11" s="269">
        <v>25</v>
      </c>
      <c r="C11" s="269">
        <v>85</v>
      </c>
      <c r="D11" s="269">
        <v>85</v>
      </c>
      <c r="E11" s="269">
        <v>85</v>
      </c>
      <c r="F11" s="269">
        <v>72998</v>
      </c>
      <c r="G11" s="269">
        <f t="shared" si="0"/>
        <v>57.420000000012813</v>
      </c>
      <c r="H11" s="112">
        <f>Gen!C12</f>
        <v>5.1900000000000002E-2</v>
      </c>
      <c r="I11" s="6">
        <f t="shared" ref="I11:I28" si="2">SUM(F11/H11)</f>
        <v>1406512.5240847783</v>
      </c>
      <c r="J11" s="117">
        <f t="shared" si="1"/>
        <v>4.0824378750111854E-5</v>
      </c>
      <c r="M11" s="157"/>
      <c r="N11" s="157"/>
    </row>
    <row r="12" spans="1:15" ht="18.75">
      <c r="A12" s="95">
        <f>Gen!B13</f>
        <v>44138</v>
      </c>
      <c r="B12" s="269">
        <v>22</v>
      </c>
      <c r="C12" s="269">
        <v>85</v>
      </c>
      <c r="D12" s="269">
        <v>85</v>
      </c>
      <c r="E12" s="269"/>
      <c r="F12" s="269">
        <v>73009.399999999994</v>
      </c>
      <c r="G12" s="269">
        <f t="shared" si="0"/>
        <v>50.159999999974396</v>
      </c>
      <c r="H12" s="112">
        <f>Gen!C13</f>
        <v>7.7899999999999997E-2</v>
      </c>
      <c r="I12" s="6">
        <f t="shared" si="2"/>
        <v>937219.51219512196</v>
      </c>
      <c r="J12" s="117">
        <f t="shared" si="1"/>
        <v>5.3520012491514864E-5</v>
      </c>
      <c r="M12" s="157"/>
      <c r="N12" s="157"/>
    </row>
    <row r="13" spans="1:15" ht="18.75">
      <c r="A13" s="95">
        <f>Gen!B14</f>
        <v>44139</v>
      </c>
      <c r="B13" s="269">
        <v>20</v>
      </c>
      <c r="C13" s="269">
        <v>85</v>
      </c>
      <c r="D13" s="269">
        <v>85</v>
      </c>
      <c r="E13" s="269"/>
      <c r="F13" s="269">
        <v>73022.539999999994</v>
      </c>
      <c r="G13" s="269">
        <f t="shared" si="0"/>
        <v>57.815999999997445</v>
      </c>
      <c r="H13" s="112">
        <f>Gen!C14</f>
        <v>6.4899999999999999E-2</v>
      </c>
      <c r="I13" s="6">
        <f t="shared" si="2"/>
        <v>1125154.6995377503</v>
      </c>
      <c r="J13" s="117">
        <f t="shared" si="1"/>
        <v>5.138493402173951E-5</v>
      </c>
      <c r="M13" s="157"/>
      <c r="N13" s="157"/>
    </row>
    <row r="14" spans="1:15" ht="18.75">
      <c r="A14" s="95">
        <f>Gen!B15</f>
        <v>44140</v>
      </c>
      <c r="B14" s="269"/>
      <c r="C14" s="269"/>
      <c r="D14" s="269"/>
      <c r="E14" s="269"/>
      <c r="F14" s="269"/>
      <c r="G14" s="269">
        <f t="shared" si="0"/>
        <v>-321299.17599999998</v>
      </c>
      <c r="H14" s="112">
        <f>Gen!C15</f>
        <v>0</v>
      </c>
      <c r="I14" s="6" t="e">
        <f t="shared" si="2"/>
        <v>#DIV/0!</v>
      </c>
      <c r="J14" s="117" t="e">
        <f t="shared" si="1"/>
        <v>#DIV/0!</v>
      </c>
      <c r="M14" s="157"/>
      <c r="N14" s="157"/>
    </row>
    <row r="15" spans="1:15" ht="18.75">
      <c r="A15" s="95">
        <f>Gen!B16</f>
        <v>44141</v>
      </c>
      <c r="B15" s="269"/>
      <c r="C15" s="269"/>
      <c r="D15" s="269"/>
      <c r="E15" s="269"/>
      <c r="F15" s="269"/>
      <c r="G15" s="269">
        <f t="shared" si="0"/>
        <v>0</v>
      </c>
      <c r="H15" s="112">
        <f>Gen!C16</f>
        <v>0</v>
      </c>
      <c r="I15" s="6" t="e">
        <f t="shared" si="2"/>
        <v>#DIV/0!</v>
      </c>
      <c r="J15" s="117" t="e">
        <f t="shared" si="1"/>
        <v>#DIV/0!</v>
      </c>
      <c r="M15" s="157"/>
      <c r="N15" s="157"/>
    </row>
    <row r="16" spans="1:15" ht="18.75">
      <c r="A16" s="95">
        <f>Gen!B17</f>
        <v>44142</v>
      </c>
      <c r="B16" s="269"/>
      <c r="C16" s="269"/>
      <c r="D16" s="269"/>
      <c r="E16" s="269"/>
      <c r="F16" s="269"/>
      <c r="G16" s="269">
        <f t="shared" si="0"/>
        <v>0</v>
      </c>
      <c r="H16" s="112">
        <f>Gen!C17</f>
        <v>0</v>
      </c>
      <c r="I16" s="6" t="e">
        <f t="shared" si="2"/>
        <v>#DIV/0!</v>
      </c>
      <c r="J16" s="117" t="e">
        <f t="shared" si="1"/>
        <v>#DIV/0!</v>
      </c>
      <c r="M16" s="157"/>
      <c r="N16" s="157"/>
    </row>
    <row r="17" spans="1:14" ht="18.75">
      <c r="A17" s="95">
        <f>Gen!B18</f>
        <v>44143</v>
      </c>
      <c r="B17" s="269"/>
      <c r="C17" s="269"/>
      <c r="D17" s="269"/>
      <c r="E17" s="269"/>
      <c r="F17" s="269"/>
      <c r="G17" s="269">
        <f t="shared" si="0"/>
        <v>0</v>
      </c>
      <c r="H17" s="112">
        <f>Gen!C18</f>
        <v>0</v>
      </c>
      <c r="I17" s="6" t="e">
        <f t="shared" si="2"/>
        <v>#DIV/0!</v>
      </c>
      <c r="J17" s="117" t="e">
        <f t="shared" si="1"/>
        <v>#DIV/0!</v>
      </c>
      <c r="M17" s="157"/>
      <c r="N17" s="157"/>
    </row>
    <row r="18" spans="1:14" ht="18.75">
      <c r="A18" s="95">
        <f>Gen!B19</f>
        <v>44144</v>
      </c>
      <c r="B18" s="269"/>
      <c r="C18" s="269"/>
      <c r="D18" s="269"/>
      <c r="E18" s="269"/>
      <c r="F18" s="269"/>
      <c r="G18" s="269">
        <f t="shared" si="0"/>
        <v>0</v>
      </c>
      <c r="H18" s="112">
        <f>Gen!C19</f>
        <v>0</v>
      </c>
      <c r="I18" s="6" t="e">
        <f t="shared" si="2"/>
        <v>#DIV/0!</v>
      </c>
      <c r="J18" s="117" t="e">
        <f t="shared" si="1"/>
        <v>#DIV/0!</v>
      </c>
      <c r="M18" s="157"/>
      <c r="N18" s="157"/>
    </row>
    <row r="19" spans="1:14" ht="18.75">
      <c r="A19" s="95">
        <f>Gen!B20</f>
        <v>44145</v>
      </c>
      <c r="B19" s="269"/>
      <c r="C19" s="269"/>
      <c r="D19" s="269"/>
      <c r="E19" s="269"/>
      <c r="F19" s="269"/>
      <c r="G19" s="269">
        <f t="shared" si="0"/>
        <v>0</v>
      </c>
      <c r="H19" s="112">
        <f>Gen!C20</f>
        <v>0</v>
      </c>
      <c r="I19" s="6" t="e">
        <f t="shared" si="2"/>
        <v>#DIV/0!</v>
      </c>
      <c r="J19" s="117" t="e">
        <f t="shared" si="1"/>
        <v>#DIV/0!</v>
      </c>
      <c r="M19" s="157"/>
      <c r="N19" s="157"/>
    </row>
    <row r="20" spans="1:14" ht="18.75">
      <c r="A20" s="95">
        <f>Gen!B21</f>
        <v>44146</v>
      </c>
      <c r="B20" s="269"/>
      <c r="C20" s="269"/>
      <c r="D20" s="269"/>
      <c r="E20" s="269"/>
      <c r="F20" s="269"/>
      <c r="G20" s="269">
        <f t="shared" si="0"/>
        <v>0</v>
      </c>
      <c r="H20" s="112">
        <f>Gen!C21</f>
        <v>0</v>
      </c>
      <c r="I20" s="6" t="e">
        <f t="shared" si="2"/>
        <v>#DIV/0!</v>
      </c>
      <c r="J20" s="117" t="e">
        <f t="shared" si="1"/>
        <v>#DIV/0!</v>
      </c>
    </row>
    <row r="21" spans="1:14" ht="18.75">
      <c r="A21" s="95">
        <f>Gen!B22</f>
        <v>44147</v>
      </c>
      <c r="B21" s="269"/>
      <c r="C21" s="269"/>
      <c r="D21" s="269"/>
      <c r="E21" s="269"/>
      <c r="F21" s="269"/>
      <c r="G21" s="269">
        <f t="shared" si="0"/>
        <v>0</v>
      </c>
      <c r="H21" s="112">
        <f>Gen!C22</f>
        <v>0</v>
      </c>
      <c r="I21" s="6" t="e">
        <f t="shared" si="2"/>
        <v>#DIV/0!</v>
      </c>
      <c r="J21" s="117" t="e">
        <f t="shared" si="1"/>
        <v>#DIV/0!</v>
      </c>
    </row>
    <row r="22" spans="1:14" ht="18.75">
      <c r="A22" s="95">
        <f>Gen!B23</f>
        <v>44148</v>
      </c>
      <c r="B22" s="269"/>
      <c r="C22" s="269"/>
      <c r="D22" s="269"/>
      <c r="E22" s="269"/>
      <c r="F22" s="269"/>
      <c r="G22" s="269">
        <f t="shared" si="0"/>
        <v>0</v>
      </c>
      <c r="H22" s="112">
        <f>Gen!C23</f>
        <v>0</v>
      </c>
      <c r="I22" s="6" t="e">
        <f t="shared" si="2"/>
        <v>#DIV/0!</v>
      </c>
      <c r="J22" s="117" t="e">
        <f t="shared" si="1"/>
        <v>#DIV/0!</v>
      </c>
    </row>
    <row r="23" spans="1:14" ht="18.75">
      <c r="A23" s="95">
        <f>Gen!B24</f>
        <v>44149</v>
      </c>
      <c r="B23" s="269"/>
      <c r="C23" s="269"/>
      <c r="D23" s="269"/>
      <c r="E23" s="269"/>
      <c r="F23" s="269"/>
      <c r="G23" s="269">
        <f t="shared" si="0"/>
        <v>0</v>
      </c>
      <c r="H23" s="112">
        <f>Gen!C24</f>
        <v>0</v>
      </c>
      <c r="I23" s="6" t="e">
        <f t="shared" si="2"/>
        <v>#DIV/0!</v>
      </c>
      <c r="J23" s="117" t="e">
        <f t="shared" si="1"/>
        <v>#DIV/0!</v>
      </c>
    </row>
    <row r="24" spans="1:14" ht="18.75">
      <c r="A24" s="95">
        <f>Gen!B25</f>
        <v>44150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44151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44152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44153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44154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44155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44156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44157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44158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44159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44160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44161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44162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44163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44164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44165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44166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0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896" t="s">
        <v>6</v>
      </c>
      <c r="D42" s="896"/>
      <c r="E42" s="2">
        <f t="shared" ref="E42:F42" si="4">SUM(E10:E40)</f>
        <v>85</v>
      </c>
      <c r="F42" s="2">
        <f t="shared" si="4"/>
        <v>292014.89</v>
      </c>
      <c r="G42" s="102">
        <f>SUM(G10:G40)</f>
        <v>-321133.77999999997</v>
      </c>
      <c r="H42" s="7"/>
      <c r="I42" s="6"/>
      <c r="J42" s="117"/>
    </row>
    <row r="45" spans="1:10">
      <c r="F45">
        <f>E12-E11</f>
        <v>-85</v>
      </c>
      <c r="G45" s="15">
        <f>F45*4.4</f>
        <v>-374.00000000000006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44136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44137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44138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44139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44140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44141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44142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44143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44144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44145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44146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44147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44148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44149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44150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44151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44152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44153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44154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44155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44156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44157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44158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44159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44160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44161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44162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44163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44164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44165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44166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D1" activePane="topRight" state="frozen"/>
      <selection pane="topRight" activeCell="I52" sqref="I5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30"/>
      <c r="B2" s="30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53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30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5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4" t="s">
        <v>186</v>
      </c>
      <c r="AC4" s="625" t="s">
        <v>187</v>
      </c>
      <c r="AD4" s="626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243230</v>
      </c>
      <c r="E5" s="59">
        <f t="shared" ref="E5:E15" si="1">IF((D5-D4)&lt;0,"0",(D5-D4))</f>
        <v>243230</v>
      </c>
      <c r="F5" s="96">
        <f t="shared" ref="F5:F37" si="2">G4</f>
        <v>0</v>
      </c>
      <c r="G5" s="394">
        <v>38000</v>
      </c>
      <c r="H5" s="483">
        <v>0</v>
      </c>
      <c r="I5" s="96">
        <f t="shared" ref="I5:I24" si="3">J4</f>
        <v>0</v>
      </c>
      <c r="J5" s="1">
        <v>8086</v>
      </c>
      <c r="K5" s="483">
        <f t="shared" ref="K5:K6" si="4">J5-J4</f>
        <v>8086</v>
      </c>
      <c r="L5" s="96">
        <f t="shared" ref="L5:L24" si="5">M4</f>
        <v>0</v>
      </c>
      <c r="M5" s="1">
        <v>12907</v>
      </c>
      <c r="N5" s="483">
        <v>0</v>
      </c>
      <c r="O5" s="96">
        <f t="shared" ref="O5:O25" si="6">P4</f>
        <v>0</v>
      </c>
      <c r="P5" s="390">
        <v>20401</v>
      </c>
      <c r="Q5" s="483">
        <f t="shared" ref="Q5:Q27" si="7">IF((P5-P4)&lt;0,"0",(P5-P4))</f>
        <v>20401</v>
      </c>
      <c r="R5" s="247"/>
      <c r="S5" s="246"/>
      <c r="T5" s="391">
        <v>60573</v>
      </c>
      <c r="U5" s="246"/>
      <c r="V5" s="246" t="str">
        <f t="shared" ref="V5:V20" si="8">W4</f>
        <v>FINAL</v>
      </c>
      <c r="W5" s="391">
        <v>73031</v>
      </c>
      <c r="X5" s="247">
        <v>0</v>
      </c>
      <c r="Y5" s="246" t="str">
        <f t="shared" ref="Y5:Y37" si="9">Z4</f>
        <v>FINAL</v>
      </c>
      <c r="Z5" s="391">
        <v>85188</v>
      </c>
      <c r="AA5" s="247">
        <v>0</v>
      </c>
      <c r="AB5" s="627" t="str">
        <f>AC4</f>
        <v>FINAL</v>
      </c>
      <c r="AC5" s="631">
        <v>16234</v>
      </c>
      <c r="AD5" s="629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26621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44136</v>
      </c>
      <c r="B6" s="4"/>
      <c r="C6" s="96">
        <f t="shared" si="0"/>
        <v>243230</v>
      </c>
      <c r="D6" s="1">
        <v>243284</v>
      </c>
      <c r="E6" s="59">
        <f t="shared" si="1"/>
        <v>54</v>
      </c>
      <c r="F6" s="96">
        <f t="shared" si="2"/>
        <v>38000</v>
      </c>
      <c r="G6" s="394">
        <v>38000</v>
      </c>
      <c r="H6" s="483">
        <f t="shared" ref="H6:H24" si="13">IF((G6-G5)&lt;0,"0",(G6-G5))</f>
        <v>0</v>
      </c>
      <c r="I6" s="96">
        <f t="shared" si="3"/>
        <v>8086</v>
      </c>
      <c r="J6" s="1">
        <v>8086</v>
      </c>
      <c r="K6" s="483">
        <f t="shared" si="4"/>
        <v>0</v>
      </c>
      <c r="L6" s="96">
        <f t="shared" si="5"/>
        <v>12907</v>
      </c>
      <c r="M6" s="1">
        <v>12907</v>
      </c>
      <c r="N6" s="483">
        <f t="shared" ref="N6:N24" si="14">IF((M6-M5)&lt;0,"0",(M6-M5))</f>
        <v>0</v>
      </c>
      <c r="O6" s="96">
        <f t="shared" si="6"/>
        <v>20401</v>
      </c>
      <c r="P6" s="390">
        <v>20406</v>
      </c>
      <c r="Q6" s="483">
        <f t="shared" si="7"/>
        <v>5</v>
      </c>
      <c r="R6" s="251"/>
      <c r="S6" s="246">
        <f t="shared" ref="S6:S24" si="15">T5</f>
        <v>60573</v>
      </c>
      <c r="T6" s="391">
        <v>60573</v>
      </c>
      <c r="U6" s="484">
        <f t="shared" ref="U6:U24" si="16">IF((T6-T5)&lt;0,"0",(T6-T5))</f>
        <v>0</v>
      </c>
      <c r="V6" s="246">
        <f t="shared" si="8"/>
        <v>73031</v>
      </c>
      <c r="W6" s="391">
        <v>73031</v>
      </c>
      <c r="X6" s="484">
        <f t="shared" ref="X6:X37" si="17">IF((W6-W5)&lt;0,"0",(W6-W5))</f>
        <v>0</v>
      </c>
      <c r="Y6" s="246">
        <f t="shared" si="9"/>
        <v>85188</v>
      </c>
      <c r="Z6" s="391">
        <v>85189</v>
      </c>
      <c r="AA6" s="484">
        <f t="shared" ref="AA6:AA37" si="18">IF((Z6-Z5)&lt;0,"0",(Z6-Z5))</f>
        <v>1</v>
      </c>
      <c r="AB6" s="627">
        <f>AC5</f>
        <v>16234</v>
      </c>
      <c r="AC6" s="638">
        <v>16253</v>
      </c>
      <c r="AD6" s="630">
        <f>IF((AC6-AC5)&lt;0,"0",(AC6-AC5))</f>
        <v>19</v>
      </c>
      <c r="AE6" s="246">
        <f t="shared" si="10"/>
        <v>18300</v>
      </c>
      <c r="AF6" s="392">
        <v>18300</v>
      </c>
      <c r="AG6" s="484">
        <f t="shared" ref="AG6:AG37" si="19">IF((AF6-AF5)&lt;0,"0",(AF6-AF5))</f>
        <v>0</v>
      </c>
      <c r="AH6" s="246">
        <f t="shared" si="11"/>
        <v>26621</v>
      </c>
      <c r="AI6" s="392">
        <v>26643</v>
      </c>
      <c r="AJ6" s="484">
        <f t="shared" ref="AJ6:AJ37" si="20">IF((AI6-AI5)&lt;0,"0",(AI6-AI5))</f>
        <v>22</v>
      </c>
      <c r="AK6" s="318">
        <f t="shared" si="12"/>
        <v>0</v>
      </c>
      <c r="AL6" s="391"/>
      <c r="AM6" s="484">
        <f t="shared" ref="AM6:AM37" si="21">IF((AL6-AL5)&lt;0,"0",(AL6-AL5))</f>
        <v>0</v>
      </c>
      <c r="AN6" s="396">
        <f>U6+X6+AA6+AD6+AG6+AJ6+AM6</f>
        <v>42</v>
      </c>
    </row>
    <row r="7" spans="1:40" ht="23.1" customHeight="1">
      <c r="A7" s="58">
        <f>Gen!B12</f>
        <v>44137</v>
      </c>
      <c r="B7" s="4"/>
      <c r="C7" s="96">
        <f t="shared" si="0"/>
        <v>243284</v>
      </c>
      <c r="D7" s="1">
        <v>243332</v>
      </c>
      <c r="E7" s="59">
        <f t="shared" si="1"/>
        <v>48</v>
      </c>
      <c r="F7" s="96">
        <f t="shared" si="2"/>
        <v>38000</v>
      </c>
      <c r="G7" s="394">
        <v>38000</v>
      </c>
      <c r="H7" s="483">
        <f t="shared" si="13"/>
        <v>0</v>
      </c>
      <c r="I7" s="96">
        <f t="shared" si="3"/>
        <v>8086</v>
      </c>
      <c r="J7" s="1">
        <v>8087</v>
      </c>
      <c r="K7" s="483">
        <f>J7-J6</f>
        <v>1</v>
      </c>
      <c r="L7" s="96">
        <f t="shared" si="5"/>
        <v>12907</v>
      </c>
      <c r="M7" s="1">
        <v>12907</v>
      </c>
      <c r="N7" s="483">
        <f t="shared" si="14"/>
        <v>0</v>
      </c>
      <c r="O7" s="96">
        <f t="shared" si="6"/>
        <v>20406</v>
      </c>
      <c r="P7" s="390">
        <v>20409</v>
      </c>
      <c r="Q7" s="483">
        <f t="shared" si="7"/>
        <v>3</v>
      </c>
      <c r="R7" s="251"/>
      <c r="S7" s="246">
        <f t="shared" si="15"/>
        <v>60573</v>
      </c>
      <c r="T7" s="391">
        <v>60634</v>
      </c>
      <c r="U7" s="484">
        <f t="shared" si="16"/>
        <v>61</v>
      </c>
      <c r="V7" s="246">
        <f t="shared" si="8"/>
        <v>73031</v>
      </c>
      <c r="W7" s="391">
        <v>73031</v>
      </c>
      <c r="X7" s="484">
        <f t="shared" si="17"/>
        <v>0</v>
      </c>
      <c r="Y7" s="246">
        <f t="shared" si="9"/>
        <v>85189</v>
      </c>
      <c r="Z7" s="391">
        <v>85189</v>
      </c>
      <c r="AA7" s="484">
        <f t="shared" si="18"/>
        <v>0</v>
      </c>
      <c r="AB7" s="627">
        <f t="shared" ref="AB7:AB37" si="22">AC6</f>
        <v>16253</v>
      </c>
      <c r="AC7" s="628">
        <v>16272</v>
      </c>
      <c r="AD7" s="630">
        <f t="shared" ref="AD7:AD37" si="23">IF((AC7-AC6)&lt;0,"0",(AC7-AC6))</f>
        <v>19</v>
      </c>
      <c r="AE7" s="246">
        <f t="shared" si="10"/>
        <v>18300</v>
      </c>
      <c r="AF7" s="392">
        <v>18300</v>
      </c>
      <c r="AG7" s="484">
        <f t="shared" si="19"/>
        <v>0</v>
      </c>
      <c r="AH7" s="246">
        <f t="shared" si="11"/>
        <v>26643</v>
      </c>
      <c r="AI7" s="392">
        <v>26666</v>
      </c>
      <c r="AJ7" s="484">
        <f t="shared" si="20"/>
        <v>23</v>
      </c>
      <c r="AK7" s="318">
        <f t="shared" si="12"/>
        <v>0</v>
      </c>
      <c r="AL7" s="391"/>
      <c r="AM7" s="484">
        <f t="shared" si="21"/>
        <v>0</v>
      </c>
      <c r="AN7" s="396">
        <f t="shared" ref="AN7:AN36" si="24">U7+X7+AA7+AD7+AG7+AJ7+AM7</f>
        <v>103</v>
      </c>
    </row>
    <row r="8" spans="1:40" ht="23.1" customHeight="1">
      <c r="A8" s="58">
        <f>Gen!B13</f>
        <v>44138</v>
      </c>
      <c r="B8" s="4"/>
      <c r="C8" s="96">
        <f t="shared" si="0"/>
        <v>243332</v>
      </c>
      <c r="D8" s="1">
        <v>243413</v>
      </c>
      <c r="E8" s="59">
        <f t="shared" si="1"/>
        <v>81</v>
      </c>
      <c r="F8" s="96">
        <f t="shared" si="2"/>
        <v>38000</v>
      </c>
      <c r="G8" s="394">
        <v>38000</v>
      </c>
      <c r="H8" s="483">
        <f t="shared" si="13"/>
        <v>0</v>
      </c>
      <c r="I8" s="96">
        <f t="shared" si="3"/>
        <v>8087</v>
      </c>
      <c r="J8" s="1">
        <v>8089</v>
      </c>
      <c r="K8" s="483">
        <f>J8-J7</f>
        <v>2</v>
      </c>
      <c r="L8" s="96">
        <f t="shared" si="5"/>
        <v>12907</v>
      </c>
      <c r="M8" s="1">
        <v>12907</v>
      </c>
      <c r="N8" s="483">
        <f t="shared" si="14"/>
        <v>0</v>
      </c>
      <c r="O8" s="96">
        <f t="shared" si="6"/>
        <v>20409</v>
      </c>
      <c r="P8" s="390">
        <v>20420</v>
      </c>
      <c r="Q8" s="483">
        <f t="shared" si="7"/>
        <v>11</v>
      </c>
      <c r="R8" s="251"/>
      <c r="S8" s="246">
        <f t="shared" si="15"/>
        <v>60634</v>
      </c>
      <c r="T8" s="391">
        <v>60719</v>
      </c>
      <c r="U8" s="484">
        <f t="shared" si="16"/>
        <v>85</v>
      </c>
      <c r="V8" s="246">
        <f t="shared" si="8"/>
        <v>73031</v>
      </c>
      <c r="W8" s="391">
        <v>73031</v>
      </c>
      <c r="X8" s="484">
        <f t="shared" si="17"/>
        <v>0</v>
      </c>
      <c r="Y8" s="246">
        <f t="shared" si="9"/>
        <v>85189</v>
      </c>
      <c r="Z8" s="391">
        <v>85220</v>
      </c>
      <c r="AA8" s="484">
        <f t="shared" si="18"/>
        <v>31</v>
      </c>
      <c r="AB8" s="627">
        <f t="shared" si="22"/>
        <v>16272</v>
      </c>
      <c r="AC8" s="628">
        <v>16290</v>
      </c>
      <c r="AD8" s="630">
        <f t="shared" si="23"/>
        <v>18</v>
      </c>
      <c r="AE8" s="246">
        <f t="shared" si="10"/>
        <v>18300</v>
      </c>
      <c r="AF8" s="392">
        <v>18300</v>
      </c>
      <c r="AG8" s="484">
        <f t="shared" si="19"/>
        <v>0</v>
      </c>
      <c r="AH8" s="246">
        <f t="shared" si="11"/>
        <v>26666</v>
      </c>
      <c r="AI8" s="392">
        <v>26687</v>
      </c>
      <c r="AJ8" s="484">
        <f t="shared" si="20"/>
        <v>21</v>
      </c>
      <c r="AK8" s="318">
        <f t="shared" si="12"/>
        <v>0</v>
      </c>
      <c r="AL8" s="391"/>
      <c r="AM8" s="484">
        <f t="shared" si="21"/>
        <v>0</v>
      </c>
      <c r="AN8" s="396">
        <f t="shared" si="24"/>
        <v>155</v>
      </c>
    </row>
    <row r="9" spans="1:40" ht="23.1" customHeight="1">
      <c r="A9" s="58">
        <f>Gen!B14</f>
        <v>44139</v>
      </c>
      <c r="B9" s="4"/>
      <c r="C9" s="96">
        <f t="shared" si="0"/>
        <v>243413</v>
      </c>
      <c r="D9" s="1">
        <v>243463</v>
      </c>
      <c r="E9" s="59">
        <f t="shared" si="1"/>
        <v>50</v>
      </c>
      <c r="F9" s="96">
        <f t="shared" si="2"/>
        <v>38000</v>
      </c>
      <c r="G9" s="394">
        <v>38000</v>
      </c>
      <c r="H9" s="483">
        <f t="shared" si="13"/>
        <v>0</v>
      </c>
      <c r="I9" s="96">
        <f t="shared" si="3"/>
        <v>8089</v>
      </c>
      <c r="J9" s="1">
        <v>8090</v>
      </c>
      <c r="K9" s="483">
        <f>J9-J8</f>
        <v>1</v>
      </c>
      <c r="L9" s="96">
        <f t="shared" si="5"/>
        <v>12907</v>
      </c>
      <c r="M9" s="1">
        <v>12907</v>
      </c>
      <c r="N9" s="483">
        <f t="shared" si="14"/>
        <v>0</v>
      </c>
      <c r="O9" s="96">
        <f t="shared" si="6"/>
        <v>20420</v>
      </c>
      <c r="P9" s="390">
        <v>20429</v>
      </c>
      <c r="Q9" s="483">
        <f t="shared" si="7"/>
        <v>9</v>
      </c>
      <c r="R9" s="251"/>
      <c r="S9" s="246">
        <f t="shared" si="15"/>
        <v>60719</v>
      </c>
      <c r="T9" s="391">
        <v>60800</v>
      </c>
      <c r="U9" s="484">
        <f t="shared" si="16"/>
        <v>81</v>
      </c>
      <c r="V9" s="246">
        <f t="shared" si="8"/>
        <v>73031</v>
      </c>
      <c r="W9" s="391">
        <v>73031</v>
      </c>
      <c r="X9" s="484">
        <f t="shared" si="17"/>
        <v>0</v>
      </c>
      <c r="Y9" s="246">
        <f t="shared" si="9"/>
        <v>85220</v>
      </c>
      <c r="Z9" s="391">
        <v>85268</v>
      </c>
      <c r="AA9" s="484">
        <f t="shared" si="18"/>
        <v>48</v>
      </c>
      <c r="AB9" s="627">
        <f t="shared" si="22"/>
        <v>16290</v>
      </c>
      <c r="AC9" s="628">
        <v>16308</v>
      </c>
      <c r="AD9" s="630">
        <f t="shared" si="23"/>
        <v>18</v>
      </c>
      <c r="AE9" s="246">
        <f t="shared" si="10"/>
        <v>18300</v>
      </c>
      <c r="AF9" s="392">
        <v>18300</v>
      </c>
      <c r="AG9" s="484">
        <f t="shared" si="19"/>
        <v>0</v>
      </c>
      <c r="AH9" s="246">
        <f t="shared" ref="AH9" si="25">AI9</f>
        <v>26709</v>
      </c>
      <c r="AI9" s="392">
        <v>26709</v>
      </c>
      <c r="AJ9" s="484">
        <f t="shared" si="20"/>
        <v>22</v>
      </c>
      <c r="AK9" s="318">
        <f t="shared" si="12"/>
        <v>0</v>
      </c>
      <c r="AL9" s="391"/>
      <c r="AM9" s="484">
        <f t="shared" si="21"/>
        <v>0</v>
      </c>
      <c r="AN9" s="396">
        <f t="shared" si="24"/>
        <v>169</v>
      </c>
    </row>
    <row r="10" spans="1:40" ht="23.1" customHeight="1">
      <c r="A10" s="58">
        <f>Gen!B15</f>
        <v>44140</v>
      </c>
      <c r="B10" s="4"/>
      <c r="C10" s="96">
        <f t="shared" si="0"/>
        <v>243463</v>
      </c>
      <c r="D10" s="1"/>
      <c r="E10" s="59" t="str">
        <f t="shared" si="1"/>
        <v>0</v>
      </c>
      <c r="F10" s="96">
        <f t="shared" si="2"/>
        <v>38000</v>
      </c>
      <c r="G10" s="394"/>
      <c r="H10" s="483" t="str">
        <f t="shared" si="13"/>
        <v>0</v>
      </c>
      <c r="I10" s="96">
        <f t="shared" si="3"/>
        <v>8090</v>
      </c>
      <c r="J10" s="1"/>
      <c r="K10" s="483" t="str">
        <f t="shared" ref="K10:K27" si="26">IF((J10-J9)&lt;0,"0",(J10-J9))</f>
        <v>0</v>
      </c>
      <c r="L10" s="96">
        <f t="shared" si="5"/>
        <v>12907</v>
      </c>
      <c r="M10" s="1"/>
      <c r="N10" s="483" t="str">
        <f t="shared" si="14"/>
        <v>0</v>
      </c>
      <c r="O10" s="96">
        <f t="shared" si="6"/>
        <v>20429</v>
      </c>
      <c r="P10" s="390"/>
      <c r="Q10" s="483" t="str">
        <f t="shared" si="7"/>
        <v>0</v>
      </c>
      <c r="R10" s="251"/>
      <c r="S10" s="246">
        <f t="shared" si="15"/>
        <v>60800</v>
      </c>
      <c r="T10" s="391"/>
      <c r="U10" s="484" t="str">
        <f t="shared" si="16"/>
        <v>0</v>
      </c>
      <c r="V10" s="246">
        <f t="shared" si="8"/>
        <v>73031</v>
      </c>
      <c r="W10" s="391"/>
      <c r="X10" s="484" t="str">
        <f t="shared" si="17"/>
        <v>0</v>
      </c>
      <c r="Y10" s="246">
        <f t="shared" si="9"/>
        <v>85268</v>
      </c>
      <c r="Z10" s="391"/>
      <c r="AA10" s="484" t="str">
        <f t="shared" si="18"/>
        <v>0</v>
      </c>
      <c r="AB10" s="627">
        <f t="shared" si="22"/>
        <v>16308</v>
      </c>
      <c r="AC10" s="628"/>
      <c r="AD10" s="630" t="str">
        <f t="shared" si="23"/>
        <v>0</v>
      </c>
      <c r="AE10" s="246">
        <f t="shared" si="10"/>
        <v>18300</v>
      </c>
      <c r="AF10" s="392"/>
      <c r="AG10" s="484" t="str">
        <f t="shared" si="19"/>
        <v>0</v>
      </c>
      <c r="AH10" s="246">
        <f t="shared" si="11"/>
        <v>26709</v>
      </c>
      <c r="AI10" s="392"/>
      <c r="AJ10" s="484" t="str">
        <f t="shared" si="20"/>
        <v>0</v>
      </c>
      <c r="AK10" s="318">
        <f t="shared" si="12"/>
        <v>0</v>
      </c>
      <c r="AL10" s="391"/>
      <c r="AM10" s="484">
        <f t="shared" si="21"/>
        <v>0</v>
      </c>
      <c r="AN10" s="396">
        <f t="shared" si="24"/>
        <v>0</v>
      </c>
    </row>
    <row r="11" spans="1:40" ht="23.1" customHeight="1">
      <c r="A11" s="58">
        <f>Gen!B16</f>
        <v>44141</v>
      </c>
      <c r="B11" s="4"/>
      <c r="C11" s="96">
        <f t="shared" si="0"/>
        <v>0</v>
      </c>
      <c r="D11" s="1"/>
      <c r="E11" s="59">
        <f t="shared" si="1"/>
        <v>0</v>
      </c>
      <c r="F11" s="96">
        <f t="shared" si="2"/>
        <v>0</v>
      </c>
      <c r="G11" s="394"/>
      <c r="H11" s="483">
        <f t="shared" si="13"/>
        <v>0</v>
      </c>
      <c r="I11" s="96">
        <f t="shared" si="3"/>
        <v>0</v>
      </c>
      <c r="J11" s="1"/>
      <c r="K11" s="483">
        <f t="shared" si="26"/>
        <v>0</v>
      </c>
      <c r="L11" s="96">
        <f t="shared" si="5"/>
        <v>0</v>
      </c>
      <c r="M11" s="1"/>
      <c r="N11" s="483">
        <f t="shared" si="14"/>
        <v>0</v>
      </c>
      <c r="O11" s="96">
        <f t="shared" si="6"/>
        <v>0</v>
      </c>
      <c r="P11" s="390"/>
      <c r="Q11" s="483">
        <f t="shared" si="7"/>
        <v>0</v>
      </c>
      <c r="R11" s="251"/>
      <c r="S11" s="246">
        <f t="shared" si="15"/>
        <v>0</v>
      </c>
      <c r="T11" s="391"/>
      <c r="U11" s="484">
        <f t="shared" si="16"/>
        <v>0</v>
      </c>
      <c r="V11" s="246">
        <f t="shared" si="8"/>
        <v>0</v>
      </c>
      <c r="W11" s="391"/>
      <c r="X11" s="484">
        <f t="shared" si="17"/>
        <v>0</v>
      </c>
      <c r="Y11" s="246">
        <f t="shared" si="9"/>
        <v>0</v>
      </c>
      <c r="Z11" s="391"/>
      <c r="AA11" s="484">
        <f t="shared" si="18"/>
        <v>0</v>
      </c>
      <c r="AB11" s="627">
        <f t="shared" si="22"/>
        <v>0</v>
      </c>
      <c r="AC11" s="628"/>
      <c r="AD11" s="630">
        <f t="shared" si="23"/>
        <v>0</v>
      </c>
      <c r="AE11" s="246">
        <f>AF11</f>
        <v>0</v>
      </c>
      <c r="AF11" s="392"/>
      <c r="AG11" s="484">
        <f t="shared" si="19"/>
        <v>0</v>
      </c>
      <c r="AH11" s="246">
        <f t="shared" si="11"/>
        <v>0</v>
      </c>
      <c r="AI11" s="392"/>
      <c r="AJ11" s="484">
        <f t="shared" si="20"/>
        <v>0</v>
      </c>
      <c r="AK11" s="318">
        <f t="shared" si="12"/>
        <v>0</v>
      </c>
      <c r="AL11" s="391"/>
      <c r="AM11" s="484">
        <f t="shared" si="21"/>
        <v>0</v>
      </c>
      <c r="AN11" s="396">
        <f t="shared" si="24"/>
        <v>0</v>
      </c>
    </row>
    <row r="12" spans="1:40" ht="23.1" customHeight="1">
      <c r="A12" s="58">
        <f>Gen!B17</f>
        <v>44142</v>
      </c>
      <c r="B12" s="4"/>
      <c r="C12" s="96">
        <f t="shared" si="0"/>
        <v>0</v>
      </c>
      <c r="D12" s="1"/>
      <c r="E12" s="59">
        <f t="shared" si="1"/>
        <v>0</v>
      </c>
      <c r="F12" s="96">
        <f t="shared" si="2"/>
        <v>0</v>
      </c>
      <c r="G12" s="394"/>
      <c r="H12" s="483">
        <f t="shared" si="13"/>
        <v>0</v>
      </c>
      <c r="I12" s="96">
        <f t="shared" si="3"/>
        <v>0</v>
      </c>
      <c r="J12" s="1"/>
      <c r="K12" s="483">
        <f t="shared" si="26"/>
        <v>0</v>
      </c>
      <c r="L12" s="96">
        <f t="shared" si="5"/>
        <v>0</v>
      </c>
      <c r="M12" s="1"/>
      <c r="N12" s="483">
        <f t="shared" si="14"/>
        <v>0</v>
      </c>
      <c r="O12" s="96">
        <f t="shared" si="6"/>
        <v>0</v>
      </c>
      <c r="P12" s="390"/>
      <c r="Q12" s="483">
        <f t="shared" si="7"/>
        <v>0</v>
      </c>
      <c r="R12" s="251"/>
      <c r="S12" s="246">
        <f t="shared" si="15"/>
        <v>0</v>
      </c>
      <c r="T12" s="391"/>
      <c r="U12" s="484">
        <f t="shared" si="16"/>
        <v>0</v>
      </c>
      <c r="V12" s="246">
        <f t="shared" si="8"/>
        <v>0</v>
      </c>
      <c r="W12" s="391"/>
      <c r="X12" s="484">
        <f t="shared" si="17"/>
        <v>0</v>
      </c>
      <c r="Y12" s="246">
        <f t="shared" si="9"/>
        <v>0</v>
      </c>
      <c r="Z12" s="391"/>
      <c r="AA12" s="484">
        <f t="shared" si="18"/>
        <v>0</v>
      </c>
      <c r="AB12" s="627">
        <f t="shared" si="22"/>
        <v>0</v>
      </c>
      <c r="AC12" s="628"/>
      <c r="AD12" s="630">
        <f t="shared" si="23"/>
        <v>0</v>
      </c>
      <c r="AE12" s="246">
        <f t="shared" ref="AE12:AE20" si="27">AF12</f>
        <v>0</v>
      </c>
      <c r="AF12" s="392"/>
      <c r="AG12" s="484">
        <f t="shared" si="19"/>
        <v>0</v>
      </c>
      <c r="AH12" s="246">
        <f t="shared" si="11"/>
        <v>0</v>
      </c>
      <c r="AI12" s="392"/>
      <c r="AJ12" s="484">
        <f t="shared" si="20"/>
        <v>0</v>
      </c>
      <c r="AK12" s="318">
        <f t="shared" si="12"/>
        <v>0</v>
      </c>
      <c r="AL12" s="391"/>
      <c r="AM12" s="484">
        <f t="shared" si="21"/>
        <v>0</v>
      </c>
      <c r="AN12" s="396">
        <f t="shared" si="24"/>
        <v>0</v>
      </c>
    </row>
    <row r="13" spans="1:40" ht="23.1" customHeight="1">
      <c r="A13" s="58">
        <f>Gen!B18</f>
        <v>44143</v>
      </c>
      <c r="B13" s="4"/>
      <c r="C13" s="96">
        <f t="shared" si="0"/>
        <v>0</v>
      </c>
      <c r="D13" s="1"/>
      <c r="E13" s="59">
        <f t="shared" si="1"/>
        <v>0</v>
      </c>
      <c r="F13" s="96">
        <f t="shared" si="2"/>
        <v>0</v>
      </c>
      <c r="G13" s="394"/>
      <c r="H13" s="483">
        <f t="shared" si="13"/>
        <v>0</v>
      </c>
      <c r="I13" s="96">
        <f t="shared" si="3"/>
        <v>0</v>
      </c>
      <c r="J13" s="1"/>
      <c r="K13" s="483">
        <f t="shared" si="26"/>
        <v>0</v>
      </c>
      <c r="L13" s="96">
        <f t="shared" si="5"/>
        <v>0</v>
      </c>
      <c r="M13" s="1"/>
      <c r="N13" s="483">
        <f t="shared" si="14"/>
        <v>0</v>
      </c>
      <c r="O13" s="96">
        <f t="shared" si="6"/>
        <v>0</v>
      </c>
      <c r="P13" s="390"/>
      <c r="Q13" s="483">
        <f t="shared" si="7"/>
        <v>0</v>
      </c>
      <c r="R13" s="251"/>
      <c r="S13" s="246">
        <f t="shared" si="15"/>
        <v>0</v>
      </c>
      <c r="T13" s="391"/>
      <c r="U13" s="484">
        <f t="shared" si="16"/>
        <v>0</v>
      </c>
      <c r="V13" s="246">
        <f t="shared" si="8"/>
        <v>0</v>
      </c>
      <c r="W13" s="391"/>
      <c r="X13" s="484">
        <f t="shared" si="17"/>
        <v>0</v>
      </c>
      <c r="Y13" s="246">
        <f t="shared" si="9"/>
        <v>0</v>
      </c>
      <c r="Z13" s="391"/>
      <c r="AA13" s="484">
        <f t="shared" si="18"/>
        <v>0</v>
      </c>
      <c r="AB13" s="627">
        <f t="shared" si="22"/>
        <v>0</v>
      </c>
      <c r="AC13" s="628"/>
      <c r="AD13" s="630">
        <f t="shared" si="23"/>
        <v>0</v>
      </c>
      <c r="AE13" s="246">
        <f t="shared" si="27"/>
        <v>0</v>
      </c>
      <c r="AF13" s="392"/>
      <c r="AG13" s="484">
        <f t="shared" si="19"/>
        <v>0</v>
      </c>
      <c r="AH13" s="246">
        <f t="shared" si="11"/>
        <v>0</v>
      </c>
      <c r="AI13" s="392"/>
      <c r="AJ13" s="484">
        <f t="shared" si="20"/>
        <v>0</v>
      </c>
      <c r="AK13" s="318">
        <f t="shared" si="12"/>
        <v>0</v>
      </c>
      <c r="AL13" s="391"/>
      <c r="AM13" s="484">
        <f t="shared" si="21"/>
        <v>0</v>
      </c>
      <c r="AN13" s="396">
        <f t="shared" si="24"/>
        <v>0</v>
      </c>
    </row>
    <row r="14" spans="1:40" ht="23.1" customHeight="1">
      <c r="A14" s="58">
        <f>Gen!B19</f>
        <v>44144</v>
      </c>
      <c r="B14" s="4"/>
      <c r="C14" s="96">
        <f t="shared" si="0"/>
        <v>0</v>
      </c>
      <c r="D14" s="1"/>
      <c r="E14" s="59">
        <f t="shared" si="1"/>
        <v>0</v>
      </c>
      <c r="F14" s="96">
        <f t="shared" si="2"/>
        <v>0</v>
      </c>
      <c r="G14" s="394"/>
      <c r="H14" s="483">
        <f t="shared" si="13"/>
        <v>0</v>
      </c>
      <c r="I14" s="96">
        <f t="shared" si="3"/>
        <v>0</v>
      </c>
      <c r="J14" s="1"/>
      <c r="K14" s="483">
        <f t="shared" si="26"/>
        <v>0</v>
      </c>
      <c r="L14" s="96">
        <f t="shared" si="5"/>
        <v>0</v>
      </c>
      <c r="M14" s="1"/>
      <c r="N14" s="483">
        <f t="shared" si="14"/>
        <v>0</v>
      </c>
      <c r="O14" s="96">
        <f t="shared" si="6"/>
        <v>0</v>
      </c>
      <c r="P14" s="390"/>
      <c r="Q14" s="483">
        <f t="shared" si="7"/>
        <v>0</v>
      </c>
      <c r="R14" s="251"/>
      <c r="S14" s="246">
        <f t="shared" si="15"/>
        <v>0</v>
      </c>
      <c r="T14" s="391"/>
      <c r="U14" s="484">
        <f t="shared" si="16"/>
        <v>0</v>
      </c>
      <c r="V14" s="246">
        <f t="shared" si="8"/>
        <v>0</v>
      </c>
      <c r="W14" s="391"/>
      <c r="X14" s="484">
        <f t="shared" si="17"/>
        <v>0</v>
      </c>
      <c r="Y14" s="246">
        <f t="shared" si="9"/>
        <v>0</v>
      </c>
      <c r="Z14" s="391"/>
      <c r="AA14" s="484">
        <f t="shared" si="18"/>
        <v>0</v>
      </c>
      <c r="AB14" s="627">
        <f t="shared" si="22"/>
        <v>0</v>
      </c>
      <c r="AC14" s="631"/>
      <c r="AD14" s="630">
        <f t="shared" si="23"/>
        <v>0</v>
      </c>
      <c r="AE14" s="246">
        <f t="shared" si="27"/>
        <v>0</v>
      </c>
      <c r="AF14" s="392"/>
      <c r="AG14" s="484">
        <f t="shared" si="19"/>
        <v>0</v>
      </c>
      <c r="AH14" s="246">
        <f t="shared" si="11"/>
        <v>0</v>
      </c>
      <c r="AI14" s="392"/>
      <c r="AJ14" s="484">
        <f t="shared" si="20"/>
        <v>0</v>
      </c>
      <c r="AK14" s="318">
        <f t="shared" si="12"/>
        <v>0</v>
      </c>
      <c r="AL14" s="391"/>
      <c r="AM14" s="484">
        <f t="shared" si="21"/>
        <v>0</v>
      </c>
      <c r="AN14" s="396">
        <f t="shared" si="24"/>
        <v>0</v>
      </c>
    </row>
    <row r="15" spans="1:40" ht="23.1" customHeight="1">
      <c r="A15" s="58">
        <f>Gen!B20</f>
        <v>44145</v>
      </c>
      <c r="B15" s="4"/>
      <c r="C15" s="96">
        <f t="shared" si="0"/>
        <v>0</v>
      </c>
      <c r="D15" s="1"/>
      <c r="E15" s="59">
        <f t="shared" si="1"/>
        <v>0</v>
      </c>
      <c r="F15" s="96">
        <f t="shared" si="2"/>
        <v>0</v>
      </c>
      <c r="G15" s="394"/>
      <c r="H15" s="483">
        <f t="shared" si="13"/>
        <v>0</v>
      </c>
      <c r="I15" s="96">
        <f t="shared" si="3"/>
        <v>0</v>
      </c>
      <c r="J15" s="1"/>
      <c r="K15" s="483">
        <f t="shared" si="26"/>
        <v>0</v>
      </c>
      <c r="L15" s="96">
        <f t="shared" si="5"/>
        <v>0</v>
      </c>
      <c r="M15" s="1"/>
      <c r="N15" s="483">
        <f t="shared" si="14"/>
        <v>0</v>
      </c>
      <c r="O15" s="96">
        <f t="shared" si="6"/>
        <v>0</v>
      </c>
      <c r="P15" s="390"/>
      <c r="Q15" s="483">
        <f t="shared" si="7"/>
        <v>0</v>
      </c>
      <c r="R15" s="251"/>
      <c r="S15" s="246">
        <f t="shared" si="15"/>
        <v>0</v>
      </c>
      <c r="T15" s="391"/>
      <c r="U15" s="484">
        <f t="shared" si="16"/>
        <v>0</v>
      </c>
      <c r="V15" s="246">
        <f t="shared" si="8"/>
        <v>0</v>
      </c>
      <c r="W15" s="391"/>
      <c r="X15" s="484">
        <f t="shared" si="17"/>
        <v>0</v>
      </c>
      <c r="Y15" s="246">
        <f t="shared" si="9"/>
        <v>0</v>
      </c>
      <c r="Z15" s="391"/>
      <c r="AA15" s="484">
        <f t="shared" si="18"/>
        <v>0</v>
      </c>
      <c r="AB15" s="627">
        <f t="shared" si="22"/>
        <v>0</v>
      </c>
      <c r="AC15" s="631"/>
      <c r="AD15" s="630">
        <f t="shared" si="23"/>
        <v>0</v>
      </c>
      <c r="AE15" s="246">
        <f t="shared" si="27"/>
        <v>0</v>
      </c>
      <c r="AF15" s="392"/>
      <c r="AG15" s="484">
        <f t="shared" si="19"/>
        <v>0</v>
      </c>
      <c r="AH15" s="246">
        <f t="shared" si="11"/>
        <v>0</v>
      </c>
      <c r="AI15" s="392"/>
      <c r="AJ15" s="484">
        <f t="shared" si="20"/>
        <v>0</v>
      </c>
      <c r="AK15" s="318">
        <f t="shared" si="12"/>
        <v>0</v>
      </c>
      <c r="AL15" s="391"/>
      <c r="AM15" s="484">
        <f t="shared" si="21"/>
        <v>0</v>
      </c>
      <c r="AN15" s="396">
        <f t="shared" si="24"/>
        <v>0</v>
      </c>
    </row>
    <row r="16" spans="1:40" ht="23.1" customHeight="1">
      <c r="A16" s="58">
        <f>Gen!B21</f>
        <v>44146</v>
      </c>
      <c r="B16" s="4"/>
      <c r="C16" s="96">
        <f t="shared" si="0"/>
        <v>0</v>
      </c>
      <c r="D16" s="1"/>
      <c r="E16" s="59">
        <f>IF((D16-D15)&lt;0,"0",(D16-D15))</f>
        <v>0</v>
      </c>
      <c r="F16" s="96">
        <f t="shared" si="2"/>
        <v>0</v>
      </c>
      <c r="G16" s="394"/>
      <c r="H16" s="483">
        <f t="shared" si="13"/>
        <v>0</v>
      </c>
      <c r="I16" s="96">
        <f t="shared" si="3"/>
        <v>0</v>
      </c>
      <c r="J16" s="1"/>
      <c r="K16" s="483">
        <f t="shared" si="26"/>
        <v>0</v>
      </c>
      <c r="L16" s="96">
        <f t="shared" si="5"/>
        <v>0</v>
      </c>
      <c r="M16" s="1"/>
      <c r="N16" s="483">
        <f t="shared" si="14"/>
        <v>0</v>
      </c>
      <c r="O16" s="96">
        <f t="shared" si="6"/>
        <v>0</v>
      </c>
      <c r="P16" s="390"/>
      <c r="Q16" s="483">
        <f t="shared" si="7"/>
        <v>0</v>
      </c>
      <c r="R16" s="251"/>
      <c r="S16" s="246">
        <f t="shared" si="15"/>
        <v>0</v>
      </c>
      <c r="T16" s="391"/>
      <c r="U16" s="484">
        <f t="shared" si="16"/>
        <v>0</v>
      </c>
      <c r="V16" s="246">
        <f t="shared" si="8"/>
        <v>0</v>
      </c>
      <c r="W16" s="391"/>
      <c r="X16" s="484">
        <f t="shared" si="17"/>
        <v>0</v>
      </c>
      <c r="Y16" s="246">
        <f t="shared" si="9"/>
        <v>0</v>
      </c>
      <c r="Z16" s="391"/>
      <c r="AA16" s="484">
        <f t="shared" si="18"/>
        <v>0</v>
      </c>
      <c r="AB16" s="627">
        <f t="shared" si="22"/>
        <v>0</v>
      </c>
      <c r="AC16" s="631"/>
      <c r="AD16" s="630">
        <f t="shared" si="23"/>
        <v>0</v>
      </c>
      <c r="AE16" s="246">
        <f t="shared" si="27"/>
        <v>0</v>
      </c>
      <c r="AF16" s="392"/>
      <c r="AG16" s="484">
        <f t="shared" si="19"/>
        <v>0</v>
      </c>
      <c r="AH16" s="246">
        <f t="shared" si="11"/>
        <v>0</v>
      </c>
      <c r="AI16" s="392"/>
      <c r="AJ16" s="484">
        <f t="shared" si="20"/>
        <v>0</v>
      </c>
      <c r="AK16" s="318">
        <f t="shared" si="12"/>
        <v>0</v>
      </c>
      <c r="AL16" s="391"/>
      <c r="AM16" s="484">
        <f t="shared" si="21"/>
        <v>0</v>
      </c>
      <c r="AN16" s="396">
        <f t="shared" si="24"/>
        <v>0</v>
      </c>
    </row>
    <row r="17" spans="1:40" ht="23.1" customHeight="1">
      <c r="A17" s="58">
        <f>Gen!B22</f>
        <v>44147</v>
      </c>
      <c r="B17" s="4"/>
      <c r="C17" s="96">
        <f t="shared" si="0"/>
        <v>0</v>
      </c>
      <c r="D17" s="1"/>
      <c r="E17" s="483">
        <f>IF((D17-D16)&lt;0,"0",(D17-D16))</f>
        <v>0</v>
      </c>
      <c r="F17" s="96">
        <f t="shared" si="2"/>
        <v>0</v>
      </c>
      <c r="G17" s="394"/>
      <c r="H17" s="483">
        <f t="shared" si="13"/>
        <v>0</v>
      </c>
      <c r="I17" s="96">
        <f t="shared" si="3"/>
        <v>0</v>
      </c>
      <c r="J17" s="1"/>
      <c r="K17" s="483">
        <f t="shared" si="26"/>
        <v>0</v>
      </c>
      <c r="L17" s="96">
        <f t="shared" si="5"/>
        <v>0</v>
      </c>
      <c r="M17" s="1"/>
      <c r="N17" s="483">
        <f t="shared" si="14"/>
        <v>0</v>
      </c>
      <c r="O17" s="96">
        <f t="shared" si="6"/>
        <v>0</v>
      </c>
      <c r="P17" s="390"/>
      <c r="Q17" s="483">
        <f t="shared" si="7"/>
        <v>0</v>
      </c>
      <c r="R17" s="251"/>
      <c r="S17" s="246">
        <f t="shared" si="15"/>
        <v>0</v>
      </c>
      <c r="T17" s="391"/>
      <c r="U17" s="484">
        <f t="shared" si="16"/>
        <v>0</v>
      </c>
      <c r="V17" s="246">
        <f t="shared" si="8"/>
        <v>0</v>
      </c>
      <c r="W17" s="391"/>
      <c r="X17" s="484">
        <f>IF((W17-W16)&lt;0,"0",(W17-W16))</f>
        <v>0</v>
      </c>
      <c r="Y17" s="246">
        <f t="shared" si="9"/>
        <v>0</v>
      </c>
      <c r="Z17" s="391"/>
      <c r="AA17" s="484">
        <f>IF((Z17-Z16)&lt;0,"0",(Z17-Z16))</f>
        <v>0</v>
      </c>
      <c r="AB17" s="627">
        <f t="shared" si="22"/>
        <v>0</v>
      </c>
      <c r="AC17" s="631"/>
      <c r="AD17" s="630">
        <f t="shared" si="23"/>
        <v>0</v>
      </c>
      <c r="AE17" s="246">
        <f t="shared" si="27"/>
        <v>0</v>
      </c>
      <c r="AF17" s="392"/>
      <c r="AG17" s="484">
        <f t="shared" si="19"/>
        <v>0</v>
      </c>
      <c r="AH17" s="246">
        <f t="shared" si="11"/>
        <v>0</v>
      </c>
      <c r="AI17" s="392"/>
      <c r="AJ17" s="484">
        <f t="shared" si="20"/>
        <v>0</v>
      </c>
      <c r="AK17" s="318">
        <f t="shared" si="12"/>
        <v>0</v>
      </c>
      <c r="AL17" s="391"/>
      <c r="AM17" s="484">
        <f>IF((AL17-AL16)&lt;0,"0",(AL17-AL16))</f>
        <v>0</v>
      </c>
      <c r="AN17" s="396">
        <f t="shared" si="24"/>
        <v>0</v>
      </c>
    </row>
    <row r="18" spans="1:40" ht="23.1" customHeight="1">
      <c r="A18" s="58">
        <f>Gen!B23</f>
        <v>44148</v>
      </c>
      <c r="B18" s="4"/>
      <c r="C18" s="96">
        <f t="shared" si="0"/>
        <v>0</v>
      </c>
      <c r="D18" s="1"/>
      <c r="E18" s="483">
        <f t="shared" ref="E18:E37" si="28">IF((D18-D17)&lt;0,"0",(D18-D17))</f>
        <v>0</v>
      </c>
      <c r="F18" s="96">
        <f t="shared" si="2"/>
        <v>0</v>
      </c>
      <c r="G18" s="394"/>
      <c r="H18" s="483">
        <f t="shared" si="13"/>
        <v>0</v>
      </c>
      <c r="I18" s="96"/>
      <c r="J18" s="1"/>
      <c r="K18" s="483">
        <f t="shared" si="26"/>
        <v>0</v>
      </c>
      <c r="L18" s="96">
        <f t="shared" si="5"/>
        <v>0</v>
      </c>
      <c r="M18" s="1"/>
      <c r="N18" s="483">
        <f t="shared" si="14"/>
        <v>0</v>
      </c>
      <c r="O18" s="96">
        <f t="shared" si="6"/>
        <v>0</v>
      </c>
      <c r="P18" s="390"/>
      <c r="Q18" s="483">
        <f t="shared" si="7"/>
        <v>0</v>
      </c>
      <c r="R18" s="251"/>
      <c r="S18" s="246">
        <f t="shared" si="15"/>
        <v>0</v>
      </c>
      <c r="T18" s="391"/>
      <c r="U18" s="484">
        <f t="shared" si="16"/>
        <v>0</v>
      </c>
      <c r="V18" s="246">
        <f t="shared" si="8"/>
        <v>0</v>
      </c>
      <c r="W18" s="391"/>
      <c r="X18" s="484">
        <f t="shared" si="17"/>
        <v>0</v>
      </c>
      <c r="Y18" s="246">
        <f t="shared" si="9"/>
        <v>0</v>
      </c>
      <c r="Z18" s="391"/>
      <c r="AA18" s="484">
        <f t="shared" si="18"/>
        <v>0</v>
      </c>
      <c r="AB18" s="627">
        <f t="shared" si="22"/>
        <v>0</v>
      </c>
      <c r="AC18" s="631"/>
      <c r="AD18" s="630">
        <f t="shared" si="23"/>
        <v>0</v>
      </c>
      <c r="AE18" s="246">
        <f t="shared" si="27"/>
        <v>0</v>
      </c>
      <c r="AF18" s="392"/>
      <c r="AG18" s="484">
        <f t="shared" si="19"/>
        <v>0</v>
      </c>
      <c r="AH18" s="246">
        <f>AI17</f>
        <v>0</v>
      </c>
      <c r="AI18" s="392"/>
      <c r="AJ18" s="484">
        <f t="shared" si="20"/>
        <v>0</v>
      </c>
      <c r="AK18" s="318">
        <f t="shared" si="12"/>
        <v>0</v>
      </c>
      <c r="AL18" s="391"/>
      <c r="AM18" s="484">
        <f t="shared" ref="AM18:AM26" si="29">IF((AL18-AL17)&lt;0,"0",(AL18-AL17))</f>
        <v>0</v>
      </c>
      <c r="AN18" s="396">
        <f t="shared" si="24"/>
        <v>0</v>
      </c>
    </row>
    <row r="19" spans="1:40" ht="23.1" customHeight="1">
      <c r="A19" s="58">
        <f>Gen!B24</f>
        <v>44149</v>
      </c>
      <c r="B19" s="4"/>
      <c r="C19" s="96">
        <f t="shared" si="0"/>
        <v>0</v>
      </c>
      <c r="D19" s="1"/>
      <c r="E19" s="483">
        <f t="shared" si="28"/>
        <v>0</v>
      </c>
      <c r="F19" s="96">
        <f t="shared" si="2"/>
        <v>0</v>
      </c>
      <c r="G19" s="394"/>
      <c r="H19" s="483">
        <f t="shared" si="13"/>
        <v>0</v>
      </c>
      <c r="I19" s="96">
        <f t="shared" si="3"/>
        <v>0</v>
      </c>
      <c r="J19" s="1"/>
      <c r="K19" s="483">
        <f t="shared" si="26"/>
        <v>0</v>
      </c>
      <c r="L19" s="96">
        <f t="shared" si="5"/>
        <v>0</v>
      </c>
      <c r="M19" s="1"/>
      <c r="N19" s="483">
        <f t="shared" si="14"/>
        <v>0</v>
      </c>
      <c r="O19" s="96">
        <f t="shared" si="6"/>
        <v>0</v>
      </c>
      <c r="P19" s="390"/>
      <c r="Q19" s="483">
        <f t="shared" si="7"/>
        <v>0</v>
      </c>
      <c r="R19" s="251"/>
      <c r="S19" s="246">
        <f t="shared" si="15"/>
        <v>0</v>
      </c>
      <c r="T19" s="391"/>
      <c r="U19" s="484">
        <f t="shared" si="16"/>
        <v>0</v>
      </c>
      <c r="V19" s="246">
        <f t="shared" si="8"/>
        <v>0</v>
      </c>
      <c r="W19" s="391"/>
      <c r="X19" s="484">
        <f t="shared" si="17"/>
        <v>0</v>
      </c>
      <c r="Y19" s="246">
        <f t="shared" si="9"/>
        <v>0</v>
      </c>
      <c r="Z19" s="391"/>
      <c r="AA19" s="484">
        <f t="shared" si="18"/>
        <v>0</v>
      </c>
      <c r="AB19" s="627">
        <f t="shared" si="22"/>
        <v>0</v>
      </c>
      <c r="AC19" s="631"/>
      <c r="AD19" s="630">
        <f t="shared" si="23"/>
        <v>0</v>
      </c>
      <c r="AE19" s="246">
        <f t="shared" si="27"/>
        <v>0</v>
      </c>
      <c r="AF19" s="392"/>
      <c r="AG19" s="484">
        <f t="shared" si="19"/>
        <v>0</v>
      </c>
      <c r="AH19" s="246">
        <f>AI18</f>
        <v>0</v>
      </c>
      <c r="AI19" s="392"/>
      <c r="AJ19" s="484">
        <f t="shared" si="20"/>
        <v>0</v>
      </c>
      <c r="AK19" s="318">
        <f t="shared" si="12"/>
        <v>0</v>
      </c>
      <c r="AL19" s="391"/>
      <c r="AM19" s="484">
        <f t="shared" si="29"/>
        <v>0</v>
      </c>
      <c r="AN19" s="396">
        <f t="shared" si="24"/>
        <v>0</v>
      </c>
    </row>
    <row r="20" spans="1:40" ht="23.1" customHeight="1">
      <c r="A20" s="58">
        <f>Gen!B25</f>
        <v>44150</v>
      </c>
      <c r="B20" s="4"/>
      <c r="C20" s="96">
        <f t="shared" si="0"/>
        <v>0</v>
      </c>
      <c r="D20" s="1"/>
      <c r="E20" s="483">
        <f t="shared" si="28"/>
        <v>0</v>
      </c>
      <c r="F20" s="96">
        <f t="shared" si="2"/>
        <v>0</v>
      </c>
      <c r="G20" s="394"/>
      <c r="H20" s="483">
        <f t="shared" si="13"/>
        <v>0</v>
      </c>
      <c r="I20" s="96">
        <f t="shared" si="3"/>
        <v>0</v>
      </c>
      <c r="J20" s="1"/>
      <c r="K20" s="483">
        <f t="shared" si="26"/>
        <v>0</v>
      </c>
      <c r="L20" s="96">
        <f t="shared" si="5"/>
        <v>0</v>
      </c>
      <c r="M20" s="1"/>
      <c r="N20" s="483">
        <f t="shared" si="14"/>
        <v>0</v>
      </c>
      <c r="O20" s="96">
        <f t="shared" si="6"/>
        <v>0</v>
      </c>
      <c r="P20" s="390"/>
      <c r="Q20" s="483">
        <f t="shared" si="7"/>
        <v>0</v>
      </c>
      <c r="R20" s="251"/>
      <c r="S20" s="246">
        <f t="shared" si="15"/>
        <v>0</v>
      </c>
      <c r="T20" s="391"/>
      <c r="U20" s="484">
        <f t="shared" si="16"/>
        <v>0</v>
      </c>
      <c r="V20" s="246">
        <f t="shared" si="8"/>
        <v>0</v>
      </c>
      <c r="W20" s="391"/>
      <c r="X20" s="484">
        <f t="shared" si="17"/>
        <v>0</v>
      </c>
      <c r="Y20" s="246">
        <f t="shared" si="9"/>
        <v>0</v>
      </c>
      <c r="Z20" s="391"/>
      <c r="AA20" s="484">
        <f t="shared" si="18"/>
        <v>0</v>
      </c>
      <c r="AB20" s="627">
        <f t="shared" si="22"/>
        <v>0</v>
      </c>
      <c r="AC20" s="631"/>
      <c r="AD20" s="630">
        <f t="shared" si="23"/>
        <v>0</v>
      </c>
      <c r="AE20" s="246">
        <f t="shared" si="27"/>
        <v>0</v>
      </c>
      <c r="AF20" s="392"/>
      <c r="AG20" s="484">
        <f t="shared" si="19"/>
        <v>0</v>
      </c>
      <c r="AH20" s="246">
        <f t="shared" si="11"/>
        <v>0</v>
      </c>
      <c r="AI20" s="392"/>
      <c r="AJ20" s="484">
        <f t="shared" si="20"/>
        <v>0</v>
      </c>
      <c r="AK20" s="318">
        <f t="shared" si="12"/>
        <v>0</v>
      </c>
      <c r="AL20" s="391"/>
      <c r="AM20" s="484">
        <f t="shared" si="29"/>
        <v>0</v>
      </c>
      <c r="AN20" s="396">
        <f t="shared" si="24"/>
        <v>0</v>
      </c>
    </row>
    <row r="21" spans="1:40" ht="23.1" customHeight="1">
      <c r="A21" s="58">
        <f>Gen!B26</f>
        <v>44151</v>
      </c>
      <c r="B21" s="4"/>
      <c r="C21" s="96">
        <f t="shared" si="0"/>
        <v>0</v>
      </c>
      <c r="D21" s="1"/>
      <c r="E21" s="483">
        <f t="shared" si="28"/>
        <v>0</v>
      </c>
      <c r="F21" s="96">
        <f t="shared" si="2"/>
        <v>0</v>
      </c>
      <c r="G21" s="394"/>
      <c r="H21" s="483">
        <f t="shared" si="13"/>
        <v>0</v>
      </c>
      <c r="I21" s="96">
        <f t="shared" si="3"/>
        <v>0</v>
      </c>
      <c r="J21" s="1"/>
      <c r="K21" s="483">
        <f t="shared" si="26"/>
        <v>0</v>
      </c>
      <c r="L21" s="96">
        <f t="shared" si="5"/>
        <v>0</v>
      </c>
      <c r="M21" s="1"/>
      <c r="N21" s="483">
        <f t="shared" si="14"/>
        <v>0</v>
      </c>
      <c r="O21" s="96">
        <f t="shared" si="6"/>
        <v>0</v>
      </c>
      <c r="P21" s="390"/>
      <c r="Q21" s="483">
        <f t="shared" si="7"/>
        <v>0</v>
      </c>
      <c r="R21" s="251"/>
      <c r="S21" s="246">
        <f t="shared" si="15"/>
        <v>0</v>
      </c>
      <c r="T21" s="391"/>
      <c r="U21" s="484">
        <f t="shared" si="16"/>
        <v>0</v>
      </c>
      <c r="V21" s="246">
        <f t="shared" ref="V21:V37" si="30">W20</f>
        <v>0</v>
      </c>
      <c r="W21" s="391"/>
      <c r="X21" s="484">
        <f t="shared" si="17"/>
        <v>0</v>
      </c>
      <c r="Y21" s="246">
        <f t="shared" si="9"/>
        <v>0</v>
      </c>
      <c r="Z21" s="391"/>
      <c r="AA21" s="484">
        <f t="shared" si="18"/>
        <v>0</v>
      </c>
      <c r="AB21" s="627">
        <f t="shared" si="22"/>
        <v>0</v>
      </c>
      <c r="AC21" s="631"/>
      <c r="AD21" s="630">
        <f t="shared" si="23"/>
        <v>0</v>
      </c>
      <c r="AE21" s="246">
        <f t="shared" si="10"/>
        <v>0</v>
      </c>
      <c r="AF21" s="392"/>
      <c r="AG21" s="484">
        <f t="shared" si="19"/>
        <v>0</v>
      </c>
      <c r="AH21" s="246">
        <f t="shared" si="11"/>
        <v>0</v>
      </c>
      <c r="AI21" s="392"/>
      <c r="AJ21" s="484">
        <f t="shared" si="20"/>
        <v>0</v>
      </c>
      <c r="AK21" s="318">
        <f t="shared" si="12"/>
        <v>0</v>
      </c>
      <c r="AL21" s="391"/>
      <c r="AM21" s="484">
        <f t="shared" si="29"/>
        <v>0</v>
      </c>
      <c r="AN21" s="396">
        <f t="shared" si="24"/>
        <v>0</v>
      </c>
    </row>
    <row r="22" spans="1:40" ht="23.1" customHeight="1">
      <c r="A22" s="58">
        <f>Gen!B27</f>
        <v>44152</v>
      </c>
      <c r="B22" s="4"/>
      <c r="C22" s="96">
        <f t="shared" si="0"/>
        <v>0</v>
      </c>
      <c r="D22" s="1"/>
      <c r="E22" s="483">
        <f t="shared" si="28"/>
        <v>0</v>
      </c>
      <c r="F22" s="96">
        <f t="shared" si="2"/>
        <v>0</v>
      </c>
      <c r="G22" s="394"/>
      <c r="H22" s="483">
        <f t="shared" si="13"/>
        <v>0</v>
      </c>
      <c r="I22" s="96">
        <f t="shared" si="3"/>
        <v>0</v>
      </c>
      <c r="J22" s="1"/>
      <c r="K22" s="483">
        <f t="shared" si="26"/>
        <v>0</v>
      </c>
      <c r="L22" s="96">
        <f t="shared" si="5"/>
        <v>0</v>
      </c>
      <c r="M22" s="1"/>
      <c r="N22" s="483">
        <f t="shared" si="14"/>
        <v>0</v>
      </c>
      <c r="O22" s="96">
        <f t="shared" si="6"/>
        <v>0</v>
      </c>
      <c r="P22" s="390"/>
      <c r="Q22" s="483">
        <f t="shared" si="7"/>
        <v>0</v>
      </c>
      <c r="R22" s="251"/>
      <c r="S22" s="246">
        <f t="shared" si="15"/>
        <v>0</v>
      </c>
      <c r="T22" s="391"/>
      <c r="U22" s="484">
        <f t="shared" si="16"/>
        <v>0</v>
      </c>
      <c r="V22" s="246">
        <f t="shared" si="30"/>
        <v>0</v>
      </c>
      <c r="W22" s="391"/>
      <c r="X22" s="484">
        <f t="shared" si="17"/>
        <v>0</v>
      </c>
      <c r="Y22" s="246">
        <f t="shared" si="9"/>
        <v>0</v>
      </c>
      <c r="Z22" s="391"/>
      <c r="AA22" s="484">
        <f t="shared" si="18"/>
        <v>0</v>
      </c>
      <c r="AB22" s="627">
        <f t="shared" si="22"/>
        <v>0</v>
      </c>
      <c r="AC22" s="631"/>
      <c r="AD22" s="630">
        <f t="shared" si="23"/>
        <v>0</v>
      </c>
      <c r="AE22" s="246">
        <f t="shared" si="10"/>
        <v>0</v>
      </c>
      <c r="AF22" s="392"/>
      <c r="AG22" s="484">
        <f t="shared" si="19"/>
        <v>0</v>
      </c>
      <c r="AH22" s="246">
        <f t="shared" si="11"/>
        <v>0</v>
      </c>
      <c r="AI22" s="392"/>
      <c r="AJ22" s="484">
        <f t="shared" si="20"/>
        <v>0</v>
      </c>
      <c r="AK22" s="318">
        <f t="shared" si="12"/>
        <v>0</v>
      </c>
      <c r="AL22" s="391"/>
      <c r="AM22" s="484">
        <f t="shared" si="29"/>
        <v>0</v>
      </c>
      <c r="AN22" s="396">
        <f t="shared" si="24"/>
        <v>0</v>
      </c>
    </row>
    <row r="23" spans="1:40" ht="23.1" customHeight="1">
      <c r="A23" s="58">
        <f>Gen!B28</f>
        <v>44153</v>
      </c>
      <c r="B23" s="4"/>
      <c r="C23" s="96">
        <f t="shared" si="0"/>
        <v>0</v>
      </c>
      <c r="D23" s="1"/>
      <c r="E23" s="483">
        <f t="shared" si="28"/>
        <v>0</v>
      </c>
      <c r="F23" s="96">
        <f t="shared" si="2"/>
        <v>0</v>
      </c>
      <c r="G23" s="394"/>
      <c r="H23" s="483">
        <f t="shared" si="13"/>
        <v>0</v>
      </c>
      <c r="I23" s="96">
        <f t="shared" si="3"/>
        <v>0</v>
      </c>
      <c r="J23" s="1"/>
      <c r="K23" s="483">
        <f t="shared" si="26"/>
        <v>0</v>
      </c>
      <c r="L23" s="96">
        <f t="shared" si="5"/>
        <v>0</v>
      </c>
      <c r="M23" s="1"/>
      <c r="N23" s="483">
        <f t="shared" si="14"/>
        <v>0</v>
      </c>
      <c r="O23" s="96">
        <f t="shared" si="6"/>
        <v>0</v>
      </c>
      <c r="P23" s="390"/>
      <c r="Q23" s="483">
        <f t="shared" si="7"/>
        <v>0</v>
      </c>
      <c r="R23" s="251"/>
      <c r="S23" s="246">
        <f t="shared" si="15"/>
        <v>0</v>
      </c>
      <c r="T23" s="391"/>
      <c r="U23" s="484">
        <f t="shared" si="16"/>
        <v>0</v>
      </c>
      <c r="V23" s="246">
        <f t="shared" si="30"/>
        <v>0</v>
      </c>
      <c r="W23" s="391"/>
      <c r="X23" s="484">
        <f t="shared" si="17"/>
        <v>0</v>
      </c>
      <c r="Y23" s="246">
        <f t="shared" si="9"/>
        <v>0</v>
      </c>
      <c r="Z23" s="391"/>
      <c r="AA23" s="484">
        <f t="shared" si="18"/>
        <v>0</v>
      </c>
      <c r="AB23" s="627">
        <f t="shared" si="22"/>
        <v>0</v>
      </c>
      <c r="AC23" s="628"/>
      <c r="AD23" s="630">
        <f t="shared" si="23"/>
        <v>0</v>
      </c>
      <c r="AE23" s="246">
        <f t="shared" si="10"/>
        <v>0</v>
      </c>
      <c r="AF23" s="392"/>
      <c r="AG23" s="484">
        <f t="shared" si="19"/>
        <v>0</v>
      </c>
      <c r="AH23" s="246">
        <f t="shared" si="11"/>
        <v>0</v>
      </c>
      <c r="AI23" s="392"/>
      <c r="AJ23" s="484">
        <f t="shared" si="20"/>
        <v>0</v>
      </c>
      <c r="AK23" s="318">
        <f t="shared" si="12"/>
        <v>0</v>
      </c>
      <c r="AL23" s="391"/>
      <c r="AM23" s="484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44154</v>
      </c>
      <c r="B24" s="4"/>
      <c r="C24" s="96">
        <f t="shared" si="0"/>
        <v>0</v>
      </c>
      <c r="D24" s="1"/>
      <c r="E24" s="483">
        <f t="shared" si="28"/>
        <v>0</v>
      </c>
      <c r="F24" s="96">
        <f t="shared" si="2"/>
        <v>0</v>
      </c>
      <c r="G24" s="394"/>
      <c r="H24" s="483">
        <f t="shared" si="13"/>
        <v>0</v>
      </c>
      <c r="I24" s="96">
        <f t="shared" si="3"/>
        <v>0</v>
      </c>
      <c r="J24" s="1"/>
      <c r="K24" s="483">
        <f t="shared" si="26"/>
        <v>0</v>
      </c>
      <c r="L24" s="96">
        <f t="shared" si="5"/>
        <v>0</v>
      </c>
      <c r="M24" s="1"/>
      <c r="N24" s="483">
        <f t="shared" si="14"/>
        <v>0</v>
      </c>
      <c r="O24" s="96">
        <f t="shared" si="6"/>
        <v>0</v>
      </c>
      <c r="P24" s="390"/>
      <c r="Q24" s="483">
        <f t="shared" si="7"/>
        <v>0</v>
      </c>
      <c r="R24" s="251"/>
      <c r="S24" s="246">
        <f t="shared" si="15"/>
        <v>0</v>
      </c>
      <c r="T24" s="391"/>
      <c r="U24" s="484">
        <f t="shared" si="16"/>
        <v>0</v>
      </c>
      <c r="V24" s="246">
        <f t="shared" si="30"/>
        <v>0</v>
      </c>
      <c r="W24" s="391"/>
      <c r="X24" s="484">
        <f t="shared" si="17"/>
        <v>0</v>
      </c>
      <c r="Y24" s="246">
        <f t="shared" si="9"/>
        <v>0</v>
      </c>
      <c r="Z24" s="391"/>
      <c r="AA24" s="484">
        <f t="shared" si="18"/>
        <v>0</v>
      </c>
      <c r="AB24" s="627">
        <f t="shared" si="22"/>
        <v>0</v>
      </c>
      <c r="AC24" s="628"/>
      <c r="AD24" s="630">
        <f t="shared" si="23"/>
        <v>0</v>
      </c>
      <c r="AE24" s="246">
        <f t="shared" si="10"/>
        <v>0</v>
      </c>
      <c r="AF24" s="392"/>
      <c r="AG24" s="484">
        <f t="shared" si="19"/>
        <v>0</v>
      </c>
      <c r="AH24" s="246">
        <f t="shared" si="11"/>
        <v>0</v>
      </c>
      <c r="AI24" s="392"/>
      <c r="AJ24" s="484">
        <f t="shared" si="20"/>
        <v>0</v>
      </c>
      <c r="AK24" s="318">
        <f t="shared" si="12"/>
        <v>0</v>
      </c>
      <c r="AL24" s="391"/>
      <c r="AM24" s="484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44155</v>
      </c>
      <c r="B25" s="4"/>
      <c r="C25" s="96">
        <f>D24</f>
        <v>0</v>
      </c>
      <c r="D25" s="1"/>
      <c r="E25" s="483">
        <f t="shared" si="28"/>
        <v>0</v>
      </c>
      <c r="F25" s="96">
        <f t="shared" si="2"/>
        <v>0</v>
      </c>
      <c r="G25" s="394"/>
      <c r="H25" s="483">
        <f>IF((G26-G24)&lt;0,"0",(G26-G24))</f>
        <v>0</v>
      </c>
      <c r="I25" s="96">
        <f t="shared" ref="I25:I37" si="31">J24</f>
        <v>0</v>
      </c>
      <c r="J25" s="1"/>
      <c r="K25" s="483">
        <f t="shared" si="26"/>
        <v>0</v>
      </c>
      <c r="L25" s="96">
        <f t="shared" ref="L25:L37" si="32">M24</f>
        <v>0</v>
      </c>
      <c r="M25" s="1"/>
      <c r="N25" s="483">
        <f t="shared" ref="N25:N37" si="33">IF((M25-M24)&lt;0,"0",(M25-M24))</f>
        <v>0</v>
      </c>
      <c r="O25" s="96">
        <f t="shared" si="6"/>
        <v>0</v>
      </c>
      <c r="P25" s="390"/>
      <c r="Q25" s="483">
        <f t="shared" si="7"/>
        <v>0</v>
      </c>
      <c r="R25" s="251"/>
      <c r="S25" s="246">
        <f t="shared" ref="S25:S37" si="34">T24</f>
        <v>0</v>
      </c>
      <c r="T25" s="391"/>
      <c r="U25" s="484">
        <f t="shared" ref="U25:U37" si="35">IF((T25-T24)&lt;0,"0",(T25-T24))</f>
        <v>0</v>
      </c>
      <c r="V25" s="246">
        <f t="shared" si="30"/>
        <v>0</v>
      </c>
      <c r="W25" s="391"/>
      <c r="X25" s="484">
        <f t="shared" si="17"/>
        <v>0</v>
      </c>
      <c r="Y25" s="246">
        <f t="shared" si="9"/>
        <v>0</v>
      </c>
      <c r="Z25" s="391"/>
      <c r="AA25" s="484">
        <f t="shared" si="18"/>
        <v>0</v>
      </c>
      <c r="AB25" s="627">
        <f t="shared" si="22"/>
        <v>0</v>
      </c>
      <c r="AC25" s="628"/>
      <c r="AD25" s="630">
        <f t="shared" si="23"/>
        <v>0</v>
      </c>
      <c r="AE25" s="246">
        <f t="shared" si="10"/>
        <v>0</v>
      </c>
      <c r="AF25" s="392"/>
      <c r="AG25" s="484">
        <f t="shared" si="19"/>
        <v>0</v>
      </c>
      <c r="AH25" s="246">
        <f t="shared" si="11"/>
        <v>0</v>
      </c>
      <c r="AI25" s="392"/>
      <c r="AJ25" s="484">
        <f t="shared" si="20"/>
        <v>0</v>
      </c>
      <c r="AK25" s="318">
        <f t="shared" si="12"/>
        <v>0</v>
      </c>
      <c r="AL25" s="391"/>
      <c r="AM25" s="484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44156</v>
      </c>
      <c r="B26" s="4"/>
      <c r="C26" s="96">
        <f>D25</f>
        <v>0</v>
      </c>
      <c r="D26" s="1"/>
      <c r="E26" s="483">
        <f t="shared" si="28"/>
        <v>0</v>
      </c>
      <c r="F26" s="96">
        <f>G26</f>
        <v>0</v>
      </c>
      <c r="G26" s="394"/>
      <c r="H26" s="483">
        <f t="shared" ref="H26:H27" si="36">IF((G27-G25)&lt;0,"0",(G27-G25))</f>
        <v>0</v>
      </c>
      <c r="I26" s="96">
        <f t="shared" si="31"/>
        <v>0</v>
      </c>
      <c r="J26" s="1"/>
      <c r="K26" s="483">
        <f t="shared" si="26"/>
        <v>0</v>
      </c>
      <c r="L26" s="96">
        <f t="shared" si="32"/>
        <v>0</v>
      </c>
      <c r="M26" s="1"/>
      <c r="N26" s="483">
        <f t="shared" si="33"/>
        <v>0</v>
      </c>
      <c r="O26" s="96">
        <f t="shared" ref="O26:O37" si="37">P25</f>
        <v>0</v>
      </c>
      <c r="P26" s="390"/>
      <c r="Q26" s="483">
        <f t="shared" si="7"/>
        <v>0</v>
      </c>
      <c r="R26" s="251"/>
      <c r="S26" s="246">
        <f t="shared" si="34"/>
        <v>0</v>
      </c>
      <c r="T26" s="391"/>
      <c r="U26" s="484">
        <f t="shared" si="35"/>
        <v>0</v>
      </c>
      <c r="V26" s="246">
        <f t="shared" si="30"/>
        <v>0</v>
      </c>
      <c r="W26" s="391"/>
      <c r="X26" s="484">
        <f t="shared" si="17"/>
        <v>0</v>
      </c>
      <c r="Y26" s="246">
        <f t="shared" si="9"/>
        <v>0</v>
      </c>
      <c r="Z26" s="391"/>
      <c r="AA26" s="484">
        <f t="shared" si="18"/>
        <v>0</v>
      </c>
      <c r="AB26" s="627">
        <f t="shared" si="22"/>
        <v>0</v>
      </c>
      <c r="AC26" s="628"/>
      <c r="AD26" s="630">
        <f t="shared" si="23"/>
        <v>0</v>
      </c>
      <c r="AE26" s="246">
        <f t="shared" si="10"/>
        <v>0</v>
      </c>
      <c r="AF26" s="392"/>
      <c r="AG26" s="484">
        <f t="shared" si="19"/>
        <v>0</v>
      </c>
      <c r="AH26" s="246">
        <f t="shared" si="11"/>
        <v>0</v>
      </c>
      <c r="AI26" s="392"/>
      <c r="AJ26" s="484">
        <f t="shared" si="20"/>
        <v>0</v>
      </c>
      <c r="AK26" s="318">
        <f t="shared" si="12"/>
        <v>0</v>
      </c>
      <c r="AL26" s="391"/>
      <c r="AM26" s="484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44157</v>
      </c>
      <c r="B27" s="4"/>
      <c r="C27" s="96">
        <f>D26</f>
        <v>0</v>
      </c>
      <c r="D27" s="1"/>
      <c r="E27" s="483">
        <f t="shared" si="28"/>
        <v>0</v>
      </c>
      <c r="F27" s="96">
        <f t="shared" ref="F27:F31" si="38">G27</f>
        <v>0</v>
      </c>
      <c r="G27" s="394"/>
      <c r="H27" s="483">
        <f t="shared" si="36"/>
        <v>0</v>
      </c>
      <c r="I27" s="96">
        <f t="shared" si="31"/>
        <v>0</v>
      </c>
      <c r="J27" s="1"/>
      <c r="K27" s="483">
        <f t="shared" si="26"/>
        <v>0</v>
      </c>
      <c r="L27" s="96">
        <f t="shared" si="32"/>
        <v>0</v>
      </c>
      <c r="M27" s="1"/>
      <c r="N27" s="483">
        <f t="shared" si="33"/>
        <v>0</v>
      </c>
      <c r="O27" s="96">
        <f t="shared" si="37"/>
        <v>0</v>
      </c>
      <c r="P27" s="390"/>
      <c r="Q27" s="483">
        <f t="shared" si="7"/>
        <v>0</v>
      </c>
      <c r="R27" s="251"/>
      <c r="S27" s="246">
        <f t="shared" si="34"/>
        <v>0</v>
      </c>
      <c r="T27" s="391"/>
      <c r="U27" s="484">
        <f t="shared" si="35"/>
        <v>0</v>
      </c>
      <c r="V27" s="246">
        <f t="shared" si="30"/>
        <v>0</v>
      </c>
      <c r="W27" s="391"/>
      <c r="X27" s="484">
        <f t="shared" si="17"/>
        <v>0</v>
      </c>
      <c r="Y27" s="246">
        <f t="shared" si="9"/>
        <v>0</v>
      </c>
      <c r="Z27" s="391"/>
      <c r="AA27" s="484">
        <f t="shared" si="18"/>
        <v>0</v>
      </c>
      <c r="AB27" s="627">
        <f t="shared" si="22"/>
        <v>0</v>
      </c>
      <c r="AC27" s="628"/>
      <c r="AD27" s="630">
        <f t="shared" si="23"/>
        <v>0</v>
      </c>
      <c r="AE27" s="246">
        <f t="shared" si="10"/>
        <v>0</v>
      </c>
      <c r="AF27" s="392"/>
      <c r="AG27" s="484">
        <f t="shared" si="19"/>
        <v>0</v>
      </c>
      <c r="AH27" s="246">
        <f t="shared" si="11"/>
        <v>0</v>
      </c>
      <c r="AI27" s="392"/>
      <c r="AJ27" s="484">
        <f t="shared" si="20"/>
        <v>0</v>
      </c>
      <c r="AK27" s="318">
        <f t="shared" si="12"/>
        <v>0</v>
      </c>
      <c r="AL27" s="391"/>
      <c r="AM27" s="484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44158</v>
      </c>
      <c r="B28" s="4"/>
      <c r="C28" s="96">
        <f t="shared" ref="C28:C37" si="39">D27</f>
        <v>0</v>
      </c>
      <c r="D28" s="1"/>
      <c r="E28" s="483">
        <f t="shared" si="28"/>
        <v>0</v>
      </c>
      <c r="F28" s="96">
        <f t="shared" si="38"/>
        <v>0</v>
      </c>
      <c r="G28" s="394"/>
      <c r="H28" s="483">
        <f t="shared" ref="H28:H37" si="40">IF((G28-G27)&lt;0,"0",(G28-G27))</f>
        <v>0</v>
      </c>
      <c r="I28" s="96">
        <f t="shared" si="31"/>
        <v>0</v>
      </c>
      <c r="J28" s="1"/>
      <c r="K28" s="483">
        <f>IF((J28-J27)&lt;0,"0",(J28-J27))</f>
        <v>0</v>
      </c>
      <c r="L28" s="96">
        <f t="shared" si="32"/>
        <v>0</v>
      </c>
      <c r="M28" s="1"/>
      <c r="N28" s="483">
        <f t="shared" si="33"/>
        <v>0</v>
      </c>
      <c r="O28" s="96">
        <f t="shared" si="37"/>
        <v>0</v>
      </c>
      <c r="P28" s="390"/>
      <c r="Q28" s="483">
        <f t="shared" ref="Q28:Q37" si="41">IF((P28-P27)&lt;0,"0",(P28-P27))</f>
        <v>0</v>
      </c>
      <c r="R28" s="251"/>
      <c r="S28" s="246">
        <f t="shared" si="34"/>
        <v>0</v>
      </c>
      <c r="T28" s="391"/>
      <c r="U28" s="484">
        <f t="shared" si="35"/>
        <v>0</v>
      </c>
      <c r="V28" s="246">
        <f t="shared" si="30"/>
        <v>0</v>
      </c>
      <c r="W28" s="391"/>
      <c r="X28" s="484">
        <f t="shared" si="17"/>
        <v>0</v>
      </c>
      <c r="Y28" s="246">
        <f t="shared" si="9"/>
        <v>0</v>
      </c>
      <c r="Z28" s="391"/>
      <c r="AA28" s="484">
        <f t="shared" si="18"/>
        <v>0</v>
      </c>
      <c r="AB28" s="627">
        <f t="shared" si="22"/>
        <v>0</v>
      </c>
      <c r="AC28" s="628"/>
      <c r="AD28" s="630">
        <f t="shared" si="23"/>
        <v>0</v>
      </c>
      <c r="AE28" s="246">
        <f t="shared" si="10"/>
        <v>0</v>
      </c>
      <c r="AF28" s="392"/>
      <c r="AG28" s="484">
        <f t="shared" si="19"/>
        <v>0</v>
      </c>
      <c r="AH28" s="246">
        <f t="shared" si="11"/>
        <v>0</v>
      </c>
      <c r="AI28" s="392"/>
      <c r="AJ28" s="484">
        <f t="shared" si="20"/>
        <v>0</v>
      </c>
      <c r="AK28" s="318">
        <f t="shared" si="12"/>
        <v>0</v>
      </c>
      <c r="AL28" s="391"/>
      <c r="AM28" s="484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44159</v>
      </c>
      <c r="B29" s="4"/>
      <c r="C29" s="96">
        <f t="shared" si="39"/>
        <v>0</v>
      </c>
      <c r="D29" s="1"/>
      <c r="E29" s="483">
        <f t="shared" si="28"/>
        <v>0</v>
      </c>
      <c r="F29" s="96">
        <f t="shared" si="38"/>
        <v>0</v>
      </c>
      <c r="G29" s="394"/>
      <c r="H29" s="483">
        <f t="shared" si="40"/>
        <v>0</v>
      </c>
      <c r="I29" s="96">
        <f t="shared" si="31"/>
        <v>0</v>
      </c>
      <c r="J29" s="1"/>
      <c r="K29" s="483">
        <f t="shared" ref="K29:K37" si="42">IF((J29-J28)&lt;0,"0",(J29-J28))</f>
        <v>0</v>
      </c>
      <c r="L29" s="96">
        <f t="shared" si="32"/>
        <v>0</v>
      </c>
      <c r="M29" s="1"/>
      <c r="N29" s="483">
        <f t="shared" si="33"/>
        <v>0</v>
      </c>
      <c r="O29" s="96">
        <f t="shared" si="37"/>
        <v>0</v>
      </c>
      <c r="P29" s="390"/>
      <c r="Q29" s="483">
        <f t="shared" si="41"/>
        <v>0</v>
      </c>
      <c r="R29" s="251"/>
      <c r="S29" s="246">
        <f t="shared" si="34"/>
        <v>0</v>
      </c>
      <c r="T29" s="391"/>
      <c r="U29" s="484">
        <f t="shared" si="35"/>
        <v>0</v>
      </c>
      <c r="V29" s="246">
        <f t="shared" si="30"/>
        <v>0</v>
      </c>
      <c r="W29" s="391"/>
      <c r="X29" s="484">
        <f t="shared" si="17"/>
        <v>0</v>
      </c>
      <c r="Y29" s="246">
        <f t="shared" si="9"/>
        <v>0</v>
      </c>
      <c r="Z29" s="391"/>
      <c r="AA29" s="484">
        <f t="shared" si="18"/>
        <v>0</v>
      </c>
      <c r="AB29" s="627">
        <f t="shared" si="22"/>
        <v>0</v>
      </c>
      <c r="AC29" s="628"/>
      <c r="AD29" s="630">
        <f t="shared" si="23"/>
        <v>0</v>
      </c>
      <c r="AE29" s="246">
        <f t="shared" si="10"/>
        <v>0</v>
      </c>
      <c r="AF29" s="392"/>
      <c r="AG29" s="484">
        <f t="shared" si="19"/>
        <v>0</v>
      </c>
      <c r="AH29" s="246">
        <f t="shared" si="11"/>
        <v>0</v>
      </c>
      <c r="AI29" s="392"/>
      <c r="AJ29" s="484">
        <f t="shared" si="20"/>
        <v>0</v>
      </c>
      <c r="AK29" s="318">
        <f t="shared" si="12"/>
        <v>0</v>
      </c>
      <c r="AL29" s="391"/>
      <c r="AM29" s="484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44160</v>
      </c>
      <c r="B30" s="4"/>
      <c r="C30" s="96">
        <f t="shared" si="39"/>
        <v>0</v>
      </c>
      <c r="D30" s="1"/>
      <c r="E30" s="483">
        <f t="shared" si="28"/>
        <v>0</v>
      </c>
      <c r="F30" s="96">
        <f t="shared" si="38"/>
        <v>0</v>
      </c>
      <c r="G30" s="394"/>
      <c r="H30" s="483">
        <f t="shared" si="40"/>
        <v>0</v>
      </c>
      <c r="I30" s="96">
        <f t="shared" si="31"/>
        <v>0</v>
      </c>
      <c r="J30" s="1"/>
      <c r="K30" s="483">
        <f t="shared" si="42"/>
        <v>0</v>
      </c>
      <c r="L30" s="96">
        <f t="shared" si="32"/>
        <v>0</v>
      </c>
      <c r="M30" s="1"/>
      <c r="N30" s="483">
        <f t="shared" si="33"/>
        <v>0</v>
      </c>
      <c r="O30" s="96">
        <f t="shared" si="37"/>
        <v>0</v>
      </c>
      <c r="P30" s="390"/>
      <c r="Q30" s="483">
        <f t="shared" si="41"/>
        <v>0</v>
      </c>
      <c r="R30" s="251"/>
      <c r="S30" s="246">
        <f t="shared" si="34"/>
        <v>0</v>
      </c>
      <c r="T30" s="391"/>
      <c r="U30" s="484">
        <f t="shared" si="35"/>
        <v>0</v>
      </c>
      <c r="V30" s="246">
        <f t="shared" si="30"/>
        <v>0</v>
      </c>
      <c r="W30" s="391"/>
      <c r="X30" s="484">
        <f t="shared" si="17"/>
        <v>0</v>
      </c>
      <c r="Y30" s="246">
        <f t="shared" si="9"/>
        <v>0</v>
      </c>
      <c r="Z30" s="391"/>
      <c r="AA30" s="484">
        <f t="shared" si="18"/>
        <v>0</v>
      </c>
      <c r="AB30" s="627">
        <f t="shared" si="22"/>
        <v>0</v>
      </c>
      <c r="AC30" s="628"/>
      <c r="AD30" s="630">
        <f t="shared" si="23"/>
        <v>0</v>
      </c>
      <c r="AE30" s="246">
        <f t="shared" si="10"/>
        <v>0</v>
      </c>
      <c r="AF30" s="392"/>
      <c r="AG30" s="484">
        <f t="shared" si="19"/>
        <v>0</v>
      </c>
      <c r="AH30" s="246">
        <f t="shared" si="11"/>
        <v>0</v>
      </c>
      <c r="AI30" s="392"/>
      <c r="AJ30" s="484">
        <f t="shared" si="20"/>
        <v>0</v>
      </c>
      <c r="AK30" s="318">
        <f t="shared" si="12"/>
        <v>0</v>
      </c>
      <c r="AL30" s="391"/>
      <c r="AM30" s="484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44161</v>
      </c>
      <c r="B31" s="4"/>
      <c r="C31" s="96">
        <f t="shared" si="39"/>
        <v>0</v>
      </c>
      <c r="D31" s="1"/>
      <c r="E31" s="483">
        <f t="shared" si="28"/>
        <v>0</v>
      </c>
      <c r="F31" s="96">
        <f t="shared" si="38"/>
        <v>0</v>
      </c>
      <c r="G31" s="394"/>
      <c r="H31" s="483">
        <f t="shared" si="40"/>
        <v>0</v>
      </c>
      <c r="I31" s="96">
        <f t="shared" si="31"/>
        <v>0</v>
      </c>
      <c r="J31" s="1"/>
      <c r="K31" s="483">
        <f t="shared" si="42"/>
        <v>0</v>
      </c>
      <c r="L31" s="96">
        <f t="shared" si="32"/>
        <v>0</v>
      </c>
      <c r="M31" s="1"/>
      <c r="N31" s="483">
        <f t="shared" si="33"/>
        <v>0</v>
      </c>
      <c r="O31" s="96">
        <f t="shared" si="37"/>
        <v>0</v>
      </c>
      <c r="P31" s="390"/>
      <c r="Q31" s="483">
        <f t="shared" si="41"/>
        <v>0</v>
      </c>
      <c r="R31" s="251"/>
      <c r="S31" s="246">
        <f t="shared" si="34"/>
        <v>0</v>
      </c>
      <c r="T31" s="391"/>
      <c r="U31" s="484">
        <f t="shared" si="35"/>
        <v>0</v>
      </c>
      <c r="V31" s="246">
        <f t="shared" si="30"/>
        <v>0</v>
      </c>
      <c r="W31" s="391"/>
      <c r="X31" s="484">
        <f t="shared" si="17"/>
        <v>0</v>
      </c>
      <c r="Y31" s="246">
        <f t="shared" si="9"/>
        <v>0</v>
      </c>
      <c r="Z31" s="391"/>
      <c r="AA31" s="484">
        <f t="shared" si="18"/>
        <v>0</v>
      </c>
      <c r="AB31" s="627">
        <f t="shared" si="22"/>
        <v>0</v>
      </c>
      <c r="AC31" s="628"/>
      <c r="AD31" s="630">
        <f t="shared" si="23"/>
        <v>0</v>
      </c>
      <c r="AE31" s="246">
        <f t="shared" si="10"/>
        <v>0</v>
      </c>
      <c r="AF31" s="392"/>
      <c r="AG31" s="484">
        <f t="shared" si="19"/>
        <v>0</v>
      </c>
      <c r="AH31" s="246">
        <f t="shared" si="11"/>
        <v>0</v>
      </c>
      <c r="AI31" s="392"/>
      <c r="AJ31" s="484">
        <f t="shared" si="20"/>
        <v>0</v>
      </c>
      <c r="AK31" s="318">
        <f t="shared" si="12"/>
        <v>0</v>
      </c>
      <c r="AL31" s="391"/>
      <c r="AM31" s="484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44162</v>
      </c>
      <c r="B32" s="4" t="s">
        <v>27</v>
      </c>
      <c r="C32" s="96">
        <f t="shared" si="39"/>
        <v>0</v>
      </c>
      <c r="D32" s="1"/>
      <c r="E32" s="483">
        <f t="shared" si="28"/>
        <v>0</v>
      </c>
      <c r="F32" s="96">
        <f t="shared" si="2"/>
        <v>0</v>
      </c>
      <c r="G32" s="394"/>
      <c r="H32" s="483">
        <f t="shared" si="40"/>
        <v>0</v>
      </c>
      <c r="I32" s="96">
        <f t="shared" si="31"/>
        <v>0</v>
      </c>
      <c r="J32" s="1"/>
      <c r="K32" s="483">
        <f t="shared" si="42"/>
        <v>0</v>
      </c>
      <c r="L32" s="96">
        <f t="shared" si="32"/>
        <v>0</v>
      </c>
      <c r="M32" s="1"/>
      <c r="N32" s="483">
        <f t="shared" si="33"/>
        <v>0</v>
      </c>
      <c r="O32" s="96">
        <f t="shared" si="37"/>
        <v>0</v>
      </c>
      <c r="P32" s="390"/>
      <c r="Q32" s="483">
        <f t="shared" si="41"/>
        <v>0</v>
      </c>
      <c r="R32" s="251"/>
      <c r="S32" s="246">
        <f t="shared" si="34"/>
        <v>0</v>
      </c>
      <c r="T32" s="391"/>
      <c r="U32" s="484">
        <f t="shared" si="35"/>
        <v>0</v>
      </c>
      <c r="V32" s="246">
        <f t="shared" si="30"/>
        <v>0</v>
      </c>
      <c r="W32" s="391"/>
      <c r="X32" s="484">
        <f t="shared" si="17"/>
        <v>0</v>
      </c>
      <c r="Y32" s="246">
        <f t="shared" si="9"/>
        <v>0</v>
      </c>
      <c r="Z32" s="391"/>
      <c r="AA32" s="484">
        <f t="shared" si="18"/>
        <v>0</v>
      </c>
      <c r="AB32" s="627">
        <f t="shared" si="22"/>
        <v>0</v>
      </c>
      <c r="AC32" s="628"/>
      <c r="AD32" s="630">
        <f t="shared" si="23"/>
        <v>0</v>
      </c>
      <c r="AE32" s="246">
        <f t="shared" si="10"/>
        <v>0</v>
      </c>
      <c r="AF32" s="392"/>
      <c r="AG32" s="484">
        <f t="shared" si="19"/>
        <v>0</v>
      </c>
      <c r="AH32" s="246">
        <f t="shared" si="11"/>
        <v>0</v>
      </c>
      <c r="AI32" s="392"/>
      <c r="AJ32" s="484">
        <f t="shared" si="20"/>
        <v>0</v>
      </c>
      <c r="AK32" s="318">
        <f t="shared" si="12"/>
        <v>0</v>
      </c>
      <c r="AL32" s="391"/>
      <c r="AM32" s="484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44163</v>
      </c>
      <c r="B33" s="4"/>
      <c r="C33" s="96">
        <f t="shared" si="39"/>
        <v>0</v>
      </c>
      <c r="D33" s="1"/>
      <c r="E33" s="483">
        <f t="shared" si="28"/>
        <v>0</v>
      </c>
      <c r="F33" s="96">
        <f t="shared" si="2"/>
        <v>0</v>
      </c>
      <c r="G33" s="394"/>
      <c r="H33" s="483">
        <f t="shared" si="40"/>
        <v>0</v>
      </c>
      <c r="I33" s="96">
        <f t="shared" si="31"/>
        <v>0</v>
      </c>
      <c r="J33" s="1"/>
      <c r="K33" s="483">
        <f t="shared" si="42"/>
        <v>0</v>
      </c>
      <c r="L33" s="96">
        <f t="shared" si="32"/>
        <v>0</v>
      </c>
      <c r="M33" s="1"/>
      <c r="N33" s="483">
        <f t="shared" si="33"/>
        <v>0</v>
      </c>
      <c r="O33" s="96">
        <f t="shared" si="37"/>
        <v>0</v>
      </c>
      <c r="P33" s="390"/>
      <c r="Q33" s="483">
        <f t="shared" si="41"/>
        <v>0</v>
      </c>
      <c r="R33" s="251"/>
      <c r="S33" s="246">
        <f t="shared" si="34"/>
        <v>0</v>
      </c>
      <c r="T33" s="391"/>
      <c r="U33" s="484">
        <f t="shared" si="35"/>
        <v>0</v>
      </c>
      <c r="V33" s="246">
        <f t="shared" si="30"/>
        <v>0</v>
      </c>
      <c r="W33" s="391"/>
      <c r="X33" s="484">
        <f t="shared" si="17"/>
        <v>0</v>
      </c>
      <c r="Y33" s="246">
        <f t="shared" si="9"/>
        <v>0</v>
      </c>
      <c r="Z33" s="391"/>
      <c r="AA33" s="484">
        <f t="shared" si="18"/>
        <v>0</v>
      </c>
      <c r="AB33" s="627">
        <f t="shared" si="22"/>
        <v>0</v>
      </c>
      <c r="AC33" s="247"/>
      <c r="AD33" s="630">
        <f t="shared" si="23"/>
        <v>0</v>
      </c>
      <c r="AE33" s="246">
        <f t="shared" si="10"/>
        <v>0</v>
      </c>
      <c r="AF33" s="392"/>
      <c r="AG33" s="484">
        <f t="shared" si="19"/>
        <v>0</v>
      </c>
      <c r="AH33" s="246">
        <f t="shared" si="11"/>
        <v>0</v>
      </c>
      <c r="AI33" s="392"/>
      <c r="AJ33" s="484">
        <f t="shared" si="20"/>
        <v>0</v>
      </c>
      <c r="AK33" s="318">
        <f t="shared" si="12"/>
        <v>0</v>
      </c>
      <c r="AL33" s="391"/>
      <c r="AM33" s="484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44164</v>
      </c>
      <c r="B34" s="149"/>
      <c r="C34" s="96">
        <f t="shared" si="39"/>
        <v>0</v>
      </c>
      <c r="D34" s="1"/>
      <c r="E34" s="483">
        <f t="shared" si="28"/>
        <v>0</v>
      </c>
      <c r="F34" s="96">
        <f t="shared" si="2"/>
        <v>0</v>
      </c>
      <c r="G34" s="394"/>
      <c r="H34" s="483">
        <f t="shared" si="40"/>
        <v>0</v>
      </c>
      <c r="I34" s="96">
        <f t="shared" si="31"/>
        <v>0</v>
      </c>
      <c r="J34" s="1"/>
      <c r="K34" s="483">
        <f t="shared" si="42"/>
        <v>0</v>
      </c>
      <c r="L34" s="96">
        <f t="shared" si="32"/>
        <v>0</v>
      </c>
      <c r="M34" s="1"/>
      <c r="N34" s="483">
        <f t="shared" si="33"/>
        <v>0</v>
      </c>
      <c r="O34" s="96">
        <f t="shared" si="37"/>
        <v>0</v>
      </c>
      <c r="P34" s="390"/>
      <c r="Q34" s="483">
        <f t="shared" si="41"/>
        <v>0</v>
      </c>
      <c r="R34" s="251"/>
      <c r="S34" s="246">
        <f t="shared" si="34"/>
        <v>0</v>
      </c>
      <c r="T34" s="391"/>
      <c r="U34" s="484">
        <f t="shared" si="35"/>
        <v>0</v>
      </c>
      <c r="V34" s="246">
        <f t="shared" si="30"/>
        <v>0</v>
      </c>
      <c r="W34" s="391"/>
      <c r="X34" s="484">
        <f t="shared" si="17"/>
        <v>0</v>
      </c>
      <c r="Y34" s="246">
        <f t="shared" si="9"/>
        <v>0</v>
      </c>
      <c r="Z34" s="391"/>
      <c r="AA34" s="484">
        <f t="shared" si="18"/>
        <v>0</v>
      </c>
      <c r="AB34" s="627">
        <f t="shared" si="22"/>
        <v>0</v>
      </c>
      <c r="AC34" s="247"/>
      <c r="AD34" s="630">
        <f t="shared" si="23"/>
        <v>0</v>
      </c>
      <c r="AE34" s="246">
        <f t="shared" si="10"/>
        <v>0</v>
      </c>
      <c r="AF34" s="392"/>
      <c r="AG34" s="484">
        <f t="shared" si="19"/>
        <v>0</v>
      </c>
      <c r="AH34" s="246">
        <f t="shared" si="11"/>
        <v>0</v>
      </c>
      <c r="AI34" s="392"/>
      <c r="AJ34" s="484">
        <f t="shared" si="20"/>
        <v>0</v>
      </c>
      <c r="AK34" s="318">
        <f t="shared" si="12"/>
        <v>0</v>
      </c>
      <c r="AL34" s="391"/>
      <c r="AM34" s="484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44165</v>
      </c>
      <c r="B35" s="149"/>
      <c r="C35" s="96">
        <f t="shared" si="39"/>
        <v>0</v>
      </c>
      <c r="D35" s="1"/>
      <c r="E35" s="483">
        <f t="shared" si="28"/>
        <v>0</v>
      </c>
      <c r="F35" s="96">
        <f t="shared" si="2"/>
        <v>0</v>
      </c>
      <c r="G35" s="394"/>
      <c r="H35" s="483">
        <f t="shared" si="40"/>
        <v>0</v>
      </c>
      <c r="I35" s="96">
        <f t="shared" si="31"/>
        <v>0</v>
      </c>
      <c r="J35" s="1"/>
      <c r="K35" s="483">
        <f t="shared" si="42"/>
        <v>0</v>
      </c>
      <c r="L35" s="96">
        <f t="shared" si="32"/>
        <v>0</v>
      </c>
      <c r="M35" s="1"/>
      <c r="N35" s="483">
        <f t="shared" si="33"/>
        <v>0</v>
      </c>
      <c r="O35" s="96">
        <f t="shared" si="37"/>
        <v>0</v>
      </c>
      <c r="P35" s="390"/>
      <c r="Q35" s="483">
        <f t="shared" si="41"/>
        <v>0</v>
      </c>
      <c r="R35" s="251"/>
      <c r="S35" s="246">
        <f t="shared" si="34"/>
        <v>0</v>
      </c>
      <c r="T35" s="391"/>
      <c r="U35" s="484">
        <f t="shared" si="35"/>
        <v>0</v>
      </c>
      <c r="V35" s="246">
        <f t="shared" si="30"/>
        <v>0</v>
      </c>
      <c r="W35" s="391"/>
      <c r="X35" s="484">
        <f t="shared" si="17"/>
        <v>0</v>
      </c>
      <c r="Y35" s="246">
        <f t="shared" si="9"/>
        <v>0</v>
      </c>
      <c r="Z35" s="391"/>
      <c r="AA35" s="484">
        <f t="shared" si="18"/>
        <v>0</v>
      </c>
      <c r="AB35" s="627">
        <f t="shared" si="22"/>
        <v>0</v>
      </c>
      <c r="AC35" s="247"/>
      <c r="AD35" s="630">
        <f t="shared" si="23"/>
        <v>0</v>
      </c>
      <c r="AE35" s="246">
        <f t="shared" si="10"/>
        <v>0</v>
      </c>
      <c r="AF35" s="392"/>
      <c r="AG35" s="484">
        <f t="shared" si="19"/>
        <v>0</v>
      </c>
      <c r="AH35" s="246">
        <f t="shared" si="11"/>
        <v>0</v>
      </c>
      <c r="AI35" s="392"/>
      <c r="AJ35" s="484">
        <f t="shared" si="20"/>
        <v>0</v>
      </c>
      <c r="AK35" s="318">
        <f t="shared" si="12"/>
        <v>0</v>
      </c>
      <c r="AL35" s="391"/>
      <c r="AM35" s="484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44166</v>
      </c>
      <c r="B36" s="150"/>
      <c r="C36" s="96">
        <f t="shared" si="39"/>
        <v>0</v>
      </c>
      <c r="D36" s="1"/>
      <c r="E36" s="483">
        <f t="shared" si="28"/>
        <v>0</v>
      </c>
      <c r="F36" s="96">
        <f t="shared" si="2"/>
        <v>0</v>
      </c>
      <c r="G36" s="394"/>
      <c r="H36" s="483">
        <f t="shared" si="40"/>
        <v>0</v>
      </c>
      <c r="I36" s="96">
        <f t="shared" si="31"/>
        <v>0</v>
      </c>
      <c r="J36" s="1"/>
      <c r="K36" s="483">
        <f t="shared" si="42"/>
        <v>0</v>
      </c>
      <c r="L36" s="96">
        <f t="shared" si="32"/>
        <v>0</v>
      </c>
      <c r="M36" s="1"/>
      <c r="N36" s="483">
        <f t="shared" si="33"/>
        <v>0</v>
      </c>
      <c r="O36" s="96">
        <f t="shared" si="37"/>
        <v>0</v>
      </c>
      <c r="P36" s="390"/>
      <c r="Q36" s="483">
        <f t="shared" si="41"/>
        <v>0</v>
      </c>
      <c r="R36" s="251"/>
      <c r="S36" s="246">
        <f t="shared" si="34"/>
        <v>0</v>
      </c>
      <c r="T36" s="391"/>
      <c r="U36" s="484">
        <f t="shared" si="35"/>
        <v>0</v>
      </c>
      <c r="V36" s="246">
        <f t="shared" si="30"/>
        <v>0</v>
      </c>
      <c r="W36" s="391"/>
      <c r="X36" s="484">
        <f t="shared" si="17"/>
        <v>0</v>
      </c>
      <c r="Y36" s="246">
        <f t="shared" si="9"/>
        <v>0</v>
      </c>
      <c r="Z36" s="391"/>
      <c r="AA36" s="484">
        <f t="shared" si="18"/>
        <v>0</v>
      </c>
      <c r="AB36" s="627">
        <f t="shared" si="22"/>
        <v>0</v>
      </c>
      <c r="AC36" s="247"/>
      <c r="AD36" s="630">
        <f t="shared" si="23"/>
        <v>0</v>
      </c>
      <c r="AE36" s="246">
        <f t="shared" si="10"/>
        <v>0</v>
      </c>
      <c r="AF36" s="392"/>
      <c r="AG36" s="484">
        <f t="shared" si="19"/>
        <v>0</v>
      </c>
      <c r="AH36" s="246">
        <f t="shared" si="11"/>
        <v>0</v>
      </c>
      <c r="AI36" s="392"/>
      <c r="AJ36" s="484">
        <f t="shared" si="20"/>
        <v>0</v>
      </c>
      <c r="AK36" s="318">
        <f t="shared" si="12"/>
        <v>0</v>
      </c>
      <c r="AL36" s="391"/>
      <c r="AM36" s="484">
        <f t="shared" si="21"/>
        <v>0</v>
      </c>
      <c r="AN36" s="396">
        <f t="shared" si="24"/>
        <v>0</v>
      </c>
    </row>
    <row r="37" spans="1:41" ht="24" customHeight="1">
      <c r="A37" s="58">
        <f>Gen!B42</f>
        <v>0</v>
      </c>
      <c r="B37" s="3"/>
      <c r="C37" s="96">
        <f t="shared" si="39"/>
        <v>0</v>
      </c>
      <c r="D37" s="1"/>
      <c r="E37" s="483">
        <f t="shared" si="28"/>
        <v>0</v>
      </c>
      <c r="F37" s="96">
        <f t="shared" si="2"/>
        <v>0</v>
      </c>
      <c r="G37" s="394"/>
      <c r="H37" s="483">
        <f t="shared" si="40"/>
        <v>0</v>
      </c>
      <c r="I37" s="96">
        <f t="shared" si="31"/>
        <v>0</v>
      </c>
      <c r="J37" s="1"/>
      <c r="K37" s="483">
        <f t="shared" si="42"/>
        <v>0</v>
      </c>
      <c r="L37" s="96">
        <f t="shared" si="32"/>
        <v>0</v>
      </c>
      <c r="M37" s="1"/>
      <c r="N37" s="483">
        <f t="shared" si="33"/>
        <v>0</v>
      </c>
      <c r="O37" s="96">
        <f t="shared" si="37"/>
        <v>0</v>
      </c>
      <c r="P37" s="390"/>
      <c r="Q37" s="483">
        <f t="shared" si="41"/>
        <v>0</v>
      </c>
      <c r="R37" s="251"/>
      <c r="S37" s="246">
        <f t="shared" si="34"/>
        <v>0</v>
      </c>
      <c r="T37" s="391"/>
      <c r="U37" s="484">
        <f t="shared" si="35"/>
        <v>0</v>
      </c>
      <c r="V37" s="246">
        <f t="shared" si="30"/>
        <v>0</v>
      </c>
      <c r="W37" s="391"/>
      <c r="X37" s="484">
        <f t="shared" si="17"/>
        <v>0</v>
      </c>
      <c r="Y37" s="246">
        <f t="shared" si="9"/>
        <v>0</v>
      </c>
      <c r="Z37" s="391"/>
      <c r="AA37" s="484">
        <f t="shared" si="18"/>
        <v>0</v>
      </c>
      <c r="AB37" s="627">
        <f t="shared" si="22"/>
        <v>0</v>
      </c>
      <c r="AC37" s="247"/>
      <c r="AD37" s="630">
        <f t="shared" si="23"/>
        <v>0</v>
      </c>
      <c r="AE37" s="246">
        <f t="shared" si="10"/>
        <v>0</v>
      </c>
      <c r="AF37" s="392"/>
      <c r="AG37" s="484">
        <f t="shared" si="19"/>
        <v>0</v>
      </c>
      <c r="AH37" s="246">
        <f t="shared" si="11"/>
        <v>0</v>
      </c>
      <c r="AI37" s="392"/>
      <c r="AJ37" s="484">
        <f t="shared" si="20"/>
        <v>0</v>
      </c>
      <c r="AK37" s="318">
        <f t="shared" si="12"/>
        <v>0</v>
      </c>
      <c r="AL37" s="391"/>
      <c r="AM37" s="484">
        <f t="shared" si="21"/>
        <v>0</v>
      </c>
      <c r="AN37" s="396">
        <f t="shared" ref="AN37" si="43">U38+X38+AA38+AD38+AG38+AJ38+AM38</f>
        <v>227</v>
      </c>
    </row>
    <row r="38" spans="1:41" ht="18.75">
      <c r="A38" s="58"/>
      <c r="B38" s="22"/>
      <c r="C38" s="902" t="s">
        <v>6</v>
      </c>
      <c r="D38" s="902"/>
      <c r="E38" s="23">
        <f>SUM(E6:E36)</f>
        <v>233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4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233</v>
      </c>
      <c r="S38" s="248"/>
      <c r="T38" s="248"/>
      <c r="U38" s="258">
        <f>SUM(U6:U37)</f>
        <v>227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4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227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28"/>
      <c r="B42" s="278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20"/>
    </row>
    <row r="43" spans="1:41" ht="24.75" customHeight="1">
      <c r="A43" s="929"/>
      <c r="B43" s="20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20"/>
      <c r="T43" s="487"/>
      <c r="U43" s="487"/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7"/>
      <c r="AH43" s="487"/>
      <c r="AI43" s="487"/>
      <c r="AJ43" s="487"/>
      <c r="AK43" s="487"/>
      <c r="AL43" s="487"/>
      <c r="AM43" s="487"/>
      <c r="AN43" s="487"/>
      <c r="AO43" s="487"/>
    </row>
    <row r="44" spans="1:41" ht="21" customHeight="1" thickBot="1">
      <c r="A44" s="929"/>
      <c r="B44" s="20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20"/>
      <c r="T44" s="487"/>
      <c r="U44" s="487"/>
      <c r="V44" s="487"/>
      <c r="W44" s="487"/>
      <c r="X44" s="487"/>
      <c r="Y44" s="487"/>
      <c r="Z44" s="487"/>
      <c r="AA44" s="487"/>
      <c r="AB44" s="487"/>
      <c r="AC44" s="487"/>
      <c r="AD44" s="487"/>
      <c r="AE44" s="487"/>
      <c r="AF44" s="487"/>
      <c r="AG44" s="487"/>
      <c r="AH44" s="487"/>
      <c r="AI44" s="487"/>
      <c r="AJ44" s="487"/>
      <c r="AK44" s="487"/>
      <c r="AL44" s="487"/>
      <c r="AM44" s="487"/>
      <c r="AN44" s="487"/>
      <c r="AO44" s="487"/>
    </row>
    <row r="45" spans="1:41" ht="21" customHeight="1" thickBot="1">
      <c r="A45" s="930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5"/>
      <c r="H45" s="332" t="s">
        <v>224</v>
      </c>
      <c r="I45" s="331"/>
      <c r="J45" s="332" t="s">
        <v>224</v>
      </c>
      <c r="K45" s="333" t="s">
        <v>224</v>
      </c>
      <c r="R45" s="20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487"/>
      <c r="AJ45" s="487"/>
      <c r="AK45" s="487"/>
      <c r="AL45" s="487"/>
      <c r="AM45" s="487"/>
      <c r="AN45" s="487"/>
      <c r="AO45" s="487"/>
    </row>
    <row r="46" spans="1:41" ht="20.25" customHeight="1">
      <c r="A46" s="294">
        <f>Gen!B11</f>
        <v>44136</v>
      </c>
      <c r="B46" s="20"/>
      <c r="C46" s="63">
        <v>308</v>
      </c>
      <c r="D46" s="328">
        <f t="shared" ref="D46:D77" si="48">C46*217/300</f>
        <v>222.78666666666666</v>
      </c>
      <c r="E46" s="6">
        <v>285</v>
      </c>
      <c r="F46" s="328">
        <f t="shared" ref="F46:F77" si="49">E46*92/305</f>
        <v>85.967213114754102</v>
      </c>
      <c r="G46" s="639">
        <v>40</v>
      </c>
      <c r="H46" s="328">
        <f t="shared" ref="H46:H77" si="50">G46*146/383</f>
        <v>15.248041775456919</v>
      </c>
      <c r="I46" s="6">
        <v>290</v>
      </c>
      <c r="J46" s="328">
        <f t="shared" ref="J46:J77" si="51">I46*213/308</f>
        <v>200.55194805194805</v>
      </c>
      <c r="K46" s="334">
        <f>D46+F46+H46+J46</f>
        <v>524.55386960882572</v>
      </c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487"/>
      <c r="AI46" s="487"/>
      <c r="AJ46" s="487"/>
      <c r="AK46" s="487"/>
      <c r="AL46" s="487"/>
      <c r="AM46" s="487"/>
      <c r="AN46" s="487"/>
      <c r="AO46" s="487"/>
    </row>
    <row r="47" spans="1:41" ht="13.5">
      <c r="A47" s="294">
        <f>Gen!B12</f>
        <v>44137</v>
      </c>
      <c r="B47" s="20"/>
      <c r="C47" s="63">
        <v>136</v>
      </c>
      <c r="D47" s="328">
        <f t="shared" si="48"/>
        <v>98.373333333333335</v>
      </c>
      <c r="E47" s="6">
        <v>100</v>
      </c>
      <c r="F47" s="328">
        <f t="shared" si="49"/>
        <v>30.16393442622951</v>
      </c>
      <c r="G47" s="486">
        <v>220</v>
      </c>
      <c r="H47" s="328">
        <f t="shared" si="50"/>
        <v>83.86422976501305</v>
      </c>
      <c r="I47" s="6">
        <v>295</v>
      </c>
      <c r="J47" s="328">
        <f t="shared" si="51"/>
        <v>204.00974025974025</v>
      </c>
      <c r="K47" s="334">
        <f t="shared" ref="K47:K77" si="52">D47+F47+H47+J47</f>
        <v>416.41123778431614</v>
      </c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487"/>
      <c r="AI47" s="487"/>
      <c r="AJ47" s="487"/>
      <c r="AK47" s="487"/>
      <c r="AL47" s="487"/>
      <c r="AM47" s="487"/>
      <c r="AN47" s="487"/>
      <c r="AO47" s="487"/>
    </row>
    <row r="48" spans="1:41" ht="13.5">
      <c r="A48" s="294">
        <f>Gen!B13</f>
        <v>44138</v>
      </c>
      <c r="B48" s="20"/>
      <c r="C48" s="63">
        <v>128</v>
      </c>
      <c r="D48" s="328">
        <f t="shared" si="48"/>
        <v>92.586666666666673</v>
      </c>
      <c r="E48" s="6">
        <v>96</v>
      </c>
      <c r="F48" s="328">
        <f t="shared" si="49"/>
        <v>28.957377049180327</v>
      </c>
      <c r="G48" s="486">
        <v>255</v>
      </c>
      <c r="H48" s="328">
        <f t="shared" si="50"/>
        <v>97.206266318537857</v>
      </c>
      <c r="I48" s="6">
        <v>292</v>
      </c>
      <c r="J48" s="328">
        <f t="shared" si="51"/>
        <v>201.93506493506493</v>
      </c>
      <c r="K48" s="334">
        <f t="shared" si="52"/>
        <v>420.68537496944975</v>
      </c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87"/>
      <c r="AI48" s="487"/>
      <c r="AJ48" s="487"/>
      <c r="AK48" s="487"/>
      <c r="AL48" s="487"/>
      <c r="AM48" s="487"/>
      <c r="AN48" s="487"/>
      <c r="AO48" s="487"/>
    </row>
    <row r="49" spans="1:15" ht="13.5">
      <c r="A49" s="294">
        <f>Gen!B14</f>
        <v>44139</v>
      </c>
      <c r="B49" s="20"/>
      <c r="C49" s="63">
        <v>190</v>
      </c>
      <c r="D49" s="328">
        <f t="shared" si="48"/>
        <v>137.43333333333334</v>
      </c>
      <c r="E49" s="6">
        <v>155</v>
      </c>
      <c r="F49" s="328">
        <f t="shared" si="49"/>
        <v>46.754098360655739</v>
      </c>
      <c r="G49" s="486">
        <v>165</v>
      </c>
      <c r="H49" s="328">
        <f t="shared" si="50"/>
        <v>62.898172323759788</v>
      </c>
      <c r="I49" s="6">
        <v>288</v>
      </c>
      <c r="J49" s="328">
        <f t="shared" si="51"/>
        <v>199.16883116883116</v>
      </c>
      <c r="K49" s="334">
        <f t="shared" si="52"/>
        <v>446.25443518658005</v>
      </c>
    </row>
    <row r="50" spans="1:15" ht="13.5">
      <c r="A50" s="294">
        <f>Gen!B15</f>
        <v>44140</v>
      </c>
      <c r="B50" s="20"/>
      <c r="C50" s="63">
        <v>276</v>
      </c>
      <c r="D50" s="328">
        <f t="shared" si="48"/>
        <v>199.64</v>
      </c>
      <c r="E50" s="6">
        <v>240</v>
      </c>
      <c r="F50" s="328">
        <f t="shared" si="49"/>
        <v>72.393442622950815</v>
      </c>
      <c r="G50" s="486">
        <v>160</v>
      </c>
      <c r="H50" s="328">
        <f t="shared" si="50"/>
        <v>60.992167101827675</v>
      </c>
      <c r="I50" s="6">
        <v>290</v>
      </c>
      <c r="J50" s="328">
        <f t="shared" si="51"/>
        <v>200.55194805194805</v>
      </c>
      <c r="K50" s="334">
        <f t="shared" si="52"/>
        <v>533.57755777672651</v>
      </c>
    </row>
    <row r="51" spans="1:15" ht="13.5">
      <c r="A51" s="294">
        <f>Gen!B16</f>
        <v>44141</v>
      </c>
      <c r="B51" s="20"/>
      <c r="C51" s="63"/>
      <c r="D51" s="328">
        <f t="shared" si="48"/>
        <v>0</v>
      </c>
      <c r="E51" s="6"/>
      <c r="F51" s="328">
        <f t="shared" si="49"/>
        <v>0</v>
      </c>
      <c r="G51" s="486"/>
      <c r="H51" s="328">
        <f t="shared" si="50"/>
        <v>0</v>
      </c>
      <c r="I51" s="6"/>
      <c r="J51" s="328">
        <f t="shared" si="51"/>
        <v>0</v>
      </c>
      <c r="K51" s="334">
        <f t="shared" si="52"/>
        <v>0</v>
      </c>
    </row>
    <row r="52" spans="1:15" ht="13.5">
      <c r="A52" s="294">
        <f>Gen!B17</f>
        <v>44142</v>
      </c>
      <c r="B52" s="20"/>
      <c r="C52" s="63"/>
      <c r="D52" s="328">
        <f t="shared" si="48"/>
        <v>0</v>
      </c>
      <c r="E52" s="6"/>
      <c r="F52" s="328">
        <f t="shared" si="49"/>
        <v>0</v>
      </c>
      <c r="G52" s="486"/>
      <c r="H52" s="328">
        <f t="shared" si="50"/>
        <v>0</v>
      </c>
      <c r="I52" s="6"/>
      <c r="J52" s="328">
        <f t="shared" si="51"/>
        <v>0</v>
      </c>
      <c r="K52" s="334">
        <f t="shared" si="52"/>
        <v>0</v>
      </c>
    </row>
    <row r="53" spans="1:15" ht="13.5">
      <c r="A53" s="294">
        <f>Gen!B18</f>
        <v>44143</v>
      </c>
      <c r="B53" s="20"/>
      <c r="C53" s="63"/>
      <c r="D53" s="328">
        <f t="shared" si="48"/>
        <v>0</v>
      </c>
      <c r="E53" s="6"/>
      <c r="F53" s="328">
        <f t="shared" si="49"/>
        <v>0</v>
      </c>
      <c r="G53" s="486"/>
      <c r="H53" s="328">
        <f t="shared" si="50"/>
        <v>0</v>
      </c>
      <c r="I53" s="6"/>
      <c r="J53" s="328">
        <f t="shared" si="51"/>
        <v>0</v>
      </c>
      <c r="K53" s="334">
        <f t="shared" si="52"/>
        <v>0</v>
      </c>
    </row>
    <row r="54" spans="1:15" ht="13.5">
      <c r="A54" s="294">
        <f>Gen!B19</f>
        <v>44144</v>
      </c>
      <c r="B54" s="20"/>
      <c r="C54" s="63"/>
      <c r="D54" s="328">
        <f t="shared" si="48"/>
        <v>0</v>
      </c>
      <c r="E54" s="6"/>
      <c r="F54" s="328">
        <f t="shared" si="49"/>
        <v>0</v>
      </c>
      <c r="G54" s="486"/>
      <c r="H54" s="328">
        <f t="shared" si="50"/>
        <v>0</v>
      </c>
      <c r="I54" s="6"/>
      <c r="J54" s="328">
        <f t="shared" si="51"/>
        <v>0</v>
      </c>
      <c r="K54" s="334">
        <f t="shared" si="52"/>
        <v>0</v>
      </c>
    </row>
    <row r="55" spans="1:15" ht="13.5">
      <c r="A55" s="294">
        <f>Gen!B20</f>
        <v>44145</v>
      </c>
      <c r="B55" s="20"/>
      <c r="C55" s="63"/>
      <c r="D55" s="328">
        <f t="shared" si="48"/>
        <v>0</v>
      </c>
      <c r="E55" s="6"/>
      <c r="F55" s="328">
        <f t="shared" si="49"/>
        <v>0</v>
      </c>
      <c r="G55" s="486"/>
      <c r="H55" s="328">
        <f t="shared" si="50"/>
        <v>0</v>
      </c>
      <c r="I55" s="6"/>
      <c r="J55" s="328">
        <f t="shared" si="51"/>
        <v>0</v>
      </c>
      <c r="K55" s="334">
        <f t="shared" si="52"/>
        <v>0</v>
      </c>
    </row>
    <row r="56" spans="1:15" ht="13.5">
      <c r="A56" s="294">
        <f>Gen!B21</f>
        <v>44146</v>
      </c>
      <c r="B56" s="20"/>
      <c r="C56" s="63"/>
      <c r="D56" s="328">
        <f t="shared" si="48"/>
        <v>0</v>
      </c>
      <c r="E56" s="6"/>
      <c r="F56" s="328">
        <f t="shared" si="49"/>
        <v>0</v>
      </c>
      <c r="G56" s="486"/>
      <c r="H56" s="328">
        <f t="shared" si="50"/>
        <v>0</v>
      </c>
      <c r="I56" s="6"/>
      <c r="J56" s="328">
        <f t="shared" si="51"/>
        <v>0</v>
      </c>
      <c r="K56" s="334">
        <f t="shared" si="52"/>
        <v>0</v>
      </c>
    </row>
    <row r="57" spans="1:15" ht="13.5">
      <c r="A57" s="294">
        <f>Gen!B22</f>
        <v>44147</v>
      </c>
      <c r="B57" s="20"/>
      <c r="C57" s="63"/>
      <c r="D57" s="328">
        <f t="shared" si="48"/>
        <v>0</v>
      </c>
      <c r="E57" s="6"/>
      <c r="F57" s="328">
        <f t="shared" si="49"/>
        <v>0</v>
      </c>
      <c r="G57" s="486"/>
      <c r="H57" s="328">
        <f t="shared" si="50"/>
        <v>0</v>
      </c>
      <c r="I57" s="6"/>
      <c r="J57" s="328">
        <f t="shared" si="51"/>
        <v>0</v>
      </c>
      <c r="K57" s="334">
        <f t="shared" si="52"/>
        <v>0</v>
      </c>
    </row>
    <row r="58" spans="1:15" ht="13.5">
      <c r="A58" s="294">
        <f>Gen!B23</f>
        <v>44148</v>
      </c>
      <c r="B58" s="20"/>
      <c r="C58" s="63"/>
      <c r="D58" s="328">
        <f t="shared" si="48"/>
        <v>0</v>
      </c>
      <c r="E58" s="6"/>
      <c r="F58" s="328">
        <f t="shared" si="49"/>
        <v>0</v>
      </c>
      <c r="G58" s="486"/>
      <c r="H58" s="328">
        <f t="shared" si="50"/>
        <v>0</v>
      </c>
      <c r="I58" s="6"/>
      <c r="J58" s="328">
        <f t="shared" si="51"/>
        <v>0</v>
      </c>
      <c r="K58" s="334">
        <f t="shared" si="52"/>
        <v>0</v>
      </c>
    </row>
    <row r="59" spans="1:15" ht="13.5">
      <c r="A59" s="294">
        <f>Gen!B24</f>
        <v>44149</v>
      </c>
      <c r="B59" s="20"/>
      <c r="C59" s="63"/>
      <c r="D59" s="328">
        <f t="shared" si="48"/>
        <v>0</v>
      </c>
      <c r="E59" s="6"/>
      <c r="F59" s="328">
        <f t="shared" si="49"/>
        <v>0</v>
      </c>
      <c r="G59" s="486"/>
      <c r="H59" s="328">
        <f t="shared" si="50"/>
        <v>0</v>
      </c>
      <c r="I59" s="6"/>
      <c r="J59" s="328">
        <f t="shared" si="51"/>
        <v>0</v>
      </c>
      <c r="K59" s="334">
        <f t="shared" si="52"/>
        <v>0</v>
      </c>
    </row>
    <row r="60" spans="1:15" ht="13.5">
      <c r="A60" s="294">
        <f>Gen!B25</f>
        <v>44150</v>
      </c>
      <c r="B60" s="20"/>
      <c r="C60" s="63"/>
      <c r="D60" s="328">
        <f t="shared" si="48"/>
        <v>0</v>
      </c>
      <c r="E60" s="6"/>
      <c r="F60" s="328">
        <f t="shared" si="49"/>
        <v>0</v>
      </c>
      <c r="G60" s="486"/>
      <c r="H60" s="328">
        <f t="shared" si="50"/>
        <v>0</v>
      </c>
      <c r="I60" s="6"/>
      <c r="J60" s="328">
        <f t="shared" si="51"/>
        <v>0</v>
      </c>
      <c r="K60" s="334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44151</v>
      </c>
      <c r="B61" s="20"/>
      <c r="C61" s="63"/>
      <c r="D61" s="328">
        <f t="shared" si="48"/>
        <v>0</v>
      </c>
      <c r="E61" s="6"/>
      <c r="F61" s="328">
        <f t="shared" si="49"/>
        <v>0</v>
      </c>
      <c r="G61" s="486"/>
      <c r="H61" s="328">
        <f t="shared" si="50"/>
        <v>0</v>
      </c>
      <c r="I61" s="6"/>
      <c r="J61" s="328">
        <f t="shared" si="51"/>
        <v>0</v>
      </c>
      <c r="K61" s="334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44152</v>
      </c>
      <c r="B62" s="20"/>
      <c r="C62" s="63"/>
      <c r="D62" s="328">
        <f t="shared" si="48"/>
        <v>0</v>
      </c>
      <c r="E62" s="6"/>
      <c r="F62" s="328">
        <f t="shared" si="49"/>
        <v>0</v>
      </c>
      <c r="G62" s="486"/>
      <c r="H62" s="328">
        <f t="shared" si="50"/>
        <v>0</v>
      </c>
      <c r="I62" s="6"/>
      <c r="J62" s="328">
        <f t="shared" si="51"/>
        <v>0</v>
      </c>
      <c r="K62" s="334">
        <f t="shared" si="52"/>
        <v>0</v>
      </c>
    </row>
    <row r="63" spans="1:15" ht="13.5">
      <c r="A63" s="294">
        <f>Gen!B28</f>
        <v>44153</v>
      </c>
      <c r="B63" s="20"/>
      <c r="C63" s="63"/>
      <c r="D63" s="328">
        <f t="shared" si="48"/>
        <v>0</v>
      </c>
      <c r="E63" s="6"/>
      <c r="F63" s="328">
        <f t="shared" si="49"/>
        <v>0</v>
      </c>
      <c r="G63" s="486"/>
      <c r="H63" s="328">
        <f t="shared" si="50"/>
        <v>0</v>
      </c>
      <c r="I63" s="6"/>
      <c r="J63" s="328">
        <f t="shared" si="51"/>
        <v>0</v>
      </c>
      <c r="K63" s="334">
        <f t="shared" si="52"/>
        <v>0</v>
      </c>
    </row>
    <row r="64" spans="1:15" ht="13.5">
      <c r="A64" s="294">
        <f>Gen!B29</f>
        <v>44154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6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44155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6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44156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6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44157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6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44158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6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44159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6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44160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6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44161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6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44162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6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44163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6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44164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6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44165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6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44166</v>
      </c>
      <c r="C76" s="63"/>
      <c r="D76" s="328">
        <f t="shared" si="48"/>
        <v>0</v>
      </c>
      <c r="E76" s="6"/>
      <c r="F76" s="328">
        <f t="shared" si="49"/>
        <v>0</v>
      </c>
      <c r="G76" s="486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0</v>
      </c>
      <c r="C77" s="63"/>
      <c r="D77" s="328">
        <f t="shared" si="48"/>
        <v>0</v>
      </c>
      <c r="E77" s="6"/>
      <c r="F77" s="328">
        <f t="shared" si="49"/>
        <v>0</v>
      </c>
      <c r="G77" s="486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44136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44137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44138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44139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44140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44141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44142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44143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44144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44145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44146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44147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44148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44149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44150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44151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44152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44153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44154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44155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44156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44157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44158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44159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44160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44161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44162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44163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44164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44165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44166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3" t="s">
        <v>316</v>
      </c>
      <c r="B2" s="864"/>
      <c r="C2" s="864"/>
      <c r="D2" s="864"/>
      <c r="E2" s="865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3" t="s">
        <v>68</v>
      </c>
      <c r="S2" s="44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4"/>
      <c r="U3" s="445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44136</v>
      </c>
      <c r="B5" s="83">
        <v>0</v>
      </c>
      <c r="C5" s="88">
        <f>Gen!C11</f>
        <v>2.5999999999999999E-2</v>
      </c>
      <c r="D5" s="442">
        <f>SUM(77*C5)</f>
        <v>2.0019999999999998</v>
      </c>
      <c r="E5" s="75"/>
      <c r="F5" s="71">
        <f>Gen!U11</f>
        <v>2415</v>
      </c>
      <c r="G5" s="86">
        <f>Gen!T11</f>
        <v>956.05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54</v>
      </c>
      <c r="L5" s="456">
        <f>'Lpg (2)'!G10</f>
        <v>0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6" t="e">
        <f>SUM(Q5/E5)/X5</f>
        <v>#REF!</v>
      </c>
      <c r="T5" s="77">
        <f>(K5*102)/X5</f>
        <v>3.4772727272727271</v>
      </c>
      <c r="U5" s="123">
        <f>SUM(L5*1963)/X5</f>
        <v>0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7">
        <v>106</v>
      </c>
      <c r="Z5" s="80" t="e">
        <f>SUM(Y5-S5)</f>
        <v>#REF!</v>
      </c>
      <c r="AA5">
        <v>106</v>
      </c>
    </row>
    <row r="6" spans="1:27">
      <c r="A6" s="54">
        <f>Gen!B12</f>
        <v>44137</v>
      </c>
      <c r="B6" s="83">
        <v>0</v>
      </c>
      <c r="C6" s="88">
        <f>Gen!C12</f>
        <v>5.1900000000000002E-2</v>
      </c>
      <c r="D6" s="442">
        <f t="shared" ref="D6:D35" si="2">SUM(77*C6)</f>
        <v>3.9963000000000002</v>
      </c>
      <c r="E6" s="75"/>
      <c r="F6" s="71">
        <f>Gen!U12</f>
        <v>2617</v>
      </c>
      <c r="G6" s="86">
        <f>Gen!T12</f>
        <v>1107.92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48</v>
      </c>
      <c r="L6" s="456">
        <f>'Lpg (2)'!G11</f>
        <v>57.420000000012813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6" t="e">
        <f t="shared" ref="S6:S35" si="4">SUM(Q6/E6)/X6</f>
        <v>#REF!</v>
      </c>
      <c r="T6" s="77">
        <f t="shared" ref="T6:T35" si="5">(K6*102)/X6</f>
        <v>3.0909090909090908</v>
      </c>
      <c r="U6" s="123">
        <f t="shared" ref="U6:U35" si="6">SUM(L6*1963)/X6</f>
        <v>71.158750000015885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7">
        <v>106</v>
      </c>
      <c r="Z6" s="80" t="e">
        <f t="shared" ref="Z6:Z35" si="8">SUM(Y6-S6)</f>
        <v>#REF!</v>
      </c>
    </row>
    <row r="7" spans="1:27">
      <c r="A7" s="54">
        <f>Gen!B13</f>
        <v>44138</v>
      </c>
      <c r="B7" s="83">
        <v>0</v>
      </c>
      <c r="C7" s="88">
        <f>Gen!C13</f>
        <v>7.7899999999999997E-2</v>
      </c>
      <c r="D7" s="442">
        <f t="shared" si="2"/>
        <v>5.9982999999999995</v>
      </c>
      <c r="E7" s="75"/>
      <c r="F7" s="71">
        <f>Gen!U13</f>
        <v>2592</v>
      </c>
      <c r="G7" s="86">
        <f>Gen!T13</f>
        <v>1164.9899999999998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81</v>
      </c>
      <c r="L7" s="456">
        <f>'Lpg (2)'!G12</f>
        <v>50.159999999974396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6" t="e">
        <f t="shared" si="4"/>
        <v>#REF!</v>
      </c>
      <c r="T7" s="77">
        <f t="shared" si="5"/>
        <v>5.2159090909090908</v>
      </c>
      <c r="U7" s="123">
        <f t="shared" si="6"/>
        <v>62.161666666634936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7">
        <v>106</v>
      </c>
      <c r="Z7" s="80" t="e">
        <f t="shared" si="8"/>
        <v>#REF!</v>
      </c>
    </row>
    <row r="8" spans="1:27">
      <c r="A8" s="54">
        <f>Gen!B14</f>
        <v>44139</v>
      </c>
      <c r="B8" s="83">
        <v>0</v>
      </c>
      <c r="C8" s="88">
        <f>Gen!C14</f>
        <v>6.4899999999999999E-2</v>
      </c>
      <c r="D8" s="442">
        <f t="shared" si="2"/>
        <v>4.9973000000000001</v>
      </c>
      <c r="E8" s="75"/>
      <c r="F8" s="71">
        <f>Gen!U14</f>
        <v>2655</v>
      </c>
      <c r="G8" s="86">
        <f>Gen!T14</f>
        <v>1046.3499999999999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50</v>
      </c>
      <c r="L8" s="456">
        <f>'Lpg (2)'!G13</f>
        <v>57.815999999997445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6" t="e">
        <f t="shared" si="4"/>
        <v>#REF!</v>
      </c>
      <c r="T8" s="77">
        <f t="shared" si="5"/>
        <v>3.2196969696969697</v>
      </c>
      <c r="U8" s="123">
        <f t="shared" si="6"/>
        <v>71.649499999996834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7">
        <v>106</v>
      </c>
      <c r="Z8" s="80" t="e">
        <f t="shared" si="8"/>
        <v>#REF!</v>
      </c>
    </row>
    <row r="9" spans="1:27">
      <c r="A9" s="54">
        <f>Gen!B15</f>
        <v>44140</v>
      </c>
      <c r="B9" s="83">
        <v>0</v>
      </c>
      <c r="C9" s="88">
        <f>Gen!C15</f>
        <v>0</v>
      </c>
      <c r="D9" s="442">
        <f t="shared" si="2"/>
        <v>0</v>
      </c>
      <c r="E9" s="75"/>
      <c r="F9" s="71">
        <f>Gen!U15</f>
        <v>0</v>
      </c>
      <c r="G9" s="86">
        <f>Gen!T15</f>
        <v>0</v>
      </c>
      <c r="H9" s="86">
        <f>[1]Gen!AJ10</f>
        <v>0</v>
      </c>
      <c r="I9" s="86">
        <f t="shared" si="0"/>
        <v>0</v>
      </c>
      <c r="J9" s="86">
        <f>[1]Gen!AT15</f>
        <v>37525.210000000021</v>
      </c>
      <c r="K9" s="70" t="str">
        <f>'Water-Meter'!E10</f>
        <v>0</v>
      </c>
      <c r="L9" s="456">
        <f>'Lpg (2)'!G14</f>
        <v>-321299.17599999998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0</v>
      </c>
      <c r="R9" s="77" t="e">
        <f t="shared" si="3"/>
        <v>#DIV/0!</v>
      </c>
      <c r="S9" s="446" t="e">
        <f t="shared" si="4"/>
        <v>#DIV/0!</v>
      </c>
      <c r="T9" s="77">
        <f t="shared" si="5"/>
        <v>0</v>
      </c>
      <c r="U9" s="123">
        <f t="shared" si="6"/>
        <v>-398175.68338888884</v>
      </c>
      <c r="V9" s="18">
        <f t="shared" si="7"/>
        <v>-398175.68338888884</v>
      </c>
      <c r="W9" s="125" t="e">
        <f>SUM(V9/E9)/T2</f>
        <v>#DIV/0!</v>
      </c>
      <c r="X9">
        <f t="shared" si="9"/>
        <v>1584</v>
      </c>
      <c r="Y9" s="447">
        <v>106</v>
      </c>
      <c r="Z9" s="80" t="e">
        <f t="shared" si="8"/>
        <v>#DIV/0!</v>
      </c>
    </row>
    <row r="10" spans="1:27">
      <c r="A10" s="54">
        <f>Gen!B16</f>
        <v>44141</v>
      </c>
      <c r="B10" s="83">
        <v>0</v>
      </c>
      <c r="C10" s="88">
        <f>Gen!C16</f>
        <v>0</v>
      </c>
      <c r="D10" s="442">
        <f t="shared" si="2"/>
        <v>0</v>
      </c>
      <c r="E10" s="75"/>
      <c r="F10" s="71">
        <f>Gen!U16</f>
        <v>0</v>
      </c>
      <c r="G10" s="86">
        <f>Gen!T16</f>
        <v>0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0</v>
      </c>
      <c r="L10" s="456">
        <f>'Lpg (2)'!G15</f>
        <v>0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6" t="e">
        <f t="shared" si="4"/>
        <v>#REF!</v>
      </c>
      <c r="T10" s="77">
        <f t="shared" si="5"/>
        <v>0</v>
      </c>
      <c r="U10" s="123">
        <f t="shared" si="6"/>
        <v>0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7">
        <v>106</v>
      </c>
      <c r="Z10" s="80" t="e">
        <f t="shared" si="8"/>
        <v>#REF!</v>
      </c>
    </row>
    <row r="11" spans="1:27">
      <c r="A11" s="54">
        <f>Gen!B17</f>
        <v>44142</v>
      </c>
      <c r="B11" s="83">
        <v>0</v>
      </c>
      <c r="C11" s="88">
        <f>Gen!C17</f>
        <v>0</v>
      </c>
      <c r="D11" s="442">
        <f t="shared" si="2"/>
        <v>0</v>
      </c>
      <c r="E11" s="75"/>
      <c r="F11" s="71">
        <f>Gen!U17</f>
        <v>0</v>
      </c>
      <c r="G11" s="86">
        <f>Gen!T17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>
        <f>'Water-Meter'!E12</f>
        <v>0</v>
      </c>
      <c r="L11" s="456">
        <f>'Lpg (2)'!G16</f>
        <v>0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 t="e">
        <f t="shared" si="3"/>
        <v>#DIV/0!</v>
      </c>
      <c r="S11" s="446" t="e">
        <f t="shared" si="4"/>
        <v>#DIV/0!</v>
      </c>
      <c r="T11" s="77">
        <f t="shared" si="5"/>
        <v>0</v>
      </c>
      <c r="U11" s="123">
        <f t="shared" si="6"/>
        <v>0</v>
      </c>
      <c r="V11" s="18">
        <f t="shared" si="7"/>
        <v>178025.516</v>
      </c>
      <c r="W11" s="125" t="e">
        <f>SUM(V11/E11)/T2</f>
        <v>#DIV/0!</v>
      </c>
      <c r="X11">
        <f t="shared" si="9"/>
        <v>1584</v>
      </c>
      <c r="Y11" s="447">
        <v>106</v>
      </c>
      <c r="Z11" s="80" t="e">
        <f t="shared" si="8"/>
        <v>#DIV/0!</v>
      </c>
    </row>
    <row r="12" spans="1:27">
      <c r="A12" s="54">
        <f>Gen!B18</f>
        <v>44143</v>
      </c>
      <c r="B12" s="83">
        <v>0</v>
      </c>
      <c r="C12" s="88">
        <f>Gen!C18</f>
        <v>0</v>
      </c>
      <c r="D12" s="442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456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6" t="e">
        <f t="shared" si="4"/>
        <v>#REF!</v>
      </c>
      <c r="T12" s="77">
        <f t="shared" si="5"/>
        <v>0</v>
      </c>
      <c r="U12" s="123">
        <f t="shared" si="6"/>
        <v>0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7">
        <v>106</v>
      </c>
      <c r="Z12" s="80" t="e">
        <f t="shared" si="8"/>
        <v>#REF!</v>
      </c>
    </row>
    <row r="13" spans="1:27">
      <c r="A13" s="54">
        <f>Gen!B19</f>
        <v>44144</v>
      </c>
      <c r="B13" s="83">
        <v>0</v>
      </c>
      <c r="C13" s="88">
        <f>Gen!C19</f>
        <v>0</v>
      </c>
      <c r="D13" s="442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456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6" t="e">
        <f t="shared" si="4"/>
        <v>#REF!</v>
      </c>
      <c r="T13" s="77">
        <f t="shared" si="5"/>
        <v>0</v>
      </c>
      <c r="U13" s="123">
        <f t="shared" si="6"/>
        <v>0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7">
        <v>106</v>
      </c>
      <c r="Z13" s="80" t="e">
        <f t="shared" si="8"/>
        <v>#REF!</v>
      </c>
    </row>
    <row r="14" spans="1:27">
      <c r="A14" s="54">
        <f>Gen!B20</f>
        <v>44145</v>
      </c>
      <c r="B14" s="83">
        <v>0</v>
      </c>
      <c r="C14" s="88">
        <f>Gen!C20</f>
        <v>0</v>
      </c>
      <c r="D14" s="44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45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6" t="e">
        <f t="shared" si="4"/>
        <v>#REF!</v>
      </c>
      <c r="T14" s="77">
        <f t="shared" si="5"/>
        <v>0</v>
      </c>
      <c r="U14" s="123">
        <f t="shared" si="6"/>
        <v>0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7">
        <v>106</v>
      </c>
      <c r="Z14" s="80" t="e">
        <f t="shared" si="8"/>
        <v>#REF!</v>
      </c>
    </row>
    <row r="15" spans="1:27">
      <c r="A15" s="54">
        <f>Gen!B21</f>
        <v>44146</v>
      </c>
      <c r="B15" s="83">
        <v>0</v>
      </c>
      <c r="C15" s="88">
        <f>Gen!C21</f>
        <v>0</v>
      </c>
      <c r="D15" s="44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45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6" t="e">
        <f t="shared" si="4"/>
        <v>#REF!</v>
      </c>
      <c r="T15" s="77">
        <f t="shared" si="5"/>
        <v>0</v>
      </c>
      <c r="U15" s="123">
        <f t="shared" si="6"/>
        <v>0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7">
        <v>106</v>
      </c>
      <c r="Z15" s="80" t="e">
        <f t="shared" si="8"/>
        <v>#REF!</v>
      </c>
    </row>
    <row r="16" spans="1:27">
      <c r="A16" s="54">
        <f>Gen!B22</f>
        <v>44147</v>
      </c>
      <c r="B16" s="83">
        <v>0</v>
      </c>
      <c r="C16" s="88">
        <f>Gen!C22</f>
        <v>0</v>
      </c>
      <c r="D16" s="44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45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6" t="e">
        <f t="shared" si="4"/>
        <v>#REF!</v>
      </c>
      <c r="T16" s="77">
        <f t="shared" si="5"/>
        <v>0</v>
      </c>
      <c r="U16" s="123">
        <f t="shared" si="6"/>
        <v>0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7">
        <v>106</v>
      </c>
      <c r="Z16" s="80" t="e">
        <f t="shared" si="8"/>
        <v>#REF!</v>
      </c>
    </row>
    <row r="17" spans="1:26">
      <c r="A17" s="54">
        <f>Gen!B23</f>
        <v>44148</v>
      </c>
      <c r="B17" s="83">
        <v>0</v>
      </c>
      <c r="C17" s="88">
        <f>Gen!C23</f>
        <v>0</v>
      </c>
      <c r="D17" s="44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45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6" t="e">
        <f t="shared" si="4"/>
        <v>#REF!</v>
      </c>
      <c r="T17" s="77">
        <f t="shared" si="5"/>
        <v>0</v>
      </c>
      <c r="U17" s="123">
        <f t="shared" si="6"/>
        <v>0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7">
        <v>106</v>
      </c>
      <c r="Z17" s="80" t="e">
        <f t="shared" si="8"/>
        <v>#REF!</v>
      </c>
    </row>
    <row r="18" spans="1:26">
      <c r="A18" s="54">
        <f>Gen!B24</f>
        <v>44149</v>
      </c>
      <c r="B18" s="83">
        <v>0</v>
      </c>
      <c r="C18" s="88">
        <f>Gen!C24</f>
        <v>0</v>
      </c>
      <c r="D18" s="44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6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7">
        <v>106</v>
      </c>
      <c r="Z18" s="80" t="e">
        <f t="shared" si="8"/>
        <v>#DIV/0!</v>
      </c>
    </row>
    <row r="19" spans="1:26">
      <c r="A19" s="54">
        <f>Gen!B25</f>
        <v>44150</v>
      </c>
      <c r="B19" s="83">
        <v>0</v>
      </c>
      <c r="C19" s="88">
        <f>Gen!C25</f>
        <v>0</v>
      </c>
      <c r="D19" s="44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6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7">
        <v>106</v>
      </c>
      <c r="Z19" s="80" t="e">
        <f t="shared" si="8"/>
        <v>#DIV/0!</v>
      </c>
    </row>
    <row r="20" spans="1:26">
      <c r="A20" s="54">
        <f>Gen!B26</f>
        <v>44151</v>
      </c>
      <c r="B20" s="83">
        <v>0</v>
      </c>
      <c r="C20" s="88">
        <f>Gen!C26</f>
        <v>0</v>
      </c>
      <c r="D20" s="44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6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7">
        <v>106</v>
      </c>
      <c r="Z20" s="80" t="e">
        <f t="shared" si="8"/>
        <v>#DIV/0!</v>
      </c>
    </row>
    <row r="21" spans="1:26">
      <c r="A21" s="54">
        <f>Gen!B27</f>
        <v>44152</v>
      </c>
      <c r="B21" s="83">
        <v>0</v>
      </c>
      <c r="C21" s="88">
        <f>Gen!C27</f>
        <v>0</v>
      </c>
      <c r="D21" s="44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6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7">
        <v>106</v>
      </c>
      <c r="Z21" s="80" t="e">
        <f t="shared" si="8"/>
        <v>#DIV/0!</v>
      </c>
    </row>
    <row r="22" spans="1:26">
      <c r="A22" s="54">
        <f>Gen!B28</f>
        <v>44153</v>
      </c>
      <c r="B22" s="83">
        <v>0</v>
      </c>
      <c r="C22" s="88">
        <f>Gen!C28</f>
        <v>0</v>
      </c>
      <c r="D22" s="44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6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7">
        <v>106</v>
      </c>
      <c r="Z22" s="80" t="e">
        <f t="shared" si="8"/>
        <v>#REF!</v>
      </c>
    </row>
    <row r="23" spans="1:26">
      <c r="A23" s="54">
        <f>Gen!B29</f>
        <v>44154</v>
      </c>
      <c r="B23" s="83">
        <v>0</v>
      </c>
      <c r="C23" s="88">
        <f>Gen!C29</f>
        <v>0</v>
      </c>
      <c r="D23" s="44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6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7">
        <v>106</v>
      </c>
      <c r="Z23" s="80" t="e">
        <f t="shared" si="8"/>
        <v>#REF!</v>
      </c>
    </row>
    <row r="24" spans="1:26">
      <c r="A24" s="54">
        <f>Gen!B30</f>
        <v>44155</v>
      </c>
      <c r="B24" s="83">
        <v>0</v>
      </c>
      <c r="C24" s="88">
        <f>Gen!C30</f>
        <v>0</v>
      </c>
      <c r="D24" s="44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6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7">
        <v>106</v>
      </c>
      <c r="Z24" s="80" t="e">
        <f t="shared" si="8"/>
        <v>#REF!</v>
      </c>
    </row>
    <row r="25" spans="1:26">
      <c r="A25" s="54">
        <f>Gen!B31</f>
        <v>44156</v>
      </c>
      <c r="B25" s="83">
        <v>0</v>
      </c>
      <c r="C25" s="88">
        <f>Gen!C31</f>
        <v>0</v>
      </c>
      <c r="D25" s="44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6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7">
        <v>106</v>
      </c>
      <c r="Z25" s="80" t="e">
        <f t="shared" si="8"/>
        <v>#DIV/0!</v>
      </c>
    </row>
    <row r="26" spans="1:26">
      <c r="A26" s="54">
        <f>Gen!B32</f>
        <v>44157</v>
      </c>
      <c r="B26" s="83">
        <v>0</v>
      </c>
      <c r="C26" s="88">
        <f>Gen!C32</f>
        <v>0</v>
      </c>
      <c r="D26" s="44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6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7">
        <v>106</v>
      </c>
      <c r="Z26" s="80" t="e">
        <f t="shared" si="8"/>
        <v>#DIV/0!</v>
      </c>
    </row>
    <row r="27" spans="1:26">
      <c r="A27" s="54">
        <f>Gen!B33</f>
        <v>44158</v>
      </c>
      <c r="B27" s="83">
        <v>0</v>
      </c>
      <c r="C27" s="88">
        <f>Gen!C33</f>
        <v>0</v>
      </c>
      <c r="D27" s="44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6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7">
        <v>106</v>
      </c>
      <c r="Z27" s="80" t="e">
        <f t="shared" si="8"/>
        <v>#DIV/0!</v>
      </c>
    </row>
    <row r="28" spans="1:26">
      <c r="A28" s="54">
        <f>Gen!B34</f>
        <v>44159</v>
      </c>
      <c r="B28" s="83">
        <v>0</v>
      </c>
      <c r="C28" s="88">
        <f>Gen!C34</f>
        <v>0</v>
      </c>
      <c r="D28" s="44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6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7">
        <v>106</v>
      </c>
      <c r="Z28" s="80" t="e">
        <f t="shared" si="8"/>
        <v>#DIV/0!</v>
      </c>
    </row>
    <row r="29" spans="1:26">
      <c r="A29" s="54">
        <f>Gen!B35</f>
        <v>44160</v>
      </c>
      <c r="B29" s="83">
        <v>0</v>
      </c>
      <c r="C29" s="88">
        <f>Gen!C35</f>
        <v>0</v>
      </c>
      <c r="D29" s="44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6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7">
        <v>106</v>
      </c>
      <c r="Z29" s="80" t="e">
        <f t="shared" si="8"/>
        <v>#DIV/0!</v>
      </c>
    </row>
    <row r="30" spans="1:26">
      <c r="A30" s="54">
        <f>Gen!B36</f>
        <v>44161</v>
      </c>
      <c r="B30" s="83">
        <v>0</v>
      </c>
      <c r="C30" s="88">
        <f>Gen!C36</f>
        <v>0</v>
      </c>
      <c r="D30" s="44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6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7">
        <v>106</v>
      </c>
      <c r="Z30" s="80" t="e">
        <f t="shared" si="8"/>
        <v>#DIV/0!</v>
      </c>
    </row>
    <row r="31" spans="1:26">
      <c r="A31" s="54">
        <f>Gen!B37</f>
        <v>44162</v>
      </c>
      <c r="B31" s="83">
        <v>0</v>
      </c>
      <c r="C31" s="88">
        <f>Gen!C37</f>
        <v>0</v>
      </c>
      <c r="D31" s="44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6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7">
        <v>106</v>
      </c>
      <c r="Z31" s="80" t="e">
        <f t="shared" si="8"/>
        <v>#DIV/0!</v>
      </c>
    </row>
    <row r="32" spans="1:26">
      <c r="A32" s="54">
        <f>Gen!B38</f>
        <v>44163</v>
      </c>
      <c r="B32" s="83">
        <v>0</v>
      </c>
      <c r="C32" s="88">
        <f>Gen!C38</f>
        <v>0</v>
      </c>
      <c r="D32" s="44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6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7">
        <v>106</v>
      </c>
      <c r="Z32" s="80" t="e">
        <f t="shared" si="8"/>
        <v>#DIV/0!</v>
      </c>
    </row>
    <row r="33" spans="1:26">
      <c r="A33" s="54">
        <f>Gen!B39</f>
        <v>44164</v>
      </c>
      <c r="B33" s="83">
        <v>0</v>
      </c>
      <c r="C33" s="88">
        <f>Gen!C39</f>
        <v>0</v>
      </c>
      <c r="D33" s="44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6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7">
        <v>106</v>
      </c>
      <c r="Z33" s="80" t="e">
        <f t="shared" si="8"/>
        <v>#DIV/0!</v>
      </c>
    </row>
    <row r="34" spans="1:26">
      <c r="A34" s="54">
        <f>Gen!B40</f>
        <v>44165</v>
      </c>
      <c r="B34" s="83">
        <v>0</v>
      </c>
      <c r="C34" s="88">
        <f>Gen!C40</f>
        <v>0</v>
      </c>
      <c r="D34" s="44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6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7">
        <v>106</v>
      </c>
      <c r="Z34" s="80" t="e">
        <f t="shared" si="8"/>
        <v>#DIV/0!</v>
      </c>
    </row>
    <row r="35" spans="1:26">
      <c r="A35" s="54">
        <f>Gen!B41</f>
        <v>44166</v>
      </c>
      <c r="B35" s="83">
        <v>0</v>
      </c>
      <c r="C35" s="88">
        <f>Gen!C41</f>
        <v>0</v>
      </c>
      <c r="D35" s="44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6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233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2012.2666666666669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9" t="s">
        <v>180</v>
      </c>
      <c r="B1" s="940"/>
      <c r="C1" s="940"/>
      <c r="D1" s="940"/>
      <c r="E1" s="940"/>
      <c r="F1" s="940"/>
      <c r="G1" s="941"/>
    </row>
    <row r="2" spans="1:7" ht="13.5" thickBot="1">
      <c r="A2" s="302"/>
      <c r="B2" s="942" t="s">
        <v>175</v>
      </c>
      <c r="C2" s="943"/>
      <c r="D2" s="944"/>
      <c r="E2" s="942" t="s">
        <v>176</v>
      </c>
      <c r="F2" s="943"/>
      <c r="G2" s="944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8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8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8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8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8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8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8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8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8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8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8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8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8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8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8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8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8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8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8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8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8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8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8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8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8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8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8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8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8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8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8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8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8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8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8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8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8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8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8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8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8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8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8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8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8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8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8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8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8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8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8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8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8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8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8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8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8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8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8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8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8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8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8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8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8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8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8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8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8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8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8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8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9" t="s">
        <v>230</v>
      </c>
      <c r="B1" s="940"/>
      <c r="C1" s="940"/>
      <c r="D1" s="940"/>
      <c r="G1" s="275"/>
      <c r="H1" s="276" t="s">
        <v>231</v>
      </c>
      <c r="I1" s="276"/>
      <c r="J1" s="275"/>
      <c r="K1" s="275"/>
    </row>
    <row r="2" spans="1:12" ht="39" thickBot="1">
      <c r="A2" s="489" t="s">
        <v>7</v>
      </c>
      <c r="B2" s="490" t="s">
        <v>177</v>
      </c>
      <c r="C2" s="490" t="s">
        <v>178</v>
      </c>
      <c r="D2" s="491" t="s">
        <v>194</v>
      </c>
      <c r="E2" s="491" t="s">
        <v>236</v>
      </c>
      <c r="F2" s="492" t="s">
        <v>214</v>
      </c>
      <c r="G2" s="493" t="s">
        <v>232</v>
      </c>
      <c r="H2" s="494" t="s">
        <v>233</v>
      </c>
      <c r="I2" s="495" t="s">
        <v>234</v>
      </c>
      <c r="J2" s="494" t="s">
        <v>235</v>
      </c>
      <c r="K2" s="494" t="s">
        <v>214</v>
      </c>
      <c r="L2" s="496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7">
        <v>-1.7700000000040745</v>
      </c>
      <c r="G3" s="498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9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7">
        <f t="shared" ref="F4:F62" si="2">D4-E4</f>
        <v>0.97000000000116415</v>
      </c>
      <c r="G4" s="498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499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7">
        <f t="shared" si="2"/>
        <v>0.25</v>
      </c>
      <c r="G5" s="498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9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7">
        <f t="shared" si="2"/>
        <v>0.72000000000116415</v>
      </c>
      <c r="G6" s="498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9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7">
        <f t="shared" si="2"/>
        <v>0.52999999999883585</v>
      </c>
      <c r="G7" s="498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9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7">
        <f t="shared" si="2"/>
        <v>0.71000000000640284</v>
      </c>
      <c r="G8" s="498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9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7">
        <f t="shared" si="2"/>
        <v>-0.25</v>
      </c>
      <c r="G9" s="498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9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7">
        <f t="shared" si="2"/>
        <v>-1.5599999999976717</v>
      </c>
      <c r="G10" s="498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9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7">
        <f t="shared" si="2"/>
        <v>-1.9600000000064028</v>
      </c>
      <c r="G11" s="498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9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7">
        <f t="shared" si="2"/>
        <v>1.1600000000034925</v>
      </c>
      <c r="G12" s="498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9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7">
        <f t="shared" si="2"/>
        <v>0.11999999999534339</v>
      </c>
      <c r="G13" s="498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9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7">
        <f t="shared" si="2"/>
        <v>0.77999999999883585</v>
      </c>
      <c r="G14" s="498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9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7">
        <f t="shared" si="2"/>
        <v>1.1399999999994179</v>
      </c>
      <c r="G15" s="498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9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7">
        <f t="shared" si="2"/>
        <v>0.73000000000320142</v>
      </c>
      <c r="G16" s="498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9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7">
        <f t="shared" si="2"/>
        <v>1.3500000000058208</v>
      </c>
      <c r="G17" s="498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9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7">
        <f t="shared" si="2"/>
        <v>0.42999999999301508</v>
      </c>
      <c r="G18" s="498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9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7">
        <f t="shared" si="2"/>
        <v>-0.47999999999592546</v>
      </c>
      <c r="G19" s="498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9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7">
        <f>D20-E20</f>
        <v>5.8000000000029104</v>
      </c>
      <c r="G20" s="498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9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7">
        <f t="shared" si="2"/>
        <v>0.74000000000523869</v>
      </c>
      <c r="G21" s="498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9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7">
        <f>D22-E22</f>
        <v>-0.60000000000582077</v>
      </c>
      <c r="G22" s="498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9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7">
        <f t="shared" si="2"/>
        <v>0.69000000000232831</v>
      </c>
      <c r="G23" s="498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9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7">
        <f t="shared" si="2"/>
        <v>0.75999999999476131</v>
      </c>
      <c r="G24" s="498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9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7">
        <f t="shared" si="2"/>
        <v>1.5599999999976717</v>
      </c>
      <c r="G25" s="498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9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7">
        <f t="shared" si="2"/>
        <v>0.37000000000261934</v>
      </c>
      <c r="G26" s="498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9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7">
        <f t="shared" si="2"/>
        <v>0.25</v>
      </c>
      <c r="G27" s="498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9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7">
        <f t="shared" si="2"/>
        <v>0.78999999999359716</v>
      </c>
      <c r="G28" s="498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9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7">
        <f t="shared" si="2"/>
        <v>0.41999999999825377</v>
      </c>
      <c r="G29" s="498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9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7">
        <f t="shared" si="2"/>
        <v>0.22999999999956344</v>
      </c>
      <c r="G30" s="498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9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7">
        <f t="shared" si="2"/>
        <v>9.9999999983992893E-3</v>
      </c>
      <c r="G31" s="498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9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7">
        <f t="shared" si="2"/>
        <v>-1.8300000000017462</v>
      </c>
      <c r="G32" s="498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9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7">
        <f t="shared" si="2"/>
        <v>-0.54000000000087311</v>
      </c>
      <c r="G33" s="498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9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7">
        <f t="shared" si="2"/>
        <v>1.0200000000004366</v>
      </c>
      <c r="G34" s="498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9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7">
        <f t="shared" si="2"/>
        <v>-1.5600000000013097</v>
      </c>
      <c r="G35" s="498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9">
        <f t="shared" si="6"/>
        <v>30538</v>
      </c>
    </row>
    <row r="36" spans="1:12">
      <c r="A36" s="241">
        <v>44105</v>
      </c>
      <c r="B36" s="317">
        <f t="shared" si="0"/>
        <v>8454371</v>
      </c>
      <c r="C36" s="832">
        <v>8470098</v>
      </c>
      <c r="D36" s="399">
        <f t="shared" si="1"/>
        <v>15727</v>
      </c>
      <c r="E36" s="832">
        <v>15726.66</v>
      </c>
      <c r="F36" s="497">
        <f t="shared" si="2"/>
        <v>0.34000000000014552</v>
      </c>
      <c r="G36" s="498">
        <f t="shared" si="3"/>
        <v>270861</v>
      </c>
      <c r="H36" s="832">
        <v>271447</v>
      </c>
      <c r="I36" s="270">
        <f t="shared" si="4"/>
        <v>586</v>
      </c>
      <c r="J36" s="832">
        <v>585.84</v>
      </c>
      <c r="K36" s="277">
        <f t="shared" si="5"/>
        <v>0.15999999999996817</v>
      </c>
      <c r="L36" s="499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7">
        <f t="shared" si="2"/>
        <v>-8470098</v>
      </c>
      <c r="G37" s="498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499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7">
        <f t="shared" si="2"/>
        <v>0</v>
      </c>
      <c r="G38" s="498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499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7">
        <f t="shared" si="2"/>
        <v>0</v>
      </c>
      <c r="G39" s="498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9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7">
        <f t="shared" si="2"/>
        <v>0</v>
      </c>
      <c r="G40" s="498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9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7">
        <f t="shared" si="2"/>
        <v>0</v>
      </c>
      <c r="G41" s="498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9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7">
        <f t="shared" si="2"/>
        <v>0</v>
      </c>
      <c r="G42" s="498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9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7">
        <f t="shared" si="2"/>
        <v>0</v>
      </c>
      <c r="G43" s="498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9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7">
        <f t="shared" si="2"/>
        <v>0</v>
      </c>
      <c r="G44" s="498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9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7">
        <f t="shared" si="2"/>
        <v>0</v>
      </c>
      <c r="G45" s="498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9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7">
        <f t="shared" si="2"/>
        <v>0</v>
      </c>
      <c r="G46" s="498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9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7">
        <f t="shared" si="2"/>
        <v>0</v>
      </c>
      <c r="G47" s="498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9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7">
        <f t="shared" si="2"/>
        <v>0</v>
      </c>
      <c r="G48" s="498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9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7">
        <f t="shared" si="2"/>
        <v>0</v>
      </c>
      <c r="G49" s="498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9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7">
        <f t="shared" si="2"/>
        <v>0</v>
      </c>
      <c r="G50" s="498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9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7">
        <f t="shared" si="2"/>
        <v>0</v>
      </c>
      <c r="G51" s="498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9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7">
        <f t="shared" si="2"/>
        <v>0</v>
      </c>
      <c r="G52" s="498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9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7">
        <f t="shared" si="2"/>
        <v>0</v>
      </c>
      <c r="G53" s="498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9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7">
        <f t="shared" si="2"/>
        <v>0</v>
      </c>
      <c r="G54" s="498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9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7">
        <f t="shared" si="2"/>
        <v>0</v>
      </c>
      <c r="G55" s="498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9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7">
        <f t="shared" si="2"/>
        <v>0</v>
      </c>
      <c r="G56" s="498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9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7">
        <f t="shared" si="2"/>
        <v>0</v>
      </c>
      <c r="G57" s="498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9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7">
        <f t="shared" si="2"/>
        <v>0</v>
      </c>
      <c r="G58" s="498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9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7">
        <f t="shared" si="2"/>
        <v>0</v>
      </c>
      <c r="G59" s="498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9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7">
        <f t="shared" si="2"/>
        <v>0</v>
      </c>
      <c r="G60" s="498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9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7">
        <f t="shared" si="2"/>
        <v>0</v>
      </c>
      <c r="G61" s="498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9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7">
        <f t="shared" si="2"/>
        <v>0</v>
      </c>
      <c r="G62" s="498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9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7">
        <f t="shared" ref="F63:F66" si="9">D63-E63</f>
        <v>0</v>
      </c>
      <c r="G63" s="498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499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7">
        <f t="shared" si="9"/>
        <v>0</v>
      </c>
      <c r="G64" s="498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499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7">
        <f t="shared" si="9"/>
        <v>0</v>
      </c>
      <c r="G65" s="498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499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7">
        <f t="shared" si="9"/>
        <v>0</v>
      </c>
      <c r="G66" s="498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499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7">
        <f t="shared" ref="F67:F74" si="15">D67-E67</f>
        <v>0</v>
      </c>
      <c r="G67" s="498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499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7">
        <f t="shared" si="15"/>
        <v>0</v>
      </c>
      <c r="G68" s="498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499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7">
        <f t="shared" si="15"/>
        <v>0</v>
      </c>
      <c r="G69" s="498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499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7">
        <f t="shared" si="15"/>
        <v>0</v>
      </c>
      <c r="G70" s="498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499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7">
        <f t="shared" si="15"/>
        <v>0</v>
      </c>
      <c r="G71" s="498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499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7">
        <f t="shared" si="15"/>
        <v>0</v>
      </c>
      <c r="G72" s="498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499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7">
        <f t="shared" si="15"/>
        <v>0</v>
      </c>
      <c r="G73" s="498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499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7">
        <f t="shared" si="15"/>
        <v>0</v>
      </c>
      <c r="G74" s="498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499">
        <f t="shared" si="13"/>
        <v>0</v>
      </c>
    </row>
    <row r="75" spans="1:12" ht="13.5" thickBot="1"/>
    <row r="76" spans="1:12">
      <c r="B76" s="945"/>
      <c r="C76" s="946"/>
      <c r="D76" s="946"/>
      <c r="E76" s="947"/>
      <c r="H76" s="945"/>
      <c r="I76" s="946"/>
      <c r="J76" s="946"/>
      <c r="K76" s="946"/>
      <c r="L76" s="947"/>
    </row>
    <row r="77" spans="1:12">
      <c r="B77" s="948"/>
      <c r="C77" s="949"/>
      <c r="D77" s="949"/>
      <c r="E77" s="950"/>
      <c r="H77" s="948"/>
      <c r="I77" s="949"/>
      <c r="J77" s="949"/>
      <c r="K77" s="949"/>
      <c r="L77" s="950"/>
    </row>
    <row r="78" spans="1:12">
      <c r="B78" s="948"/>
      <c r="C78" s="949"/>
      <c r="D78" s="949"/>
      <c r="E78" s="950"/>
      <c r="H78" s="948"/>
      <c r="I78" s="949"/>
      <c r="J78" s="949"/>
      <c r="K78" s="949"/>
      <c r="L78" s="950"/>
    </row>
    <row r="79" spans="1:12">
      <c r="B79" s="948"/>
      <c r="C79" s="949"/>
      <c r="D79" s="949"/>
      <c r="E79" s="950"/>
      <c r="H79" s="948"/>
      <c r="I79" s="949"/>
      <c r="J79" s="949"/>
      <c r="K79" s="949"/>
      <c r="L79" s="950"/>
    </row>
    <row r="80" spans="1:12">
      <c r="B80" s="948"/>
      <c r="C80" s="949"/>
      <c r="D80" s="949"/>
      <c r="E80" s="950"/>
      <c r="H80" s="948"/>
      <c r="I80" s="949"/>
      <c r="J80" s="949"/>
      <c r="K80" s="949"/>
      <c r="L80" s="950"/>
    </row>
    <row r="81" spans="2:12">
      <c r="B81" s="948"/>
      <c r="C81" s="949"/>
      <c r="D81" s="949"/>
      <c r="E81" s="950"/>
      <c r="H81" s="948"/>
      <c r="I81" s="949"/>
      <c r="J81" s="949"/>
      <c r="K81" s="949"/>
      <c r="L81" s="950"/>
    </row>
    <row r="82" spans="2:12">
      <c r="B82" s="948"/>
      <c r="C82" s="949"/>
      <c r="D82" s="949"/>
      <c r="E82" s="950"/>
      <c r="H82" s="948"/>
      <c r="I82" s="949"/>
      <c r="J82" s="949"/>
      <c r="K82" s="949"/>
      <c r="L82" s="950"/>
    </row>
    <row r="83" spans="2:12">
      <c r="B83" s="948"/>
      <c r="C83" s="949"/>
      <c r="D83" s="949"/>
      <c r="E83" s="950"/>
      <c r="H83" s="948"/>
      <c r="I83" s="949"/>
      <c r="J83" s="949"/>
      <c r="K83" s="949"/>
      <c r="L83" s="950"/>
    </row>
    <row r="84" spans="2:12">
      <c r="B84" s="948"/>
      <c r="C84" s="949"/>
      <c r="D84" s="949"/>
      <c r="E84" s="950"/>
      <c r="H84" s="948"/>
      <c r="I84" s="949"/>
      <c r="J84" s="949"/>
      <c r="K84" s="949"/>
      <c r="L84" s="950"/>
    </row>
    <row r="85" spans="2:12">
      <c r="B85" s="948"/>
      <c r="C85" s="949"/>
      <c r="D85" s="949"/>
      <c r="E85" s="950"/>
      <c r="H85" s="948"/>
      <c r="I85" s="949"/>
      <c r="J85" s="949"/>
      <c r="K85" s="949"/>
      <c r="L85" s="950"/>
    </row>
    <row r="86" spans="2:12">
      <c r="B86" s="948"/>
      <c r="C86" s="949"/>
      <c r="D86" s="949"/>
      <c r="E86" s="950"/>
      <c r="H86" s="948"/>
      <c r="I86" s="949"/>
      <c r="J86" s="949"/>
      <c r="K86" s="949"/>
      <c r="L86" s="950"/>
    </row>
    <row r="87" spans="2:12">
      <c r="B87" s="948"/>
      <c r="C87" s="949"/>
      <c r="D87" s="949"/>
      <c r="E87" s="950"/>
      <c r="H87" s="948"/>
      <c r="I87" s="949"/>
      <c r="J87" s="949"/>
      <c r="K87" s="949"/>
      <c r="L87" s="950"/>
    </row>
    <row r="88" spans="2:12">
      <c r="B88" s="948"/>
      <c r="C88" s="949"/>
      <c r="D88" s="949"/>
      <c r="E88" s="950"/>
      <c r="H88" s="948"/>
      <c r="I88" s="949"/>
      <c r="J88" s="949"/>
      <c r="K88" s="949"/>
      <c r="L88" s="950"/>
    </row>
    <row r="89" spans="2:12">
      <c r="B89" s="948"/>
      <c r="C89" s="949"/>
      <c r="D89" s="949"/>
      <c r="E89" s="950"/>
      <c r="H89" s="948"/>
      <c r="I89" s="949"/>
      <c r="J89" s="949"/>
      <c r="K89" s="949"/>
      <c r="L89" s="950"/>
    </row>
    <row r="90" spans="2:12" ht="13.5" thickBot="1">
      <c r="B90" s="951"/>
      <c r="C90" s="952"/>
      <c r="D90" s="952"/>
      <c r="E90" s="953"/>
      <c r="H90" s="951"/>
      <c r="I90" s="952"/>
      <c r="J90" s="952"/>
      <c r="K90" s="952"/>
      <c r="L90" s="953"/>
    </row>
    <row r="91" spans="2:12">
      <c r="B91" s="954" t="s">
        <v>312</v>
      </c>
      <c r="C91" s="955"/>
      <c r="D91" s="955"/>
      <c r="E91" s="956"/>
      <c r="H91" s="954" t="s">
        <v>313</v>
      </c>
      <c r="I91" s="955"/>
      <c r="J91" s="955"/>
      <c r="K91" s="955"/>
      <c r="L91" s="956"/>
    </row>
    <row r="92" spans="2:12">
      <c r="B92" s="957"/>
      <c r="C92" s="958"/>
      <c r="D92" s="958"/>
      <c r="E92" s="959"/>
      <c r="H92" s="957"/>
      <c r="I92" s="958"/>
      <c r="J92" s="958"/>
      <c r="K92" s="958"/>
      <c r="L92" s="959"/>
    </row>
    <row r="93" spans="2:12" ht="13.5" thickBot="1">
      <c r="B93" s="960"/>
      <c r="C93" s="961"/>
      <c r="D93" s="961"/>
      <c r="E93" s="962"/>
      <c r="H93" s="960"/>
      <c r="I93" s="961"/>
      <c r="J93" s="961"/>
      <c r="K93" s="961"/>
      <c r="L93" s="96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8" sqref="G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3" t="s">
        <v>254</v>
      </c>
      <c r="B1" s="963"/>
      <c r="C1" s="963"/>
      <c r="D1" s="963"/>
      <c r="E1" s="963"/>
      <c r="F1" s="963"/>
      <c r="G1" s="963"/>
      <c r="H1" s="963"/>
      <c r="I1" s="963"/>
      <c r="J1" s="963"/>
    </row>
    <row r="2" spans="1:10" ht="19.5" thickBot="1">
      <c r="A2" s="972">
        <f>A5</f>
        <v>44136</v>
      </c>
      <c r="B2" s="973"/>
      <c r="C2" s="973"/>
      <c r="D2" s="973"/>
      <c r="E2" s="973"/>
      <c r="F2" s="973"/>
      <c r="G2" s="973"/>
      <c r="H2" s="973"/>
      <c r="I2" s="973"/>
      <c r="J2" s="973"/>
    </row>
    <row r="3" spans="1:10" ht="15.75" thickBot="1">
      <c r="A3" s="964" t="s">
        <v>7</v>
      </c>
      <c r="B3" s="966" t="s">
        <v>255</v>
      </c>
      <c r="C3" s="448"/>
      <c r="D3" s="968" t="s">
        <v>256</v>
      </c>
      <c r="E3" s="969"/>
      <c r="F3" s="970" t="s">
        <v>257</v>
      </c>
      <c r="G3" s="971"/>
      <c r="H3" s="969"/>
      <c r="I3" s="970" t="s">
        <v>258</v>
      </c>
      <c r="J3" s="969"/>
    </row>
    <row r="4" spans="1:10" ht="30.75" thickBot="1">
      <c r="A4" s="965"/>
      <c r="B4" s="967"/>
      <c r="C4" s="454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44136</v>
      </c>
      <c r="B5" s="407">
        <f>Gen!C11</f>
        <v>2.5999999999999999E-2</v>
      </c>
      <c r="C5" s="452">
        <f>Gen!AK11</f>
        <v>0</v>
      </c>
      <c r="D5" s="453">
        <f>Gen!T11</f>
        <v>956.05</v>
      </c>
      <c r="E5" s="402">
        <f>Gen!D11</f>
        <v>32519.1</v>
      </c>
      <c r="F5" s="403">
        <f>'Water-Meter'!E6</f>
        <v>54</v>
      </c>
      <c r="G5" s="404">
        <f>'Water-Meter'!AN6</f>
        <v>42</v>
      </c>
      <c r="H5" s="402">
        <f>'Utility report '!AC6</f>
        <v>41</v>
      </c>
      <c r="I5" s="401">
        <f>'Kit report'!F4</f>
        <v>203.99999999986903</v>
      </c>
      <c r="J5" s="402">
        <f>'Kit report'!X4</f>
        <v>139.99999999996362</v>
      </c>
    </row>
    <row r="6" spans="1:10" ht="17.100000000000001" customHeight="1">
      <c r="A6" s="218">
        <f>Gen!B12</f>
        <v>44137</v>
      </c>
      <c r="B6" s="406">
        <f>Gen!C12</f>
        <v>5.1900000000000002E-2</v>
      </c>
      <c r="C6" s="452">
        <f>Gen!AK12</f>
        <v>21.62</v>
      </c>
      <c r="D6" s="453">
        <f>Gen!T12</f>
        <v>1107.92</v>
      </c>
      <c r="E6" s="402">
        <f>Gen!D12</f>
        <v>31563.05</v>
      </c>
      <c r="F6" s="403">
        <f>'Water-Meter'!E7</f>
        <v>48</v>
      </c>
      <c r="G6" s="404">
        <f>'Water-Meter'!AN7</f>
        <v>103</v>
      </c>
      <c r="H6" s="402">
        <f>'Utility report '!AC7</f>
        <v>48</v>
      </c>
      <c r="I6" s="401">
        <f>'Kit report'!F5</f>
        <v>216.00000000013097</v>
      </c>
      <c r="J6" s="402">
        <f>'Kit report'!X5</f>
        <v>220.00000000007276</v>
      </c>
    </row>
    <row r="7" spans="1:10" ht="17.100000000000001" customHeight="1">
      <c r="A7" s="218">
        <f>Gen!B13</f>
        <v>44138</v>
      </c>
      <c r="B7" s="406">
        <f>Gen!C13</f>
        <v>7.7899999999999997E-2</v>
      </c>
      <c r="C7" s="452">
        <f>Gen!AK13</f>
        <v>38.269999999999996</v>
      </c>
      <c r="D7" s="453">
        <f>Gen!T13</f>
        <v>1164.9899999999998</v>
      </c>
      <c r="E7" s="402">
        <f>Gen!D13</f>
        <v>30433.51</v>
      </c>
      <c r="F7" s="403">
        <f>'Water-Meter'!E8</f>
        <v>81</v>
      </c>
      <c r="G7" s="404">
        <f>'Water-Meter'!AN8</f>
        <v>155</v>
      </c>
      <c r="H7" s="402">
        <f>'Utility report '!AC8</f>
        <v>48</v>
      </c>
      <c r="I7" s="401">
        <f>'Kit report'!F6</f>
        <v>215.99999999991269</v>
      </c>
      <c r="J7" s="402">
        <f>'Kit report'!X6</f>
        <v>100</v>
      </c>
    </row>
    <row r="8" spans="1:10" ht="17.100000000000001" customHeight="1">
      <c r="A8" s="218">
        <f>Gen!B14</f>
        <v>44139</v>
      </c>
      <c r="B8" s="406">
        <f>Gen!C14</f>
        <v>6.4899999999999999E-2</v>
      </c>
      <c r="C8" s="452">
        <f>Gen!AK14</f>
        <v>51.1</v>
      </c>
      <c r="D8" s="453">
        <f>Gen!T14</f>
        <v>1046.3499999999999</v>
      </c>
      <c r="E8" s="402">
        <f>Gen!D14</f>
        <v>47230.25</v>
      </c>
      <c r="F8" s="403">
        <f>'Water-Meter'!E9</f>
        <v>50</v>
      </c>
      <c r="G8" s="404">
        <f>'Water-Meter'!AN9</f>
        <v>169</v>
      </c>
      <c r="H8" s="402">
        <f>'Utility report '!AC9</f>
        <v>77</v>
      </c>
      <c r="I8" s="401">
        <f>'Kit report'!F7</f>
        <v>227.99999999995634</v>
      </c>
      <c r="J8" s="402">
        <f>'Kit report'!X7</f>
        <v>60.00000000003638</v>
      </c>
    </row>
    <row r="9" spans="1:10" ht="17.100000000000001" customHeight="1">
      <c r="A9" s="218">
        <f>Gen!B15</f>
        <v>44140</v>
      </c>
      <c r="B9" s="406">
        <f>Gen!C15</f>
        <v>0</v>
      </c>
      <c r="C9" s="452">
        <f>Gen!AK15</f>
        <v>0</v>
      </c>
      <c r="D9" s="453">
        <f>Gen!T15</f>
        <v>0</v>
      </c>
      <c r="E9" s="402">
        <f>Gen!D15</f>
        <v>46132.800000000003</v>
      </c>
      <c r="F9" s="403" t="str">
        <f>'Water-Meter'!E10</f>
        <v>0</v>
      </c>
      <c r="G9" s="404">
        <f>'Water-Meter'!AN10</f>
        <v>0</v>
      </c>
      <c r="H9" s="402">
        <f>'Utility report '!AC10</f>
        <v>-40979</v>
      </c>
      <c r="I9" s="401">
        <f>'Kit report'!F8</f>
        <v>-1069128</v>
      </c>
      <c r="J9" s="402">
        <f>'Kit report'!X8</f>
        <v>-1569660</v>
      </c>
    </row>
    <row r="10" spans="1:10" ht="17.100000000000001" customHeight="1">
      <c r="A10" s="218">
        <f>Gen!B16</f>
        <v>44141</v>
      </c>
      <c r="B10" s="406">
        <f>Gen!C16</f>
        <v>0</v>
      </c>
      <c r="C10" s="452">
        <f>Gen!AK16</f>
        <v>0</v>
      </c>
      <c r="D10" s="453">
        <f>Gen!T16</f>
        <v>0</v>
      </c>
      <c r="E10" s="402">
        <f>Gen!D16</f>
        <v>46132.800000000003</v>
      </c>
      <c r="F10" s="403">
        <f>'Water-Meter'!E11</f>
        <v>0</v>
      </c>
      <c r="G10" s="404">
        <f>'Water-Meter'!AN11</f>
        <v>0</v>
      </c>
      <c r="H10" s="402">
        <f>'Utility report '!AC11</f>
        <v>0</v>
      </c>
      <c r="I10" s="401">
        <f>'Kit report'!F9</f>
        <v>0</v>
      </c>
      <c r="J10" s="402">
        <f>'Kit report'!X9</f>
        <v>0</v>
      </c>
    </row>
    <row r="11" spans="1:10" ht="17.100000000000001" customHeight="1">
      <c r="A11" s="218">
        <f>Gen!B17</f>
        <v>44142</v>
      </c>
      <c r="B11" s="406">
        <f>Gen!C17</f>
        <v>0</v>
      </c>
      <c r="C11" s="452">
        <f>Gen!AK17</f>
        <v>0</v>
      </c>
      <c r="D11" s="453">
        <f>Gen!T17</f>
        <v>0</v>
      </c>
      <c r="E11" s="402">
        <f>Gen!D17</f>
        <v>46132.800000000003</v>
      </c>
      <c r="F11" s="403">
        <f>'Water-Meter'!E12</f>
        <v>0</v>
      </c>
      <c r="G11" s="404">
        <f>'Water-Meter'!AN12</f>
        <v>0</v>
      </c>
      <c r="H11" s="402">
        <f>'Utility report '!AC12</f>
        <v>0</v>
      </c>
      <c r="I11" s="401">
        <f>'Kit report'!F10</f>
        <v>0</v>
      </c>
      <c r="J11" s="402">
        <f>'Kit report'!X10</f>
        <v>0</v>
      </c>
    </row>
    <row r="12" spans="1:10" ht="17.100000000000001" customHeight="1">
      <c r="A12" s="218">
        <f>Gen!B18</f>
        <v>44143</v>
      </c>
      <c r="B12" s="406">
        <f>Gen!C18</f>
        <v>0</v>
      </c>
      <c r="C12" s="452">
        <f>Gen!AK18</f>
        <v>0</v>
      </c>
      <c r="D12" s="453">
        <f>Gen!T18</f>
        <v>0</v>
      </c>
      <c r="E12" s="402">
        <f>Gen!D18</f>
        <v>46132.800000000003</v>
      </c>
      <c r="F12" s="403">
        <f>'Water-Meter'!E13</f>
        <v>0</v>
      </c>
      <c r="G12" s="404">
        <f>'Water-Meter'!AN13</f>
        <v>0</v>
      </c>
      <c r="H12" s="402">
        <f>'Utility report '!AC13</f>
        <v>0</v>
      </c>
      <c r="I12" s="401">
        <f>'Kit report'!F11</f>
        <v>0</v>
      </c>
      <c r="J12" s="402">
        <f>'Kit report'!X11</f>
        <v>0</v>
      </c>
    </row>
    <row r="13" spans="1:10" ht="17.100000000000001" customHeight="1">
      <c r="A13" s="218">
        <f>Gen!B19</f>
        <v>44144</v>
      </c>
      <c r="B13" s="406">
        <f>Gen!C19</f>
        <v>0</v>
      </c>
      <c r="C13" s="452">
        <f>Gen!AK19</f>
        <v>0</v>
      </c>
      <c r="D13" s="453">
        <f>Gen!T19</f>
        <v>0</v>
      </c>
      <c r="E13" s="402">
        <f>Gen!D19</f>
        <v>46132.800000000003</v>
      </c>
      <c r="F13" s="403">
        <f>'Water-Meter'!E14</f>
        <v>0</v>
      </c>
      <c r="G13" s="404">
        <f>'Water-Meter'!AN14</f>
        <v>0</v>
      </c>
      <c r="H13" s="402">
        <f>'Utility report '!AC14</f>
        <v>0</v>
      </c>
      <c r="I13" s="401">
        <f>'Kit report'!F12</f>
        <v>0</v>
      </c>
      <c r="J13" s="402">
        <f>'Kit report'!X12</f>
        <v>0</v>
      </c>
    </row>
    <row r="14" spans="1:10" ht="17.100000000000001" customHeight="1">
      <c r="A14" s="218">
        <f>Gen!B20</f>
        <v>44145</v>
      </c>
      <c r="B14" s="406">
        <f>Gen!C20</f>
        <v>0</v>
      </c>
      <c r="C14" s="452">
        <f>Gen!AK20</f>
        <v>0</v>
      </c>
      <c r="D14" s="453">
        <f>Gen!T20</f>
        <v>0</v>
      </c>
      <c r="E14" s="402">
        <f>Gen!D20</f>
        <v>46132.800000000003</v>
      </c>
      <c r="F14" s="403">
        <f>'Water-Meter'!E15</f>
        <v>0</v>
      </c>
      <c r="G14" s="404">
        <f>'Water-Meter'!AN15</f>
        <v>0</v>
      </c>
      <c r="H14" s="402">
        <f>'Utility report '!AC15</f>
        <v>0</v>
      </c>
      <c r="I14" s="401">
        <f>'Kit report'!F13</f>
        <v>0</v>
      </c>
      <c r="J14" s="402">
        <f>'Kit report'!X13</f>
        <v>0</v>
      </c>
    </row>
    <row r="15" spans="1:10" ht="17.100000000000001" customHeight="1">
      <c r="A15" s="218">
        <f>Gen!B21</f>
        <v>44146</v>
      </c>
      <c r="B15" s="406">
        <f>Gen!C21</f>
        <v>0</v>
      </c>
      <c r="C15" s="452">
        <f>Gen!AK21</f>
        <v>0</v>
      </c>
      <c r="D15" s="453">
        <f>Gen!T21</f>
        <v>0</v>
      </c>
      <c r="E15" s="402">
        <f>Gen!D21</f>
        <v>46132.800000000003</v>
      </c>
      <c r="F15" s="403">
        <f>'Water-Meter'!E16</f>
        <v>0</v>
      </c>
      <c r="G15" s="404">
        <f>'Water-Meter'!AN16</f>
        <v>0</v>
      </c>
      <c r="H15" s="402">
        <f>'Utility report '!AC16</f>
        <v>0</v>
      </c>
      <c r="I15" s="401">
        <f>'Kit report'!F14</f>
        <v>0</v>
      </c>
      <c r="J15" s="402">
        <f>'Kit report'!X14</f>
        <v>0</v>
      </c>
    </row>
    <row r="16" spans="1:10" ht="17.100000000000001" customHeight="1">
      <c r="A16" s="218">
        <f>Gen!B22</f>
        <v>44147</v>
      </c>
      <c r="B16" s="406">
        <f>Gen!C22</f>
        <v>0</v>
      </c>
      <c r="C16" s="452">
        <f>Gen!AK22</f>
        <v>0</v>
      </c>
      <c r="D16" s="453">
        <f>Gen!T22</f>
        <v>0</v>
      </c>
      <c r="E16" s="402">
        <f>Gen!D22</f>
        <v>46132.800000000003</v>
      </c>
      <c r="F16" s="403">
        <f>'Water-Meter'!E17</f>
        <v>0</v>
      </c>
      <c r="G16" s="404">
        <f>'Water-Meter'!AN17</f>
        <v>0</v>
      </c>
      <c r="H16" s="402">
        <f>'Utility report '!AC17</f>
        <v>0</v>
      </c>
      <c r="I16" s="401">
        <f>'Kit report'!F15</f>
        <v>0</v>
      </c>
      <c r="J16" s="402">
        <f>'Kit report'!X15</f>
        <v>0</v>
      </c>
    </row>
    <row r="17" spans="1:10" ht="17.100000000000001" customHeight="1">
      <c r="A17" s="218">
        <f>Gen!B23</f>
        <v>44148</v>
      </c>
      <c r="B17" s="406">
        <f>Gen!C23</f>
        <v>0</v>
      </c>
      <c r="C17" s="452">
        <f>Gen!AK23</f>
        <v>0</v>
      </c>
      <c r="D17" s="453">
        <f>Gen!T23</f>
        <v>0</v>
      </c>
      <c r="E17" s="402">
        <f>Gen!D23</f>
        <v>46132.800000000003</v>
      </c>
      <c r="F17" s="403">
        <f>'Water-Meter'!E18</f>
        <v>0</v>
      </c>
      <c r="G17" s="404">
        <f>'Water-Meter'!AN18</f>
        <v>0</v>
      </c>
      <c r="H17" s="402">
        <f>'Utility report '!AC18</f>
        <v>0</v>
      </c>
      <c r="I17" s="401">
        <f>'Kit report'!F16</f>
        <v>0</v>
      </c>
      <c r="J17" s="402">
        <f>'Kit report'!X16</f>
        <v>0</v>
      </c>
    </row>
    <row r="18" spans="1:10" ht="17.100000000000001" customHeight="1">
      <c r="A18" s="218">
        <f>Gen!B24</f>
        <v>44149</v>
      </c>
      <c r="B18" s="406">
        <f>Gen!C24</f>
        <v>0</v>
      </c>
      <c r="C18" s="452">
        <f>Gen!AK24</f>
        <v>0</v>
      </c>
      <c r="D18" s="453">
        <f>Gen!T24</f>
        <v>0</v>
      </c>
      <c r="E18" s="402">
        <f>Gen!D24</f>
        <v>46132.800000000003</v>
      </c>
      <c r="F18" s="403">
        <f>'Water-Meter'!E19</f>
        <v>0</v>
      </c>
      <c r="G18" s="404">
        <f>'Water-Meter'!AN19</f>
        <v>0</v>
      </c>
      <c r="H18" s="402">
        <f>'Utility report '!AC19</f>
        <v>0</v>
      </c>
      <c r="I18" s="401">
        <f>'Kit report'!F17</f>
        <v>0</v>
      </c>
      <c r="J18" s="402">
        <f>'Kit report'!X17</f>
        <v>0</v>
      </c>
    </row>
    <row r="19" spans="1:10" ht="17.100000000000001" customHeight="1">
      <c r="A19" s="218">
        <f>Gen!B25</f>
        <v>44150</v>
      </c>
      <c r="B19" s="406">
        <f>Gen!C25</f>
        <v>0</v>
      </c>
      <c r="C19" s="452">
        <f>Gen!AK25</f>
        <v>0</v>
      </c>
      <c r="D19" s="453">
        <f>Gen!T25</f>
        <v>0</v>
      </c>
      <c r="E19" s="402">
        <f>Gen!D25</f>
        <v>46132.800000000003</v>
      </c>
      <c r="F19" s="403">
        <f>'Water-Meter'!E20</f>
        <v>0</v>
      </c>
      <c r="G19" s="404">
        <f>'Water-Meter'!AN20</f>
        <v>0</v>
      </c>
      <c r="H19" s="402">
        <f>'Utility report '!AC20</f>
        <v>0</v>
      </c>
      <c r="I19" s="401">
        <f>'Kit report'!F18</f>
        <v>0</v>
      </c>
      <c r="J19" s="402">
        <f>'Kit report'!X18</f>
        <v>0</v>
      </c>
    </row>
    <row r="20" spans="1:10" ht="17.100000000000001" customHeight="1">
      <c r="A20" s="218">
        <f>Gen!B26</f>
        <v>44151</v>
      </c>
      <c r="B20" s="406">
        <f>Gen!C26</f>
        <v>0</v>
      </c>
      <c r="C20" s="452">
        <f>Gen!AK26</f>
        <v>0</v>
      </c>
      <c r="D20" s="453">
        <f>Gen!T26</f>
        <v>0</v>
      </c>
      <c r="E20" s="402">
        <f>Gen!D26</f>
        <v>46132.800000000003</v>
      </c>
      <c r="F20" s="403">
        <f>'Water-Meter'!E21</f>
        <v>0</v>
      </c>
      <c r="G20" s="404">
        <f>'Water-Meter'!AN21</f>
        <v>0</v>
      </c>
      <c r="H20" s="402">
        <f>'Utility report '!AC21</f>
        <v>0</v>
      </c>
      <c r="I20" s="401">
        <f>'Kit report'!F19</f>
        <v>0</v>
      </c>
      <c r="J20" s="402">
        <f>'Kit report'!X19</f>
        <v>0</v>
      </c>
    </row>
    <row r="21" spans="1:10" ht="15">
      <c r="A21" s="218">
        <f>Gen!B27</f>
        <v>44152</v>
      </c>
      <c r="B21" s="406">
        <f>Gen!C27</f>
        <v>0</v>
      </c>
      <c r="C21" s="452">
        <f>Gen!AK27</f>
        <v>0</v>
      </c>
      <c r="D21" s="453">
        <f>Gen!T27</f>
        <v>0</v>
      </c>
      <c r="E21" s="402">
        <f>Gen!D27</f>
        <v>46132.800000000003</v>
      </c>
      <c r="F21" s="403">
        <f>'Water-Meter'!E22</f>
        <v>0</v>
      </c>
      <c r="G21" s="404">
        <f>'Water-Meter'!AN22</f>
        <v>0</v>
      </c>
      <c r="H21" s="402">
        <f>'Utility report '!AC22</f>
        <v>0</v>
      </c>
      <c r="I21" s="401">
        <f>'Kit report'!F20</f>
        <v>0</v>
      </c>
      <c r="J21" s="402">
        <f>'Kit report'!X20</f>
        <v>0</v>
      </c>
    </row>
    <row r="22" spans="1:10" ht="15" customHeight="1">
      <c r="A22" s="218">
        <f>Gen!B28</f>
        <v>44153</v>
      </c>
      <c r="B22" s="406">
        <f>Gen!C28</f>
        <v>0</v>
      </c>
      <c r="C22" s="452">
        <f>Gen!AK28</f>
        <v>0</v>
      </c>
      <c r="D22" s="453">
        <f>Gen!T28</f>
        <v>0</v>
      </c>
      <c r="E22" s="402">
        <f>Gen!D28</f>
        <v>46132.800000000003</v>
      </c>
      <c r="F22" s="403">
        <f>'Water-Meter'!E23</f>
        <v>0</v>
      </c>
      <c r="G22" s="404">
        <f>'Water-Meter'!AN23</f>
        <v>0</v>
      </c>
      <c r="H22" s="402">
        <f>'Utility report '!AC23</f>
        <v>0</v>
      </c>
      <c r="I22" s="401">
        <f>'Kit report'!F21</f>
        <v>0</v>
      </c>
      <c r="J22" s="402">
        <f>'Kit report'!X21</f>
        <v>0</v>
      </c>
    </row>
    <row r="23" spans="1:10" ht="15" customHeight="1">
      <c r="A23" s="218">
        <f>Gen!B29</f>
        <v>44154</v>
      </c>
      <c r="B23" s="406">
        <f>Gen!C29</f>
        <v>0</v>
      </c>
      <c r="C23" s="452">
        <f>Gen!AK29</f>
        <v>0</v>
      </c>
      <c r="D23" s="453">
        <f>Gen!T29</f>
        <v>0</v>
      </c>
      <c r="E23" s="402">
        <f>Gen!D29</f>
        <v>46132.800000000003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44155</v>
      </c>
      <c r="B24" s="406">
        <f>Gen!C30</f>
        <v>0</v>
      </c>
      <c r="C24" s="452">
        <f>Gen!AK30</f>
        <v>0</v>
      </c>
      <c r="D24" s="453">
        <f>Gen!T30</f>
        <v>0</v>
      </c>
      <c r="E24" s="402">
        <f>Gen!D30</f>
        <v>46132.800000000003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44156</v>
      </c>
      <c r="B25" s="406">
        <f>Gen!C31</f>
        <v>0</v>
      </c>
      <c r="C25" s="452">
        <f>Gen!AK31</f>
        <v>0</v>
      </c>
      <c r="D25" s="453">
        <f>Gen!T31</f>
        <v>0</v>
      </c>
      <c r="E25" s="402">
        <f>Gen!D31</f>
        <v>46132.800000000003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44157</v>
      </c>
      <c r="B26" s="406">
        <f>Gen!C32</f>
        <v>0</v>
      </c>
      <c r="C26" s="452">
        <f>Gen!AK32</f>
        <v>0</v>
      </c>
      <c r="D26" s="453">
        <f>Gen!T32</f>
        <v>0</v>
      </c>
      <c r="E26" s="402">
        <f>Gen!D32</f>
        <v>46132.800000000003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44158</v>
      </c>
      <c r="B27" s="406">
        <f>Gen!C33</f>
        <v>0</v>
      </c>
      <c r="C27" s="452">
        <f>Gen!AK33</f>
        <v>0</v>
      </c>
      <c r="D27" s="453">
        <f>Gen!T33</f>
        <v>0</v>
      </c>
      <c r="E27" s="402">
        <f>Gen!D33</f>
        <v>46132.800000000003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44159</v>
      </c>
      <c r="B28" s="406">
        <v>9.0999999999999998E-2</v>
      </c>
      <c r="C28" s="452">
        <f>Gen!AK34</f>
        <v>0</v>
      </c>
      <c r="D28" s="453">
        <f>Gen!T34</f>
        <v>0</v>
      </c>
      <c r="E28" s="402">
        <f>Gen!D34</f>
        <v>46132.800000000003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44160</v>
      </c>
      <c r="B29" s="406">
        <f>Gen!C35</f>
        <v>0</v>
      </c>
      <c r="C29" s="452">
        <f>Gen!AK35</f>
        <v>0</v>
      </c>
      <c r="D29" s="453">
        <f>Gen!T35</f>
        <v>0</v>
      </c>
      <c r="E29" s="402">
        <f>Gen!D35</f>
        <v>46132.800000000003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44161</v>
      </c>
      <c r="B30" s="406">
        <f>Gen!C36</f>
        <v>0</v>
      </c>
      <c r="C30" s="452">
        <f>Gen!AK36</f>
        <v>0</v>
      </c>
      <c r="D30" s="453">
        <f>Gen!T36</f>
        <v>0</v>
      </c>
      <c r="E30" s="402">
        <f>Gen!D36</f>
        <v>46132.800000000003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44162</v>
      </c>
      <c r="B31" s="406">
        <f>Gen!C37</f>
        <v>0</v>
      </c>
      <c r="C31" s="452">
        <f>Gen!AK37</f>
        <v>0</v>
      </c>
      <c r="D31" s="453">
        <f>Gen!T37</f>
        <v>0</v>
      </c>
      <c r="E31" s="402">
        <f>Gen!D37</f>
        <v>46132.800000000003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44163</v>
      </c>
      <c r="B32" s="406">
        <f>Gen!C38</f>
        <v>0</v>
      </c>
      <c r="C32" s="452">
        <f>Gen!AK38</f>
        <v>0</v>
      </c>
      <c r="D32" s="453">
        <f>Gen!T38</f>
        <v>0</v>
      </c>
      <c r="E32" s="402">
        <f>Gen!D38</f>
        <v>46132.800000000003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44164</v>
      </c>
      <c r="B33" s="406">
        <f>Gen!C39</f>
        <v>0</v>
      </c>
      <c r="C33" s="452">
        <f>Gen!AK39</f>
        <v>0</v>
      </c>
      <c r="D33" s="453">
        <f>Gen!T39</f>
        <v>0</v>
      </c>
      <c r="E33" s="402">
        <f>Gen!D39</f>
        <v>46132.800000000003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44165</v>
      </c>
      <c r="B34" s="450">
        <f>Gen!C40</f>
        <v>0</v>
      </c>
      <c r="C34" s="452">
        <f>Gen!AK40</f>
        <v>0</v>
      </c>
      <c r="D34" s="453">
        <f>Gen!T40</f>
        <v>0</v>
      </c>
      <c r="E34" s="451">
        <f>Gen!D40</f>
        <v>46132.800000000003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44166</v>
      </c>
      <c r="B35" s="406">
        <f>Gen!C41</f>
        <v>0</v>
      </c>
      <c r="C35" s="452">
        <f>Gen!AK41</f>
        <v>0</v>
      </c>
      <c r="D35" s="453">
        <f>Gen!T41</f>
        <v>0</v>
      </c>
      <c r="E35" s="404">
        <f>Gen!D41</f>
        <v>46132.800000000003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2">
        <f>Gen!AK42</f>
        <v>0</v>
      </c>
      <c r="D36" s="453">
        <f>Gen!T42</f>
        <v>0</v>
      </c>
      <c r="E36" s="404">
        <f>Gen!D42</f>
        <v>46132.800000000003</v>
      </c>
      <c r="F36" s="403">
        <f>'Water-Meter'!E37</f>
        <v>0</v>
      </c>
      <c r="G36" s="404">
        <f>'Water-Meter'!AN37</f>
        <v>227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2020-11-05T05:00:28Z</dcterms:modified>
</cp:coreProperties>
</file>