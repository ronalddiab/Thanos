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March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<sst xmlns="http://schemas.openxmlformats.org/spreadsheetml/2006/main" count="138" uniqueCount="58">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</sst>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8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24" fillId="3" borderId="10" xfId="0" applyFont="1" applyFill="1" applyBorder="1" applyAlignment="1"/>
    <xf numFmtId="0" fontId="26" fillId="0" borderId="15" xfId="0" applyFont="1" applyBorder="1"/>
    <xf numFmtId="0" fontId="7" fillId="4" borderId="4" xfId="0" quotePrefix="1" applyFont="1" applyFill="1" applyBorder="1"/>
    <xf numFmtId="0" fontId="26" fillId="8" borderId="10" xfId="0" applyFont="1" applyFill="1" applyBorder="1" applyAlignment="1"/>
    <xf numFmtId="0" fontId="27" fillId="8" borderId="10" xfId="0" applyFont="1" applyFill="1" applyBorder="1" applyAlignment="1">
      <alignment horizontal="center"/>
    </xf>
    <xf numFmtId="0" fontId="19" fillId="6" borderId="8" xfId="0" quotePrefix="1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56600</v>
      </c>
      <c r="F5" s="11">
        <v>5.0000000000000001E-3</v>
      </c>
      <c r="G5" s="12">
        <f>Submetering!S5</f>
        <v>429.97499999999997</v>
      </c>
      <c r="H5" s="11">
        <v>0.44440000000000002</v>
      </c>
      <c r="I5" s="12">
        <f>Submetering!R5</f>
        <v>1282.5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55300</v>
      </c>
      <c r="F6" s="11">
        <v>5.0000000000000001E-3</v>
      </c>
      <c r="G6" s="12">
        <f>Submetering!S6</f>
        <v>438.16500000000002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110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Submetering!S7</f>
        <v>0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0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Submetering!S8</f>
        <v>0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Submetering!S9</f>
        <v>0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0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Submetering!S10</f>
        <v>0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0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Submetering!S11</f>
        <v>0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0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0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0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0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0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0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0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T2" sqref="T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540</v>
      </c>
      <c r="F5" s="4">
        <f>Hotel!R10</f>
        <v>1810</v>
      </c>
      <c r="G5" s="4">
        <f>Hotel!S10</f>
        <v>3330</v>
      </c>
      <c r="H5" s="4">
        <f>Hotel!T10</f>
        <v>940</v>
      </c>
      <c r="I5" s="4">
        <f>Hotel!U10</f>
        <v>6320</v>
      </c>
      <c r="J5" s="4">
        <f>Hotel!V10</f>
        <v>4130</v>
      </c>
      <c r="K5" s="4">
        <f>Hotel!W10</f>
        <v>2790</v>
      </c>
      <c r="L5" s="4">
        <f>Hotel!X10</f>
        <v>4210</v>
      </c>
      <c r="M5" s="4">
        <f>Hotel!Y10</f>
        <v>6030</v>
      </c>
      <c r="N5" s="4">
        <f>Hotel!Z10</f>
        <v>2610</v>
      </c>
      <c r="O5" s="4">
        <f>Hotel!AA10</f>
        <v>3200</v>
      </c>
      <c r="P5" s="4">
        <f>Hotel!AB10</f>
        <v>7310</v>
      </c>
      <c r="Q5" s="4">
        <f>Hotel!AC10</f>
        <v>13380</v>
      </c>
      <c r="R5" s="4">
        <f>Hotel!AU10</f>
        <v>1282.5</v>
      </c>
      <c r="S5" s="4">
        <f>Hotel!BA10</f>
        <v>429.97499999999997</v>
      </c>
      <c r="T5" s="4">
        <f>Hotel!AX10</f>
        <v>135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660</v>
      </c>
      <c r="F6" s="4">
        <f>Hotel!R11</f>
        <v>1900</v>
      </c>
      <c r="G6" s="4">
        <f>Hotel!S11</f>
        <v>3310</v>
      </c>
      <c r="H6" s="4">
        <f>Hotel!T11</f>
        <v>990</v>
      </c>
      <c r="I6" s="4">
        <f>Hotel!U11</f>
        <v>5830</v>
      </c>
      <c r="J6" s="4">
        <f>Hotel!V11</f>
        <v>4200</v>
      </c>
      <c r="K6" s="4">
        <f>Hotel!W11</f>
        <v>3040</v>
      </c>
      <c r="L6" s="4">
        <f>Hotel!X11</f>
        <v>3910</v>
      </c>
      <c r="M6" s="4">
        <f>Hotel!Y11</f>
        <v>5990</v>
      </c>
      <c r="N6" s="4">
        <f>Hotel!Z11</f>
        <v>2510</v>
      </c>
      <c r="O6" s="4">
        <f>Hotel!AA11</f>
        <v>3170</v>
      </c>
      <c r="P6" s="4">
        <f>Hotel!AB11</f>
        <v>7500</v>
      </c>
      <c r="Q6" s="4">
        <f>Hotel!AC11</f>
        <v>12290</v>
      </c>
      <c r="R6" s="4">
        <f>Hotel!AU11</f>
        <v>0</v>
      </c>
      <c r="S6" s="4">
        <f>Hotel!BA11</f>
        <v>438.16500000000002</v>
      </c>
      <c r="T6" s="4">
        <f>Hotel!AX11</f>
        <v>131</v>
      </c>
      <c r="U6" s="4">
        <f>Hotel!B11</f>
        <v>110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Hotel!AU12</f>
        <v>0</v>
      </c>
      <c r="S7" s="4">
        <f>Hotel!BA12</f>
        <v>0</v>
      </c>
      <c r="T7" s="4" t="str">
        <f>Hotel!AX12</f>
        <v>0</v>
      </c>
      <c r="U7" s="4">
        <f>Hotel!B12</f>
        <v>0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Hotel!AU13</f>
        <v>0</v>
      </c>
      <c r="S8" s="4">
        <f>Hotel!BA13</f>
        <v>0</v>
      </c>
      <c r="T8" s="4">
        <f>Hotel!AX13</f>
        <v>0</v>
      </c>
      <c r="U8" s="4">
        <f>Hotel!B13</f>
        <v>0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Hotel!AU14</f>
        <v>0</v>
      </c>
      <c r="S9" s="4">
        <f>Hotel!BA14</f>
        <v>0</v>
      </c>
      <c r="T9" s="4">
        <f>Hotel!AX14</f>
        <v>0</v>
      </c>
      <c r="U9" s="4">
        <f>Hotel!B14</f>
        <v>0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Hotel!AU15</f>
        <v>0</v>
      </c>
      <c r="S10" s="4">
        <f>Hotel!BA15</f>
        <v>0</v>
      </c>
      <c r="T10" s="4">
        <f>Hotel!AX15</f>
        <v>0</v>
      </c>
      <c r="U10" s="4">
        <f>Hotel!B15</f>
        <v>0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Hotel!AU16</f>
        <v>0</v>
      </c>
      <c r="S11" s="4">
        <f>Hotel!BA16</f>
        <v>0</v>
      </c>
      <c r="T11" s="4">
        <f>Hotel!AX16</f>
        <v>0</v>
      </c>
      <c r="U11" s="4">
        <f>Hotel!B16</f>
        <v>0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Hotel!AU17</f>
        <v>0</v>
      </c>
      <c r="S12" s="4">
        <f>Hotel!BA17</f>
        <v>0</v>
      </c>
      <c r="T12" s="4">
        <f>Hotel!AX17</f>
        <v>0</v>
      </c>
      <c r="U12" s="4">
        <f>Hotel!B17</f>
        <v>0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Hotel!AU18</f>
        <v>0</v>
      </c>
      <c r="S13" s="4">
        <f>Hotel!BA18</f>
        <v>0</v>
      </c>
      <c r="T13" s="4">
        <f>Hotel!AX18</f>
        <v>0</v>
      </c>
      <c r="U13" s="4">
        <f>Hotel!B18</f>
        <v>0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Hotel!AU19</f>
        <v>0</v>
      </c>
      <c r="S14" s="4">
        <f>Hotel!BA19</f>
        <v>0</v>
      </c>
      <c r="T14" s="4">
        <f>Hotel!AX19</f>
        <v>0</v>
      </c>
      <c r="U14" s="4">
        <f>Hotel!B19</f>
        <v>0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Hotel!AU20</f>
        <v>0</v>
      </c>
      <c r="S15" s="4">
        <f>Hotel!BA20</f>
        <v>0</v>
      </c>
      <c r="T15" s="4">
        <f>Hotel!AX20</f>
        <v>0</v>
      </c>
      <c r="U15" s="4">
        <f>Hotel!B20</f>
        <v>0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Hotel!AU21</f>
        <v>0</v>
      </c>
      <c r="S16" s="4">
        <f>Hotel!BA21</f>
        <v>0</v>
      </c>
      <c r="T16" s="4">
        <f>Hotel!AX21</f>
        <v>0</v>
      </c>
      <c r="U16" s="4">
        <f>Hotel!B21</f>
        <v>0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Hotel!AU22</f>
        <v>0</v>
      </c>
      <c r="S17" s="4">
        <f>Hotel!BA22</f>
        <v>0</v>
      </c>
      <c r="T17" s="4">
        <f>Hotel!AX22</f>
        <v>0</v>
      </c>
      <c r="U17" s="4">
        <f>Hotel!B22</f>
        <v>0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Hotel!AU23</f>
        <v>0</v>
      </c>
      <c r="S18" s="4">
        <f>Hotel!BA23</f>
        <v>0</v>
      </c>
      <c r="T18" s="4">
        <f>Hotel!AX23</f>
        <v>0</v>
      </c>
      <c r="U18" s="4">
        <f>Hotel!B23</f>
        <v>0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Hotel!AU24</f>
        <v>0</v>
      </c>
      <c r="S19" s="4">
        <f>Hotel!BA24</f>
        <v>0</v>
      </c>
      <c r="T19" s="4">
        <f>Hotel!AX24</f>
        <v>0</v>
      </c>
      <c r="U19" s="4">
        <f>Hotel!B24</f>
        <v>0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Hotel!AU25</f>
        <v>0</v>
      </c>
      <c r="S20" s="4">
        <f>Hotel!BA25</f>
        <v>0</v>
      </c>
      <c r="T20" s="4">
        <f>Hotel!AX25</f>
        <v>0</v>
      </c>
      <c r="U20" s="4">
        <f>Hotel!B25</f>
        <v>0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Hotel!AU26</f>
        <v>0</v>
      </c>
      <c r="S21" s="4">
        <f>Hotel!BA26</f>
        <v>0</v>
      </c>
      <c r="T21" s="4">
        <f>Hotel!AX26</f>
        <v>0</v>
      </c>
      <c r="U21" s="4">
        <f>Hotel!B26</f>
        <v>0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zoomScale="93" zoomScaleNormal="93" workbookViewId="0">
      <selection activeCell="BI16" sqref="BI1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102" t="s">
        <v>44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Q4" s="104" t="s">
        <v>45</v>
      </c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6"/>
      <c r="AD4" s="28" t="s">
        <v>46</v>
      </c>
      <c r="AF4" s="107" t="s">
        <v>47</v>
      </c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29" t="s">
        <v>48</v>
      </c>
      <c r="AT4" s="108" t="s">
        <v>49</v>
      </c>
      <c r="AU4" s="108" t="s">
        <v>50</v>
      </c>
      <c r="AW4" s="109" t="s">
        <v>51</v>
      </c>
      <c r="AX4" s="109" t="s">
        <v>52</v>
      </c>
      <c r="AY4" s="98" t="s">
        <v>53</v>
      </c>
      <c r="AZ4" s="99" t="s">
        <v>54</v>
      </c>
      <c r="BA4" s="99" t="s">
        <v>55</v>
      </c>
      <c r="BB4" s="101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08"/>
      <c r="AU5" s="108"/>
      <c r="AW5" s="109"/>
      <c r="AX5" s="109"/>
      <c r="AY5" s="98"/>
      <c r="AZ5" s="100"/>
      <c r="BA5" s="100"/>
      <c r="BB5" s="101"/>
    </row>
    <row r="6" spans="1:54" x14ac:dyDescent="0.25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0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62">
        <v>118</v>
      </c>
      <c r="C8" s="76">
        <v>8831570</v>
      </c>
      <c r="D8" s="76">
        <v>21235420</v>
      </c>
      <c r="E8" s="76">
        <v>4019240</v>
      </c>
      <c r="F8" s="76">
        <v>4495080</v>
      </c>
      <c r="G8" s="76">
        <v>13441950</v>
      </c>
      <c r="H8" s="76">
        <v>8040840</v>
      </c>
      <c r="I8" s="76">
        <v>6915100</v>
      </c>
      <c r="J8" s="76">
        <v>8691330</v>
      </c>
      <c r="K8" s="76">
        <v>12529680</v>
      </c>
      <c r="L8" s="76">
        <v>5466510</v>
      </c>
      <c r="M8" s="76">
        <v>9851360</v>
      </c>
      <c r="N8" s="76">
        <v>16596880</v>
      </c>
      <c r="O8" s="76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7">
        <v>70812</v>
      </c>
      <c r="AX8" s="89">
        <f t="shared" ref="AX8:AX39" si="17">(IF((AW8-AW7&lt;0),"0",AW8-AW7))</f>
        <v>137</v>
      </c>
      <c r="AY8" s="92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 x14ac:dyDescent="0.25">
      <c r="A9" s="23">
        <v>44988</v>
      </c>
      <c r="B9" s="62">
        <v>185</v>
      </c>
      <c r="C9" s="91">
        <v>8832090</v>
      </c>
      <c r="D9" s="91">
        <v>21237180</v>
      </c>
      <c r="E9" s="91">
        <v>4022470</v>
      </c>
      <c r="F9" s="91">
        <v>4495990</v>
      </c>
      <c r="G9" s="91">
        <v>13448230</v>
      </c>
      <c r="H9" s="91">
        <v>8044910</v>
      </c>
      <c r="I9" s="91">
        <v>6918250</v>
      </c>
      <c r="J9" s="91">
        <v>8695480</v>
      </c>
      <c r="K9" s="91">
        <v>12535420</v>
      </c>
      <c r="L9" s="91">
        <v>5469100</v>
      </c>
      <c r="M9" s="91">
        <v>9854570</v>
      </c>
      <c r="N9" s="91">
        <v>16604080</v>
      </c>
      <c r="O9" s="91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95">
        <v>70948</v>
      </c>
      <c r="AX9" s="96">
        <f t="shared" si="17"/>
        <v>136</v>
      </c>
      <c r="AY9" s="94">
        <v>453062</v>
      </c>
      <c r="AZ9" s="70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 x14ac:dyDescent="0.25">
      <c r="A10" s="23">
        <v>44989</v>
      </c>
      <c r="B10" s="40">
        <v>119</v>
      </c>
      <c r="C10" s="78">
        <v>8832630</v>
      </c>
      <c r="D10" s="78">
        <v>21238990</v>
      </c>
      <c r="E10" s="78">
        <v>4025800</v>
      </c>
      <c r="F10" s="78">
        <v>4496930</v>
      </c>
      <c r="G10" s="78">
        <v>13454550</v>
      </c>
      <c r="H10" s="78">
        <v>8049040</v>
      </c>
      <c r="I10" s="78">
        <v>6921040</v>
      </c>
      <c r="J10" s="78">
        <v>8699690</v>
      </c>
      <c r="K10" s="78">
        <v>12541450</v>
      </c>
      <c r="L10" s="78">
        <v>5471710</v>
      </c>
      <c r="M10" s="78">
        <v>9857770</v>
      </c>
      <c r="N10" s="78">
        <v>16611390</v>
      </c>
      <c r="O10" s="78">
        <v>23500160</v>
      </c>
      <c r="Q10" s="37">
        <f t="shared" si="21"/>
        <v>540</v>
      </c>
      <c r="R10" s="37">
        <f t="shared" si="22"/>
        <v>1810</v>
      </c>
      <c r="S10" s="37">
        <f t="shared" si="15"/>
        <v>3330</v>
      </c>
      <c r="T10" s="37">
        <f t="shared" si="23"/>
        <v>940</v>
      </c>
      <c r="U10" s="37">
        <f t="shared" si="24"/>
        <v>6320</v>
      </c>
      <c r="V10" s="37">
        <f t="shared" si="25"/>
        <v>4130</v>
      </c>
      <c r="W10" s="37">
        <f t="shared" si="26"/>
        <v>2790</v>
      </c>
      <c r="X10" s="37">
        <f t="shared" si="27"/>
        <v>4210</v>
      </c>
      <c r="Y10" s="37">
        <f t="shared" si="28"/>
        <v>6030</v>
      </c>
      <c r="Z10" s="37">
        <f t="shared" si="29"/>
        <v>2610</v>
      </c>
      <c r="AA10" s="37">
        <f t="shared" si="30"/>
        <v>3200</v>
      </c>
      <c r="AB10" s="37">
        <f t="shared" si="31"/>
        <v>7310</v>
      </c>
      <c r="AC10" s="37">
        <f t="shared" si="32"/>
        <v>13380</v>
      </c>
      <c r="AD10" s="35">
        <f t="shared" si="33"/>
        <v>56600</v>
      </c>
      <c r="AF10" s="20">
        <f t="shared" si="1"/>
        <v>2.7</v>
      </c>
      <c r="AG10" s="20">
        <f t="shared" si="2"/>
        <v>9.0500000000000007</v>
      </c>
      <c r="AH10" s="20">
        <f t="shared" si="3"/>
        <v>16.649999999999999</v>
      </c>
      <c r="AI10" s="20">
        <f t="shared" si="4"/>
        <v>4.7</v>
      </c>
      <c r="AJ10" s="20">
        <f t="shared" si="5"/>
        <v>31.6</v>
      </c>
      <c r="AK10" s="20">
        <f t="shared" si="6"/>
        <v>20.650000000000002</v>
      </c>
      <c r="AL10" s="20">
        <f t="shared" si="7"/>
        <v>13.950000000000001</v>
      </c>
      <c r="AM10" s="20">
        <f t="shared" si="8"/>
        <v>21.05</v>
      </c>
      <c r="AN10" s="20">
        <f t="shared" si="9"/>
        <v>30.150000000000002</v>
      </c>
      <c r="AO10" s="20">
        <f t="shared" si="10"/>
        <v>13.05</v>
      </c>
      <c r="AP10" s="20">
        <f t="shared" si="11"/>
        <v>16</v>
      </c>
      <c r="AQ10" s="20">
        <f t="shared" si="12"/>
        <v>36.550000000000004</v>
      </c>
      <c r="AR10" s="20">
        <f t="shared" si="13"/>
        <v>66.900000000000006</v>
      </c>
      <c r="AS10" s="35">
        <f t="shared" si="34"/>
        <v>283</v>
      </c>
      <c r="AT10" s="63">
        <v>7.2</v>
      </c>
      <c r="AU10" s="65">
        <f t="shared" si="16"/>
        <v>1282.5</v>
      </c>
      <c r="AW10" s="82">
        <v>71083</v>
      </c>
      <c r="AX10" s="60">
        <f t="shared" si="17"/>
        <v>135</v>
      </c>
      <c r="AY10" s="93">
        <v>454637</v>
      </c>
      <c r="AZ10" s="37">
        <f t="shared" si="18"/>
        <v>157500</v>
      </c>
      <c r="BA10" s="37">
        <f t="shared" si="19"/>
        <v>429.97499999999997</v>
      </c>
      <c r="BB10" s="58">
        <f t="shared" si="20"/>
        <v>191.08088999999998</v>
      </c>
    </row>
    <row r="11" spans="1:54" x14ac:dyDescent="0.25">
      <c r="A11" s="23">
        <v>44990</v>
      </c>
      <c r="B11" s="40">
        <v>110</v>
      </c>
      <c r="C11" s="50">
        <v>8833290</v>
      </c>
      <c r="D11" s="50">
        <v>21240890</v>
      </c>
      <c r="E11" s="50">
        <v>4029110</v>
      </c>
      <c r="F11" s="50">
        <v>4497920</v>
      </c>
      <c r="G11" s="50">
        <v>13460380</v>
      </c>
      <c r="H11" s="50">
        <v>8053240</v>
      </c>
      <c r="I11" s="50">
        <v>6924080</v>
      </c>
      <c r="J11" s="50">
        <v>8703600</v>
      </c>
      <c r="K11" s="50">
        <v>12547440</v>
      </c>
      <c r="L11" s="50">
        <v>5474220</v>
      </c>
      <c r="M11" s="50">
        <v>9860940</v>
      </c>
      <c r="N11" s="50">
        <v>16618890</v>
      </c>
      <c r="O11" s="50">
        <v>23512450</v>
      </c>
      <c r="Q11" s="37">
        <f t="shared" si="21"/>
        <v>660</v>
      </c>
      <c r="R11" s="37">
        <f t="shared" si="22"/>
        <v>1900</v>
      </c>
      <c r="S11" s="37">
        <f t="shared" si="15"/>
        <v>3310</v>
      </c>
      <c r="T11" s="37">
        <f t="shared" si="23"/>
        <v>990</v>
      </c>
      <c r="U11" s="37">
        <f t="shared" si="24"/>
        <v>5830</v>
      </c>
      <c r="V11" s="37">
        <f t="shared" si="25"/>
        <v>4200</v>
      </c>
      <c r="W11" s="37">
        <f t="shared" si="26"/>
        <v>3040</v>
      </c>
      <c r="X11" s="37">
        <f t="shared" si="27"/>
        <v>3910</v>
      </c>
      <c r="Y11" s="37">
        <f t="shared" si="28"/>
        <v>5990</v>
      </c>
      <c r="Z11" s="37">
        <f t="shared" si="29"/>
        <v>2510</v>
      </c>
      <c r="AA11" s="37">
        <f t="shared" si="30"/>
        <v>3170</v>
      </c>
      <c r="AB11" s="37">
        <f t="shared" si="31"/>
        <v>7500</v>
      </c>
      <c r="AC11" s="37">
        <f t="shared" si="32"/>
        <v>12290</v>
      </c>
      <c r="AD11" s="35">
        <f t="shared" si="33"/>
        <v>55300</v>
      </c>
      <c r="AF11" s="20">
        <f t="shared" si="1"/>
        <v>3.3000000000000003</v>
      </c>
      <c r="AG11" s="20">
        <f t="shared" si="2"/>
        <v>9.5</v>
      </c>
      <c r="AH11" s="20">
        <f t="shared" si="3"/>
        <v>16.55</v>
      </c>
      <c r="AI11" s="20">
        <f t="shared" si="4"/>
        <v>4.95</v>
      </c>
      <c r="AJ11" s="20">
        <f t="shared" si="5"/>
        <v>29.150000000000002</v>
      </c>
      <c r="AK11" s="20">
        <f t="shared" si="6"/>
        <v>21</v>
      </c>
      <c r="AL11" s="20">
        <f t="shared" si="7"/>
        <v>15.200000000000001</v>
      </c>
      <c r="AM11" s="20">
        <f t="shared" si="8"/>
        <v>19.55</v>
      </c>
      <c r="AN11" s="20">
        <f t="shared" si="9"/>
        <v>29.95</v>
      </c>
      <c r="AO11" s="20">
        <f t="shared" si="10"/>
        <v>12.55</v>
      </c>
      <c r="AP11" s="20">
        <f t="shared" si="11"/>
        <v>15.85</v>
      </c>
      <c r="AQ11" s="20">
        <f t="shared" si="12"/>
        <v>37.5</v>
      </c>
      <c r="AR11" s="20">
        <f t="shared" si="13"/>
        <v>61.45</v>
      </c>
      <c r="AS11" s="35">
        <f t="shared" si="34"/>
        <v>276.5</v>
      </c>
      <c r="AT11" s="63">
        <v>0</v>
      </c>
      <c r="AU11" s="65">
        <f t="shared" si="16"/>
        <v>0</v>
      </c>
      <c r="AW11" s="61">
        <v>71214</v>
      </c>
      <c r="AX11" s="60">
        <f t="shared" si="17"/>
        <v>131</v>
      </c>
      <c r="AY11" s="53">
        <v>456242</v>
      </c>
      <c r="AZ11" s="37">
        <f t="shared" si="18"/>
        <v>160500</v>
      </c>
      <c r="BA11" s="37">
        <f t="shared" si="19"/>
        <v>438.16500000000002</v>
      </c>
      <c r="BB11" s="58">
        <f t="shared" si="20"/>
        <v>194.72052600000001</v>
      </c>
    </row>
    <row r="12" spans="1:54" x14ac:dyDescent="0.25">
      <c r="A12" s="23">
        <v>44991</v>
      </c>
      <c r="B12" s="4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Q12" s="37" t="str">
        <f t="shared" si="21"/>
        <v>0</v>
      </c>
      <c r="R12" s="37" t="str">
        <f t="shared" si="22"/>
        <v>0</v>
      </c>
      <c r="S12" s="37" t="str">
        <f t="shared" si="15"/>
        <v>0</v>
      </c>
      <c r="T12" s="37" t="str">
        <f t="shared" ref="T12:W14" si="35">IF((F12-F11&lt;0), "0",F12-F11)</f>
        <v>0</v>
      </c>
      <c r="U12" s="37" t="str">
        <f t="shared" si="35"/>
        <v>0</v>
      </c>
      <c r="V12" s="37" t="str">
        <f t="shared" si="35"/>
        <v>0</v>
      </c>
      <c r="W12" s="37" t="str">
        <f t="shared" si="35"/>
        <v>0</v>
      </c>
      <c r="X12" s="37" t="str">
        <f t="shared" si="27"/>
        <v>0</v>
      </c>
      <c r="Y12" s="37" t="str">
        <f t="shared" si="28"/>
        <v>0</v>
      </c>
      <c r="Z12" s="37" t="str">
        <f>IF((L12-L11&lt;0), "0",L12-L11)</f>
        <v>0</v>
      </c>
      <c r="AA12" s="37" t="str">
        <f t="shared" si="30"/>
        <v>0</v>
      </c>
      <c r="AB12" s="37" t="str">
        <f t="shared" si="31"/>
        <v>0</v>
      </c>
      <c r="AC12" s="37" t="str">
        <f t="shared" si="32"/>
        <v>0</v>
      </c>
      <c r="AD12" s="35">
        <f t="shared" si="33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4"/>
        <v>0</v>
      </c>
      <c r="AT12" s="63"/>
      <c r="AU12" s="65">
        <f t="shared" si="16"/>
        <v>0</v>
      </c>
      <c r="AW12" s="61"/>
      <c r="AX12" s="60" t="str">
        <f t="shared" si="17"/>
        <v>0</v>
      </c>
      <c r="AY12" s="54"/>
      <c r="AZ12" s="37">
        <f t="shared" si="18"/>
        <v>0</v>
      </c>
      <c r="BA12" s="37">
        <f t="shared" si="19"/>
        <v>0</v>
      </c>
      <c r="BB12" s="58">
        <f t="shared" si="20"/>
        <v>0</v>
      </c>
    </row>
    <row r="13" spans="1:54" x14ac:dyDescent="0.25">
      <c r="A13" s="23">
        <v>44992</v>
      </c>
      <c r="B13" s="40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Q13" s="37">
        <f t="shared" si="21"/>
        <v>0</v>
      </c>
      <c r="R13" s="37">
        <f t="shared" si="22"/>
        <v>0</v>
      </c>
      <c r="S13" s="37">
        <f t="shared" si="15"/>
        <v>0</v>
      </c>
      <c r="T13" s="37">
        <f t="shared" si="35"/>
        <v>0</v>
      </c>
      <c r="U13" s="37">
        <f t="shared" si="35"/>
        <v>0</v>
      </c>
      <c r="V13" s="37">
        <f t="shared" si="35"/>
        <v>0</v>
      </c>
      <c r="W13" s="37">
        <f t="shared" si="35"/>
        <v>0</v>
      </c>
      <c r="X13" s="37">
        <f t="shared" si="27"/>
        <v>0</v>
      </c>
      <c r="Y13" s="37">
        <f t="shared" si="28"/>
        <v>0</v>
      </c>
      <c r="Z13" s="37">
        <f>IF((L13-L12&lt;0), "0",L13-L12)</f>
        <v>0</v>
      </c>
      <c r="AA13" s="37">
        <f t="shared" si="30"/>
        <v>0</v>
      </c>
      <c r="AB13" s="37">
        <f t="shared" si="31"/>
        <v>0</v>
      </c>
      <c r="AC13" s="37">
        <f t="shared" si="32"/>
        <v>0</v>
      </c>
      <c r="AD13" s="35">
        <f t="shared" si="33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4"/>
        <v>0</v>
      </c>
      <c r="AT13" s="63"/>
      <c r="AU13" s="65">
        <f t="shared" si="16"/>
        <v>0</v>
      </c>
      <c r="AW13" s="61"/>
      <c r="AX13" s="60">
        <f t="shared" si="17"/>
        <v>0</v>
      </c>
      <c r="AY13" s="57"/>
      <c r="AZ13" s="37">
        <f t="shared" si="18"/>
        <v>0</v>
      </c>
      <c r="BA13" s="37">
        <f t="shared" si="19"/>
        <v>0</v>
      </c>
      <c r="BB13" s="58">
        <f t="shared" si="20"/>
        <v>0</v>
      </c>
    </row>
    <row r="14" spans="1:54" x14ac:dyDescent="0.25">
      <c r="A14" s="23">
        <v>44993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>
        <f t="shared" si="21"/>
        <v>0</v>
      </c>
      <c r="R14" s="37">
        <f t="shared" si="22"/>
        <v>0</v>
      </c>
      <c r="S14" s="37">
        <f t="shared" si="15"/>
        <v>0</v>
      </c>
      <c r="T14" s="37">
        <f t="shared" si="35"/>
        <v>0</v>
      </c>
      <c r="U14" s="37">
        <f t="shared" si="35"/>
        <v>0</v>
      </c>
      <c r="V14" s="37">
        <f t="shared" si="35"/>
        <v>0</v>
      </c>
      <c r="W14" s="37">
        <f t="shared" si="35"/>
        <v>0</v>
      </c>
      <c r="X14" s="37">
        <f t="shared" si="27"/>
        <v>0</v>
      </c>
      <c r="Y14" s="37">
        <f t="shared" si="28"/>
        <v>0</v>
      </c>
      <c r="Z14" s="37">
        <f>IF((L14-L13&lt;0), "0",L14-L13)</f>
        <v>0</v>
      </c>
      <c r="AA14" s="37">
        <f t="shared" si="30"/>
        <v>0</v>
      </c>
      <c r="AB14" s="37">
        <f t="shared" si="31"/>
        <v>0</v>
      </c>
      <c r="AC14" s="37">
        <f t="shared" si="32"/>
        <v>0</v>
      </c>
      <c r="AD14" s="35">
        <f t="shared" si="33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4"/>
        <v>0</v>
      </c>
      <c r="AT14" s="63"/>
      <c r="AU14" s="65">
        <f t="shared" si="16"/>
        <v>0</v>
      </c>
      <c r="AW14" s="61"/>
      <c r="AX14" s="60">
        <f t="shared" si="17"/>
        <v>0</v>
      </c>
      <c r="AY14" s="54"/>
      <c r="AZ14" s="37">
        <f t="shared" si="18"/>
        <v>0</v>
      </c>
      <c r="BA14" s="37">
        <f t="shared" si="19"/>
        <v>0</v>
      </c>
      <c r="BB14" s="58">
        <f t="shared" si="20"/>
        <v>0</v>
      </c>
    </row>
    <row r="15" spans="1:54" x14ac:dyDescent="0.25">
      <c r="A15" s="23">
        <v>44994</v>
      </c>
      <c r="B15" s="4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Q15" s="37">
        <f t="shared" si="21"/>
        <v>0</v>
      </c>
      <c r="R15" s="37">
        <f t="shared" si="22"/>
        <v>0</v>
      </c>
      <c r="S15" s="37">
        <f t="shared" si="15"/>
        <v>0</v>
      </c>
      <c r="T15" s="37">
        <f t="shared" si="23"/>
        <v>0</v>
      </c>
      <c r="U15" s="37">
        <f t="shared" si="24"/>
        <v>0</v>
      </c>
      <c r="V15" s="37">
        <f t="shared" si="25"/>
        <v>0</v>
      </c>
      <c r="W15" s="37">
        <f t="shared" si="26"/>
        <v>0</v>
      </c>
      <c r="X15" s="37">
        <f t="shared" si="27"/>
        <v>0</v>
      </c>
      <c r="Y15" s="37">
        <f t="shared" si="28"/>
        <v>0</v>
      </c>
      <c r="Z15" s="37">
        <f t="shared" si="29"/>
        <v>0</v>
      </c>
      <c r="AA15" s="37">
        <f t="shared" si="30"/>
        <v>0</v>
      </c>
      <c r="AB15" s="37">
        <f t="shared" si="31"/>
        <v>0</v>
      </c>
      <c r="AC15" s="37">
        <f t="shared" si="32"/>
        <v>0</v>
      </c>
      <c r="AD15" s="35">
        <f t="shared" si="33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4"/>
        <v>0</v>
      </c>
      <c r="AT15" s="63"/>
      <c r="AU15" s="65">
        <f t="shared" si="16"/>
        <v>0</v>
      </c>
      <c r="AW15" s="61"/>
      <c r="AX15" s="60">
        <f t="shared" si="17"/>
        <v>0</v>
      </c>
      <c r="AY15" s="53"/>
      <c r="AZ15" s="37">
        <f t="shared" si="18"/>
        <v>0</v>
      </c>
      <c r="BA15" s="37">
        <f t="shared" si="19"/>
        <v>0</v>
      </c>
      <c r="BB15" s="58">
        <f t="shared" si="20"/>
        <v>0</v>
      </c>
    </row>
    <row r="16" spans="1:54" x14ac:dyDescent="0.25">
      <c r="A16" s="23">
        <v>44995</v>
      </c>
      <c r="B16" s="4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Q16" s="37">
        <f t="shared" si="21"/>
        <v>0</v>
      </c>
      <c r="R16" s="37">
        <f t="shared" si="22"/>
        <v>0</v>
      </c>
      <c r="S16" s="37">
        <f t="shared" si="15"/>
        <v>0</v>
      </c>
      <c r="T16" s="37">
        <f t="shared" si="23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6"/>
        <v>0</v>
      </c>
      <c r="X16" s="37">
        <f t="shared" si="27"/>
        <v>0</v>
      </c>
      <c r="Y16" s="37">
        <f t="shared" si="28"/>
        <v>0</v>
      </c>
      <c r="Z16" s="37">
        <f t="shared" si="29"/>
        <v>0</v>
      </c>
      <c r="AA16" s="37">
        <f t="shared" si="30"/>
        <v>0</v>
      </c>
      <c r="AB16" s="37">
        <f t="shared" si="31"/>
        <v>0</v>
      </c>
      <c r="AC16" s="37">
        <f t="shared" si="32"/>
        <v>0</v>
      </c>
      <c r="AD16" s="35">
        <f t="shared" si="33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4"/>
        <v>0</v>
      </c>
      <c r="AT16" s="63"/>
      <c r="AU16" s="65">
        <f t="shared" si="16"/>
        <v>0</v>
      </c>
      <c r="AW16" s="61"/>
      <c r="AX16" s="60">
        <f t="shared" si="17"/>
        <v>0</v>
      </c>
      <c r="AY16" s="54"/>
      <c r="AZ16" s="37">
        <f t="shared" si="18"/>
        <v>0</v>
      </c>
      <c r="BA16" s="37">
        <f t="shared" si="19"/>
        <v>0</v>
      </c>
      <c r="BB16" s="58">
        <f t="shared" si="20"/>
        <v>0</v>
      </c>
    </row>
    <row r="17" spans="1:54" x14ac:dyDescent="0.25">
      <c r="A17" s="23">
        <v>44996</v>
      </c>
      <c r="B17" s="4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Q17" s="37">
        <f t="shared" si="21"/>
        <v>0</v>
      </c>
      <c r="R17" s="37">
        <f t="shared" si="22"/>
        <v>0</v>
      </c>
      <c r="S17" s="37">
        <f t="shared" si="15"/>
        <v>0</v>
      </c>
      <c r="T17" s="37">
        <f t="shared" si="23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6"/>
        <v>0</v>
      </c>
      <c r="X17" s="37">
        <f t="shared" si="27"/>
        <v>0</v>
      </c>
      <c r="Y17" s="37">
        <f t="shared" si="28"/>
        <v>0</v>
      </c>
      <c r="Z17" s="37">
        <f t="shared" si="29"/>
        <v>0</v>
      </c>
      <c r="AA17" s="37">
        <f t="shared" si="30"/>
        <v>0</v>
      </c>
      <c r="AB17" s="37">
        <f t="shared" si="31"/>
        <v>0</v>
      </c>
      <c r="AC17" s="37">
        <f t="shared" si="32"/>
        <v>0</v>
      </c>
      <c r="AD17" s="35">
        <f t="shared" si="33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4"/>
        <v>0</v>
      </c>
      <c r="AT17" s="63"/>
      <c r="AU17" s="65">
        <f t="shared" si="16"/>
        <v>0</v>
      </c>
      <c r="AW17" s="61"/>
      <c r="AX17" s="60">
        <f t="shared" si="17"/>
        <v>0</v>
      </c>
      <c r="AY17" s="55"/>
      <c r="AZ17" s="37">
        <f t="shared" si="18"/>
        <v>0</v>
      </c>
      <c r="BA17" s="37">
        <f t="shared" si="19"/>
        <v>0</v>
      </c>
      <c r="BB17" s="58">
        <f t="shared" si="20"/>
        <v>0</v>
      </c>
    </row>
    <row r="18" spans="1:54" x14ac:dyDescent="0.25">
      <c r="A18" s="23">
        <v>44997</v>
      </c>
      <c r="B18" s="4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Q18" s="37">
        <f t="shared" si="21"/>
        <v>0</v>
      </c>
      <c r="R18" s="37">
        <f t="shared" si="22"/>
        <v>0</v>
      </c>
      <c r="S18" s="37">
        <f t="shared" si="15"/>
        <v>0</v>
      </c>
      <c r="T18" s="37">
        <f t="shared" si="23"/>
        <v>0</v>
      </c>
      <c r="U18" s="37">
        <f t="shared" si="24"/>
        <v>0</v>
      </c>
      <c r="V18" s="37">
        <f t="shared" si="25"/>
        <v>0</v>
      </c>
      <c r="W18" s="37">
        <f t="shared" si="26"/>
        <v>0</v>
      </c>
      <c r="X18" s="37">
        <f t="shared" si="27"/>
        <v>0</v>
      </c>
      <c r="Y18" s="37">
        <f t="shared" si="28"/>
        <v>0</v>
      </c>
      <c r="Z18" s="37">
        <f t="shared" si="29"/>
        <v>0</v>
      </c>
      <c r="AA18" s="37">
        <f t="shared" si="30"/>
        <v>0</v>
      </c>
      <c r="AB18" s="37">
        <f t="shared" si="31"/>
        <v>0</v>
      </c>
      <c r="AC18" s="37">
        <f t="shared" si="32"/>
        <v>0</v>
      </c>
      <c r="AD18" s="35">
        <f t="shared" si="33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4"/>
        <v>0</v>
      </c>
      <c r="AT18" s="63"/>
      <c r="AU18" s="65">
        <f t="shared" si="16"/>
        <v>0</v>
      </c>
      <c r="AW18" s="61"/>
      <c r="AX18" s="60">
        <f t="shared" si="17"/>
        <v>0</v>
      </c>
      <c r="AY18" s="54"/>
      <c r="AZ18" s="37">
        <f t="shared" si="18"/>
        <v>0</v>
      </c>
      <c r="BA18" s="37">
        <f t="shared" si="19"/>
        <v>0</v>
      </c>
      <c r="BB18" s="58">
        <f t="shared" si="20"/>
        <v>0</v>
      </c>
    </row>
    <row r="19" spans="1:54" x14ac:dyDescent="0.25">
      <c r="A19" s="23">
        <v>44998</v>
      </c>
      <c r="B19" s="4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Q19" s="37">
        <f t="shared" si="21"/>
        <v>0</v>
      </c>
      <c r="R19" s="37">
        <f t="shared" si="22"/>
        <v>0</v>
      </c>
      <c r="S19" s="37">
        <f t="shared" si="15"/>
        <v>0</v>
      </c>
      <c r="T19" s="37">
        <f t="shared" si="23"/>
        <v>0</v>
      </c>
      <c r="U19" s="37">
        <f t="shared" si="24"/>
        <v>0</v>
      </c>
      <c r="V19" s="37">
        <f t="shared" si="25"/>
        <v>0</v>
      </c>
      <c r="W19" s="37">
        <f t="shared" si="26"/>
        <v>0</v>
      </c>
      <c r="X19" s="37">
        <f t="shared" si="27"/>
        <v>0</v>
      </c>
      <c r="Y19" s="37">
        <f t="shared" si="28"/>
        <v>0</v>
      </c>
      <c r="Z19" s="37">
        <f t="shared" si="29"/>
        <v>0</v>
      </c>
      <c r="AA19" s="37">
        <f t="shared" si="30"/>
        <v>0</v>
      </c>
      <c r="AB19" s="37">
        <f t="shared" si="31"/>
        <v>0</v>
      </c>
      <c r="AC19" s="37">
        <f t="shared" si="32"/>
        <v>0</v>
      </c>
      <c r="AD19" s="35">
        <f t="shared" si="33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4"/>
        <v>0</v>
      </c>
      <c r="AT19" s="63"/>
      <c r="AU19" s="65">
        <f t="shared" si="16"/>
        <v>0</v>
      </c>
      <c r="AW19" s="61"/>
      <c r="AX19" s="60">
        <f t="shared" si="17"/>
        <v>0</v>
      </c>
      <c r="AY19" s="53"/>
      <c r="AZ19" s="37">
        <f t="shared" si="18"/>
        <v>0</v>
      </c>
      <c r="BA19" s="37">
        <f t="shared" si="19"/>
        <v>0</v>
      </c>
      <c r="BB19" s="58">
        <f t="shared" si="20"/>
        <v>0</v>
      </c>
    </row>
    <row r="20" spans="1:54" x14ac:dyDescent="0.25">
      <c r="A20" s="23">
        <v>44999</v>
      </c>
      <c r="B20" s="4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Q20" s="37">
        <f t="shared" si="21"/>
        <v>0</v>
      </c>
      <c r="R20" s="37">
        <f t="shared" si="22"/>
        <v>0</v>
      </c>
      <c r="S20" s="37">
        <f t="shared" si="15"/>
        <v>0</v>
      </c>
      <c r="T20" s="37">
        <f t="shared" si="23"/>
        <v>0</v>
      </c>
      <c r="U20" s="37">
        <f t="shared" si="24"/>
        <v>0</v>
      </c>
      <c r="V20" s="37">
        <f t="shared" si="25"/>
        <v>0</v>
      </c>
      <c r="W20" s="37">
        <f t="shared" si="26"/>
        <v>0</v>
      </c>
      <c r="X20" s="37">
        <f t="shared" si="27"/>
        <v>0</v>
      </c>
      <c r="Y20" s="37">
        <f t="shared" si="28"/>
        <v>0</v>
      </c>
      <c r="Z20" s="37">
        <f t="shared" si="29"/>
        <v>0</v>
      </c>
      <c r="AA20" s="37">
        <f t="shared" si="30"/>
        <v>0</v>
      </c>
      <c r="AB20" s="37">
        <f t="shared" si="31"/>
        <v>0</v>
      </c>
      <c r="AC20" s="37">
        <f t="shared" si="32"/>
        <v>0</v>
      </c>
      <c r="AD20" s="35">
        <f t="shared" si="33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4"/>
        <v>0</v>
      </c>
      <c r="AT20" s="63"/>
      <c r="AU20" s="65">
        <f t="shared" si="16"/>
        <v>0</v>
      </c>
      <c r="AW20" s="61"/>
      <c r="AX20" s="60">
        <f t="shared" si="17"/>
        <v>0</v>
      </c>
      <c r="AY20" s="54"/>
      <c r="AZ20" s="37">
        <f t="shared" si="18"/>
        <v>0</v>
      </c>
      <c r="BA20" s="37">
        <f t="shared" si="19"/>
        <v>0</v>
      </c>
      <c r="BB20" s="58">
        <f t="shared" si="20"/>
        <v>0</v>
      </c>
    </row>
    <row r="21" spans="1:54" x14ac:dyDescent="0.25">
      <c r="A21" s="23">
        <v>45000</v>
      </c>
      <c r="B21" s="4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Q21" s="37">
        <f t="shared" si="21"/>
        <v>0</v>
      </c>
      <c r="R21" s="37">
        <f t="shared" si="22"/>
        <v>0</v>
      </c>
      <c r="S21" s="37">
        <f t="shared" si="15"/>
        <v>0</v>
      </c>
      <c r="T21" s="37">
        <f t="shared" si="23"/>
        <v>0</v>
      </c>
      <c r="U21" s="37">
        <f t="shared" si="24"/>
        <v>0</v>
      </c>
      <c r="V21" s="37">
        <f t="shared" si="25"/>
        <v>0</v>
      </c>
      <c r="W21" s="37">
        <f t="shared" si="26"/>
        <v>0</v>
      </c>
      <c r="X21" s="37">
        <f t="shared" si="27"/>
        <v>0</v>
      </c>
      <c r="Y21" s="37">
        <f t="shared" si="28"/>
        <v>0</v>
      </c>
      <c r="Z21" s="37">
        <f t="shared" si="29"/>
        <v>0</v>
      </c>
      <c r="AA21" s="37">
        <f t="shared" si="30"/>
        <v>0</v>
      </c>
      <c r="AB21" s="37">
        <f t="shared" si="31"/>
        <v>0</v>
      </c>
      <c r="AC21" s="37">
        <f t="shared" si="32"/>
        <v>0</v>
      </c>
      <c r="AD21" s="35">
        <f t="shared" si="33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4"/>
        <v>0</v>
      </c>
      <c r="AT21" s="63"/>
      <c r="AU21" s="65">
        <f t="shared" si="16"/>
        <v>0</v>
      </c>
      <c r="AW21" s="61"/>
      <c r="AX21" s="60">
        <f t="shared" si="17"/>
        <v>0</v>
      </c>
      <c r="AY21" s="53"/>
      <c r="AZ21" s="37">
        <f t="shared" si="18"/>
        <v>0</v>
      </c>
      <c r="BA21" s="37">
        <f t="shared" si="19"/>
        <v>0</v>
      </c>
      <c r="BB21" s="58">
        <f t="shared" si="20"/>
        <v>0</v>
      </c>
    </row>
    <row r="22" spans="1:54" x14ac:dyDescent="0.25">
      <c r="A22" s="23">
        <v>45001</v>
      </c>
      <c r="B22" s="4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Q22" s="37">
        <f t="shared" si="21"/>
        <v>0</v>
      </c>
      <c r="R22" s="37">
        <f t="shared" si="22"/>
        <v>0</v>
      </c>
      <c r="S22" s="37">
        <f t="shared" si="15"/>
        <v>0</v>
      </c>
      <c r="T22" s="37">
        <f t="shared" si="23"/>
        <v>0</v>
      </c>
      <c r="U22" s="37">
        <f t="shared" si="24"/>
        <v>0</v>
      </c>
      <c r="V22" s="37">
        <f t="shared" si="25"/>
        <v>0</v>
      </c>
      <c r="W22" s="37">
        <f t="shared" si="26"/>
        <v>0</v>
      </c>
      <c r="X22" s="37">
        <f t="shared" si="27"/>
        <v>0</v>
      </c>
      <c r="Y22" s="37">
        <f t="shared" si="28"/>
        <v>0</v>
      </c>
      <c r="Z22" s="37">
        <f t="shared" si="29"/>
        <v>0</v>
      </c>
      <c r="AA22" s="37">
        <f t="shared" si="30"/>
        <v>0</v>
      </c>
      <c r="AB22" s="37">
        <f t="shared" si="31"/>
        <v>0</v>
      </c>
      <c r="AC22" s="37">
        <f t="shared" si="32"/>
        <v>0</v>
      </c>
      <c r="AD22" s="35">
        <f t="shared" si="33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4"/>
        <v>0</v>
      </c>
      <c r="AT22" s="63"/>
      <c r="AU22" s="65">
        <f t="shared" si="16"/>
        <v>0</v>
      </c>
      <c r="AW22" s="61"/>
      <c r="AX22" s="60">
        <f t="shared" si="17"/>
        <v>0</v>
      </c>
      <c r="AY22" s="54"/>
      <c r="AZ22" s="37">
        <f t="shared" si="18"/>
        <v>0</v>
      </c>
      <c r="BA22" s="37">
        <f t="shared" si="19"/>
        <v>0</v>
      </c>
      <c r="BB22" s="58">
        <f t="shared" si="20"/>
        <v>0</v>
      </c>
    </row>
    <row r="23" spans="1:54" x14ac:dyDescent="0.25">
      <c r="A23" s="23">
        <v>45002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21"/>
        <v>0</v>
      </c>
      <c r="R23" s="37">
        <f t="shared" si="22"/>
        <v>0</v>
      </c>
      <c r="S23" s="37">
        <f t="shared" si="15"/>
        <v>0</v>
      </c>
      <c r="T23" s="37">
        <f t="shared" si="23"/>
        <v>0</v>
      </c>
      <c r="U23" s="37">
        <f t="shared" si="24"/>
        <v>0</v>
      </c>
      <c r="V23" s="37">
        <f t="shared" si="25"/>
        <v>0</v>
      </c>
      <c r="W23" s="37">
        <f t="shared" si="26"/>
        <v>0</v>
      </c>
      <c r="X23" s="37">
        <f t="shared" si="27"/>
        <v>0</v>
      </c>
      <c r="Y23" s="37">
        <f t="shared" si="28"/>
        <v>0</v>
      </c>
      <c r="Z23" s="37">
        <f t="shared" si="29"/>
        <v>0</v>
      </c>
      <c r="AA23" s="37">
        <f t="shared" si="30"/>
        <v>0</v>
      </c>
      <c r="AB23" s="37">
        <f t="shared" si="31"/>
        <v>0</v>
      </c>
      <c r="AC23" s="37">
        <f t="shared" si="32"/>
        <v>0</v>
      </c>
      <c r="AD23" s="35">
        <f t="shared" si="33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4"/>
        <v>0</v>
      </c>
      <c r="AT23" s="63"/>
      <c r="AU23" s="65">
        <f t="shared" si="16"/>
        <v>0</v>
      </c>
      <c r="AW23" s="61"/>
      <c r="AX23" s="60">
        <f t="shared" si="17"/>
        <v>0</v>
      </c>
      <c r="AY23" s="52"/>
      <c r="AZ23" s="37">
        <f t="shared" si="18"/>
        <v>0</v>
      </c>
      <c r="BA23" s="37">
        <f t="shared" si="19"/>
        <v>0</v>
      </c>
      <c r="BB23" s="58">
        <f t="shared" si="20"/>
        <v>0</v>
      </c>
    </row>
    <row r="24" spans="1:54" x14ac:dyDescent="0.25">
      <c r="A24" s="23">
        <v>45003</v>
      </c>
      <c r="B24" s="4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37">
        <f t="shared" si="21"/>
        <v>0</v>
      </c>
      <c r="R24" s="37">
        <f t="shared" si="22"/>
        <v>0</v>
      </c>
      <c r="S24" s="37">
        <f t="shared" si="15"/>
        <v>0</v>
      </c>
      <c r="T24" s="37">
        <f t="shared" si="23"/>
        <v>0</v>
      </c>
      <c r="U24" s="37">
        <f t="shared" si="24"/>
        <v>0</v>
      </c>
      <c r="V24" s="37">
        <f t="shared" si="25"/>
        <v>0</v>
      </c>
      <c r="W24" s="37">
        <f t="shared" si="26"/>
        <v>0</v>
      </c>
      <c r="X24" s="37">
        <f t="shared" si="27"/>
        <v>0</v>
      </c>
      <c r="Y24" s="37">
        <f t="shared" si="28"/>
        <v>0</v>
      </c>
      <c r="Z24" s="37">
        <f t="shared" si="29"/>
        <v>0</v>
      </c>
      <c r="AA24" s="37">
        <f t="shared" si="30"/>
        <v>0</v>
      </c>
      <c r="AB24" s="37">
        <f t="shared" si="31"/>
        <v>0</v>
      </c>
      <c r="AC24" s="37">
        <f t="shared" si="32"/>
        <v>0</v>
      </c>
      <c r="AD24" s="35">
        <f t="shared" si="33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4"/>
        <v>0</v>
      </c>
      <c r="AT24" s="63"/>
      <c r="AU24" s="65">
        <f t="shared" si="16"/>
        <v>0</v>
      </c>
      <c r="AW24" s="61"/>
      <c r="AX24" s="60">
        <f t="shared" si="17"/>
        <v>0</v>
      </c>
      <c r="AY24" s="54"/>
      <c r="AZ24" s="37">
        <f t="shared" si="18"/>
        <v>0</v>
      </c>
      <c r="BA24" s="37">
        <f t="shared" si="19"/>
        <v>0</v>
      </c>
      <c r="BB24" s="58">
        <f t="shared" si="20"/>
        <v>0</v>
      </c>
    </row>
    <row r="25" spans="1:54" x14ac:dyDescent="0.25">
      <c r="A25" s="23">
        <v>45004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6">IF((C25-C24&lt;0), "0",C25-C24)</f>
        <v>0</v>
      </c>
      <c r="R25" s="37">
        <f t="shared" si="22"/>
        <v>0</v>
      </c>
      <c r="S25" s="37">
        <f t="shared" si="36"/>
        <v>0</v>
      </c>
      <c r="T25" s="37">
        <f t="shared" si="36"/>
        <v>0</v>
      </c>
      <c r="U25" s="37">
        <f t="shared" si="36"/>
        <v>0</v>
      </c>
      <c r="V25" s="37">
        <f t="shared" si="36"/>
        <v>0</v>
      </c>
      <c r="W25" s="37">
        <f t="shared" si="36"/>
        <v>0</v>
      </c>
      <c r="X25" s="37">
        <f t="shared" si="36"/>
        <v>0</v>
      </c>
      <c r="Y25" s="37">
        <f t="shared" si="36"/>
        <v>0</v>
      </c>
      <c r="Z25" s="37">
        <f t="shared" si="36"/>
        <v>0</v>
      </c>
      <c r="AA25" s="37">
        <f t="shared" si="36"/>
        <v>0</v>
      </c>
      <c r="AB25" s="37">
        <f t="shared" si="36"/>
        <v>0</v>
      </c>
      <c r="AC25" s="37">
        <f t="shared" si="36"/>
        <v>0</v>
      </c>
      <c r="AD25" s="35">
        <f t="shared" si="33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4"/>
        <v>0</v>
      </c>
      <c r="AT25" s="63"/>
      <c r="AU25" s="65">
        <f t="shared" si="16"/>
        <v>0</v>
      </c>
      <c r="AW25" s="61"/>
      <c r="AX25" s="60">
        <f t="shared" si="17"/>
        <v>0</v>
      </c>
      <c r="AY25" s="52"/>
      <c r="AZ25" s="37">
        <f t="shared" si="18"/>
        <v>0</v>
      </c>
      <c r="BA25" s="37">
        <f t="shared" si="19"/>
        <v>0</v>
      </c>
      <c r="BB25" s="58">
        <f t="shared" si="20"/>
        <v>0</v>
      </c>
    </row>
    <row r="26" spans="1:54" x14ac:dyDescent="0.25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>
        <f t="shared" si="36"/>
        <v>0</v>
      </c>
      <c r="R26" s="37">
        <f t="shared" si="22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 t="shared" si="36"/>
        <v>0</v>
      </c>
      <c r="X26" s="37">
        <f t="shared" si="36"/>
        <v>0</v>
      </c>
      <c r="Y26" s="37">
        <f t="shared" si="36"/>
        <v>0</v>
      </c>
      <c r="Z26" s="37">
        <f t="shared" si="36"/>
        <v>0</v>
      </c>
      <c r="AA26" s="37">
        <f t="shared" si="36"/>
        <v>0</v>
      </c>
      <c r="AB26" s="37">
        <f t="shared" si="36"/>
        <v>0</v>
      </c>
      <c r="AC26" s="37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 x14ac:dyDescent="0.25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 x14ac:dyDescent="0.25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2840</v>
      </c>
      <c r="R38" s="38">
        <f t="shared" ref="R38:AD38" si="60">SUM(R7:R37)</f>
        <v>9250</v>
      </c>
      <c r="S38" s="38">
        <f t="shared" si="60"/>
        <v>16140</v>
      </c>
      <c r="T38" s="38">
        <f t="shared" si="60"/>
        <v>4800</v>
      </c>
      <c r="U38" s="38">
        <f t="shared" si="60"/>
        <v>30310</v>
      </c>
      <c r="V38" s="38">
        <f t="shared" si="60"/>
        <v>20900</v>
      </c>
      <c r="W38" s="38">
        <f t="shared" si="60"/>
        <v>15340</v>
      </c>
      <c r="X38" s="38">
        <f t="shared" si="60"/>
        <v>20560</v>
      </c>
      <c r="Y38" s="38">
        <f t="shared" si="60"/>
        <v>29220</v>
      </c>
      <c r="Z38" s="38">
        <f t="shared" si="60"/>
        <v>12610</v>
      </c>
      <c r="AA38" s="38">
        <f t="shared" si="60"/>
        <v>15840</v>
      </c>
      <c r="AB38" s="38">
        <f t="shared" si="60"/>
        <v>36750</v>
      </c>
      <c r="AC38" s="38">
        <f t="shared" si="60"/>
        <v>64170</v>
      </c>
      <c r="AD38" s="38">
        <f t="shared" si="60"/>
        <v>278730</v>
      </c>
      <c r="AF38" s="35">
        <f>SUM(AF7:AF37)</f>
        <v>14.200000000000003</v>
      </c>
      <c r="AG38" s="35">
        <f t="shared" ref="AG38:AU38" si="61">SUM(AG7:AG37)</f>
        <v>46.25</v>
      </c>
      <c r="AH38" s="35">
        <f t="shared" si="61"/>
        <v>80.7</v>
      </c>
      <c r="AI38" s="35">
        <f t="shared" si="61"/>
        <v>24</v>
      </c>
      <c r="AJ38" s="35">
        <f t="shared" si="61"/>
        <v>151.55000000000001</v>
      </c>
      <c r="AK38" s="35">
        <f t="shared" si="61"/>
        <v>104.5</v>
      </c>
      <c r="AL38" s="35">
        <f t="shared" si="61"/>
        <v>76.7</v>
      </c>
      <c r="AM38" s="35">
        <f t="shared" si="61"/>
        <v>102.8</v>
      </c>
      <c r="AN38" s="35">
        <f t="shared" si="61"/>
        <v>146.1</v>
      </c>
      <c r="AO38" s="35">
        <f t="shared" si="61"/>
        <v>63.05</v>
      </c>
      <c r="AP38" s="35">
        <f t="shared" si="61"/>
        <v>79.2</v>
      </c>
      <c r="AQ38" s="35">
        <f t="shared" si="61"/>
        <v>183.75</v>
      </c>
      <c r="AR38" s="35">
        <f t="shared" si="61"/>
        <v>320.84999999999997</v>
      </c>
      <c r="AS38" s="35">
        <f t="shared" si="61"/>
        <v>1393.65</v>
      </c>
      <c r="AT38" s="63"/>
      <c r="AU38" s="66">
        <f t="shared" si="61"/>
        <v>1318.125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2071.5239999999999</v>
      </c>
      <c r="BB38" s="58">
        <f t="shared" si="20"/>
        <v>920.58526559999996</v>
      </c>
    </row>
    <row r="39" spans="1:54" x14ac:dyDescent="0.25">
      <c r="B39" s="39">
        <f>SUM(B7:B37)</f>
        <v>603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7 E10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3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2023-03-06T08:54:39Z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