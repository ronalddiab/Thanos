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30" yWindow="0" windowWidth="11340" windowHeight="1110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Z24" i="5"/>
  <c r="E17" i="2" l="1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E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4" s="1"/>
  <c r="B25" s="1"/>
  <c r="B26" s="1"/>
  <c r="B27" s="1"/>
  <c r="B28" s="1"/>
  <c r="B29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4" s="1"/>
  <c r="R25" s="1"/>
  <c r="R27" s="1"/>
  <c r="R28" s="1"/>
  <c r="R29" s="1"/>
  <c r="R30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4" s="1"/>
  <c r="B25" s="1"/>
  <c r="B27" s="1"/>
  <c r="B28" s="1"/>
  <c r="B29" s="1"/>
  <c r="B30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5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7" s="1"/>
  <c r="AV28" s="1"/>
  <c r="AV30" s="1"/>
  <c r="AV31" s="1"/>
  <c r="AV32" s="1"/>
  <c r="AV33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7" s="1"/>
  <c r="AX28" s="1"/>
  <c r="AX30" s="1"/>
  <c r="AX31" s="1"/>
  <c r="AX32" s="1"/>
  <c r="AX33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6" s="1"/>
  <c r="C27" s="1"/>
  <c r="C29" s="1"/>
  <c r="C30" s="1"/>
  <c r="C31" s="1"/>
  <c r="C32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6" s="1"/>
  <c r="F27" s="1"/>
  <c r="F29" s="1"/>
  <c r="F30" s="1"/>
  <c r="F31" s="1"/>
  <c r="F32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6" s="1"/>
  <c r="H27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6" s="1"/>
  <c r="B27" s="1"/>
  <c r="B29" s="1"/>
  <c r="B30" s="1"/>
  <c r="B31" s="1"/>
  <c r="B32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E23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E24"/>
  <c r="N16"/>
  <c r="R16" s="1"/>
  <c r="K17"/>
  <c r="J18"/>
  <c r="AD17"/>
  <c r="AC18"/>
  <c r="M17"/>
  <c r="L18"/>
  <c r="X17"/>
  <c r="W18"/>
  <c r="V30" i="1"/>
  <c r="U30"/>
  <c r="K18" i="2" l="1"/>
  <c r="J19"/>
  <c r="L19"/>
  <c r="M18"/>
  <c r="D25"/>
  <c r="E25" s="1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E27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5" s="1"/>
  <c r="H27" s="1"/>
  <c r="H28" s="1"/>
  <c r="H30" s="1"/>
  <c r="H31" s="1"/>
  <c r="H32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K21" l="1"/>
  <c r="N20"/>
  <c r="R20" s="1"/>
  <c r="T16"/>
  <c r="AE16" s="1"/>
  <c r="AG16" s="1"/>
  <c r="S17"/>
  <c r="G21"/>
  <c r="M21"/>
  <c r="AA22"/>
  <c r="AB21"/>
  <c r="V16"/>
  <c r="AF16" s="1"/>
  <c r="U17"/>
  <c r="Q21"/>
  <c r="I21"/>
  <c r="AD21"/>
  <c r="AC22"/>
  <c r="D28"/>
  <c r="E28" s="1"/>
  <c r="Z21"/>
  <c r="X21"/>
  <c r="Q6"/>
  <c r="Q9"/>
  <c r="K6" i="5"/>
  <c r="I36" i="79"/>
  <c r="E27" i="3"/>
  <c r="C27"/>
  <c r="C26"/>
  <c r="S26"/>
  <c r="AB22" i="2" l="1"/>
  <c r="G22"/>
  <c r="Z22"/>
  <c r="Q22"/>
  <c r="X22"/>
  <c r="D29"/>
  <c r="E29" s="1"/>
  <c r="K22"/>
  <c r="N21"/>
  <c r="R21" s="1"/>
  <c r="AD22"/>
  <c r="I22"/>
  <c r="V17"/>
  <c r="AF17" s="1"/>
  <c r="U18"/>
  <c r="M22"/>
  <c r="T17"/>
  <c r="AE17" s="1"/>
  <c r="AG17" s="1"/>
  <c r="S18"/>
  <c r="Q7"/>
  <c r="Q8"/>
  <c r="AD7" i="3" s="1"/>
  <c r="Q10" i="2"/>
  <c r="E28" i="3"/>
  <c r="I5" i="2"/>
  <c r="N22" l="1"/>
  <c r="R22" s="1"/>
  <c r="D30"/>
  <c r="E30" s="1"/>
  <c r="G23"/>
  <c r="S19"/>
  <c r="T18"/>
  <c r="AE18" s="1"/>
  <c r="AG18" s="1"/>
  <c r="V18"/>
  <c r="AF18" s="1"/>
  <c r="U19"/>
  <c r="AD23"/>
  <c r="X23"/>
  <c r="AB23"/>
  <c r="Q23"/>
  <c r="R23" s="1"/>
  <c r="M23"/>
  <c r="I23"/>
  <c r="K23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D31"/>
  <c r="E31" s="1"/>
  <c r="F25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V21"/>
  <c r="AF21" s="1"/>
  <c r="U22"/>
  <c r="S22"/>
  <c r="T21"/>
  <c r="AE21" s="1"/>
  <c r="M26"/>
  <c r="K26"/>
  <c r="X26"/>
  <c r="G26"/>
  <c r="Q26"/>
  <c r="I26"/>
  <c r="D33"/>
  <c r="E33" s="1"/>
  <c r="AB26"/>
  <c r="AD26"/>
  <c r="X31" i="1"/>
  <c r="X32" s="1"/>
  <c r="X33" s="1"/>
  <c r="X34" s="1"/>
  <c r="X35" s="1"/>
  <c r="AC31"/>
  <c r="AC32" s="1"/>
  <c r="AC33" s="1"/>
  <c r="AC34" s="1"/>
  <c r="AC35" s="1"/>
  <c r="Q14" i="2"/>
  <c r="E30" i="3"/>
  <c r="AG21" i="2" l="1"/>
  <c r="N26"/>
  <c r="R26" s="1"/>
  <c r="D34"/>
  <c r="E34" s="1"/>
  <c r="AB27"/>
  <c r="AA28"/>
  <c r="H28"/>
  <c r="I27"/>
  <c r="S23"/>
  <c r="T22"/>
  <c r="AE22" s="1"/>
  <c r="AG22" s="1"/>
  <c r="AC28"/>
  <c r="AD27"/>
  <c r="P28"/>
  <c r="Q27"/>
  <c r="G27"/>
  <c r="F28"/>
  <c r="K27"/>
  <c r="J28"/>
  <c r="Y28"/>
  <c r="Z27"/>
  <c r="X27"/>
  <c r="W28"/>
  <c r="L28"/>
  <c r="M27"/>
  <c r="V22"/>
  <c r="AF22" s="1"/>
  <c r="U23"/>
  <c r="Q15"/>
  <c r="E31" i="3"/>
  <c r="N27" i="2" l="1"/>
  <c r="R27" s="1"/>
  <c r="AC29"/>
  <c r="AD28"/>
  <c r="F29"/>
  <c r="G28"/>
  <c r="I28"/>
  <c r="H29"/>
  <c r="M28"/>
  <c r="L29"/>
  <c r="U24"/>
  <c r="V23"/>
  <c r="AF23" s="1"/>
  <c r="X28"/>
  <c r="W29"/>
  <c r="Q28"/>
  <c r="P29"/>
  <c r="J29"/>
  <c r="K28"/>
  <c r="T23"/>
  <c r="AE23" s="1"/>
  <c r="AG23" s="1"/>
  <c r="S24"/>
  <c r="Y29"/>
  <c r="Z28"/>
  <c r="AB28"/>
  <c r="AA29"/>
  <c r="E33" i="3"/>
  <c r="E32"/>
  <c r="G17" i="76"/>
  <c r="C18"/>
  <c r="W30" i="2" l="1"/>
  <c r="X29"/>
  <c r="U25"/>
  <c r="V24"/>
  <c r="AF24" s="1"/>
  <c r="AA30"/>
  <c r="AB29"/>
  <c r="Q29"/>
  <c r="P30"/>
  <c r="F30"/>
  <c r="G29"/>
  <c r="J30"/>
  <c r="K29"/>
  <c r="M29"/>
  <c r="L30"/>
  <c r="AD29"/>
  <c r="AC30"/>
  <c r="I29"/>
  <c r="H30"/>
  <c r="Z29"/>
  <c r="Y30"/>
  <c r="T24"/>
  <c r="AE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AG24" i="2" l="1"/>
  <c r="S26"/>
  <c r="T25"/>
  <c r="AE25" s="1"/>
  <c r="AG25" s="1"/>
  <c r="I30"/>
  <c r="H31"/>
  <c r="L31"/>
  <c r="M30"/>
  <c r="V25"/>
  <c r="AF25" s="1"/>
  <c r="U26"/>
  <c r="W31"/>
  <c r="X30"/>
  <c r="K30"/>
  <c r="J31"/>
  <c r="P31"/>
  <c r="Q30"/>
  <c r="Z30"/>
  <c r="Y31"/>
  <c r="AD30"/>
  <c r="AC31"/>
  <c r="G30"/>
  <c r="F31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AG27" l="1"/>
  <c r="N32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AG31" s="1"/>
  <c r="U32"/>
  <c r="V31"/>
  <c r="AF31" s="1"/>
  <c r="AL36" i="7"/>
  <c r="B12"/>
  <c r="T32" i="2" l="1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K21" i="82" l="1"/>
  <c r="AS8" i="7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K23" i="82" l="1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K26" i="82" l="1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<sst xmlns="http://schemas.openxmlformats.org/spreadsheetml/2006/main" count="654" uniqueCount="416">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</sst>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0</c:v>
                </c:pt>
                <c:pt idx="23">
                  <c:v>0</c:v>
                </c:pt>
                <c:pt idx="24">
                  <c:v>6220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7747584"/>
        <c:axId val="98190080"/>
      </c:lineChart>
      <c:catAx>
        <c:axId val="16774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0080"/>
        <c:crosses val="autoZero"/>
        <c:auto val="1"/>
        <c:lblAlgn val="ctr"/>
        <c:lblOffset val="100"/>
      </c:catAx>
      <c:valAx>
        <c:axId val="981900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4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1312384"/>
        <c:axId val="121313920"/>
      </c:lineChart>
      <c:catAx>
        <c:axId val="12131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13920"/>
        <c:crosses val="autoZero"/>
        <c:auto val="1"/>
        <c:lblAlgn val="ctr"/>
        <c:lblOffset val="100"/>
      </c:catAx>
      <c:valAx>
        <c:axId val="12131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1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4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1330304"/>
        <c:axId val="121336192"/>
      </c:lineChart>
      <c:catAx>
        <c:axId val="12133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6192"/>
        <c:crosses val="autoZero"/>
        <c:auto val="1"/>
        <c:lblAlgn val="ctr"/>
        <c:lblOffset val="100"/>
      </c:catAx>
      <c:valAx>
        <c:axId val="1213361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1368960"/>
        <c:axId val="121370496"/>
      </c:lineChart>
      <c:catAx>
        <c:axId val="1213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0496"/>
        <c:crosses val="autoZero"/>
        <c:auto val="1"/>
        <c:lblAlgn val="ctr"/>
        <c:lblOffset val="100"/>
      </c:catAx>
      <c:valAx>
        <c:axId val="1213704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6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7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1460608"/>
        <c:axId val="121462144"/>
      </c:lineChart>
      <c:catAx>
        <c:axId val="12146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2144"/>
        <c:crosses val="autoZero"/>
        <c:auto val="1"/>
        <c:lblAlgn val="ctr"/>
        <c:lblOffset val="100"/>
      </c:catAx>
      <c:valAx>
        <c:axId val="1214621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6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2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66281216"/>
        <c:axId val="166282752"/>
      </c:lineChart>
      <c:catAx>
        <c:axId val="16628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82752"/>
        <c:crosses val="autoZero"/>
        <c:auto val="1"/>
        <c:lblAlgn val="ctr"/>
        <c:lblOffset val="100"/>
      </c:catAx>
      <c:valAx>
        <c:axId val="16628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66319616"/>
        <c:axId val="166321152"/>
      </c:lineChart>
      <c:catAx>
        <c:axId val="16631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21152"/>
        <c:crosses val="autoZero"/>
        <c:auto val="1"/>
        <c:lblAlgn val="ctr"/>
        <c:lblOffset val="100"/>
      </c:catAx>
      <c:valAx>
        <c:axId val="16632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62733056"/>
        <c:axId val="162743040"/>
      </c:lineChart>
      <c:catAx>
        <c:axId val="1627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3040"/>
        <c:crosses val="autoZero"/>
        <c:auto val="1"/>
        <c:lblAlgn val="ctr"/>
        <c:lblOffset val="100"/>
      </c:catAx>
      <c:valAx>
        <c:axId val="16274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62784000"/>
        <c:axId val="162785536"/>
      </c:lineChart>
      <c:catAx>
        <c:axId val="16278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5536"/>
        <c:crosses val="autoZero"/>
        <c:auto val="1"/>
        <c:lblAlgn val="ctr"/>
        <c:lblOffset val="100"/>
      </c:catAx>
      <c:valAx>
        <c:axId val="162785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901"/>
          <c:w val="0.127240331517755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66344960"/>
        <c:axId val="166354944"/>
      </c:lineChart>
      <c:catAx>
        <c:axId val="16634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54944"/>
        <c:crosses val="autoZero"/>
        <c:auto val="1"/>
        <c:lblAlgn val="ctr"/>
        <c:lblOffset val="100"/>
      </c:catAx>
      <c:valAx>
        <c:axId val="16635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66858752"/>
        <c:axId val="166860288"/>
      </c:lineChart>
      <c:catAx>
        <c:axId val="16685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60288"/>
        <c:crosses val="autoZero"/>
        <c:auto val="1"/>
        <c:lblAlgn val="ctr"/>
        <c:lblOffset val="100"/>
      </c:catAx>
      <c:valAx>
        <c:axId val="1668602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66811520"/>
        <c:axId val="166813056"/>
      </c:lineChart>
      <c:catAx>
        <c:axId val="16681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13056"/>
        <c:crosses val="autoZero"/>
        <c:auto val="1"/>
        <c:lblAlgn val="ctr"/>
        <c:lblOffset val="100"/>
      </c:catAx>
      <c:valAx>
        <c:axId val="166813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385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127</c:v>
                </c:pt>
                <c:pt idx="20">
                  <c:v>0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67137280"/>
        <c:axId val="167138816"/>
      </c:lineChart>
      <c:catAx>
        <c:axId val="16713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38816"/>
        <c:crosses val="autoZero"/>
        <c:auto val="1"/>
        <c:lblAlgn val="ctr"/>
        <c:lblOffset val="100"/>
      </c:catAx>
      <c:valAx>
        <c:axId val="16713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3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901"/>
          <c:w val="0.135416885389370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67159296"/>
        <c:axId val="167160832"/>
      </c:lineChart>
      <c:catAx>
        <c:axId val="16715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60832"/>
        <c:crosses val="autoZero"/>
        <c:auto val="1"/>
        <c:lblAlgn val="ctr"/>
        <c:lblOffset val="100"/>
      </c:catAx>
      <c:valAx>
        <c:axId val="167160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5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90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0</c:v>
                </c:pt>
                <c:pt idx="23">
                  <c:v>0</c:v>
                </c:pt>
                <c:pt idx="24">
                  <c:v>6220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67169408"/>
        <c:axId val="167195776"/>
      </c:lineChart>
      <c:catAx>
        <c:axId val="16716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95776"/>
        <c:crosses val="autoZero"/>
        <c:auto val="1"/>
        <c:lblAlgn val="ctr"/>
        <c:lblOffset val="100"/>
      </c:catAx>
      <c:valAx>
        <c:axId val="167195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6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67228544"/>
        <c:axId val="167230080"/>
      </c:lineChart>
      <c:catAx>
        <c:axId val="1672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0080"/>
        <c:crosses val="autoZero"/>
        <c:auto val="1"/>
        <c:lblAlgn val="ctr"/>
        <c:lblOffset val="100"/>
      </c:catAx>
      <c:valAx>
        <c:axId val="16723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901"/>
          <c:w val="0.135416885389370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67455360"/>
        <c:axId val="167461248"/>
      </c:lineChart>
      <c:catAx>
        <c:axId val="16745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61248"/>
        <c:crosses val="autoZero"/>
        <c:auto val="1"/>
        <c:lblAlgn val="ctr"/>
        <c:lblOffset val="100"/>
      </c:catAx>
      <c:valAx>
        <c:axId val="167461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5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40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-2265.0806451612953</c:v>
                </c:pt>
                <c:pt idx="19">
                  <c:v>-2146.7419354838639</c:v>
                </c:pt>
                <c:pt idx="20">
                  <c:v>-2146.7419354838712</c:v>
                </c:pt>
                <c:pt idx="21">
                  <c:v>-10355</c:v>
                </c:pt>
                <c:pt idx="22">
                  <c:v>0</c:v>
                </c:pt>
                <c:pt idx="23">
                  <c:v>9813.6774193548335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67502208"/>
        <c:axId val="167503744"/>
      </c:lineChart>
      <c:catAx>
        <c:axId val="1675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03744"/>
        <c:crosses val="autoZero"/>
        <c:auto val="1"/>
        <c:lblAlgn val="ctr"/>
        <c:lblOffset val="100"/>
      </c:catAx>
      <c:valAx>
        <c:axId val="167503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0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67069952"/>
        <c:axId val="167075840"/>
      </c:lineChart>
      <c:catAx>
        <c:axId val="16706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75840"/>
        <c:crosses val="autoZero"/>
        <c:auto val="1"/>
        <c:lblAlgn val="ctr"/>
        <c:lblOffset val="100"/>
      </c:catAx>
      <c:valAx>
        <c:axId val="167075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6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3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67510016"/>
        <c:axId val="167511552"/>
      </c:lineChart>
      <c:catAx>
        <c:axId val="16751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11552"/>
        <c:crosses val="autoZero"/>
        <c:auto val="1"/>
        <c:lblAlgn val="ctr"/>
        <c:lblOffset val="100"/>
      </c:catAx>
      <c:valAx>
        <c:axId val="1675115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1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67540224"/>
        <c:axId val="167541760"/>
      </c:lineChart>
      <c:catAx>
        <c:axId val="16754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41760"/>
        <c:crosses val="autoZero"/>
        <c:auto val="1"/>
        <c:lblAlgn val="ctr"/>
        <c:lblOffset val="100"/>
      </c:catAx>
      <c:valAx>
        <c:axId val="167541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4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67570432"/>
        <c:axId val="167576320"/>
      </c:lineChart>
      <c:catAx>
        <c:axId val="16757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76320"/>
        <c:crosses val="autoZero"/>
        <c:auto val="1"/>
        <c:lblAlgn val="ctr"/>
        <c:lblOffset val="100"/>
      </c:catAx>
      <c:valAx>
        <c:axId val="167576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70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27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67621376"/>
        <c:axId val="167622912"/>
      </c:lineChart>
      <c:catAx>
        <c:axId val="1676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22912"/>
        <c:crosses val="autoZero"/>
        <c:auto val="1"/>
        <c:lblAlgn val="ctr"/>
        <c:lblOffset val="100"/>
      </c:catAx>
      <c:valAx>
        <c:axId val="16762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90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67659776"/>
        <c:axId val="167661568"/>
      </c:lineChart>
      <c:catAx>
        <c:axId val="16765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61568"/>
        <c:crosses val="autoZero"/>
        <c:auto val="1"/>
        <c:lblAlgn val="ctr"/>
        <c:lblOffset val="100"/>
      </c:catAx>
      <c:valAx>
        <c:axId val="167661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5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712"/>
          <c:w val="0.1234311819809405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67691392"/>
        <c:axId val="167692928"/>
      </c:lineChart>
      <c:catAx>
        <c:axId val="1676913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92928"/>
        <c:crosses val="autoZero"/>
        <c:auto val="1"/>
        <c:lblAlgn val="ctr"/>
        <c:lblOffset val="100"/>
      </c:catAx>
      <c:valAx>
        <c:axId val="1676929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9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351"/>
          <c:w val="0.1569039853282367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67786752"/>
        <c:axId val="167804928"/>
      </c:lineChart>
      <c:catAx>
        <c:axId val="1677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04928"/>
        <c:crosses val="autoZero"/>
        <c:auto val="1"/>
        <c:lblAlgn val="ctr"/>
        <c:lblOffset val="100"/>
      </c:catAx>
      <c:valAx>
        <c:axId val="167804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0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4200192"/>
        <c:axId val="94201728"/>
      </c:lineChart>
      <c:catAx>
        <c:axId val="942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01728"/>
        <c:crosses val="autoZero"/>
        <c:auto val="1"/>
        <c:lblAlgn val="ctr"/>
        <c:lblOffset val="100"/>
      </c:catAx>
      <c:valAx>
        <c:axId val="94201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987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8324480"/>
        <c:axId val="168363136"/>
      </c:lineChart>
      <c:catAx>
        <c:axId val="168324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63136"/>
        <c:crosses val="autoZero"/>
        <c:auto val="1"/>
        <c:lblAlgn val="ctr"/>
        <c:lblOffset val="100"/>
      </c:catAx>
      <c:valAx>
        <c:axId val="1683631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35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-0.29039260195814459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0.35489238632152986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0.24423953075199459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0.21082094190226547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0.27246142011804525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0.19859852517668058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9.7366478002682166E-2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3">
        <f>SUM('EDl log'!T15)</f>
        <v>0.26843532509909285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3">
        <f>SUM('EDl log'!T16)</f>
        <v>4.5786169349478829E-2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3">
        <f>SUM('EDl log'!T21)</f>
        <v>0.21914923663031025</v>
      </c>
      <c r="G19" s="203">
        <f>-tanks!AW23</f>
        <v>120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29</v>
      </c>
      <c r="L19" s="324">
        <f>SUM(WATER!J23)</f>
        <v>8.3426028921023363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6669</v>
      </c>
      <c r="F20" s="323">
        <f>SUM('EDl log'!T22)</f>
        <v>0.22294606095457717</v>
      </c>
      <c r="G20" s="203">
        <f>-tanks!AW24</f>
        <v>127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68</v>
      </c>
      <c r="L20" s="324">
        <f>SUM(WATER!J24)</f>
        <v>3.5578747628083494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5877</v>
      </c>
      <c r="F21" s="323">
        <f>SUM('EDl log'!T23)</f>
        <v>0.25636691716375648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6112</v>
      </c>
      <c r="F22" s="323">
        <f>SUM('EDl log'!T24)</f>
        <v>0.23130321733917536</v>
      </c>
      <c r="G22" s="203">
        <f>-tanks!AW26</f>
        <v>126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0</v>
      </c>
      <c r="F23" s="323">
        <f>SUM('EDl log'!T25)</f>
        <v>0</v>
      </c>
      <c r="G23" s="203">
        <f>-tanks!AW27</f>
        <v>0</v>
      </c>
      <c r="H23" s="323">
        <f>SUM(tanks!AV27)</f>
        <v>0.66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0.66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6220</v>
      </c>
      <c r="F25" s="323">
        <f>SUM('EDl log'!T27)</f>
        <v>-0.96536929158962614</v>
      </c>
      <c r="G25" s="203">
        <f>-tanks!AW29</f>
        <v>73</v>
      </c>
      <c r="H25" s="323">
        <f>SUM(tanks!AV29)</f>
        <v>0.66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0</v>
      </c>
      <c r="F26" s="323">
        <f>SUM('EDl log'!T28)</f>
        <v>0</v>
      </c>
      <c r="G26" s="203">
        <f>-tanks!AW30</f>
        <v>0</v>
      </c>
      <c r="H26" s="323">
        <f>SUM(tanks!AV30)</f>
        <v>0.66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0</v>
      </c>
      <c r="F27" s="323">
        <f>SUM('EDl log'!T29)</f>
        <v>0</v>
      </c>
      <c r="G27" s="203">
        <f>-tanks!AW31</f>
        <v>0</v>
      </c>
      <c r="H27" s="323">
        <f>SUM(tanks!AV31)</f>
        <v>0.66</v>
      </c>
      <c r="I27" s="10">
        <f>('B5'!AU30)*0.51</f>
        <v>0</v>
      </c>
      <c r="J27" s="303">
        <f>'B5'!AX30/0.51</f>
        <v>1.5686274509803921</v>
      </c>
      <c r="K27" s="203">
        <f>WATER!I31</f>
        <v>0</v>
      </c>
      <c r="L27" s="324">
        <f>SUM(WATER!J31)</f>
        <v>0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0</v>
      </c>
      <c r="F28" s="323">
        <f>SUM('EDl log'!T30)</f>
        <v>0</v>
      </c>
      <c r="G28" s="203">
        <f>-tanks!AW32</f>
        <v>0</v>
      </c>
      <c r="H28" s="323">
        <f>SUM(tanks!AV32)</f>
        <v>0.66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0</v>
      </c>
      <c r="F29" s="323">
        <f>SUM('EDl log'!T31)</f>
        <v>0</v>
      </c>
      <c r="G29" s="203">
        <f>-tanks!AW33</f>
        <v>0</v>
      </c>
      <c r="H29" s="323">
        <f>SUM(tanks!AV33)</f>
        <v>0.66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0.66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0.66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0.66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F30" sqref="F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1096</v>
      </c>
      <c r="F20" s="203">
        <f>ELEC!K22</f>
        <v>2648</v>
      </c>
      <c r="G20" s="203">
        <f>ELEC!I22</f>
        <v>554</v>
      </c>
      <c r="H20" s="203">
        <f>ELEC!E22</f>
        <v>2027</v>
      </c>
      <c r="I20" s="203">
        <f>ELEC!G22</f>
        <v>344</v>
      </c>
      <c r="J20" s="203">
        <f>WATER!Y24</f>
        <v>83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1014</v>
      </c>
      <c r="F21" s="203">
        <f>ELEC!K23</f>
        <v>1600</v>
      </c>
      <c r="G21" s="203">
        <f>ELEC!I23</f>
        <v>508</v>
      </c>
      <c r="H21" s="203">
        <f>ELEC!E23</f>
        <v>2451</v>
      </c>
      <c r="I21" s="203">
        <f>ELEC!G23</f>
        <v>304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1082</v>
      </c>
      <c r="F22" s="203">
        <f>ELEC!K24</f>
        <v>1574</v>
      </c>
      <c r="G22" s="203">
        <f>ELEC!I24</f>
        <v>580</v>
      </c>
      <c r="H22" s="203">
        <f>ELEC!E24</f>
        <v>2522</v>
      </c>
      <c r="I22" s="203">
        <f>ELEC!G24</f>
        <v>354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976</v>
      </c>
      <c r="F25" s="203">
        <f>ELEC!K27</f>
        <v>1374</v>
      </c>
      <c r="G25" s="203">
        <f>ELEC!I27</f>
        <v>544</v>
      </c>
      <c r="H25" s="203">
        <f>ELEC!E27</f>
        <v>3000</v>
      </c>
      <c r="I25" s="203">
        <f>ELEC!G27</f>
        <v>326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V1" zoomScale="70" zoomScaleNormal="70" zoomScaleSheetLayoutView="100" workbookViewId="0">
      <pane ySplit="2" topLeftCell="A20" activePane="bottomLeft" state="frozen"/>
      <selection activeCell="C1" sqref="C1"/>
      <selection pane="bottomLeft" activeCell="AF27" sqref="AF27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1334</v>
      </c>
      <c r="E15" s="637">
        <f>D15</f>
        <v>1334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6157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-699.9999999999709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v>1381</v>
      </c>
      <c r="E16" s="637">
        <v>3381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3381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3381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>D16</f>
        <v>1381</v>
      </c>
      <c r="E17" s="637">
        <f t="shared" ref="E17:E34" si="34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ref="D18:D34" si="35">D17</f>
        <v>1381</v>
      </c>
      <c r="E18" s="637">
        <f t="shared" si="34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5"/>
        <v>1381</v>
      </c>
      <c r="E19" s="637">
        <f t="shared" si="34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5"/>
        <v>1381</v>
      </c>
      <c r="E20" s="637">
        <f t="shared" si="34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v>4000</v>
      </c>
      <c r="E21" s="637">
        <f>D21-D20</f>
        <v>2619</v>
      </c>
      <c r="F21" s="594">
        <v>4093998</v>
      </c>
      <c r="G21" s="305">
        <f t="shared" si="20"/>
        <v>519</v>
      </c>
      <c r="H21" s="436">
        <v>17972936</v>
      </c>
      <c r="I21" s="305">
        <f t="shared" si="21"/>
        <v>842</v>
      </c>
      <c r="J21" s="436">
        <v>29550870</v>
      </c>
      <c r="K21" s="305">
        <f t="shared" si="22"/>
        <v>4198</v>
      </c>
      <c r="L21" s="436">
        <v>24442030</v>
      </c>
      <c r="M21" s="305">
        <f t="shared" si="23"/>
        <v>1568</v>
      </c>
      <c r="N21" s="304">
        <f t="shared" si="24"/>
        <v>9746</v>
      </c>
      <c r="O21" s="456">
        <f t="shared" si="31"/>
        <v>0</v>
      </c>
      <c r="P21" s="585">
        <v>18471.467000000001</v>
      </c>
      <c r="Q21" s="457">
        <f t="shared" si="1"/>
        <v>9301.9999999996799</v>
      </c>
      <c r="R21" s="439">
        <f t="shared" si="33"/>
        <v>444.00000000032014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v>33341</v>
      </c>
      <c r="X21" s="439">
        <f t="shared" si="30"/>
        <v>9</v>
      </c>
      <c r="Y21" s="436">
        <v>962683</v>
      </c>
      <c r="Z21" s="439">
        <f t="shared" si="29"/>
        <v>2351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9</v>
      </c>
      <c r="AF21" s="462">
        <f t="shared" si="4"/>
        <v>2351</v>
      </c>
      <c r="AG21" s="454">
        <f t="shared" si="32"/>
        <v>261.22222222222223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v>6027</v>
      </c>
      <c r="E22" s="637">
        <f t="shared" si="34"/>
        <v>2027</v>
      </c>
      <c r="F22" s="594">
        <v>4094342</v>
      </c>
      <c r="G22" s="305">
        <f t="shared" si="20"/>
        <v>344</v>
      </c>
      <c r="H22" s="436">
        <v>17973490</v>
      </c>
      <c r="I22" s="305">
        <f t="shared" si="21"/>
        <v>554</v>
      </c>
      <c r="J22" s="436">
        <v>29553518</v>
      </c>
      <c r="K22" s="305">
        <f t="shared" si="22"/>
        <v>2648</v>
      </c>
      <c r="L22" s="436">
        <v>24443126</v>
      </c>
      <c r="M22" s="305">
        <f t="shared" si="23"/>
        <v>1096</v>
      </c>
      <c r="N22" s="304">
        <f t="shared" si="24"/>
        <v>6669</v>
      </c>
      <c r="O22" s="456">
        <f t="shared" si="31"/>
        <v>0</v>
      </c>
      <c r="P22" s="585">
        <v>18478.12</v>
      </c>
      <c r="Q22" s="457">
        <f t="shared" si="1"/>
        <v>6652.9999999984284</v>
      </c>
      <c r="R22" s="439">
        <f t="shared" si="33"/>
        <v>16.000000001571607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v>33348</v>
      </c>
      <c r="X22" s="439">
        <f t="shared" si="30"/>
        <v>7</v>
      </c>
      <c r="Y22" s="436">
        <v>964220</v>
      </c>
      <c r="Z22" s="439">
        <f t="shared" si="29"/>
        <v>1537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7</v>
      </c>
      <c r="AF22" s="462">
        <f t="shared" si="4"/>
        <v>1537</v>
      </c>
      <c r="AG22" s="454">
        <f t="shared" si="32"/>
        <v>219.57142857142858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v>8478</v>
      </c>
      <c r="E23" s="637">
        <f t="shared" si="34"/>
        <v>2451</v>
      </c>
      <c r="F23" s="594">
        <v>4094646</v>
      </c>
      <c r="G23" s="305">
        <f t="shared" si="20"/>
        <v>304</v>
      </c>
      <c r="H23" s="436">
        <v>17973998</v>
      </c>
      <c r="I23" s="305">
        <f t="shared" si="21"/>
        <v>508</v>
      </c>
      <c r="J23" s="436">
        <v>29555118</v>
      </c>
      <c r="K23" s="305">
        <f t="shared" si="22"/>
        <v>1600</v>
      </c>
      <c r="L23" s="436">
        <v>24444140</v>
      </c>
      <c r="M23" s="305">
        <f t="shared" si="23"/>
        <v>1014</v>
      </c>
      <c r="N23" s="304">
        <f t="shared" si="24"/>
        <v>5877</v>
      </c>
      <c r="O23" s="456">
        <f t="shared" si="31"/>
        <v>0</v>
      </c>
      <c r="P23" s="585">
        <v>18484.083999999999</v>
      </c>
      <c r="Q23" s="457">
        <f t="shared" si="1"/>
        <v>5963.9999999999418</v>
      </c>
      <c r="R23" s="439">
        <f>AP23-Q23</f>
        <v>-5963.9999999999418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v>33350</v>
      </c>
      <c r="X23" s="439">
        <f t="shared" si="30"/>
        <v>2</v>
      </c>
      <c r="Y23" s="436">
        <v>964722</v>
      </c>
      <c r="Z23" s="439">
        <f t="shared" si="29"/>
        <v>502</v>
      </c>
      <c r="AA23" s="436">
        <v>36785</v>
      </c>
      <c r="AB23" s="439">
        <f t="shared" si="26"/>
        <v>0</v>
      </c>
      <c r="AC23" s="436">
        <v>1167920</v>
      </c>
      <c r="AD23" s="439">
        <f t="shared" si="36"/>
        <v>0</v>
      </c>
      <c r="AE23" s="461">
        <f t="shared" si="19"/>
        <v>2</v>
      </c>
      <c r="AF23" s="462">
        <f t="shared" si="4"/>
        <v>502</v>
      </c>
      <c r="AG23" s="454">
        <f t="shared" si="32"/>
        <v>251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v>11000</v>
      </c>
      <c r="E24" s="637">
        <f t="shared" si="34"/>
        <v>2522</v>
      </c>
      <c r="F24" s="594">
        <v>4095000</v>
      </c>
      <c r="G24" s="305">
        <f t="shared" si="20"/>
        <v>354</v>
      </c>
      <c r="H24" s="436">
        <v>17974578</v>
      </c>
      <c r="I24" s="429">
        <f t="shared" si="21"/>
        <v>580</v>
      </c>
      <c r="J24" s="436">
        <v>29556692</v>
      </c>
      <c r="K24" s="305">
        <f t="shared" si="22"/>
        <v>1574</v>
      </c>
      <c r="L24" s="436">
        <v>24445222</v>
      </c>
      <c r="M24" s="305">
        <f t="shared" si="23"/>
        <v>1082</v>
      </c>
      <c r="N24" s="304">
        <f t="shared" si="24"/>
        <v>6112</v>
      </c>
      <c r="O24" s="456">
        <f t="shared" si="31"/>
        <v>0</v>
      </c>
      <c r="P24" s="585">
        <v>18490.486000000001</v>
      </c>
      <c r="Q24" s="457">
        <f t="shared" si="1"/>
        <v>6402.0000000018626</v>
      </c>
      <c r="R24" s="439">
        <f t="shared" si="33"/>
        <v>-290.00000000186265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v>33351</v>
      </c>
      <c r="X24" s="439">
        <f t="shared" si="30"/>
        <v>1</v>
      </c>
      <c r="Y24" s="436">
        <v>965086</v>
      </c>
      <c r="Z24" s="439">
        <f t="shared" si="29"/>
        <v>364</v>
      </c>
      <c r="AA24" s="436">
        <v>36792</v>
      </c>
      <c r="AB24" s="439">
        <f t="shared" si="26"/>
        <v>7</v>
      </c>
      <c r="AC24" s="436">
        <v>1169481</v>
      </c>
      <c r="AD24" s="439">
        <f t="shared" si="36"/>
        <v>1561</v>
      </c>
      <c r="AE24" s="461">
        <f t="shared" si="19"/>
        <v>8</v>
      </c>
      <c r="AF24" s="462">
        <f t="shared" si="4"/>
        <v>1925</v>
      </c>
      <c r="AG24" s="454">
        <f t="shared" si="32"/>
        <v>240.625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f t="shared" si="35"/>
        <v>11000</v>
      </c>
      <c r="E25" s="637">
        <f t="shared" si="34"/>
        <v>0</v>
      </c>
      <c r="F25" s="594">
        <f t="shared" si="8"/>
        <v>4095000</v>
      </c>
      <c r="G25" s="305">
        <f t="shared" si="20"/>
        <v>0</v>
      </c>
      <c r="H25" s="436">
        <f t="shared" si="9"/>
        <v>17974578</v>
      </c>
      <c r="I25" s="305">
        <f t="shared" si="21"/>
        <v>0</v>
      </c>
      <c r="J25" s="436">
        <f t="shared" si="10"/>
        <v>29556692</v>
      </c>
      <c r="K25" s="305">
        <f t="shared" si="22"/>
        <v>0</v>
      </c>
      <c r="L25" s="436">
        <f t="shared" si="11"/>
        <v>24445222</v>
      </c>
      <c r="M25" s="305">
        <f t="shared" si="23"/>
        <v>0</v>
      </c>
      <c r="N25" s="304">
        <f t="shared" si="24"/>
        <v>0</v>
      </c>
      <c r="O25" s="456">
        <f t="shared" si="31"/>
        <v>0</v>
      </c>
      <c r="P25" s="585">
        <f t="shared" si="12"/>
        <v>18490.486000000001</v>
      </c>
      <c r="Q25" s="457">
        <f t="shared" si="1"/>
        <v>0</v>
      </c>
      <c r="R25" s="439">
        <f t="shared" si="33"/>
        <v>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33351</v>
      </c>
      <c r="X25" s="439">
        <f t="shared" si="30"/>
        <v>0</v>
      </c>
      <c r="Y25" s="436">
        <f t="shared" si="16"/>
        <v>965086</v>
      </c>
      <c r="Z25" s="439">
        <f t="shared" si="29"/>
        <v>0</v>
      </c>
      <c r="AA25" s="436">
        <f t="shared" si="17"/>
        <v>36792</v>
      </c>
      <c r="AB25" s="439">
        <f t="shared" si="26"/>
        <v>0</v>
      </c>
      <c r="AC25" s="436">
        <f t="shared" si="18"/>
        <v>1169481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5"/>
        <v>11000</v>
      </c>
      <c r="E26" s="637">
        <f t="shared" si="34"/>
        <v>0</v>
      </c>
      <c r="F26" s="594">
        <f t="shared" si="8"/>
        <v>4095000</v>
      </c>
      <c r="G26" s="305">
        <f t="shared" si="20"/>
        <v>0</v>
      </c>
      <c r="H26" s="436">
        <f t="shared" si="9"/>
        <v>17974578</v>
      </c>
      <c r="I26" s="305">
        <f t="shared" si="21"/>
        <v>0</v>
      </c>
      <c r="J26" s="436">
        <f t="shared" si="10"/>
        <v>29556692</v>
      </c>
      <c r="K26" s="305">
        <f t="shared" si="22"/>
        <v>0</v>
      </c>
      <c r="L26" s="436">
        <f t="shared" si="11"/>
        <v>24445222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18490.486000000001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33351</v>
      </c>
      <c r="X26" s="439">
        <f t="shared" si="30"/>
        <v>0</v>
      </c>
      <c r="Y26" s="436">
        <f t="shared" si="16"/>
        <v>965086</v>
      </c>
      <c r="Z26" s="439">
        <f t="shared" si="29"/>
        <v>0</v>
      </c>
      <c r="AA26" s="436">
        <f t="shared" si="17"/>
        <v>36792</v>
      </c>
      <c r="AB26" s="439">
        <f t="shared" si="26"/>
        <v>0</v>
      </c>
      <c r="AC26" s="436">
        <f t="shared" si="18"/>
        <v>1169481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v>14000</v>
      </c>
      <c r="E27" s="637">
        <f t="shared" si="34"/>
        <v>3000</v>
      </c>
      <c r="F27" s="594">
        <v>4095326</v>
      </c>
      <c r="G27" s="305">
        <f t="shared" si="20"/>
        <v>326</v>
      </c>
      <c r="H27" s="436">
        <v>17975122</v>
      </c>
      <c r="I27" s="305">
        <f t="shared" si="21"/>
        <v>544</v>
      </c>
      <c r="J27" s="436">
        <v>29558066</v>
      </c>
      <c r="K27" s="305">
        <f t="shared" si="22"/>
        <v>1374</v>
      </c>
      <c r="L27" s="436">
        <v>24446198</v>
      </c>
      <c r="M27" s="305">
        <f t="shared" si="23"/>
        <v>976</v>
      </c>
      <c r="N27" s="304">
        <f t="shared" si="24"/>
        <v>6220</v>
      </c>
      <c r="O27" s="456">
        <f t="shared" si="31"/>
        <v>0</v>
      </c>
      <c r="P27" s="585">
        <v>18490.884999999998</v>
      </c>
      <c r="Q27" s="457">
        <f t="shared" si="1"/>
        <v>398.99999999761349</v>
      </c>
      <c r="R27" s="439">
        <f t="shared" si="33"/>
        <v>5821.0000000023865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v>33352</v>
      </c>
      <c r="X27" s="439">
        <f t="shared" si="30"/>
        <v>1</v>
      </c>
      <c r="Y27" s="436">
        <v>965372</v>
      </c>
      <c r="Z27" s="439">
        <f t="shared" si="29"/>
        <v>286</v>
      </c>
      <c r="AA27" s="436">
        <v>36796</v>
      </c>
      <c r="AB27" s="439">
        <f t="shared" si="26"/>
        <v>4</v>
      </c>
      <c r="AC27" s="436">
        <v>1170505</v>
      </c>
      <c r="AD27" s="439">
        <f t="shared" si="36"/>
        <v>1024</v>
      </c>
      <c r="AE27" s="461">
        <f t="shared" si="19"/>
        <v>5</v>
      </c>
      <c r="AF27" s="462">
        <f t="shared" si="4"/>
        <v>1310</v>
      </c>
      <c r="AG27" s="454">
        <f t="shared" si="32"/>
        <v>262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f t="shared" si="35"/>
        <v>14000</v>
      </c>
      <c r="E28" s="637">
        <f t="shared" si="34"/>
        <v>0</v>
      </c>
      <c r="F28" s="594">
        <f t="shared" si="8"/>
        <v>4095326</v>
      </c>
      <c r="G28" s="305">
        <f>F28-F27</f>
        <v>0</v>
      </c>
      <c r="H28" s="436">
        <f t="shared" si="9"/>
        <v>17975122</v>
      </c>
      <c r="I28" s="305">
        <f t="shared" si="21"/>
        <v>0</v>
      </c>
      <c r="J28" s="436">
        <f t="shared" si="10"/>
        <v>29558066</v>
      </c>
      <c r="K28" s="305">
        <f t="shared" si="22"/>
        <v>0</v>
      </c>
      <c r="L28" s="436">
        <f t="shared" si="11"/>
        <v>24446198</v>
      </c>
      <c r="M28" s="305">
        <f t="shared" si="23"/>
        <v>0</v>
      </c>
      <c r="N28" s="304">
        <f t="shared" si="24"/>
        <v>0</v>
      </c>
      <c r="O28" s="456">
        <f t="shared" si="31"/>
        <v>0</v>
      </c>
      <c r="P28" s="585">
        <f t="shared" si="12"/>
        <v>18490.884999999998</v>
      </c>
      <c r="Q28" s="457">
        <f t="shared" si="1"/>
        <v>0</v>
      </c>
      <c r="R28" s="439">
        <f t="shared" si="33"/>
        <v>0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f t="shared" si="15"/>
        <v>33352</v>
      </c>
      <c r="X28" s="439">
        <f t="shared" si="30"/>
        <v>0</v>
      </c>
      <c r="Y28" s="436">
        <f t="shared" si="16"/>
        <v>965372</v>
      </c>
      <c r="Z28" s="439">
        <f t="shared" si="29"/>
        <v>0</v>
      </c>
      <c r="AA28" s="436">
        <f t="shared" si="17"/>
        <v>36796</v>
      </c>
      <c r="AB28" s="439">
        <f t="shared" si="26"/>
        <v>0</v>
      </c>
      <c r="AC28" s="436">
        <f t="shared" si="18"/>
        <v>1170505</v>
      </c>
      <c r="AD28" s="439">
        <f t="shared" si="36"/>
        <v>0</v>
      </c>
      <c r="AE28" s="461">
        <f t="shared" si="19"/>
        <v>0</v>
      </c>
      <c r="AF28" s="462">
        <f t="shared" si="4"/>
        <v>0</v>
      </c>
      <c r="AG28" s="454">
        <f t="shared" si="32"/>
        <v>0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f t="shared" si="35"/>
        <v>14000</v>
      </c>
      <c r="E29" s="637">
        <f t="shared" si="34"/>
        <v>0</v>
      </c>
      <c r="F29" s="594">
        <f t="shared" si="8"/>
        <v>4095326</v>
      </c>
      <c r="G29" s="305">
        <f t="shared" ref="G29" si="37">F29-F28</f>
        <v>0</v>
      </c>
      <c r="H29" s="436">
        <f t="shared" si="9"/>
        <v>17975122</v>
      </c>
      <c r="I29" s="305">
        <f t="shared" ref="I29" si="38">H29-H28</f>
        <v>0</v>
      </c>
      <c r="J29" s="436">
        <f t="shared" si="10"/>
        <v>29558066</v>
      </c>
      <c r="K29" s="305">
        <f t="shared" ref="K29" si="39">J29-J28</f>
        <v>0</v>
      </c>
      <c r="L29" s="436">
        <f t="shared" si="11"/>
        <v>24446198</v>
      </c>
      <c r="M29" s="305">
        <f t="shared" ref="M29" si="40">L29-L28</f>
        <v>0</v>
      </c>
      <c r="N29" s="304">
        <f t="shared" ref="N29" si="41">M29+K29+I29+G29+E29</f>
        <v>0</v>
      </c>
      <c r="O29" s="456">
        <f t="shared" ref="O29" si="42">IF(B29&gt;0,N29/B29,0)</f>
        <v>0</v>
      </c>
      <c r="P29" s="585">
        <f t="shared" si="12"/>
        <v>18490.884999999998</v>
      </c>
      <c r="Q29" s="457">
        <f t="shared" ref="Q29" si="43">(P29-P28)*1000</f>
        <v>0</v>
      </c>
      <c r="R29" s="439">
        <f t="shared" ref="R29" si="44">N29-Q29</f>
        <v>0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f t="shared" si="15"/>
        <v>33352</v>
      </c>
      <c r="X29" s="439">
        <f t="shared" ref="X29" si="47">W29-W28</f>
        <v>0</v>
      </c>
      <c r="Y29" s="436">
        <f t="shared" si="16"/>
        <v>965372</v>
      </c>
      <c r="Z29" s="439">
        <f t="shared" ref="Z29" si="48">Y29-Y28</f>
        <v>0</v>
      </c>
      <c r="AA29" s="436">
        <f t="shared" si="17"/>
        <v>36796</v>
      </c>
      <c r="AB29" s="439">
        <f t="shared" ref="AB29" si="49">AA29-AA28</f>
        <v>0</v>
      </c>
      <c r="AC29" s="436">
        <f t="shared" si="18"/>
        <v>1170505</v>
      </c>
      <c r="AD29" s="439">
        <f t="shared" ref="AD29" si="50">AC29-AC28</f>
        <v>0</v>
      </c>
      <c r="AE29" s="461">
        <f t="shared" ref="AE29" si="51">AB29+X29+T29</f>
        <v>0</v>
      </c>
      <c r="AF29" s="462">
        <f t="shared" ref="AF29" si="52">V29+Z29+AD29</f>
        <v>0</v>
      </c>
      <c r="AG29" s="454">
        <f t="shared" si="32"/>
        <v>0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f t="shared" si="35"/>
        <v>14000</v>
      </c>
      <c r="E30" s="637">
        <f t="shared" si="34"/>
        <v>0</v>
      </c>
      <c r="F30" s="594">
        <f t="shared" si="8"/>
        <v>4095326</v>
      </c>
      <c r="G30" s="305">
        <f t="shared" si="20"/>
        <v>0</v>
      </c>
      <c r="H30" s="436">
        <f t="shared" si="9"/>
        <v>17975122</v>
      </c>
      <c r="I30" s="305">
        <f t="shared" si="21"/>
        <v>0</v>
      </c>
      <c r="J30" s="436">
        <f t="shared" si="10"/>
        <v>29558066</v>
      </c>
      <c r="K30" s="305">
        <f t="shared" si="22"/>
        <v>0</v>
      </c>
      <c r="L30" s="436">
        <f t="shared" si="11"/>
        <v>24446198</v>
      </c>
      <c r="M30" s="305">
        <f t="shared" si="23"/>
        <v>0</v>
      </c>
      <c r="N30" s="304">
        <f t="shared" si="24"/>
        <v>0</v>
      </c>
      <c r="O30" s="456">
        <f t="shared" si="31"/>
        <v>0</v>
      </c>
      <c r="P30" s="585">
        <f t="shared" si="12"/>
        <v>18490.884999999998</v>
      </c>
      <c r="Q30" s="457">
        <f t="shared" si="1"/>
        <v>0</v>
      </c>
      <c r="R30" s="439">
        <f t="shared" si="33"/>
        <v>0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f t="shared" si="15"/>
        <v>33352</v>
      </c>
      <c r="X30" s="439">
        <f t="shared" si="30"/>
        <v>0</v>
      </c>
      <c r="Y30" s="436">
        <f t="shared" si="16"/>
        <v>965372</v>
      </c>
      <c r="Z30" s="439">
        <f t="shared" si="29"/>
        <v>0</v>
      </c>
      <c r="AA30" s="436">
        <f t="shared" si="17"/>
        <v>36796</v>
      </c>
      <c r="AB30" s="439">
        <f t="shared" si="26"/>
        <v>0</v>
      </c>
      <c r="AC30" s="436">
        <f t="shared" si="18"/>
        <v>1170505</v>
      </c>
      <c r="AD30" s="439">
        <f t="shared" si="36"/>
        <v>0</v>
      </c>
      <c r="AE30" s="461">
        <f t="shared" si="19"/>
        <v>0</v>
      </c>
      <c r="AF30" s="462">
        <f t="shared" si="4"/>
        <v>0</v>
      </c>
      <c r="AG30" s="454">
        <f t="shared" si="32"/>
        <v>0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f t="shared" si="35"/>
        <v>14000</v>
      </c>
      <c r="E31" s="637">
        <f t="shared" si="34"/>
        <v>0</v>
      </c>
      <c r="F31" s="594">
        <f t="shared" si="8"/>
        <v>4095326</v>
      </c>
      <c r="G31" s="305">
        <f t="shared" si="20"/>
        <v>0</v>
      </c>
      <c r="H31" s="436">
        <f t="shared" si="9"/>
        <v>17975122</v>
      </c>
      <c r="I31" s="305">
        <f t="shared" si="21"/>
        <v>0</v>
      </c>
      <c r="J31" s="436">
        <f t="shared" si="10"/>
        <v>29558066</v>
      </c>
      <c r="K31" s="305">
        <f t="shared" si="22"/>
        <v>0</v>
      </c>
      <c r="L31" s="436">
        <f t="shared" si="11"/>
        <v>24446198</v>
      </c>
      <c r="M31" s="305">
        <f t="shared" si="23"/>
        <v>0</v>
      </c>
      <c r="N31" s="304">
        <f t="shared" si="24"/>
        <v>0</v>
      </c>
      <c r="O31" s="456">
        <f t="shared" si="31"/>
        <v>0</v>
      </c>
      <c r="P31" s="585">
        <f t="shared" si="12"/>
        <v>18490.884999999998</v>
      </c>
      <c r="Q31" s="457">
        <f t="shared" si="1"/>
        <v>0</v>
      </c>
      <c r="R31" s="439">
        <f t="shared" si="33"/>
        <v>0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f t="shared" si="15"/>
        <v>33352</v>
      </c>
      <c r="X31" s="459">
        <f t="shared" si="30"/>
        <v>0</v>
      </c>
      <c r="Y31" s="436">
        <f t="shared" si="16"/>
        <v>965372</v>
      </c>
      <c r="Z31" s="439">
        <f t="shared" si="29"/>
        <v>0</v>
      </c>
      <c r="AA31" s="436">
        <f t="shared" si="17"/>
        <v>36796</v>
      </c>
      <c r="AB31" s="439">
        <f t="shared" si="26"/>
        <v>0</v>
      </c>
      <c r="AC31" s="436">
        <f t="shared" si="18"/>
        <v>1170505</v>
      </c>
      <c r="AD31" s="439">
        <f t="shared" si="36"/>
        <v>0</v>
      </c>
      <c r="AE31" s="461">
        <f t="shared" si="19"/>
        <v>0</v>
      </c>
      <c r="AF31" s="462">
        <f t="shared" si="4"/>
        <v>0</v>
      </c>
      <c r="AG31" s="454">
        <f t="shared" si="32"/>
        <v>0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5"/>
        <v>14000</v>
      </c>
      <c r="E32" s="637">
        <f t="shared" si="34"/>
        <v>0</v>
      </c>
      <c r="F32" s="594">
        <f t="shared" si="8"/>
        <v>4095326</v>
      </c>
      <c r="G32" s="305">
        <f t="shared" si="20"/>
        <v>0</v>
      </c>
      <c r="H32" s="436">
        <f t="shared" si="9"/>
        <v>17975122</v>
      </c>
      <c r="I32" s="305">
        <f t="shared" si="21"/>
        <v>0</v>
      </c>
      <c r="J32" s="436">
        <f t="shared" si="10"/>
        <v>29558066</v>
      </c>
      <c r="K32" s="305">
        <f t="shared" si="22"/>
        <v>0</v>
      </c>
      <c r="L32" s="436">
        <f t="shared" si="11"/>
        <v>24446198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18490.884999999998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33352</v>
      </c>
      <c r="X32" s="459">
        <f>W32-W31</f>
        <v>0</v>
      </c>
      <c r="Y32" s="436">
        <f t="shared" si="16"/>
        <v>965372</v>
      </c>
      <c r="Z32" s="439">
        <f>Y32-Y31</f>
        <v>0</v>
      </c>
      <c r="AA32" s="436">
        <f t="shared" si="17"/>
        <v>36796</v>
      </c>
      <c r="AB32" s="439">
        <f>AA32-AA31</f>
        <v>0</v>
      </c>
      <c r="AC32" s="436">
        <f t="shared" si="18"/>
        <v>1170505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5"/>
        <v>14000</v>
      </c>
      <c r="E33" s="637">
        <f t="shared" si="34"/>
        <v>0</v>
      </c>
      <c r="F33" s="594">
        <f t="shared" si="8"/>
        <v>4095326</v>
      </c>
      <c r="G33" s="305">
        <f t="shared" si="20"/>
        <v>0</v>
      </c>
      <c r="H33" s="436">
        <f t="shared" si="9"/>
        <v>17975122</v>
      </c>
      <c r="I33" s="305">
        <f t="shared" si="21"/>
        <v>0</v>
      </c>
      <c r="J33" s="436">
        <f t="shared" si="10"/>
        <v>29558066</v>
      </c>
      <c r="K33" s="305">
        <f t="shared" si="22"/>
        <v>0</v>
      </c>
      <c r="L33" s="436">
        <f t="shared" si="11"/>
        <v>24446198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18490.884999999998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33352</v>
      </c>
      <c r="X33" s="459">
        <f>W33-W32</f>
        <v>0</v>
      </c>
      <c r="Y33" s="436">
        <f t="shared" si="16"/>
        <v>965372</v>
      </c>
      <c r="Z33" s="439">
        <f>Y33-Y32</f>
        <v>0</v>
      </c>
      <c r="AA33" s="436">
        <f t="shared" si="17"/>
        <v>36796</v>
      </c>
      <c r="AB33" s="439">
        <f>AA33-AA32</f>
        <v>0</v>
      </c>
      <c r="AC33" s="436">
        <f t="shared" si="18"/>
        <v>1170505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5"/>
        <v>14000</v>
      </c>
      <c r="E34" s="637">
        <f t="shared" si="34"/>
        <v>0</v>
      </c>
      <c r="F34" s="594">
        <f t="shared" si="8"/>
        <v>4095326</v>
      </c>
      <c r="G34" s="305">
        <f t="shared" ref="G34" si="53">F34-F33</f>
        <v>0</v>
      </c>
      <c r="H34" s="436">
        <f t="shared" si="9"/>
        <v>17975122</v>
      </c>
      <c r="I34" s="305">
        <f t="shared" ref="I34" si="54">H34-H33</f>
        <v>0</v>
      </c>
      <c r="J34" s="436">
        <f t="shared" si="10"/>
        <v>29558066</v>
      </c>
      <c r="K34" s="305">
        <f t="shared" ref="K34" si="55">J34-J33</f>
        <v>0</v>
      </c>
      <c r="L34" s="436">
        <f t="shared" si="11"/>
        <v>24446198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18490.884999999998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33352</v>
      </c>
      <c r="X34" s="459">
        <f>W34-W33</f>
        <v>0</v>
      </c>
      <c r="Y34" s="436">
        <f t="shared" si="16"/>
        <v>965372</v>
      </c>
      <c r="Z34" s="439">
        <f>Y34-Y33</f>
        <v>0</v>
      </c>
      <c r="AA34" s="436">
        <f t="shared" si="17"/>
        <v>36796</v>
      </c>
      <c r="AB34" s="439">
        <f>AA34-AA33</f>
        <v>0</v>
      </c>
      <c r="AC34" s="436">
        <f t="shared" si="18"/>
        <v>1170505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5" activePane="bottomLeft" state="frozen"/>
      <selection activeCell="K1" sqref="K1"/>
      <selection pane="bottomLeft" activeCell="I28" sqref="I2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69.3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v>133.5</v>
      </c>
      <c r="C22" s="557">
        <v>140</v>
      </c>
      <c r="D22" s="45">
        <f t="shared" si="49"/>
        <v>11</v>
      </c>
      <c r="E22" s="45">
        <f t="shared" si="14"/>
        <v>92.18</v>
      </c>
      <c r="F22" s="557">
        <v>1897</v>
      </c>
      <c r="G22" s="52">
        <f t="shared" si="0"/>
        <v>1</v>
      </c>
      <c r="H22" s="557">
        <v>17619</v>
      </c>
      <c r="I22" s="388">
        <f t="shared" si="1"/>
        <v>56</v>
      </c>
      <c r="J22" s="66">
        <f t="shared" si="17"/>
        <v>56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v>2131</v>
      </c>
      <c r="Q22" s="557">
        <v>178855</v>
      </c>
      <c r="R22" s="387">
        <f t="shared" si="44"/>
        <v>64</v>
      </c>
      <c r="S22" s="52">
        <f t="shared" si="5"/>
        <v>1</v>
      </c>
      <c r="T22" s="67">
        <f t="shared" si="37"/>
        <v>0</v>
      </c>
      <c r="U22" s="394">
        <f t="shared" si="21"/>
        <v>2</v>
      </c>
      <c r="V22" s="62">
        <f t="shared" si="22"/>
        <v>120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120</v>
      </c>
      <c r="AJ22" s="311">
        <f>-tanks!AW23</f>
        <v>120</v>
      </c>
      <c r="AK22" s="311">
        <f t="shared" si="31"/>
        <v>0</v>
      </c>
      <c r="AL22" s="311">
        <f t="shared" si="8"/>
        <v>2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v>126</v>
      </c>
      <c r="C23" s="557">
        <v>133</v>
      </c>
      <c r="D23" s="45">
        <f t="shared" si="49"/>
        <v>7</v>
      </c>
      <c r="E23" s="45">
        <f t="shared" si="14"/>
        <v>58.660000000000004</v>
      </c>
      <c r="F23" s="557">
        <f t="shared" si="15"/>
        <v>1897</v>
      </c>
      <c r="G23" s="52">
        <f t="shared" si="0"/>
        <v>0</v>
      </c>
      <c r="H23" s="557">
        <f t="shared" si="16"/>
        <v>17619</v>
      </c>
      <c r="I23" s="388">
        <f t="shared" si="1"/>
        <v>0</v>
      </c>
      <c r="J23" s="66">
        <f t="shared" si="17"/>
        <v>0</v>
      </c>
      <c r="K23" s="557">
        <v>2357</v>
      </c>
      <c r="L23" s="52">
        <f t="shared" si="19"/>
        <v>1</v>
      </c>
      <c r="M23" s="557">
        <v>173988</v>
      </c>
      <c r="N23" s="388">
        <f t="shared" si="2"/>
        <v>73</v>
      </c>
      <c r="O23" s="64">
        <f t="shared" si="48"/>
        <v>1869</v>
      </c>
      <c r="P23" s="557">
        <v>2132</v>
      </c>
      <c r="Q23" s="557">
        <v>178909</v>
      </c>
      <c r="R23" s="387">
        <f t="shared" si="44"/>
        <v>54</v>
      </c>
      <c r="S23" s="52">
        <f t="shared" si="5"/>
        <v>1</v>
      </c>
      <c r="T23" s="67">
        <f t="shared" si="37"/>
        <v>0</v>
      </c>
      <c r="U23" s="394">
        <f t="shared" si="21"/>
        <v>2</v>
      </c>
      <c r="V23" s="62">
        <f t="shared" si="22"/>
        <v>127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127</v>
      </c>
      <c r="AJ23" s="311">
        <f>-tanks!AW24</f>
        <v>127</v>
      </c>
      <c r="AK23" s="311">
        <f>SUM(AJ23-AI23)</f>
        <v>0</v>
      </c>
      <c r="AL23" s="311">
        <f>S23+L23+G23</f>
        <v>2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v>119</v>
      </c>
      <c r="C24" s="557">
        <v>126</v>
      </c>
      <c r="D24" s="45">
        <f t="shared" si="49"/>
        <v>7</v>
      </c>
      <c r="E24" s="45">
        <f t="shared" si="14"/>
        <v>58.660000000000004</v>
      </c>
      <c r="F24" s="557">
        <v>1897</v>
      </c>
      <c r="G24" s="52">
        <f t="shared" si="0"/>
        <v>0</v>
      </c>
      <c r="H24" s="557">
        <f t="shared" si="16"/>
        <v>17619</v>
      </c>
      <c r="I24" s="388">
        <f t="shared" si="1"/>
        <v>0</v>
      </c>
      <c r="J24" s="66">
        <f t="shared" si="17"/>
        <v>0</v>
      </c>
      <c r="K24" s="557">
        <f t="shared" si="18"/>
        <v>2357</v>
      </c>
      <c r="L24" s="52">
        <f t="shared" si="19"/>
        <v>0</v>
      </c>
      <c r="M24" s="557">
        <f t="shared" si="20"/>
        <v>173988</v>
      </c>
      <c r="N24" s="388">
        <f t="shared" si="2"/>
        <v>0</v>
      </c>
      <c r="O24" s="64">
        <f t="shared" si="48"/>
        <v>1869</v>
      </c>
      <c r="P24" s="557">
        <f t="shared" si="45"/>
        <v>2132</v>
      </c>
      <c r="Q24" s="557">
        <f t="shared" si="46"/>
        <v>178909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v>112</v>
      </c>
      <c r="C25" s="557">
        <v>119</v>
      </c>
      <c r="D25" s="45">
        <f t="shared" si="49"/>
        <v>7</v>
      </c>
      <c r="E25" s="45">
        <f t="shared" si="14"/>
        <v>58.660000000000004</v>
      </c>
      <c r="F25" s="557">
        <v>1898</v>
      </c>
      <c r="G25" s="52">
        <f t="shared" si="0"/>
        <v>1</v>
      </c>
      <c r="H25" s="557">
        <v>17745</v>
      </c>
      <c r="I25" s="388">
        <f t="shared" si="1"/>
        <v>126</v>
      </c>
      <c r="J25" s="66">
        <f t="shared" si="17"/>
        <v>126</v>
      </c>
      <c r="K25" s="557">
        <f t="shared" si="18"/>
        <v>2357</v>
      </c>
      <c r="L25" s="52">
        <f t="shared" si="19"/>
        <v>0</v>
      </c>
      <c r="M25" s="557">
        <f t="shared" si="20"/>
        <v>173988</v>
      </c>
      <c r="N25" s="388">
        <f t="shared" si="2"/>
        <v>0</v>
      </c>
      <c r="O25" s="64">
        <f t="shared" si="48"/>
        <v>1869</v>
      </c>
      <c r="P25" s="557">
        <f t="shared" si="45"/>
        <v>2132</v>
      </c>
      <c r="Q25" s="557">
        <f t="shared" si="46"/>
        <v>178909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1</v>
      </c>
      <c r="V25" s="62">
        <f t="shared" si="22"/>
        <v>126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126</v>
      </c>
      <c r="AJ25" s="311">
        <f>-tanks!AW26</f>
        <v>126</v>
      </c>
      <c r="AK25" s="311">
        <f t="shared" si="31"/>
        <v>0</v>
      </c>
      <c r="AL25" s="311">
        <f t="shared" si="8"/>
        <v>1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112</v>
      </c>
      <c r="C26" s="557">
        <f t="shared" si="13"/>
        <v>119</v>
      </c>
      <c r="D26" s="45">
        <f t="shared" si="49"/>
        <v>0</v>
      </c>
      <c r="E26" s="45">
        <f t="shared" si="14"/>
        <v>0</v>
      </c>
      <c r="F26" s="557">
        <f t="shared" si="15"/>
        <v>1898</v>
      </c>
      <c r="G26" s="52">
        <f t="shared" si="0"/>
        <v>0</v>
      </c>
      <c r="H26" s="557">
        <f t="shared" si="16"/>
        <v>17745</v>
      </c>
      <c r="I26" s="388">
        <f t="shared" si="1"/>
        <v>0</v>
      </c>
      <c r="J26" s="66">
        <f t="shared" si="17"/>
        <v>0</v>
      </c>
      <c r="K26" s="557">
        <f t="shared" si="18"/>
        <v>2357</v>
      </c>
      <c r="L26" s="52">
        <f t="shared" si="19"/>
        <v>0</v>
      </c>
      <c r="M26" s="557">
        <f t="shared" si="20"/>
        <v>173988</v>
      </c>
      <c r="N26" s="388">
        <f t="shared" si="2"/>
        <v>0</v>
      </c>
      <c r="O26" s="64">
        <f t="shared" si="48"/>
        <v>1869</v>
      </c>
      <c r="P26" s="557">
        <f t="shared" si="45"/>
        <v>2132</v>
      </c>
      <c r="Q26" s="557">
        <f t="shared" si="46"/>
        <v>178909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112</v>
      </c>
      <c r="C27" s="557">
        <f t="shared" si="13"/>
        <v>119</v>
      </c>
      <c r="D27" s="45">
        <f t="shared" si="49"/>
        <v>0</v>
      </c>
      <c r="E27" s="45">
        <f t="shared" si="14"/>
        <v>0</v>
      </c>
      <c r="F27" s="557">
        <f t="shared" si="15"/>
        <v>1898</v>
      </c>
      <c r="G27" s="52">
        <f t="shared" si="0"/>
        <v>0</v>
      </c>
      <c r="H27" s="557">
        <f t="shared" si="16"/>
        <v>17745</v>
      </c>
      <c r="I27" s="388">
        <f t="shared" si="1"/>
        <v>0</v>
      </c>
      <c r="J27" s="66">
        <f t="shared" si="17"/>
        <v>0</v>
      </c>
      <c r="K27" s="557">
        <f t="shared" si="18"/>
        <v>2357</v>
      </c>
      <c r="L27" s="52">
        <f t="shared" si="19"/>
        <v>0</v>
      </c>
      <c r="M27" s="557">
        <f t="shared" si="20"/>
        <v>173988</v>
      </c>
      <c r="N27" s="388">
        <f t="shared" si="2"/>
        <v>0</v>
      </c>
      <c r="O27" s="64">
        <f t="shared" si="48"/>
        <v>1869</v>
      </c>
      <c r="P27" s="557">
        <f t="shared" si="45"/>
        <v>2132</v>
      </c>
      <c r="Q27" s="557">
        <f t="shared" si="46"/>
        <v>178909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v>144</v>
      </c>
      <c r="C28" s="557">
        <v>151</v>
      </c>
      <c r="D28" s="45">
        <f t="shared" si="49"/>
        <v>-32</v>
      </c>
      <c r="E28" s="45">
        <f t="shared" si="14"/>
        <v>-268.16000000000003</v>
      </c>
      <c r="F28" s="557">
        <v>1899</v>
      </c>
      <c r="G28" s="52">
        <f t="shared" si="0"/>
        <v>1</v>
      </c>
      <c r="H28" s="557">
        <v>17818</v>
      </c>
      <c r="I28" s="388">
        <f t="shared" si="1"/>
        <v>73</v>
      </c>
      <c r="J28" s="66">
        <f t="shared" si="17"/>
        <v>73</v>
      </c>
      <c r="K28" s="557">
        <f t="shared" si="18"/>
        <v>2357</v>
      </c>
      <c r="L28" s="52">
        <f t="shared" si="19"/>
        <v>0</v>
      </c>
      <c r="M28" s="557">
        <f t="shared" si="20"/>
        <v>173988</v>
      </c>
      <c r="N28" s="388">
        <f t="shared" si="2"/>
        <v>0</v>
      </c>
      <c r="O28" s="64">
        <f t="shared" si="48"/>
        <v>1869</v>
      </c>
      <c r="P28" s="557">
        <f t="shared" si="45"/>
        <v>2132</v>
      </c>
      <c r="Q28" s="557">
        <f t="shared" si="46"/>
        <v>178909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1</v>
      </c>
      <c r="V28" s="62">
        <f t="shared" si="22"/>
        <v>73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73</v>
      </c>
      <c r="AJ28" s="311">
        <f>-tanks!AW29</f>
        <v>73</v>
      </c>
      <c r="AK28" s="311">
        <f t="shared" si="31"/>
        <v>0</v>
      </c>
      <c r="AL28" s="311">
        <f t="shared" si="8"/>
        <v>1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f t="shared" si="12"/>
        <v>144</v>
      </c>
      <c r="C29" s="557">
        <f t="shared" si="13"/>
        <v>151</v>
      </c>
      <c r="D29" s="45">
        <f t="shared" si="49"/>
        <v>0</v>
      </c>
      <c r="E29" s="45">
        <f t="shared" si="14"/>
        <v>0</v>
      </c>
      <c r="F29" s="557">
        <f t="shared" si="15"/>
        <v>1899</v>
      </c>
      <c r="G29" s="52">
        <f t="shared" si="0"/>
        <v>0</v>
      </c>
      <c r="H29" s="557">
        <f t="shared" si="16"/>
        <v>17818</v>
      </c>
      <c r="I29" s="388">
        <f t="shared" si="1"/>
        <v>0</v>
      </c>
      <c r="J29" s="66">
        <f t="shared" si="17"/>
        <v>0</v>
      </c>
      <c r="K29" s="557">
        <f t="shared" si="18"/>
        <v>2357</v>
      </c>
      <c r="L29" s="52">
        <f t="shared" si="19"/>
        <v>0</v>
      </c>
      <c r="M29" s="557">
        <f t="shared" si="20"/>
        <v>173988</v>
      </c>
      <c r="N29" s="388">
        <f t="shared" si="2"/>
        <v>0</v>
      </c>
      <c r="O29" s="64">
        <f t="shared" si="48"/>
        <v>1869</v>
      </c>
      <c r="P29" s="557">
        <f t="shared" si="45"/>
        <v>2132</v>
      </c>
      <c r="Q29" s="557">
        <f t="shared" si="46"/>
        <v>178909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0</v>
      </c>
      <c r="V29" s="62">
        <f t="shared" si="22"/>
        <v>0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0</v>
      </c>
      <c r="AJ29" s="311">
        <f>-tanks!AW30</f>
        <v>0</v>
      </c>
      <c r="AK29" s="311">
        <f t="shared" si="31"/>
        <v>0</v>
      </c>
      <c r="AL29" s="311">
        <f t="shared" si="8"/>
        <v>0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f t="shared" si="12"/>
        <v>144</v>
      </c>
      <c r="C30" s="557">
        <f t="shared" si="13"/>
        <v>151</v>
      </c>
      <c r="D30" s="45">
        <f t="shared" ref="D30" si="54">C29-C30</f>
        <v>0</v>
      </c>
      <c r="E30" s="45">
        <f t="shared" ref="E30" si="55">D30*8.38</f>
        <v>0</v>
      </c>
      <c r="F30" s="557">
        <f t="shared" si="15"/>
        <v>1899</v>
      </c>
      <c r="G30" s="52">
        <f t="shared" ref="G30" si="56">F30-F29</f>
        <v>0</v>
      </c>
      <c r="H30" s="557">
        <f t="shared" si="16"/>
        <v>17818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2357</v>
      </c>
      <c r="L30" s="52">
        <f t="shared" ref="L30" si="59">K30-K29</f>
        <v>0</v>
      </c>
      <c r="M30" s="557">
        <f t="shared" si="20"/>
        <v>173988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2132</v>
      </c>
      <c r="Q30" s="557">
        <f t="shared" si="46"/>
        <v>178909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f t="shared" si="12"/>
        <v>144</v>
      </c>
      <c r="C31" s="557">
        <f t="shared" si="13"/>
        <v>151</v>
      </c>
      <c r="D31" s="45">
        <f t="shared" si="49"/>
        <v>0</v>
      </c>
      <c r="E31" s="45">
        <f t="shared" si="14"/>
        <v>0</v>
      </c>
      <c r="F31" s="557">
        <f t="shared" si="15"/>
        <v>1899</v>
      </c>
      <c r="G31" s="52">
        <f t="shared" si="0"/>
        <v>0</v>
      </c>
      <c r="H31" s="557">
        <f t="shared" si="16"/>
        <v>17818</v>
      </c>
      <c r="I31" s="388">
        <f t="shared" si="1"/>
        <v>0</v>
      </c>
      <c r="J31" s="66">
        <f t="shared" si="17"/>
        <v>0</v>
      </c>
      <c r="K31" s="557">
        <f t="shared" si="18"/>
        <v>2357</v>
      </c>
      <c r="L31" s="52">
        <f t="shared" si="19"/>
        <v>0</v>
      </c>
      <c r="M31" s="557">
        <f t="shared" si="20"/>
        <v>173988</v>
      </c>
      <c r="N31" s="388">
        <f t="shared" si="2"/>
        <v>0</v>
      </c>
      <c r="O31" s="64">
        <f t="shared" si="48"/>
        <v>1869</v>
      </c>
      <c r="P31" s="557">
        <f t="shared" si="45"/>
        <v>2132</v>
      </c>
      <c r="Q31" s="557">
        <f t="shared" si="46"/>
        <v>178909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0</v>
      </c>
      <c r="V31" s="62">
        <f t="shared" si="22"/>
        <v>0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0</v>
      </c>
      <c r="AJ31" s="311">
        <f>-tanks!AW32</f>
        <v>0</v>
      </c>
      <c r="AK31" s="311">
        <f t="shared" si="31"/>
        <v>0</v>
      </c>
      <c r="AL31" s="311">
        <f t="shared" si="8"/>
        <v>0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f t="shared" si="12"/>
        <v>144</v>
      </c>
      <c r="C32" s="557">
        <f t="shared" si="13"/>
        <v>151</v>
      </c>
      <c r="D32" s="45">
        <f t="shared" si="49"/>
        <v>0</v>
      </c>
      <c r="E32" s="45">
        <f t="shared" si="14"/>
        <v>0</v>
      </c>
      <c r="F32" s="557">
        <f t="shared" si="15"/>
        <v>1899</v>
      </c>
      <c r="G32" s="52">
        <f t="shared" si="0"/>
        <v>0</v>
      </c>
      <c r="H32" s="557">
        <f t="shared" si="16"/>
        <v>17818</v>
      </c>
      <c r="I32" s="388">
        <f t="shared" si="1"/>
        <v>0</v>
      </c>
      <c r="J32" s="66">
        <f t="shared" si="17"/>
        <v>0</v>
      </c>
      <c r="K32" s="557">
        <f t="shared" si="18"/>
        <v>2357</v>
      </c>
      <c r="L32" s="52">
        <f t="shared" si="19"/>
        <v>0</v>
      </c>
      <c r="M32" s="557">
        <f t="shared" si="20"/>
        <v>173988</v>
      </c>
      <c r="N32" s="388">
        <f t="shared" si="2"/>
        <v>0</v>
      </c>
      <c r="O32" s="64">
        <f t="shared" si="48"/>
        <v>1869</v>
      </c>
      <c r="P32" s="557">
        <f t="shared" si="45"/>
        <v>2132</v>
      </c>
      <c r="Q32" s="557">
        <f t="shared" si="46"/>
        <v>178909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0</v>
      </c>
      <c r="V32" s="62">
        <f t="shared" si="22"/>
        <v>0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0</v>
      </c>
      <c r="AJ32" s="311">
        <f>-tanks!AW33</f>
        <v>0</v>
      </c>
      <c r="AK32" s="311">
        <f t="shared" si="31"/>
        <v>0</v>
      </c>
      <c r="AL32" s="311">
        <f t="shared" si="8"/>
        <v>0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144</v>
      </c>
      <c r="C33" s="557">
        <f t="shared" si="13"/>
        <v>151</v>
      </c>
      <c r="D33" s="45">
        <f>C32-C33</f>
        <v>0</v>
      </c>
      <c r="E33" s="45">
        <f>D33*8.38</f>
        <v>0</v>
      </c>
      <c r="F33" s="557">
        <f t="shared" si="15"/>
        <v>1899</v>
      </c>
      <c r="G33" s="52">
        <f>F33-F32</f>
        <v>0</v>
      </c>
      <c r="H33" s="557">
        <f t="shared" si="16"/>
        <v>17818</v>
      </c>
      <c r="I33" s="388">
        <f>SUM(H33-H32)</f>
        <v>0</v>
      </c>
      <c r="J33" s="66">
        <f>IF(G33&gt;0,I33/G33,0)</f>
        <v>0</v>
      </c>
      <c r="K33" s="557">
        <f t="shared" si="18"/>
        <v>2357</v>
      </c>
      <c r="L33" s="52">
        <f>K33-K32</f>
        <v>0</v>
      </c>
      <c r="M33" s="557">
        <f t="shared" si="20"/>
        <v>173988</v>
      </c>
      <c r="N33" s="388">
        <f>M33-M32</f>
        <v>0</v>
      </c>
      <c r="O33" s="64">
        <f t="shared" si="48"/>
        <v>1869</v>
      </c>
      <c r="P33" s="557">
        <f t="shared" si="45"/>
        <v>2132</v>
      </c>
      <c r="Q33" s="557">
        <f t="shared" si="46"/>
        <v>178909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144</v>
      </c>
      <c r="C34" s="557">
        <f t="shared" si="13"/>
        <v>151</v>
      </c>
      <c r="D34" s="45">
        <f>C33-C34</f>
        <v>0</v>
      </c>
      <c r="E34" s="45">
        <f>D34*8.38</f>
        <v>0</v>
      </c>
      <c r="F34" s="557">
        <f t="shared" si="15"/>
        <v>1899</v>
      </c>
      <c r="G34" s="52">
        <f>F34-F33</f>
        <v>0</v>
      </c>
      <c r="H34" s="557">
        <f t="shared" si="16"/>
        <v>17818</v>
      </c>
      <c r="I34" s="388">
        <f>SUM(H34-H33)</f>
        <v>0</v>
      </c>
      <c r="J34" s="66">
        <f>IF(G34&gt;0,I34/G34,0)</f>
        <v>0</v>
      </c>
      <c r="K34" s="557">
        <f t="shared" si="18"/>
        <v>2357</v>
      </c>
      <c r="L34" s="52">
        <f>K34-K33</f>
        <v>0</v>
      </c>
      <c r="M34" s="557">
        <f t="shared" si="20"/>
        <v>173988</v>
      </c>
      <c r="N34" s="388">
        <f>M34-M33</f>
        <v>0</v>
      </c>
      <c r="O34" s="64">
        <f t="shared" si="48"/>
        <v>1869</v>
      </c>
      <c r="P34" s="557">
        <f t="shared" si="45"/>
        <v>2132</v>
      </c>
      <c r="Q34" s="557">
        <f t="shared" si="46"/>
        <v>178909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144</v>
      </c>
      <c r="C35" s="557">
        <f t="shared" si="13"/>
        <v>151</v>
      </c>
      <c r="D35" s="45">
        <f>C34-C35</f>
        <v>0</v>
      </c>
      <c r="E35" s="45">
        <f>D35*8.38</f>
        <v>0</v>
      </c>
      <c r="F35" s="557">
        <f t="shared" si="15"/>
        <v>1899</v>
      </c>
      <c r="G35" s="52">
        <f>F35-F34</f>
        <v>0</v>
      </c>
      <c r="H35" s="557">
        <f t="shared" si="16"/>
        <v>17818</v>
      </c>
      <c r="I35" s="388">
        <f>SUM(H35-H34)</f>
        <v>0</v>
      </c>
      <c r="J35" s="66">
        <f>IF(G35&gt;0,I35/G35,0)</f>
        <v>0</v>
      </c>
      <c r="K35" s="557">
        <f t="shared" si="18"/>
        <v>2357</v>
      </c>
      <c r="L35" s="52">
        <f>K35-K34</f>
        <v>0</v>
      </c>
      <c r="M35" s="557">
        <f t="shared" si="20"/>
        <v>173988</v>
      </c>
      <c r="N35" s="388">
        <f>M35-M34</f>
        <v>0</v>
      </c>
      <c r="O35" s="64">
        <f t="shared" si="48"/>
        <v>1869</v>
      </c>
      <c r="P35" s="557">
        <f t="shared" si="45"/>
        <v>2132</v>
      </c>
      <c r="Q35" s="557">
        <f t="shared" si="46"/>
        <v>178909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69.3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13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985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O1" zoomScale="90" zoomScaleNormal="90" workbookViewId="0">
      <pane ySplit="3" topLeftCell="A26" activePane="bottomLeft" state="frozen"/>
      <selection pane="bottomLeft" activeCell="AY29" sqref="AY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8125349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c r="I23" s="5">
        <f t="shared" si="11"/>
        <v>29</v>
      </c>
      <c r="J23" s="327">
        <f t="shared" si="0"/>
        <v>8.3426028921023363</v>
      </c>
      <c r="K23" s="5">
        <f>'Swimming Pool quality check '!H23</f>
        <v>6898</v>
      </c>
      <c r="L23" s="269">
        <f t="shared" si="41"/>
        <v>2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-2</v>
      </c>
      <c r="AL23" s="320">
        <f t="shared" si="28"/>
        <v>0</v>
      </c>
      <c r="AM23" s="320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v>147</v>
      </c>
      <c r="AU23" s="417">
        <f t="shared" si="43"/>
        <v>1.1000000000000001</v>
      </c>
      <c r="AV23" s="201">
        <v>150</v>
      </c>
      <c r="AW23" s="5">
        <v>2.9</v>
      </c>
      <c r="AX23" s="201">
        <v>91</v>
      </c>
      <c r="AY23" s="418">
        <f t="shared" si="33"/>
        <v>132.30000000000001</v>
      </c>
      <c r="AZ23" s="418">
        <f t="shared" si="34"/>
        <v>165</v>
      </c>
      <c r="BA23" s="418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v>625047</v>
      </c>
      <c r="H24" s="5">
        <f t="shared" si="10"/>
        <v>68</v>
      </c>
      <c r="I24" s="5">
        <f t="shared" si="11"/>
        <v>68</v>
      </c>
      <c r="J24" s="327">
        <f t="shared" si="0"/>
        <v>3.5578747628083494</v>
      </c>
      <c r="K24" s="5">
        <f>'Swimming Pool quality check '!H24</f>
        <v>6899</v>
      </c>
      <c r="L24" s="269">
        <f t="shared" si="41"/>
        <v>1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v>153898</v>
      </c>
      <c r="Y24" s="317">
        <f t="shared" si="42"/>
        <v>83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82</v>
      </c>
      <c r="AL24" s="320">
        <f t="shared" si="28"/>
        <v>0</v>
      </c>
      <c r="AM24" s="320">
        <f>'General information '!D23</f>
        <v>24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v>87</v>
      </c>
      <c r="AU24" s="417">
        <f t="shared" si="43"/>
        <v>1.1000000000000001</v>
      </c>
      <c r="AV24" s="201">
        <v>149</v>
      </c>
      <c r="AW24" s="5">
        <v>2.9</v>
      </c>
      <c r="AX24" s="201">
        <v>110</v>
      </c>
      <c r="AY24" s="418">
        <f t="shared" si="33"/>
        <v>78.3</v>
      </c>
      <c r="AZ24" s="418">
        <f t="shared" si="34"/>
        <v>163.9</v>
      </c>
      <c r="BA24" s="418">
        <f t="shared" si="35"/>
        <v>319</v>
      </c>
      <c r="BB24" s="21">
        <f t="shared" si="36"/>
        <v>-54.000000000000014</v>
      </c>
      <c r="BC24" s="21">
        <f t="shared" si="36"/>
        <v>-1.0999999999999943</v>
      </c>
      <c r="BD24" s="21">
        <f t="shared" si="36"/>
        <v>55.100000000000023</v>
      </c>
      <c r="BE24" s="24">
        <f t="shared" si="38"/>
        <v>0</v>
      </c>
      <c r="BF24" s="96">
        <f t="shared" si="4"/>
        <v>68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625047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6899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153898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87</v>
      </c>
      <c r="AU25" s="417">
        <f t="shared" si="43"/>
        <v>1.1000000000000001</v>
      </c>
      <c r="AV25" s="201">
        <v>156</v>
      </c>
      <c r="AW25" s="5">
        <v>2.9</v>
      </c>
      <c r="AX25" s="201">
        <v>106</v>
      </c>
      <c r="AY25" s="418">
        <f t="shared" si="33"/>
        <v>78.3</v>
      </c>
      <c r="AZ25" s="418">
        <f t="shared" si="34"/>
        <v>171.60000000000002</v>
      </c>
      <c r="BA25" s="418">
        <f t="shared" si="35"/>
        <v>307.39999999999998</v>
      </c>
      <c r="BB25" s="21">
        <f t="shared" si="36"/>
        <v>0</v>
      </c>
      <c r="BC25" s="21">
        <f t="shared" si="36"/>
        <v>7.7000000000000171</v>
      </c>
      <c r="BD25" s="21">
        <f t="shared" si="36"/>
        <v>-11.600000000000023</v>
      </c>
      <c r="BE25" s="24">
        <f t="shared" si="38"/>
        <v>-3.9000000000000057</v>
      </c>
      <c r="BF25" s="96">
        <f t="shared" si="4"/>
        <v>3.9000000000000057</v>
      </c>
      <c r="BG25" s="82">
        <f t="shared" si="5"/>
        <v>-3.9000000000000057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625047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6902</v>
      </c>
      <c r="L26" s="269">
        <f t="shared" si="41"/>
        <v>3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153898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-3</v>
      </c>
      <c r="AL26" s="320">
        <f>SUM(AJ26-W26)</f>
        <v>0</v>
      </c>
      <c r="AM26" s="320">
        <f>'General information '!D25</f>
        <v>24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v>87</v>
      </c>
      <c r="AU26" s="417">
        <f t="shared" si="43"/>
        <v>1.1000000000000001</v>
      </c>
      <c r="AV26" s="201">
        <v>156</v>
      </c>
      <c r="AW26" s="5">
        <v>2.9</v>
      </c>
      <c r="AX26" s="201">
        <v>102</v>
      </c>
      <c r="AY26" s="418">
        <f t="shared" si="33"/>
        <v>78.3</v>
      </c>
      <c r="AZ26" s="418">
        <f t="shared" si="34"/>
        <v>171.60000000000002</v>
      </c>
      <c r="BA26" s="418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-11.599999999999966</v>
      </c>
      <c r="BE26" s="24">
        <f t="shared" si="38"/>
        <v>-11.599999999999966</v>
      </c>
      <c r="BF26" s="96">
        <f t="shared" si="4"/>
        <v>11.599999999999966</v>
      </c>
      <c r="BG26" s="82">
        <f t="shared" si="5"/>
        <v>-11.599999999999966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625047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6902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153898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87</v>
      </c>
      <c r="AU27" s="417">
        <f t="shared" si="43"/>
        <v>1.1000000000000001</v>
      </c>
      <c r="AV27" s="201">
        <f t="shared" si="31"/>
        <v>156</v>
      </c>
      <c r="AW27" s="5">
        <v>2.9</v>
      </c>
      <c r="AX27" s="201">
        <f t="shared" si="32"/>
        <v>102</v>
      </c>
      <c r="AY27" s="418">
        <f t="shared" si="33"/>
        <v>78.3</v>
      </c>
      <c r="AZ27" s="418">
        <f t="shared" si="34"/>
        <v>171.60000000000002</v>
      </c>
      <c r="BA27" s="418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625047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6902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153898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87</v>
      </c>
      <c r="AU28" s="417">
        <f t="shared" si="43"/>
        <v>1.1000000000000001</v>
      </c>
      <c r="AV28" s="201">
        <f t="shared" si="31"/>
        <v>156</v>
      </c>
      <c r="AW28" s="5">
        <v>2.9</v>
      </c>
      <c r="AX28" s="201">
        <f t="shared" si="32"/>
        <v>102</v>
      </c>
      <c r="AY28" s="418">
        <f t="shared" si="33"/>
        <v>78.3</v>
      </c>
      <c r="AZ28" s="418">
        <f t="shared" si="34"/>
        <v>171.60000000000002</v>
      </c>
      <c r="BA28" s="418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625047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6903</v>
      </c>
      <c r="L29" s="269">
        <f t="shared" si="41"/>
        <v>1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153898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-1</v>
      </c>
      <c r="AL29" s="320">
        <f t="shared" si="28"/>
        <v>0</v>
      </c>
      <c r="AM29" s="320">
        <f>'General information '!D28</f>
        <v>23.5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87</v>
      </c>
      <c r="AU29" s="417">
        <f t="shared" si="43"/>
        <v>1.1000000000000001</v>
      </c>
      <c r="AV29" s="201">
        <v>144</v>
      </c>
      <c r="AW29" s="5">
        <v>2.9</v>
      </c>
      <c r="AX29" s="201">
        <v>98</v>
      </c>
      <c r="AY29" s="418">
        <f t="shared" si="33"/>
        <v>78.3</v>
      </c>
      <c r="AZ29" s="418">
        <f t="shared" si="34"/>
        <v>158.4</v>
      </c>
      <c r="BA29" s="418">
        <f t="shared" si="35"/>
        <v>284.2</v>
      </c>
      <c r="BB29" s="21">
        <f t="shared" si="36"/>
        <v>0</v>
      </c>
      <c r="BC29" s="21">
        <f t="shared" si="36"/>
        <v>-13.200000000000017</v>
      </c>
      <c r="BD29" s="21">
        <f t="shared" si="36"/>
        <v>-11.600000000000023</v>
      </c>
      <c r="BE29" s="24">
        <f t="shared" si="38"/>
        <v>-24.80000000000004</v>
      </c>
      <c r="BF29" s="96">
        <f t="shared" si="4"/>
        <v>24.80000000000004</v>
      </c>
      <c r="BG29" s="82">
        <f t="shared" si="5"/>
        <v>-24.80000000000004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625047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6903</v>
      </c>
      <c r="L30" s="269">
        <f t="shared" si="41"/>
        <v>0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153898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0</v>
      </c>
      <c r="AL30" s="320">
        <f t="shared" si="28"/>
        <v>0</v>
      </c>
      <c r="AM30" s="320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87</v>
      </c>
      <c r="AU30" s="417">
        <f t="shared" si="43"/>
        <v>1.1000000000000001</v>
      </c>
      <c r="AV30" s="201">
        <f t="shared" si="31"/>
        <v>144</v>
      </c>
      <c r="AW30" s="5">
        <v>2.9</v>
      </c>
      <c r="AX30" s="201">
        <f t="shared" si="32"/>
        <v>98</v>
      </c>
      <c r="AY30" s="418">
        <f t="shared" si="33"/>
        <v>78.3</v>
      </c>
      <c r="AZ30" s="418">
        <f t="shared" si="34"/>
        <v>158.4</v>
      </c>
      <c r="BA30" s="418">
        <f t="shared" si="35"/>
        <v>284.2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f t="shared" si="9"/>
        <v>625047</v>
      </c>
      <c r="H31" s="5">
        <f t="shared" si="10"/>
        <v>0</v>
      </c>
      <c r="I31" s="5">
        <f t="shared" si="11"/>
        <v>0</v>
      </c>
      <c r="J31" s="327">
        <f t="shared" si="0"/>
        <v>0</v>
      </c>
      <c r="K31" s="5">
        <f>'Swimming Pool quality check '!H31</f>
        <v>6903</v>
      </c>
      <c r="L31" s="269">
        <f t="shared" si="41"/>
        <v>0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153898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0</v>
      </c>
      <c r="AL31" s="320">
        <f t="shared" si="28"/>
        <v>0</v>
      </c>
      <c r="AM31" s="320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f t="shared" si="48"/>
        <v>87</v>
      </c>
      <c r="AU31" s="417">
        <f t="shared" si="43"/>
        <v>1.1000000000000001</v>
      </c>
      <c r="AV31" s="201">
        <f t="shared" si="31"/>
        <v>144</v>
      </c>
      <c r="AW31" s="5">
        <v>2.9</v>
      </c>
      <c r="AX31" s="201">
        <f t="shared" si="32"/>
        <v>98</v>
      </c>
      <c r="AY31" s="418">
        <f t="shared" si="33"/>
        <v>78.3</v>
      </c>
      <c r="AZ31" s="418">
        <f>AU31*AV31</f>
        <v>158.4</v>
      </c>
      <c r="BA31" s="418">
        <f t="shared" si="35"/>
        <v>284.2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625047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6903</v>
      </c>
      <c r="L32" s="269">
        <f t="shared" si="41"/>
        <v>0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153898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0</v>
      </c>
      <c r="AL32" s="320">
        <f t="shared" si="28"/>
        <v>0</v>
      </c>
      <c r="AM32" s="320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87</v>
      </c>
      <c r="AU32" s="417">
        <f t="shared" si="43"/>
        <v>1.1000000000000001</v>
      </c>
      <c r="AV32" s="201">
        <f t="shared" si="31"/>
        <v>144</v>
      </c>
      <c r="AW32" s="5">
        <v>2.9</v>
      </c>
      <c r="AX32" s="201">
        <f t="shared" si="32"/>
        <v>98</v>
      </c>
      <c r="AY32" s="418">
        <f t="shared" si="33"/>
        <v>78.3</v>
      </c>
      <c r="AZ32" s="418">
        <f t="shared" si="34"/>
        <v>158.4</v>
      </c>
      <c r="BA32" s="418">
        <f t="shared" si="35"/>
        <v>284.2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625047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6903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153898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87</v>
      </c>
      <c r="AU33" s="417">
        <f t="shared" si="43"/>
        <v>1.1000000000000001</v>
      </c>
      <c r="AV33" s="201">
        <f t="shared" si="31"/>
        <v>144</v>
      </c>
      <c r="AW33" s="5">
        <v>2.9</v>
      </c>
      <c r="AX33" s="201">
        <f t="shared" si="32"/>
        <v>98</v>
      </c>
      <c r="AY33" s="418">
        <f t="shared" si="33"/>
        <v>78.3</v>
      </c>
      <c r="AZ33" s="418">
        <f t="shared" si="34"/>
        <v>158.4</v>
      </c>
      <c r="BA33" s="418">
        <f t="shared" si="35"/>
        <v>284.2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625047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6903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153898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87</v>
      </c>
      <c r="AU34" s="417">
        <f>AU33</f>
        <v>1.1000000000000001</v>
      </c>
      <c r="AV34" s="201">
        <f t="shared" si="31"/>
        <v>144</v>
      </c>
      <c r="AW34" s="5">
        <v>2.9</v>
      </c>
      <c r="AX34" s="201">
        <f t="shared" si="32"/>
        <v>98</v>
      </c>
      <c r="AY34" s="418">
        <f t="shared" si="33"/>
        <v>78.3</v>
      </c>
      <c r="AZ34" s="418">
        <f>AU34*AV34</f>
        <v>158.4</v>
      </c>
      <c r="BA34" s="418">
        <f>AW34*AX34</f>
        <v>284.2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625047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6903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153898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87</v>
      </c>
      <c r="AU35" s="417">
        <f>AU34</f>
        <v>1.1000000000000001</v>
      </c>
      <c r="AV35" s="201">
        <f t="shared" si="31"/>
        <v>144</v>
      </c>
      <c r="AW35" s="5">
        <v>2.9</v>
      </c>
      <c r="AX35" s="201">
        <f t="shared" si="32"/>
        <v>98</v>
      </c>
      <c r="AY35" s="418">
        <f t="shared" si="33"/>
        <v>78.3</v>
      </c>
      <c r="AZ35" s="418">
        <f>AU35*AV35</f>
        <v>158.4</v>
      </c>
      <c r="BA35" s="418">
        <f>AW35*AX35</f>
        <v>284.2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625047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6903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153898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87</v>
      </c>
      <c r="AU36" s="417">
        <f>AU35</f>
        <v>1.1000000000000001</v>
      </c>
      <c r="AV36" s="201">
        <f t="shared" si="31"/>
        <v>144</v>
      </c>
      <c r="AW36" s="5">
        <v>2.9</v>
      </c>
      <c r="AX36" s="201">
        <f t="shared" si="32"/>
        <v>98</v>
      </c>
      <c r="AY36" s="418">
        <f t="shared" ref="AY36" si="53">AS36*AT36</f>
        <v>78.3</v>
      </c>
      <c r="AZ36" s="418">
        <f>AU36*AV36</f>
        <v>158.4</v>
      </c>
      <c r="BA36" s="418">
        <f>AW36*AX36</f>
        <v>284.2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324</v>
      </c>
      <c r="I37" s="404">
        <f>SUM(I6:I36)</f>
        <v>324</v>
      </c>
      <c r="L37" s="264">
        <f>SUM(L7:L36)</f>
        <v>19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-19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324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324</v>
      </c>
      <c r="H39" s="1">
        <f>SUM(H38+C38)</f>
        <v>7500</v>
      </c>
      <c r="K39" s="1">
        <f>SUM(H39/G39)</f>
        <v>23.148148148148149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70" zoomScaleNormal="70" workbookViewId="0">
      <pane ySplit="1" topLeftCell="A23" activePane="bottomLeft" state="frozen"/>
      <selection pane="bottomLeft" activeCell="T26" sqref="T26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v>11017</v>
      </c>
      <c r="C20" s="282">
        <f>B20-B19</f>
        <v>13</v>
      </c>
      <c r="D20" s="520">
        <v>529676</v>
      </c>
      <c r="E20" s="282">
        <f t="shared" si="12"/>
        <v>2013</v>
      </c>
      <c r="F20" s="282">
        <f t="shared" si="0"/>
        <v>154.84615384615384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v>13173</v>
      </c>
      <c r="S20" s="282">
        <f t="shared" si="4"/>
        <v>2</v>
      </c>
      <c r="T20" s="520">
        <f t="shared" si="20"/>
        <v>232744</v>
      </c>
      <c r="U20" s="282">
        <f t="shared" si="21"/>
        <v>500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15</v>
      </c>
      <c r="AA20" s="282">
        <f t="shared" si="22"/>
        <v>2513</v>
      </c>
      <c r="AB20" s="282">
        <f t="shared" si="23"/>
        <v>404.84615384615381</v>
      </c>
      <c r="AC20" s="282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5">
        <f t="shared" si="27"/>
        <v>0.38758333333331996</v>
      </c>
      <c r="AG20" s="396">
        <f t="shared" si="28"/>
        <v>124.02666666666238</v>
      </c>
      <c r="AH20" s="396">
        <f t="shared" si="25"/>
        <v>43.506666666670952</v>
      </c>
      <c r="AI20" s="73">
        <f>AD20*AJ20</f>
        <v>2394.1856540083568</v>
      </c>
      <c r="AJ20" s="284">
        <f t="shared" si="7"/>
        <v>0.25738396624472576</v>
      </c>
      <c r="AK20" s="284">
        <f t="shared" si="8"/>
        <v>159.61237693389046</v>
      </c>
    </row>
    <row r="21" spans="1:37" ht="16.5" thickBot="1">
      <c r="A21" s="4">
        <f>ELEC!C22</f>
        <v>44488</v>
      </c>
      <c r="B21" s="519">
        <v>11028</v>
      </c>
      <c r="C21" s="282">
        <f>B21-B20</f>
        <v>11</v>
      </c>
      <c r="D21" s="520">
        <v>531527</v>
      </c>
      <c r="E21" s="282">
        <f t="shared" si="12"/>
        <v>1851</v>
      </c>
      <c r="F21" s="282">
        <f t="shared" si="0"/>
        <v>168.27272727272728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13173</v>
      </c>
      <c r="S21" s="282">
        <f t="shared" si="4"/>
        <v>0</v>
      </c>
      <c r="T21" s="520">
        <f t="shared" si="20"/>
        <v>232744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11</v>
      </c>
      <c r="AA21" s="282">
        <f t="shared" si="22"/>
        <v>1851</v>
      </c>
      <c r="AB21" s="282">
        <f t="shared" si="23"/>
        <v>418.27272727272725</v>
      </c>
      <c r="AC21" s="282">
        <f t="shared" si="24"/>
        <v>168.27272727272728</v>
      </c>
      <c r="AD21" s="73">
        <f>ELEC!Q22</f>
        <v>6652.9999999984284</v>
      </c>
      <c r="AE21" s="73">
        <f t="shared" si="26"/>
        <v>604.81818181803897</v>
      </c>
      <c r="AF21" s="395">
        <f t="shared" si="27"/>
        <v>0.37801136363627436</v>
      </c>
      <c r="AG21" s="396">
        <f t="shared" si="28"/>
        <v>120.96363636360779</v>
      </c>
      <c r="AH21" s="396">
        <f t="shared" si="25"/>
        <v>47.30909090911949</v>
      </c>
      <c r="AI21" s="73">
        <f t="shared" si="29"/>
        <v>1712.375527425756</v>
      </c>
      <c r="AJ21" s="284">
        <f t="shared" si="7"/>
        <v>0.25738396624472576</v>
      </c>
      <c r="AK21" s="284">
        <f t="shared" si="8"/>
        <v>155.67050249325055</v>
      </c>
    </row>
    <row r="22" spans="1:37" ht="16.5" thickBot="1">
      <c r="A22" s="4">
        <f>ELEC!C23</f>
        <v>44489</v>
      </c>
      <c r="B22" s="519">
        <v>11038</v>
      </c>
      <c r="C22" s="282">
        <f t="shared" si="10"/>
        <v>10</v>
      </c>
      <c r="D22" s="520">
        <v>532514</v>
      </c>
      <c r="E22" s="282">
        <f>150*C22</f>
        <v>1500</v>
      </c>
      <c r="F22" s="282">
        <f t="shared" si="0"/>
        <v>150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13173</v>
      </c>
      <c r="S22" s="282">
        <f t="shared" si="4"/>
        <v>0</v>
      </c>
      <c r="T22" s="520">
        <f t="shared" si="20"/>
        <v>232744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10</v>
      </c>
      <c r="AA22" s="282">
        <f t="shared" si="22"/>
        <v>1500</v>
      </c>
      <c r="AB22" s="282">
        <f t="shared" si="23"/>
        <v>400</v>
      </c>
      <c r="AC22" s="282">
        <f t="shared" si="24"/>
        <v>150</v>
      </c>
      <c r="AD22" s="73">
        <f>ELEC!Q23</f>
        <v>5963.9999999999418</v>
      </c>
      <c r="AE22" s="73">
        <f t="shared" si="26"/>
        <v>596.39999999999418</v>
      </c>
      <c r="AF22" s="395">
        <f t="shared" si="27"/>
        <v>0.37274999999999636</v>
      </c>
      <c r="AG22" s="396">
        <f t="shared" si="28"/>
        <v>119.27999999999884</v>
      </c>
      <c r="AH22" s="396">
        <f t="shared" si="25"/>
        <v>30.720000000001164</v>
      </c>
      <c r="AI22" s="73">
        <f t="shared" si="29"/>
        <v>1535.0379746835295</v>
      </c>
      <c r="AJ22" s="284">
        <f t="shared" si="7"/>
        <v>0.25738396624472576</v>
      </c>
      <c r="AK22" s="284">
        <f t="shared" si="8"/>
        <v>153.50379746835296</v>
      </c>
    </row>
    <row r="23" spans="1:37" ht="16.5" thickBot="1">
      <c r="A23" s="4">
        <f>ELEC!C24</f>
        <v>44490</v>
      </c>
      <c r="B23" s="519">
        <v>11045</v>
      </c>
      <c r="C23" s="282">
        <f t="shared" si="10"/>
        <v>7</v>
      </c>
      <c r="D23" s="520">
        <v>532516</v>
      </c>
      <c r="E23" s="282">
        <f>150*C23</f>
        <v>1050</v>
      </c>
      <c r="F23" s="282">
        <f t="shared" si="0"/>
        <v>150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v>13177</v>
      </c>
      <c r="S23" s="282">
        <f>R23-R22</f>
        <v>4</v>
      </c>
      <c r="T23" s="520">
        <f t="shared" si="20"/>
        <v>233744</v>
      </c>
      <c r="U23" s="282">
        <f>V23*S23</f>
        <v>1000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11</v>
      </c>
      <c r="AA23" s="282">
        <f t="shared" si="22"/>
        <v>2050</v>
      </c>
      <c r="AB23" s="282">
        <f t="shared" si="23"/>
        <v>400</v>
      </c>
      <c r="AC23" s="282">
        <f t="shared" si="24"/>
        <v>186.36363636363637</v>
      </c>
      <c r="AD23" s="73">
        <f>ELEC!Q24</f>
        <v>6402.0000000018626</v>
      </c>
      <c r="AE23" s="73">
        <f t="shared" si="26"/>
        <v>582.00000000016928</v>
      </c>
      <c r="AF23" s="395">
        <f t="shared" si="27"/>
        <v>0.36375000000010582</v>
      </c>
      <c r="AG23" s="396">
        <f t="shared" si="28"/>
        <v>116.40000000003386</v>
      </c>
      <c r="AH23" s="396">
        <f t="shared" si="25"/>
        <v>69.963636363602518</v>
      </c>
      <c r="AI23" s="73">
        <f t="shared" si="29"/>
        <v>1647.7721518992137</v>
      </c>
      <c r="AJ23" s="284">
        <f t="shared" si="7"/>
        <v>0.25738396624472576</v>
      </c>
      <c r="AK23" s="284">
        <f t="shared" si="8"/>
        <v>149.79746835447398</v>
      </c>
    </row>
    <row r="24" spans="1:37" ht="16.5" thickBot="1">
      <c r="A24" s="4">
        <f>ELEC!C25</f>
        <v>44491</v>
      </c>
      <c r="B24" s="519">
        <f t="shared" si="9"/>
        <v>11045</v>
      </c>
      <c r="C24" s="282">
        <f t="shared" si="10"/>
        <v>0</v>
      </c>
      <c r="D24" s="520">
        <f t="shared" si="11"/>
        <v>532516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13177</v>
      </c>
      <c r="S24" s="282">
        <f t="shared" si="4"/>
        <v>0</v>
      </c>
      <c r="T24" s="520">
        <f t="shared" si="20"/>
        <v>233744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11045</v>
      </c>
      <c r="C25" s="282">
        <f t="shared" si="10"/>
        <v>0</v>
      </c>
      <c r="D25" s="520">
        <f t="shared" si="11"/>
        <v>532516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13177</v>
      </c>
      <c r="S25" s="282">
        <f t="shared" si="4"/>
        <v>0</v>
      </c>
      <c r="T25" s="520">
        <f t="shared" si="20"/>
        <v>233744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v>11046</v>
      </c>
      <c r="C26" s="282">
        <f>B26-B25</f>
        <v>1</v>
      </c>
      <c r="D26" s="520">
        <f t="shared" si="11"/>
        <v>532516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v>13185</v>
      </c>
      <c r="S26" s="282">
        <f t="shared" ref="S26" si="33">R26-R25</f>
        <v>8</v>
      </c>
      <c r="T26" s="520">
        <f t="shared" si="20"/>
        <v>235744</v>
      </c>
      <c r="U26" s="282">
        <f t="shared" si="21"/>
        <v>2000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9</v>
      </c>
      <c r="AA26" s="282">
        <f t="shared" si="22"/>
        <v>2000</v>
      </c>
      <c r="AB26" s="282">
        <f t="shared" si="23"/>
        <v>250</v>
      </c>
      <c r="AC26" s="282">
        <f t="shared" si="24"/>
        <v>222.22222222222223</v>
      </c>
      <c r="AD26" s="73">
        <f>ELEC!Q27</f>
        <v>398.99999999761349</v>
      </c>
      <c r="AE26" s="73">
        <f t="shared" si="26"/>
        <v>44.333333333068168</v>
      </c>
      <c r="AF26" s="395">
        <f t="shared" si="27"/>
        <v>2.7708333333167606E-2</v>
      </c>
      <c r="AG26" s="396">
        <f t="shared" si="28"/>
        <v>8.866666666613634</v>
      </c>
      <c r="AH26" s="396">
        <f t="shared" si="25"/>
        <v>213.35555555560859</v>
      </c>
      <c r="AI26" s="73">
        <f t="shared" si="29"/>
        <v>102.69620253103133</v>
      </c>
      <c r="AJ26" s="284">
        <f t="shared" si="7"/>
        <v>0.25738396624472576</v>
      </c>
      <c r="AK26" s="284">
        <f t="shared" si="8"/>
        <v>11.410689170114592</v>
      </c>
    </row>
    <row r="27" spans="1:37" ht="16.5" thickBot="1">
      <c r="A27" s="4">
        <f>ELEC!C28</f>
        <v>44494</v>
      </c>
      <c r="B27" s="519">
        <f t="shared" si="9"/>
        <v>11046</v>
      </c>
      <c r="C27" s="282">
        <f>B27-B26</f>
        <v>0</v>
      </c>
      <c r="D27" s="520">
        <f t="shared" si="11"/>
        <v>532516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ok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13185</v>
      </c>
      <c r="S27" s="282">
        <f t="shared" si="4"/>
        <v>0</v>
      </c>
      <c r="T27" s="520">
        <f t="shared" si="20"/>
        <v>235744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0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0</v>
      </c>
      <c r="AE27" s="73" t="e">
        <f t="shared" si="26"/>
        <v>#DIV/0!</v>
      </c>
      <c r="AF27" s="395" t="e">
        <f t="shared" si="27"/>
        <v>#DIV/0!</v>
      </c>
      <c r="AG27" s="396" t="e">
        <f t="shared" si="28"/>
        <v>#DIV/0!</v>
      </c>
      <c r="AH27" s="396" t="e">
        <f t="shared" si="25"/>
        <v>#DIV/0!</v>
      </c>
      <c r="AI27" s="73">
        <f t="shared" si="29"/>
        <v>0</v>
      </c>
      <c r="AJ27" s="284">
        <f t="shared" si="7"/>
        <v>0.25738396624472576</v>
      </c>
      <c r="AK27" s="284" t="e">
        <f t="shared" si="8"/>
        <v>#DIV/0!</v>
      </c>
    </row>
    <row r="28" spans="1:37" ht="16.5" thickBot="1">
      <c r="A28" s="4">
        <f>ELEC!C29</f>
        <v>44495</v>
      </c>
      <c r="B28" s="519">
        <f t="shared" si="9"/>
        <v>11046</v>
      </c>
      <c r="C28" s="282">
        <f t="shared" si="10"/>
        <v>0</v>
      </c>
      <c r="D28" s="520">
        <f t="shared" si="11"/>
        <v>532516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ok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f t="shared" si="19"/>
        <v>13185</v>
      </c>
      <c r="S28" s="282">
        <f t="shared" si="4"/>
        <v>0</v>
      </c>
      <c r="T28" s="520">
        <f t="shared" si="20"/>
        <v>235744</v>
      </c>
      <c r="U28" s="282">
        <f t="shared" si="21"/>
        <v>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0</v>
      </c>
      <c r="AA28" s="282">
        <f t="shared" si="22"/>
        <v>0</v>
      </c>
      <c r="AB28" s="282">
        <f t="shared" si="23"/>
        <v>250</v>
      </c>
      <c r="AC28" s="282">
        <f t="shared" si="24"/>
        <v>0</v>
      </c>
      <c r="AD28" s="73">
        <f>ELEC!Q29</f>
        <v>0</v>
      </c>
      <c r="AE28" s="73" t="e">
        <f t="shared" si="26"/>
        <v>#DIV/0!</v>
      </c>
      <c r="AF28" s="395" t="e">
        <f t="shared" si="27"/>
        <v>#DIV/0!</v>
      </c>
      <c r="AG28" s="396" t="e">
        <f t="shared" si="28"/>
        <v>#DIV/0!</v>
      </c>
      <c r="AH28" s="396" t="e">
        <f t="shared" si="25"/>
        <v>#DIV/0!</v>
      </c>
      <c r="AI28" s="73">
        <f t="shared" si="29"/>
        <v>0</v>
      </c>
      <c r="AJ28" s="284">
        <f t="shared" si="7"/>
        <v>0.25738396624472576</v>
      </c>
      <c r="AK28" s="284" t="e">
        <f t="shared" si="8"/>
        <v>#DIV/0!</v>
      </c>
    </row>
    <row r="29" spans="1:37" ht="16.5" thickBot="1">
      <c r="A29" s="4">
        <f>ELEC!C30</f>
        <v>44496</v>
      </c>
      <c r="B29" s="519">
        <f t="shared" si="9"/>
        <v>11046</v>
      </c>
      <c r="C29" s="282">
        <f t="shared" si="10"/>
        <v>0</v>
      </c>
      <c r="D29" s="520">
        <f t="shared" si="11"/>
        <v>532516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ok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f t="shared" si="19"/>
        <v>13185</v>
      </c>
      <c r="S29" s="282">
        <f t="shared" si="4"/>
        <v>0</v>
      </c>
      <c r="T29" s="520">
        <f t="shared" si="20"/>
        <v>235744</v>
      </c>
      <c r="U29" s="282">
        <f t="shared" si="21"/>
        <v>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0</v>
      </c>
      <c r="AA29" s="282">
        <f t="shared" si="22"/>
        <v>0</v>
      </c>
      <c r="AB29" s="282">
        <f t="shared" si="23"/>
        <v>250</v>
      </c>
      <c r="AC29" s="282">
        <f t="shared" si="24"/>
        <v>0</v>
      </c>
      <c r="AD29" s="73">
        <f>ELEC!Q30</f>
        <v>0</v>
      </c>
      <c r="AE29" s="73" t="e">
        <f t="shared" si="26"/>
        <v>#DIV/0!</v>
      </c>
      <c r="AF29" s="395" t="e">
        <f t="shared" si="27"/>
        <v>#DIV/0!</v>
      </c>
      <c r="AG29" s="396" t="e">
        <f t="shared" si="28"/>
        <v>#DIV/0!</v>
      </c>
      <c r="AH29" s="396" t="e">
        <f t="shared" si="25"/>
        <v>#DIV/0!</v>
      </c>
      <c r="AI29" s="73">
        <f t="shared" si="29"/>
        <v>0</v>
      </c>
      <c r="AJ29" s="284">
        <f t="shared" si="7"/>
        <v>0.25738396624472576</v>
      </c>
      <c r="AK29" s="284" t="e">
        <f t="shared" si="8"/>
        <v>#DIV/0!</v>
      </c>
    </row>
    <row r="30" spans="1:37" ht="16.5" thickBot="1">
      <c r="A30" s="4">
        <f>ELEC!C31</f>
        <v>44497</v>
      </c>
      <c r="B30" s="519">
        <f t="shared" si="9"/>
        <v>11046</v>
      </c>
      <c r="C30" s="282">
        <f t="shared" si="10"/>
        <v>0</v>
      </c>
      <c r="D30" s="520">
        <f t="shared" si="11"/>
        <v>532516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ok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f t="shared" si="19"/>
        <v>13185</v>
      </c>
      <c r="S30" s="282">
        <f t="shared" si="4"/>
        <v>0</v>
      </c>
      <c r="T30" s="520">
        <f t="shared" si="20"/>
        <v>235744</v>
      </c>
      <c r="U30" s="282">
        <f t="shared" si="21"/>
        <v>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0</v>
      </c>
      <c r="AA30" s="282">
        <f t="shared" si="22"/>
        <v>0</v>
      </c>
      <c r="AB30" s="282">
        <f t="shared" si="23"/>
        <v>250</v>
      </c>
      <c r="AC30" s="282">
        <f t="shared" si="24"/>
        <v>0</v>
      </c>
      <c r="AD30" s="73">
        <f>ELEC!Q31</f>
        <v>0</v>
      </c>
      <c r="AE30" s="73" t="e">
        <f t="shared" si="26"/>
        <v>#DIV/0!</v>
      </c>
      <c r="AF30" s="395" t="e">
        <f t="shared" si="27"/>
        <v>#DIV/0!</v>
      </c>
      <c r="AG30" s="396" t="e">
        <f t="shared" si="28"/>
        <v>#DIV/0!</v>
      </c>
      <c r="AH30" s="396" t="e">
        <f t="shared" si="25"/>
        <v>#DIV/0!</v>
      </c>
      <c r="AI30" s="73">
        <f t="shared" si="29"/>
        <v>0</v>
      </c>
      <c r="AJ30" s="284">
        <f t="shared" si="7"/>
        <v>0.25738396624472576</v>
      </c>
      <c r="AK30" s="284" t="e">
        <f t="shared" si="8"/>
        <v>#DIV/0!</v>
      </c>
    </row>
    <row r="31" spans="1:37" ht="16.5" thickBot="1">
      <c r="A31" s="4">
        <f>ELEC!C32</f>
        <v>44498</v>
      </c>
      <c r="B31" s="519">
        <f t="shared" si="9"/>
        <v>11046</v>
      </c>
      <c r="C31" s="282">
        <f>B31-B30</f>
        <v>0</v>
      </c>
      <c r="D31" s="520">
        <f t="shared" si="11"/>
        <v>532516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ok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13185</v>
      </c>
      <c r="S31" s="282">
        <f>R31-R30</f>
        <v>0</v>
      </c>
      <c r="T31" s="520">
        <f t="shared" si="20"/>
        <v>235744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11046</v>
      </c>
      <c r="C32" s="282">
        <f>B32-B31</f>
        <v>0</v>
      </c>
      <c r="D32" s="520">
        <f t="shared" si="11"/>
        <v>532516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ok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13185</v>
      </c>
      <c r="S32" s="282">
        <f>R32-R31</f>
        <v>0</v>
      </c>
      <c r="T32" s="520">
        <f t="shared" si="20"/>
        <v>235744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11046</v>
      </c>
      <c r="C33" s="282">
        <f>B33-B32</f>
        <v>0</v>
      </c>
      <c r="D33" s="520">
        <f t="shared" si="11"/>
        <v>532516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ok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13185</v>
      </c>
      <c r="S33" s="282">
        <f>R33-R32</f>
        <v>0</v>
      </c>
      <c r="T33" s="520">
        <f t="shared" si="20"/>
        <v>235744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135</v>
      </c>
      <c r="V34" s="40"/>
      <c r="X34">
        <v>341</v>
      </c>
      <c r="Z34" s="413">
        <f>SUM(Z3:Z33)</f>
        <v>135</v>
      </c>
    </row>
    <row r="35" spans="1:37">
      <c r="C35" s="40">
        <f>SUM(C3:C33)</f>
        <v>81</v>
      </c>
      <c r="K35" s="40">
        <f>SUM(K3:K33)</f>
        <v>0</v>
      </c>
      <c r="S35" s="40">
        <f>SUM(S3:S33)</f>
        <v>54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9" zoomScale="85" zoomScaleNormal="85" workbookViewId="0">
      <pane xSplit="1" topLeftCell="AL1" activePane="topRight" state="frozen"/>
      <selection pane="topRight" activeCell="BP28" sqref="BP28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U17" s="3"/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8"/>
      <c r="AU23" s="570"/>
      <c r="AV23" s="500">
        <f t="shared" si="43"/>
        <v>0.59399999999999997</v>
      </c>
      <c r="AW23" s="285">
        <f>-SUM('B5'!AI22)</f>
        <v>-120</v>
      </c>
      <c r="AX23" s="285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6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1712.375527425756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7"/>
        <v>-2265.0806451612953</v>
      </c>
      <c r="AT24" s="348"/>
      <c r="AU24" s="570"/>
      <c r="AV24" s="500">
        <f t="shared" si="43"/>
        <v>0.59399999999999997</v>
      </c>
      <c r="AW24" s="285">
        <f>-SUM('B5'!AI23)</f>
        <v>-127</v>
      </c>
      <c r="AX24" s="285">
        <f t="shared" si="19"/>
        <v>-2138.0806451612953</v>
      </c>
      <c r="AY24" s="37">
        <f t="shared" si="40"/>
        <v>-2265.0806451612953</v>
      </c>
      <c r="AZ24" s="100">
        <f>ELEC!A22</f>
        <v>0</v>
      </c>
      <c r="BA24" s="118">
        <f>'General information '!D23</f>
        <v>24</v>
      </c>
      <c r="BB24" s="386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1535.0379746835295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119</v>
      </c>
      <c r="C25" s="203">
        <f t="shared" si="20"/>
        <v>2560.4193548387098</v>
      </c>
      <c r="D25">
        <f t="shared" si="21"/>
        <v>119</v>
      </c>
      <c r="E25" s="203">
        <f t="shared" si="20"/>
        <v>2560.4193548387098</v>
      </c>
      <c r="F25">
        <f t="shared" si="22"/>
        <v>119</v>
      </c>
      <c r="G25" s="203">
        <f t="shared" si="1"/>
        <v>2560.4193548387098</v>
      </c>
      <c r="H25" s="203">
        <f t="shared" si="23"/>
        <v>119</v>
      </c>
      <c r="I25" s="203">
        <f t="shared" si="2"/>
        <v>2560.4193548387098</v>
      </c>
      <c r="J25" s="203">
        <f t="shared" si="24"/>
        <v>119</v>
      </c>
      <c r="K25" s="203">
        <f t="shared" si="3"/>
        <v>2560.4193548387098</v>
      </c>
      <c r="L25" s="203">
        <f t="shared" si="25"/>
        <v>119</v>
      </c>
      <c r="M25" s="203">
        <f t="shared" si="4"/>
        <v>2560.4193548387098</v>
      </c>
      <c r="N25" s="203">
        <f t="shared" si="26"/>
        <v>119</v>
      </c>
      <c r="O25" s="203">
        <f t="shared" si="5"/>
        <v>2560.4193548387098</v>
      </c>
      <c r="P25" s="203">
        <f t="shared" si="27"/>
        <v>119</v>
      </c>
      <c r="Q25" s="203">
        <f t="shared" si="6"/>
        <v>2560.4193548387098</v>
      </c>
      <c r="R25" s="203">
        <f t="shared" si="28"/>
        <v>119</v>
      </c>
      <c r="S25" s="203">
        <f t="shared" si="7"/>
        <v>2560.4193548387098</v>
      </c>
      <c r="T25" s="203">
        <f t="shared" si="29"/>
        <v>119</v>
      </c>
      <c r="U25" s="203">
        <f t="shared" si="8"/>
        <v>2560.4193548387098</v>
      </c>
      <c r="V25" s="203">
        <f t="shared" si="30"/>
        <v>119</v>
      </c>
      <c r="W25" s="203">
        <f t="shared" si="9"/>
        <v>2560.4193548387098</v>
      </c>
      <c r="X25" s="35">
        <f t="shared" si="10"/>
        <v>0.38387096774193546</v>
      </c>
      <c r="Y25" s="36">
        <f t="shared" si="31"/>
        <v>28164.612903225803</v>
      </c>
      <c r="Z25" s="203">
        <f>'B5'!C24</f>
        <v>126</v>
      </c>
      <c r="AA25" s="203">
        <f t="shared" si="32"/>
        <v>1260</v>
      </c>
      <c r="AB25" s="203">
        <f t="shared" si="33"/>
        <v>126</v>
      </c>
      <c r="AC25" s="203">
        <f t="shared" si="32"/>
        <v>1260</v>
      </c>
      <c r="AD25" s="203">
        <f t="shared" si="34"/>
        <v>126</v>
      </c>
      <c r="AE25" s="203">
        <f t="shared" si="11"/>
        <v>1260</v>
      </c>
      <c r="AF25" s="203">
        <f t="shared" si="35"/>
        <v>126</v>
      </c>
      <c r="AG25" s="203">
        <f t="shared" si="12"/>
        <v>1260</v>
      </c>
      <c r="AH25" s="203">
        <f t="shared" si="36"/>
        <v>126</v>
      </c>
      <c r="AI25" s="203">
        <f t="shared" si="13"/>
        <v>1260</v>
      </c>
      <c r="AJ25" s="203">
        <f t="shared" si="37"/>
        <v>126</v>
      </c>
      <c r="AK25" s="203">
        <f t="shared" si="14"/>
        <v>1260</v>
      </c>
      <c r="AL25" s="203">
        <f t="shared" si="38"/>
        <v>126</v>
      </c>
      <c r="AM25" s="203">
        <f t="shared" si="15"/>
        <v>1260</v>
      </c>
      <c r="AN25" s="35">
        <f t="shared" si="16"/>
        <v>0.45</v>
      </c>
      <c r="AO25" s="36">
        <f t="shared" si="17"/>
        <v>8820</v>
      </c>
      <c r="AQ25" s="223">
        <f t="shared" si="39"/>
        <v>0.3978123362721932</v>
      </c>
      <c r="AR25" s="38">
        <f t="shared" si="45"/>
        <v>36984.612903225803</v>
      </c>
      <c r="AS25" s="197">
        <f t="shared" si="47"/>
        <v>-2146.7419354838639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-2146.7419354838639</v>
      </c>
      <c r="AY25" s="37">
        <f t="shared" si="40"/>
        <v>-2146.7419354838639</v>
      </c>
      <c r="AZ25" s="100">
        <f>ELEC!A23</f>
        <v>0</v>
      </c>
      <c r="BA25" s="118">
        <f>'General information '!D24</f>
        <v>23.5</v>
      </c>
      <c r="BB25" s="386">
        <f>SUM('General information '!E24)</f>
        <v>0.46</v>
      </c>
      <c r="BC25" s="3">
        <f t="shared" si="44"/>
        <v>0</v>
      </c>
      <c r="BD25" s="102">
        <v>19222</v>
      </c>
      <c r="BE25" s="14">
        <f>(305/1185)*ELEC!Q24</f>
        <v>1647.7721518992137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112</v>
      </c>
      <c r="C26" s="203">
        <f t="shared" si="20"/>
        <v>2409.8064516129034</v>
      </c>
      <c r="D26">
        <f t="shared" si="21"/>
        <v>112</v>
      </c>
      <c r="E26" s="203">
        <f t="shared" si="20"/>
        <v>2409.8064516129034</v>
      </c>
      <c r="F26">
        <f t="shared" si="22"/>
        <v>112</v>
      </c>
      <c r="G26" s="203">
        <f t="shared" si="1"/>
        <v>2409.8064516129034</v>
      </c>
      <c r="H26" s="203">
        <f t="shared" si="23"/>
        <v>112</v>
      </c>
      <c r="I26" s="203">
        <f t="shared" si="2"/>
        <v>2409.8064516129034</v>
      </c>
      <c r="J26" s="203">
        <f t="shared" si="24"/>
        <v>112</v>
      </c>
      <c r="K26" s="203">
        <f t="shared" si="3"/>
        <v>2409.8064516129034</v>
      </c>
      <c r="L26" s="203">
        <f t="shared" si="25"/>
        <v>112</v>
      </c>
      <c r="M26" s="203">
        <f t="shared" si="4"/>
        <v>2409.8064516129034</v>
      </c>
      <c r="N26" s="203">
        <f t="shared" si="26"/>
        <v>112</v>
      </c>
      <c r="O26" s="203">
        <f t="shared" si="5"/>
        <v>2409.8064516129034</v>
      </c>
      <c r="P26" s="203">
        <f t="shared" si="27"/>
        <v>112</v>
      </c>
      <c r="Q26" s="203">
        <f t="shared" si="6"/>
        <v>2409.8064516129034</v>
      </c>
      <c r="R26" s="203">
        <f t="shared" si="28"/>
        <v>112</v>
      </c>
      <c r="S26" s="203">
        <f t="shared" si="7"/>
        <v>2409.8064516129034</v>
      </c>
      <c r="T26" s="203">
        <f t="shared" si="29"/>
        <v>112</v>
      </c>
      <c r="U26" s="203">
        <f t="shared" si="8"/>
        <v>2409.8064516129034</v>
      </c>
      <c r="V26" s="203">
        <f t="shared" si="30"/>
        <v>112</v>
      </c>
      <c r="W26" s="203">
        <f t="shared" si="9"/>
        <v>2409.8064516129034</v>
      </c>
      <c r="X26" s="35">
        <f t="shared" si="10"/>
        <v>0.36129032258064514</v>
      </c>
      <c r="Y26" s="36">
        <f t="shared" si="31"/>
        <v>26507.870967741932</v>
      </c>
      <c r="Z26" s="203">
        <f>'B5'!C25</f>
        <v>119</v>
      </c>
      <c r="AA26" s="203">
        <f t="shared" si="32"/>
        <v>1190</v>
      </c>
      <c r="AB26" s="203">
        <f t="shared" si="33"/>
        <v>119</v>
      </c>
      <c r="AC26" s="203">
        <f t="shared" si="32"/>
        <v>1190</v>
      </c>
      <c r="AD26" s="203">
        <f t="shared" si="34"/>
        <v>119</v>
      </c>
      <c r="AE26" s="203">
        <f t="shared" si="11"/>
        <v>1190</v>
      </c>
      <c r="AF26" s="203">
        <f t="shared" si="35"/>
        <v>119</v>
      </c>
      <c r="AG26" s="203">
        <f t="shared" si="12"/>
        <v>1190</v>
      </c>
      <c r="AH26" s="203">
        <f t="shared" si="36"/>
        <v>119</v>
      </c>
      <c r="AI26" s="203">
        <f t="shared" si="13"/>
        <v>1190</v>
      </c>
      <c r="AJ26" s="203">
        <f t="shared" si="37"/>
        <v>119</v>
      </c>
      <c r="AK26" s="203">
        <f t="shared" si="14"/>
        <v>1190</v>
      </c>
      <c r="AL26" s="203">
        <f t="shared" si="38"/>
        <v>119</v>
      </c>
      <c r="AM26" s="203">
        <f t="shared" si="15"/>
        <v>1190</v>
      </c>
      <c r="AN26" s="35">
        <f t="shared" si="16"/>
        <v>0.42499999999999999</v>
      </c>
      <c r="AO26" s="36">
        <f t="shared" si="17"/>
        <v>8330</v>
      </c>
      <c r="AQ26" s="223">
        <f t="shared" si="39"/>
        <v>0.37472164104272271</v>
      </c>
      <c r="AR26" s="38">
        <f t="shared" si="45"/>
        <v>34837.870967741932</v>
      </c>
      <c r="AS26" s="197">
        <f t="shared" si="47"/>
        <v>-2146.7419354838712</v>
      </c>
      <c r="AT26" s="348"/>
      <c r="AU26" s="570"/>
      <c r="AV26" s="500">
        <f t="shared" si="43"/>
        <v>0.59399999999999997</v>
      </c>
      <c r="AW26" s="285">
        <f>-SUM('B5'!AI25)</f>
        <v>-126</v>
      </c>
      <c r="AX26" s="285">
        <f t="shared" si="19"/>
        <v>-2020.7419354838712</v>
      </c>
      <c r="AY26" s="37">
        <f t="shared" si="40"/>
        <v>-2146.7419354838712</v>
      </c>
      <c r="AZ26" s="100">
        <f>ELEC!A24</f>
        <v>0</v>
      </c>
      <c r="BA26" s="118">
        <f>'General information '!D25</f>
        <v>24</v>
      </c>
      <c r="BB26" s="386">
        <f>SUM('General information '!E25)</f>
        <v>0.48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112</v>
      </c>
      <c r="C27" s="203">
        <f t="shared" si="20"/>
        <v>2409.8064516129034</v>
      </c>
      <c r="D27">
        <f t="shared" si="21"/>
        <v>112</v>
      </c>
      <c r="E27" s="203">
        <f t="shared" si="20"/>
        <v>2409.8064516129034</v>
      </c>
      <c r="F27">
        <f t="shared" si="22"/>
        <v>112</v>
      </c>
      <c r="G27" s="203">
        <f t="shared" si="1"/>
        <v>2409.8064516129034</v>
      </c>
      <c r="H27" s="203">
        <f t="shared" si="23"/>
        <v>112</v>
      </c>
      <c r="I27" s="203">
        <f t="shared" si="2"/>
        <v>2409.8064516129034</v>
      </c>
      <c r="J27" s="203">
        <f t="shared" si="24"/>
        <v>112</v>
      </c>
      <c r="K27" s="203">
        <f t="shared" si="3"/>
        <v>2409.8064516129034</v>
      </c>
      <c r="L27" s="203">
        <f t="shared" si="25"/>
        <v>112</v>
      </c>
      <c r="M27" s="203">
        <f t="shared" si="4"/>
        <v>2409.8064516129034</v>
      </c>
      <c r="N27" s="203">
        <f t="shared" si="26"/>
        <v>112</v>
      </c>
      <c r="O27" s="203">
        <f t="shared" si="5"/>
        <v>2409.8064516129034</v>
      </c>
      <c r="P27" s="203">
        <f t="shared" si="27"/>
        <v>112</v>
      </c>
      <c r="Q27" s="203">
        <f t="shared" si="6"/>
        <v>2409.8064516129034</v>
      </c>
      <c r="R27" s="203">
        <f t="shared" si="28"/>
        <v>112</v>
      </c>
      <c r="S27" s="203">
        <f t="shared" si="7"/>
        <v>2409.8064516129034</v>
      </c>
      <c r="T27" s="203">
        <f t="shared" si="29"/>
        <v>112</v>
      </c>
      <c r="U27" s="203">
        <f t="shared" si="8"/>
        <v>2409.8064516129034</v>
      </c>
      <c r="V27" s="203">
        <f t="shared" si="30"/>
        <v>112</v>
      </c>
      <c r="W27" s="203">
        <f t="shared" si="9"/>
        <v>2409.8064516129034</v>
      </c>
      <c r="X27" s="35">
        <f t="shared" si="10"/>
        <v>0.36129032258064514</v>
      </c>
      <c r="Y27" s="36">
        <f t="shared" si="31"/>
        <v>26507.870967741932</v>
      </c>
      <c r="Z27" s="203">
        <f>'B5'!C26</f>
        <v>119</v>
      </c>
      <c r="AA27" s="203">
        <f t="shared" si="32"/>
        <v>1190</v>
      </c>
      <c r="AB27" s="203">
        <f t="shared" si="33"/>
        <v>119</v>
      </c>
      <c r="AC27" s="203">
        <f t="shared" si="32"/>
        <v>1190</v>
      </c>
      <c r="AD27" s="203">
        <f t="shared" si="34"/>
        <v>119</v>
      </c>
      <c r="AE27" s="203">
        <f t="shared" si="11"/>
        <v>1190</v>
      </c>
      <c r="AF27" s="203">
        <f t="shared" si="35"/>
        <v>119</v>
      </c>
      <c r="AG27" s="203">
        <f t="shared" si="12"/>
        <v>1190</v>
      </c>
      <c r="AH27" s="203">
        <f t="shared" si="36"/>
        <v>119</v>
      </c>
      <c r="AI27" s="203">
        <f t="shared" si="13"/>
        <v>1190</v>
      </c>
      <c r="AJ27" s="203">
        <f t="shared" si="37"/>
        <v>119</v>
      </c>
      <c r="AK27" s="203">
        <f t="shared" si="14"/>
        <v>1190</v>
      </c>
      <c r="AL27" s="203">
        <f t="shared" si="38"/>
        <v>119</v>
      </c>
      <c r="AM27" s="203">
        <f t="shared" si="15"/>
        <v>1190</v>
      </c>
      <c r="AN27" s="35">
        <f t="shared" si="16"/>
        <v>0.42499999999999999</v>
      </c>
      <c r="AO27" s="36">
        <f t="shared" si="17"/>
        <v>8330</v>
      </c>
      <c r="AQ27" s="223">
        <f t="shared" si="39"/>
        <v>0.37472164104272271</v>
      </c>
      <c r="AR27" s="38">
        <f t="shared" si="45"/>
        <v>34837.870967741932</v>
      </c>
      <c r="AS27" s="197">
        <f t="shared" si="47"/>
        <v>-10355</v>
      </c>
      <c r="AT27" s="348">
        <v>10355</v>
      </c>
      <c r="AU27" s="570">
        <v>0.66</v>
      </c>
      <c r="AV27" s="500">
        <f t="shared" si="43"/>
        <v>0.66</v>
      </c>
      <c r="AW27" s="285">
        <f>-SUM('B5'!AI26)</f>
        <v>0</v>
      </c>
      <c r="AX27" s="285">
        <f t="shared" si="19"/>
        <v>-10355</v>
      </c>
      <c r="AY27" s="37">
        <f t="shared" si="40"/>
        <v>-10355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112</v>
      </c>
      <c r="C28" s="203">
        <f t="shared" si="20"/>
        <v>2409.8064516129034</v>
      </c>
      <c r="D28">
        <f t="shared" si="21"/>
        <v>112</v>
      </c>
      <c r="E28" s="203">
        <f t="shared" si="20"/>
        <v>2409.8064516129034</v>
      </c>
      <c r="F28">
        <f t="shared" si="22"/>
        <v>112</v>
      </c>
      <c r="G28" s="203">
        <f t="shared" si="1"/>
        <v>2409.8064516129034</v>
      </c>
      <c r="H28" s="203">
        <f t="shared" si="23"/>
        <v>112</v>
      </c>
      <c r="I28" s="203">
        <f t="shared" si="2"/>
        <v>2409.8064516129034</v>
      </c>
      <c r="J28" s="203">
        <f t="shared" si="24"/>
        <v>112</v>
      </c>
      <c r="K28" s="203">
        <f t="shared" si="3"/>
        <v>2409.8064516129034</v>
      </c>
      <c r="L28" s="203">
        <f t="shared" si="25"/>
        <v>112</v>
      </c>
      <c r="M28" s="203">
        <f t="shared" si="4"/>
        <v>2409.8064516129034</v>
      </c>
      <c r="N28" s="203">
        <f t="shared" si="26"/>
        <v>112</v>
      </c>
      <c r="O28" s="203">
        <f t="shared" si="5"/>
        <v>2409.8064516129034</v>
      </c>
      <c r="P28" s="203">
        <f t="shared" si="27"/>
        <v>112</v>
      </c>
      <c r="Q28" s="203">
        <f t="shared" si="6"/>
        <v>2409.8064516129034</v>
      </c>
      <c r="R28" s="203">
        <f t="shared" si="28"/>
        <v>112</v>
      </c>
      <c r="S28" s="203">
        <f t="shared" si="7"/>
        <v>2409.8064516129034</v>
      </c>
      <c r="T28" s="203">
        <f t="shared" si="29"/>
        <v>112</v>
      </c>
      <c r="U28" s="203">
        <f t="shared" si="8"/>
        <v>2409.8064516129034</v>
      </c>
      <c r="V28" s="203">
        <f t="shared" si="30"/>
        <v>112</v>
      </c>
      <c r="W28" s="203">
        <f t="shared" si="9"/>
        <v>2409.8064516129034</v>
      </c>
      <c r="X28" s="35">
        <f t="shared" si="10"/>
        <v>0.36129032258064514</v>
      </c>
      <c r="Y28" s="36">
        <f t="shared" si="31"/>
        <v>26507.870967741932</v>
      </c>
      <c r="Z28" s="203">
        <f>'B5'!C27</f>
        <v>119</v>
      </c>
      <c r="AA28" s="203">
        <f t="shared" si="32"/>
        <v>1190</v>
      </c>
      <c r="AB28" s="203">
        <f t="shared" si="33"/>
        <v>119</v>
      </c>
      <c r="AC28" s="203">
        <f t="shared" si="32"/>
        <v>1190</v>
      </c>
      <c r="AD28" s="203">
        <f t="shared" si="34"/>
        <v>119</v>
      </c>
      <c r="AE28" s="203">
        <f t="shared" si="11"/>
        <v>1190</v>
      </c>
      <c r="AF28" s="203">
        <f t="shared" si="35"/>
        <v>119</v>
      </c>
      <c r="AG28" s="203">
        <f t="shared" si="12"/>
        <v>1190</v>
      </c>
      <c r="AH28" s="203">
        <f t="shared" si="36"/>
        <v>119</v>
      </c>
      <c r="AI28" s="203">
        <f t="shared" si="13"/>
        <v>1190</v>
      </c>
      <c r="AJ28" s="203">
        <f t="shared" si="37"/>
        <v>119</v>
      </c>
      <c r="AK28" s="203">
        <f t="shared" si="14"/>
        <v>1190</v>
      </c>
      <c r="AL28" s="203">
        <f t="shared" si="38"/>
        <v>119</v>
      </c>
      <c r="AM28" s="203">
        <f t="shared" si="15"/>
        <v>1190</v>
      </c>
      <c r="AN28" s="35">
        <f t="shared" si="16"/>
        <v>0.42499999999999999</v>
      </c>
      <c r="AO28" s="36">
        <f t="shared" si="17"/>
        <v>8330</v>
      </c>
      <c r="AQ28" s="223">
        <f t="shared" si="39"/>
        <v>0.37472164104272271</v>
      </c>
      <c r="AR28" s="38">
        <f>Y28+AO28</f>
        <v>34837.870967741932</v>
      </c>
      <c r="AS28" s="197">
        <f t="shared" si="47"/>
        <v>0</v>
      </c>
      <c r="AT28" s="348"/>
      <c r="AU28" s="571"/>
      <c r="AV28" s="500">
        <f t="shared" si="43"/>
        <v>0.66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102.69620253103133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144</v>
      </c>
      <c r="C29" s="203">
        <f t="shared" si="20"/>
        <v>3098.322580645161</v>
      </c>
      <c r="D29">
        <f t="shared" si="21"/>
        <v>144</v>
      </c>
      <c r="E29" s="203">
        <f t="shared" si="20"/>
        <v>3098.322580645161</v>
      </c>
      <c r="F29">
        <f t="shared" si="22"/>
        <v>144</v>
      </c>
      <c r="G29" s="203">
        <f t="shared" si="1"/>
        <v>3098.322580645161</v>
      </c>
      <c r="H29" s="203">
        <f t="shared" si="23"/>
        <v>144</v>
      </c>
      <c r="I29" s="203">
        <f t="shared" si="2"/>
        <v>3098.322580645161</v>
      </c>
      <c r="J29" s="203">
        <f t="shared" si="24"/>
        <v>144</v>
      </c>
      <c r="K29" s="203">
        <f t="shared" si="3"/>
        <v>3098.322580645161</v>
      </c>
      <c r="L29" s="203">
        <f t="shared" si="25"/>
        <v>144</v>
      </c>
      <c r="M29" s="203">
        <f t="shared" si="4"/>
        <v>3098.322580645161</v>
      </c>
      <c r="N29" s="203">
        <f t="shared" si="26"/>
        <v>144</v>
      </c>
      <c r="O29" s="203">
        <f t="shared" si="5"/>
        <v>3098.322580645161</v>
      </c>
      <c r="P29" s="203">
        <f t="shared" si="27"/>
        <v>144</v>
      </c>
      <c r="Q29" s="203">
        <f t="shared" si="6"/>
        <v>3098.322580645161</v>
      </c>
      <c r="R29" s="203">
        <f t="shared" si="28"/>
        <v>144</v>
      </c>
      <c r="S29" s="203">
        <f t="shared" si="7"/>
        <v>3098.322580645161</v>
      </c>
      <c r="T29" s="203">
        <f t="shared" si="29"/>
        <v>144</v>
      </c>
      <c r="U29" s="203">
        <f t="shared" si="8"/>
        <v>3098.322580645161</v>
      </c>
      <c r="V29" s="203">
        <f t="shared" si="30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1"/>
        <v>34081.548387096766</v>
      </c>
      <c r="Z29" s="203">
        <f>'B5'!C28</f>
        <v>151</v>
      </c>
      <c r="AA29" s="203">
        <f t="shared" si="32"/>
        <v>1510</v>
      </c>
      <c r="AB29" s="203">
        <f t="shared" si="33"/>
        <v>151</v>
      </c>
      <c r="AC29" s="203">
        <f t="shared" si="32"/>
        <v>1510</v>
      </c>
      <c r="AD29" s="203">
        <f t="shared" si="34"/>
        <v>151</v>
      </c>
      <c r="AE29" s="203">
        <f t="shared" si="11"/>
        <v>1510</v>
      </c>
      <c r="AF29" s="203">
        <f t="shared" si="35"/>
        <v>151</v>
      </c>
      <c r="AG29" s="203">
        <f t="shared" si="12"/>
        <v>1510</v>
      </c>
      <c r="AH29" s="203">
        <f t="shared" si="36"/>
        <v>151</v>
      </c>
      <c r="AI29" s="203">
        <f t="shared" si="13"/>
        <v>1510</v>
      </c>
      <c r="AJ29" s="203">
        <f t="shared" si="37"/>
        <v>151</v>
      </c>
      <c r="AK29" s="203">
        <f t="shared" si="14"/>
        <v>1510</v>
      </c>
      <c r="AL29" s="203">
        <f t="shared" si="38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39"/>
        <v>0.48027910494887344</v>
      </c>
      <c r="AR29" s="38">
        <f t="shared" si="45"/>
        <v>44651.548387096766</v>
      </c>
      <c r="AS29" s="197">
        <f>SUM(AR29-AR28-AT29)</f>
        <v>9813.6774193548335</v>
      </c>
      <c r="AT29" s="348"/>
      <c r="AU29" s="571"/>
      <c r="AV29" s="500">
        <f t="shared" si="43"/>
        <v>0.66</v>
      </c>
      <c r="AW29" s="285">
        <f>-SUM('B5'!AI28)</f>
        <v>-73</v>
      </c>
      <c r="AX29" s="285">
        <f t="shared" si="19"/>
        <v>9886.6774193548335</v>
      </c>
      <c r="AY29" s="37">
        <f t="shared" si="40"/>
        <v>9813.6774193548335</v>
      </c>
      <c r="AZ29" s="100">
        <f>ELEC!A27</f>
        <v>0</v>
      </c>
      <c r="BA29" s="118">
        <f>'General information '!D28</f>
        <v>23.5</v>
      </c>
      <c r="BB29" s="386">
        <f>SUM('General information '!E28)</f>
        <v>0.61</v>
      </c>
      <c r="BC29" s="3">
        <f t="shared" si="44"/>
        <v>1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144</v>
      </c>
      <c r="C30" s="203">
        <f t="shared" si="20"/>
        <v>3098.322580645161</v>
      </c>
      <c r="D30">
        <f t="shared" ref="D30:D35" si="48">SUM(B30)</f>
        <v>144</v>
      </c>
      <c r="E30" s="203">
        <f t="shared" si="20"/>
        <v>3098.322580645161</v>
      </c>
      <c r="F30">
        <f t="shared" ref="F30:F35" si="49">SUM(D30)</f>
        <v>144</v>
      </c>
      <c r="G30" s="203">
        <f t="shared" si="1"/>
        <v>3098.322580645161</v>
      </c>
      <c r="H30" s="203">
        <f t="shared" ref="H30:H35" si="50">SUM(F30)</f>
        <v>144</v>
      </c>
      <c r="I30" s="203">
        <f t="shared" si="2"/>
        <v>3098.322580645161</v>
      </c>
      <c r="J30" s="203">
        <f t="shared" ref="J30:J35" si="51">SUM(H30)</f>
        <v>144</v>
      </c>
      <c r="K30" s="203">
        <f t="shared" si="3"/>
        <v>3098.322580645161</v>
      </c>
      <c r="L30" s="203">
        <f t="shared" ref="L30:L35" si="52">SUM(J30)</f>
        <v>144</v>
      </c>
      <c r="M30" s="203">
        <f t="shared" si="4"/>
        <v>3098.322580645161</v>
      </c>
      <c r="N30" s="203">
        <f t="shared" ref="N30:N35" si="53">SUM(L30)</f>
        <v>144</v>
      </c>
      <c r="O30" s="203">
        <f t="shared" si="5"/>
        <v>3098.322580645161</v>
      </c>
      <c r="P30" s="203">
        <f t="shared" ref="P30:P35" si="54">SUM(N30)</f>
        <v>144</v>
      </c>
      <c r="Q30" s="203">
        <f t="shared" si="6"/>
        <v>3098.322580645161</v>
      </c>
      <c r="R30" s="203">
        <f t="shared" ref="R30:R35" si="55">SUM(P30)</f>
        <v>144</v>
      </c>
      <c r="S30" s="203">
        <f t="shared" si="7"/>
        <v>3098.322580645161</v>
      </c>
      <c r="T30" s="203">
        <f t="shared" ref="T30:T35" si="56">SUM(R30)</f>
        <v>144</v>
      </c>
      <c r="U30" s="203">
        <f t="shared" si="8"/>
        <v>3098.322580645161</v>
      </c>
      <c r="V30" s="203">
        <f t="shared" ref="V30:V35" si="57">SUM(T30)</f>
        <v>144</v>
      </c>
      <c r="W30" s="203">
        <f t="shared" si="9"/>
        <v>3098.322580645161</v>
      </c>
      <c r="X30" s="35">
        <f t="shared" ref="X30:X35" si="58">SUM(Y30/73370)</f>
        <v>0.46451612903225792</v>
      </c>
      <c r="Y30" s="36">
        <f t="shared" ref="Y30:Y35" si="59">SUM(C30+E30+G30+I30+K30+M30+O30+Q30+S30+U30+W30)</f>
        <v>34081.548387096766</v>
      </c>
      <c r="Z30" s="203">
        <f>'B5'!C29</f>
        <v>151</v>
      </c>
      <c r="AA30" s="203">
        <f t="shared" si="32"/>
        <v>1510</v>
      </c>
      <c r="AB30" s="203">
        <f t="shared" ref="AB30:AB35" si="60">SUM(Z30)</f>
        <v>151</v>
      </c>
      <c r="AC30" s="203">
        <f t="shared" si="32"/>
        <v>1510</v>
      </c>
      <c r="AD30" s="203">
        <f t="shared" ref="AD30:AD35" si="61">SUM(AB30)</f>
        <v>151</v>
      </c>
      <c r="AE30" s="203">
        <f t="shared" si="11"/>
        <v>1510</v>
      </c>
      <c r="AF30" s="203">
        <f t="shared" ref="AF30:AF35" si="62">SUM(AD30)</f>
        <v>151</v>
      </c>
      <c r="AG30" s="203">
        <f t="shared" si="12"/>
        <v>1510</v>
      </c>
      <c r="AH30" s="203">
        <f t="shared" ref="AH30:AH35" si="63">SUM(AF30)</f>
        <v>151</v>
      </c>
      <c r="AI30" s="203">
        <f t="shared" si="13"/>
        <v>1510</v>
      </c>
      <c r="AJ30" s="203">
        <f t="shared" ref="AJ30:AJ35" si="64">SUM(AH30)</f>
        <v>151</v>
      </c>
      <c r="AK30" s="203">
        <f t="shared" si="14"/>
        <v>1510</v>
      </c>
      <c r="AL30" s="203">
        <f t="shared" ref="AL30:AL35" si="65">SUM(AJ30)</f>
        <v>151</v>
      </c>
      <c r="AM30" s="203">
        <f t="shared" si="15"/>
        <v>1510</v>
      </c>
      <c r="AN30" s="35">
        <f t="shared" ref="AN30:AN35" si="66">SUM(AO30/19600)</f>
        <v>0.53928571428571426</v>
      </c>
      <c r="AO30" s="36">
        <f t="shared" ref="AO30:AO35" si="67">SUM(AA30+AC30+AE30+AG30+AI30+AK30+AM30)</f>
        <v>10570</v>
      </c>
      <c r="AQ30" s="223">
        <f t="shared" si="39"/>
        <v>0.48027910494887344</v>
      </c>
      <c r="AR30" s="38">
        <f t="shared" ref="AR30:AR35" si="68">Y30+AO30</f>
        <v>44651.548387096766</v>
      </c>
      <c r="AS30" s="197">
        <f>SUM(AR30-AR29-AT30)</f>
        <v>0</v>
      </c>
      <c r="AT30" s="348"/>
      <c r="AU30" s="571"/>
      <c r="AV30" s="500">
        <f t="shared" si="43"/>
        <v>0.66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'!D29</f>
        <v>0</v>
      </c>
      <c r="BB30" s="38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144</v>
      </c>
      <c r="C31" s="203">
        <f t="shared" si="20"/>
        <v>3098.322580645161</v>
      </c>
      <c r="D31">
        <f t="shared" si="48"/>
        <v>144</v>
      </c>
      <c r="E31" s="203">
        <f t="shared" si="20"/>
        <v>3098.322580645161</v>
      </c>
      <c r="F31">
        <f t="shared" si="49"/>
        <v>144</v>
      </c>
      <c r="G31" s="203">
        <f t="shared" si="1"/>
        <v>3098.322580645161</v>
      </c>
      <c r="H31" s="203">
        <f t="shared" si="50"/>
        <v>144</v>
      </c>
      <c r="I31" s="203">
        <f t="shared" si="2"/>
        <v>3098.322580645161</v>
      </c>
      <c r="J31" s="203">
        <f t="shared" si="51"/>
        <v>144</v>
      </c>
      <c r="K31" s="203">
        <f t="shared" si="3"/>
        <v>3098.322580645161</v>
      </c>
      <c r="L31" s="203">
        <f t="shared" si="52"/>
        <v>144</v>
      </c>
      <c r="M31" s="203">
        <f t="shared" si="4"/>
        <v>3098.322580645161</v>
      </c>
      <c r="N31" s="203">
        <f t="shared" si="53"/>
        <v>144</v>
      </c>
      <c r="O31" s="203">
        <f t="shared" si="5"/>
        <v>3098.322580645161</v>
      </c>
      <c r="P31" s="203">
        <f t="shared" si="54"/>
        <v>144</v>
      </c>
      <c r="Q31" s="203">
        <f t="shared" si="6"/>
        <v>3098.322580645161</v>
      </c>
      <c r="R31" s="203">
        <f t="shared" si="55"/>
        <v>144</v>
      </c>
      <c r="S31" s="203">
        <f t="shared" si="7"/>
        <v>3098.322580645161</v>
      </c>
      <c r="T31" s="203">
        <f t="shared" si="56"/>
        <v>144</v>
      </c>
      <c r="U31" s="203">
        <f t="shared" si="8"/>
        <v>3098.322580645161</v>
      </c>
      <c r="V31" s="203">
        <f t="shared" si="57"/>
        <v>144</v>
      </c>
      <c r="W31" s="203">
        <f t="shared" si="9"/>
        <v>3098.322580645161</v>
      </c>
      <c r="X31" s="35">
        <f t="shared" si="58"/>
        <v>0.46451612903225792</v>
      </c>
      <c r="Y31" s="36">
        <f t="shared" si="59"/>
        <v>34081.548387096766</v>
      </c>
      <c r="Z31" s="203">
        <f>'B5'!C30</f>
        <v>151</v>
      </c>
      <c r="AA31" s="203">
        <f t="shared" si="32"/>
        <v>1510</v>
      </c>
      <c r="AB31" s="203">
        <f t="shared" si="60"/>
        <v>151</v>
      </c>
      <c r="AC31" s="203">
        <f t="shared" si="32"/>
        <v>1510</v>
      </c>
      <c r="AD31" s="203">
        <f t="shared" si="61"/>
        <v>151</v>
      </c>
      <c r="AE31" s="203">
        <f t="shared" si="11"/>
        <v>1510</v>
      </c>
      <c r="AF31" s="203">
        <f t="shared" si="62"/>
        <v>151</v>
      </c>
      <c r="AG31" s="203">
        <f t="shared" si="12"/>
        <v>1510</v>
      </c>
      <c r="AH31" s="203">
        <f t="shared" si="63"/>
        <v>151</v>
      </c>
      <c r="AI31" s="203">
        <f t="shared" si="13"/>
        <v>1510</v>
      </c>
      <c r="AJ31" s="203">
        <f t="shared" si="64"/>
        <v>151</v>
      </c>
      <c r="AK31" s="203">
        <f t="shared" si="14"/>
        <v>1510</v>
      </c>
      <c r="AL31" s="203">
        <f t="shared" si="65"/>
        <v>151</v>
      </c>
      <c r="AM31" s="203">
        <f t="shared" si="15"/>
        <v>1510</v>
      </c>
      <c r="AN31" s="35">
        <f t="shared" si="66"/>
        <v>0.53928571428571426</v>
      </c>
      <c r="AO31" s="36">
        <f t="shared" si="67"/>
        <v>10570</v>
      </c>
      <c r="AQ31" s="223">
        <f t="shared" si="39"/>
        <v>0.48027910494887344</v>
      </c>
      <c r="AR31" s="38">
        <f t="shared" si="68"/>
        <v>44651.548387096766</v>
      </c>
      <c r="AS31" s="197">
        <f t="shared" si="47"/>
        <v>0</v>
      </c>
      <c r="AT31" s="348"/>
      <c r="AU31" s="596"/>
      <c r="AV31" s="500">
        <f t="shared" si="43"/>
        <v>0.66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'!D30</f>
        <v>0</v>
      </c>
      <c r="BB31" s="38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144</v>
      </c>
      <c r="C32" s="203">
        <f t="shared" si="20"/>
        <v>3098.322580645161</v>
      </c>
      <c r="D32">
        <f t="shared" si="48"/>
        <v>144</v>
      </c>
      <c r="E32" s="203">
        <f t="shared" si="20"/>
        <v>3098.322580645161</v>
      </c>
      <c r="F32">
        <f t="shared" si="49"/>
        <v>144</v>
      </c>
      <c r="G32" s="203">
        <f t="shared" si="1"/>
        <v>3098.322580645161</v>
      </c>
      <c r="H32" s="203">
        <f t="shared" si="50"/>
        <v>144</v>
      </c>
      <c r="I32" s="203">
        <f t="shared" si="2"/>
        <v>3098.322580645161</v>
      </c>
      <c r="J32" s="203">
        <f t="shared" si="51"/>
        <v>144</v>
      </c>
      <c r="K32" s="203">
        <f t="shared" si="3"/>
        <v>3098.322580645161</v>
      </c>
      <c r="L32" s="203">
        <f t="shared" si="52"/>
        <v>144</v>
      </c>
      <c r="M32" s="203">
        <f t="shared" si="4"/>
        <v>3098.322580645161</v>
      </c>
      <c r="N32" s="203">
        <f t="shared" si="53"/>
        <v>144</v>
      </c>
      <c r="O32" s="203">
        <f t="shared" si="5"/>
        <v>3098.322580645161</v>
      </c>
      <c r="P32" s="203">
        <f t="shared" si="54"/>
        <v>144</v>
      </c>
      <c r="Q32" s="203">
        <f t="shared" si="6"/>
        <v>3098.322580645161</v>
      </c>
      <c r="R32" s="203">
        <f t="shared" si="55"/>
        <v>144</v>
      </c>
      <c r="S32" s="203">
        <f t="shared" si="7"/>
        <v>3098.322580645161</v>
      </c>
      <c r="T32" s="203">
        <f t="shared" si="56"/>
        <v>144</v>
      </c>
      <c r="U32" s="203">
        <f t="shared" si="8"/>
        <v>3098.322580645161</v>
      </c>
      <c r="V32" s="203">
        <f t="shared" si="57"/>
        <v>144</v>
      </c>
      <c r="W32" s="203">
        <f t="shared" si="9"/>
        <v>3098.322580645161</v>
      </c>
      <c r="X32" s="35">
        <f t="shared" si="58"/>
        <v>0.46451612903225792</v>
      </c>
      <c r="Y32" s="36">
        <f t="shared" si="59"/>
        <v>34081.548387096766</v>
      </c>
      <c r="Z32" s="203">
        <f>'B5'!C31</f>
        <v>151</v>
      </c>
      <c r="AA32" s="203">
        <f t="shared" si="32"/>
        <v>1510</v>
      </c>
      <c r="AB32" s="203">
        <f t="shared" si="60"/>
        <v>151</v>
      </c>
      <c r="AC32" s="203">
        <f t="shared" si="32"/>
        <v>1510</v>
      </c>
      <c r="AD32" s="203">
        <f t="shared" si="61"/>
        <v>151</v>
      </c>
      <c r="AE32" s="203">
        <f t="shared" si="11"/>
        <v>1510</v>
      </c>
      <c r="AF32" s="203">
        <f t="shared" si="62"/>
        <v>151</v>
      </c>
      <c r="AG32" s="203">
        <f t="shared" si="12"/>
        <v>1510</v>
      </c>
      <c r="AH32" s="203">
        <f t="shared" si="63"/>
        <v>151</v>
      </c>
      <c r="AI32" s="203">
        <f t="shared" si="13"/>
        <v>1510</v>
      </c>
      <c r="AJ32" s="203">
        <f t="shared" si="64"/>
        <v>151</v>
      </c>
      <c r="AK32" s="203">
        <f t="shared" si="14"/>
        <v>1510</v>
      </c>
      <c r="AL32" s="203">
        <f t="shared" si="65"/>
        <v>151</v>
      </c>
      <c r="AM32" s="203">
        <f t="shared" si="15"/>
        <v>1510</v>
      </c>
      <c r="AN32" s="35">
        <f t="shared" si="66"/>
        <v>0.53928571428571426</v>
      </c>
      <c r="AO32" s="36">
        <f t="shared" si="67"/>
        <v>10570</v>
      </c>
      <c r="AQ32" s="223">
        <f t="shared" si="39"/>
        <v>0.48027910494887344</v>
      </c>
      <c r="AR32" s="38">
        <f t="shared" si="68"/>
        <v>44651.548387096766</v>
      </c>
      <c r="AS32" s="197">
        <f t="shared" si="47"/>
        <v>0</v>
      </c>
      <c r="AT32" s="348"/>
      <c r="AU32" s="570"/>
      <c r="AV32" s="500">
        <f>IF(AT32&gt;0,AU32,AV31)</f>
        <v>0.66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'!D31</f>
        <v>0</v>
      </c>
      <c r="BB32" s="38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144</v>
      </c>
      <c r="C33" s="203">
        <f t="shared" si="20"/>
        <v>3098.322580645161</v>
      </c>
      <c r="D33">
        <f t="shared" si="48"/>
        <v>144</v>
      </c>
      <c r="E33" s="203">
        <f t="shared" si="20"/>
        <v>3098.322580645161</v>
      </c>
      <c r="F33">
        <f t="shared" si="49"/>
        <v>144</v>
      </c>
      <c r="G33" s="203">
        <f t="shared" si="1"/>
        <v>3098.322580645161</v>
      </c>
      <c r="H33" s="203">
        <f t="shared" si="50"/>
        <v>144</v>
      </c>
      <c r="I33" s="203">
        <f t="shared" si="2"/>
        <v>3098.322580645161</v>
      </c>
      <c r="J33" s="203">
        <f t="shared" si="51"/>
        <v>144</v>
      </c>
      <c r="K33" s="203">
        <f t="shared" si="3"/>
        <v>3098.322580645161</v>
      </c>
      <c r="L33" s="203">
        <f t="shared" si="52"/>
        <v>144</v>
      </c>
      <c r="M33" s="203">
        <f t="shared" si="4"/>
        <v>3098.322580645161</v>
      </c>
      <c r="N33" s="203">
        <f t="shared" si="53"/>
        <v>144</v>
      </c>
      <c r="O33" s="203">
        <f t="shared" si="5"/>
        <v>3098.322580645161</v>
      </c>
      <c r="P33" s="203">
        <f t="shared" si="54"/>
        <v>144</v>
      </c>
      <c r="Q33" s="203">
        <f t="shared" si="6"/>
        <v>3098.322580645161</v>
      </c>
      <c r="R33" s="203">
        <f t="shared" si="55"/>
        <v>144</v>
      </c>
      <c r="S33" s="203">
        <f t="shared" si="7"/>
        <v>3098.322580645161</v>
      </c>
      <c r="T33" s="203">
        <f t="shared" si="56"/>
        <v>144</v>
      </c>
      <c r="U33" s="203">
        <f t="shared" si="8"/>
        <v>3098.322580645161</v>
      </c>
      <c r="V33" s="203">
        <f t="shared" si="57"/>
        <v>144</v>
      </c>
      <c r="W33" s="203">
        <f t="shared" si="9"/>
        <v>3098.322580645161</v>
      </c>
      <c r="X33" s="35">
        <f t="shared" si="58"/>
        <v>0.46451612903225792</v>
      </c>
      <c r="Y33" s="36">
        <f t="shared" si="59"/>
        <v>34081.548387096766</v>
      </c>
      <c r="Z33" s="203">
        <f>'B5'!C32</f>
        <v>151</v>
      </c>
      <c r="AA33" s="203">
        <f t="shared" si="32"/>
        <v>1510</v>
      </c>
      <c r="AB33" s="203">
        <f t="shared" si="60"/>
        <v>151</v>
      </c>
      <c r="AC33" s="203">
        <f t="shared" si="32"/>
        <v>1510</v>
      </c>
      <c r="AD33" s="203">
        <f t="shared" si="61"/>
        <v>151</v>
      </c>
      <c r="AE33" s="203">
        <f t="shared" si="11"/>
        <v>1510</v>
      </c>
      <c r="AF33" s="203">
        <f t="shared" si="62"/>
        <v>151</v>
      </c>
      <c r="AG33" s="203">
        <f t="shared" si="12"/>
        <v>1510</v>
      </c>
      <c r="AH33" s="203">
        <f t="shared" si="63"/>
        <v>151</v>
      </c>
      <c r="AI33" s="203">
        <f t="shared" si="13"/>
        <v>1510</v>
      </c>
      <c r="AJ33" s="203">
        <f t="shared" si="64"/>
        <v>151</v>
      </c>
      <c r="AK33" s="203">
        <f t="shared" si="14"/>
        <v>1510</v>
      </c>
      <c r="AL33" s="203">
        <f t="shared" si="65"/>
        <v>151</v>
      </c>
      <c r="AM33" s="203">
        <f t="shared" si="15"/>
        <v>1510</v>
      </c>
      <c r="AN33" s="35">
        <f t="shared" si="66"/>
        <v>0.53928571428571426</v>
      </c>
      <c r="AO33" s="36">
        <f t="shared" si="67"/>
        <v>10570</v>
      </c>
      <c r="AQ33" s="223">
        <f t="shared" si="39"/>
        <v>0.48027910494887344</v>
      </c>
      <c r="AR33" s="38">
        <f t="shared" si="68"/>
        <v>44651.548387096766</v>
      </c>
      <c r="AS33" s="197">
        <f>SUM(AR33-AR32-AT33)</f>
        <v>0</v>
      </c>
      <c r="AT33" s="348"/>
      <c r="AU33" s="570"/>
      <c r="AV33" s="500">
        <f>IF(AT33&gt;0,AU33,AV32)</f>
        <v>0.66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144</v>
      </c>
      <c r="C34" s="203">
        <f>B34*$B$4</f>
        <v>3098.322580645161</v>
      </c>
      <c r="D34">
        <f t="shared" si="48"/>
        <v>144</v>
      </c>
      <c r="E34" s="203">
        <f>D34*$B$4</f>
        <v>3098.322580645161</v>
      </c>
      <c r="F34">
        <f t="shared" si="49"/>
        <v>144</v>
      </c>
      <c r="G34" s="203">
        <f>F34*$B$4</f>
        <v>3098.322580645161</v>
      </c>
      <c r="H34" s="203">
        <f t="shared" si="50"/>
        <v>144</v>
      </c>
      <c r="I34" s="203">
        <f>H34*$B$4</f>
        <v>3098.322580645161</v>
      </c>
      <c r="J34" s="203">
        <f t="shared" si="51"/>
        <v>144</v>
      </c>
      <c r="K34" s="203">
        <f>J34*$B$4</f>
        <v>3098.322580645161</v>
      </c>
      <c r="L34" s="203">
        <f t="shared" si="52"/>
        <v>144</v>
      </c>
      <c r="M34" s="203">
        <f>L34*$B$4</f>
        <v>3098.322580645161</v>
      </c>
      <c r="N34" s="203">
        <f t="shared" si="53"/>
        <v>144</v>
      </c>
      <c r="O34" s="203">
        <f>N34*$B$4</f>
        <v>3098.322580645161</v>
      </c>
      <c r="P34" s="203">
        <f t="shared" si="54"/>
        <v>144</v>
      </c>
      <c r="Q34" s="203">
        <f>P34*$B$4</f>
        <v>3098.322580645161</v>
      </c>
      <c r="R34" s="203">
        <f t="shared" si="55"/>
        <v>144</v>
      </c>
      <c r="S34" s="203">
        <f>R34*$B$4</f>
        <v>3098.322580645161</v>
      </c>
      <c r="T34" s="203">
        <f t="shared" si="56"/>
        <v>144</v>
      </c>
      <c r="U34" s="203">
        <f>T34*$B$4</f>
        <v>3098.322580645161</v>
      </c>
      <c r="V34" s="203">
        <f t="shared" si="57"/>
        <v>144</v>
      </c>
      <c r="W34" s="203">
        <f>V34*$B$4</f>
        <v>3098.322580645161</v>
      </c>
      <c r="X34" s="35">
        <f t="shared" si="58"/>
        <v>0.46451612903225792</v>
      </c>
      <c r="Y34" s="36">
        <f t="shared" si="59"/>
        <v>34081.548387096766</v>
      </c>
      <c r="Z34" s="203">
        <f>'B5'!C33</f>
        <v>151</v>
      </c>
      <c r="AA34" s="203">
        <f>SUM(Z34*$Z$4)</f>
        <v>1510</v>
      </c>
      <c r="AB34" s="203">
        <f t="shared" si="60"/>
        <v>151</v>
      </c>
      <c r="AC34" s="203">
        <f>SUM(AB34*$Z$4)</f>
        <v>1510</v>
      </c>
      <c r="AD34" s="203">
        <f t="shared" si="61"/>
        <v>151</v>
      </c>
      <c r="AE34" s="203">
        <f>SUM(AD34*$Z$4)</f>
        <v>1510</v>
      </c>
      <c r="AF34" s="203">
        <f t="shared" si="62"/>
        <v>151</v>
      </c>
      <c r="AG34" s="203">
        <f>SUM(AF34*$Z$4)</f>
        <v>1510</v>
      </c>
      <c r="AH34" s="203">
        <f t="shared" si="63"/>
        <v>151</v>
      </c>
      <c r="AI34" s="203">
        <f>SUM(AH34*$Z$4)</f>
        <v>1510</v>
      </c>
      <c r="AJ34" s="203">
        <f t="shared" si="64"/>
        <v>151</v>
      </c>
      <c r="AK34" s="203">
        <f>SUM(AJ34*$Z$4)</f>
        <v>1510</v>
      </c>
      <c r="AL34" s="203">
        <f t="shared" si="65"/>
        <v>151</v>
      </c>
      <c r="AM34" s="203">
        <f>SUM(AL34*$Z$4)</f>
        <v>1510</v>
      </c>
      <c r="AN34" s="35">
        <f t="shared" si="66"/>
        <v>0.53928571428571426</v>
      </c>
      <c r="AO34" s="36">
        <f t="shared" si="67"/>
        <v>10570</v>
      </c>
      <c r="AQ34" s="223">
        <f>SUM(AR34/92970)</f>
        <v>0.48027910494887344</v>
      </c>
      <c r="AR34" s="38">
        <f t="shared" si="68"/>
        <v>44651.548387096766</v>
      </c>
      <c r="AS34" s="197">
        <f t="shared" si="47"/>
        <v>0</v>
      </c>
      <c r="AT34" s="348"/>
      <c r="AU34" s="570"/>
      <c r="AV34" s="500">
        <f>IF(AT34&gt;0,AU34,AV33)</f>
        <v>0.66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144</v>
      </c>
      <c r="C35" s="203">
        <f>B35*$B$4</f>
        <v>3098.322580645161</v>
      </c>
      <c r="D35">
        <f t="shared" si="48"/>
        <v>144</v>
      </c>
      <c r="E35" s="203">
        <f>D35*$B$4</f>
        <v>3098.322580645161</v>
      </c>
      <c r="F35">
        <f t="shared" si="49"/>
        <v>144</v>
      </c>
      <c r="G35" s="203">
        <f>F35*$B$4</f>
        <v>3098.322580645161</v>
      </c>
      <c r="H35" s="203">
        <f t="shared" si="50"/>
        <v>144</v>
      </c>
      <c r="I35" s="203">
        <f>H35*$B$4</f>
        <v>3098.322580645161</v>
      </c>
      <c r="J35" s="203">
        <f t="shared" si="51"/>
        <v>144</v>
      </c>
      <c r="K35" s="203">
        <f>J35*$B$4</f>
        <v>3098.322580645161</v>
      </c>
      <c r="L35" s="203">
        <f t="shared" si="52"/>
        <v>144</v>
      </c>
      <c r="M35" s="203">
        <f>L35*$B$4</f>
        <v>3098.322580645161</v>
      </c>
      <c r="N35" s="203">
        <f t="shared" si="53"/>
        <v>144</v>
      </c>
      <c r="O35" s="203">
        <f>N35*$B$4</f>
        <v>3098.322580645161</v>
      </c>
      <c r="P35" s="203">
        <f t="shared" si="54"/>
        <v>144</v>
      </c>
      <c r="Q35" s="203">
        <f>P35*$B$4</f>
        <v>3098.322580645161</v>
      </c>
      <c r="R35" s="203">
        <f t="shared" si="55"/>
        <v>144</v>
      </c>
      <c r="S35" s="203">
        <f>R35*$B$4</f>
        <v>3098.322580645161</v>
      </c>
      <c r="T35" s="203">
        <f t="shared" si="56"/>
        <v>144</v>
      </c>
      <c r="U35" s="203">
        <f>T35*$B$4</f>
        <v>3098.322580645161</v>
      </c>
      <c r="V35" s="203">
        <f t="shared" si="57"/>
        <v>144</v>
      </c>
      <c r="W35" s="203">
        <f>V35*$B$4</f>
        <v>3098.322580645161</v>
      </c>
      <c r="X35" s="35">
        <f t="shared" si="58"/>
        <v>0.46451612903225792</v>
      </c>
      <c r="Y35" s="36">
        <f t="shared" si="59"/>
        <v>34081.548387096766</v>
      </c>
      <c r="Z35" s="203">
        <f>'B5'!C34</f>
        <v>151</v>
      </c>
      <c r="AA35" s="203">
        <f>SUM(Z35*$Z$4)</f>
        <v>1510</v>
      </c>
      <c r="AB35" s="203">
        <f t="shared" si="60"/>
        <v>151</v>
      </c>
      <c r="AC35" s="203">
        <f>SUM(AB35*$Z$4)</f>
        <v>1510</v>
      </c>
      <c r="AD35" s="203">
        <f t="shared" si="61"/>
        <v>151</v>
      </c>
      <c r="AE35" s="203">
        <f>SUM(AD35*$Z$4)</f>
        <v>1510</v>
      </c>
      <c r="AF35" s="203">
        <f t="shared" si="62"/>
        <v>151</v>
      </c>
      <c r="AG35" s="203">
        <f>SUM(AF35*$Z$4)</f>
        <v>1510</v>
      </c>
      <c r="AH35" s="203">
        <f t="shared" si="63"/>
        <v>151</v>
      </c>
      <c r="AI35" s="203">
        <f>SUM(AH35*$Z$4)</f>
        <v>1510</v>
      </c>
      <c r="AJ35" s="203">
        <f t="shared" si="64"/>
        <v>151</v>
      </c>
      <c r="AK35" s="203">
        <f>SUM(AJ35*$Z$4)</f>
        <v>1510</v>
      </c>
      <c r="AL35" s="203">
        <f t="shared" si="65"/>
        <v>151</v>
      </c>
      <c r="AM35" s="203">
        <f>SUM(AL35*$Z$4)</f>
        <v>1510</v>
      </c>
      <c r="AN35" s="35">
        <f t="shared" si="66"/>
        <v>0.53928571428571426</v>
      </c>
      <c r="AO35" s="36">
        <f t="shared" si="67"/>
        <v>10570</v>
      </c>
      <c r="AQ35" s="223">
        <f>SUM(AR35/92970)</f>
        <v>0.48027910494887344</v>
      </c>
      <c r="AR35" s="38">
        <f t="shared" si="68"/>
        <v>44651.548387096766</v>
      </c>
      <c r="AS35" s="197">
        <f t="shared" si="47"/>
        <v>0</v>
      </c>
      <c r="AT35" s="348"/>
      <c r="AU35" s="570"/>
      <c r="AV35" s="559">
        <f>IF(AT35&gt;0,AU35,AV34)</f>
        <v>0.66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144</v>
      </c>
      <c r="C36" s="203">
        <f>B36*$B$4</f>
        <v>3098.322580645161</v>
      </c>
      <c r="D36">
        <f t="shared" ref="D36" si="69">SUM(B36)</f>
        <v>144</v>
      </c>
      <c r="E36" s="203">
        <f>D36*$B$4</f>
        <v>3098.322580645161</v>
      </c>
      <c r="F36">
        <f t="shared" ref="F36" si="70">SUM(D36)</f>
        <v>144</v>
      </c>
      <c r="G36" s="203">
        <f>F36*$B$4</f>
        <v>3098.322580645161</v>
      </c>
      <c r="H36" s="203">
        <f t="shared" ref="H36" si="71">SUM(F36)</f>
        <v>144</v>
      </c>
      <c r="I36" s="203">
        <f>H36*$B$4</f>
        <v>3098.322580645161</v>
      </c>
      <c r="J36" s="203">
        <f t="shared" ref="J36" si="72">SUM(H36)</f>
        <v>144</v>
      </c>
      <c r="K36" s="203">
        <f>J36*$B$4</f>
        <v>3098.322580645161</v>
      </c>
      <c r="L36" s="203">
        <f t="shared" ref="L36" si="73">SUM(J36)</f>
        <v>144</v>
      </c>
      <c r="M36" s="203">
        <f>L36*$B$4</f>
        <v>3098.322580645161</v>
      </c>
      <c r="N36" s="203">
        <f t="shared" ref="N36" si="74">SUM(L36)</f>
        <v>144</v>
      </c>
      <c r="O36" s="203">
        <f>N36*$B$4</f>
        <v>3098.322580645161</v>
      </c>
      <c r="P36" s="203">
        <f t="shared" ref="P36" si="75">SUM(N36)</f>
        <v>144</v>
      </c>
      <c r="Q36" s="203">
        <f>P36*$B$4</f>
        <v>3098.322580645161</v>
      </c>
      <c r="R36" s="203">
        <f t="shared" ref="R36" si="76">SUM(P36)</f>
        <v>144</v>
      </c>
      <c r="S36" s="203">
        <f>R36*$B$4</f>
        <v>3098.322580645161</v>
      </c>
      <c r="T36" s="203">
        <f t="shared" ref="T36" si="77">SUM(R36)</f>
        <v>144</v>
      </c>
      <c r="U36" s="203">
        <f>T36*$B$4</f>
        <v>3098.322580645161</v>
      </c>
      <c r="V36" s="203">
        <f t="shared" ref="V36" si="78">SUM(T36)</f>
        <v>144</v>
      </c>
      <c r="W36" s="203">
        <f>V36*$B$4</f>
        <v>3098.322580645161</v>
      </c>
      <c r="X36" s="35">
        <f t="shared" ref="X36" si="79">SUM(Y36/73370)</f>
        <v>0.46451612903225792</v>
      </c>
      <c r="Y36" s="36">
        <f t="shared" ref="Y36" si="80">SUM(C36+E36+G36+I36+K36+M36+O36+Q36+S36+U36+W36)</f>
        <v>34081.548387096766</v>
      </c>
      <c r="Z36" s="203">
        <f>'B5'!C35</f>
        <v>151</v>
      </c>
      <c r="AA36" s="203">
        <f>SUM(Z36*$Z$4)</f>
        <v>1510</v>
      </c>
      <c r="AB36" s="203">
        <f t="shared" ref="AB36" si="81">SUM(Z36)</f>
        <v>151</v>
      </c>
      <c r="AC36" s="203">
        <f>SUM(AB36*$Z$4)</f>
        <v>1510</v>
      </c>
      <c r="AD36" s="203">
        <f t="shared" ref="AD36" si="82">SUM(AB36)</f>
        <v>151</v>
      </c>
      <c r="AE36" s="203">
        <f>SUM(AD36*$Z$4)</f>
        <v>1510</v>
      </c>
      <c r="AF36" s="203">
        <f t="shared" ref="AF36" si="83">SUM(AD36)</f>
        <v>151</v>
      </c>
      <c r="AG36" s="203">
        <f>SUM(AF36*$Z$4)</f>
        <v>1510</v>
      </c>
      <c r="AH36" s="203">
        <f t="shared" ref="AH36" si="84">SUM(AF36)</f>
        <v>151</v>
      </c>
      <c r="AI36" s="203">
        <f>SUM(AH36*$Z$4)</f>
        <v>1510</v>
      </c>
      <c r="AJ36" s="203">
        <f t="shared" ref="AJ36" si="85">SUM(AH36)</f>
        <v>151</v>
      </c>
      <c r="AK36" s="203">
        <f>SUM(AJ36*$Z$4)</f>
        <v>1510</v>
      </c>
      <c r="AL36" s="203">
        <f t="shared" ref="AL36" si="86">SUM(AJ36)</f>
        <v>151</v>
      </c>
      <c r="AM36" s="203">
        <f>SUM(AL36*$Z$4)</f>
        <v>1510</v>
      </c>
      <c r="AN36" s="35">
        <f t="shared" ref="AN36" si="87">SUM(AO36/19600)</f>
        <v>0.53928571428571426</v>
      </c>
      <c r="AO36" s="36">
        <f t="shared" ref="AO36" si="88">SUM(AA36+AC36+AE36+AG36+AI36+AK36+AM36)</f>
        <v>10570</v>
      </c>
      <c r="AQ36" s="223">
        <f>SUM(AR36/92970)</f>
        <v>0.48027910494887344</v>
      </c>
      <c r="AR36" s="38">
        <f t="shared" si="45"/>
        <v>44651.548387096766</v>
      </c>
      <c r="AS36" s="197">
        <f t="shared" si="47"/>
        <v>0</v>
      </c>
      <c r="AT36" s="348"/>
      <c r="AU36" s="570"/>
      <c r="AV36" s="559">
        <f>IF(AT36&gt;0,AU36,AV35)</f>
        <v>0.66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3</v>
      </c>
      <c r="AT37" s="203">
        <f>SUM(AT6:AT36)</f>
        <v>24735</v>
      </c>
      <c r="AU37" s="566">
        <f>SUM(AU6:AU36)/AS37</f>
        <v>0.62300000000000011</v>
      </c>
      <c r="AX37" s="203">
        <f>SUM(AX6:AX36)</f>
        <v>-24363.354838709689</v>
      </c>
      <c r="AY37" s="203">
        <f>SUM(AY6:AY36)</f>
        <v>-25348.354838709689</v>
      </c>
    </row>
    <row r="38" spans="1:60">
      <c r="AS38" s="206"/>
      <c r="AT38" s="82">
        <f>+AT37*AU37</f>
        <v>15409.905000000002</v>
      </c>
    </row>
    <row r="40" spans="1:60">
      <c r="AS40" s="165">
        <f>SUM(AS6:AS36)/'EDl log'!A35</f>
        <v>-6337.0887096774222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-0.56254715737397976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24" zoomScale="70" zoomScaleNormal="70" workbookViewId="0">
      <selection activeCell="A24" sqref="A24:XFD2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3115.0000000000005</v>
      </c>
      <c r="R4" s="292">
        <f>SUM(P4:Q4)</f>
        <v>3269.8030385705883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2"/>
      <c r="AC4" s="673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6"/>
      <c r="W5" s="667"/>
      <c r="X5" s="667"/>
      <c r="Y5" s="668"/>
      <c r="Z5" s="26" t="s">
        <v>202</v>
      </c>
      <c r="AA5" s="260">
        <f>'[7]EDl log'!AA22</f>
        <v>5000</v>
      </c>
      <c r="AB5" s="674"/>
      <c r="AC5" s="675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-2152.1233548387063</v>
      </c>
      <c r="R6" s="292">
        <f t="shared" si="13"/>
        <v>-1997.3203162681184</v>
      </c>
      <c r="S6" s="294">
        <f>SUM(ELEC!N6)</f>
        <v>6878</v>
      </c>
      <c r="T6" s="329">
        <f t="shared" ref="T6:T30" si="16">IF(S6&gt;0,R6/S6,0)</f>
        <v>-0.29039260195814459</v>
      </c>
      <c r="V6" s="669"/>
      <c r="W6" s="670"/>
      <c r="X6" s="670"/>
      <c r="Y6" s="671"/>
      <c r="Z6" s="3"/>
      <c r="AA6" s="3"/>
      <c r="AB6" s="674"/>
      <c r="AC6" s="675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616.7900967741931</v>
      </c>
      <c r="R7" s="292">
        <f t="shared" si="13"/>
        <v>848.90258808109945</v>
      </c>
      <c r="S7" s="294">
        <f>SUM(ELEC!N7)</f>
        <v>2392</v>
      </c>
      <c r="T7" s="329">
        <f t="shared" si="16"/>
        <v>0.35489238632152986</v>
      </c>
      <c r="V7" s="662" t="s">
        <v>203</v>
      </c>
      <c r="W7" s="663"/>
      <c r="X7" s="664" t="s">
        <v>204</v>
      </c>
      <c r="Y7" s="665"/>
      <c r="Z7" s="663"/>
      <c r="AA7" s="26"/>
      <c r="AB7" s="676"/>
      <c r="AC7" s="677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1418.8322580645133</v>
      </c>
      <c r="R8" s="292">
        <f t="shared" si="13"/>
        <v>1573.6352966351012</v>
      </c>
      <c r="S8" s="294">
        <f>SUM(ELEC!N8)</f>
        <v>6443</v>
      </c>
      <c r="T8" s="329">
        <f>IF(S8&gt;0,R8/S8,0)</f>
        <v>0.24423953075199459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1464.9342580645177</v>
      </c>
      <c r="R9" s="292">
        <f>SUM(P9:Q9)</f>
        <v>1619.7372966351056</v>
      </c>
      <c r="S9" s="294">
        <f>SUM(ELEC!N9)</f>
        <v>7683</v>
      </c>
      <c r="T9" s="329">
        <f t="shared" si="16"/>
        <v>0.21082094190226547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1361.717225806452</v>
      </c>
      <c r="R10" s="292">
        <f t="shared" si="13"/>
        <v>1516.5202643770399</v>
      </c>
      <c r="S10" s="294">
        <f>SUM(ELEC!N10)</f>
        <v>5566</v>
      </c>
      <c r="T10" s="329">
        <f t="shared" si="16"/>
        <v>0.27246142011804525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1080.3221935483907</v>
      </c>
      <c r="R13" s="292">
        <f t="shared" si="13"/>
        <v>1278.5773050874695</v>
      </c>
      <c r="S13" s="294">
        <f>SUM(ELEC!N13)</f>
        <v>6438</v>
      </c>
      <c r="T13" s="329">
        <f>IF(S13&gt;0,R13/S13,0)</f>
        <v>0.19859852517668058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601.63712903224985</v>
      </c>
      <c r="R14" s="292">
        <f>SUM(P14:Q14)</f>
        <v>756.44016760283773</v>
      </c>
      <c r="S14" s="294">
        <f>SUM(ELEC!N14)</f>
        <v>7769</v>
      </c>
      <c r="T14" s="329">
        <f>IF(S14&gt;0,R14/S14,0)</f>
        <v>9.7366478002682166E-2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1497.9532580645268</v>
      </c>
      <c r="R15" s="292">
        <f>SUM(P15:Q15)</f>
        <v>1652.7562966351147</v>
      </c>
      <c r="S15" s="294">
        <f>SUM(ELEC!N15)</f>
        <v>6157</v>
      </c>
      <c r="T15" s="329">
        <f>IF(S15&gt;0,R15/S15,0)</f>
        <v>0.26843532509909285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3381</v>
      </c>
      <c r="T16" s="329">
        <f>IF(S16&gt;0,R16/S16,0)</f>
        <v>4.5786169349478829E-2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v>1097886</v>
      </c>
      <c r="C21" s="260">
        <f t="shared" si="0"/>
        <v>400</v>
      </c>
      <c r="D21" s="302">
        <f t="shared" si="14"/>
        <v>400</v>
      </c>
      <c r="E21" s="302">
        <f t="shared" si="15"/>
        <v>1097886</v>
      </c>
      <c r="F21" s="626">
        <f t="shared" si="8"/>
        <v>159394</v>
      </c>
      <c r="G21" s="160">
        <f t="shared" si="1"/>
        <v>0</v>
      </c>
      <c r="H21" s="626">
        <v>539318</v>
      </c>
      <c r="I21" s="161">
        <f t="shared" si="2"/>
        <v>312</v>
      </c>
      <c r="J21" s="626">
        <v>399173</v>
      </c>
      <c r="K21" s="162">
        <f t="shared" si="3"/>
        <v>88</v>
      </c>
      <c r="L21" s="291">
        <f t="shared" si="17"/>
        <v>0</v>
      </c>
      <c r="M21" s="291">
        <f t="shared" si="18"/>
        <v>23.180099502487561</v>
      </c>
      <c r="N21" s="291">
        <f t="shared" si="19"/>
        <v>4.669983416252073</v>
      </c>
      <c r="O21" s="291">
        <f t="shared" si="11"/>
        <v>154.80303857058792</v>
      </c>
      <c r="P21" s="292">
        <f t="shared" si="12"/>
        <v>182.65312148932756</v>
      </c>
      <c r="Q21" s="292">
        <f>SUM(-tanks!AX23*tanks!$AU$37)</f>
        <v>1953.1753387096758</v>
      </c>
      <c r="R21" s="292">
        <f t="shared" si="13"/>
        <v>2135.8284601990035</v>
      </c>
      <c r="S21" s="294">
        <f>SUM(ELEC!N21)</f>
        <v>9746</v>
      </c>
      <c r="T21" s="329">
        <f t="shared" si="16"/>
        <v>0.21914923663031025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2"/>
      <c r="AC21" s="673"/>
    </row>
    <row r="22" spans="1:32" ht="20.100000000000001" customHeight="1">
      <c r="A22" s="163">
        <f>ELEC!C22</f>
        <v>44488</v>
      </c>
      <c r="B22" s="626">
        <f t="shared" si="7"/>
        <v>1097886</v>
      </c>
      <c r="C22" s="260">
        <f t="shared" si="0"/>
        <v>0</v>
      </c>
      <c r="D22" s="302">
        <f t="shared" si="14"/>
        <v>0</v>
      </c>
      <c r="E22" s="302">
        <f t="shared" si="15"/>
        <v>1097886</v>
      </c>
      <c r="F22" s="626">
        <f t="shared" si="8"/>
        <v>159394</v>
      </c>
      <c r="G22" s="160">
        <f t="shared" si="1"/>
        <v>0</v>
      </c>
      <c r="H22" s="626">
        <f t="shared" si="9"/>
        <v>539318</v>
      </c>
      <c r="I22" s="161">
        <f t="shared" si="2"/>
        <v>0</v>
      </c>
      <c r="J22" s="626">
        <f t="shared" si="10"/>
        <v>399173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1332.0242419354872</v>
      </c>
      <c r="R22" s="292">
        <f t="shared" si="13"/>
        <v>1486.8272805060751</v>
      </c>
      <c r="S22" s="294">
        <f>SUM(ELEC!N22)</f>
        <v>6669</v>
      </c>
      <c r="T22" s="329">
        <f t="shared" si="16"/>
        <v>0.22294606095457717</v>
      </c>
      <c r="V22" s="678"/>
      <c r="W22" s="679"/>
      <c r="X22" s="679"/>
      <c r="Y22" s="680"/>
      <c r="Z22" s="26" t="s">
        <v>202</v>
      </c>
      <c r="AA22" s="26">
        <v>5000</v>
      </c>
      <c r="AB22" s="674"/>
      <c r="AC22" s="675"/>
    </row>
    <row r="23" spans="1:32" ht="20.100000000000001" customHeight="1">
      <c r="A23" s="163">
        <f>ELEC!C23</f>
        <v>44489</v>
      </c>
      <c r="B23" s="626">
        <v>1098106</v>
      </c>
      <c r="C23" s="260">
        <f t="shared" si="0"/>
        <v>220</v>
      </c>
      <c r="D23" s="302">
        <f t="shared" si="14"/>
        <v>221</v>
      </c>
      <c r="E23" s="302">
        <f t="shared" si="15"/>
        <v>1098107</v>
      </c>
      <c r="F23" s="626">
        <v>159394</v>
      </c>
      <c r="G23" s="160">
        <f t="shared" si="1"/>
        <v>0</v>
      </c>
      <c r="H23" s="626">
        <v>539446</v>
      </c>
      <c r="I23" s="161">
        <f t="shared" si="2"/>
        <v>128</v>
      </c>
      <c r="J23" s="626">
        <v>399266</v>
      </c>
      <c r="K23" s="162">
        <f t="shared" si="3"/>
        <v>93</v>
      </c>
      <c r="L23" s="291">
        <f t="shared" si="17"/>
        <v>0</v>
      </c>
      <c r="M23" s="291">
        <f t="shared" si="18"/>
        <v>9.5097844112769483</v>
      </c>
      <c r="N23" s="291">
        <f t="shared" si="19"/>
        <v>4.9353233830845769</v>
      </c>
      <c r="O23" s="291">
        <f t="shared" si="11"/>
        <v>154.80303857058792</v>
      </c>
      <c r="P23" s="292">
        <f t="shared" si="12"/>
        <v>169.24814636494943</v>
      </c>
      <c r="Q23" s="292">
        <f>SUM(-tanks!AX25*tanks!$AU$37)</f>
        <v>1337.4202258064474</v>
      </c>
      <c r="R23" s="292">
        <f t="shared" si="13"/>
        <v>1506.6683721713969</v>
      </c>
      <c r="S23" s="294">
        <f>SUM(ELEC!N23)</f>
        <v>5877</v>
      </c>
      <c r="T23" s="329">
        <f t="shared" si="16"/>
        <v>0.25636691716375648</v>
      </c>
      <c r="V23" s="681"/>
      <c r="W23" s="682"/>
      <c r="X23" s="682"/>
      <c r="Y23" s="683"/>
      <c r="Z23" s="684"/>
      <c r="AA23" s="685"/>
      <c r="AB23" s="674"/>
      <c r="AC23" s="675"/>
    </row>
    <row r="24" spans="1:32" ht="20.100000000000001" customHeight="1">
      <c r="A24" s="163">
        <f>ELEC!C24</f>
        <v>44490</v>
      </c>
      <c r="B24" s="626">
        <f t="shared" si="7"/>
        <v>1098106</v>
      </c>
      <c r="C24" s="260">
        <f t="shared" si="0"/>
        <v>0</v>
      </c>
      <c r="D24" s="302">
        <f t="shared" si="14"/>
        <v>0</v>
      </c>
      <c r="E24" s="302">
        <f t="shared" si="15"/>
        <v>1098106</v>
      </c>
      <c r="F24" s="626">
        <f t="shared" si="8"/>
        <v>159394</v>
      </c>
      <c r="G24" s="160">
        <f t="shared" si="1"/>
        <v>0</v>
      </c>
      <c r="H24" s="626">
        <f t="shared" si="9"/>
        <v>539446</v>
      </c>
      <c r="I24" s="161">
        <f t="shared" si="2"/>
        <v>0</v>
      </c>
      <c r="J24" s="626">
        <f t="shared" si="10"/>
        <v>399266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1258.9222258064519</v>
      </c>
      <c r="R24" s="292">
        <f t="shared" si="13"/>
        <v>1413.7252643770398</v>
      </c>
      <c r="S24" s="294">
        <f>SUM(ELEC!N24)</f>
        <v>6112</v>
      </c>
      <c r="T24" s="329">
        <f t="shared" si="16"/>
        <v>0.23130321733917536</v>
      </c>
      <c r="V24" s="686" t="s">
        <v>203</v>
      </c>
      <c r="W24" s="687"/>
      <c r="X24" s="688" t="s">
        <v>204</v>
      </c>
      <c r="Y24" s="689"/>
      <c r="Z24" s="690"/>
      <c r="AA24" s="170"/>
      <c r="AB24" s="676"/>
      <c r="AC24" s="677"/>
    </row>
    <row r="25" spans="1:32" ht="20.100000000000001" customHeight="1">
      <c r="A25" s="163">
        <f>ELEC!C25</f>
        <v>44491</v>
      </c>
      <c r="B25" s="626">
        <f t="shared" si="7"/>
        <v>1098106</v>
      </c>
      <c r="C25" s="260">
        <f t="shared" si="0"/>
        <v>0</v>
      </c>
      <c r="D25" s="302">
        <f t="shared" si="14"/>
        <v>0</v>
      </c>
      <c r="E25" s="302">
        <f t="shared" si="15"/>
        <v>1098106</v>
      </c>
      <c r="F25" s="626">
        <f t="shared" si="8"/>
        <v>159394</v>
      </c>
      <c r="G25" s="160">
        <f t="shared" si="1"/>
        <v>0</v>
      </c>
      <c r="H25" s="626">
        <f t="shared" si="9"/>
        <v>539446</v>
      </c>
      <c r="I25" s="161">
        <f t="shared" si="2"/>
        <v>0</v>
      </c>
      <c r="J25" s="626">
        <f t="shared" si="10"/>
        <v>399266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6451.1650000000009</v>
      </c>
      <c r="R25" s="292">
        <f t="shared" si="13"/>
        <v>6605.9680385705888</v>
      </c>
      <c r="S25" s="294">
        <f>SUM(ELEC!N25)</f>
        <v>0</v>
      </c>
      <c r="T25" s="329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1098106</v>
      </c>
      <c r="C26" s="260">
        <f t="shared" si="0"/>
        <v>0</v>
      </c>
      <c r="D26" s="302">
        <f t="shared" si="14"/>
        <v>0</v>
      </c>
      <c r="E26" s="302">
        <f t="shared" si="15"/>
        <v>1098106</v>
      </c>
      <c r="F26" s="626">
        <f t="shared" si="8"/>
        <v>159394</v>
      </c>
      <c r="G26" s="160">
        <f t="shared" si="1"/>
        <v>0</v>
      </c>
      <c r="H26" s="626">
        <f t="shared" si="9"/>
        <v>539446</v>
      </c>
      <c r="I26" s="161">
        <f t="shared" si="2"/>
        <v>0</v>
      </c>
      <c r="J26" s="626">
        <f t="shared" si="10"/>
        <v>399266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399266</v>
      </c>
      <c r="X26" s="172" t="s">
        <v>199</v>
      </c>
      <c r="Y26" s="172">
        <v>80</v>
      </c>
      <c r="Z26" s="172">
        <v>1</v>
      </c>
      <c r="AA26" s="331">
        <f>(W26-V26)*Z26</f>
        <v>371</v>
      </c>
      <c r="AB26" s="331">
        <f>AA26*Y26</f>
        <v>29680</v>
      </c>
      <c r="AC26" s="245">
        <f>AC9</f>
        <v>1033333</v>
      </c>
      <c r="AD26" s="488">
        <f>SUM(K36)</f>
        <v>0.16151501959077058</v>
      </c>
    </row>
    <row r="27" spans="1:32" ht="20.100000000000001" customHeight="1">
      <c r="A27" s="163">
        <f>ELEC!C27</f>
        <v>44493</v>
      </c>
      <c r="B27" s="626">
        <f t="shared" si="7"/>
        <v>1098106</v>
      </c>
      <c r="C27" s="260">
        <f t="shared" si="0"/>
        <v>0</v>
      </c>
      <c r="D27" s="302">
        <f t="shared" si="14"/>
        <v>0</v>
      </c>
      <c r="E27" s="302">
        <f t="shared" si="15"/>
        <v>1098106</v>
      </c>
      <c r="F27" s="626">
        <f t="shared" si="8"/>
        <v>159394</v>
      </c>
      <c r="G27" s="160">
        <f t="shared" si="1"/>
        <v>0</v>
      </c>
      <c r="H27" s="626">
        <f t="shared" si="9"/>
        <v>539446</v>
      </c>
      <c r="I27" s="161">
        <f t="shared" si="2"/>
        <v>0</v>
      </c>
      <c r="J27" s="626">
        <f t="shared" si="10"/>
        <v>399266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-6159.4000322580623</v>
      </c>
      <c r="R27" s="292">
        <f t="shared" si="13"/>
        <v>-6004.5969936874744</v>
      </c>
      <c r="S27" s="294">
        <f>SUM(ELEC!N27)</f>
        <v>6220</v>
      </c>
      <c r="T27" s="329">
        <f t="shared" si="16"/>
        <v>-0.96536929158962614</v>
      </c>
      <c r="V27" s="250">
        <f>W10</f>
        <v>537522</v>
      </c>
      <c r="W27" s="170">
        <f>H33</f>
        <v>539446</v>
      </c>
      <c r="X27" s="172" t="s">
        <v>212</v>
      </c>
      <c r="Y27" s="172">
        <v>112</v>
      </c>
      <c r="Z27" s="172">
        <v>1</v>
      </c>
      <c r="AA27" s="331">
        <f>(W27-V27)*Z27</f>
        <v>1924</v>
      </c>
      <c r="AB27" s="331">
        <f>SUM(AA27*Y27)</f>
        <v>215488</v>
      </c>
      <c r="AC27" s="245">
        <f>AC10</f>
        <v>6200000</v>
      </c>
      <c r="AD27" s="488">
        <f>SUM(I36)</f>
        <v>0.83761427949499345</v>
      </c>
    </row>
    <row r="28" spans="1:32" ht="20.100000000000001" customHeight="1">
      <c r="A28" s="163">
        <f>ELEC!C28</f>
        <v>44494</v>
      </c>
      <c r="B28" s="626">
        <f t="shared" si="7"/>
        <v>1098106</v>
      </c>
      <c r="C28" s="260">
        <f t="shared" si="0"/>
        <v>0</v>
      </c>
      <c r="D28" s="302">
        <f t="shared" si="14"/>
        <v>0</v>
      </c>
      <c r="E28" s="302">
        <f>B27+D28</f>
        <v>1098106</v>
      </c>
      <c r="F28" s="626">
        <f t="shared" si="8"/>
        <v>159394</v>
      </c>
      <c r="G28" s="160">
        <f t="shared" si="1"/>
        <v>0</v>
      </c>
      <c r="H28" s="626">
        <f t="shared" si="9"/>
        <v>539446</v>
      </c>
      <c r="I28" s="161">
        <f t="shared" si="2"/>
        <v>0</v>
      </c>
      <c r="J28" s="626">
        <f t="shared" si="10"/>
        <v>399266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0</v>
      </c>
      <c r="R28" s="292">
        <f t="shared" si="13"/>
        <v>154.80303857058792</v>
      </c>
      <c r="S28" s="294">
        <f>SUM(ELEC!N28)</f>
        <v>0</v>
      </c>
      <c r="T28" s="329">
        <f t="shared" si="16"/>
        <v>0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8.7070091423595991E-4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f t="shared" si="7"/>
        <v>1098106</v>
      </c>
      <c r="C29" s="260">
        <f t="shared" si="0"/>
        <v>0</v>
      </c>
      <c r="D29" s="302">
        <f t="shared" si="14"/>
        <v>0</v>
      </c>
      <c r="E29" s="302">
        <f>B28+D29</f>
        <v>1098106</v>
      </c>
      <c r="F29" s="626">
        <f t="shared" si="8"/>
        <v>159394</v>
      </c>
      <c r="G29" s="160">
        <f t="shared" si="1"/>
        <v>0</v>
      </c>
      <c r="H29" s="626">
        <f t="shared" si="9"/>
        <v>539446</v>
      </c>
      <c r="I29" s="161">
        <f t="shared" si="2"/>
        <v>0</v>
      </c>
      <c r="J29" s="626">
        <f t="shared" si="10"/>
        <v>399266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11"/>
        <v>154.80303857058792</v>
      </c>
      <c r="P29" s="292">
        <f t="shared" si="12"/>
        <v>154.80303857058792</v>
      </c>
      <c r="Q29" s="292">
        <f>SUM(-tanks!AX31*tanks!$AU$37)</f>
        <v>0</v>
      </c>
      <c r="R29" s="292">
        <f t="shared" si="13"/>
        <v>154.80303857058792</v>
      </c>
      <c r="S29" s="294">
        <f>SUM(ELEC!N29)</f>
        <v>0</v>
      </c>
      <c r="T29" s="329">
        <f t="shared" si="16"/>
        <v>0</v>
      </c>
      <c r="V29" s="213"/>
      <c r="W29" s="214"/>
      <c r="X29" s="214"/>
      <c r="Y29" s="215"/>
      <c r="Z29" s="3"/>
      <c r="AA29" s="331">
        <f>SUM(AA26:AA28)</f>
        <v>2297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1098106</v>
      </c>
      <c r="C30" s="260">
        <f t="shared" si="0"/>
        <v>0</v>
      </c>
      <c r="D30" s="302">
        <f t="shared" si="14"/>
        <v>0</v>
      </c>
      <c r="E30" s="302">
        <f t="shared" si="15"/>
        <v>1098106</v>
      </c>
      <c r="F30" s="626">
        <f t="shared" si="8"/>
        <v>159394</v>
      </c>
      <c r="G30" s="160">
        <f t="shared" si="1"/>
        <v>0</v>
      </c>
      <c r="H30" s="626">
        <f t="shared" si="9"/>
        <v>539446</v>
      </c>
      <c r="I30" s="161">
        <f t="shared" si="2"/>
        <v>0</v>
      </c>
      <c r="J30" s="626">
        <f t="shared" si="10"/>
        <v>399266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0</v>
      </c>
      <c r="R30" s="292">
        <f t="shared" si="13"/>
        <v>154.80303857058792</v>
      </c>
      <c r="S30" s="294">
        <f>SUM(ELEC!N30)</f>
        <v>0</v>
      </c>
      <c r="T30" s="329">
        <f t="shared" si="16"/>
        <v>0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245808</v>
      </c>
      <c r="AC30" s="245"/>
    </row>
    <row r="31" spans="1:32" ht="20.100000000000001" customHeight="1">
      <c r="A31" s="163">
        <f>ELEC!C31</f>
        <v>44497</v>
      </c>
      <c r="B31" s="626">
        <f t="shared" si="7"/>
        <v>1098106</v>
      </c>
      <c r="C31" s="260">
        <f>SUM(B31-B30)</f>
        <v>0</v>
      </c>
      <c r="D31" s="302">
        <f t="shared" si="14"/>
        <v>0</v>
      </c>
      <c r="E31" s="302">
        <f>B30+D31</f>
        <v>1098106</v>
      </c>
      <c r="F31" s="626">
        <f t="shared" si="8"/>
        <v>159394</v>
      </c>
      <c r="G31" s="160">
        <f>F31-F30</f>
        <v>0</v>
      </c>
      <c r="H31" s="626">
        <f t="shared" si="9"/>
        <v>539446</v>
      </c>
      <c r="I31" s="161">
        <f>H31-H30</f>
        <v>0</v>
      </c>
      <c r="J31" s="626">
        <f t="shared" si="10"/>
        <v>399266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29">
        <f>IF(S31&gt;0,R31/S31,0)</f>
        <v>0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1098106</v>
      </c>
      <c r="C32" s="260">
        <f>SUM(B32-B31)</f>
        <v>0</v>
      </c>
      <c r="D32" s="302">
        <f t="shared" si="14"/>
        <v>0</v>
      </c>
      <c r="E32" s="302">
        <f>B31+D32</f>
        <v>1098106</v>
      </c>
      <c r="F32" s="626">
        <f t="shared" si="8"/>
        <v>159394</v>
      </c>
      <c r="G32" s="160">
        <f>F32-F31</f>
        <v>0</v>
      </c>
      <c r="H32" s="626">
        <f t="shared" si="9"/>
        <v>539446</v>
      </c>
      <c r="I32" s="161">
        <f>H32-H31</f>
        <v>0</v>
      </c>
      <c r="J32" s="626">
        <f t="shared" si="10"/>
        <v>399266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1098106</v>
      </c>
      <c r="C33" s="260">
        <f>SUM(B33-B32)</f>
        <v>0</v>
      </c>
      <c r="D33" s="302">
        <f t="shared" si="14"/>
        <v>0</v>
      </c>
      <c r="E33" s="302">
        <f>B32+D33</f>
        <v>1098106</v>
      </c>
      <c r="F33" s="626">
        <f t="shared" si="8"/>
        <v>159394</v>
      </c>
      <c r="G33" s="160">
        <f>F33-F32</f>
        <v>0</v>
      </c>
      <c r="H33" s="626">
        <f t="shared" si="9"/>
        <v>539446</v>
      </c>
      <c r="I33" s="161">
        <f>H33-H32</f>
        <v>0</v>
      </c>
      <c r="J33" s="626">
        <f t="shared" si="10"/>
        <v>399266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135</v>
      </c>
      <c r="X33" s="222">
        <f>SUM(W33/A35)</f>
        <v>33.75</v>
      </c>
      <c r="Y33" s="256">
        <f>SUM(X33/1)</f>
        <v>33.75</v>
      </c>
      <c r="Z33" s="3"/>
      <c r="AA33" s="3"/>
      <c r="AB33" s="521">
        <f>SUM(AB30+AC33)</f>
        <v>7480141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1098106</v>
      </c>
      <c r="C34" s="260">
        <f>SUM(B34-B33)</f>
        <v>0</v>
      </c>
      <c r="D34" s="302">
        <f t="shared" ref="D34" si="20">SUM(G34+I34+K34)</f>
        <v>0</v>
      </c>
      <c r="E34" s="302">
        <f>B33+D34</f>
        <v>1098106</v>
      </c>
      <c r="F34" s="626">
        <f t="shared" si="8"/>
        <v>159394</v>
      </c>
      <c r="G34" s="160">
        <f>F34-F33</f>
        <v>0</v>
      </c>
      <c r="H34" s="626">
        <f t="shared" si="9"/>
        <v>539446</v>
      </c>
      <c r="I34" s="161">
        <f>H34-H33</f>
        <v>0</v>
      </c>
      <c r="J34" s="626">
        <f t="shared" si="10"/>
        <v>399266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4</v>
      </c>
      <c r="C35" s="173">
        <f>SUM(C4:C34)/A35</f>
        <v>574.25</v>
      </c>
      <c r="D35" s="173"/>
      <c r="E35" s="173"/>
      <c r="F35" s="589"/>
      <c r="G35" s="589">
        <f>SUM(G4:G34)/A35</f>
        <v>0.5</v>
      </c>
      <c r="H35" s="173"/>
      <c r="I35" s="173">
        <f>SUM(I4:I34)/A35</f>
        <v>481</v>
      </c>
      <c r="K35" s="173">
        <f>SUM(K4:K34)/A35</f>
        <v>92.75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8.7070091423595991E-4</v>
      </c>
      <c r="H36" s="212"/>
      <c r="I36" s="225">
        <f>SUM(I35/C35)</f>
        <v>0.83761427949499345</v>
      </c>
      <c r="J36" s="212"/>
      <c r="K36" s="225">
        <f>SUM(K35/C35)</f>
        <v>0.16151501959077058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4961.9509121061355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4961.9509121061355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91"/>
      <c r="AC45" s="691"/>
      <c r="AD45" s="564"/>
      <c r="AE45" s="17"/>
      <c r="AF45" s="17"/>
    </row>
    <row r="46" spans="1:32">
      <c r="V46" s="691"/>
      <c r="W46" s="691"/>
      <c r="X46" s="691"/>
      <c r="Y46" s="691"/>
      <c r="Z46" s="525"/>
      <c r="AA46" s="525"/>
      <c r="AB46" s="691"/>
      <c r="AC46" s="691"/>
      <c r="AD46" s="564"/>
      <c r="AE46" s="17"/>
      <c r="AF46" s="17"/>
    </row>
    <row r="47" spans="1:32">
      <c r="V47" s="691"/>
      <c r="W47" s="691"/>
      <c r="X47" s="691"/>
      <c r="Y47" s="691"/>
      <c r="Z47" s="691"/>
      <c r="AA47" s="691"/>
      <c r="AB47" s="691"/>
      <c r="AC47" s="691"/>
      <c r="AD47" s="564"/>
      <c r="AE47" s="17"/>
      <c r="AF47" s="17"/>
    </row>
    <row r="48" spans="1:32">
      <c r="V48" s="692"/>
      <c r="W48" s="692"/>
      <c r="X48" s="693"/>
      <c r="Y48" s="693"/>
      <c r="Z48" s="693"/>
      <c r="AA48" s="526"/>
      <c r="AB48" s="691"/>
      <c r="AC48" s="691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E29" sqref="E29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>
        <v>26</v>
      </c>
      <c r="C22" s="37">
        <v>22</v>
      </c>
      <c r="D22" s="26">
        <f>(C22+B22)/2</f>
        <v>24</v>
      </c>
      <c r="E22" s="333">
        <v>0.59</v>
      </c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>
        <v>26</v>
      </c>
      <c r="C23" s="37">
        <v>22</v>
      </c>
      <c r="D23" s="26">
        <f>(C23+B23)/2</f>
        <v>24</v>
      </c>
      <c r="E23" s="386">
        <v>0.62</v>
      </c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>
        <v>26</v>
      </c>
      <c r="C24" s="37">
        <v>21</v>
      </c>
      <c r="D24" s="26">
        <f t="shared" si="3"/>
        <v>23.5</v>
      </c>
      <c r="E24" s="333">
        <v>0.46</v>
      </c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>
        <v>27</v>
      </c>
      <c r="C25" s="37">
        <v>21</v>
      </c>
      <c r="D25" s="26">
        <f t="shared" si="3"/>
        <v>24</v>
      </c>
      <c r="E25" s="333">
        <v>0.48</v>
      </c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>
        <v>26</v>
      </c>
      <c r="C28" s="37">
        <v>21</v>
      </c>
      <c r="D28" s="26">
        <f t="shared" si="3"/>
        <v>23.5</v>
      </c>
      <c r="E28" s="333">
        <v>0.61</v>
      </c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/>
      <c r="C29" s="37"/>
      <c r="D29" s="26">
        <f t="shared" si="3"/>
        <v>0</v>
      </c>
      <c r="E29" s="333"/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/>
      <c r="C30" s="37"/>
      <c r="D30" s="26">
        <f t="shared" si="3"/>
        <v>0</v>
      </c>
      <c r="E30" s="335"/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/>
      <c r="C31" s="37"/>
      <c r="D31" s="274">
        <f>(C31+B31)/2</f>
        <v>0</v>
      </c>
      <c r="E31" s="334"/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/>
      <c r="C32" s="37"/>
      <c r="D32" s="26">
        <f t="shared" si="3"/>
        <v>0</v>
      </c>
      <c r="E32" s="333"/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80.625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7</v>
      </c>
      <c r="B20" s="3">
        <f>ELEC!AF22</f>
        <v>1537</v>
      </c>
      <c r="C20" s="3">
        <f>ELEC!N22</f>
        <v>6669</v>
      </c>
      <c r="D20" s="3">
        <f t="shared" si="0"/>
        <v>16.000000001571607</v>
      </c>
      <c r="E20" s="3">
        <f>ELEC!Q22</f>
        <v>6652.9999999984284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2</v>
      </c>
      <c r="B21" s="3">
        <f>ELEC!AF23</f>
        <v>502</v>
      </c>
      <c r="C21" s="3">
        <f>ELEC!N23</f>
        <v>5877</v>
      </c>
      <c r="D21" s="3">
        <f t="shared" si="0"/>
        <v>-86.999999999941792</v>
      </c>
      <c r="E21" s="3">
        <f>ELEC!Q23</f>
        <v>5963.9999999999418</v>
      </c>
      <c r="F21" s="3">
        <f>GEN!Z21</f>
        <v>11</v>
      </c>
      <c r="G21" s="3">
        <f>WATER!C24+WATER!H24</f>
        <v>68</v>
      </c>
      <c r="H21" s="3">
        <f>WATER!L24</f>
        <v>1</v>
      </c>
      <c r="I21" s="15">
        <f>WATER!BC24+WATER!BD24+WATER!BE25-Sheet1!G21</f>
        <v>-17.899999999999977</v>
      </c>
      <c r="J21" s="9">
        <f>'B5'!A23</f>
        <v>44488</v>
      </c>
    </row>
    <row r="22" spans="1:10">
      <c r="A22" s="3">
        <f>ELEC!T24+ELEC!X24+ELEC!AB24</f>
        <v>8</v>
      </c>
      <c r="B22" s="3">
        <f>ELEC!AF24</f>
        <v>1925</v>
      </c>
      <c r="C22" s="3">
        <f>ELEC!N24</f>
        <v>6112</v>
      </c>
      <c r="D22" s="3">
        <f t="shared" si="0"/>
        <v>-290.00000000186265</v>
      </c>
      <c r="E22" s="3">
        <f>ELEC!Q24</f>
        <v>6402.0000000018626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-15.499999999999972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11</v>
      </c>
      <c r="G23" s="3">
        <f>WATER!C26+WATER!H26</f>
        <v>0</v>
      </c>
      <c r="H23" s="3">
        <f>WATER!L26</f>
        <v>3</v>
      </c>
      <c r="I23" s="15">
        <f>WATER!BC26+WATER!BD26+WATER!BE27-Sheet1!G23</f>
        <v>-11.599999999999966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5</v>
      </c>
      <c r="B25" s="3">
        <f>ELEC!AF27</f>
        <v>1310</v>
      </c>
      <c r="C25" s="3">
        <f>ELEC!N27</f>
        <v>6220</v>
      </c>
      <c r="D25" s="3">
        <f t="shared" si="0"/>
        <v>5821.0000000023865</v>
      </c>
      <c r="E25" s="3">
        <f>ELEC!Q27</f>
        <v>398.99999999761349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-24.80000000000004</v>
      </c>
      <c r="J25" s="9">
        <f>'B5'!A27</f>
        <v>44492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9</v>
      </c>
      <c r="G26" s="3">
        <f>WATER!C29+WATER!H29</f>
        <v>0</v>
      </c>
      <c r="H26" s="3">
        <f>WATER!L29</f>
        <v>1</v>
      </c>
      <c r="I26" s="15">
        <f>WATER!BC29+WATER!BD29+WATER!BE30-Sheet1!G26</f>
        <v>-24.80000000000004</v>
      </c>
      <c r="J26" s="9">
        <f>'B5'!A28</f>
        <v>44493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44494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44495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6"/>
      <c r="B1" s="704" t="s">
        <v>119</v>
      </c>
      <c r="C1" s="704" t="s">
        <v>118</v>
      </c>
      <c r="D1" s="708" t="s">
        <v>113</v>
      </c>
      <c r="E1" s="708" t="s">
        <v>114</v>
      </c>
      <c r="F1" s="709" t="s">
        <v>120</v>
      </c>
      <c r="G1" s="710" t="s">
        <v>75</v>
      </c>
      <c r="H1" s="701" t="s">
        <v>115</v>
      </c>
      <c r="I1" s="702" t="s">
        <v>116</v>
      </c>
      <c r="J1" s="701" t="s">
        <v>117</v>
      </c>
      <c r="K1" s="700" t="s">
        <v>121</v>
      </c>
      <c r="L1" s="700" t="s">
        <v>122</v>
      </c>
      <c r="M1" s="700" t="s">
        <v>123</v>
      </c>
      <c r="N1" s="700" t="s">
        <v>124</v>
      </c>
    </row>
    <row r="2" spans="1:14">
      <c r="A2" s="707"/>
      <c r="B2" s="705"/>
      <c r="C2" s="705"/>
      <c r="D2" s="708"/>
      <c r="E2" s="708"/>
      <c r="F2" s="709"/>
      <c r="G2" s="710"/>
      <c r="H2" s="701"/>
      <c r="I2" s="703"/>
      <c r="J2" s="701"/>
      <c r="K2" s="700"/>
      <c r="L2" s="700"/>
      <c r="M2" s="700"/>
      <c r="N2" s="70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127</v>
      </c>
      <c r="C23" s="76">
        <f>'B5'!AH23</f>
        <v>0</v>
      </c>
      <c r="D23" s="76">
        <f>GEN!AI21</f>
        <v>1712.375527425756</v>
      </c>
      <c r="E23" s="239">
        <f t="shared" si="0"/>
        <v>1839.375527425756</v>
      </c>
      <c r="F23" s="75">
        <f>WATER!L23</f>
        <v>2</v>
      </c>
      <c r="G23" s="78">
        <f>WATER!BG23</f>
        <v>-34.199999999999989</v>
      </c>
      <c r="H23" s="79">
        <f>ELEC!AF22</f>
        <v>1537</v>
      </c>
      <c r="I23" s="79">
        <f>ELEC!Q22</f>
        <v>6652.9999999984284</v>
      </c>
      <c r="J23" s="79">
        <f>ELEC!R22</f>
        <v>16.000000001571607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1535.0379746835295</v>
      </c>
      <c r="E24" s="239">
        <f t="shared" si="0"/>
        <v>1535.0379746835295</v>
      </c>
      <c r="F24" s="75">
        <f>WATER!L24</f>
        <v>1</v>
      </c>
      <c r="G24" s="78">
        <f>WATER!BG24</f>
        <v>0</v>
      </c>
      <c r="H24" s="79">
        <f>ELEC!AF23</f>
        <v>502</v>
      </c>
      <c r="I24" s="79">
        <f>ELEC!Q23</f>
        <v>5963.9999999999418</v>
      </c>
      <c r="J24" s="79">
        <f>ELEC!R23</f>
        <v>-5963.9999999999418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126</v>
      </c>
      <c r="C25" s="76">
        <f>'B5'!AH25</f>
        <v>0</v>
      </c>
      <c r="D25" s="76">
        <f>GEN!AI23</f>
        <v>1647.7721518992137</v>
      </c>
      <c r="E25" s="239">
        <f t="shared" si="0"/>
        <v>1773.7721518992137</v>
      </c>
      <c r="F25" s="75">
        <f>WATER!L25</f>
        <v>0</v>
      </c>
      <c r="G25" s="78">
        <f>WATER!BG25</f>
        <v>-3.9000000000000057</v>
      </c>
      <c r="H25" s="79">
        <f>ELEC!AF24</f>
        <v>1925</v>
      </c>
      <c r="I25" s="79">
        <f>ELEC!Q24</f>
        <v>6402.0000000018626</v>
      </c>
      <c r="J25" s="79">
        <f>ELEC!R24</f>
        <v>-290.00000000186265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3</v>
      </c>
      <c r="G26" s="78">
        <f>WATER!BG26</f>
        <v>-11.599999999999966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73</v>
      </c>
      <c r="C28" s="76">
        <f>'B5'!AH28</f>
        <v>0</v>
      </c>
      <c r="D28" s="76">
        <f>GEN!AI26</f>
        <v>102.69620253103133</v>
      </c>
      <c r="E28" s="239">
        <f t="shared" si="0"/>
        <v>175.69620253103133</v>
      </c>
      <c r="F28" s="75">
        <f>WATER!L28</f>
        <v>0</v>
      </c>
      <c r="G28" s="78">
        <f>WATER!BG28</f>
        <v>0</v>
      </c>
      <c r="H28" s="79">
        <f>ELEC!AF27</f>
        <v>1310</v>
      </c>
      <c r="I28" s="79">
        <f>ELEC!Q27</f>
        <v>398.99999999761349</v>
      </c>
      <c r="J28" s="79">
        <f>ELEC!R27</f>
        <v>5821.0000000023865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1</v>
      </c>
      <c r="G29" s="78">
        <f>WATER!BG29</f>
        <v>-24.80000000000004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30" sqref="H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>
        <v>1.5</v>
      </c>
      <c r="C23" s="602">
        <v>7.9</v>
      </c>
      <c r="D23" s="600">
        <v>0</v>
      </c>
      <c r="E23" s="602">
        <v>0</v>
      </c>
      <c r="F23" s="602">
        <v>0</v>
      </c>
      <c r="G23" s="599">
        <v>0</v>
      </c>
      <c r="H23" s="555">
        <v>6898</v>
      </c>
      <c r="I23" s="492">
        <f t="shared" si="4"/>
        <v>2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>
        <v>1.5</v>
      </c>
      <c r="C24" s="602">
        <v>7.8</v>
      </c>
      <c r="D24" s="600">
        <v>0</v>
      </c>
      <c r="E24" s="602">
        <v>0</v>
      </c>
      <c r="F24" s="602">
        <v>0</v>
      </c>
      <c r="G24" s="601">
        <v>0</v>
      </c>
      <c r="H24" s="555">
        <v>6899</v>
      </c>
      <c r="I24" s="492">
        <f t="shared" si="4"/>
        <v>1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>
        <v>2.1</v>
      </c>
      <c r="C25" s="602">
        <v>7.8</v>
      </c>
      <c r="D25" s="600"/>
      <c r="E25" s="602"/>
      <c r="F25" s="602"/>
      <c r="G25" s="601"/>
      <c r="H25" s="555">
        <f t="shared" si="1"/>
        <v>6899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>
        <v>2.2000000000000002</v>
      </c>
      <c r="C26" s="622">
        <v>7.9</v>
      </c>
      <c r="D26" s="620">
        <v>0</v>
      </c>
      <c r="E26" s="622">
        <v>0</v>
      </c>
      <c r="F26" s="622">
        <v>0</v>
      </c>
      <c r="G26" s="621">
        <v>0</v>
      </c>
      <c r="H26" s="555">
        <v>6902</v>
      </c>
      <c r="I26" s="492">
        <f t="shared" si="4"/>
        <v>3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6902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6902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>
        <v>1.3</v>
      </c>
      <c r="C29" s="602">
        <v>8.6</v>
      </c>
      <c r="D29" s="600"/>
      <c r="E29" s="602"/>
      <c r="F29" s="602"/>
      <c r="G29" s="599"/>
      <c r="H29" s="555">
        <v>6903</v>
      </c>
      <c r="I29" s="492">
        <f t="shared" si="4"/>
        <v>1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/>
      <c r="C30" s="602"/>
      <c r="D30" s="600"/>
      <c r="E30" s="602"/>
      <c r="F30" s="602"/>
      <c r="G30" s="170"/>
      <c r="H30" s="555">
        <f t="shared" si="1"/>
        <v>6903</v>
      </c>
      <c r="I30" s="492">
        <f t="shared" si="4"/>
        <v>0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/>
      <c r="C31" s="170"/>
      <c r="D31" s="170"/>
      <c r="E31" s="170"/>
      <c r="F31" s="170"/>
      <c r="G31" s="170"/>
      <c r="H31" s="555">
        <f t="shared" si="1"/>
        <v>6903</v>
      </c>
      <c r="I31" s="492">
        <f t="shared" si="4"/>
        <v>0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/>
      <c r="C32" s="170"/>
      <c r="D32" s="170"/>
      <c r="E32" s="170"/>
      <c r="F32" s="170"/>
      <c r="G32" s="492"/>
      <c r="H32" s="555">
        <f t="shared" si="1"/>
        <v>6903</v>
      </c>
      <c r="I32" s="492">
        <f t="shared" si="4"/>
        <v>0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6903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6903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6903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6903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9" t="s">
        <v>161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</row>
    <row r="2" spans="1:28" ht="19.5">
      <c r="A2" s="740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</row>
    <row r="3" spans="1:28" ht="19.5">
      <c r="A3" s="740" t="s">
        <v>162</v>
      </c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0" t="s">
        <v>406</v>
      </c>
      <c r="B5" s="740"/>
      <c r="C5" s="740"/>
      <c r="D5" s="740"/>
      <c r="E5" s="740"/>
      <c r="F5" s="740"/>
      <c r="G5" s="740"/>
      <c r="H5" s="740"/>
      <c r="I5" s="740"/>
      <c r="J5" s="740"/>
      <c r="K5" s="740"/>
      <c r="L5" s="740"/>
      <c r="M5" s="740"/>
      <c r="N5" s="740"/>
      <c r="O5" s="740"/>
      <c r="P5" s="740"/>
      <c r="Q5" s="740"/>
      <c r="R5" s="740"/>
      <c r="S5" s="740"/>
      <c r="T5" s="740"/>
      <c r="U5" s="740"/>
      <c r="V5" s="740"/>
      <c r="W5" s="740"/>
      <c r="X5" s="740"/>
    </row>
    <row r="6" spans="1:28" ht="15.75" thickBot="1">
      <c r="A6" s="741"/>
      <c r="B6" s="741"/>
      <c r="C6" s="741"/>
      <c r="D6" s="741"/>
      <c r="E6" s="741"/>
      <c r="F6" s="741"/>
      <c r="G6" s="741"/>
      <c r="H6" s="741"/>
      <c r="I6" s="741"/>
      <c r="J6" s="741"/>
      <c r="K6" s="741"/>
      <c r="L6" s="741"/>
      <c r="M6" s="741"/>
      <c r="N6" s="741"/>
      <c r="O6" s="741"/>
      <c r="P6" s="741"/>
      <c r="Q6" s="741"/>
      <c r="R6" s="741"/>
      <c r="S6" s="741"/>
      <c r="T6" s="741"/>
      <c r="U6" s="741"/>
      <c r="V6" s="741"/>
      <c r="W6" s="741"/>
      <c r="X6" s="741"/>
    </row>
    <row r="7" spans="1:28" ht="15.75" thickBot="1">
      <c r="A7" s="729" t="s">
        <v>163</v>
      </c>
      <c r="B7" s="730"/>
      <c r="C7" s="731" t="s">
        <v>164</v>
      </c>
      <c r="D7" s="732"/>
      <c r="E7" s="732"/>
      <c r="F7" s="732"/>
      <c r="G7" s="732"/>
      <c r="H7" s="732"/>
      <c r="I7" s="732"/>
      <c r="J7" s="732"/>
      <c r="K7" s="73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26</v>
      </c>
      <c r="O65" s="267">
        <f>'General information '!C22</f>
        <v>22</v>
      </c>
      <c r="P65" s="119">
        <f t="shared" si="7"/>
        <v>5.6999999999999993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26</v>
      </c>
      <c r="O66" s="267">
        <f>'General information '!C23</f>
        <v>22</v>
      </c>
      <c r="P66" s="119">
        <f t="shared" si="7"/>
        <v>5.6999999999999993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26</v>
      </c>
      <c r="O67" s="267">
        <f>'General information '!C24</f>
        <v>21</v>
      </c>
      <c r="P67" s="119">
        <f t="shared" si="7"/>
        <v>5.1999999999999993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27</v>
      </c>
      <c r="O68" s="267">
        <f>'General information '!C25</f>
        <v>21</v>
      </c>
      <c r="P68" s="119">
        <f t="shared" si="7"/>
        <v>5.6999999999999993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26</v>
      </c>
      <c r="O71" s="267">
        <f>'General information '!C28</f>
        <v>21</v>
      </c>
      <c r="P71" s="119">
        <f t="shared" si="7"/>
        <v>5.1999999999999993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0</v>
      </c>
      <c r="O72" s="267">
        <f>'General information '!C29</f>
        <v>0</v>
      </c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0</v>
      </c>
      <c r="O73" s="267">
        <f>'General information '!C30</f>
        <v>0</v>
      </c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0</v>
      </c>
      <c r="O74" s="267">
        <f>'General information '!C31</f>
        <v>0</v>
      </c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0</v>
      </c>
      <c r="O75" s="267">
        <f>'General information '!C32</f>
        <v>0</v>
      </c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-329.40000000000009</v>
      </c>
      <c r="O81" s="119">
        <f>SUMIF(P48:P78,"&gt;0")</f>
        <v>84.600000000000023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4" t="s">
        <v>174</v>
      </c>
      <c r="O84" s="734" t="s">
        <v>175</v>
      </c>
      <c r="P84" s="134"/>
      <c r="T84" s="134"/>
      <c r="X84" s="134"/>
    </row>
    <row r="85" spans="1:24" ht="20.25" thickBot="1">
      <c r="D85" s="134"/>
      <c r="I85" s="736" t="s">
        <v>182</v>
      </c>
      <c r="J85" s="737"/>
      <c r="K85" s="737"/>
      <c r="L85" s="737"/>
      <c r="N85" s="735"/>
      <c r="O85" s="735"/>
      <c r="P85" s="134"/>
      <c r="R85" s="17"/>
      <c r="S85" s="17"/>
      <c r="T85" s="140"/>
      <c r="U85" s="141"/>
      <c r="X85" s="134"/>
    </row>
    <row r="86" spans="1:24" ht="18.75" thickBot="1">
      <c r="D86" s="134"/>
      <c r="I86" s="738" t="s">
        <v>183</v>
      </c>
      <c r="J86" s="738"/>
      <c r="K86" s="738"/>
      <c r="L86" s="738"/>
      <c r="N86" s="142">
        <f>B43+F43+J43+N43+R43+V43+B81+F81+J81+N81+R81+V81</f>
        <v>-2368.1000000000004</v>
      </c>
      <c r="O86" s="142">
        <f>C43+G43+K43+O43+S43+W43+C81+G81+K81+O81+S81+W81</f>
        <v>1091.5999999999999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8"/>
      <c r="C88" s="728"/>
      <c r="D88" s="728"/>
      <c r="E88" s="728"/>
      <c r="F88" s="728"/>
      <c r="G88" s="728"/>
      <c r="H88" s="728"/>
      <c r="I88" s="728"/>
      <c r="J88" s="728"/>
      <c r="K88" s="728"/>
      <c r="L88" s="728"/>
      <c r="M88" s="728"/>
      <c r="N88" s="728"/>
      <c r="O88" s="728"/>
      <c r="P88" s="728"/>
      <c r="Q88" s="728"/>
      <c r="R88" s="728"/>
      <c r="S88" s="728"/>
      <c r="T88" s="728"/>
      <c r="U88" s="728"/>
      <c r="V88" s="728"/>
      <c r="W88" s="72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4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324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1122.7096774193549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24735</v>
      </c>
      <c r="C8" s="478">
        <f>SUM(tanks!AU37)</f>
        <v>0.62300000000000011</v>
      </c>
      <c r="D8" s="191">
        <f>SUM(B8*C8)*D4</f>
        <v>23230431.787500005</v>
      </c>
      <c r="E8" s="192">
        <f>SUM(D8/D4/F4)</f>
        <v>3852.4762500000011</v>
      </c>
      <c r="F8" s="192">
        <f>SUM(E8*F4)</f>
        <v>15409.905000000004</v>
      </c>
      <c r="G8" s="595">
        <f>E8*$G$4</f>
        <v>119426.76375000003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2297</v>
      </c>
      <c r="C10" s="181"/>
      <c r="D10" s="183">
        <f>'EDl log'!AB33</f>
        <v>7480141</v>
      </c>
      <c r="E10" s="182">
        <f>SUM(D10/D4/F4)</f>
        <v>1240.4877280265339</v>
      </c>
      <c r="F10" s="182">
        <f>SUM(E10*F4)</f>
        <v>4961.9509121061355</v>
      </c>
      <c r="G10" s="493">
        <f>E10*$G$4</f>
        <v>38455.119568822549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5373.6413973813733</v>
      </c>
      <c r="F12" s="180">
        <f>SUM(F6:F10)</f>
        <v>21494.565589525493</v>
      </c>
      <c r="G12" s="179">
        <f>SUM(G6:G10)</f>
        <v>166081.88331882257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108090.98331882257</v>
      </c>
      <c r="I14" s="415">
        <f>SUM(G12-I12)</f>
        <v>108090.9989317258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80.625</v>
      </c>
      <c r="C16" s="425">
        <f>'[17]Utility Cost '!B16</f>
        <v>25.661290322580644</v>
      </c>
      <c r="D16" s="424"/>
      <c r="E16" s="629">
        <f>B16-C16</f>
        <v>54.963709677419359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135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32</v>
      </c>
      <c r="F18" s="510">
        <f>B18-D18</f>
        <v>-67.666666666666657</v>
      </c>
    </row>
    <row r="19" spans="1:10">
      <c r="A19" s="504" t="s">
        <v>408</v>
      </c>
      <c r="B19" s="502">
        <f>SUM(B18/$F$4)</f>
        <v>33.75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2021-10-25T06:07:35Z</dcterms:modified>
</cp:coreProperties>
</file>