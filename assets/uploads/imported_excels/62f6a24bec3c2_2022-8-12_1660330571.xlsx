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J10" i="7" l="1"/>
  <c r="AJ11" i="7"/>
  <c r="AT7" i="7" l="1"/>
  <c r="F5" i="7" l="1"/>
  <c r="CY4" i="7" l="1"/>
  <c r="CW4" i="7"/>
  <c r="CU4" i="7"/>
  <c r="CS4" i="7"/>
  <c r="CM4" i="7" s="1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P5" i="7" l="1"/>
  <c r="D5" i="7" l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CM34" i="7" l="1"/>
  <c r="CH23" i="7"/>
  <c r="BP28" i="7" l="1"/>
  <c r="CS18" i="7" l="1"/>
  <c r="BN17" i="7" l="1"/>
  <c r="CH14" i="7" l="1"/>
  <c r="AX13" i="6" l="1"/>
  <c r="AX14" i="6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<sst xmlns="http://schemas.openxmlformats.org/spreadsheetml/2006/main" count="315" uniqueCount="148">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</sst>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workbookViewId="0">
      <selection activeCell="F40" sqref="F4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2022</v>
      </c>
      <c r="E2" s="12">
        <f>Submetering!E2+Submetering!F2+Submetering!G2+Submetering!H2+Submetering!J2-Submetering!AV2</f>
        <v>10899.999999999942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120.40000000000146</v>
      </c>
      <c r="J2" s="11">
        <v>10.487297712684205</v>
      </c>
      <c r="K2" s="13">
        <f>'FS Desroches Daily'!CN4</f>
        <v>42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8</v>
      </c>
      <c r="D3" s="1">
        <v>2022</v>
      </c>
      <c r="E3" s="12">
        <f>Submetering!E3+Submetering!F3+Submetering!G3+Submetering!H3+Submetering!J3-Submetering!AV3</f>
        <v>10500.000000000355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128</v>
      </c>
      <c r="J3" s="11">
        <f>J2</f>
        <v>10.487297712684205</v>
      </c>
      <c r="K3" s="13">
        <f>'FS Desroches Daily'!CN5</f>
        <v>42</v>
      </c>
    </row>
    <row r="4" spans="1:13" s="16" customFormat="1" x14ac:dyDescent="0.25">
      <c r="A4" s="1" t="s">
        <v>11</v>
      </c>
      <c r="B4" s="10">
        <v>3</v>
      </c>
      <c r="C4" s="11">
        <v>8</v>
      </c>
      <c r="D4" s="1">
        <v>2022</v>
      </c>
      <c r="E4" s="12">
        <f>Submetering!E4+Submetering!F4+Submetering!G4+Submetering!H4+Submetering!J4-Submetering!AV4</f>
        <v>10899.99999999994</v>
      </c>
      <c r="F4" s="11">
        <f t="shared" ref="F4:F32" si="0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1">H3</f>
        <v>0.99</v>
      </c>
      <c r="I4" s="12">
        <f>'FS Desroches Daily'!CM6</f>
        <v>121.89999999999782</v>
      </c>
      <c r="J4" s="11">
        <f t="shared" ref="J4:J32" si="2">J3</f>
        <v>10.487297712684205</v>
      </c>
      <c r="K4" s="13">
        <f>'FS Desroches Daily'!CN6</f>
        <v>42</v>
      </c>
    </row>
    <row r="5" spans="1:13" s="16" customFormat="1" x14ac:dyDescent="0.25">
      <c r="A5" s="1" t="s">
        <v>11</v>
      </c>
      <c r="B5" s="10">
        <v>4</v>
      </c>
      <c r="C5" s="11">
        <v>8</v>
      </c>
      <c r="D5" s="1">
        <v>2022</v>
      </c>
      <c r="E5" s="12">
        <f>Submetering!E5+Submetering!F5+Submetering!G5+Submetering!H5+Submetering!J5-Submetering!AV5</f>
        <v>10699.999999999822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122.29999999999927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8</v>
      </c>
      <c r="D6" s="1">
        <v>2022</v>
      </c>
      <c r="E6" s="12">
        <f>Submetering!E6+Submetering!F6+Submetering!G6+Submetering!H6+Submetering!J6-Submetering!AV6</f>
        <v>10699.999999999822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126.90000000000146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8</v>
      </c>
      <c r="D7" s="1">
        <v>2022</v>
      </c>
      <c r="E7" s="12">
        <f>Submetering!E7+Submetering!F7+Submetering!G7+Submetering!H7+Submetering!J7-Submetering!AV7</f>
        <v>11499.999999999658</v>
      </c>
      <c r="F7" s="11">
        <f t="shared" si="0"/>
        <v>0.58765030286592534</v>
      </c>
      <c r="G7" s="12">
        <f>(Submetering!AX7+Submetering!AY7+Submetering!AZ7+Submetering!BA7+Submetering!BB7)</f>
        <v>7.3259999999999996</v>
      </c>
      <c r="H7" s="11">
        <f t="shared" si="1"/>
        <v>0.99</v>
      </c>
      <c r="I7" s="12">
        <f>'FS Desroches Daily'!CM9</f>
        <v>131.5</v>
      </c>
      <c r="J7" s="11">
        <f t="shared" si="2"/>
        <v>10.487297712684205</v>
      </c>
      <c r="K7" s="13">
        <f>'FS Desroches Daily'!CN9</f>
        <v>54</v>
      </c>
    </row>
    <row r="8" spans="1:13" s="16" customFormat="1" x14ac:dyDescent="0.25">
      <c r="A8" s="1" t="s">
        <v>11</v>
      </c>
      <c r="B8" s="10">
        <v>7</v>
      </c>
      <c r="C8" s="11">
        <v>8</v>
      </c>
      <c r="D8" s="1">
        <v>2022</v>
      </c>
      <c r="E8" s="12">
        <f>Submetering!E8+Submetering!F8+Submetering!G8+Submetering!H8+Submetering!J8-Submetering!AV8</f>
        <v>11800.000000000064</v>
      </c>
      <c r="F8" s="11">
        <f t="shared" si="0"/>
        <v>0.58765030286592534</v>
      </c>
      <c r="G8" s="12">
        <f>(Submetering!AX8+Submetering!AY8+Submetering!AZ8+Submetering!BA8+Submetering!BB8)</f>
        <v>25.640999999999998</v>
      </c>
      <c r="H8" s="11">
        <f t="shared" si="1"/>
        <v>0.99</v>
      </c>
      <c r="I8" s="12">
        <f>'FS Desroches Daily'!CM10</f>
        <v>127.20000000000073</v>
      </c>
      <c r="J8" s="11">
        <f t="shared" si="2"/>
        <v>10.487297712684205</v>
      </c>
      <c r="K8" s="13">
        <f>'FS Desroches Daily'!CN10</f>
        <v>54</v>
      </c>
    </row>
    <row r="9" spans="1:13" s="16" customFormat="1" x14ac:dyDescent="0.25">
      <c r="A9" s="1" t="s">
        <v>11</v>
      </c>
      <c r="B9" s="10">
        <v>8</v>
      </c>
      <c r="C9" s="11">
        <v>8</v>
      </c>
      <c r="D9" s="1">
        <v>2022</v>
      </c>
      <c r="E9" s="12">
        <f>Submetering!E9+Submetering!F9+Submetering!G9+Submetering!H9+Submetering!J9-Submetering!AV9</f>
        <v>11200.000000000944</v>
      </c>
      <c r="F9" s="11">
        <f t="shared" si="0"/>
        <v>0.58765030286592534</v>
      </c>
      <c r="G9" s="12">
        <f>(Submetering!AX9+Submetering!AY9+Submetering!AZ9+Submetering!BA9+Submetering!BB9)</f>
        <v>20.146499999999996</v>
      </c>
      <c r="H9" s="11">
        <f t="shared" si="1"/>
        <v>0.99</v>
      </c>
      <c r="I9" s="12">
        <f>'FS Desroches Daily'!CM11</f>
        <v>126.79999999999927</v>
      </c>
      <c r="J9" s="11">
        <f t="shared" si="2"/>
        <v>10.487297712684205</v>
      </c>
      <c r="K9" s="13">
        <f>'FS Desroches Daily'!CN11</f>
        <v>54</v>
      </c>
    </row>
    <row r="10" spans="1:13" s="16" customFormat="1" x14ac:dyDescent="0.25">
      <c r="A10" s="1" t="s">
        <v>11</v>
      </c>
      <c r="B10" s="10">
        <v>9</v>
      </c>
      <c r="C10" s="11">
        <v>8</v>
      </c>
      <c r="D10" s="1">
        <v>2022</v>
      </c>
      <c r="E10" s="12">
        <f>Submetering!E10+Submetering!F10+Submetering!G10+Submetering!H10+Submetering!J10-Submetering!AV10</f>
        <v>11299.999999999009</v>
      </c>
      <c r="F10" s="11">
        <f t="shared" si="0"/>
        <v>0.58765030286592534</v>
      </c>
      <c r="G10" s="12">
        <f>(Submetering!AX10+Submetering!AY10+Submetering!AZ10+Submetering!BA10+Submetering!BB10)</f>
        <v>21.977999999999998</v>
      </c>
      <c r="H10" s="11">
        <f t="shared" si="1"/>
        <v>0.99</v>
      </c>
      <c r="I10" s="12">
        <f>'FS Desroches Daily'!CM12</f>
        <v>123</v>
      </c>
      <c r="J10" s="11">
        <f t="shared" si="2"/>
        <v>10.487297712684205</v>
      </c>
      <c r="K10" s="13">
        <f>'FS Desroches Daily'!CN12</f>
        <v>52</v>
      </c>
    </row>
    <row r="11" spans="1:13" s="16" customFormat="1" x14ac:dyDescent="0.25">
      <c r="A11" s="1" t="s">
        <v>11</v>
      </c>
      <c r="B11" s="10">
        <v>10</v>
      </c>
      <c r="C11" s="11">
        <v>8</v>
      </c>
      <c r="D11" s="1">
        <v>2022</v>
      </c>
      <c r="E11" s="12">
        <f>Submetering!E11+Submetering!F11+Submetering!G11+Submetering!H11+Submetering!J11-Submetering!AV11</f>
        <v>10100.000000000331</v>
      </c>
      <c r="F11" s="11">
        <f t="shared" si="0"/>
        <v>0.58765030286592534</v>
      </c>
      <c r="G11" s="12">
        <f>(Submetering!AX11+Submetering!AY11+Submetering!AZ11+Submetering!BA11+Submetering!BB11)</f>
        <v>18.314999999999998</v>
      </c>
      <c r="H11" s="11">
        <f t="shared" si="1"/>
        <v>0.99</v>
      </c>
      <c r="I11" s="12">
        <f>'FS Desroches Daily'!CM13</f>
        <v>127</v>
      </c>
      <c r="J11" s="11">
        <f t="shared" si="2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0">
        <v>11</v>
      </c>
      <c r="C12" s="11">
        <v>8</v>
      </c>
      <c r="D12" s="1">
        <v>2022</v>
      </c>
      <c r="E12" s="12">
        <f>Submetering!E12+Submetering!F12+Submetering!G12+Submetering!H12+Submetering!J12-Submetering!AV12</f>
        <v>11100.000000000591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114</v>
      </c>
      <c r="J12" s="11">
        <f t="shared" si="2"/>
        <v>10.487297712684205</v>
      </c>
      <c r="K12" s="13">
        <f>'FS Desroches Daily'!CN14</f>
        <v>41</v>
      </c>
    </row>
    <row r="13" spans="1:13" s="16" customFormat="1" x14ac:dyDescent="0.25">
      <c r="A13" s="1" t="s">
        <v>11</v>
      </c>
      <c r="B13" s="10">
        <v>12</v>
      </c>
      <c r="C13" s="11">
        <v>8</v>
      </c>
      <c r="D13" s="1">
        <v>2022</v>
      </c>
      <c r="E13" s="12" t="e">
        <f>Submetering!E13+Submetering!F13+Submetering!G13+Submetering!H13+Submetering!J13-Submetering!AV13</f>
        <v>#VALUE!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 t="e">
        <f>'FS Desroches Daily'!CM15</f>
        <v>#VALUE!</v>
      </c>
      <c r="J13" s="11">
        <f t="shared" si="2"/>
        <v>10.487297712684205</v>
      </c>
      <c r="K13" s="13">
        <f>'FS Desroches Daily'!CN15</f>
        <v>42</v>
      </c>
    </row>
    <row r="14" spans="1:13" s="16" customFormat="1" x14ac:dyDescent="0.25">
      <c r="A14" s="1" t="s">
        <v>11</v>
      </c>
      <c r="B14" s="10">
        <v>13</v>
      </c>
      <c r="C14" s="11">
        <v>8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8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8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8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8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8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8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8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8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8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8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8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8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8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8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8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8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8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8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7" t="e">
        <f>SUM(E2:E32)</f>
        <v>#VALUE!</v>
      </c>
      <c r="G33" s="19">
        <f>SUM(G2:G32)</f>
        <v>172.161</v>
      </c>
      <c r="I33" s="19" t="e">
        <f>SUM(I2:I32)</f>
        <v>#VALUE!</v>
      </c>
      <c r="K33" s="19">
        <f>SUM(K2:K32)</f>
        <v>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2022</v>
      </c>
      <c r="E2" s="31">
        <f>'FS Desroches Daily'!D4</f>
        <v>2200.0000000002019</v>
      </c>
      <c r="F2" s="32">
        <f>'FS Desroches Daily'!F4</f>
        <v>3099.9999999998809</v>
      </c>
      <c r="G2" s="31">
        <f>'FS Desroches Daily'!H4</f>
        <v>3599.9999999996035</v>
      </c>
      <c r="H2" s="32">
        <f>'FS Desroches Daily'!J4</f>
        <v>1400.0000000002899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18</v>
      </c>
      <c r="L2" s="31">
        <f>'FS Desroches Daily'!R4</f>
        <v>0</v>
      </c>
      <c r="M2" s="31">
        <f>'FS Desroches Daily'!T4</f>
        <v>1.5999999999999091</v>
      </c>
      <c r="N2" s="31">
        <f>'FS Desroches Daily'!V4</f>
        <v>519.40000000002328</v>
      </c>
      <c r="O2" s="31">
        <f>'FS Desroches Daily'!X4</f>
        <v>289.99999999996362</v>
      </c>
      <c r="P2" s="31">
        <f>'FS Desroches Daily'!Z4</f>
        <v>2699.9999999999245</v>
      </c>
      <c r="Q2" s="31">
        <f>'FS Desroches Daily'!AB4</f>
        <v>389.99999999998636</v>
      </c>
      <c r="R2" s="31">
        <f>'FS Desroches Daily'!AD4</f>
        <v>340.00000000003183</v>
      </c>
      <c r="S2" s="31">
        <f>'FS Desroches Daily'!AF4</f>
        <v>699.99999999993179</v>
      </c>
      <c r="T2" s="31">
        <f>'FS Desroches Daily'!AH4</f>
        <v>34</v>
      </c>
      <c r="U2" s="35">
        <f>'FS Desroches Daily'!AJ4</f>
        <v>560.00000000005912</v>
      </c>
      <c r="V2" s="35">
        <f>'FS Desroches Daily'!AL4</f>
        <v>240.00000000000909</v>
      </c>
      <c r="W2" s="35">
        <f>'FS Desroches Daily'!AN4</f>
        <v>120.00000000000455</v>
      </c>
      <c r="X2" s="35">
        <f>'FS Desroches Daily'!AP4</f>
        <v>180.00000000000682</v>
      </c>
      <c r="Y2" s="35">
        <f>'FS Desroches Daily'!AR4</f>
        <v>160.00000000002501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90.000000000031832</v>
      </c>
      <c r="AC2" s="35">
        <f>'FS Desroches Daily'!AZ4</f>
        <v>160.00000000002501</v>
      </c>
      <c r="AD2" s="35">
        <f>'FS Desroches Daily'!BB4</f>
        <v>129.99999999999545</v>
      </c>
      <c r="AE2" s="35">
        <f>'FS Desroches Daily'!BD4</f>
        <v>19.99999999998181</v>
      </c>
      <c r="AF2" s="31">
        <f>'FS Desroches Daily'!BF4</f>
        <v>26</v>
      </c>
      <c r="AG2" s="32">
        <f>'FS Desroches Daily'!BH4</f>
        <v>30.000000000001137</v>
      </c>
      <c r="AH2" s="32">
        <f>'FS Desroches Daily'!BJ4</f>
        <v>39.99999999996362</v>
      </c>
      <c r="AI2" s="32">
        <f>'FS Desroches Daily'!BL4</f>
        <v>39.999999999992042</v>
      </c>
      <c r="AJ2" s="32">
        <f>'FS Desroches Daily'!BN4</f>
        <v>30.000000000001137</v>
      </c>
      <c r="AK2" s="32">
        <f>'FS Desroches Daily'!BP4</f>
        <v>29.999999999972715</v>
      </c>
      <c r="AL2" s="32">
        <f>'FS Desroches Daily'!BR4</f>
        <v>32</v>
      </c>
      <c r="AM2" s="32">
        <f>'FS Desroches Daily'!BT4</f>
        <v>39.999999999992042</v>
      </c>
      <c r="AN2" s="32">
        <f>'FS Desroches Daily'!BV4</f>
        <v>17</v>
      </c>
      <c r="AO2" s="32">
        <f>'FS Desroches Daily'!BX4</f>
        <v>39.999999999992042</v>
      </c>
      <c r="AP2" s="32">
        <f>'FS Desroches Daily'!BZ4</f>
        <v>34</v>
      </c>
      <c r="AQ2" s="31">
        <f>'FS Desroches Daily'!CB4</f>
        <v>57.400000000001455</v>
      </c>
      <c r="AR2" s="31">
        <f>'FS Desroches Daily'!CD4</f>
        <v>8.7000000000007276</v>
      </c>
      <c r="AS2" s="31">
        <f>'FS Desroches Daily'!CF4</f>
        <v>1.3999999999996362</v>
      </c>
      <c r="AT2" s="31">
        <f>'FS Desroches Daily'!CH4</f>
        <v>56.5</v>
      </c>
      <c r="AU2" s="31">
        <f>'FS Desroches Daily'!CJ4</f>
        <v>294</v>
      </c>
      <c r="AV2" s="31">
        <f>'FS Desroches Daily'!CL4</f>
        <v>900.00000000009095</v>
      </c>
      <c r="AW2" s="31">
        <f>'FS Desroches Daily'!CM4</f>
        <v>120.40000000000146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42</v>
      </c>
      <c r="BD2" s="9"/>
    </row>
    <row r="3" spans="1:56" s="16" customFormat="1" x14ac:dyDescent="0.25">
      <c r="A3" s="27" t="s">
        <v>11</v>
      </c>
      <c r="B3" s="15">
        <v>2</v>
      </c>
      <c r="C3" s="18">
        <v>8</v>
      </c>
      <c r="D3" s="27">
        <v>2022</v>
      </c>
      <c r="E3" s="31">
        <f>'FS Desroches Daily'!D5</f>
        <v>2099.9999999999909</v>
      </c>
      <c r="F3" s="32">
        <f>'FS Desroches Daily'!F5</f>
        <v>2900.0000000003465</v>
      </c>
      <c r="G3" s="31">
        <f>'FS Desroches Daily'!H5</f>
        <v>3300.0000000003029</v>
      </c>
      <c r="H3" s="32">
        <f>'FS Desroches Daily'!J5</f>
        <v>1499.9999999996128</v>
      </c>
      <c r="I3" s="31">
        <f>'FS Desroches Daily'!L5</f>
        <v>1999.9999999997797</v>
      </c>
      <c r="J3" s="32">
        <f>'FS Desroches Daily'!N5</f>
        <v>1500.0000000000568</v>
      </c>
      <c r="K3" s="13">
        <f>'FS Desroches Daily'!P5</f>
        <v>22</v>
      </c>
      <c r="L3" s="31">
        <f>'FS Desroches Daily'!R5</f>
        <v>4</v>
      </c>
      <c r="M3" s="31">
        <f>'FS Desroches Daily'!T5</f>
        <v>1.5</v>
      </c>
      <c r="N3" s="31">
        <f>'FS Desroches Daily'!V5</f>
        <v>433</v>
      </c>
      <c r="O3" s="31">
        <f>'FS Desroches Daily'!X6</f>
        <v>310.00000000005912</v>
      </c>
      <c r="P3" s="31">
        <f>'FS Desroches Daily'!Z5</f>
        <v>2800.0000000001355</v>
      </c>
      <c r="Q3" s="31">
        <f>'FS Desroches Daily'!AB5</f>
        <v>279.99999999997272</v>
      </c>
      <c r="R3" s="31">
        <f>'FS Desroches Daily'!AD5</f>
        <v>360.00000000001364</v>
      </c>
      <c r="S3" s="31">
        <f>'FS Desroches Daily'!AF5</f>
        <v>769.99999999998181</v>
      </c>
      <c r="T3" s="31">
        <f>'FS Desroches Daily'!AH5</f>
        <v>34</v>
      </c>
      <c r="U3" s="35">
        <f>'FS Desroches Daily'!AJ5</f>
        <v>569.99999999993634</v>
      </c>
      <c r="V3" s="35">
        <f>'FS Desroches Daily'!AL5</f>
        <v>209.99999999997954</v>
      </c>
      <c r="W3" s="35">
        <f>'FS Desroches Daily'!AN5</f>
        <v>140.0000000000432</v>
      </c>
      <c r="X3" s="35">
        <f>'FS Desroches Daily'!AP5</f>
        <v>189.99999999999773</v>
      </c>
      <c r="Y3" s="35">
        <f>'FS Desroches Daily'!AR5</f>
        <v>170.00000000001592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109.9999999999568</v>
      </c>
      <c r="AC3" s="35">
        <f>'FS Desroches Daily'!AZ5</f>
        <v>189.99999999999773</v>
      </c>
      <c r="AD3" s="35">
        <f>'FS Desroches Daily'!BB5</f>
        <v>129.99999999999545</v>
      </c>
      <c r="AE3" s="35">
        <f>'FS Desroches Daily'!BD5</f>
        <v>40.000000000020464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34</v>
      </c>
      <c r="AM3" s="32">
        <f>'FS Desroches Daily'!BT5</f>
        <v>30.000000000001137</v>
      </c>
      <c r="AN3" s="32">
        <f>'FS Desroches Daily'!BV5</f>
        <v>51</v>
      </c>
      <c r="AO3" s="32">
        <f>'FS Desroches Daily'!BX5</f>
        <v>30.000000000001137</v>
      </c>
      <c r="AP3" s="32">
        <f>'FS Desroches Daily'!BZ5</f>
        <v>39</v>
      </c>
      <c r="AQ3" s="31">
        <f>'FS Desroches Daily'!CB5</f>
        <v>52</v>
      </c>
      <c r="AR3" s="31">
        <f>'FS Desroches Daily'!CD5</f>
        <v>10.299999999999272</v>
      </c>
      <c r="AS3" s="31">
        <f>'FS Desroches Daily'!CF5</f>
        <v>7.3000000000010914</v>
      </c>
      <c r="AT3" s="31">
        <f>'FS Desroches Daily'!CH5</f>
        <v>54.19999999999709</v>
      </c>
      <c r="AU3" s="31">
        <f>'FS Desroches Daily'!CJ5</f>
        <v>289</v>
      </c>
      <c r="AV3" s="31">
        <f>'FS Desroches Daily'!CL5</f>
        <v>799.99999999995453</v>
      </c>
      <c r="AW3" s="31">
        <f>'FS Desroches Daily'!CM5</f>
        <v>128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5.4944999999999995</v>
      </c>
      <c r="BA3" s="31">
        <f>IF(LPG!M10-LPG!M9&lt;0,"0",(LPG!M10-LPG!M9)*1.8315)</f>
        <v>5.4944999999999995</v>
      </c>
      <c r="BB3" s="31">
        <f>IF(LPG!Q10-LPG!Q9&lt;0,"0",(LPG!Q10-LPG!Q9)*1.8315)</f>
        <v>7.3259999999999996</v>
      </c>
      <c r="BC3" s="13">
        <f>'FS Desroches Daily'!CN5</f>
        <v>42</v>
      </c>
      <c r="BD3" s="9"/>
    </row>
    <row r="4" spans="1:56" s="16" customFormat="1" x14ac:dyDescent="0.25">
      <c r="A4" s="27" t="s">
        <v>11</v>
      </c>
      <c r="B4" s="15">
        <v>3</v>
      </c>
      <c r="C4" s="18">
        <v>8</v>
      </c>
      <c r="D4" s="27">
        <v>2022</v>
      </c>
      <c r="E4" s="31">
        <f>'FS Desroches Daily'!D6</f>
        <v>2199.9999999997576</v>
      </c>
      <c r="F4" s="32">
        <f>'FS Desroches Daily'!F6</f>
        <v>3000.0000000001137</v>
      </c>
      <c r="G4" s="31">
        <f>'FS Desroches Daily'!H6</f>
        <v>3499.9999999998367</v>
      </c>
      <c r="H4" s="32">
        <f>'FS Desroches Daily'!J6</f>
        <v>1400.0000000002899</v>
      </c>
      <c r="I4" s="31">
        <f>'FS Desroches Daily'!L6</f>
        <v>2000.0000000002237</v>
      </c>
      <c r="J4" s="32">
        <f>'FS Desroches Daily'!N6</f>
        <v>1700.0000000000348</v>
      </c>
      <c r="K4" s="13">
        <f>'FS Desroches Daily'!P6</f>
        <v>18</v>
      </c>
      <c r="L4" s="31">
        <f>'FS Desroches Daily'!R6</f>
        <v>2</v>
      </c>
      <c r="M4" s="31">
        <f>'FS Desroches Daily'!T6</f>
        <v>1.5</v>
      </c>
      <c r="N4" s="31">
        <f>'FS Desroches Daily'!V6</f>
        <v>354.19999999995343</v>
      </c>
      <c r="O4" s="31">
        <f>'FS Desroches Daily'!X7</f>
        <v>299.99999999995453</v>
      </c>
      <c r="P4" s="31">
        <f>'FS Desroches Daily'!Z6</f>
        <v>2599.9999999997135</v>
      </c>
      <c r="Q4" s="31">
        <f>'FS Desroches Daily'!AB6</f>
        <v>389.99999999998636</v>
      </c>
      <c r="R4" s="31">
        <f>'FS Desroches Daily'!AD6</f>
        <v>379.99999999999545</v>
      </c>
      <c r="S4" s="31">
        <f>'FS Desroches Daily'!AF6</f>
        <v>800.00000000006821</v>
      </c>
      <c r="T4" s="31">
        <f>'FS Desroches Daily'!AH6</f>
        <v>30</v>
      </c>
      <c r="U4" s="35">
        <f>'FS Desroches Daily'!AJ6</f>
        <v>550.00000000006821</v>
      </c>
      <c r="V4" s="35">
        <f>'FS Desroches Daily'!AL6</f>
        <v>189.99999999999773</v>
      </c>
      <c r="W4" s="35">
        <f>'FS Desroches Daily'!AN6</f>
        <v>169.99999999995907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110.00000000001364</v>
      </c>
      <c r="AC4" s="35">
        <f>'FS Desroches Daily'!AZ6</f>
        <v>159.99999999996817</v>
      </c>
      <c r="AD4" s="35">
        <f>'FS Desroches Daily'!BB6</f>
        <v>129.99999999999545</v>
      </c>
      <c r="AE4" s="35">
        <f>'FS Desroches Daily'!BD6</f>
        <v>39.99999999996362</v>
      </c>
      <c r="AF4" s="31">
        <f>'FS Desroches Daily'!BF6</f>
        <v>52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26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30.000000000001137</v>
      </c>
      <c r="AP4" s="32">
        <f>'FS Desroches Daily'!BZ6</f>
        <v>31</v>
      </c>
      <c r="AQ4" s="31">
        <f>'FS Desroches Daily'!CB6</f>
        <v>63</v>
      </c>
      <c r="AR4" s="31">
        <f>'FS Desroches Daily'!CD6</f>
        <v>10.200000000000728</v>
      </c>
      <c r="AS4" s="31">
        <f>'FS Desroches Daily'!CF6</f>
        <v>1</v>
      </c>
      <c r="AT4" s="31">
        <f>'FS Desroches Daily'!CH6</f>
        <v>65</v>
      </c>
      <c r="AU4" s="31">
        <f>'FS Desroches Daily'!CJ6</f>
        <v>293</v>
      </c>
      <c r="AV4" s="31">
        <f>'FS Desroches Daily'!CL6</f>
        <v>900.00000000009095</v>
      </c>
      <c r="AW4" s="31">
        <f>'FS Desroches Daily'!CM6</f>
        <v>121.89999999999782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21.977999999999998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42</v>
      </c>
      <c r="BD4" s="9"/>
    </row>
    <row r="5" spans="1:56" s="16" customFormat="1" x14ac:dyDescent="0.25">
      <c r="A5" s="27" t="s">
        <v>11</v>
      </c>
      <c r="B5" s="15">
        <v>4</v>
      </c>
      <c r="C5" s="18">
        <v>8</v>
      </c>
      <c r="D5" s="27">
        <v>2022</v>
      </c>
      <c r="E5" s="31">
        <f>'FS Desroches Daily'!D7</f>
        <v>2099.9999999999909</v>
      </c>
      <c r="F5" s="32">
        <f>'FS Desroches Daily'!F7</f>
        <v>3099.9999999998809</v>
      </c>
      <c r="G5" s="31">
        <f>'FS Desroches Daily'!H7</f>
        <v>3700.0000000002588</v>
      </c>
      <c r="H5" s="32">
        <f>'FS Desroches Daily'!J7</f>
        <v>1399.9999999998458</v>
      </c>
      <c r="I5" s="31">
        <f>'FS Desroches Daily'!L7</f>
        <v>1999.9999999997797</v>
      </c>
      <c r="J5" s="32">
        <f>'FS Desroches Daily'!N7</f>
        <v>1399.9999999998458</v>
      </c>
      <c r="K5" s="13">
        <f>'FS Desroches Daily'!P7</f>
        <v>24</v>
      </c>
      <c r="L5" s="31">
        <f>'FS Desroches Daily'!R7</f>
        <v>3</v>
      </c>
      <c r="M5" s="31">
        <f>'FS Desroches Daily'!T7</f>
        <v>1.6000000000001364</v>
      </c>
      <c r="N5" s="31">
        <f>'FS Desroches Daily'!V7</f>
        <v>421.70000000006985</v>
      </c>
      <c r="O5" s="31">
        <f>'FS Desroches Daily'!X8</f>
        <v>310.00000000005912</v>
      </c>
      <c r="P5" s="31">
        <f>'FS Desroches Daily'!Z7</f>
        <v>2900.0000000003465</v>
      </c>
      <c r="Q5" s="31">
        <f>'FS Desroches Daily'!AB7</f>
        <v>230.00000000001819</v>
      </c>
      <c r="R5" s="31">
        <f>'FS Desroches Daily'!AD7</f>
        <v>279.99999999997272</v>
      </c>
      <c r="S5" s="31">
        <f>'FS Desroches Daily'!AF7</f>
        <v>819.99999999993634</v>
      </c>
      <c r="T5" s="31">
        <f>'FS Desroches Daily'!AH7</f>
        <v>29</v>
      </c>
      <c r="U5" s="35">
        <f>'FS Desroches Daily'!AJ7</f>
        <v>539.99999999996362</v>
      </c>
      <c r="V5" s="35">
        <f>'FS Desroches Daily'!AL7</f>
        <v>180.00000000000682</v>
      </c>
      <c r="W5" s="35">
        <f>'FS Desroches Daily'!AN7</f>
        <v>210.00000000003638</v>
      </c>
      <c r="X5" s="35">
        <f>'FS Desroches Daily'!AP7</f>
        <v>180.00000000000682</v>
      </c>
      <c r="Y5" s="35">
        <f>'FS Desroches Daily'!AR7</f>
        <v>139.99999999998636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129.99999999999545</v>
      </c>
      <c r="AC5" s="35">
        <f>'FS Desroches Daily'!AZ7</f>
        <v>170.00000000001592</v>
      </c>
      <c r="AD5" s="35">
        <f>'FS Desroches Daily'!BB7</f>
        <v>139.99999999998636</v>
      </c>
      <c r="AE5" s="35">
        <f>'FS Desroches Daily'!BD7</f>
        <v>30.000000000029559</v>
      </c>
      <c r="AF5" s="31">
        <f>'FS Desroches Daily'!BF7</f>
        <v>28</v>
      </c>
      <c r="AG5" s="32">
        <f>'FS Desroches Daily'!BH7</f>
        <v>30.000000000001137</v>
      </c>
      <c r="AH5" s="32">
        <f>'FS Desroches Daily'!BJ7</f>
        <v>19.99999999998181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27</v>
      </c>
      <c r="AM5" s="32">
        <f>'FS Desroches Daily'!BT7</f>
        <v>39.999999999992042</v>
      </c>
      <c r="AN5" s="32">
        <f>'FS Desroches Daily'!BV7</f>
        <v>30</v>
      </c>
      <c r="AO5" s="32">
        <f>'FS Desroches Daily'!BX7</f>
        <v>30.000000000001137</v>
      </c>
      <c r="AP5" s="32">
        <f>'FS Desroches Daily'!BZ7</f>
        <v>35</v>
      </c>
      <c r="AQ5" s="31">
        <f>'FS Desroches Daily'!CB7</f>
        <v>63.399999999994179</v>
      </c>
      <c r="AR5" s="31">
        <f>'FS Desroches Daily'!CD7</f>
        <v>10.400000000001455</v>
      </c>
      <c r="AS5" s="31">
        <f>'FS Desroches Daily'!CF7</f>
        <v>1</v>
      </c>
      <c r="AT5" s="31">
        <f>'FS Desroches Daily'!CH7</f>
        <v>58.30000000000291</v>
      </c>
      <c r="AU5" s="31">
        <f>'FS Desroches Daily'!CJ7</f>
        <v>280</v>
      </c>
      <c r="AV5" s="31">
        <f>'FS Desroches Daily'!CL7</f>
        <v>1000</v>
      </c>
      <c r="AW5" s="31">
        <f>'FS Desroches Daily'!CM7</f>
        <v>122.29999999999927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5.4944999999999995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8</v>
      </c>
      <c r="D6" s="27">
        <v>2022</v>
      </c>
      <c r="E6" s="31">
        <f>'FS Desroches Daily'!D8</f>
        <v>2099.9999999999909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1399.9999999998458</v>
      </c>
      <c r="I6" s="31">
        <f>'FS Desroches Daily'!L8</f>
        <v>2000.0000000002237</v>
      </c>
      <c r="J6" s="32">
        <f>'FS Desroches Daily'!N8</f>
        <v>1700.0000000000348</v>
      </c>
      <c r="K6" s="13">
        <f>'FS Desroches Daily'!P8</f>
        <v>20</v>
      </c>
      <c r="L6" s="31">
        <f>'FS Desroches Daily'!R8</f>
        <v>2</v>
      </c>
      <c r="M6" s="31">
        <f>'FS Desroches Daily'!T8</f>
        <v>1.3999999999998636</v>
      </c>
      <c r="N6" s="31">
        <f>'FS Desroches Daily'!V8</f>
        <v>386.29999999993015</v>
      </c>
      <c r="O6" s="31">
        <f>'FS Desroches Daily'!X8</f>
        <v>310.00000000005912</v>
      </c>
      <c r="P6" s="31">
        <f>'FS Desroches Daily'!Z8</f>
        <v>2600.0000000001578</v>
      </c>
      <c r="Q6" s="31">
        <f>'FS Desroches Daily'!AB8</f>
        <v>409.99999999996817</v>
      </c>
      <c r="R6" s="31">
        <f>'FS Desroches Daily'!AD8</f>
        <v>300.00000000006821</v>
      </c>
      <c r="S6" s="31">
        <f>'FS Desroches Daily'!AF8</f>
        <v>879.99999999999545</v>
      </c>
      <c r="T6" s="31">
        <f>'FS Desroches Daily'!AH8</f>
        <v>32</v>
      </c>
      <c r="U6" s="35">
        <f>'FS Desroches Daily'!AJ8</f>
        <v>519.99999999998181</v>
      </c>
      <c r="V6" s="35">
        <f>'FS Desroches Daily'!AL8</f>
        <v>180.00000000000682</v>
      </c>
      <c r="W6" s="35">
        <f>'FS Desroches Daily'!AN8</f>
        <v>149.99999999997726</v>
      </c>
      <c r="X6" s="35">
        <f>'FS Desroches Daily'!AP8</f>
        <v>189.99999999999773</v>
      </c>
      <c r="Y6" s="35">
        <f>'FS Desroches Daily'!AR8</f>
        <v>129.99999999999545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120.00000000000455</v>
      </c>
      <c r="AC6" s="35">
        <f>'FS Desroches Daily'!AZ8</f>
        <v>150.00000000003411</v>
      </c>
      <c r="AD6" s="35">
        <f>'FS Desroches Daily'!BB8</f>
        <v>140.0000000000432</v>
      </c>
      <c r="AE6" s="35">
        <f>'FS Desroches Daily'!BD8</f>
        <v>29.999999999972715</v>
      </c>
      <c r="AF6" s="31">
        <f>'FS Desroches Daily'!BF8</f>
        <v>45</v>
      </c>
      <c r="AG6" s="32">
        <f>'FS Desroches Daily'!BH8</f>
        <v>30.000000000001137</v>
      </c>
      <c r="AH6" s="32">
        <f>'FS Desroches Daily'!BJ8</f>
        <v>30.000000000029559</v>
      </c>
      <c r="AI6" s="32">
        <f>'FS Desroches Daily'!BL8</f>
        <v>50.000000000011369</v>
      </c>
      <c r="AJ6" s="32">
        <f>'FS Desroches Daily'!BN8</f>
        <v>19.99999999998181</v>
      </c>
      <c r="AK6" s="32">
        <f>'FS Desroches Daily'!BP8</f>
        <v>29.999999999972715</v>
      </c>
      <c r="AL6" s="32">
        <f>'FS Desroches Daily'!BR8</f>
        <v>26</v>
      </c>
      <c r="AM6" s="32">
        <f>'FS Desroches Daily'!BT8</f>
        <v>30.000000000001137</v>
      </c>
      <c r="AN6" s="32">
        <f>'FS Desroches Daily'!BV8</f>
        <v>31</v>
      </c>
      <c r="AO6" s="32">
        <f>'FS Desroches Daily'!BX8</f>
        <v>30.000000000001137</v>
      </c>
      <c r="AP6" s="32">
        <f>'FS Desroches Daily'!BZ8</f>
        <v>34</v>
      </c>
      <c r="AQ6" s="31">
        <f>'FS Desroches Daily'!CB8</f>
        <v>56.5</v>
      </c>
      <c r="AR6" s="31">
        <f>'FS Desroches Daily'!CD8</f>
        <v>9.1999999999970896</v>
      </c>
      <c r="AS6" s="31">
        <f>'FS Desroches Daily'!CF8</f>
        <v>7</v>
      </c>
      <c r="AT6" s="31">
        <f>'FS Desroches Daily'!CH8</f>
        <v>62.099999999991269</v>
      </c>
      <c r="AU6" s="31">
        <f>'FS Desroches Daily'!CJ8</f>
        <v>286</v>
      </c>
      <c r="AV6" s="31">
        <f>'FS Desroches Daily'!CL8</f>
        <v>1000</v>
      </c>
      <c r="AW6" s="31">
        <f>'FS Desroches Daily'!CM8</f>
        <v>126.90000000000146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1.8314999999999999</v>
      </c>
      <c r="BB6" s="31">
        <f>IF(LPG!Q13-LPG!Q12&lt;0,"0",(LPG!Q13-LPG!Q12)*1.8315)</f>
        <v>9.1574999999999989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8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3599.9999999996035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1799.9999999998017</v>
      </c>
      <c r="K7" s="13">
        <f>'FS Desroches Daily'!P9</f>
        <v>21</v>
      </c>
      <c r="L7" s="31">
        <f>'FS Desroches Daily'!R9</f>
        <v>3</v>
      </c>
      <c r="M7" s="31">
        <f>'FS Desroches Daily'!T9</f>
        <v>1.6000000000001364</v>
      </c>
      <c r="N7" s="31">
        <f>'FS Desroches Daily'!V9</f>
        <v>429.59999999997672</v>
      </c>
      <c r="O7" s="31">
        <f>'FS Desroches Daily'!X9</f>
        <v>329.99999999992724</v>
      </c>
      <c r="P7" s="31">
        <f>'FS Desroches Daily'!Z9</f>
        <v>3099.9999999998809</v>
      </c>
      <c r="Q7" s="31">
        <f>'FS Desroches Daily'!AB9</f>
        <v>389.99999999998636</v>
      </c>
      <c r="R7" s="31">
        <f>'FS Desroches Daily'!AD9</f>
        <v>360.00000000001364</v>
      </c>
      <c r="S7" s="31">
        <f>'FS Desroches Daily'!AF9</f>
        <v>970.00000000002728</v>
      </c>
      <c r="T7" s="31">
        <f>'FS Desroches Daily'!AH9</f>
        <v>38</v>
      </c>
      <c r="U7" s="35">
        <f>'FS Desroches Daily'!AJ9</f>
        <v>180.00000000006366</v>
      </c>
      <c r="V7" s="35">
        <f>'FS Desroches Daily'!AL9</f>
        <v>240.00000000000909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170.00000000001592</v>
      </c>
      <c r="AA7" s="35">
        <f>'FS Desroches Daily'!AT9</f>
        <v>170.00000000001592</v>
      </c>
      <c r="AB7" s="35">
        <f>'FS Desroches Daily'!AV9</f>
        <v>120.00000000000455</v>
      </c>
      <c r="AC7" s="35">
        <f>'FS Desroches Daily'!AZ9</f>
        <v>169.99999999995907</v>
      </c>
      <c r="AD7" s="35">
        <f>'FS Desroches Daily'!BB9</f>
        <v>169.99999999995907</v>
      </c>
      <c r="AE7" s="35">
        <f>'FS Desroches Daily'!BD9</f>
        <v>30.000000000029559</v>
      </c>
      <c r="AF7" s="31">
        <f>'FS Desroches Daily'!BF9</f>
        <v>24</v>
      </c>
      <c r="AG7" s="32">
        <f>'FS Desroches Daily'!BH9</f>
        <v>30.000000000001137</v>
      </c>
      <c r="AH7" s="32">
        <f>'FS Desroches Daily'!BJ9</f>
        <v>19.99999999998181</v>
      </c>
      <c r="AI7" s="32">
        <f>'FS Desroches Daily'!BL9</f>
        <v>49.999999999982947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29</v>
      </c>
      <c r="AM7" s="32">
        <f>'FS Desroches Daily'!BT9</f>
        <v>30.000000000001137</v>
      </c>
      <c r="AN7" s="32">
        <f>'FS Desroches Daily'!BV9</f>
        <v>29</v>
      </c>
      <c r="AO7" s="32">
        <f>'FS Desroches Daily'!BX9</f>
        <v>39.999999999992042</v>
      </c>
      <c r="AP7" s="32">
        <f>'FS Desroches Daily'!BZ9</f>
        <v>36</v>
      </c>
      <c r="AQ7" s="31">
        <f>'FS Desroches Daily'!CB9</f>
        <v>58.80000000000291</v>
      </c>
      <c r="AR7" s="31">
        <f>'FS Desroches Daily'!CD9</f>
        <v>14.200000000000728</v>
      </c>
      <c r="AS7" s="31">
        <f>'FS Desroches Daily'!CF9</f>
        <v>9.1999999999989086</v>
      </c>
      <c r="AT7" s="31">
        <f>'FS Desroches Daily'!CH9</f>
        <v>56.400000000008731</v>
      </c>
      <c r="AU7" s="31">
        <f>'FS Desroches Daily'!CJ9</f>
        <v>276</v>
      </c>
      <c r="AV7" s="31">
        <f>'FS Desroches Daily'!CL9</f>
        <v>899.99999999986358</v>
      </c>
      <c r="AW7" s="31">
        <f>'FS Desroches Daily'!CM9</f>
        <v>131.5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3.6629999999999998</v>
      </c>
      <c r="BC7" s="13">
        <f>'FS Desroches Daily'!CN9</f>
        <v>54</v>
      </c>
      <c r="BD7" s="9"/>
    </row>
    <row r="8" spans="1:56" s="16" customFormat="1" x14ac:dyDescent="0.25">
      <c r="A8" s="27" t="s">
        <v>11</v>
      </c>
      <c r="B8" s="15">
        <v>7</v>
      </c>
      <c r="C8" s="18">
        <v>8</v>
      </c>
      <c r="D8" s="27">
        <v>2022</v>
      </c>
      <c r="E8" s="31">
        <f>'FS Desroches Daily'!D10</f>
        <v>2399.9999999997358</v>
      </c>
      <c r="F8" s="32">
        <f>'FS Desroches Daily'!F10</f>
        <v>3300.0000000003029</v>
      </c>
      <c r="G8" s="31">
        <f>'FS Desroches Daily'!H10</f>
        <v>3800.0000000000255</v>
      </c>
      <c r="H8" s="32">
        <f>'FS Desroches Daily'!J10</f>
        <v>1500.0000000000568</v>
      </c>
      <c r="I8" s="31">
        <f>'FS Desroches Daily'!L10</f>
        <v>1900.0000000000127</v>
      </c>
      <c r="J8" s="32">
        <f>'FS Desroches Daily'!N10</f>
        <v>1700.0000000000348</v>
      </c>
      <c r="K8" s="13">
        <f>'FS Desroches Daily'!P10</f>
        <v>18</v>
      </c>
      <c r="L8" s="31">
        <f>'FS Desroches Daily'!R10</f>
        <v>2</v>
      </c>
      <c r="M8" s="31">
        <f>'FS Desroches Daily'!T10</f>
        <v>2.0999999999999091</v>
      </c>
      <c r="N8" s="31">
        <f>'FS Desroches Daily'!V10</f>
        <v>491.20000000006985</v>
      </c>
      <c r="O8" s="31">
        <f>'FS Desroches Daily'!X10</f>
        <v>240.00000000000909</v>
      </c>
      <c r="P8" s="31">
        <f>'FS Desroches Daily'!Z10</f>
        <v>2799.9999999996917</v>
      </c>
      <c r="Q8" s="31">
        <f>'FS Desroches Daily'!AB10</f>
        <v>350.00000000002274</v>
      </c>
      <c r="R8" s="31">
        <f>'FS Desroches Daily'!AD10</f>
        <v>370.00000000000455</v>
      </c>
      <c r="S8" s="31">
        <f>'FS Desroches Daily'!AF10</f>
        <v>830.00000000004093</v>
      </c>
      <c r="T8" s="31">
        <f>'FS Desroches Daily'!AH10</f>
        <v>33</v>
      </c>
      <c r="U8" s="35">
        <f>'FS Desroches Daily'!AJ10</f>
        <v>1229.9999999999045</v>
      </c>
      <c r="V8" s="35">
        <f>'FS Desroches Daily'!AL10</f>
        <v>159.99999999996817</v>
      </c>
      <c r="W8" s="35">
        <f>'FS Desroches Daily'!AN10</f>
        <v>139.99999999998636</v>
      </c>
      <c r="X8" s="35">
        <f>'FS Desroches Daily'!AP10</f>
        <v>120.00000000000455</v>
      </c>
      <c r="Y8" s="35">
        <f>'FS Desroches Daily'!AR10</f>
        <v>170.00000000001592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120.00000000000455</v>
      </c>
      <c r="AC8" s="35">
        <f>'FS Desroches Daily'!AZ10</f>
        <v>180.00000000000682</v>
      </c>
      <c r="AD8" s="35">
        <f>'FS Desroches Daily'!BB10</f>
        <v>129.99999999999545</v>
      </c>
      <c r="AE8" s="35">
        <f>'FS Desroches Daily'!BD10</f>
        <v>29.999999999972715</v>
      </c>
      <c r="AF8" s="31">
        <f>'FS Desroches Daily'!BF10</f>
        <v>35</v>
      </c>
      <c r="AG8" s="32">
        <f>'FS Desroches Daily'!BH10</f>
        <v>39.999999999992042</v>
      </c>
      <c r="AH8" s="32">
        <f>'FS Desroches Daily'!BJ10</f>
        <v>30.000000000029559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33</v>
      </c>
      <c r="AO8" s="32">
        <f>'FS Desroches Daily'!BX10</f>
        <v>39.999999999992042</v>
      </c>
      <c r="AP8" s="32">
        <f>'FS Desroches Daily'!BZ10</f>
        <v>44</v>
      </c>
      <c r="AQ8" s="31">
        <f>'FS Desroches Daily'!CB10</f>
        <v>53.80000000000291</v>
      </c>
      <c r="AR8" s="31">
        <f>'FS Desroches Daily'!CD10</f>
        <v>9.2999999999992724</v>
      </c>
      <c r="AS8" s="31">
        <f>'FS Desroches Daily'!CF10</f>
        <v>3.8000000000010914</v>
      </c>
      <c r="AT8" s="31">
        <f>'FS Desroches Daily'!CH10</f>
        <v>66.19999999999709</v>
      </c>
      <c r="AU8" s="31">
        <f>'FS Desroches Daily'!CJ10</f>
        <v>291</v>
      </c>
      <c r="AV8" s="31">
        <f>'FS Desroches Daily'!CL10</f>
        <v>900.00000000009095</v>
      </c>
      <c r="AW8" s="31">
        <f>'FS Desroches Daily'!CM10</f>
        <v>127.20000000000073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12.820499999999999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54</v>
      </c>
      <c r="BD8" s="9"/>
    </row>
    <row r="9" spans="1:56" s="16" customFormat="1" x14ac:dyDescent="0.25">
      <c r="A9" s="27" t="s">
        <v>11</v>
      </c>
      <c r="B9" s="15">
        <v>8</v>
      </c>
      <c r="C9" s="18">
        <v>8</v>
      </c>
      <c r="D9" s="27">
        <v>2022</v>
      </c>
      <c r="E9" s="31">
        <f>'FS Desroches Daily'!D11</f>
        <v>2200.0000000002019</v>
      </c>
      <c r="F9" s="32">
        <f>'FS Desroches Daily'!F11</f>
        <v>3099.9999999998809</v>
      </c>
      <c r="G9" s="31">
        <f>'FS Desroches Daily'!H11</f>
        <v>3600.0000000004916</v>
      </c>
      <c r="H9" s="32">
        <f>'FS Desroches Daily'!J11</f>
        <v>1500.0000000000568</v>
      </c>
      <c r="I9" s="31">
        <f>'FS Desroches Daily'!L11</f>
        <v>1999.9999999997797</v>
      </c>
      <c r="J9" s="32">
        <f>'FS Desroches Daily'!N11</f>
        <v>1600.0000000002678</v>
      </c>
      <c r="K9" s="13">
        <f>'FS Desroches Daily'!P11</f>
        <v>18</v>
      </c>
      <c r="L9" s="31">
        <f>'FS Desroches Daily'!R11</f>
        <v>1</v>
      </c>
      <c r="M9" s="31">
        <f>'FS Desroches Daily'!T11</f>
        <v>1.4000000000000909</v>
      </c>
      <c r="N9" s="31">
        <f>'FS Desroches Daily'!V11</f>
        <v>543.90000000002328</v>
      </c>
      <c r="O9" s="31">
        <f>'FS Desroches Daily'!X11</f>
        <v>259.99999999999091</v>
      </c>
      <c r="P9" s="31">
        <f>'FS Desroches Daily'!Z11</f>
        <v>3200.0000000005357</v>
      </c>
      <c r="Q9" s="31">
        <f>'FS Desroches Daily'!AB11</f>
        <v>409.99999999996817</v>
      </c>
      <c r="R9" s="31">
        <f>'FS Desroches Daily'!AD11</f>
        <v>309.99999999994543</v>
      </c>
      <c r="S9" s="31">
        <f>'FS Desroches Daily'!AF11</f>
        <v>769.99999999998181</v>
      </c>
      <c r="T9" s="31">
        <f>'FS Desroches Daily'!AH11</f>
        <v>38</v>
      </c>
      <c r="U9" s="35">
        <f>'FS Desroches Daily'!AJ11</f>
        <v>710.00000000003638</v>
      </c>
      <c r="V9" s="35">
        <f>'FS Desroches Daily'!AL11</f>
        <v>189.99999999999773</v>
      </c>
      <c r="W9" s="35">
        <f>'FS Desroches Daily'!AN11</f>
        <v>150.00000000003411</v>
      </c>
      <c r="X9" s="35">
        <f>'FS Desroches Daily'!AP11</f>
        <v>129.99999999999545</v>
      </c>
      <c r="Y9" s="35">
        <f>'FS Desroches Daily'!AR11</f>
        <v>189.99999999999773</v>
      </c>
      <c r="Z9" s="35">
        <f>'FS Desroches Daily'!AT11</f>
        <v>180.00000000000682</v>
      </c>
      <c r="AA9" s="35">
        <f>'FS Desroches Daily'!AT11</f>
        <v>180.00000000000682</v>
      </c>
      <c r="AB9" s="35">
        <f>'FS Desroches Daily'!AV11</f>
        <v>129.99999999999545</v>
      </c>
      <c r="AC9" s="35">
        <f>'FS Desroches Daily'!AZ11</f>
        <v>170.00000000001592</v>
      </c>
      <c r="AD9" s="35">
        <f>'FS Desroches Daily'!BB11</f>
        <v>100.00000000002274</v>
      </c>
      <c r="AE9" s="35">
        <f>'FS Desroches Daily'!BD11</f>
        <v>19.99999999998181</v>
      </c>
      <c r="AF9" s="31">
        <f>'FS Desroches Daily'!BF11</f>
        <v>65</v>
      </c>
      <c r="AG9" s="32">
        <f>'FS Desroches Daily'!BH11</f>
        <v>19.99999999998181</v>
      </c>
      <c r="AH9" s="32">
        <f>'FS Desroches Daily'!BJ11</f>
        <v>29.999999999972715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20.000000000038654</v>
      </c>
      <c r="AL9" s="32">
        <f>'FS Desroches Daily'!BR11</f>
        <v>25</v>
      </c>
      <c r="AM9" s="32">
        <f>'FS Desroches Daily'!BT11</f>
        <v>30.000000000001137</v>
      </c>
      <c r="AN9" s="32">
        <f>'FS Desroches Daily'!BV11</f>
        <v>27</v>
      </c>
      <c r="AO9" s="32">
        <f>'FS Desroches Daily'!BX11</f>
        <v>30.000000000001137</v>
      </c>
      <c r="AP9" s="32">
        <f>'FS Desroches Daily'!BZ11</f>
        <v>36</v>
      </c>
      <c r="AQ9" s="31">
        <f>'FS Desroches Daily'!CB11</f>
        <v>65.599999999998545</v>
      </c>
      <c r="AR9" s="31">
        <f>'FS Desroches Daily'!CD11</f>
        <v>11.900000000001455</v>
      </c>
      <c r="AS9" s="31">
        <f>'FS Desroches Daily'!CF11</f>
        <v>8.2999999999992724</v>
      </c>
      <c r="AT9" s="31">
        <f>'FS Desroches Daily'!CH11</f>
        <v>54.599999999991269</v>
      </c>
      <c r="AU9" s="31">
        <f>'FS Desroches Daily'!CJ11</f>
        <v>308</v>
      </c>
      <c r="AV9" s="31">
        <f>'FS Desroches Daily'!CL11</f>
        <v>799.99999999995453</v>
      </c>
      <c r="AW9" s="31">
        <f>'FS Desroches Daily'!CM11</f>
        <v>126.79999999999927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9.1574999999999989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54</v>
      </c>
      <c r="BD9" s="9"/>
    </row>
    <row r="10" spans="1:56" s="16" customFormat="1" x14ac:dyDescent="0.25">
      <c r="A10" s="27" t="s">
        <v>11</v>
      </c>
      <c r="B10" s="15">
        <v>9</v>
      </c>
      <c r="C10" s="18">
        <v>8</v>
      </c>
      <c r="D10" s="27">
        <v>2022</v>
      </c>
      <c r="E10" s="31">
        <f>'FS Desroches Daily'!D12</f>
        <v>2200.0000000002019</v>
      </c>
      <c r="F10" s="32">
        <f>'FS Desroches Daily'!F12</f>
        <v>3199.9999999996476</v>
      </c>
      <c r="G10" s="31">
        <f>'FS Desroches Daily'!H12</f>
        <v>3699.9999999993706</v>
      </c>
      <c r="H10" s="32">
        <f>'FS Desroches Daily'!J12</f>
        <v>1500.0000000000568</v>
      </c>
      <c r="I10" s="31">
        <f>'FS Desroches Daily'!L12</f>
        <v>2000.0000000002237</v>
      </c>
      <c r="J10" s="32">
        <f>'FS Desroches Daily'!N12</f>
        <v>1599.9999999998238</v>
      </c>
      <c r="K10" s="13">
        <f>'FS Desroches Daily'!P12</f>
        <v>26</v>
      </c>
      <c r="L10" s="31">
        <f>'FS Desroches Daily'!R12</f>
        <v>4</v>
      </c>
      <c r="M10" s="31">
        <f>'FS Desroches Daily'!T12</f>
        <v>1.5999999999999091</v>
      </c>
      <c r="N10" s="31">
        <f>'FS Desroches Daily'!V12</f>
        <v>408.29999999993015</v>
      </c>
      <c r="O10" s="31">
        <f>'FS Desroches Daily'!X12</f>
        <v>230.00000000001819</v>
      </c>
      <c r="P10" s="31">
        <f>'FS Desroches Daily'!Z12</f>
        <v>2899.9999999994584</v>
      </c>
      <c r="Q10" s="31">
        <f>'FS Desroches Daily'!AB12</f>
        <v>400.00000000009095</v>
      </c>
      <c r="R10" s="31">
        <f>'FS Desroches Daily'!AD12</f>
        <v>320.00000000005002</v>
      </c>
      <c r="S10" s="31">
        <f>'FS Desroches Daily'!AF12</f>
        <v>740.00000000000909</v>
      </c>
      <c r="T10" s="31">
        <f>'FS Desroches Daily'!AH12</f>
        <v>32</v>
      </c>
      <c r="U10" s="35">
        <f>'FS Desroches Daily'!AJ12</f>
        <v>610.00000000001364</v>
      </c>
      <c r="V10" s="35">
        <f>'FS Desroches Daily'!AL12</f>
        <v>210.00000000003638</v>
      </c>
      <c r="W10" s="35">
        <f>'FS Desroches Daily'!AN12</f>
        <v>149.99999999997726</v>
      </c>
      <c r="X10" s="35">
        <f>'FS Desroches Daily'!AP12</f>
        <v>99.999999999965894</v>
      </c>
      <c r="Y10" s="35">
        <f>'FS Desroches Daily'!AR12</f>
        <v>139.99999999998636</v>
      </c>
      <c r="Z10" s="35">
        <f>'FS Desroches Daily'!AT12</f>
        <v>179.99999999994998</v>
      </c>
      <c r="AA10" s="35">
        <f>'FS Desroches Daily'!AT12</f>
        <v>179.99999999994998</v>
      </c>
      <c r="AB10" s="35">
        <f>'FS Desroches Daily'!AV12</f>
        <v>120.00000000000455</v>
      </c>
      <c r="AC10" s="35">
        <f>'FS Desroches Daily'!AZ12</f>
        <v>139.99999999998636</v>
      </c>
      <c r="AD10" s="35">
        <f>'FS Desroches Daily'!BB12</f>
        <v>110.00000000001364</v>
      </c>
      <c r="AE10" s="35">
        <f>'FS Desroches Daily'!BD12</f>
        <v>30.000000000029559</v>
      </c>
      <c r="AF10" s="31">
        <f>'FS Desroches Daily'!BF12</f>
        <v>38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39.99999999996362</v>
      </c>
      <c r="AL10" s="32">
        <f>'FS Desroches Daily'!BR12</f>
        <v>34</v>
      </c>
      <c r="AM10" s="32">
        <f>'FS Desroches Daily'!BT12</f>
        <v>30.000000000001137</v>
      </c>
      <c r="AN10" s="32">
        <f>'FS Desroches Daily'!BV12</f>
        <v>34</v>
      </c>
      <c r="AO10" s="32">
        <f>'FS Desroches Daily'!BX12</f>
        <v>30.000000000001137</v>
      </c>
      <c r="AP10" s="32">
        <f>'FS Desroches Daily'!BZ12</f>
        <v>37</v>
      </c>
      <c r="AQ10" s="31">
        <f>'FS Desroches Daily'!CB12</f>
        <v>56.400000000001455</v>
      </c>
      <c r="AR10" s="31">
        <f>'FS Desroches Daily'!CD12</f>
        <v>9.0999999999985448</v>
      </c>
      <c r="AS10" s="31">
        <f>'FS Desroches Daily'!CF12</f>
        <v>5.2000000000007276</v>
      </c>
      <c r="AT10" s="31">
        <f>'FS Desroches Daily'!CH12</f>
        <v>58.900000000008731</v>
      </c>
      <c r="AU10" s="31">
        <f>'FS Desroches Daily'!CJ12</f>
        <v>278</v>
      </c>
      <c r="AV10" s="31">
        <f>'FS Desroches Daily'!CL12</f>
        <v>900.00000000009095</v>
      </c>
      <c r="AW10" s="31">
        <f>'FS Desroches Daily'!CM12</f>
        <v>123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10.988999999999999</v>
      </c>
      <c r="BA10" s="31">
        <f>IF(LPG!M18-LPG!M16&lt;0,"0",(LPG!M18-LPG!M16)*1.8315)</f>
        <v>3.6629999999999998</v>
      </c>
      <c r="BB10" s="31">
        <f>IF(LPG!Q17-LPG!Q16&lt;0,"0",(LPG!Q17-LPG!Q16)*1.8315)</f>
        <v>7.3259999999999996</v>
      </c>
      <c r="BC10" s="13">
        <f>'FS Desroches Daily'!CN12</f>
        <v>52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8</v>
      </c>
      <c r="D11" s="27">
        <v>2022</v>
      </c>
      <c r="E11" s="31">
        <f>'FS Desroches Daily'!D13</f>
        <v>1999.9999999997797</v>
      </c>
      <c r="F11" s="32">
        <f>'FS Desroches Daily'!F13</f>
        <v>2799.9999999996917</v>
      </c>
      <c r="G11" s="31">
        <f>'FS Desroches Daily'!H13</f>
        <v>3500.0000000007249</v>
      </c>
      <c r="H11" s="32">
        <f>'FS Desroches Daily'!J13</f>
        <v>1399.9999999998458</v>
      </c>
      <c r="I11" s="31">
        <f>'FS Desroches Daily'!L13</f>
        <v>1999.9999999997797</v>
      </c>
      <c r="J11" s="32">
        <f>'FS Desroches Daily'!N13</f>
        <v>1400.0000000002899</v>
      </c>
      <c r="K11" s="13">
        <f>'FS Desroches Daily'!P13</f>
        <v>19</v>
      </c>
      <c r="L11" s="31">
        <f>'FS Desroches Daily'!R13</f>
        <v>1</v>
      </c>
      <c r="M11" s="31">
        <f>'FS Desroches Daily'!T13</f>
        <v>1.5</v>
      </c>
      <c r="N11" s="31">
        <f>'FS Desroches Daily'!V13</f>
        <v>333</v>
      </c>
      <c r="O11" s="31">
        <f>'FS Desroches Daily'!X13</f>
        <v>250</v>
      </c>
      <c r="P11" s="31">
        <f>'FS Desroches Daily'!Z13</f>
        <v>2500.0000000003906</v>
      </c>
      <c r="Q11" s="31">
        <f>'FS Desroches Daily'!AB13</f>
        <v>379.99999999999545</v>
      </c>
      <c r="R11" s="31">
        <f>'FS Desroches Daily'!AD13</f>
        <v>279.99999999997272</v>
      </c>
      <c r="S11" s="31">
        <f>'FS Desroches Daily'!AF13</f>
        <v>730.00000000001819</v>
      </c>
      <c r="T11" s="31">
        <f>'FS Desroches Daily'!AH13</f>
        <v>28</v>
      </c>
      <c r="U11" s="35">
        <f>'FS Desroches Daily'!AJ13</f>
        <v>539.99999999996362</v>
      </c>
      <c r="V11" s="35">
        <f>'FS Desroches Daily'!AL13</f>
        <v>180.00000000000682</v>
      </c>
      <c r="W11" s="35">
        <f>'FS Desroches Daily'!AN13</f>
        <v>149.99999999997726</v>
      </c>
      <c r="X11" s="35">
        <f>'FS Desroches Daily'!AP13</f>
        <v>100.00000000002274</v>
      </c>
      <c r="Y11" s="35">
        <f>'FS Desroches Daily'!AR13</f>
        <v>129.99999999999545</v>
      </c>
      <c r="Z11" s="35">
        <f>'FS Desroches Daily'!AT13</f>
        <v>170.00000000001592</v>
      </c>
      <c r="AA11" s="35">
        <f>'FS Desroches Daily'!AT13</f>
        <v>170.00000000001592</v>
      </c>
      <c r="AB11" s="35">
        <f>'FS Desroches Daily'!AV13</f>
        <v>89.999999999974989</v>
      </c>
      <c r="AC11" s="35">
        <f>'FS Desroches Daily'!AZ13</f>
        <v>129.99999999999545</v>
      </c>
      <c r="AD11" s="35">
        <f>'FS Desroches Daily'!BB13</f>
        <v>89.999999999974989</v>
      </c>
      <c r="AE11" s="35">
        <f>'FS Desroches Daily'!BD13</f>
        <v>40.000000000020464</v>
      </c>
      <c r="AF11" s="31">
        <f>'FS Desroches Daily'!BF13</f>
        <v>43</v>
      </c>
      <c r="AG11" s="32">
        <f>'FS Desroches Daily'!BH13</f>
        <v>20.000000000010232</v>
      </c>
      <c r="AH11" s="32">
        <f>'FS Desroches Daily'!BJ13</f>
        <v>19.99999999998181</v>
      </c>
      <c r="AI11" s="32">
        <f>'FS Desroches Daily'!BL13</f>
        <v>39.999999999992042</v>
      </c>
      <c r="AJ11" s="32">
        <f>'FS Desroches Daily'!BN13</f>
        <v>30.000000000001137</v>
      </c>
      <c r="AK11" s="32">
        <f>'FS Desroches Daily'!BP13</f>
        <v>20.000000000038654</v>
      </c>
      <c r="AL11" s="32">
        <f>'FS Desroches Daily'!BR13</f>
        <v>27</v>
      </c>
      <c r="AM11" s="32">
        <f>'FS Desroches Daily'!BT13</f>
        <v>20.000000000010232</v>
      </c>
      <c r="AN11" s="32">
        <f>'FS Desroches Daily'!BV13</f>
        <v>32</v>
      </c>
      <c r="AO11" s="32">
        <f>'FS Desroches Daily'!BX13</f>
        <v>30.000000000001137</v>
      </c>
      <c r="AP11" s="32">
        <f>'FS Desroches Daily'!BZ13</f>
        <v>34</v>
      </c>
      <c r="AQ11" s="31">
        <f>'FS Desroches Daily'!CB13</f>
        <v>44.099999999998545</v>
      </c>
      <c r="AR11" s="31">
        <f>'FS Desroches Daily'!CD13</f>
        <v>8.2000000000007276</v>
      </c>
      <c r="AS11" s="31">
        <f>'FS Desroches Daily'!CF13</f>
        <v>3.6999999999989086</v>
      </c>
      <c r="AT11" s="31">
        <f>'FS Desroches Daily'!CH13</f>
        <v>45.399999999994179</v>
      </c>
      <c r="AU11" s="31">
        <f>'FS Desroches Daily'!CJ13</f>
        <v>288</v>
      </c>
      <c r="AV11" s="31">
        <f>'FS Desroches Daily'!CL13</f>
        <v>1000</v>
      </c>
      <c r="AW11" s="31">
        <f>'FS Desroches Daily'!CM13</f>
        <v>127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7.3259999999999996</v>
      </c>
      <c r="BA11" s="31" t="str">
        <f>IF(LPG!M19-LPG!M17&lt;0,"0",(LPG!M19-LPG!M17)*1.8315)</f>
        <v>0</v>
      </c>
      <c r="BB11" s="31">
        <f>IF(LPG!Q18-LPG!Q17&lt;0,"0",(LPG!Q18-LPG!Q17)*1.8315)</f>
        <v>10.988999999999999</v>
      </c>
      <c r="BC11" s="13">
        <f>'FS Desroches Daily'!CN13</f>
        <v>51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8</v>
      </c>
      <c r="D12" s="27">
        <v>2022</v>
      </c>
      <c r="E12" s="31">
        <f>'FS Desroches Daily'!D14</f>
        <v>2099.9999999999909</v>
      </c>
      <c r="F12" s="32">
        <f>'FS Desroches Daily'!F14</f>
        <v>3300.0000000003029</v>
      </c>
      <c r="G12" s="31">
        <f>'FS Desroches Daily'!H14</f>
        <v>3800.0000000000255</v>
      </c>
      <c r="H12" s="32">
        <f>'FS Desroches Daily'!J14</f>
        <v>1400.0000000002899</v>
      </c>
      <c r="I12" s="31">
        <f>'FS Desroches Daily'!L14</f>
        <v>2000.0000000002237</v>
      </c>
      <c r="J12" s="32">
        <f>'FS Desroches Daily'!N14</f>
        <v>1399.9999999998458</v>
      </c>
      <c r="K12" s="13">
        <f>'FS Desroches Daily'!P14</f>
        <v>19</v>
      </c>
      <c r="L12" s="31">
        <f>'FS Desroches Daily'!R14</f>
        <v>2</v>
      </c>
      <c r="M12" s="31">
        <f>'FS Desroches Daily'!T14</f>
        <v>1.7999999999999545</v>
      </c>
      <c r="N12" s="31">
        <f>'FS Desroches Daily'!V14</f>
        <v>439.59999999997672</v>
      </c>
      <c r="O12" s="31">
        <f>'FS Desroches Daily'!X14</f>
        <v>350.00000000002274</v>
      </c>
      <c r="P12" s="31">
        <f>'FS Desroches Daily'!Z14</f>
        <v>3099.9999999998809</v>
      </c>
      <c r="Q12" s="31">
        <f>'FS Desroches Daily'!AB14</f>
        <v>259.99999999999091</v>
      </c>
      <c r="R12" s="31">
        <f>'FS Desroches Daily'!AD14</f>
        <v>299.99999999995453</v>
      </c>
      <c r="S12" s="31">
        <f>'FS Desroches Daily'!AF14</f>
        <v>730.00000000001819</v>
      </c>
      <c r="T12" s="31">
        <f>'FS Desroches Daily'!AH14</f>
        <v>31</v>
      </c>
      <c r="U12" s="35">
        <f>'FS Desroches Daily'!AJ14</f>
        <v>629.99999999999545</v>
      </c>
      <c r="V12" s="35">
        <f>'FS Desroches Daily'!AL14</f>
        <v>209.99999999997954</v>
      </c>
      <c r="W12" s="35">
        <f>'FS Desroches Daily'!AN14</f>
        <v>180.00000000000682</v>
      </c>
      <c r="X12" s="35">
        <f>'FS Desroches Daily'!AP14</f>
        <v>129.99999999999545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90.000000000031832</v>
      </c>
      <c r="AC12" s="35">
        <f>'FS Desroches Daily'!AZ14</f>
        <v>110.00000000001364</v>
      </c>
      <c r="AD12" s="35">
        <f>'FS Desroches Daily'!BB14</f>
        <v>80.000000000040927</v>
      </c>
      <c r="AE12" s="35">
        <f>'FS Desroches Daily'!BD14</f>
        <v>39.99999999996362</v>
      </c>
      <c r="AF12" s="31">
        <f>'FS Desroches Daily'!BF14</f>
        <v>37</v>
      </c>
      <c r="AG12" s="32">
        <f>'FS Desroches Daily'!BH14</f>
        <v>30.000000000001137</v>
      </c>
      <c r="AH12" s="32">
        <f>'FS Desroches Daily'!BJ14</f>
        <v>29.999999999972715</v>
      </c>
      <c r="AI12" s="32">
        <f>'FS Desroches Daily'!BL14</f>
        <v>39.999999999992042</v>
      </c>
      <c r="AJ12" s="32">
        <f>'FS Desroches Daily'!BN14</f>
        <v>30.000000000001137</v>
      </c>
      <c r="AK12" s="32">
        <f>'FS Desroches Daily'!BP14</f>
        <v>39.99999999996362</v>
      </c>
      <c r="AL12" s="32">
        <f>'FS Desroches Daily'!BR14</f>
        <v>34</v>
      </c>
      <c r="AM12" s="32">
        <f>'FS Desroches Daily'!BT14</f>
        <v>30.000000000001137</v>
      </c>
      <c r="AN12" s="32">
        <f>'FS Desroches Daily'!BV14</f>
        <v>32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60.299999999995634</v>
      </c>
      <c r="AR12" s="31">
        <f>'FS Desroches Daily'!CD14</f>
        <v>20.600000000002183</v>
      </c>
      <c r="AS12" s="31">
        <f>'FS Desroches Daily'!CF14</f>
        <v>3.3999999999996362</v>
      </c>
      <c r="AT12" s="31">
        <f>'FS Desroches Daily'!CH14</f>
        <v>45.69999999999709</v>
      </c>
      <c r="AU12" s="31">
        <f>'FS Desroches Daily'!CJ14</f>
        <v>294</v>
      </c>
      <c r="AV12" s="31">
        <f>'FS Desroches Daily'!CL14</f>
        <v>899.99999999986358</v>
      </c>
      <c r="AW12" s="31">
        <f>'FS Desroches Daily'!CM14</f>
        <v>114</v>
      </c>
      <c r="AX12" s="31" t="str">
        <f>IF(LPG!F19-LPG!F18&lt;0,"0",(LPG!F19-LPG!F18)*1.8315)</f>
        <v>0</v>
      </c>
      <c r="AY12" s="31" t="str">
        <f>IF(LPG!H19-LPG!H18&lt;0,"0",(LPG!H19-LPG!H18)*1.8315)</f>
        <v>0</v>
      </c>
      <c r="AZ12" s="31" t="str">
        <f>IF(LPG!J19-LPG!J18&lt;0,"0",(LPG!J19-LPG!J18)*1.8315)</f>
        <v>0</v>
      </c>
      <c r="BA12" s="31" t="str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41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8</v>
      </c>
      <c r="D13" s="27">
        <v>2022</v>
      </c>
      <c r="E13" s="31" t="str">
        <f>'FS Desroches Daily'!D15</f>
        <v>0</v>
      </c>
      <c r="F13" s="32" t="str">
        <f>'FS Desroches Daily'!F15</f>
        <v>0</v>
      </c>
      <c r="G13" s="31" t="str">
        <f>'FS Desroches Daily'!H15</f>
        <v>0</v>
      </c>
      <c r="H13" s="32" t="str">
        <f>'FS Desroches Daily'!J15</f>
        <v>0</v>
      </c>
      <c r="I13" s="31" t="str">
        <f>'FS Desroches Daily'!L15</f>
        <v>0</v>
      </c>
      <c r="J13" s="32" t="str">
        <f>'FS Desroches Daily'!N15</f>
        <v/>
      </c>
      <c r="K13" s="13" t="str">
        <f>'FS Desroches Daily'!P15</f>
        <v/>
      </c>
      <c r="L13" s="31" t="str">
        <f>'FS Desroches Daily'!R15</f>
        <v/>
      </c>
      <c r="M13" s="31" t="str">
        <f>'FS Desroches Daily'!T15</f>
        <v/>
      </c>
      <c r="N13" s="31" t="str">
        <f>'FS Desroches Daily'!V15</f>
        <v/>
      </c>
      <c r="O13" s="31" t="str">
        <f>'FS Desroches Daily'!X15</f>
        <v/>
      </c>
      <c r="P13" s="31" t="str">
        <f>'FS Desroches Daily'!Z15</f>
        <v/>
      </c>
      <c r="Q13" s="31" t="str">
        <f>'FS Desroches Daily'!AB15</f>
        <v/>
      </c>
      <c r="R13" s="31" t="str">
        <f>'FS Desroches Daily'!AD15</f>
        <v/>
      </c>
      <c r="S13" s="31" t="str">
        <f>'FS Desroches Daily'!AF15</f>
        <v/>
      </c>
      <c r="T13" s="31" t="str">
        <f>'FS Desroches Daily'!AH15</f>
        <v/>
      </c>
      <c r="U13" s="35" t="str">
        <f>'FS Desroches Daily'!AJ15</f>
        <v/>
      </c>
      <c r="V13" s="35" t="str">
        <f>'FS Desroches Daily'!AL15</f>
        <v/>
      </c>
      <c r="W13" s="35" t="str">
        <f>'FS Desroches Daily'!AN15</f>
        <v/>
      </c>
      <c r="X13" s="35" t="str">
        <f>'FS Desroches Daily'!AP15</f>
        <v/>
      </c>
      <c r="Y13" s="35" t="str">
        <f>'FS Desroches Daily'!AR15</f>
        <v/>
      </c>
      <c r="Z13" s="35" t="str">
        <f>'FS Desroches Daily'!AT15</f>
        <v/>
      </c>
      <c r="AA13" s="35" t="str">
        <f>'FS Desroches Daily'!AT15</f>
        <v/>
      </c>
      <c r="AB13" s="35" t="str">
        <f>'FS Desroches Daily'!AV15</f>
        <v/>
      </c>
      <c r="AC13" s="35" t="str">
        <f>'FS Desroches Daily'!AZ15</f>
        <v/>
      </c>
      <c r="AD13" s="35" t="str">
        <f>'FS Desroches Daily'!BB15</f>
        <v/>
      </c>
      <c r="AE13" s="35" t="str">
        <f>'FS Desroches Daily'!BD15</f>
        <v/>
      </c>
      <c r="AF13" s="31" t="str">
        <f>'FS Desroches Daily'!BF15</f>
        <v/>
      </c>
      <c r="AG13" s="32" t="str">
        <f>'FS Desroches Daily'!BH15</f>
        <v/>
      </c>
      <c r="AH13" s="32" t="str">
        <f>'FS Desroches Daily'!BJ15</f>
        <v/>
      </c>
      <c r="AI13" s="32" t="str">
        <f>'FS Desroches Daily'!BL15</f>
        <v/>
      </c>
      <c r="AJ13" s="32" t="str">
        <f>'FS Desroches Daily'!BN15</f>
        <v/>
      </c>
      <c r="AK13" s="32" t="str">
        <f>'FS Desroches Daily'!BP15</f>
        <v/>
      </c>
      <c r="AL13" s="32" t="str">
        <f>'FS Desroches Daily'!BR15</f>
        <v/>
      </c>
      <c r="AM13" s="32" t="str">
        <f>'FS Desroches Daily'!BT15</f>
        <v/>
      </c>
      <c r="AN13" s="32" t="str">
        <f>'FS Desroches Daily'!BV15</f>
        <v/>
      </c>
      <c r="AO13" s="32" t="str">
        <f>'FS Desroches Daily'!BX15</f>
        <v/>
      </c>
      <c r="AP13" s="32" t="str">
        <f>'FS Desroches Daily'!BZ15</f>
        <v/>
      </c>
      <c r="AQ13" s="31" t="str">
        <f>'FS Desroches Daily'!CB15</f>
        <v/>
      </c>
      <c r="AR13" s="31" t="str">
        <f>'FS Desroches Daily'!CD15</f>
        <v/>
      </c>
      <c r="AS13" s="31" t="str">
        <f>'FS Desroches Daily'!CF15</f>
        <v/>
      </c>
      <c r="AT13" s="31" t="str">
        <f>'FS Desroches Daily'!CH15</f>
        <v/>
      </c>
      <c r="AU13" s="31" t="str">
        <f>'FS Desroches Daily'!CJ15</f>
        <v/>
      </c>
      <c r="AV13" s="31" t="str">
        <f>'FS Desroches Daily'!CL15</f>
        <v/>
      </c>
      <c r="AW13" s="31" t="e">
        <f>'FS Desroches Daily'!CM15</f>
        <v>#VALUE!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42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8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8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8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8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8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8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8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8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8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8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8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8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8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8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8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8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8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8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8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24000.000000000022</v>
      </c>
      <c r="F33" s="17">
        <f t="shared" ref="F33:BC33" si="0">SUM(F2:F32)</f>
        <v>33900.000000000036</v>
      </c>
      <c r="G33" s="17">
        <f t="shared" si="0"/>
        <v>39600.000000000087</v>
      </c>
      <c r="H33" s="17">
        <f t="shared" si="0"/>
        <v>15900.000000000244</v>
      </c>
      <c r="I33" s="17">
        <f t="shared" si="0"/>
        <v>21900.000000000029</v>
      </c>
      <c r="J33" s="17">
        <f t="shared" si="0"/>
        <v>17300.000000000091</v>
      </c>
      <c r="K33" s="17">
        <f t="shared" si="0"/>
        <v>223</v>
      </c>
      <c r="L33" s="17">
        <f t="shared" si="0"/>
        <v>24</v>
      </c>
      <c r="M33" s="17">
        <f t="shared" si="0"/>
        <v>17.599999999999909</v>
      </c>
      <c r="N33" s="17">
        <f t="shared" si="0"/>
        <v>4760.1999999999534</v>
      </c>
      <c r="O33" s="17">
        <f t="shared" si="0"/>
        <v>3180.0000000000637</v>
      </c>
      <c r="P33" s="17">
        <f t="shared" si="0"/>
        <v>31200.000000000113</v>
      </c>
      <c r="Q33" s="17">
        <f t="shared" si="0"/>
        <v>3889.9999999999864</v>
      </c>
      <c r="R33" s="17">
        <f t="shared" si="0"/>
        <v>3600.0000000000227</v>
      </c>
      <c r="S33" s="17">
        <f t="shared" si="0"/>
        <v>8740.0000000000091</v>
      </c>
      <c r="T33" s="17">
        <f t="shared" si="0"/>
        <v>359</v>
      </c>
      <c r="U33" s="35">
        <f t="shared" si="0"/>
        <v>6639.9999999999864</v>
      </c>
      <c r="V33" s="35">
        <f t="shared" si="0"/>
        <v>2189.9999999999977</v>
      </c>
      <c r="W33" s="35">
        <f t="shared" si="0"/>
        <v>1740.0000000000091</v>
      </c>
      <c r="X33" s="35">
        <f t="shared" si="0"/>
        <v>1699.9999999999886</v>
      </c>
      <c r="Y33" s="35">
        <f t="shared" si="0"/>
        <v>1740.0000000000091</v>
      </c>
      <c r="Z33" s="35">
        <f t="shared" si="0"/>
        <v>1779.9999999999727</v>
      </c>
      <c r="AA33" s="35">
        <f t="shared" si="0"/>
        <v>1779.9999999999727</v>
      </c>
      <c r="AB33" s="35">
        <f t="shared" si="0"/>
        <v>1230.0000000000182</v>
      </c>
      <c r="AC33" s="35">
        <f t="shared" si="0"/>
        <v>1730.0000000000182</v>
      </c>
      <c r="AD33" s="35">
        <f t="shared" si="0"/>
        <v>1350.0000000000227</v>
      </c>
      <c r="AE33" s="35">
        <f t="shared" si="0"/>
        <v>349.99999999996589</v>
      </c>
      <c r="AF33" s="17">
        <f t="shared" si="0"/>
        <v>423</v>
      </c>
      <c r="AG33" s="32">
        <f t="shared" si="0"/>
        <v>319.99999999999318</v>
      </c>
      <c r="AH33" s="32">
        <f t="shared" si="0"/>
        <v>299.99999999995453</v>
      </c>
      <c r="AI33" s="32">
        <f t="shared" si="0"/>
        <v>489.99999999998067</v>
      </c>
      <c r="AJ33" s="32">
        <f t="shared" si="0"/>
        <v>329.99999999998408</v>
      </c>
      <c r="AK33" s="32">
        <f t="shared" si="0"/>
        <v>359.9999999999568</v>
      </c>
      <c r="AL33" s="32">
        <f t="shared" si="0"/>
        <v>332</v>
      </c>
      <c r="AM33" s="32">
        <f t="shared" si="0"/>
        <v>360.00000000001364</v>
      </c>
      <c r="AN33" s="32">
        <f t="shared" si="0"/>
        <v>344</v>
      </c>
      <c r="AO33" s="32">
        <f t="shared" si="0"/>
        <v>359.99999999998522</v>
      </c>
      <c r="AP33" s="32">
        <f t="shared" si="0"/>
        <v>398</v>
      </c>
      <c r="AQ33" s="17">
        <f t="shared" si="0"/>
        <v>631.29999999999563</v>
      </c>
      <c r="AR33" s="17">
        <f t="shared" si="0"/>
        <v>122.10000000000218</v>
      </c>
      <c r="AS33" s="17">
        <f t="shared" si="0"/>
        <v>51.299999999999272</v>
      </c>
      <c r="AT33" s="17">
        <f t="shared" si="0"/>
        <v>623.29999999998836</v>
      </c>
      <c r="AU33" s="17">
        <f t="shared" si="0"/>
        <v>3177</v>
      </c>
      <c r="AV33" s="17">
        <f t="shared" si="0"/>
        <v>10000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67.765500000000003</v>
      </c>
      <c r="BC33" s="17">
        <f t="shared" si="0"/>
        <v>562</v>
      </c>
    </row>
    <row r="35" spans="5:55" x14ac:dyDescent="0.25">
      <c r="E35" s="38">
        <f>E33/E37</f>
        <v>0.19698287890477459</v>
      </c>
      <c r="G35" s="29">
        <f>G33-M36</f>
        <v>34822.200000000135</v>
      </c>
      <c r="AE35" s="35">
        <f>SUM(U33:AE33)</f>
        <v>22229.99999999996</v>
      </c>
      <c r="AG35" s="32">
        <f>SUM(AG33:AP33)</f>
        <v>3593.9999999998681</v>
      </c>
    </row>
    <row r="36" spans="5:55" x14ac:dyDescent="0.25">
      <c r="G36" s="29">
        <f>G35-633*14</f>
        <v>25960.200000000135</v>
      </c>
      <c r="M36" s="29">
        <f>M33+N33</f>
        <v>4777.7999999999538</v>
      </c>
    </row>
    <row r="37" spans="5:55" x14ac:dyDescent="0.25">
      <c r="E37" s="17">
        <f>E33+F33+G33+H33+J33-633*14</f>
        <v>121838.00000000048</v>
      </c>
      <c r="G37" s="37">
        <f>M36/E37</f>
        <v>3.9214366617967587E-2</v>
      </c>
      <c r="M37" s="35">
        <f>AE35</f>
        <v>22229.99999999996</v>
      </c>
    </row>
    <row r="38" spans="5:55" x14ac:dyDescent="0.25">
      <c r="L38" s="27">
        <f>M38/E37</f>
        <v>2.9498186115988888E-2</v>
      </c>
      <c r="M38" s="29">
        <f>AG35</f>
        <v>3593.9999999998681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BC1" zoomScale="82" zoomScaleNormal="82" workbookViewId="0">
      <pane ySplit="1" topLeftCell="A5" activePane="bottomLeft" state="frozen"/>
      <selection pane="bottomLeft" activeCell="BC15" sqref="BC1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4.28515625" style="71" customWidth="1"/>
    <col min="29" max="29" width="13.42578125" style="57" customWidth="1"/>
    <col min="30" max="30" width="12.570312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44773</v>
      </c>
      <c r="B3" s="68"/>
      <c r="C3" s="58">
        <v>3.3855</v>
      </c>
      <c r="D3" s="64"/>
      <c r="E3" s="58">
        <v>4.5297999999999998</v>
      </c>
      <c r="F3" s="64"/>
      <c r="G3" s="58">
        <v>4.5014000000000003</v>
      </c>
      <c r="H3" s="64"/>
      <c r="I3" s="58">
        <v>2.2526999999999999</v>
      </c>
      <c r="J3" s="64"/>
      <c r="K3" s="58">
        <v>3.4931000000000001</v>
      </c>
      <c r="L3" s="64"/>
      <c r="M3" s="58">
        <v>2.0446</v>
      </c>
      <c r="N3" s="64"/>
      <c r="O3" s="58">
        <v>22636</v>
      </c>
      <c r="P3" s="67"/>
      <c r="Q3" s="58">
        <v>2776</v>
      </c>
      <c r="R3" s="67"/>
      <c r="S3" s="58">
        <v>1431.5</v>
      </c>
      <c r="T3" s="67"/>
      <c r="U3" s="58">
        <v>577533.5</v>
      </c>
      <c r="V3" s="67"/>
      <c r="W3" s="58">
        <v>531.97</v>
      </c>
      <c r="X3" s="65"/>
      <c r="Y3" s="58">
        <v>3.9874000000000001</v>
      </c>
      <c r="Z3" s="65"/>
      <c r="AA3" s="58">
        <v>538.33000000000004</v>
      </c>
      <c r="AB3" s="65"/>
      <c r="AC3" s="58">
        <v>532.04999999999995</v>
      </c>
      <c r="AD3" s="65"/>
      <c r="AE3" s="58">
        <v>808.45</v>
      </c>
      <c r="AF3" s="65"/>
      <c r="AG3" s="58">
        <v>19589</v>
      </c>
      <c r="AH3" s="67"/>
      <c r="AI3" s="58">
        <v>901.53</v>
      </c>
      <c r="AJ3" s="65"/>
      <c r="AK3" s="58">
        <v>300.24</v>
      </c>
      <c r="AL3" s="65"/>
      <c r="AM3" s="58">
        <v>279.14999999999998</v>
      </c>
      <c r="AN3" s="65"/>
      <c r="AO3" s="58">
        <v>268.99</v>
      </c>
      <c r="AP3" s="65"/>
      <c r="AQ3" s="58">
        <v>323.52999999999997</v>
      </c>
      <c r="AR3" s="65"/>
      <c r="AS3" s="58">
        <v>448.86</v>
      </c>
      <c r="AT3" s="65"/>
      <c r="AU3" s="58">
        <v>357.2</v>
      </c>
      <c r="AV3" s="65"/>
      <c r="AW3" s="58">
        <v>386.86</v>
      </c>
      <c r="AX3" s="65"/>
      <c r="AY3" s="58">
        <v>420.83</v>
      </c>
      <c r="AZ3" s="65"/>
      <c r="BA3" s="58">
        <v>439.06</v>
      </c>
      <c r="BB3" s="65"/>
      <c r="BC3" s="58">
        <v>282.29000000000002</v>
      </c>
      <c r="BD3" s="65"/>
      <c r="BE3" s="59">
        <v>53299</v>
      </c>
      <c r="BF3" s="67"/>
      <c r="BG3" s="60">
        <v>250.65</v>
      </c>
      <c r="BH3" s="65"/>
      <c r="BI3" s="60">
        <v>305.23</v>
      </c>
      <c r="BJ3" s="65"/>
      <c r="BK3" s="60">
        <v>254.86</v>
      </c>
      <c r="BL3" s="65"/>
      <c r="BM3" s="60">
        <v>240.43</v>
      </c>
      <c r="BN3" s="65"/>
      <c r="BO3" s="60">
        <v>308.85000000000002</v>
      </c>
      <c r="BP3" s="65"/>
      <c r="BQ3" s="60">
        <v>58687</v>
      </c>
      <c r="BR3" s="65"/>
      <c r="BS3" s="60">
        <v>218.41</v>
      </c>
      <c r="BT3" s="65"/>
      <c r="BU3" s="60">
        <v>56702</v>
      </c>
      <c r="BV3" s="65"/>
      <c r="BW3" s="60">
        <v>246.49</v>
      </c>
      <c r="BX3" s="65"/>
      <c r="BY3" s="60">
        <v>76648</v>
      </c>
      <c r="BZ3" s="67"/>
      <c r="CA3" s="60">
        <v>51979.9</v>
      </c>
      <c r="CB3" s="67"/>
      <c r="CC3" s="60">
        <v>16524.8</v>
      </c>
      <c r="CD3" s="67"/>
      <c r="CE3" s="60">
        <v>8426.5</v>
      </c>
      <c r="CF3" s="67"/>
      <c r="CG3" s="60">
        <v>77930.100000000006</v>
      </c>
      <c r="CH3" s="67"/>
      <c r="CI3" s="60">
        <v>1066753</v>
      </c>
      <c r="CJ3" s="67"/>
      <c r="CK3" s="60">
        <v>1054.8</v>
      </c>
      <c r="CL3" s="64"/>
      <c r="CM3" s="65"/>
      <c r="CN3" s="62">
        <v>43</v>
      </c>
      <c r="CO3" s="62">
        <v>98</v>
      </c>
      <c r="CP3" s="68">
        <v>36583</v>
      </c>
      <c r="CQ3" s="67"/>
      <c r="CR3" s="68">
        <v>22949</v>
      </c>
      <c r="CS3" s="67"/>
      <c r="CT3" s="75">
        <v>10984</v>
      </c>
      <c r="CU3" s="67"/>
      <c r="CV3" s="68">
        <v>26016</v>
      </c>
      <c r="CW3" s="67"/>
      <c r="CX3" s="58">
        <v>3778.4</v>
      </c>
      <c r="CY3" s="67"/>
    </row>
    <row r="4" spans="1:103" ht="25.5" customHeight="1" thickBot="1" x14ac:dyDescent="0.45">
      <c r="A4" s="63">
        <v>44774</v>
      </c>
      <c r="B4" s="68"/>
      <c r="C4" s="58">
        <v>3.3877000000000002</v>
      </c>
      <c r="D4" s="64">
        <f t="shared" ref="D4" si="0">IF((C4-C3&lt;0), "0",(C4-C3)*1000000)</f>
        <v>2200.0000000002019</v>
      </c>
      <c r="E4" s="58">
        <v>4.5328999999999997</v>
      </c>
      <c r="F4" s="64">
        <f t="shared" ref="F4:F5" si="1">IF((E4-E3&lt;0), "0",(E4-E3)*1000000)</f>
        <v>3099.9999999998809</v>
      </c>
      <c r="G4" s="58">
        <v>4.5049999999999999</v>
      </c>
      <c r="H4" s="64">
        <f t="shared" ref="H4" si="2">IF((G4-G3&lt;0), "0",(G4-G3)*1000000)</f>
        <v>3599.9999999996035</v>
      </c>
      <c r="I4" s="58">
        <v>2.2541000000000002</v>
      </c>
      <c r="J4" s="64">
        <f t="shared" ref="J4" si="3">IF((I4-I3&lt;0), "0",(I4-I3)*1000000)</f>
        <v>1400.0000000002899</v>
      </c>
      <c r="K4" s="58">
        <v>3.4950000000000001</v>
      </c>
      <c r="L4" s="64">
        <f t="shared" ref="L4" si="4">IF((K4-K3&lt;0), "0",(K4-K3)*1000000)</f>
        <v>1900.0000000000127</v>
      </c>
      <c r="M4" s="58">
        <v>2.0461</v>
      </c>
      <c r="N4" s="64">
        <f t="shared" ref="N4" si="5">IF((M4-M3&lt;0), "",(M4-M3)*1000000)</f>
        <v>1500.0000000000568</v>
      </c>
      <c r="O4" s="58">
        <v>22654</v>
      </c>
      <c r="P4" s="67">
        <f t="shared" ref="P4" si="6">IF((O4-O3&lt;0), "",O4-O3)</f>
        <v>18</v>
      </c>
      <c r="Q4" s="58">
        <v>2776</v>
      </c>
      <c r="R4" s="67">
        <f t="shared" ref="R4" si="7">IF((Q4-Q3&lt;0), "",Q4-Q3)</f>
        <v>0</v>
      </c>
      <c r="S4" s="58">
        <v>1433.1</v>
      </c>
      <c r="T4" s="67">
        <f t="shared" ref="T4" si="8">IF((S4-S3&lt;0), "",S4-S3)</f>
        <v>1.5999999999999091</v>
      </c>
      <c r="U4" s="58">
        <v>578052.9</v>
      </c>
      <c r="V4" s="67">
        <f t="shared" ref="V4" si="9">IF((U4-U3&lt;0), "",U4-U3)</f>
        <v>519.40000000002328</v>
      </c>
      <c r="W4" s="58">
        <v>532.26</v>
      </c>
      <c r="X4" s="65">
        <f t="shared" ref="X4" si="10">IF((W4-W3&lt;0), "",(W4-W3)*1000)</f>
        <v>289.99999999996362</v>
      </c>
      <c r="Y4" s="58">
        <v>3.9901</v>
      </c>
      <c r="Z4" s="65">
        <f t="shared" ref="Z4" si="11">IF((Y4-Y3&lt;0), "",(Y4-Y3)*1000000)</f>
        <v>2699.9999999999245</v>
      </c>
      <c r="AA4" s="58">
        <v>538.72</v>
      </c>
      <c r="AB4" s="65">
        <f t="shared" ref="AB4" si="12">IF((AA4-AA3&lt;0), "",(AA4-AA3)*1000)</f>
        <v>389.99999999998636</v>
      </c>
      <c r="AC4" s="58">
        <v>532.39</v>
      </c>
      <c r="AD4" s="65">
        <f t="shared" ref="AD4" si="13">IF((AC4-AC3&lt;0), "",(AC4-AC3)*1000)</f>
        <v>340.00000000003183</v>
      </c>
      <c r="AE4" s="58">
        <v>809.15</v>
      </c>
      <c r="AF4" s="65">
        <f t="shared" ref="AF4" si="14">IF((AE4-AE3&lt;0), "",(AE4-AE3)*1000)</f>
        <v>699.99999999993179</v>
      </c>
      <c r="AG4" s="58">
        <v>19623</v>
      </c>
      <c r="AH4" s="67">
        <f t="shared" ref="AH4" si="15">IF((AG4-AG3&lt;0), "",AG4-AG3)</f>
        <v>34</v>
      </c>
      <c r="AI4" s="58">
        <v>902.09</v>
      </c>
      <c r="AJ4" s="65">
        <f t="shared" ref="AJ4" si="16">IF((AI4-AI3&lt;0), "",(AI4-AI3)*1000)</f>
        <v>560.00000000005912</v>
      </c>
      <c r="AK4" s="58">
        <v>300.48</v>
      </c>
      <c r="AL4" s="65">
        <f t="shared" ref="AL4" si="17">IF((AK4-AK3&lt;0), "",(AK4-AK3)*1000)</f>
        <v>240.00000000000909</v>
      </c>
      <c r="AM4" s="58">
        <v>279.27</v>
      </c>
      <c r="AN4" s="65">
        <f t="shared" ref="AN4" si="18">IF((AM4-AM3&lt;0), "",(AM4-AM3)*1000)</f>
        <v>120.00000000000455</v>
      </c>
      <c r="AO4" s="58">
        <v>269.17</v>
      </c>
      <c r="AP4" s="65">
        <f t="shared" ref="AP4" si="19">IF((AO4-AO3&lt;0), "",(AO4-AO3)*1000)</f>
        <v>180.00000000000682</v>
      </c>
      <c r="AQ4" s="58">
        <v>323.69</v>
      </c>
      <c r="AR4" s="65">
        <f t="shared" ref="AR4" si="20">IF((AQ4-AQ3&lt;0), "",(AQ4-AQ3)*1000)</f>
        <v>160.00000000002501</v>
      </c>
      <c r="AS4" s="58">
        <v>448.99</v>
      </c>
      <c r="AT4" s="65">
        <f t="shared" ref="AT4" si="21">IF((AS4-AS3&lt;0), "",(AS4-AS3)*1000)</f>
        <v>129.99999999999545</v>
      </c>
      <c r="AU4" s="58">
        <v>357.29</v>
      </c>
      <c r="AV4" s="65">
        <f t="shared" ref="AV4" si="22">IF((AU4-AU3&lt;0), "",(AU4-AU3)*1000)</f>
        <v>90.000000000031832</v>
      </c>
      <c r="AW4" s="58">
        <v>386.95</v>
      </c>
      <c r="AX4" s="65">
        <f t="shared" ref="AX4" si="23">IF((AW4-AW3&lt;0), "",(AW4-AW3)*1000)</f>
        <v>89.999999999974989</v>
      </c>
      <c r="AY4" s="58">
        <v>420.99</v>
      </c>
      <c r="AZ4" s="65">
        <f t="shared" ref="AZ4" si="24">IF((AY4-AY3&lt;0), "",(AY4-AY3)*1000)</f>
        <v>160.00000000002501</v>
      </c>
      <c r="BA4" s="58">
        <v>439.19</v>
      </c>
      <c r="BB4" s="65">
        <f t="shared" ref="BB4" si="25">IF((BA4-BA3&lt;0), "",(BA4-BA3)*1000)</f>
        <v>129.99999999999545</v>
      </c>
      <c r="BC4" s="58">
        <v>282.31</v>
      </c>
      <c r="BD4" s="65">
        <f t="shared" ref="BD4" si="26">IF((BC4-BC3&lt;0), "",(BC4-BC3)*1000)</f>
        <v>19.99999999998181</v>
      </c>
      <c r="BE4" s="59">
        <v>53325</v>
      </c>
      <c r="BF4" s="67">
        <f t="shared" ref="BF4" si="27">IF((BE4-BE3&lt;0), "",BE4-BE3)</f>
        <v>26</v>
      </c>
      <c r="BG4" s="60">
        <v>250.68</v>
      </c>
      <c r="BH4" s="65">
        <f t="shared" ref="BH4" si="28">IF((BG4-BG3&lt;0), "",(BG4-BG3)*1000)</f>
        <v>30.000000000001137</v>
      </c>
      <c r="BI4" s="60">
        <v>305.27</v>
      </c>
      <c r="BJ4" s="65">
        <f t="shared" ref="BJ4" si="29">IF((BI4-BI3&lt;0), "",(BI4-BI3)*1000)</f>
        <v>39.99999999996362</v>
      </c>
      <c r="BK4" s="60">
        <v>254.9</v>
      </c>
      <c r="BL4" s="65">
        <f t="shared" ref="BL4" si="30">IF((BK4-BK3&lt;0), "",(BK4-BK3)*1000)</f>
        <v>39.999999999992042</v>
      </c>
      <c r="BM4" s="60">
        <v>240.46</v>
      </c>
      <c r="BN4" s="65">
        <f t="shared" ref="BN4" si="31">IF((BM4-BM3&lt;0), "",(BM4-BM3)*1000)</f>
        <v>30.000000000001137</v>
      </c>
      <c r="BO4" s="60">
        <v>308.88</v>
      </c>
      <c r="BP4" s="65">
        <f t="shared" ref="BP4" si="32">IF((BO4-BO3&lt;0), "",(BO4-BO3)*1000)</f>
        <v>29.999999999972715</v>
      </c>
      <c r="BQ4" s="60">
        <v>58719</v>
      </c>
      <c r="BR4" s="65">
        <f t="shared" ref="BR4" si="33">IF((BQ4-BQ3&lt;0), "",BQ4-BQ3)</f>
        <v>32</v>
      </c>
      <c r="BS4" s="60">
        <v>218.45</v>
      </c>
      <c r="BT4" s="65">
        <f t="shared" ref="BT4" si="34">IF((BS4-BS3&lt;0), "",(BS4-BS3)*1000)</f>
        <v>39.999999999992042</v>
      </c>
      <c r="BU4" s="60">
        <v>56719</v>
      </c>
      <c r="BV4" s="65">
        <f t="shared" ref="BV4" si="35">IF((BU4-BU3&lt;0), "",BU4-BU3)</f>
        <v>17</v>
      </c>
      <c r="BW4" s="60">
        <v>246.53</v>
      </c>
      <c r="BX4" s="65">
        <f t="shared" ref="BX4" si="36">IF((BW4-BW3&lt;0), "",(BW4-BW3)*1000)</f>
        <v>39.999999999992042</v>
      </c>
      <c r="BY4" s="60">
        <v>76682</v>
      </c>
      <c r="BZ4" s="67">
        <f t="shared" ref="BZ4" si="37">IF((BY4-BY3&lt;0), "",BY4-BY3)</f>
        <v>34</v>
      </c>
      <c r="CA4" s="60">
        <v>52037.3</v>
      </c>
      <c r="CB4" s="67">
        <f t="shared" ref="CB4" si="38">IF((CA4-CA3&lt;0), "",CA4-CA3)</f>
        <v>57.400000000001455</v>
      </c>
      <c r="CC4" s="60">
        <v>16533.5</v>
      </c>
      <c r="CD4" s="67">
        <f t="shared" ref="CD4" si="39">IF((CC4-CC3&lt;0), "",CC4-CC3)</f>
        <v>8.7000000000007276</v>
      </c>
      <c r="CE4" s="60">
        <v>8427.9</v>
      </c>
      <c r="CF4" s="67">
        <f t="shared" ref="CF4" si="40">IF((CE4-CE3&lt;0), "",CE4-CE3)</f>
        <v>1.3999999999996362</v>
      </c>
      <c r="CG4" s="60">
        <v>77986.600000000006</v>
      </c>
      <c r="CH4" s="67">
        <f t="shared" ref="CH4" si="41">IF((CG4-CG3&lt;0), "",CG4-CG3)</f>
        <v>56.5</v>
      </c>
      <c r="CI4" s="60">
        <v>1067047</v>
      </c>
      <c r="CJ4" s="67">
        <f t="shared" ref="CJ4" si="42">IF((CI4-CI3&lt;0), "",CI4-CI3)</f>
        <v>294</v>
      </c>
      <c r="CK4" s="60">
        <v>1055.7</v>
      </c>
      <c r="CL4" s="64">
        <f t="shared" ref="CL4" si="43">IF((CK4-CK3&lt;0), "",(CK4-CK3)*1000)</f>
        <v>900.00000000009095</v>
      </c>
      <c r="CM4" s="65">
        <f t="shared" ref="CM4" si="44">CQ4+CS4</f>
        <v>120.40000000000146</v>
      </c>
      <c r="CN4" s="62">
        <v>42</v>
      </c>
      <c r="CO4" s="62">
        <v>98</v>
      </c>
      <c r="CP4" s="68">
        <v>36680</v>
      </c>
      <c r="CQ4" s="67">
        <f t="shared" ref="CQ4" si="45">IF((CP4-CP3&lt;0), "",CP4-CP3)</f>
        <v>97</v>
      </c>
      <c r="CR4" s="68">
        <v>22972.400000000001</v>
      </c>
      <c r="CS4" s="67">
        <f t="shared" ref="CS4" si="46">IF((CR4-CR3&lt;0), "",CR4-CR3)</f>
        <v>23.400000000001455</v>
      </c>
      <c r="CT4" s="75">
        <v>10992</v>
      </c>
      <c r="CU4" s="67">
        <f t="shared" ref="CU4" si="47">IF((CT4-CT3&lt;0), "",CT4-CT3)</f>
        <v>8</v>
      </c>
      <c r="CV4" s="68">
        <v>26031</v>
      </c>
      <c r="CW4" s="67">
        <f t="shared" ref="CW4" si="48">IF((CV4-CV3&lt;0), "",CV4-CV3)</f>
        <v>15</v>
      </c>
      <c r="CX4" s="58">
        <v>3789.7</v>
      </c>
      <c r="CY4" s="67">
        <f t="shared" ref="CY4" si="49">IF((CX4-CX3&lt;0), "",CX4-CX3)</f>
        <v>11.299999999999727</v>
      </c>
    </row>
    <row r="5" spans="1:103" ht="25.5" customHeight="1" thickBot="1" x14ac:dyDescent="0.45">
      <c r="A5" s="63">
        <v>44775</v>
      </c>
      <c r="B5" s="44"/>
      <c r="C5" s="58">
        <v>3.3898000000000001</v>
      </c>
      <c r="D5" s="64">
        <f t="shared" ref="D5:D34" si="50">IF((C5-C4&lt;0), "0",(C5-C4)*1000000)</f>
        <v>2099.9999999999909</v>
      </c>
      <c r="E5" s="58">
        <v>4.5358000000000001</v>
      </c>
      <c r="F5" s="64">
        <f t="shared" si="1"/>
        <v>2900.0000000003465</v>
      </c>
      <c r="G5" s="58">
        <v>4.5083000000000002</v>
      </c>
      <c r="H5" s="64">
        <f t="shared" ref="H5:H34" si="51">IF((G5-G4&lt;0), "0",(G5-G4)*1000000)</f>
        <v>3300.0000000003029</v>
      </c>
      <c r="I5" s="58">
        <v>2.2555999999999998</v>
      </c>
      <c r="J5" s="64">
        <f t="shared" ref="J5:J34" si="52">IF((I5-I4&lt;0), "0",(I5-I4)*1000000)</f>
        <v>1499.9999999996128</v>
      </c>
      <c r="K5" s="58">
        <v>3.4969999999999999</v>
      </c>
      <c r="L5" s="64">
        <f t="shared" ref="L5:L34" si="53">IF((K5-K4&lt;0), "0",(K5-K4)*1000000)</f>
        <v>1999.9999999997797</v>
      </c>
      <c r="M5" s="58">
        <v>2.0476000000000001</v>
      </c>
      <c r="N5" s="64">
        <f t="shared" ref="N5:N34" si="54">IF((M5-M4&lt;0), "",(M5-M4)*1000000)</f>
        <v>1500.0000000000568</v>
      </c>
      <c r="O5" s="58">
        <v>22676</v>
      </c>
      <c r="P5" s="67">
        <f t="shared" ref="P5:P34" si="55">IF((O5-O4&lt;0), "",O5-O4)</f>
        <v>22</v>
      </c>
      <c r="Q5" s="58">
        <v>2780</v>
      </c>
      <c r="R5" s="67">
        <f t="shared" ref="R5:R34" si="56">IF((Q5-Q4&lt;0), "",Q5-Q4)</f>
        <v>4</v>
      </c>
      <c r="S5" s="58">
        <v>1434.6</v>
      </c>
      <c r="T5" s="67">
        <f t="shared" ref="T5:T34" si="57">IF((S5-S4&lt;0), "",S5-S4)</f>
        <v>1.5</v>
      </c>
      <c r="U5" s="58">
        <v>578485.9</v>
      </c>
      <c r="V5" s="67">
        <f t="shared" ref="V5:V34" si="58">IF((U5-U4&lt;0), "",U5-U4)</f>
        <v>433</v>
      </c>
      <c r="W5" s="58">
        <v>532.54</v>
      </c>
      <c r="X5" s="65">
        <f t="shared" ref="X5:X34" si="59">IF((W5-W4&lt;0), "",(W5-W4)*1000)</f>
        <v>279.99999999997272</v>
      </c>
      <c r="Y5" s="58">
        <v>3.9929000000000001</v>
      </c>
      <c r="Z5" s="65">
        <f t="shared" ref="Z5:Z34" si="60">IF((Y5-Y4&lt;0), "",(Y5-Y4)*1000000)</f>
        <v>2800.0000000001355</v>
      </c>
      <c r="AA5" s="58">
        <v>539</v>
      </c>
      <c r="AB5" s="65">
        <f t="shared" ref="AB5:AB34" si="61">IF((AA5-AA4&lt;0), "",(AA5-AA4)*1000)</f>
        <v>279.99999999997272</v>
      </c>
      <c r="AC5" s="58">
        <v>532.75</v>
      </c>
      <c r="AD5" s="65">
        <f t="shared" ref="AD5:AD34" si="62">IF((AC5-AC4&lt;0), "",(AC5-AC4)*1000)</f>
        <v>360.00000000001364</v>
      </c>
      <c r="AE5" s="58">
        <v>809.92</v>
      </c>
      <c r="AF5" s="65">
        <f t="shared" ref="AF5:AF34" si="63">IF((AE5-AE4&lt;0), "",(AE5-AE4)*1000)</f>
        <v>769.99999999998181</v>
      </c>
      <c r="AG5" s="58">
        <v>19657</v>
      </c>
      <c r="AH5" s="67">
        <f t="shared" ref="AH5:AH34" si="64">IF((AG5-AG4&lt;0), "",AG5-AG4)</f>
        <v>34</v>
      </c>
      <c r="AI5" s="58">
        <v>902.66</v>
      </c>
      <c r="AJ5" s="65">
        <f t="shared" ref="AJ5:AJ34" si="65">IF((AI5-AI4&lt;0), "",(AI5-AI4)*1000)</f>
        <v>569.99999999993634</v>
      </c>
      <c r="AK5" s="58">
        <v>300.69</v>
      </c>
      <c r="AL5" s="65">
        <f t="shared" ref="AL5:AL34" si="66">IF((AK5-AK4&lt;0), "",(AK5-AK4)*1000)</f>
        <v>209.99999999997954</v>
      </c>
      <c r="AM5" s="58">
        <v>279.41000000000003</v>
      </c>
      <c r="AN5" s="65">
        <f t="shared" ref="AN5:AN34" si="67">IF((AM5-AM4&lt;0), "",(AM5-AM4)*1000)</f>
        <v>140.0000000000432</v>
      </c>
      <c r="AO5" s="58">
        <v>269.36</v>
      </c>
      <c r="AP5" s="65">
        <f t="shared" ref="AP5:AP34" si="68">IF((AO5-AO4&lt;0), "",(AO5-AO4)*1000)</f>
        <v>189.99999999999773</v>
      </c>
      <c r="AQ5" s="58">
        <v>323.86</v>
      </c>
      <c r="AR5" s="65">
        <f t="shared" ref="AR5:AR34" si="69">IF((AQ5-AQ4&lt;0), "",(AQ5-AQ4)*1000)</f>
        <v>170.00000000001592</v>
      </c>
      <c r="AS5" s="58">
        <v>449.15</v>
      </c>
      <c r="AT5" s="65">
        <f t="shared" ref="AT5:AT34" si="70">IF((AS5-AS4&lt;0), "",(AS5-AS4)*1000)</f>
        <v>159.99999999996817</v>
      </c>
      <c r="AU5" s="58">
        <v>357.4</v>
      </c>
      <c r="AV5" s="65">
        <f t="shared" ref="AV5:AV34" si="71">IF((AU5-AU4&lt;0), "",(AU5-AU4)*1000)</f>
        <v>109.9999999999568</v>
      </c>
      <c r="AW5" s="58">
        <v>387.03</v>
      </c>
      <c r="AX5" s="65">
        <f t="shared" ref="AX5:AX34" si="72">IF((AW5-AW4&lt;0), "",(AW5-AW4)*1000)</f>
        <v>79.999999999984084</v>
      </c>
      <c r="AY5" s="58">
        <v>421.18</v>
      </c>
      <c r="AZ5" s="65">
        <f t="shared" ref="AZ5:AZ34" si="73">IF((AY5-AY4&lt;0), "",(AY5-AY4)*1000)</f>
        <v>189.99999999999773</v>
      </c>
      <c r="BA5" s="58">
        <v>439.32</v>
      </c>
      <c r="BB5" s="65">
        <f t="shared" ref="BB5:BB34" si="74">IF((BA5-BA4&lt;0), "",(BA5-BA4)*1000)</f>
        <v>129.99999999999545</v>
      </c>
      <c r="BC5" s="58">
        <v>282.35000000000002</v>
      </c>
      <c r="BD5" s="65">
        <f t="shared" ref="BD5:BD34" si="75">IF((BC5-BC4&lt;0), "",(BC5-BC4)*1000)</f>
        <v>40.000000000020464</v>
      </c>
      <c r="BE5" s="59">
        <v>53355</v>
      </c>
      <c r="BF5" s="67">
        <f t="shared" ref="BF5:BF34" si="76">IF((BE5-BE4&lt;0), "",BE5-BE4)</f>
        <v>30</v>
      </c>
      <c r="BG5" s="60">
        <v>250.71</v>
      </c>
      <c r="BH5" s="65">
        <f t="shared" ref="BH5:BH34" si="77">IF((BG5-BG4&lt;0), "",(BG5-BG4)*1000)</f>
        <v>30.000000000001137</v>
      </c>
      <c r="BI5" s="60">
        <v>305.29000000000002</v>
      </c>
      <c r="BJ5" s="65">
        <f t="shared" ref="BJ5:BJ34" si="78">IF((BI5-BI4&lt;0), "",(BI5-BI4)*1000)</f>
        <v>20.000000000038654</v>
      </c>
      <c r="BK5" s="60">
        <v>254.95</v>
      </c>
      <c r="BL5" s="65">
        <f t="shared" ref="BL5:BL34" si="79">IF((BK5-BK4&lt;0), "",(BK5-BK4)*1000)</f>
        <v>49.999999999982947</v>
      </c>
      <c r="BM5" s="60">
        <v>240.49</v>
      </c>
      <c r="BN5" s="65">
        <f t="shared" ref="BN5:BN34" si="80">IF((BM5-BM4&lt;0), "",(BM5-BM4)*1000)</f>
        <v>30.000000000001137</v>
      </c>
      <c r="BO5" s="60">
        <v>308.92</v>
      </c>
      <c r="BP5" s="65">
        <f t="shared" ref="BP5:BP34" si="81">IF((BO5-BO4&lt;0), "",(BO5-BO4)*1000)</f>
        <v>40.000000000020464</v>
      </c>
      <c r="BQ5" s="60">
        <v>58753</v>
      </c>
      <c r="BR5" s="65">
        <f t="shared" ref="BR5:BR34" si="82">IF((BQ5-BQ4&lt;0), "",BQ5-BQ4)</f>
        <v>34</v>
      </c>
      <c r="BS5" s="60">
        <v>218.48</v>
      </c>
      <c r="BT5" s="65">
        <f t="shared" ref="BT5:BT34" si="83">IF((BS5-BS4&lt;0), "",(BS5-BS4)*1000)</f>
        <v>30.000000000001137</v>
      </c>
      <c r="BU5" s="60">
        <v>56770</v>
      </c>
      <c r="BV5" s="65">
        <f t="shared" ref="BV5:BV34" si="84">IF((BU5-BU4&lt;0), "",BU5-BU4)</f>
        <v>51</v>
      </c>
      <c r="BW5" s="60">
        <v>246.56</v>
      </c>
      <c r="BX5" s="65">
        <f t="shared" ref="BX5:BX34" si="85">IF((BW5-BW4&lt;0), "",(BW5-BW4)*1000)</f>
        <v>30.000000000001137</v>
      </c>
      <c r="BY5" s="60">
        <v>76721</v>
      </c>
      <c r="BZ5" s="67">
        <f t="shared" ref="BZ5:BZ34" si="86">IF((BY5-BY4&lt;0), "",BY5-BY4)</f>
        <v>39</v>
      </c>
      <c r="CA5" s="60">
        <v>52089.3</v>
      </c>
      <c r="CB5" s="67">
        <f t="shared" ref="CB5:CB34" si="87">IF((CA5-CA4&lt;0), "",CA5-CA4)</f>
        <v>52</v>
      </c>
      <c r="CC5" s="60">
        <v>16543.8</v>
      </c>
      <c r="CD5" s="67">
        <f t="shared" ref="CD5:CD34" si="88">IF((CC5-CC4&lt;0), "",CC5-CC4)</f>
        <v>10.299999999999272</v>
      </c>
      <c r="CE5" s="60">
        <v>8435.2000000000007</v>
      </c>
      <c r="CF5" s="67">
        <f t="shared" ref="CF5:CF34" si="89">IF((CE5-CE4&lt;0), "",CE5-CE4)</f>
        <v>7.3000000000010914</v>
      </c>
      <c r="CG5" s="60">
        <v>78040.800000000003</v>
      </c>
      <c r="CH5" s="67">
        <f t="shared" ref="CH5:CH34" si="90">IF((CG5-CG4&lt;0), "",CG5-CG4)</f>
        <v>54.19999999999709</v>
      </c>
      <c r="CI5" s="60">
        <v>1067336</v>
      </c>
      <c r="CJ5" s="67">
        <f t="shared" ref="CJ5:CJ34" si="91">IF((CI5-CI4&lt;0), "",CI5-CI4)</f>
        <v>289</v>
      </c>
      <c r="CK5" s="60">
        <v>1056.5</v>
      </c>
      <c r="CL5" s="64">
        <f t="shared" ref="CL5:CL34" si="92">IF((CK5-CK4&lt;0), "",(CK5-CK4)*1000)</f>
        <v>799.99999999995453</v>
      </c>
      <c r="CM5" s="65">
        <f t="shared" ref="CM5:CM34" si="93">CQ5+CS5</f>
        <v>128</v>
      </c>
      <c r="CN5" s="62">
        <v>42</v>
      </c>
      <c r="CO5" s="62">
        <v>98</v>
      </c>
      <c r="CP5" s="68">
        <v>36786</v>
      </c>
      <c r="CQ5" s="67">
        <f t="shared" ref="CQ5:CQ34" si="94">IF((CP5-CP4&lt;0), "",CP5-CP4)</f>
        <v>106</v>
      </c>
      <c r="CR5" s="68">
        <v>22994.400000000001</v>
      </c>
      <c r="CS5" s="67">
        <f t="shared" ref="CS5:CS34" si="95">IF((CR5-CR4&lt;0), "",CR5-CR4)</f>
        <v>22</v>
      </c>
      <c r="CT5" s="75">
        <v>11001</v>
      </c>
      <c r="CU5" s="67">
        <f t="shared" ref="CU5:CU34" si="96">IF((CT5-CT4&lt;0), "",CT5-CT4)</f>
        <v>9</v>
      </c>
      <c r="CV5" s="68">
        <v>26046</v>
      </c>
      <c r="CW5" s="67">
        <f t="shared" ref="CW5:CW34" si="97">IF((CV5-CV4&lt;0), "",CV5-CV4)</f>
        <v>15</v>
      </c>
      <c r="CX5" s="58">
        <v>3801</v>
      </c>
      <c r="CY5" s="67">
        <f t="shared" ref="CY5:CY34" si="98">IF((CX5-CX4&lt;0), "",CX5-CX4)</f>
        <v>11.300000000000182</v>
      </c>
    </row>
    <row r="6" spans="1:103" ht="24.75" customHeight="1" thickBot="1" x14ac:dyDescent="0.45">
      <c r="A6" s="63">
        <v>44776</v>
      </c>
      <c r="B6" s="44"/>
      <c r="C6" s="58">
        <v>3.3919999999999999</v>
      </c>
      <c r="D6" s="64">
        <f t="shared" si="50"/>
        <v>2199.9999999997576</v>
      </c>
      <c r="E6" s="58">
        <v>4.5388000000000002</v>
      </c>
      <c r="F6" s="64">
        <f t="shared" ref="F6:F34" si="99">IF((E6-E5&lt;0), "0",(E6-E5)*1000000)</f>
        <v>3000.0000000001137</v>
      </c>
      <c r="G6" s="58">
        <v>4.5118</v>
      </c>
      <c r="H6" s="64">
        <f t="shared" si="51"/>
        <v>3499.9999999998367</v>
      </c>
      <c r="I6" s="58">
        <v>2.2570000000000001</v>
      </c>
      <c r="J6" s="64">
        <f t="shared" si="52"/>
        <v>1400.0000000002899</v>
      </c>
      <c r="K6" s="58">
        <v>3.4990000000000001</v>
      </c>
      <c r="L6" s="64">
        <f t="shared" si="53"/>
        <v>2000.0000000002237</v>
      </c>
      <c r="M6" s="58">
        <v>2.0493000000000001</v>
      </c>
      <c r="N6" s="64">
        <f t="shared" si="54"/>
        <v>1700.0000000000348</v>
      </c>
      <c r="O6" s="58">
        <v>22694</v>
      </c>
      <c r="P6" s="67">
        <f t="shared" si="55"/>
        <v>18</v>
      </c>
      <c r="Q6" s="58">
        <v>2782</v>
      </c>
      <c r="R6" s="67">
        <f t="shared" si="56"/>
        <v>2</v>
      </c>
      <c r="S6" s="58">
        <v>1436.1</v>
      </c>
      <c r="T6" s="67">
        <f t="shared" si="57"/>
        <v>1.5</v>
      </c>
      <c r="U6" s="58">
        <v>578840.1</v>
      </c>
      <c r="V6" s="67">
        <f t="shared" si="58"/>
        <v>354.19999999995343</v>
      </c>
      <c r="W6" s="58">
        <v>532.85</v>
      </c>
      <c r="X6" s="65">
        <f t="shared" si="59"/>
        <v>310.00000000005912</v>
      </c>
      <c r="Y6" s="58">
        <v>3.9954999999999998</v>
      </c>
      <c r="Z6" s="65">
        <f t="shared" si="60"/>
        <v>2599.9999999997135</v>
      </c>
      <c r="AA6" s="58">
        <v>539.39</v>
      </c>
      <c r="AB6" s="65">
        <f t="shared" si="61"/>
        <v>389.99999999998636</v>
      </c>
      <c r="AC6" s="58">
        <v>533.13</v>
      </c>
      <c r="AD6" s="65">
        <f t="shared" si="62"/>
        <v>379.99999999999545</v>
      </c>
      <c r="AE6" s="58">
        <v>810.72</v>
      </c>
      <c r="AF6" s="65">
        <f t="shared" si="63"/>
        <v>800.00000000006821</v>
      </c>
      <c r="AG6" s="58">
        <v>19687</v>
      </c>
      <c r="AH6" s="67">
        <f t="shared" si="64"/>
        <v>30</v>
      </c>
      <c r="AI6" s="58">
        <v>903.21</v>
      </c>
      <c r="AJ6" s="65">
        <f t="shared" si="65"/>
        <v>550.00000000006821</v>
      </c>
      <c r="AK6" s="58">
        <v>300.88</v>
      </c>
      <c r="AL6" s="65">
        <f t="shared" si="66"/>
        <v>189.99999999999773</v>
      </c>
      <c r="AM6" s="58">
        <v>279.58</v>
      </c>
      <c r="AN6" s="65">
        <f t="shared" si="67"/>
        <v>169.99999999995907</v>
      </c>
      <c r="AO6" s="58">
        <v>269.52999999999997</v>
      </c>
      <c r="AP6" s="65">
        <f t="shared" si="68"/>
        <v>169.99999999995907</v>
      </c>
      <c r="AQ6" s="58">
        <v>324</v>
      </c>
      <c r="AR6" s="65">
        <f t="shared" si="69"/>
        <v>139.99999999998636</v>
      </c>
      <c r="AS6" s="58">
        <v>449.31</v>
      </c>
      <c r="AT6" s="65">
        <f t="shared" si="70"/>
        <v>160.00000000002501</v>
      </c>
      <c r="AU6" s="58">
        <v>357.51</v>
      </c>
      <c r="AV6" s="65">
        <f t="shared" si="71"/>
        <v>110.00000000001364</v>
      </c>
      <c r="AW6" s="58">
        <v>387.09</v>
      </c>
      <c r="AX6" s="65">
        <f t="shared" si="72"/>
        <v>60.000000000002274</v>
      </c>
      <c r="AY6" s="58">
        <v>421.34</v>
      </c>
      <c r="AZ6" s="65">
        <f t="shared" si="73"/>
        <v>159.99999999996817</v>
      </c>
      <c r="BA6" s="58">
        <v>439.45</v>
      </c>
      <c r="BB6" s="65">
        <f t="shared" si="74"/>
        <v>129.99999999999545</v>
      </c>
      <c r="BC6" s="58">
        <v>282.39</v>
      </c>
      <c r="BD6" s="65">
        <f t="shared" si="75"/>
        <v>39.99999999996362</v>
      </c>
      <c r="BE6" s="59">
        <v>53407</v>
      </c>
      <c r="BF6" s="67">
        <f t="shared" si="76"/>
        <v>52</v>
      </c>
      <c r="BG6" s="60">
        <v>250.74</v>
      </c>
      <c r="BH6" s="65">
        <f t="shared" si="77"/>
        <v>30.000000000001137</v>
      </c>
      <c r="BI6" s="60">
        <v>305.32</v>
      </c>
      <c r="BJ6" s="65">
        <f t="shared" si="78"/>
        <v>29.999999999972715</v>
      </c>
      <c r="BK6" s="60">
        <v>254.98</v>
      </c>
      <c r="BL6" s="65">
        <f t="shared" si="79"/>
        <v>30.000000000001137</v>
      </c>
      <c r="BM6" s="60">
        <v>240.52</v>
      </c>
      <c r="BN6" s="65">
        <f t="shared" si="80"/>
        <v>30.000000000001137</v>
      </c>
      <c r="BO6" s="60">
        <v>308.95</v>
      </c>
      <c r="BP6" s="65">
        <f t="shared" si="81"/>
        <v>29.999999999972715</v>
      </c>
      <c r="BQ6" s="60">
        <v>58779</v>
      </c>
      <c r="BR6" s="65">
        <f t="shared" si="82"/>
        <v>26</v>
      </c>
      <c r="BS6" s="60">
        <v>218.52</v>
      </c>
      <c r="BT6" s="65">
        <f t="shared" si="83"/>
        <v>40.000000000020464</v>
      </c>
      <c r="BU6" s="60">
        <v>56798</v>
      </c>
      <c r="BV6" s="65">
        <f t="shared" si="84"/>
        <v>28</v>
      </c>
      <c r="BW6" s="60">
        <v>246.59</v>
      </c>
      <c r="BX6" s="65">
        <f t="shared" si="85"/>
        <v>30.000000000001137</v>
      </c>
      <c r="BY6" s="60">
        <v>76752</v>
      </c>
      <c r="BZ6" s="67">
        <f t="shared" si="86"/>
        <v>31</v>
      </c>
      <c r="CA6" s="60">
        <v>52152.3</v>
      </c>
      <c r="CB6" s="67">
        <f t="shared" si="87"/>
        <v>63</v>
      </c>
      <c r="CC6" s="60">
        <v>16554</v>
      </c>
      <c r="CD6" s="67">
        <f t="shared" si="88"/>
        <v>10.200000000000728</v>
      </c>
      <c r="CE6" s="60">
        <v>8436.2000000000007</v>
      </c>
      <c r="CF6" s="67">
        <f t="shared" si="89"/>
        <v>1</v>
      </c>
      <c r="CG6" s="60">
        <v>78105.8</v>
      </c>
      <c r="CH6" s="67">
        <f t="shared" si="90"/>
        <v>65</v>
      </c>
      <c r="CI6" s="60">
        <v>1067629</v>
      </c>
      <c r="CJ6" s="67">
        <f t="shared" si="91"/>
        <v>293</v>
      </c>
      <c r="CK6" s="60">
        <v>1057.4000000000001</v>
      </c>
      <c r="CL6" s="64">
        <f t="shared" si="92"/>
        <v>900.00000000009095</v>
      </c>
      <c r="CM6" s="65">
        <f t="shared" si="93"/>
        <v>121.89999999999782</v>
      </c>
      <c r="CN6" s="62">
        <v>42</v>
      </c>
      <c r="CO6" s="62">
        <v>98</v>
      </c>
      <c r="CP6" s="68">
        <v>36888</v>
      </c>
      <c r="CQ6" s="67">
        <f t="shared" si="94"/>
        <v>102</v>
      </c>
      <c r="CR6" s="68">
        <v>23014.3</v>
      </c>
      <c r="CS6" s="67">
        <f t="shared" si="95"/>
        <v>19.899999999997817</v>
      </c>
      <c r="CT6" s="75">
        <v>11009</v>
      </c>
      <c r="CU6" s="67">
        <f t="shared" si="96"/>
        <v>8</v>
      </c>
      <c r="CV6" s="68">
        <v>26061</v>
      </c>
      <c r="CW6" s="67">
        <f t="shared" si="97"/>
        <v>15</v>
      </c>
      <c r="CX6" s="58">
        <v>3812.5</v>
      </c>
      <c r="CY6" s="67">
        <f t="shared" si="98"/>
        <v>11.5</v>
      </c>
    </row>
    <row r="7" spans="1:103" ht="25.5" customHeight="1" thickBot="1" x14ac:dyDescent="0.45">
      <c r="A7" s="63">
        <v>44777</v>
      </c>
      <c r="B7" s="44"/>
      <c r="C7" s="58">
        <v>3.3940999999999999</v>
      </c>
      <c r="D7" s="64">
        <f t="shared" si="50"/>
        <v>2099.9999999999909</v>
      </c>
      <c r="E7" s="58">
        <v>4.5419</v>
      </c>
      <c r="F7" s="64">
        <f t="shared" si="99"/>
        <v>3099.9999999998809</v>
      </c>
      <c r="G7" s="58">
        <v>4.5155000000000003</v>
      </c>
      <c r="H7" s="64">
        <f t="shared" si="51"/>
        <v>3700.0000000002588</v>
      </c>
      <c r="I7" s="58">
        <v>2.2584</v>
      </c>
      <c r="J7" s="64">
        <f t="shared" si="52"/>
        <v>1399.9999999998458</v>
      </c>
      <c r="K7" s="58">
        <v>3.5009999999999999</v>
      </c>
      <c r="L7" s="64">
        <f t="shared" si="53"/>
        <v>1999.9999999997797</v>
      </c>
      <c r="M7" s="58">
        <v>2.0507</v>
      </c>
      <c r="N7" s="64">
        <f t="shared" si="54"/>
        <v>1399.9999999998458</v>
      </c>
      <c r="O7" s="58">
        <v>22718</v>
      </c>
      <c r="P7" s="67">
        <f t="shared" si="55"/>
        <v>24</v>
      </c>
      <c r="Q7" s="58">
        <v>2785</v>
      </c>
      <c r="R7" s="67">
        <f t="shared" si="56"/>
        <v>3</v>
      </c>
      <c r="S7" s="58">
        <v>1437.7</v>
      </c>
      <c r="T7" s="67">
        <f t="shared" si="57"/>
        <v>1.6000000000001364</v>
      </c>
      <c r="U7" s="58">
        <v>579261.80000000005</v>
      </c>
      <c r="V7" s="67">
        <f t="shared" si="58"/>
        <v>421.70000000006985</v>
      </c>
      <c r="W7" s="58">
        <v>533.15</v>
      </c>
      <c r="X7" s="65">
        <f t="shared" si="59"/>
        <v>299.99999999995453</v>
      </c>
      <c r="Y7" s="58">
        <v>3.9984000000000002</v>
      </c>
      <c r="Z7" s="65">
        <f t="shared" si="60"/>
        <v>2900.0000000003465</v>
      </c>
      <c r="AA7" s="58">
        <v>539.62</v>
      </c>
      <c r="AB7" s="65">
        <f t="shared" si="61"/>
        <v>230.00000000001819</v>
      </c>
      <c r="AC7" s="58">
        <v>533.41</v>
      </c>
      <c r="AD7" s="65">
        <f t="shared" si="62"/>
        <v>279.99999999997272</v>
      </c>
      <c r="AE7" s="58">
        <v>811.54</v>
      </c>
      <c r="AF7" s="65">
        <f t="shared" si="63"/>
        <v>819.99999999993634</v>
      </c>
      <c r="AG7" s="58">
        <v>19716</v>
      </c>
      <c r="AH7" s="67">
        <f t="shared" si="64"/>
        <v>29</v>
      </c>
      <c r="AI7" s="58">
        <v>903.75</v>
      </c>
      <c r="AJ7" s="65">
        <f t="shared" si="65"/>
        <v>539.99999999996362</v>
      </c>
      <c r="AK7" s="58">
        <v>301.06</v>
      </c>
      <c r="AL7" s="65">
        <f t="shared" si="66"/>
        <v>180.00000000000682</v>
      </c>
      <c r="AM7" s="58">
        <v>279.79000000000002</v>
      </c>
      <c r="AN7" s="65">
        <f t="shared" si="67"/>
        <v>210.00000000003638</v>
      </c>
      <c r="AO7" s="58">
        <v>269.70999999999998</v>
      </c>
      <c r="AP7" s="65">
        <f t="shared" si="68"/>
        <v>180.00000000000682</v>
      </c>
      <c r="AQ7" s="58">
        <v>324.14</v>
      </c>
      <c r="AR7" s="65">
        <f t="shared" si="69"/>
        <v>139.99999999998636</v>
      </c>
      <c r="AS7" s="58">
        <v>449.44</v>
      </c>
      <c r="AT7" s="65">
        <f t="shared" si="70"/>
        <v>129.99999999999545</v>
      </c>
      <c r="AU7" s="58">
        <v>357.64</v>
      </c>
      <c r="AV7" s="65">
        <f t="shared" si="71"/>
        <v>129.99999999999545</v>
      </c>
      <c r="AW7" s="58">
        <v>387.18</v>
      </c>
      <c r="AX7" s="65">
        <f t="shared" si="72"/>
        <v>90.000000000031832</v>
      </c>
      <c r="AY7" s="58">
        <v>421.51</v>
      </c>
      <c r="AZ7" s="65">
        <f t="shared" si="73"/>
        <v>170.00000000001592</v>
      </c>
      <c r="BA7" s="58">
        <v>439.59</v>
      </c>
      <c r="BB7" s="65">
        <f t="shared" si="74"/>
        <v>139.99999999998636</v>
      </c>
      <c r="BC7" s="58">
        <v>282.42</v>
      </c>
      <c r="BD7" s="65">
        <f t="shared" si="75"/>
        <v>30.000000000029559</v>
      </c>
      <c r="BE7" s="59">
        <v>53435</v>
      </c>
      <c r="BF7" s="67">
        <f t="shared" si="76"/>
        <v>28</v>
      </c>
      <c r="BG7" s="60">
        <v>250.77</v>
      </c>
      <c r="BH7" s="65">
        <f t="shared" si="77"/>
        <v>30.000000000001137</v>
      </c>
      <c r="BI7" s="60">
        <v>305.33999999999997</v>
      </c>
      <c r="BJ7" s="65">
        <f t="shared" si="78"/>
        <v>19.99999999998181</v>
      </c>
      <c r="BK7" s="60">
        <v>255.03</v>
      </c>
      <c r="BL7" s="65">
        <f t="shared" si="79"/>
        <v>50.000000000011369</v>
      </c>
      <c r="BM7" s="60">
        <v>240.55</v>
      </c>
      <c r="BN7" s="65">
        <f t="shared" si="80"/>
        <v>30.000000000001137</v>
      </c>
      <c r="BO7" s="60">
        <v>308.99</v>
      </c>
      <c r="BP7" s="65">
        <f t="shared" si="81"/>
        <v>40.000000000020464</v>
      </c>
      <c r="BQ7" s="60">
        <v>58806</v>
      </c>
      <c r="BR7" s="65">
        <f t="shared" si="82"/>
        <v>27</v>
      </c>
      <c r="BS7" s="60">
        <v>218.56</v>
      </c>
      <c r="BT7" s="65">
        <f t="shared" si="83"/>
        <v>39.999999999992042</v>
      </c>
      <c r="BU7" s="60">
        <v>56828</v>
      </c>
      <c r="BV7" s="65">
        <f t="shared" si="84"/>
        <v>30</v>
      </c>
      <c r="BW7" s="60">
        <v>246.62</v>
      </c>
      <c r="BX7" s="65">
        <f t="shared" si="85"/>
        <v>30.000000000001137</v>
      </c>
      <c r="BY7" s="60">
        <v>76787</v>
      </c>
      <c r="BZ7" s="67">
        <f t="shared" si="86"/>
        <v>35</v>
      </c>
      <c r="CA7" s="60">
        <v>52215.7</v>
      </c>
      <c r="CB7" s="67">
        <f t="shared" si="87"/>
        <v>63.399999999994179</v>
      </c>
      <c r="CC7" s="60">
        <v>16564.400000000001</v>
      </c>
      <c r="CD7" s="67">
        <f t="shared" si="88"/>
        <v>10.400000000001455</v>
      </c>
      <c r="CE7" s="60">
        <v>8437.2000000000007</v>
      </c>
      <c r="CF7" s="67">
        <f t="shared" si="89"/>
        <v>1</v>
      </c>
      <c r="CG7" s="60">
        <v>78164.100000000006</v>
      </c>
      <c r="CH7" s="67">
        <f t="shared" si="90"/>
        <v>58.30000000000291</v>
      </c>
      <c r="CI7" s="60">
        <v>1067909</v>
      </c>
      <c r="CJ7" s="67">
        <f t="shared" si="91"/>
        <v>280</v>
      </c>
      <c r="CK7" s="60">
        <v>1058.4000000000001</v>
      </c>
      <c r="CL7" s="64">
        <f t="shared" si="92"/>
        <v>1000</v>
      </c>
      <c r="CM7" s="65">
        <f t="shared" si="93"/>
        <v>122.29999999999927</v>
      </c>
      <c r="CN7" s="62">
        <v>42</v>
      </c>
      <c r="CO7" s="62">
        <v>98</v>
      </c>
      <c r="CP7" s="68">
        <v>36990</v>
      </c>
      <c r="CQ7" s="67">
        <f t="shared" si="94"/>
        <v>102</v>
      </c>
      <c r="CR7" s="68">
        <v>23034.6</v>
      </c>
      <c r="CS7" s="67">
        <f t="shared" si="95"/>
        <v>20.299999999999272</v>
      </c>
      <c r="CT7" s="75">
        <v>11018</v>
      </c>
      <c r="CU7" s="67">
        <f t="shared" si="96"/>
        <v>9</v>
      </c>
      <c r="CV7" s="68">
        <v>26077</v>
      </c>
      <c r="CW7" s="67">
        <f t="shared" si="97"/>
        <v>16</v>
      </c>
      <c r="CX7" s="58">
        <v>3824</v>
      </c>
      <c r="CY7" s="67">
        <f t="shared" si="98"/>
        <v>11.5</v>
      </c>
    </row>
    <row r="8" spans="1:103" ht="25.5" customHeight="1" thickBot="1" x14ac:dyDescent="0.45">
      <c r="A8" s="63">
        <v>44778</v>
      </c>
      <c r="B8" s="44"/>
      <c r="C8" s="58">
        <v>3.3961999999999999</v>
      </c>
      <c r="D8" s="64">
        <f t="shared" si="50"/>
        <v>2099.9999999999909</v>
      </c>
      <c r="E8" s="58">
        <v>4.5449000000000002</v>
      </c>
      <c r="F8" s="64">
        <f t="shared" si="99"/>
        <v>3000.0000000001137</v>
      </c>
      <c r="G8" s="58">
        <v>4.5190000000000001</v>
      </c>
      <c r="H8" s="64">
        <f t="shared" si="51"/>
        <v>3499.9999999998367</v>
      </c>
      <c r="I8" s="58">
        <v>2.2597999999999998</v>
      </c>
      <c r="J8" s="64">
        <f t="shared" si="52"/>
        <v>1399.9999999998458</v>
      </c>
      <c r="K8" s="58">
        <v>3.5030000000000001</v>
      </c>
      <c r="L8" s="64">
        <f t="shared" si="53"/>
        <v>2000.0000000002237</v>
      </c>
      <c r="M8" s="58">
        <v>2.0524</v>
      </c>
      <c r="N8" s="64">
        <f t="shared" si="54"/>
        <v>1700.0000000000348</v>
      </c>
      <c r="O8" s="58">
        <v>22738</v>
      </c>
      <c r="P8" s="67">
        <f t="shared" si="55"/>
        <v>20</v>
      </c>
      <c r="Q8" s="58">
        <v>2787</v>
      </c>
      <c r="R8" s="67">
        <f t="shared" si="56"/>
        <v>2</v>
      </c>
      <c r="S8" s="58">
        <v>1439.1</v>
      </c>
      <c r="T8" s="67">
        <f t="shared" si="57"/>
        <v>1.3999999999998636</v>
      </c>
      <c r="U8" s="58">
        <v>579648.1</v>
      </c>
      <c r="V8" s="67">
        <f t="shared" si="58"/>
        <v>386.29999999993015</v>
      </c>
      <c r="W8" s="58">
        <v>533.46</v>
      </c>
      <c r="X8" s="65">
        <f t="shared" si="59"/>
        <v>310.00000000005912</v>
      </c>
      <c r="Y8" s="58">
        <v>4.0010000000000003</v>
      </c>
      <c r="Z8" s="65">
        <f t="shared" si="60"/>
        <v>2600.0000000001578</v>
      </c>
      <c r="AA8" s="58">
        <v>540.03</v>
      </c>
      <c r="AB8" s="65">
        <f t="shared" si="61"/>
        <v>409.99999999996817</v>
      </c>
      <c r="AC8" s="58">
        <v>533.71</v>
      </c>
      <c r="AD8" s="65">
        <f t="shared" si="62"/>
        <v>300.00000000006821</v>
      </c>
      <c r="AE8" s="58">
        <v>812.42</v>
      </c>
      <c r="AF8" s="65">
        <f t="shared" si="63"/>
        <v>879.99999999999545</v>
      </c>
      <c r="AG8" s="58">
        <v>19748</v>
      </c>
      <c r="AH8" s="67">
        <f t="shared" si="64"/>
        <v>32</v>
      </c>
      <c r="AI8" s="58">
        <v>904.27</v>
      </c>
      <c r="AJ8" s="65">
        <f t="shared" si="65"/>
        <v>519.99999999998181</v>
      </c>
      <c r="AK8" s="58">
        <v>301.24</v>
      </c>
      <c r="AL8" s="65">
        <f t="shared" si="66"/>
        <v>180.00000000000682</v>
      </c>
      <c r="AM8" s="58">
        <v>279.94</v>
      </c>
      <c r="AN8" s="65">
        <f t="shared" si="67"/>
        <v>149.99999999997726</v>
      </c>
      <c r="AO8" s="58">
        <v>269.89999999999998</v>
      </c>
      <c r="AP8" s="65">
        <f t="shared" si="68"/>
        <v>189.99999999999773</v>
      </c>
      <c r="AQ8" s="58">
        <v>324.27</v>
      </c>
      <c r="AR8" s="65">
        <f t="shared" si="69"/>
        <v>129.99999999999545</v>
      </c>
      <c r="AS8" s="58">
        <v>449.57</v>
      </c>
      <c r="AT8" s="65">
        <f t="shared" si="70"/>
        <v>129.99999999999545</v>
      </c>
      <c r="AU8" s="58">
        <v>357.76</v>
      </c>
      <c r="AV8" s="65">
        <f t="shared" si="71"/>
        <v>120.00000000000455</v>
      </c>
      <c r="AW8" s="58">
        <v>387.31</v>
      </c>
      <c r="AX8" s="65">
        <f t="shared" si="72"/>
        <v>129.99999999999545</v>
      </c>
      <c r="AY8" s="58">
        <v>421.66</v>
      </c>
      <c r="AZ8" s="65">
        <f t="shared" si="73"/>
        <v>150.00000000003411</v>
      </c>
      <c r="BA8" s="58">
        <v>439.73</v>
      </c>
      <c r="BB8" s="65">
        <f t="shared" si="74"/>
        <v>140.0000000000432</v>
      </c>
      <c r="BC8" s="58">
        <v>282.45</v>
      </c>
      <c r="BD8" s="65">
        <f t="shared" si="75"/>
        <v>29.999999999972715</v>
      </c>
      <c r="BE8" s="59">
        <v>53480</v>
      </c>
      <c r="BF8" s="67">
        <f t="shared" si="76"/>
        <v>45</v>
      </c>
      <c r="BG8" s="60">
        <v>250.8</v>
      </c>
      <c r="BH8" s="65">
        <f t="shared" si="77"/>
        <v>30.000000000001137</v>
      </c>
      <c r="BI8" s="60">
        <v>305.37</v>
      </c>
      <c r="BJ8" s="65">
        <f t="shared" si="78"/>
        <v>30.000000000029559</v>
      </c>
      <c r="BK8" s="60">
        <v>255.08</v>
      </c>
      <c r="BL8" s="65">
        <f t="shared" si="79"/>
        <v>50.000000000011369</v>
      </c>
      <c r="BM8" s="60">
        <v>240.57</v>
      </c>
      <c r="BN8" s="65">
        <f t="shared" si="80"/>
        <v>19.99999999998181</v>
      </c>
      <c r="BO8" s="60">
        <v>309.02</v>
      </c>
      <c r="BP8" s="65">
        <f t="shared" si="81"/>
        <v>29.999999999972715</v>
      </c>
      <c r="BQ8" s="60">
        <v>58832</v>
      </c>
      <c r="BR8" s="65">
        <f t="shared" si="82"/>
        <v>26</v>
      </c>
      <c r="BS8" s="60">
        <v>218.59</v>
      </c>
      <c r="BT8" s="65">
        <f t="shared" si="83"/>
        <v>30.000000000001137</v>
      </c>
      <c r="BU8" s="60">
        <v>56859</v>
      </c>
      <c r="BV8" s="65">
        <f t="shared" si="84"/>
        <v>31</v>
      </c>
      <c r="BW8" s="60">
        <v>246.65</v>
      </c>
      <c r="BX8" s="65">
        <f t="shared" si="85"/>
        <v>30.000000000001137</v>
      </c>
      <c r="BY8" s="60">
        <v>76821</v>
      </c>
      <c r="BZ8" s="67">
        <f t="shared" si="86"/>
        <v>34</v>
      </c>
      <c r="CA8" s="60">
        <v>52272.2</v>
      </c>
      <c r="CB8" s="67">
        <f t="shared" si="87"/>
        <v>56.5</v>
      </c>
      <c r="CC8" s="60">
        <v>16573.599999999999</v>
      </c>
      <c r="CD8" s="67">
        <f t="shared" si="88"/>
        <v>9.1999999999970896</v>
      </c>
      <c r="CE8" s="60">
        <v>8444.2000000000007</v>
      </c>
      <c r="CF8" s="67">
        <f t="shared" si="89"/>
        <v>7</v>
      </c>
      <c r="CG8" s="60">
        <v>78226.2</v>
      </c>
      <c r="CH8" s="67">
        <f t="shared" si="90"/>
        <v>62.099999999991269</v>
      </c>
      <c r="CI8" s="60">
        <v>1068195</v>
      </c>
      <c r="CJ8" s="67">
        <f t="shared" si="91"/>
        <v>286</v>
      </c>
      <c r="CK8" s="60">
        <v>1059.4000000000001</v>
      </c>
      <c r="CL8" s="64">
        <f t="shared" si="92"/>
        <v>1000</v>
      </c>
      <c r="CM8" s="65">
        <f t="shared" si="93"/>
        <v>126.90000000000146</v>
      </c>
      <c r="CN8" s="62">
        <v>46</v>
      </c>
      <c r="CO8" s="62">
        <v>85</v>
      </c>
      <c r="CP8" s="68">
        <v>37096</v>
      </c>
      <c r="CQ8" s="67">
        <f t="shared" si="94"/>
        <v>106</v>
      </c>
      <c r="CR8" s="68">
        <v>23055.5</v>
      </c>
      <c r="CS8" s="67">
        <f t="shared" si="95"/>
        <v>20.900000000001455</v>
      </c>
      <c r="CT8" s="75">
        <v>11025</v>
      </c>
      <c r="CU8" s="67">
        <f t="shared" si="96"/>
        <v>7</v>
      </c>
      <c r="CV8" s="68">
        <v>26093</v>
      </c>
      <c r="CW8" s="67">
        <f t="shared" si="97"/>
        <v>16</v>
      </c>
      <c r="CX8" s="58">
        <v>3835.3</v>
      </c>
      <c r="CY8" s="67">
        <f t="shared" si="98"/>
        <v>11.300000000000182</v>
      </c>
    </row>
    <row r="9" spans="1:103" ht="25.5" customHeight="1" thickBot="1" x14ac:dyDescent="0.45">
      <c r="A9" s="63">
        <v>44779</v>
      </c>
      <c r="B9" s="44"/>
      <c r="C9" s="58">
        <v>3.3986000000000001</v>
      </c>
      <c r="D9" s="64">
        <f t="shared" si="50"/>
        <v>2400.0000000001796</v>
      </c>
      <c r="E9" s="58">
        <v>4.548</v>
      </c>
      <c r="F9" s="64">
        <f t="shared" si="99"/>
        <v>3099.9999999998809</v>
      </c>
      <c r="G9" s="58">
        <v>4.5225999999999997</v>
      </c>
      <c r="H9" s="64">
        <f t="shared" si="51"/>
        <v>3599.9999999996035</v>
      </c>
      <c r="I9" s="58">
        <v>2.2612999999999999</v>
      </c>
      <c r="J9" s="64">
        <f t="shared" si="52"/>
        <v>1500.0000000000568</v>
      </c>
      <c r="K9" s="58">
        <v>3.5051000000000001</v>
      </c>
      <c r="L9" s="64">
        <f t="shared" si="53"/>
        <v>2099.9999999999909</v>
      </c>
      <c r="M9" s="58">
        <v>2.0541999999999998</v>
      </c>
      <c r="N9" s="64">
        <f t="shared" si="54"/>
        <v>1799.9999999998017</v>
      </c>
      <c r="O9" s="58">
        <v>22759</v>
      </c>
      <c r="P9" s="67">
        <f t="shared" si="55"/>
        <v>21</v>
      </c>
      <c r="Q9" s="58">
        <v>2790</v>
      </c>
      <c r="R9" s="67">
        <f t="shared" si="56"/>
        <v>3</v>
      </c>
      <c r="S9" s="58">
        <v>1440.7</v>
      </c>
      <c r="T9" s="67">
        <f t="shared" si="57"/>
        <v>1.6000000000001364</v>
      </c>
      <c r="U9" s="58">
        <v>580077.69999999995</v>
      </c>
      <c r="V9" s="67">
        <f t="shared" si="58"/>
        <v>429.59999999997672</v>
      </c>
      <c r="W9" s="58">
        <v>533.79</v>
      </c>
      <c r="X9" s="65">
        <f t="shared" si="59"/>
        <v>329.99999999992724</v>
      </c>
      <c r="Y9" s="58">
        <v>4.0041000000000002</v>
      </c>
      <c r="Z9" s="65">
        <f t="shared" si="60"/>
        <v>3099.9999999998809</v>
      </c>
      <c r="AA9" s="58">
        <v>540.41999999999996</v>
      </c>
      <c r="AB9" s="65">
        <f t="shared" si="61"/>
        <v>389.99999999998636</v>
      </c>
      <c r="AC9" s="58">
        <v>534.07000000000005</v>
      </c>
      <c r="AD9" s="65">
        <f t="shared" si="62"/>
        <v>360.00000000001364</v>
      </c>
      <c r="AE9" s="58">
        <v>813.39</v>
      </c>
      <c r="AF9" s="65">
        <f t="shared" si="63"/>
        <v>970.00000000002728</v>
      </c>
      <c r="AG9" s="58">
        <v>19786</v>
      </c>
      <c r="AH9" s="67">
        <f t="shared" si="64"/>
        <v>38</v>
      </c>
      <c r="AI9" s="58">
        <v>904.45</v>
      </c>
      <c r="AJ9" s="65">
        <f t="shared" si="65"/>
        <v>180.00000000006366</v>
      </c>
      <c r="AK9" s="58">
        <v>301.48</v>
      </c>
      <c r="AL9" s="65">
        <f t="shared" si="66"/>
        <v>240.00000000000909</v>
      </c>
      <c r="AM9" s="58">
        <v>280.12</v>
      </c>
      <c r="AN9" s="65">
        <f t="shared" si="67"/>
        <v>180.00000000000682</v>
      </c>
      <c r="AO9" s="58">
        <v>270.11</v>
      </c>
      <c r="AP9" s="65">
        <f t="shared" si="68"/>
        <v>210.00000000003638</v>
      </c>
      <c r="AQ9" s="58">
        <v>324.45999999999998</v>
      </c>
      <c r="AR9" s="65">
        <f t="shared" si="69"/>
        <v>189.99999999999773</v>
      </c>
      <c r="AS9" s="58">
        <v>449.74</v>
      </c>
      <c r="AT9" s="65">
        <f t="shared" si="70"/>
        <v>170.00000000001592</v>
      </c>
      <c r="AU9" s="58">
        <v>357.88</v>
      </c>
      <c r="AV9" s="65">
        <f t="shared" si="71"/>
        <v>120.00000000000455</v>
      </c>
      <c r="AW9" s="58">
        <v>387.47</v>
      </c>
      <c r="AX9" s="65">
        <f t="shared" si="72"/>
        <v>160.00000000002501</v>
      </c>
      <c r="AY9" s="58">
        <v>421.83</v>
      </c>
      <c r="AZ9" s="65">
        <f t="shared" si="73"/>
        <v>169.99999999995907</v>
      </c>
      <c r="BA9" s="58">
        <v>439.9</v>
      </c>
      <c r="BB9" s="65">
        <f t="shared" si="74"/>
        <v>169.99999999995907</v>
      </c>
      <c r="BC9" s="58">
        <v>282.48</v>
      </c>
      <c r="BD9" s="65">
        <f t="shared" si="75"/>
        <v>30.000000000029559</v>
      </c>
      <c r="BE9" s="59">
        <v>53504</v>
      </c>
      <c r="BF9" s="67">
        <f t="shared" si="76"/>
        <v>24</v>
      </c>
      <c r="BG9" s="60">
        <v>250.83</v>
      </c>
      <c r="BH9" s="65">
        <f t="shared" si="77"/>
        <v>30.000000000001137</v>
      </c>
      <c r="BI9" s="60">
        <v>305.39</v>
      </c>
      <c r="BJ9" s="65">
        <f t="shared" si="78"/>
        <v>19.99999999998181</v>
      </c>
      <c r="BK9" s="60">
        <v>255.13</v>
      </c>
      <c r="BL9" s="65">
        <f t="shared" si="79"/>
        <v>49.999999999982947</v>
      </c>
      <c r="BM9" s="60">
        <v>240.6</v>
      </c>
      <c r="BN9" s="65">
        <f t="shared" si="80"/>
        <v>30.000000000001137</v>
      </c>
      <c r="BO9" s="60">
        <v>309.06</v>
      </c>
      <c r="BP9" s="65">
        <f t="shared" si="81"/>
        <v>40.000000000020464</v>
      </c>
      <c r="BQ9" s="60">
        <v>58861</v>
      </c>
      <c r="BR9" s="65">
        <f t="shared" si="82"/>
        <v>29</v>
      </c>
      <c r="BS9" s="60">
        <v>218.62</v>
      </c>
      <c r="BT9" s="65">
        <f t="shared" si="83"/>
        <v>30.000000000001137</v>
      </c>
      <c r="BU9" s="60">
        <v>56888</v>
      </c>
      <c r="BV9" s="65">
        <f t="shared" si="84"/>
        <v>29</v>
      </c>
      <c r="BW9" s="60">
        <v>246.69</v>
      </c>
      <c r="BX9" s="65">
        <f t="shared" si="85"/>
        <v>39.999999999992042</v>
      </c>
      <c r="BY9" s="60">
        <v>76857</v>
      </c>
      <c r="BZ9" s="67">
        <f t="shared" si="86"/>
        <v>36</v>
      </c>
      <c r="CA9" s="60">
        <v>52331</v>
      </c>
      <c r="CB9" s="67">
        <f t="shared" si="87"/>
        <v>58.80000000000291</v>
      </c>
      <c r="CC9" s="60">
        <v>16587.8</v>
      </c>
      <c r="CD9" s="67">
        <f t="shared" si="88"/>
        <v>14.200000000000728</v>
      </c>
      <c r="CE9" s="60">
        <v>8453.4</v>
      </c>
      <c r="CF9" s="67">
        <f t="shared" si="89"/>
        <v>9.1999999999989086</v>
      </c>
      <c r="CG9" s="60">
        <v>78282.600000000006</v>
      </c>
      <c r="CH9" s="67">
        <f t="shared" si="90"/>
        <v>56.400000000008731</v>
      </c>
      <c r="CI9" s="60">
        <v>1068471</v>
      </c>
      <c r="CJ9" s="67">
        <f t="shared" si="91"/>
        <v>276</v>
      </c>
      <c r="CK9" s="60">
        <v>1060.3</v>
      </c>
      <c r="CL9" s="64">
        <f t="shared" si="92"/>
        <v>899.99999999986358</v>
      </c>
      <c r="CM9" s="65">
        <f t="shared" si="93"/>
        <v>131.5</v>
      </c>
      <c r="CN9" s="62">
        <v>54</v>
      </c>
      <c r="CO9" s="62">
        <v>99</v>
      </c>
      <c r="CP9" s="68">
        <v>37199</v>
      </c>
      <c r="CQ9" s="67">
        <f t="shared" si="94"/>
        <v>103</v>
      </c>
      <c r="CR9" s="68">
        <v>23084</v>
      </c>
      <c r="CS9" s="67">
        <f t="shared" si="95"/>
        <v>28.5</v>
      </c>
      <c r="CT9" s="75">
        <v>11033</v>
      </c>
      <c r="CU9" s="67">
        <f t="shared" si="96"/>
        <v>8</v>
      </c>
      <c r="CV9" s="68">
        <v>26109</v>
      </c>
      <c r="CW9" s="67">
        <f t="shared" si="97"/>
        <v>16</v>
      </c>
      <c r="CX9" s="58">
        <v>3847.1</v>
      </c>
      <c r="CY9" s="67">
        <f t="shared" si="98"/>
        <v>11.799999999999727</v>
      </c>
    </row>
    <row r="10" spans="1:103" ht="25.5" customHeight="1" thickBot="1" x14ac:dyDescent="0.45">
      <c r="A10" s="63">
        <v>44780</v>
      </c>
      <c r="B10" s="44"/>
      <c r="C10" s="58">
        <v>3.4009999999999998</v>
      </c>
      <c r="D10" s="64">
        <f t="shared" si="50"/>
        <v>2399.9999999997358</v>
      </c>
      <c r="E10" s="58">
        <v>4.5513000000000003</v>
      </c>
      <c r="F10" s="64">
        <f t="shared" si="99"/>
        <v>3300.0000000003029</v>
      </c>
      <c r="G10" s="58">
        <v>4.5263999999999998</v>
      </c>
      <c r="H10" s="64">
        <f t="shared" si="51"/>
        <v>3800.0000000000255</v>
      </c>
      <c r="I10" s="58">
        <v>2.2627999999999999</v>
      </c>
      <c r="J10" s="64">
        <f t="shared" si="52"/>
        <v>1500.0000000000568</v>
      </c>
      <c r="K10" s="58">
        <v>3.5070000000000001</v>
      </c>
      <c r="L10" s="64">
        <f t="shared" si="53"/>
        <v>1900.0000000000127</v>
      </c>
      <c r="M10" s="58">
        <v>2.0558999999999998</v>
      </c>
      <c r="N10" s="64">
        <f t="shared" si="54"/>
        <v>1700.0000000000348</v>
      </c>
      <c r="O10" s="58">
        <v>22777</v>
      </c>
      <c r="P10" s="67">
        <f t="shared" si="55"/>
        <v>18</v>
      </c>
      <c r="Q10" s="58">
        <v>2792</v>
      </c>
      <c r="R10" s="67">
        <f t="shared" si="56"/>
        <v>2</v>
      </c>
      <c r="S10" s="58">
        <v>1442.8</v>
      </c>
      <c r="T10" s="67">
        <f t="shared" si="57"/>
        <v>2.0999999999999091</v>
      </c>
      <c r="U10" s="58">
        <v>580568.9</v>
      </c>
      <c r="V10" s="67">
        <f t="shared" si="58"/>
        <v>491.20000000006985</v>
      </c>
      <c r="W10" s="58">
        <v>534.03</v>
      </c>
      <c r="X10" s="65">
        <f t="shared" si="59"/>
        <v>240.00000000000909</v>
      </c>
      <c r="Y10" s="58">
        <v>4.0068999999999999</v>
      </c>
      <c r="Z10" s="65">
        <f t="shared" si="60"/>
        <v>2799.9999999996917</v>
      </c>
      <c r="AA10" s="58">
        <v>540.77</v>
      </c>
      <c r="AB10" s="65">
        <f t="shared" si="61"/>
        <v>350.00000000002274</v>
      </c>
      <c r="AC10" s="58">
        <v>534.44000000000005</v>
      </c>
      <c r="AD10" s="65">
        <f t="shared" si="62"/>
        <v>370.00000000000455</v>
      </c>
      <c r="AE10" s="58">
        <v>814.22</v>
      </c>
      <c r="AF10" s="65">
        <f t="shared" si="63"/>
        <v>830.00000000004093</v>
      </c>
      <c r="AG10" s="58">
        <v>19819</v>
      </c>
      <c r="AH10" s="67">
        <f t="shared" si="64"/>
        <v>33</v>
      </c>
      <c r="AI10" s="58">
        <v>905.68</v>
      </c>
      <c r="AJ10" s="65">
        <f t="shared" si="65"/>
        <v>1229.9999999999045</v>
      </c>
      <c r="AK10" s="58">
        <v>301.64</v>
      </c>
      <c r="AL10" s="65">
        <f t="shared" si="66"/>
        <v>159.99999999996817</v>
      </c>
      <c r="AM10" s="58">
        <v>280.26</v>
      </c>
      <c r="AN10" s="65">
        <f t="shared" si="67"/>
        <v>139.99999999998636</v>
      </c>
      <c r="AO10" s="58">
        <v>270.23</v>
      </c>
      <c r="AP10" s="65">
        <f t="shared" si="68"/>
        <v>120.00000000000455</v>
      </c>
      <c r="AQ10" s="58">
        <v>324.63</v>
      </c>
      <c r="AR10" s="65">
        <f t="shared" si="69"/>
        <v>170.00000000001592</v>
      </c>
      <c r="AS10" s="58">
        <v>449.92</v>
      </c>
      <c r="AT10" s="65">
        <f t="shared" si="70"/>
        <v>180.00000000000682</v>
      </c>
      <c r="AU10" s="58">
        <v>358</v>
      </c>
      <c r="AV10" s="65">
        <f t="shared" si="71"/>
        <v>120.00000000000455</v>
      </c>
      <c r="AW10" s="58">
        <v>387.58</v>
      </c>
      <c r="AX10" s="65">
        <f t="shared" si="72"/>
        <v>109.9999999999568</v>
      </c>
      <c r="AY10" s="58">
        <v>422.01</v>
      </c>
      <c r="AZ10" s="65">
        <f t="shared" si="73"/>
        <v>180.00000000000682</v>
      </c>
      <c r="BA10" s="58">
        <v>440.03</v>
      </c>
      <c r="BB10" s="65">
        <f t="shared" si="74"/>
        <v>129.99999999999545</v>
      </c>
      <c r="BC10" s="58">
        <v>282.51</v>
      </c>
      <c r="BD10" s="65">
        <f t="shared" si="75"/>
        <v>29.999999999972715</v>
      </c>
      <c r="BE10" s="59">
        <v>53539</v>
      </c>
      <c r="BF10" s="67">
        <f t="shared" si="76"/>
        <v>35</v>
      </c>
      <c r="BG10" s="60">
        <v>250.87</v>
      </c>
      <c r="BH10" s="65">
        <f t="shared" si="77"/>
        <v>39.999999999992042</v>
      </c>
      <c r="BI10" s="60">
        <v>305.42</v>
      </c>
      <c r="BJ10" s="65">
        <f t="shared" si="78"/>
        <v>30.000000000029559</v>
      </c>
      <c r="BK10" s="60">
        <v>255.18</v>
      </c>
      <c r="BL10" s="65">
        <f t="shared" si="79"/>
        <v>50.000000000011369</v>
      </c>
      <c r="BM10" s="60">
        <v>240.64</v>
      </c>
      <c r="BN10" s="65">
        <f t="shared" si="80"/>
        <v>39.999999999992042</v>
      </c>
      <c r="BO10" s="60">
        <v>309.08999999999997</v>
      </c>
      <c r="BP10" s="65">
        <f t="shared" si="81"/>
        <v>29.999999999972715</v>
      </c>
      <c r="BQ10" s="60">
        <v>58899</v>
      </c>
      <c r="BR10" s="65">
        <f t="shared" si="82"/>
        <v>38</v>
      </c>
      <c r="BS10" s="60">
        <v>218.66</v>
      </c>
      <c r="BT10" s="65">
        <f t="shared" si="83"/>
        <v>39.999999999992042</v>
      </c>
      <c r="BU10" s="60">
        <v>56921</v>
      </c>
      <c r="BV10" s="65">
        <f t="shared" si="84"/>
        <v>33</v>
      </c>
      <c r="BW10" s="60">
        <v>246.73</v>
      </c>
      <c r="BX10" s="65">
        <f t="shared" si="85"/>
        <v>39.999999999992042</v>
      </c>
      <c r="BY10" s="60">
        <v>76901</v>
      </c>
      <c r="BZ10" s="67">
        <f t="shared" si="86"/>
        <v>44</v>
      </c>
      <c r="CA10" s="60">
        <v>52384.800000000003</v>
      </c>
      <c r="CB10" s="67">
        <f t="shared" si="87"/>
        <v>53.80000000000291</v>
      </c>
      <c r="CC10" s="60">
        <v>16597.099999999999</v>
      </c>
      <c r="CD10" s="67">
        <f t="shared" si="88"/>
        <v>9.2999999999992724</v>
      </c>
      <c r="CE10" s="60">
        <v>8457.2000000000007</v>
      </c>
      <c r="CF10" s="67">
        <f t="shared" si="89"/>
        <v>3.8000000000010914</v>
      </c>
      <c r="CG10" s="60">
        <v>78348.800000000003</v>
      </c>
      <c r="CH10" s="67">
        <f t="shared" si="90"/>
        <v>66.19999999999709</v>
      </c>
      <c r="CI10" s="60">
        <v>1068762</v>
      </c>
      <c r="CJ10" s="67">
        <f t="shared" si="91"/>
        <v>291</v>
      </c>
      <c r="CK10" s="60">
        <v>1061.2</v>
      </c>
      <c r="CL10" s="64">
        <f t="shared" si="92"/>
        <v>900.00000000009095</v>
      </c>
      <c r="CM10" s="65">
        <f t="shared" si="93"/>
        <v>127.20000000000073</v>
      </c>
      <c r="CN10" s="62">
        <v>54</v>
      </c>
      <c r="CO10" s="62">
        <v>101</v>
      </c>
      <c r="CP10" s="68">
        <v>37309</v>
      </c>
      <c r="CQ10" s="67">
        <f t="shared" si="94"/>
        <v>110</v>
      </c>
      <c r="CR10" s="68">
        <v>23101.200000000001</v>
      </c>
      <c r="CS10" s="67">
        <f t="shared" si="95"/>
        <v>17.200000000000728</v>
      </c>
      <c r="CT10" s="75">
        <v>11040</v>
      </c>
      <c r="CU10" s="67">
        <f t="shared" si="96"/>
        <v>7</v>
      </c>
      <c r="CV10" s="68">
        <v>26127</v>
      </c>
      <c r="CW10" s="67">
        <f t="shared" si="97"/>
        <v>18</v>
      </c>
      <c r="CX10" s="58">
        <v>3858.5</v>
      </c>
      <c r="CY10" s="67">
        <f t="shared" si="98"/>
        <v>11.400000000000091</v>
      </c>
    </row>
    <row r="11" spans="1:103" ht="25.5" customHeight="1" thickBot="1" x14ac:dyDescent="0.45">
      <c r="A11" s="63">
        <v>44781</v>
      </c>
      <c r="B11" s="44"/>
      <c r="C11" s="58">
        <v>3.4032</v>
      </c>
      <c r="D11" s="64">
        <f t="shared" si="50"/>
        <v>2200.0000000002019</v>
      </c>
      <c r="E11" s="58">
        <v>4.5544000000000002</v>
      </c>
      <c r="F11" s="64">
        <f t="shared" si="99"/>
        <v>3099.9999999998809</v>
      </c>
      <c r="G11" s="58">
        <v>4.53</v>
      </c>
      <c r="H11" s="64">
        <f t="shared" si="51"/>
        <v>3600.0000000004916</v>
      </c>
      <c r="I11" s="58">
        <v>2.2643</v>
      </c>
      <c r="J11" s="64">
        <f t="shared" si="52"/>
        <v>1500.0000000000568</v>
      </c>
      <c r="K11" s="58">
        <v>3.5089999999999999</v>
      </c>
      <c r="L11" s="64">
        <f t="shared" si="53"/>
        <v>1999.9999999997797</v>
      </c>
      <c r="M11" s="58">
        <v>2.0575000000000001</v>
      </c>
      <c r="N11" s="64">
        <f t="shared" si="54"/>
        <v>1600.0000000002678</v>
      </c>
      <c r="O11" s="58">
        <v>22795</v>
      </c>
      <c r="P11" s="67">
        <f t="shared" si="55"/>
        <v>18</v>
      </c>
      <c r="Q11" s="58">
        <v>2793</v>
      </c>
      <c r="R11" s="67">
        <f t="shared" si="56"/>
        <v>1</v>
      </c>
      <c r="S11" s="58">
        <v>1444.2</v>
      </c>
      <c r="T11" s="67">
        <f t="shared" si="57"/>
        <v>1.4000000000000909</v>
      </c>
      <c r="U11" s="58">
        <v>581112.80000000005</v>
      </c>
      <c r="V11" s="67">
        <f t="shared" si="58"/>
        <v>543.90000000002328</v>
      </c>
      <c r="W11" s="58">
        <v>534.29</v>
      </c>
      <c r="X11" s="65">
        <f t="shared" si="59"/>
        <v>259.99999999999091</v>
      </c>
      <c r="Y11" s="58">
        <v>4.0101000000000004</v>
      </c>
      <c r="Z11" s="65">
        <f t="shared" si="60"/>
        <v>3200.0000000005357</v>
      </c>
      <c r="AA11" s="58">
        <v>541.17999999999995</v>
      </c>
      <c r="AB11" s="65">
        <f t="shared" si="61"/>
        <v>409.99999999996817</v>
      </c>
      <c r="AC11" s="58">
        <v>534.75</v>
      </c>
      <c r="AD11" s="65">
        <f t="shared" si="62"/>
        <v>309.99999999994543</v>
      </c>
      <c r="AE11" s="58">
        <v>814.99</v>
      </c>
      <c r="AF11" s="65">
        <f t="shared" si="63"/>
        <v>769.99999999998181</v>
      </c>
      <c r="AG11" s="58">
        <v>19857</v>
      </c>
      <c r="AH11" s="67">
        <f t="shared" si="64"/>
        <v>38</v>
      </c>
      <c r="AI11" s="58">
        <v>906.39</v>
      </c>
      <c r="AJ11" s="65">
        <f t="shared" si="65"/>
        <v>710.00000000003638</v>
      </c>
      <c r="AK11" s="58">
        <v>301.83</v>
      </c>
      <c r="AL11" s="65">
        <f t="shared" si="66"/>
        <v>189.99999999999773</v>
      </c>
      <c r="AM11" s="58">
        <v>280.41000000000003</v>
      </c>
      <c r="AN11" s="65">
        <f t="shared" si="67"/>
        <v>150.00000000003411</v>
      </c>
      <c r="AO11" s="58">
        <v>270.36</v>
      </c>
      <c r="AP11" s="65">
        <f t="shared" si="68"/>
        <v>129.99999999999545</v>
      </c>
      <c r="AQ11" s="58">
        <v>324.82</v>
      </c>
      <c r="AR11" s="65">
        <f t="shared" si="69"/>
        <v>189.99999999999773</v>
      </c>
      <c r="AS11" s="58">
        <v>450.1</v>
      </c>
      <c r="AT11" s="65">
        <f t="shared" si="70"/>
        <v>180.00000000000682</v>
      </c>
      <c r="AU11" s="58">
        <v>358.13</v>
      </c>
      <c r="AV11" s="65">
        <f t="shared" si="71"/>
        <v>129.99999999999545</v>
      </c>
      <c r="AW11" s="58">
        <v>387.7</v>
      </c>
      <c r="AX11" s="65">
        <f t="shared" si="72"/>
        <v>120.00000000000455</v>
      </c>
      <c r="AY11" s="58">
        <v>422.18</v>
      </c>
      <c r="AZ11" s="65">
        <f t="shared" si="73"/>
        <v>170.00000000001592</v>
      </c>
      <c r="BA11" s="58">
        <v>440.13</v>
      </c>
      <c r="BB11" s="65">
        <f t="shared" si="74"/>
        <v>100.00000000002274</v>
      </c>
      <c r="BC11" s="58">
        <v>282.52999999999997</v>
      </c>
      <c r="BD11" s="65">
        <f t="shared" si="75"/>
        <v>19.99999999998181</v>
      </c>
      <c r="BE11" s="59">
        <v>53604</v>
      </c>
      <c r="BF11" s="67">
        <f t="shared" si="76"/>
        <v>65</v>
      </c>
      <c r="BG11" s="60">
        <v>250.89</v>
      </c>
      <c r="BH11" s="65">
        <f t="shared" si="77"/>
        <v>19.99999999998181</v>
      </c>
      <c r="BI11" s="60">
        <v>305.45</v>
      </c>
      <c r="BJ11" s="65">
        <f t="shared" si="78"/>
        <v>29.999999999972715</v>
      </c>
      <c r="BK11" s="60">
        <v>255.22</v>
      </c>
      <c r="BL11" s="65">
        <f t="shared" si="79"/>
        <v>39.999999999992042</v>
      </c>
      <c r="BM11" s="60">
        <v>240.67</v>
      </c>
      <c r="BN11" s="65">
        <f t="shared" si="80"/>
        <v>30.000000000001137</v>
      </c>
      <c r="BO11" s="60">
        <v>309.11</v>
      </c>
      <c r="BP11" s="65">
        <f t="shared" si="81"/>
        <v>20.000000000038654</v>
      </c>
      <c r="BQ11" s="60">
        <v>58924</v>
      </c>
      <c r="BR11" s="65">
        <f t="shared" si="82"/>
        <v>25</v>
      </c>
      <c r="BS11" s="60">
        <v>218.69</v>
      </c>
      <c r="BT11" s="65">
        <f t="shared" si="83"/>
        <v>30.000000000001137</v>
      </c>
      <c r="BU11" s="60">
        <v>56948</v>
      </c>
      <c r="BV11" s="65">
        <f t="shared" si="84"/>
        <v>27</v>
      </c>
      <c r="BW11" s="60">
        <v>246.76</v>
      </c>
      <c r="BX11" s="65">
        <f t="shared" si="85"/>
        <v>30.000000000001137</v>
      </c>
      <c r="BY11" s="60">
        <v>76937</v>
      </c>
      <c r="BZ11" s="67">
        <f t="shared" si="86"/>
        <v>36</v>
      </c>
      <c r="CA11" s="60">
        <v>52450.400000000001</v>
      </c>
      <c r="CB11" s="67">
        <f t="shared" si="87"/>
        <v>65.599999999998545</v>
      </c>
      <c r="CC11" s="60">
        <v>16609</v>
      </c>
      <c r="CD11" s="67">
        <f t="shared" si="88"/>
        <v>11.900000000001455</v>
      </c>
      <c r="CE11" s="60">
        <v>8465.5</v>
      </c>
      <c r="CF11" s="67">
        <f t="shared" si="89"/>
        <v>8.2999999999992724</v>
      </c>
      <c r="CG11" s="60">
        <v>78403.399999999994</v>
      </c>
      <c r="CH11" s="67">
        <f t="shared" si="90"/>
        <v>54.599999999991269</v>
      </c>
      <c r="CI11" s="60">
        <v>1069070</v>
      </c>
      <c r="CJ11" s="67">
        <f t="shared" si="91"/>
        <v>308</v>
      </c>
      <c r="CK11" s="60">
        <v>1062</v>
      </c>
      <c r="CL11" s="64">
        <f t="shared" si="92"/>
        <v>799.99999999995453</v>
      </c>
      <c r="CM11" s="65">
        <f t="shared" si="93"/>
        <v>126.79999999999927</v>
      </c>
      <c r="CN11" s="62">
        <v>54</v>
      </c>
      <c r="CO11" s="62">
        <v>124</v>
      </c>
      <c r="CP11" s="68">
        <v>37407</v>
      </c>
      <c r="CQ11" s="67">
        <f t="shared" si="94"/>
        <v>98</v>
      </c>
      <c r="CR11" s="68">
        <v>23130</v>
      </c>
      <c r="CS11" s="67">
        <f t="shared" si="95"/>
        <v>28.799999999999272</v>
      </c>
      <c r="CT11" s="75">
        <v>11048</v>
      </c>
      <c r="CU11" s="67">
        <f t="shared" si="96"/>
        <v>8</v>
      </c>
      <c r="CV11" s="68">
        <v>26151</v>
      </c>
      <c r="CW11" s="67">
        <f t="shared" si="97"/>
        <v>24</v>
      </c>
      <c r="CX11" s="58">
        <v>3865.5</v>
      </c>
      <c r="CY11" s="67">
        <f t="shared" si="98"/>
        <v>7</v>
      </c>
    </row>
    <row r="12" spans="1:103" ht="25.5" customHeight="1" thickBot="1" x14ac:dyDescent="0.45">
      <c r="A12" s="63">
        <v>44782</v>
      </c>
      <c r="B12" s="44"/>
      <c r="C12" s="58">
        <v>3.4054000000000002</v>
      </c>
      <c r="D12" s="64">
        <f t="shared" si="50"/>
        <v>2200.0000000002019</v>
      </c>
      <c r="E12" s="58">
        <v>4.5575999999999999</v>
      </c>
      <c r="F12" s="64">
        <f t="shared" si="99"/>
        <v>3199.9999999996476</v>
      </c>
      <c r="G12" s="58">
        <v>4.5336999999999996</v>
      </c>
      <c r="H12" s="64">
        <f t="shared" si="51"/>
        <v>3699.9999999993706</v>
      </c>
      <c r="I12" s="58">
        <v>2.2658</v>
      </c>
      <c r="J12" s="64">
        <f t="shared" si="52"/>
        <v>1500.0000000000568</v>
      </c>
      <c r="K12" s="58">
        <v>3.5110000000000001</v>
      </c>
      <c r="L12" s="64">
        <f t="shared" si="53"/>
        <v>2000.0000000002237</v>
      </c>
      <c r="M12" s="58">
        <v>2.0590999999999999</v>
      </c>
      <c r="N12" s="64">
        <f t="shared" si="54"/>
        <v>1599.9999999998238</v>
      </c>
      <c r="O12" s="58">
        <v>22821</v>
      </c>
      <c r="P12" s="67">
        <f t="shared" si="55"/>
        <v>26</v>
      </c>
      <c r="Q12" s="58">
        <v>2797</v>
      </c>
      <c r="R12" s="67">
        <f t="shared" si="56"/>
        <v>4</v>
      </c>
      <c r="S12" s="58">
        <v>1445.8</v>
      </c>
      <c r="T12" s="67">
        <f t="shared" si="57"/>
        <v>1.5999999999999091</v>
      </c>
      <c r="U12" s="58">
        <v>581521.1</v>
      </c>
      <c r="V12" s="67">
        <f t="shared" si="58"/>
        <v>408.29999999993015</v>
      </c>
      <c r="W12" s="58">
        <v>534.52</v>
      </c>
      <c r="X12" s="65">
        <f t="shared" si="59"/>
        <v>230.00000000001819</v>
      </c>
      <c r="Y12" s="58">
        <v>4.0129999999999999</v>
      </c>
      <c r="Z12" s="65">
        <f t="shared" si="60"/>
        <v>2899.9999999994584</v>
      </c>
      <c r="AA12" s="58">
        <v>541.58000000000004</v>
      </c>
      <c r="AB12" s="65">
        <f t="shared" si="61"/>
        <v>400.00000000009095</v>
      </c>
      <c r="AC12" s="58">
        <v>535.07000000000005</v>
      </c>
      <c r="AD12" s="65">
        <f t="shared" si="62"/>
        <v>320.00000000005002</v>
      </c>
      <c r="AE12" s="58">
        <v>815.73</v>
      </c>
      <c r="AF12" s="65">
        <f t="shared" si="63"/>
        <v>740.00000000000909</v>
      </c>
      <c r="AG12" s="58">
        <v>19889</v>
      </c>
      <c r="AH12" s="67">
        <f t="shared" si="64"/>
        <v>32</v>
      </c>
      <c r="AI12" s="58">
        <v>907</v>
      </c>
      <c r="AJ12" s="65">
        <f t="shared" si="65"/>
        <v>610.00000000001364</v>
      </c>
      <c r="AK12" s="58">
        <v>302.04000000000002</v>
      </c>
      <c r="AL12" s="65">
        <f t="shared" si="66"/>
        <v>210.00000000003638</v>
      </c>
      <c r="AM12" s="58">
        <v>280.56</v>
      </c>
      <c r="AN12" s="65">
        <f t="shared" si="67"/>
        <v>149.99999999997726</v>
      </c>
      <c r="AO12" s="58">
        <v>270.45999999999998</v>
      </c>
      <c r="AP12" s="65">
        <f t="shared" si="68"/>
        <v>99.999999999965894</v>
      </c>
      <c r="AQ12" s="58">
        <v>324.95999999999998</v>
      </c>
      <c r="AR12" s="65">
        <f t="shared" si="69"/>
        <v>139.99999999998636</v>
      </c>
      <c r="AS12" s="58">
        <v>450.28</v>
      </c>
      <c r="AT12" s="65">
        <f t="shared" si="70"/>
        <v>179.99999999994998</v>
      </c>
      <c r="AU12" s="58">
        <v>358.25</v>
      </c>
      <c r="AV12" s="65">
        <f t="shared" si="71"/>
        <v>120.00000000000455</v>
      </c>
      <c r="AW12" s="58">
        <v>387.81</v>
      </c>
      <c r="AX12" s="65">
        <f t="shared" si="72"/>
        <v>110.00000000001364</v>
      </c>
      <c r="AY12" s="58">
        <v>422.32</v>
      </c>
      <c r="AZ12" s="65">
        <f t="shared" si="73"/>
        <v>139.99999999998636</v>
      </c>
      <c r="BA12" s="58">
        <v>440.24</v>
      </c>
      <c r="BB12" s="65">
        <f t="shared" si="74"/>
        <v>110.00000000001364</v>
      </c>
      <c r="BC12" s="58">
        <v>282.56</v>
      </c>
      <c r="BD12" s="65">
        <f t="shared" si="75"/>
        <v>30.000000000029559</v>
      </c>
      <c r="BE12" s="59">
        <v>53642</v>
      </c>
      <c r="BF12" s="67">
        <f t="shared" si="76"/>
        <v>38</v>
      </c>
      <c r="BG12" s="60">
        <v>250.92</v>
      </c>
      <c r="BH12" s="65">
        <f t="shared" si="77"/>
        <v>30.000000000001137</v>
      </c>
      <c r="BI12" s="60">
        <v>305.48</v>
      </c>
      <c r="BJ12" s="65">
        <f t="shared" si="78"/>
        <v>30.000000000029559</v>
      </c>
      <c r="BK12" s="60">
        <v>255.27</v>
      </c>
      <c r="BL12" s="65">
        <f t="shared" si="79"/>
        <v>50.000000000011369</v>
      </c>
      <c r="BM12" s="60">
        <v>240.7</v>
      </c>
      <c r="BN12" s="65">
        <f t="shared" si="80"/>
        <v>30.000000000001137</v>
      </c>
      <c r="BO12" s="60">
        <v>309.14999999999998</v>
      </c>
      <c r="BP12" s="65">
        <f t="shared" si="81"/>
        <v>39.99999999996362</v>
      </c>
      <c r="BQ12" s="60">
        <v>58958</v>
      </c>
      <c r="BR12" s="65">
        <f t="shared" si="82"/>
        <v>34</v>
      </c>
      <c r="BS12" s="60">
        <v>218.72</v>
      </c>
      <c r="BT12" s="65">
        <f t="shared" si="83"/>
        <v>30.000000000001137</v>
      </c>
      <c r="BU12" s="60">
        <v>56982</v>
      </c>
      <c r="BV12" s="65">
        <f t="shared" si="84"/>
        <v>34</v>
      </c>
      <c r="BW12" s="60">
        <v>246.79</v>
      </c>
      <c r="BX12" s="65">
        <f t="shared" si="85"/>
        <v>30.000000000001137</v>
      </c>
      <c r="BY12" s="60">
        <v>76974</v>
      </c>
      <c r="BZ12" s="67">
        <f t="shared" si="86"/>
        <v>37</v>
      </c>
      <c r="CA12" s="60">
        <v>52506.8</v>
      </c>
      <c r="CB12" s="67">
        <f t="shared" si="87"/>
        <v>56.400000000001455</v>
      </c>
      <c r="CC12" s="60">
        <v>16618.099999999999</v>
      </c>
      <c r="CD12" s="67">
        <f t="shared" si="88"/>
        <v>9.0999999999985448</v>
      </c>
      <c r="CE12" s="60">
        <v>8470.7000000000007</v>
      </c>
      <c r="CF12" s="67">
        <f t="shared" si="89"/>
        <v>5.2000000000007276</v>
      </c>
      <c r="CG12" s="60">
        <v>78462.3</v>
      </c>
      <c r="CH12" s="67">
        <f t="shared" si="90"/>
        <v>58.900000000008731</v>
      </c>
      <c r="CI12" s="60">
        <v>1069348</v>
      </c>
      <c r="CJ12" s="67">
        <f t="shared" si="91"/>
        <v>278</v>
      </c>
      <c r="CK12" s="60">
        <v>1062.9000000000001</v>
      </c>
      <c r="CL12" s="64">
        <f t="shared" si="92"/>
        <v>900.00000000009095</v>
      </c>
      <c r="CM12" s="65">
        <f t="shared" si="93"/>
        <v>123</v>
      </c>
      <c r="CN12" s="62">
        <v>52</v>
      </c>
      <c r="CO12" s="62">
        <v>120</v>
      </c>
      <c r="CP12" s="68">
        <v>37511</v>
      </c>
      <c r="CQ12" s="67">
        <f t="shared" si="94"/>
        <v>104</v>
      </c>
      <c r="CR12" s="68">
        <v>23149</v>
      </c>
      <c r="CS12" s="67">
        <f t="shared" si="95"/>
        <v>19</v>
      </c>
      <c r="CT12" s="75">
        <v>11058</v>
      </c>
      <c r="CU12" s="67">
        <f t="shared" si="96"/>
        <v>10</v>
      </c>
      <c r="CV12" s="68">
        <v>26173</v>
      </c>
      <c r="CW12" s="67">
        <f t="shared" si="97"/>
        <v>22</v>
      </c>
      <c r="CX12" s="58">
        <v>3876.5</v>
      </c>
      <c r="CY12" s="67">
        <f t="shared" si="98"/>
        <v>11</v>
      </c>
    </row>
    <row r="13" spans="1:103" ht="25.5" customHeight="1" thickBot="1" x14ac:dyDescent="0.45">
      <c r="A13" s="63">
        <v>44783</v>
      </c>
      <c r="B13" s="44"/>
      <c r="C13" s="58">
        <v>3.4074</v>
      </c>
      <c r="D13" s="64">
        <f t="shared" si="50"/>
        <v>1999.9999999997797</v>
      </c>
      <c r="E13" s="58">
        <v>4.5603999999999996</v>
      </c>
      <c r="F13" s="64">
        <f t="shared" si="99"/>
        <v>2799.9999999996917</v>
      </c>
      <c r="G13" s="58">
        <v>4.5372000000000003</v>
      </c>
      <c r="H13" s="64">
        <f t="shared" si="51"/>
        <v>3500.0000000007249</v>
      </c>
      <c r="I13" s="58">
        <v>2.2671999999999999</v>
      </c>
      <c r="J13" s="64">
        <f t="shared" si="52"/>
        <v>1399.9999999998458</v>
      </c>
      <c r="K13" s="58">
        <v>3.5129999999999999</v>
      </c>
      <c r="L13" s="64">
        <f t="shared" si="53"/>
        <v>1999.9999999997797</v>
      </c>
      <c r="M13" s="58">
        <v>2.0605000000000002</v>
      </c>
      <c r="N13" s="64">
        <f t="shared" si="54"/>
        <v>1400.0000000002899</v>
      </c>
      <c r="O13" s="58">
        <v>22840</v>
      </c>
      <c r="P13" s="67">
        <f t="shared" si="55"/>
        <v>19</v>
      </c>
      <c r="Q13" s="58">
        <v>2798</v>
      </c>
      <c r="R13" s="67">
        <f t="shared" si="56"/>
        <v>1</v>
      </c>
      <c r="S13" s="58">
        <v>1447.3</v>
      </c>
      <c r="T13" s="67">
        <f t="shared" si="57"/>
        <v>1.5</v>
      </c>
      <c r="U13" s="58">
        <v>581854.1</v>
      </c>
      <c r="V13" s="67">
        <f t="shared" si="58"/>
        <v>333</v>
      </c>
      <c r="W13" s="58">
        <v>534.77</v>
      </c>
      <c r="X13" s="65">
        <f t="shared" si="59"/>
        <v>250</v>
      </c>
      <c r="Y13" s="58">
        <v>4.0155000000000003</v>
      </c>
      <c r="Z13" s="65">
        <f t="shared" si="60"/>
        <v>2500.0000000003906</v>
      </c>
      <c r="AA13" s="58">
        <v>541.96</v>
      </c>
      <c r="AB13" s="65">
        <f t="shared" si="61"/>
        <v>379.99999999999545</v>
      </c>
      <c r="AC13" s="58">
        <v>535.35</v>
      </c>
      <c r="AD13" s="65">
        <f t="shared" si="62"/>
        <v>279.99999999997272</v>
      </c>
      <c r="AE13" s="58">
        <v>816.46</v>
      </c>
      <c r="AF13" s="65">
        <f t="shared" si="63"/>
        <v>730.00000000001819</v>
      </c>
      <c r="AG13" s="58">
        <v>19917</v>
      </c>
      <c r="AH13" s="67">
        <f t="shared" si="64"/>
        <v>28</v>
      </c>
      <c r="AI13" s="58">
        <v>907.54</v>
      </c>
      <c r="AJ13" s="65">
        <f t="shared" si="65"/>
        <v>539.99999999996362</v>
      </c>
      <c r="AK13" s="58">
        <v>302.22000000000003</v>
      </c>
      <c r="AL13" s="65">
        <f t="shared" si="66"/>
        <v>180.00000000000682</v>
      </c>
      <c r="AM13" s="58">
        <v>280.70999999999998</v>
      </c>
      <c r="AN13" s="65">
        <f t="shared" si="67"/>
        <v>149.99999999997726</v>
      </c>
      <c r="AO13" s="58">
        <v>270.56</v>
      </c>
      <c r="AP13" s="65">
        <f t="shared" si="68"/>
        <v>100.00000000002274</v>
      </c>
      <c r="AQ13" s="58">
        <v>325.08999999999997</v>
      </c>
      <c r="AR13" s="65">
        <f t="shared" si="69"/>
        <v>129.99999999999545</v>
      </c>
      <c r="AS13" s="58">
        <v>450.45</v>
      </c>
      <c r="AT13" s="65">
        <f t="shared" si="70"/>
        <v>170.00000000001592</v>
      </c>
      <c r="AU13" s="58">
        <v>358.34</v>
      </c>
      <c r="AV13" s="65">
        <f t="shared" si="71"/>
        <v>89.999999999974989</v>
      </c>
      <c r="AW13" s="58">
        <v>387.91</v>
      </c>
      <c r="AX13" s="65">
        <f t="shared" si="72"/>
        <v>100.00000000002274</v>
      </c>
      <c r="AY13" s="58">
        <v>422.45</v>
      </c>
      <c r="AZ13" s="65">
        <f t="shared" si="73"/>
        <v>129.99999999999545</v>
      </c>
      <c r="BA13" s="58">
        <v>440.33</v>
      </c>
      <c r="BB13" s="65">
        <f t="shared" si="74"/>
        <v>89.999999999974989</v>
      </c>
      <c r="BC13" s="58">
        <v>282.60000000000002</v>
      </c>
      <c r="BD13" s="65">
        <f t="shared" si="75"/>
        <v>40.000000000020464</v>
      </c>
      <c r="BE13" s="59">
        <v>53685</v>
      </c>
      <c r="BF13" s="67">
        <f t="shared" si="76"/>
        <v>43</v>
      </c>
      <c r="BG13" s="60">
        <v>250.94</v>
      </c>
      <c r="BH13" s="65">
        <f t="shared" si="77"/>
        <v>20.000000000010232</v>
      </c>
      <c r="BI13" s="60">
        <v>305.5</v>
      </c>
      <c r="BJ13" s="65">
        <f t="shared" si="78"/>
        <v>19.99999999998181</v>
      </c>
      <c r="BK13" s="60">
        <v>255.31</v>
      </c>
      <c r="BL13" s="65">
        <f t="shared" si="79"/>
        <v>39.999999999992042</v>
      </c>
      <c r="BM13" s="60">
        <v>240.73</v>
      </c>
      <c r="BN13" s="65">
        <f t="shared" si="80"/>
        <v>30.000000000001137</v>
      </c>
      <c r="BO13" s="60">
        <v>309.17</v>
      </c>
      <c r="BP13" s="65">
        <f t="shared" si="81"/>
        <v>20.000000000038654</v>
      </c>
      <c r="BQ13" s="60">
        <v>58985</v>
      </c>
      <c r="BR13" s="65">
        <f t="shared" si="82"/>
        <v>27</v>
      </c>
      <c r="BS13" s="60">
        <v>218.74</v>
      </c>
      <c r="BT13" s="65">
        <f t="shared" si="83"/>
        <v>20.000000000010232</v>
      </c>
      <c r="BU13" s="60">
        <v>57014</v>
      </c>
      <c r="BV13" s="65">
        <f t="shared" si="84"/>
        <v>32</v>
      </c>
      <c r="BW13" s="60">
        <v>246.82</v>
      </c>
      <c r="BX13" s="65">
        <f t="shared" si="85"/>
        <v>30.000000000001137</v>
      </c>
      <c r="BY13" s="60">
        <v>77008</v>
      </c>
      <c r="BZ13" s="67">
        <f t="shared" si="86"/>
        <v>34</v>
      </c>
      <c r="CA13" s="60">
        <v>52550.9</v>
      </c>
      <c r="CB13" s="67">
        <f t="shared" si="87"/>
        <v>44.099999999998545</v>
      </c>
      <c r="CC13" s="60">
        <v>16626.3</v>
      </c>
      <c r="CD13" s="67">
        <f t="shared" si="88"/>
        <v>8.2000000000007276</v>
      </c>
      <c r="CE13" s="60">
        <v>8474.4</v>
      </c>
      <c r="CF13" s="67">
        <f t="shared" si="89"/>
        <v>3.6999999999989086</v>
      </c>
      <c r="CG13" s="60">
        <v>78507.7</v>
      </c>
      <c r="CH13" s="67">
        <f t="shared" si="90"/>
        <v>45.399999999994179</v>
      </c>
      <c r="CI13" s="60">
        <v>1069636</v>
      </c>
      <c r="CJ13" s="67">
        <f t="shared" si="91"/>
        <v>288</v>
      </c>
      <c r="CK13" s="60">
        <v>1063.9000000000001</v>
      </c>
      <c r="CL13" s="64">
        <f t="shared" si="92"/>
        <v>1000</v>
      </c>
      <c r="CM13" s="65">
        <f t="shared" si="93"/>
        <v>127</v>
      </c>
      <c r="CN13" s="62">
        <v>51</v>
      </c>
      <c r="CO13" s="62">
        <v>119</v>
      </c>
      <c r="CP13" s="68">
        <v>37610</v>
      </c>
      <c r="CQ13" s="67">
        <f t="shared" si="94"/>
        <v>99</v>
      </c>
      <c r="CR13" s="68">
        <v>23177</v>
      </c>
      <c r="CS13" s="67">
        <f t="shared" si="95"/>
        <v>28</v>
      </c>
      <c r="CT13" s="75">
        <v>11067</v>
      </c>
      <c r="CU13" s="67">
        <f t="shared" si="96"/>
        <v>9</v>
      </c>
      <c r="CV13" s="68">
        <v>26195</v>
      </c>
      <c r="CW13" s="67">
        <f t="shared" si="97"/>
        <v>22</v>
      </c>
      <c r="CX13" s="58">
        <v>3887.2</v>
      </c>
      <c r="CY13" s="67">
        <f t="shared" si="98"/>
        <v>10.699999999999818</v>
      </c>
    </row>
    <row r="14" spans="1:103" ht="25.5" customHeight="1" thickBot="1" x14ac:dyDescent="0.45">
      <c r="A14" s="63">
        <v>44784</v>
      </c>
      <c r="B14" s="44"/>
      <c r="C14" s="58">
        <v>3.4095</v>
      </c>
      <c r="D14" s="64">
        <f t="shared" si="50"/>
        <v>2099.9999999999909</v>
      </c>
      <c r="E14" s="58">
        <v>4.5636999999999999</v>
      </c>
      <c r="F14" s="64">
        <f t="shared" si="99"/>
        <v>3300.0000000003029</v>
      </c>
      <c r="G14" s="58">
        <v>4.5410000000000004</v>
      </c>
      <c r="H14" s="64">
        <f t="shared" si="51"/>
        <v>3800.0000000000255</v>
      </c>
      <c r="I14" s="58">
        <v>2.2686000000000002</v>
      </c>
      <c r="J14" s="64">
        <f t="shared" si="52"/>
        <v>1400.0000000002899</v>
      </c>
      <c r="K14" s="58">
        <v>3.5150000000000001</v>
      </c>
      <c r="L14" s="64">
        <f t="shared" si="53"/>
        <v>2000.0000000002237</v>
      </c>
      <c r="M14" s="58">
        <v>2.0619000000000001</v>
      </c>
      <c r="N14" s="64">
        <f t="shared" si="54"/>
        <v>1399.9999999998458</v>
      </c>
      <c r="O14" s="58">
        <v>22859</v>
      </c>
      <c r="P14" s="67">
        <f t="shared" si="55"/>
        <v>19</v>
      </c>
      <c r="Q14" s="58">
        <v>2800</v>
      </c>
      <c r="R14" s="67">
        <f t="shared" si="56"/>
        <v>2</v>
      </c>
      <c r="S14" s="58">
        <v>1449.1</v>
      </c>
      <c r="T14" s="67">
        <f t="shared" si="57"/>
        <v>1.7999999999999545</v>
      </c>
      <c r="U14" s="58">
        <v>582293.69999999995</v>
      </c>
      <c r="V14" s="67">
        <f t="shared" si="58"/>
        <v>439.59999999997672</v>
      </c>
      <c r="W14" s="58">
        <v>535.12</v>
      </c>
      <c r="X14" s="65">
        <f t="shared" si="59"/>
        <v>350.00000000002274</v>
      </c>
      <c r="Y14" s="58">
        <v>4.0186000000000002</v>
      </c>
      <c r="Z14" s="65">
        <f t="shared" si="60"/>
        <v>3099.9999999998809</v>
      </c>
      <c r="AA14" s="58">
        <v>542.22</v>
      </c>
      <c r="AB14" s="65">
        <f t="shared" si="61"/>
        <v>259.99999999999091</v>
      </c>
      <c r="AC14" s="58">
        <v>535.65</v>
      </c>
      <c r="AD14" s="65">
        <f t="shared" si="62"/>
        <v>299.99999999995453</v>
      </c>
      <c r="AE14" s="58">
        <v>817.19</v>
      </c>
      <c r="AF14" s="65">
        <f t="shared" si="63"/>
        <v>730.00000000001819</v>
      </c>
      <c r="AG14" s="58">
        <v>19948</v>
      </c>
      <c r="AH14" s="67">
        <f t="shared" si="64"/>
        <v>31</v>
      </c>
      <c r="AI14" s="58">
        <v>908.17</v>
      </c>
      <c r="AJ14" s="65">
        <f t="shared" si="65"/>
        <v>629.99999999999545</v>
      </c>
      <c r="AK14" s="58">
        <v>302.43</v>
      </c>
      <c r="AL14" s="65">
        <f t="shared" si="66"/>
        <v>209.99999999997954</v>
      </c>
      <c r="AM14" s="58">
        <v>280.89</v>
      </c>
      <c r="AN14" s="65">
        <f t="shared" si="67"/>
        <v>180.00000000000682</v>
      </c>
      <c r="AO14" s="58">
        <v>270.69</v>
      </c>
      <c r="AP14" s="65">
        <f t="shared" si="68"/>
        <v>129.99999999999545</v>
      </c>
      <c r="AQ14" s="58">
        <v>325.27</v>
      </c>
      <c r="AR14" s="65">
        <f t="shared" si="69"/>
        <v>180.00000000000682</v>
      </c>
      <c r="AS14" s="58">
        <v>450.64</v>
      </c>
      <c r="AT14" s="65">
        <f t="shared" si="70"/>
        <v>189.99999999999773</v>
      </c>
      <c r="AU14" s="58">
        <v>358.43</v>
      </c>
      <c r="AV14" s="65">
        <f t="shared" si="71"/>
        <v>90.000000000031832</v>
      </c>
      <c r="AW14" s="58">
        <v>388.02</v>
      </c>
      <c r="AX14" s="65">
        <f t="shared" si="72"/>
        <v>109.9999999999568</v>
      </c>
      <c r="AY14" s="58">
        <v>422.56</v>
      </c>
      <c r="AZ14" s="65">
        <f t="shared" si="73"/>
        <v>110.00000000001364</v>
      </c>
      <c r="BA14" s="58">
        <v>440.41</v>
      </c>
      <c r="BB14" s="65">
        <f t="shared" si="74"/>
        <v>80.000000000040927</v>
      </c>
      <c r="BC14" s="58">
        <v>282.64</v>
      </c>
      <c r="BD14" s="65">
        <f t="shared" si="75"/>
        <v>39.99999999996362</v>
      </c>
      <c r="BE14" s="59">
        <v>53722</v>
      </c>
      <c r="BF14" s="67">
        <f t="shared" si="76"/>
        <v>37</v>
      </c>
      <c r="BG14" s="60">
        <v>250.97</v>
      </c>
      <c r="BH14" s="65">
        <f t="shared" si="77"/>
        <v>30.000000000001137</v>
      </c>
      <c r="BI14" s="60">
        <v>305.52999999999997</v>
      </c>
      <c r="BJ14" s="65">
        <f t="shared" si="78"/>
        <v>29.999999999972715</v>
      </c>
      <c r="BK14" s="60">
        <v>255.35</v>
      </c>
      <c r="BL14" s="65">
        <f t="shared" si="79"/>
        <v>39.999999999992042</v>
      </c>
      <c r="BM14" s="60">
        <v>240.76</v>
      </c>
      <c r="BN14" s="65">
        <f t="shared" si="80"/>
        <v>30.000000000001137</v>
      </c>
      <c r="BO14" s="60">
        <v>309.20999999999998</v>
      </c>
      <c r="BP14" s="65">
        <f t="shared" si="81"/>
        <v>39.99999999996362</v>
      </c>
      <c r="BQ14" s="60">
        <v>59019</v>
      </c>
      <c r="BR14" s="65">
        <f t="shared" si="82"/>
        <v>34</v>
      </c>
      <c r="BS14" s="60">
        <v>218.77</v>
      </c>
      <c r="BT14" s="65">
        <f t="shared" si="83"/>
        <v>30.000000000001137</v>
      </c>
      <c r="BU14" s="60">
        <v>57046</v>
      </c>
      <c r="BV14" s="65">
        <f t="shared" si="84"/>
        <v>32</v>
      </c>
      <c r="BW14" s="60">
        <v>246.85</v>
      </c>
      <c r="BX14" s="65">
        <f t="shared" si="85"/>
        <v>30.000000000001137</v>
      </c>
      <c r="BY14" s="60">
        <v>77046</v>
      </c>
      <c r="BZ14" s="67">
        <f t="shared" si="86"/>
        <v>38</v>
      </c>
      <c r="CA14" s="60">
        <v>52611.199999999997</v>
      </c>
      <c r="CB14" s="67">
        <f t="shared" si="87"/>
        <v>60.299999999995634</v>
      </c>
      <c r="CC14" s="60">
        <v>16646.900000000001</v>
      </c>
      <c r="CD14" s="67">
        <f t="shared" si="88"/>
        <v>20.600000000002183</v>
      </c>
      <c r="CE14" s="60">
        <v>8477.7999999999993</v>
      </c>
      <c r="CF14" s="67">
        <f t="shared" si="89"/>
        <v>3.3999999999996362</v>
      </c>
      <c r="CG14" s="60">
        <v>78553.399999999994</v>
      </c>
      <c r="CH14" s="67">
        <f t="shared" si="90"/>
        <v>45.69999999999709</v>
      </c>
      <c r="CI14" s="60">
        <v>1069930</v>
      </c>
      <c r="CJ14" s="67">
        <f t="shared" si="91"/>
        <v>294</v>
      </c>
      <c r="CK14" s="60">
        <v>1064.8</v>
      </c>
      <c r="CL14" s="64">
        <f t="shared" si="92"/>
        <v>899.99999999986358</v>
      </c>
      <c r="CM14" s="65">
        <f t="shared" si="93"/>
        <v>114</v>
      </c>
      <c r="CN14" s="62">
        <v>41</v>
      </c>
      <c r="CO14" s="62">
        <v>91</v>
      </c>
      <c r="CP14" s="68">
        <v>37705</v>
      </c>
      <c r="CQ14" s="67">
        <f t="shared" si="94"/>
        <v>95</v>
      </c>
      <c r="CR14" s="68">
        <v>23196</v>
      </c>
      <c r="CS14" s="67">
        <f t="shared" si="95"/>
        <v>19</v>
      </c>
      <c r="CT14" s="75">
        <v>11077</v>
      </c>
      <c r="CU14" s="67">
        <f t="shared" si="96"/>
        <v>10</v>
      </c>
      <c r="CV14" s="68">
        <v>26216</v>
      </c>
      <c r="CW14" s="67">
        <f t="shared" si="97"/>
        <v>21</v>
      </c>
      <c r="CX14" s="58">
        <v>3898.5</v>
      </c>
      <c r="CY14" s="67">
        <f t="shared" si="98"/>
        <v>11.300000000000182</v>
      </c>
    </row>
    <row r="15" spans="1:103" ht="25.5" customHeight="1" thickBot="1" x14ac:dyDescent="0.45">
      <c r="A15" s="63">
        <v>44785</v>
      </c>
      <c r="B15" s="44"/>
      <c r="C15" s="58"/>
      <c r="D15" s="64" t="str">
        <f t="shared" si="50"/>
        <v>0</v>
      </c>
      <c r="E15" s="58"/>
      <c r="F15" s="64" t="str">
        <f t="shared" si="99"/>
        <v>0</v>
      </c>
      <c r="G15" s="58"/>
      <c r="H15" s="64" t="str">
        <f t="shared" si="51"/>
        <v>0</v>
      </c>
      <c r="I15" s="58"/>
      <c r="J15" s="64" t="str">
        <f t="shared" si="52"/>
        <v>0</v>
      </c>
      <c r="K15" s="58"/>
      <c r="L15" s="64" t="str">
        <f t="shared" si="53"/>
        <v>0</v>
      </c>
      <c r="M15" s="58"/>
      <c r="N15" s="64" t="str">
        <f t="shared" si="54"/>
        <v/>
      </c>
      <c r="O15" s="58"/>
      <c r="P15" s="67" t="str">
        <f t="shared" si="55"/>
        <v/>
      </c>
      <c r="Q15" s="58"/>
      <c r="R15" s="67" t="str">
        <f>IF((Q15-Q14&lt;0), "",Q15-Q14)</f>
        <v/>
      </c>
      <c r="S15" s="58"/>
      <c r="T15" s="67" t="str">
        <f t="shared" si="57"/>
        <v/>
      </c>
      <c r="U15" s="58"/>
      <c r="V15" s="67" t="str">
        <f t="shared" si="58"/>
        <v/>
      </c>
      <c r="W15" s="58"/>
      <c r="X15" s="65" t="str">
        <f t="shared" si="59"/>
        <v/>
      </c>
      <c r="Y15" s="58"/>
      <c r="Z15" s="65" t="str">
        <f t="shared" si="60"/>
        <v/>
      </c>
      <c r="AA15" s="58"/>
      <c r="AB15" s="65" t="str">
        <f t="shared" si="61"/>
        <v/>
      </c>
      <c r="AC15" s="58"/>
      <c r="AD15" s="65" t="str">
        <f t="shared" si="62"/>
        <v/>
      </c>
      <c r="AE15" s="58"/>
      <c r="AF15" s="65" t="str">
        <f t="shared" si="63"/>
        <v/>
      </c>
      <c r="AG15" s="58"/>
      <c r="AH15" s="67" t="str">
        <f t="shared" si="64"/>
        <v/>
      </c>
      <c r="AI15" s="58"/>
      <c r="AJ15" s="65" t="str">
        <f t="shared" si="65"/>
        <v/>
      </c>
      <c r="AK15" s="58"/>
      <c r="AL15" s="65" t="str">
        <f t="shared" si="66"/>
        <v/>
      </c>
      <c r="AM15" s="58"/>
      <c r="AN15" s="65" t="str">
        <f t="shared" si="67"/>
        <v/>
      </c>
      <c r="AO15" s="58"/>
      <c r="AP15" s="65" t="str">
        <f t="shared" si="68"/>
        <v/>
      </c>
      <c r="AQ15" s="58"/>
      <c r="AR15" s="65" t="str">
        <f t="shared" si="69"/>
        <v/>
      </c>
      <c r="AS15" s="58"/>
      <c r="AT15" s="65" t="str">
        <f t="shared" si="70"/>
        <v/>
      </c>
      <c r="AU15" s="58"/>
      <c r="AV15" s="65" t="str">
        <f t="shared" si="71"/>
        <v/>
      </c>
      <c r="AW15" s="58"/>
      <c r="AX15" s="65" t="str">
        <f t="shared" si="72"/>
        <v/>
      </c>
      <c r="AY15" s="58"/>
      <c r="AZ15" s="65" t="str">
        <f t="shared" si="73"/>
        <v/>
      </c>
      <c r="BA15" s="58"/>
      <c r="BB15" s="65" t="str">
        <f t="shared" si="74"/>
        <v/>
      </c>
      <c r="BC15" s="58"/>
      <c r="BD15" s="65" t="str">
        <f t="shared" si="75"/>
        <v/>
      </c>
      <c r="BE15" s="59"/>
      <c r="BF15" s="67" t="str">
        <f t="shared" si="76"/>
        <v/>
      </c>
      <c r="BG15" s="60"/>
      <c r="BH15" s="65" t="str">
        <f t="shared" si="77"/>
        <v/>
      </c>
      <c r="BI15" s="60"/>
      <c r="BJ15" s="65" t="str">
        <f t="shared" si="78"/>
        <v/>
      </c>
      <c r="BK15" s="60"/>
      <c r="BL15" s="65" t="str">
        <f t="shared" si="79"/>
        <v/>
      </c>
      <c r="BM15" s="60"/>
      <c r="BN15" s="65" t="str">
        <f t="shared" si="80"/>
        <v/>
      </c>
      <c r="BO15" s="60"/>
      <c r="BP15" s="65" t="str">
        <f t="shared" si="81"/>
        <v/>
      </c>
      <c r="BQ15" s="60"/>
      <c r="BR15" s="65" t="str">
        <f t="shared" si="82"/>
        <v/>
      </c>
      <c r="BS15" s="60"/>
      <c r="BT15" s="65" t="str">
        <f t="shared" si="83"/>
        <v/>
      </c>
      <c r="BU15" s="60"/>
      <c r="BV15" s="65" t="str">
        <f t="shared" si="84"/>
        <v/>
      </c>
      <c r="BW15" s="60"/>
      <c r="BX15" s="65" t="str">
        <f t="shared" si="85"/>
        <v/>
      </c>
      <c r="BY15" s="60"/>
      <c r="BZ15" s="67" t="str">
        <f t="shared" si="86"/>
        <v/>
      </c>
      <c r="CA15" s="60"/>
      <c r="CB15" s="67" t="str">
        <f t="shared" si="87"/>
        <v/>
      </c>
      <c r="CC15" s="60"/>
      <c r="CD15" s="67" t="str">
        <f t="shared" si="88"/>
        <v/>
      </c>
      <c r="CE15" s="60"/>
      <c r="CF15" s="67" t="str">
        <f t="shared" si="89"/>
        <v/>
      </c>
      <c r="CG15" s="60"/>
      <c r="CH15" s="67" t="str">
        <f t="shared" si="90"/>
        <v/>
      </c>
      <c r="CI15" s="60"/>
      <c r="CJ15" s="67" t="str">
        <f t="shared" si="91"/>
        <v/>
      </c>
      <c r="CK15" s="60"/>
      <c r="CL15" s="64" t="str">
        <f t="shared" si="92"/>
        <v/>
      </c>
      <c r="CM15" s="65" t="e">
        <f t="shared" si="93"/>
        <v>#VALUE!</v>
      </c>
      <c r="CN15" s="62">
        <v>42</v>
      </c>
      <c r="CO15" s="62">
        <v>94</v>
      </c>
      <c r="CP15" s="68"/>
      <c r="CQ15" s="67" t="str">
        <f t="shared" si="94"/>
        <v/>
      </c>
      <c r="CR15" s="68"/>
      <c r="CS15" s="67" t="str">
        <f t="shared" si="95"/>
        <v/>
      </c>
      <c r="CT15" s="75"/>
      <c r="CU15" s="67" t="str">
        <f t="shared" si="96"/>
        <v/>
      </c>
      <c r="CV15" s="68"/>
      <c r="CW15" s="67" t="str">
        <f t="shared" si="97"/>
        <v/>
      </c>
      <c r="CX15" s="58"/>
      <c r="CY15" s="67" t="str">
        <f t="shared" si="98"/>
        <v/>
      </c>
    </row>
    <row r="16" spans="1:103" ht="25.5" customHeight="1" thickBot="1" x14ac:dyDescent="0.45">
      <c r="A16" s="63">
        <v>44786</v>
      </c>
      <c r="B16" s="44"/>
      <c r="C16" s="58"/>
      <c r="D16" s="64">
        <f t="shared" si="50"/>
        <v>0</v>
      </c>
      <c r="E16" s="58"/>
      <c r="F16" s="64">
        <f t="shared" si="99"/>
        <v>0</v>
      </c>
      <c r="G16" s="58"/>
      <c r="H16" s="64">
        <f t="shared" si="51"/>
        <v>0</v>
      </c>
      <c r="I16" s="58"/>
      <c r="J16" s="64">
        <f>IF((I16-I15&lt;0), "0",(I16-I15)*1000000)</f>
        <v>0</v>
      </c>
      <c r="K16" s="58"/>
      <c r="L16" s="64">
        <f t="shared" si="53"/>
        <v>0</v>
      </c>
      <c r="M16" s="58"/>
      <c r="N16" s="64">
        <f t="shared" si="54"/>
        <v>0</v>
      </c>
      <c r="O16" s="58"/>
      <c r="P16" s="67">
        <f t="shared" si="55"/>
        <v>0</v>
      </c>
      <c r="Q16" s="58"/>
      <c r="R16" s="67">
        <f t="shared" si="56"/>
        <v>0</v>
      </c>
      <c r="S16" s="58"/>
      <c r="T16" s="67">
        <f t="shared" si="57"/>
        <v>0</v>
      </c>
      <c r="U16" s="58"/>
      <c r="V16" s="67">
        <f t="shared" si="58"/>
        <v>0</v>
      </c>
      <c r="W16" s="58"/>
      <c r="X16" s="65">
        <f t="shared" si="59"/>
        <v>0</v>
      </c>
      <c r="Y16" s="58"/>
      <c r="Z16" s="65">
        <f t="shared" si="60"/>
        <v>0</v>
      </c>
      <c r="AA16" s="58"/>
      <c r="AB16" s="65">
        <f t="shared" si="61"/>
        <v>0</v>
      </c>
      <c r="AC16" s="58"/>
      <c r="AD16" s="65">
        <f t="shared" si="62"/>
        <v>0</v>
      </c>
      <c r="AE16" s="58"/>
      <c r="AF16" s="65">
        <f t="shared" si="63"/>
        <v>0</v>
      </c>
      <c r="AG16" s="58"/>
      <c r="AH16" s="67">
        <f t="shared" si="64"/>
        <v>0</v>
      </c>
      <c r="AI16" s="58"/>
      <c r="AJ16" s="65">
        <f t="shared" si="65"/>
        <v>0</v>
      </c>
      <c r="AK16" s="58"/>
      <c r="AL16" s="65">
        <f t="shared" si="66"/>
        <v>0</v>
      </c>
      <c r="AM16" s="58"/>
      <c r="AN16" s="65">
        <f t="shared" si="67"/>
        <v>0</v>
      </c>
      <c r="AO16" s="58"/>
      <c r="AP16" s="65">
        <f t="shared" si="68"/>
        <v>0</v>
      </c>
      <c r="AQ16" s="58"/>
      <c r="AR16" s="65">
        <f t="shared" si="69"/>
        <v>0</v>
      </c>
      <c r="AS16" s="58"/>
      <c r="AT16" s="65">
        <f t="shared" si="70"/>
        <v>0</v>
      </c>
      <c r="AU16" s="58"/>
      <c r="AV16" s="65">
        <f t="shared" si="71"/>
        <v>0</v>
      </c>
      <c r="AW16" s="58"/>
      <c r="AX16" s="65">
        <f t="shared" si="72"/>
        <v>0</v>
      </c>
      <c r="AY16" s="58"/>
      <c r="AZ16" s="65">
        <f t="shared" si="73"/>
        <v>0</v>
      </c>
      <c r="BA16" s="58"/>
      <c r="BB16" s="65">
        <f t="shared" si="74"/>
        <v>0</v>
      </c>
      <c r="BC16" s="58"/>
      <c r="BD16" s="65">
        <f t="shared" si="75"/>
        <v>0</v>
      </c>
      <c r="BE16" s="59"/>
      <c r="BF16" s="67">
        <f t="shared" si="76"/>
        <v>0</v>
      </c>
      <c r="BG16" s="60"/>
      <c r="BH16" s="65">
        <f t="shared" si="77"/>
        <v>0</v>
      </c>
      <c r="BI16" s="60"/>
      <c r="BJ16" s="65">
        <f t="shared" si="78"/>
        <v>0</v>
      </c>
      <c r="BK16" s="60"/>
      <c r="BL16" s="65">
        <f t="shared" si="79"/>
        <v>0</v>
      </c>
      <c r="BM16" s="60"/>
      <c r="BN16" s="65">
        <f t="shared" si="80"/>
        <v>0</v>
      </c>
      <c r="BO16" s="60"/>
      <c r="BP16" s="65">
        <f t="shared" si="81"/>
        <v>0</v>
      </c>
      <c r="BQ16" s="60"/>
      <c r="BR16" s="65">
        <f t="shared" si="82"/>
        <v>0</v>
      </c>
      <c r="BS16" s="60"/>
      <c r="BT16" s="65">
        <f t="shared" si="83"/>
        <v>0</v>
      </c>
      <c r="BU16" s="60"/>
      <c r="BV16" s="65">
        <f t="shared" si="84"/>
        <v>0</v>
      </c>
      <c r="BW16" s="60"/>
      <c r="BX16" s="65">
        <f t="shared" si="85"/>
        <v>0</v>
      </c>
      <c r="BY16" s="60"/>
      <c r="BZ16" s="67">
        <f t="shared" si="86"/>
        <v>0</v>
      </c>
      <c r="CA16" s="60"/>
      <c r="CB16" s="67">
        <f t="shared" si="87"/>
        <v>0</v>
      </c>
      <c r="CC16" s="60"/>
      <c r="CD16" s="67">
        <f t="shared" si="88"/>
        <v>0</v>
      </c>
      <c r="CE16" s="60"/>
      <c r="CF16" s="67">
        <f t="shared" si="89"/>
        <v>0</v>
      </c>
      <c r="CG16" s="60"/>
      <c r="CH16" s="67">
        <f t="shared" si="90"/>
        <v>0</v>
      </c>
      <c r="CI16" s="60"/>
      <c r="CJ16" s="67">
        <f t="shared" si="91"/>
        <v>0</v>
      </c>
      <c r="CK16" s="60"/>
      <c r="CL16" s="64">
        <f t="shared" si="92"/>
        <v>0</v>
      </c>
      <c r="CM16" s="65">
        <f t="shared" si="93"/>
        <v>0</v>
      </c>
      <c r="CN16" s="62"/>
      <c r="CO16" s="62"/>
      <c r="CP16" s="68"/>
      <c r="CQ16" s="67">
        <f t="shared" si="94"/>
        <v>0</v>
      </c>
      <c r="CR16" s="68"/>
      <c r="CS16" s="67">
        <f t="shared" si="95"/>
        <v>0</v>
      </c>
      <c r="CT16" s="75"/>
      <c r="CU16" s="67">
        <f t="shared" si="96"/>
        <v>0</v>
      </c>
      <c r="CV16" s="68"/>
      <c r="CW16" s="67">
        <f t="shared" si="97"/>
        <v>0</v>
      </c>
      <c r="CX16" s="58"/>
      <c r="CY16" s="67">
        <f t="shared" si="98"/>
        <v>0</v>
      </c>
    </row>
    <row r="17" spans="1:103" ht="25.5" customHeight="1" thickBot="1" x14ac:dyDescent="0.45">
      <c r="A17" s="63">
        <v>44787</v>
      </c>
      <c r="B17" s="44"/>
      <c r="C17" s="58"/>
      <c r="D17" s="64">
        <f t="shared" si="50"/>
        <v>0</v>
      </c>
      <c r="E17" s="58"/>
      <c r="F17" s="64">
        <f t="shared" si="99"/>
        <v>0</v>
      </c>
      <c r="G17" s="58"/>
      <c r="H17" s="64">
        <f t="shared" si="51"/>
        <v>0</v>
      </c>
      <c r="I17" s="58"/>
      <c r="J17" s="64">
        <f t="shared" si="52"/>
        <v>0</v>
      </c>
      <c r="K17" s="58"/>
      <c r="L17" s="64">
        <f t="shared" si="53"/>
        <v>0</v>
      </c>
      <c r="M17" s="58"/>
      <c r="N17" s="64">
        <f t="shared" si="54"/>
        <v>0</v>
      </c>
      <c r="O17" s="58"/>
      <c r="P17" s="67">
        <f t="shared" si="55"/>
        <v>0</v>
      </c>
      <c r="Q17" s="58"/>
      <c r="R17" s="67">
        <f t="shared" si="56"/>
        <v>0</v>
      </c>
      <c r="S17" s="58"/>
      <c r="T17" s="67">
        <f t="shared" si="57"/>
        <v>0</v>
      </c>
      <c r="U17" s="58"/>
      <c r="V17" s="67">
        <f t="shared" si="58"/>
        <v>0</v>
      </c>
      <c r="W17" s="58"/>
      <c r="X17" s="65">
        <f t="shared" si="59"/>
        <v>0</v>
      </c>
      <c r="Y17" s="58"/>
      <c r="Z17" s="65">
        <f t="shared" si="60"/>
        <v>0</v>
      </c>
      <c r="AA17" s="58"/>
      <c r="AB17" s="65">
        <f t="shared" si="61"/>
        <v>0</v>
      </c>
      <c r="AC17" s="58"/>
      <c r="AD17" s="65">
        <f t="shared" si="62"/>
        <v>0</v>
      </c>
      <c r="AE17" s="58"/>
      <c r="AF17" s="65">
        <f t="shared" si="63"/>
        <v>0</v>
      </c>
      <c r="AG17" s="58"/>
      <c r="AH17" s="67">
        <f t="shared" si="64"/>
        <v>0</v>
      </c>
      <c r="AI17" s="58"/>
      <c r="AJ17" s="65">
        <f t="shared" si="65"/>
        <v>0</v>
      </c>
      <c r="AK17" s="58"/>
      <c r="AL17" s="65">
        <f t="shared" si="66"/>
        <v>0</v>
      </c>
      <c r="AM17" s="58"/>
      <c r="AN17" s="65">
        <f t="shared" si="67"/>
        <v>0</v>
      </c>
      <c r="AO17" s="58"/>
      <c r="AP17" s="65">
        <f t="shared" si="68"/>
        <v>0</v>
      </c>
      <c r="AQ17" s="58"/>
      <c r="AR17" s="65">
        <f t="shared" si="69"/>
        <v>0</v>
      </c>
      <c r="AS17" s="58"/>
      <c r="AT17" s="65">
        <f t="shared" si="70"/>
        <v>0</v>
      </c>
      <c r="AU17" s="58"/>
      <c r="AV17" s="65">
        <f t="shared" si="71"/>
        <v>0</v>
      </c>
      <c r="AW17" s="58"/>
      <c r="AX17" s="65">
        <f t="shared" si="72"/>
        <v>0</v>
      </c>
      <c r="AY17" s="58"/>
      <c r="AZ17" s="65">
        <f t="shared" si="73"/>
        <v>0</v>
      </c>
      <c r="BA17" s="58"/>
      <c r="BB17" s="65">
        <f t="shared" si="74"/>
        <v>0</v>
      </c>
      <c r="BC17" s="58"/>
      <c r="BD17" s="65">
        <f t="shared" si="75"/>
        <v>0</v>
      </c>
      <c r="BE17" s="59"/>
      <c r="BF17" s="67">
        <f t="shared" si="76"/>
        <v>0</v>
      </c>
      <c r="BG17" s="60"/>
      <c r="BH17" s="65">
        <f t="shared" si="77"/>
        <v>0</v>
      </c>
      <c r="BI17" s="60"/>
      <c r="BJ17" s="65">
        <f t="shared" si="78"/>
        <v>0</v>
      </c>
      <c r="BK17" s="60"/>
      <c r="BL17" s="65">
        <f t="shared" si="79"/>
        <v>0</v>
      </c>
      <c r="BM17" s="60"/>
      <c r="BN17" s="65">
        <f t="shared" si="80"/>
        <v>0</v>
      </c>
      <c r="BO17" s="60"/>
      <c r="BP17" s="65">
        <f t="shared" si="81"/>
        <v>0</v>
      </c>
      <c r="BQ17" s="60"/>
      <c r="BR17" s="65">
        <f t="shared" si="82"/>
        <v>0</v>
      </c>
      <c r="BS17" s="60"/>
      <c r="BT17" s="65">
        <f t="shared" si="83"/>
        <v>0</v>
      </c>
      <c r="BU17" s="60"/>
      <c r="BV17" s="65">
        <f t="shared" si="84"/>
        <v>0</v>
      </c>
      <c r="BW17" s="60"/>
      <c r="BX17" s="65">
        <f t="shared" si="85"/>
        <v>0</v>
      </c>
      <c r="BY17" s="60"/>
      <c r="BZ17" s="67">
        <f t="shared" si="86"/>
        <v>0</v>
      </c>
      <c r="CA17" s="60"/>
      <c r="CB17" s="67">
        <f t="shared" si="87"/>
        <v>0</v>
      </c>
      <c r="CC17" s="60"/>
      <c r="CD17" s="67">
        <f t="shared" si="88"/>
        <v>0</v>
      </c>
      <c r="CE17" s="60"/>
      <c r="CF17" s="67">
        <f t="shared" si="89"/>
        <v>0</v>
      </c>
      <c r="CG17" s="60"/>
      <c r="CH17" s="67">
        <f t="shared" si="90"/>
        <v>0</v>
      </c>
      <c r="CI17" s="60"/>
      <c r="CJ17" s="67">
        <f t="shared" si="91"/>
        <v>0</v>
      </c>
      <c r="CK17" s="60"/>
      <c r="CL17" s="64">
        <f t="shared" si="92"/>
        <v>0</v>
      </c>
      <c r="CM17" s="65">
        <f t="shared" si="93"/>
        <v>0</v>
      </c>
      <c r="CN17" s="62"/>
      <c r="CO17" s="62"/>
      <c r="CP17" s="68"/>
      <c r="CQ17" s="67">
        <f t="shared" si="94"/>
        <v>0</v>
      </c>
      <c r="CR17" s="68"/>
      <c r="CS17" s="67">
        <f t="shared" si="95"/>
        <v>0</v>
      </c>
      <c r="CT17" s="75"/>
      <c r="CU17" s="67">
        <f t="shared" si="96"/>
        <v>0</v>
      </c>
      <c r="CV17" s="68"/>
      <c r="CW17" s="67">
        <f t="shared" si="97"/>
        <v>0</v>
      </c>
      <c r="CX17" s="58"/>
      <c r="CY17" s="67">
        <f t="shared" si="98"/>
        <v>0</v>
      </c>
    </row>
    <row r="18" spans="1:103" ht="25.5" customHeight="1" thickBot="1" x14ac:dyDescent="0.45">
      <c r="A18" s="63">
        <v>44788</v>
      </c>
      <c r="B18" s="44"/>
      <c r="C18" s="58"/>
      <c r="D18" s="64">
        <f t="shared" si="50"/>
        <v>0</v>
      </c>
      <c r="E18" s="58"/>
      <c r="F18" s="64">
        <f t="shared" si="99"/>
        <v>0</v>
      </c>
      <c r="G18" s="58"/>
      <c r="H18" s="64">
        <f t="shared" si="51"/>
        <v>0</v>
      </c>
      <c r="I18" s="58"/>
      <c r="J18" s="64">
        <f t="shared" si="52"/>
        <v>0</v>
      </c>
      <c r="K18" s="58"/>
      <c r="L18" s="64">
        <f t="shared" si="53"/>
        <v>0</v>
      </c>
      <c r="M18" s="58"/>
      <c r="N18" s="64">
        <f t="shared" si="54"/>
        <v>0</v>
      </c>
      <c r="O18" s="58"/>
      <c r="P18" s="67">
        <f t="shared" si="55"/>
        <v>0</v>
      </c>
      <c r="Q18" s="58"/>
      <c r="R18" s="67">
        <f t="shared" si="56"/>
        <v>0</v>
      </c>
      <c r="S18" s="58"/>
      <c r="T18" s="67">
        <f t="shared" si="57"/>
        <v>0</v>
      </c>
      <c r="U18" s="58"/>
      <c r="V18" s="67">
        <f t="shared" si="58"/>
        <v>0</v>
      </c>
      <c r="W18" s="58"/>
      <c r="X18" s="65">
        <f t="shared" si="59"/>
        <v>0</v>
      </c>
      <c r="Y18" s="58"/>
      <c r="Z18" s="65">
        <f t="shared" si="60"/>
        <v>0</v>
      </c>
      <c r="AA18" s="58"/>
      <c r="AB18" s="65">
        <f t="shared" si="61"/>
        <v>0</v>
      </c>
      <c r="AC18" s="58"/>
      <c r="AD18" s="65">
        <f t="shared" si="62"/>
        <v>0</v>
      </c>
      <c r="AE18" s="58"/>
      <c r="AF18" s="65">
        <f t="shared" si="63"/>
        <v>0</v>
      </c>
      <c r="AG18" s="58"/>
      <c r="AH18" s="67">
        <f t="shared" si="64"/>
        <v>0</v>
      </c>
      <c r="AI18" s="58"/>
      <c r="AJ18" s="65">
        <f t="shared" si="65"/>
        <v>0</v>
      </c>
      <c r="AK18" s="58"/>
      <c r="AL18" s="65">
        <f t="shared" si="66"/>
        <v>0</v>
      </c>
      <c r="AM18" s="58"/>
      <c r="AN18" s="65">
        <f t="shared" si="67"/>
        <v>0</v>
      </c>
      <c r="AO18" s="58"/>
      <c r="AP18" s="65">
        <f t="shared" si="68"/>
        <v>0</v>
      </c>
      <c r="AQ18" s="58"/>
      <c r="AR18" s="65">
        <f t="shared" si="69"/>
        <v>0</v>
      </c>
      <c r="AS18" s="58"/>
      <c r="AT18" s="65">
        <f t="shared" si="70"/>
        <v>0</v>
      </c>
      <c r="AU18" s="58"/>
      <c r="AV18" s="65">
        <f t="shared" si="71"/>
        <v>0</v>
      </c>
      <c r="AW18" s="58"/>
      <c r="AX18" s="65">
        <f t="shared" si="72"/>
        <v>0</v>
      </c>
      <c r="AY18" s="58"/>
      <c r="AZ18" s="65">
        <f t="shared" si="73"/>
        <v>0</v>
      </c>
      <c r="BA18" s="58"/>
      <c r="BB18" s="65">
        <f t="shared" si="74"/>
        <v>0</v>
      </c>
      <c r="BC18" s="58"/>
      <c r="BD18" s="65">
        <f t="shared" si="75"/>
        <v>0</v>
      </c>
      <c r="BE18" s="59"/>
      <c r="BF18" s="67">
        <f t="shared" si="76"/>
        <v>0</v>
      </c>
      <c r="BG18" s="60"/>
      <c r="BH18" s="65">
        <f t="shared" si="77"/>
        <v>0</v>
      </c>
      <c r="BI18" s="60"/>
      <c r="BJ18" s="65">
        <f t="shared" si="78"/>
        <v>0</v>
      </c>
      <c r="BK18" s="60"/>
      <c r="BL18" s="65">
        <f t="shared" si="79"/>
        <v>0</v>
      </c>
      <c r="BM18" s="60"/>
      <c r="BN18" s="65">
        <f t="shared" si="80"/>
        <v>0</v>
      </c>
      <c r="BO18" s="60"/>
      <c r="BP18" s="65">
        <f t="shared" si="81"/>
        <v>0</v>
      </c>
      <c r="BQ18" s="60"/>
      <c r="BR18" s="65">
        <f t="shared" si="82"/>
        <v>0</v>
      </c>
      <c r="BS18" s="60"/>
      <c r="BT18" s="65">
        <f t="shared" si="83"/>
        <v>0</v>
      </c>
      <c r="BU18" s="60"/>
      <c r="BV18" s="65">
        <f t="shared" si="84"/>
        <v>0</v>
      </c>
      <c r="BW18" s="60"/>
      <c r="BX18" s="65">
        <f t="shared" si="85"/>
        <v>0</v>
      </c>
      <c r="BY18" s="60"/>
      <c r="BZ18" s="67">
        <f t="shared" si="86"/>
        <v>0</v>
      </c>
      <c r="CA18" s="60"/>
      <c r="CB18" s="67">
        <f t="shared" si="87"/>
        <v>0</v>
      </c>
      <c r="CC18" s="60"/>
      <c r="CD18" s="67">
        <f t="shared" si="88"/>
        <v>0</v>
      </c>
      <c r="CE18" s="60"/>
      <c r="CF18" s="67">
        <f t="shared" si="89"/>
        <v>0</v>
      </c>
      <c r="CG18" s="60"/>
      <c r="CH18" s="67">
        <f t="shared" si="90"/>
        <v>0</v>
      </c>
      <c r="CI18" s="60"/>
      <c r="CJ18" s="67">
        <f t="shared" si="91"/>
        <v>0</v>
      </c>
      <c r="CK18" s="60"/>
      <c r="CL18" s="64">
        <f t="shared" si="92"/>
        <v>0</v>
      </c>
      <c r="CM18" s="65">
        <f t="shared" si="93"/>
        <v>0</v>
      </c>
      <c r="CN18" s="62"/>
      <c r="CO18" s="62"/>
      <c r="CP18" s="68"/>
      <c r="CQ18" s="67">
        <f t="shared" si="94"/>
        <v>0</v>
      </c>
      <c r="CR18" s="68"/>
      <c r="CS18" s="67">
        <f t="shared" si="95"/>
        <v>0</v>
      </c>
      <c r="CT18" s="75"/>
      <c r="CU18" s="67">
        <f t="shared" si="96"/>
        <v>0</v>
      </c>
      <c r="CV18" s="68"/>
      <c r="CW18" s="67">
        <f t="shared" si="97"/>
        <v>0</v>
      </c>
      <c r="CX18" s="58"/>
      <c r="CY18" s="67">
        <f t="shared" si="98"/>
        <v>0</v>
      </c>
    </row>
    <row r="19" spans="1:103" ht="25.5" customHeight="1" thickBot="1" x14ac:dyDescent="0.45">
      <c r="A19" s="63">
        <v>44789</v>
      </c>
      <c r="B19" s="44"/>
      <c r="C19" s="58"/>
      <c r="D19" s="64">
        <f t="shared" si="50"/>
        <v>0</v>
      </c>
      <c r="E19" s="58"/>
      <c r="F19" s="64">
        <f t="shared" si="99"/>
        <v>0</v>
      </c>
      <c r="G19" s="58"/>
      <c r="H19" s="64">
        <f t="shared" si="51"/>
        <v>0</v>
      </c>
      <c r="I19" s="58"/>
      <c r="J19" s="64">
        <f t="shared" si="52"/>
        <v>0</v>
      </c>
      <c r="K19" s="58"/>
      <c r="L19" s="64">
        <f t="shared" si="53"/>
        <v>0</v>
      </c>
      <c r="M19" s="58"/>
      <c r="N19" s="64">
        <f t="shared" si="54"/>
        <v>0</v>
      </c>
      <c r="O19" s="58"/>
      <c r="P19" s="67">
        <f t="shared" si="55"/>
        <v>0</v>
      </c>
      <c r="Q19" s="58"/>
      <c r="R19" s="67">
        <f t="shared" si="56"/>
        <v>0</v>
      </c>
      <c r="S19" s="58"/>
      <c r="T19" s="67">
        <f t="shared" si="57"/>
        <v>0</v>
      </c>
      <c r="U19" s="58"/>
      <c r="V19" s="67">
        <f t="shared" si="58"/>
        <v>0</v>
      </c>
      <c r="W19" s="58"/>
      <c r="X19" s="65">
        <f t="shared" si="59"/>
        <v>0</v>
      </c>
      <c r="Y19" s="58"/>
      <c r="Z19" s="65">
        <f t="shared" si="60"/>
        <v>0</v>
      </c>
      <c r="AA19" s="58"/>
      <c r="AB19" s="65">
        <f t="shared" si="61"/>
        <v>0</v>
      </c>
      <c r="AC19" s="58"/>
      <c r="AD19" s="65">
        <f t="shared" si="62"/>
        <v>0</v>
      </c>
      <c r="AE19" s="58"/>
      <c r="AF19" s="65">
        <f t="shared" si="63"/>
        <v>0</v>
      </c>
      <c r="AG19" s="58"/>
      <c r="AH19" s="67">
        <f t="shared" si="64"/>
        <v>0</v>
      </c>
      <c r="AI19" s="58"/>
      <c r="AJ19" s="65">
        <f t="shared" si="65"/>
        <v>0</v>
      </c>
      <c r="AK19" s="58"/>
      <c r="AL19" s="65">
        <f t="shared" si="66"/>
        <v>0</v>
      </c>
      <c r="AM19" s="58"/>
      <c r="AN19" s="65">
        <f t="shared" si="67"/>
        <v>0</v>
      </c>
      <c r="AO19" s="58"/>
      <c r="AP19" s="65">
        <f t="shared" si="68"/>
        <v>0</v>
      </c>
      <c r="AQ19" s="58"/>
      <c r="AR19" s="65">
        <f t="shared" si="69"/>
        <v>0</v>
      </c>
      <c r="AS19" s="58"/>
      <c r="AT19" s="65">
        <f t="shared" si="70"/>
        <v>0</v>
      </c>
      <c r="AU19" s="58"/>
      <c r="AV19" s="65">
        <f t="shared" si="71"/>
        <v>0</v>
      </c>
      <c r="AW19" s="58"/>
      <c r="AX19" s="65">
        <f t="shared" si="72"/>
        <v>0</v>
      </c>
      <c r="AY19" s="58"/>
      <c r="AZ19" s="65">
        <f t="shared" si="73"/>
        <v>0</v>
      </c>
      <c r="BA19" s="58"/>
      <c r="BB19" s="65">
        <f t="shared" si="74"/>
        <v>0</v>
      </c>
      <c r="BC19" s="58"/>
      <c r="BD19" s="65">
        <f t="shared" si="75"/>
        <v>0</v>
      </c>
      <c r="BE19" s="59"/>
      <c r="BF19" s="67">
        <f t="shared" si="76"/>
        <v>0</v>
      </c>
      <c r="BG19" s="60"/>
      <c r="BH19" s="65">
        <f t="shared" si="77"/>
        <v>0</v>
      </c>
      <c r="BI19" s="60"/>
      <c r="BJ19" s="65">
        <f t="shared" si="78"/>
        <v>0</v>
      </c>
      <c r="BK19" s="60"/>
      <c r="BL19" s="65">
        <f t="shared" si="79"/>
        <v>0</v>
      </c>
      <c r="BM19" s="60"/>
      <c r="BN19" s="65">
        <f t="shared" si="80"/>
        <v>0</v>
      </c>
      <c r="BO19" s="60"/>
      <c r="BP19" s="65">
        <f t="shared" si="81"/>
        <v>0</v>
      </c>
      <c r="BQ19" s="60"/>
      <c r="BR19" s="65">
        <f t="shared" si="82"/>
        <v>0</v>
      </c>
      <c r="BS19" s="60"/>
      <c r="BT19" s="65">
        <f t="shared" si="83"/>
        <v>0</v>
      </c>
      <c r="BU19" s="60"/>
      <c r="BV19" s="65">
        <f t="shared" si="84"/>
        <v>0</v>
      </c>
      <c r="BW19" s="60"/>
      <c r="BX19" s="65">
        <f t="shared" si="85"/>
        <v>0</v>
      </c>
      <c r="BY19" s="60"/>
      <c r="BZ19" s="67">
        <f t="shared" si="86"/>
        <v>0</v>
      </c>
      <c r="CA19" s="60"/>
      <c r="CB19" s="67">
        <f t="shared" si="87"/>
        <v>0</v>
      </c>
      <c r="CC19" s="60"/>
      <c r="CD19" s="67">
        <f t="shared" si="88"/>
        <v>0</v>
      </c>
      <c r="CE19" s="60"/>
      <c r="CF19" s="67">
        <f t="shared" si="89"/>
        <v>0</v>
      </c>
      <c r="CG19" s="60"/>
      <c r="CH19" s="67">
        <f t="shared" si="90"/>
        <v>0</v>
      </c>
      <c r="CI19" s="60"/>
      <c r="CJ19" s="67">
        <f t="shared" si="91"/>
        <v>0</v>
      </c>
      <c r="CK19" s="60"/>
      <c r="CL19" s="64">
        <f t="shared" si="92"/>
        <v>0</v>
      </c>
      <c r="CM19" s="65">
        <f t="shared" si="93"/>
        <v>0</v>
      </c>
      <c r="CN19" s="62"/>
      <c r="CO19" s="62"/>
      <c r="CP19" s="68"/>
      <c r="CQ19" s="67">
        <f t="shared" si="94"/>
        <v>0</v>
      </c>
      <c r="CR19" s="68"/>
      <c r="CS19" s="67">
        <f t="shared" si="95"/>
        <v>0</v>
      </c>
      <c r="CT19" s="75"/>
      <c r="CU19" s="67">
        <f t="shared" si="96"/>
        <v>0</v>
      </c>
      <c r="CV19" s="68"/>
      <c r="CW19" s="67">
        <f t="shared" si="97"/>
        <v>0</v>
      </c>
      <c r="CX19" s="58"/>
      <c r="CY19" s="67">
        <f t="shared" si="98"/>
        <v>0</v>
      </c>
    </row>
    <row r="20" spans="1:103" ht="25.5" customHeight="1" thickBot="1" x14ac:dyDescent="0.45">
      <c r="A20" s="63">
        <v>44790</v>
      </c>
      <c r="B20" s="44"/>
      <c r="C20" s="58"/>
      <c r="D20" s="64">
        <f t="shared" si="50"/>
        <v>0</v>
      </c>
      <c r="E20" s="58"/>
      <c r="F20" s="64">
        <f t="shared" si="99"/>
        <v>0</v>
      </c>
      <c r="G20" s="58"/>
      <c r="H20" s="64">
        <f t="shared" si="51"/>
        <v>0</v>
      </c>
      <c r="I20" s="58"/>
      <c r="J20" s="64">
        <f t="shared" si="52"/>
        <v>0</v>
      </c>
      <c r="K20" s="58"/>
      <c r="L20" s="64">
        <f t="shared" si="53"/>
        <v>0</v>
      </c>
      <c r="M20" s="58"/>
      <c r="N20" s="64">
        <f t="shared" si="54"/>
        <v>0</v>
      </c>
      <c r="O20" s="58"/>
      <c r="P20" s="67">
        <f t="shared" si="55"/>
        <v>0</v>
      </c>
      <c r="Q20" s="58"/>
      <c r="R20" s="67">
        <f t="shared" si="56"/>
        <v>0</v>
      </c>
      <c r="S20" s="58"/>
      <c r="T20" s="67">
        <f t="shared" si="57"/>
        <v>0</v>
      </c>
      <c r="U20" s="58"/>
      <c r="V20" s="67">
        <f t="shared" si="58"/>
        <v>0</v>
      </c>
      <c r="W20" s="58"/>
      <c r="X20" s="65">
        <f t="shared" si="59"/>
        <v>0</v>
      </c>
      <c r="Y20" s="58"/>
      <c r="Z20" s="65">
        <f t="shared" si="60"/>
        <v>0</v>
      </c>
      <c r="AA20" s="58"/>
      <c r="AB20" s="65">
        <f t="shared" si="61"/>
        <v>0</v>
      </c>
      <c r="AC20" s="58"/>
      <c r="AD20" s="65">
        <f t="shared" si="62"/>
        <v>0</v>
      </c>
      <c r="AE20" s="58"/>
      <c r="AF20" s="65">
        <f t="shared" si="63"/>
        <v>0</v>
      </c>
      <c r="AG20" s="58"/>
      <c r="AH20" s="67">
        <f t="shared" si="64"/>
        <v>0</v>
      </c>
      <c r="AI20" s="58"/>
      <c r="AJ20" s="65">
        <f t="shared" si="65"/>
        <v>0</v>
      </c>
      <c r="AK20" s="58"/>
      <c r="AL20" s="65">
        <f t="shared" si="66"/>
        <v>0</v>
      </c>
      <c r="AM20" s="58"/>
      <c r="AN20" s="65">
        <f t="shared" si="67"/>
        <v>0</v>
      </c>
      <c r="AO20" s="58"/>
      <c r="AP20" s="65">
        <f t="shared" si="68"/>
        <v>0</v>
      </c>
      <c r="AQ20" s="58"/>
      <c r="AR20" s="65">
        <f t="shared" si="69"/>
        <v>0</v>
      </c>
      <c r="AS20" s="58"/>
      <c r="AT20" s="65">
        <f t="shared" si="70"/>
        <v>0</v>
      </c>
      <c r="AU20" s="58"/>
      <c r="AV20" s="65">
        <f t="shared" si="71"/>
        <v>0</v>
      </c>
      <c r="AW20" s="58"/>
      <c r="AX20" s="65">
        <f t="shared" si="72"/>
        <v>0</v>
      </c>
      <c r="AY20" s="58"/>
      <c r="AZ20" s="65">
        <f t="shared" si="73"/>
        <v>0</v>
      </c>
      <c r="BA20" s="58"/>
      <c r="BB20" s="65">
        <f t="shared" si="74"/>
        <v>0</v>
      </c>
      <c r="BC20" s="58"/>
      <c r="BD20" s="65">
        <f t="shared" si="75"/>
        <v>0</v>
      </c>
      <c r="BE20" s="59"/>
      <c r="BF20" s="67">
        <f t="shared" si="76"/>
        <v>0</v>
      </c>
      <c r="BG20" s="60"/>
      <c r="BH20" s="65">
        <f t="shared" si="77"/>
        <v>0</v>
      </c>
      <c r="BI20" s="60"/>
      <c r="BJ20" s="65">
        <f t="shared" si="78"/>
        <v>0</v>
      </c>
      <c r="BK20" s="60"/>
      <c r="BL20" s="65">
        <f t="shared" si="79"/>
        <v>0</v>
      </c>
      <c r="BM20" s="60"/>
      <c r="BN20" s="65">
        <f t="shared" si="80"/>
        <v>0</v>
      </c>
      <c r="BO20" s="60"/>
      <c r="BP20" s="65">
        <f t="shared" si="81"/>
        <v>0</v>
      </c>
      <c r="BQ20" s="60"/>
      <c r="BR20" s="65">
        <f t="shared" si="82"/>
        <v>0</v>
      </c>
      <c r="BS20" s="60"/>
      <c r="BT20" s="65">
        <f t="shared" si="83"/>
        <v>0</v>
      </c>
      <c r="BU20" s="60"/>
      <c r="BV20" s="65">
        <f t="shared" si="84"/>
        <v>0</v>
      </c>
      <c r="BW20" s="60"/>
      <c r="BX20" s="65">
        <f t="shared" si="85"/>
        <v>0</v>
      </c>
      <c r="BY20" s="60"/>
      <c r="BZ20" s="67">
        <f t="shared" si="86"/>
        <v>0</v>
      </c>
      <c r="CA20" s="60"/>
      <c r="CB20" s="67">
        <f t="shared" si="87"/>
        <v>0</v>
      </c>
      <c r="CC20" s="60"/>
      <c r="CD20" s="67">
        <f t="shared" si="88"/>
        <v>0</v>
      </c>
      <c r="CE20" s="60"/>
      <c r="CF20" s="67">
        <f t="shared" si="89"/>
        <v>0</v>
      </c>
      <c r="CG20" s="60"/>
      <c r="CH20" s="67">
        <f t="shared" si="90"/>
        <v>0</v>
      </c>
      <c r="CI20" s="60"/>
      <c r="CJ20" s="67">
        <f t="shared" si="91"/>
        <v>0</v>
      </c>
      <c r="CK20" s="60"/>
      <c r="CL20" s="64">
        <f t="shared" si="92"/>
        <v>0</v>
      </c>
      <c r="CM20" s="65">
        <f t="shared" si="93"/>
        <v>0</v>
      </c>
      <c r="CN20" s="62"/>
      <c r="CO20" s="62"/>
      <c r="CP20" s="68"/>
      <c r="CQ20" s="67">
        <f t="shared" si="94"/>
        <v>0</v>
      </c>
      <c r="CR20" s="68"/>
      <c r="CS20" s="67">
        <f t="shared" si="95"/>
        <v>0</v>
      </c>
      <c r="CT20" s="75"/>
      <c r="CU20" s="67">
        <f t="shared" si="96"/>
        <v>0</v>
      </c>
      <c r="CV20" s="68"/>
      <c r="CW20" s="67">
        <f t="shared" si="97"/>
        <v>0</v>
      </c>
      <c r="CX20" s="58"/>
      <c r="CY20" s="67">
        <f t="shared" si="98"/>
        <v>0</v>
      </c>
    </row>
    <row r="21" spans="1:103" ht="25.5" customHeight="1" thickBot="1" x14ac:dyDescent="0.45">
      <c r="A21" s="63">
        <v>44791</v>
      </c>
      <c r="B21" s="44"/>
      <c r="C21" s="58"/>
      <c r="D21" s="64">
        <f t="shared" si="50"/>
        <v>0</v>
      </c>
      <c r="E21" s="58"/>
      <c r="F21" s="64">
        <f t="shared" si="99"/>
        <v>0</v>
      </c>
      <c r="G21" s="58"/>
      <c r="H21" s="64">
        <f t="shared" si="51"/>
        <v>0</v>
      </c>
      <c r="I21" s="58"/>
      <c r="J21" s="64">
        <f t="shared" si="52"/>
        <v>0</v>
      </c>
      <c r="K21" s="58"/>
      <c r="L21" s="64">
        <f t="shared" si="53"/>
        <v>0</v>
      </c>
      <c r="M21" s="58"/>
      <c r="N21" s="64">
        <f t="shared" si="54"/>
        <v>0</v>
      </c>
      <c r="O21" s="58"/>
      <c r="P21" s="67">
        <f t="shared" si="55"/>
        <v>0</v>
      </c>
      <c r="Q21" s="58"/>
      <c r="R21" s="67">
        <f t="shared" si="56"/>
        <v>0</v>
      </c>
      <c r="S21" s="58"/>
      <c r="T21" s="67">
        <f t="shared" si="57"/>
        <v>0</v>
      </c>
      <c r="U21" s="58"/>
      <c r="V21" s="67">
        <f t="shared" si="58"/>
        <v>0</v>
      </c>
      <c r="W21" s="58"/>
      <c r="X21" s="65">
        <f t="shared" si="59"/>
        <v>0</v>
      </c>
      <c r="Y21" s="58"/>
      <c r="Z21" s="65">
        <f t="shared" si="60"/>
        <v>0</v>
      </c>
      <c r="AA21" s="58"/>
      <c r="AB21" s="65">
        <f t="shared" si="61"/>
        <v>0</v>
      </c>
      <c r="AC21" s="58"/>
      <c r="AD21" s="65">
        <f t="shared" si="62"/>
        <v>0</v>
      </c>
      <c r="AE21" s="58"/>
      <c r="AF21" s="65">
        <f t="shared" si="63"/>
        <v>0</v>
      </c>
      <c r="AG21" s="58"/>
      <c r="AH21" s="67">
        <f t="shared" si="64"/>
        <v>0</v>
      </c>
      <c r="AI21" s="58"/>
      <c r="AJ21" s="65">
        <f t="shared" si="65"/>
        <v>0</v>
      </c>
      <c r="AK21" s="58"/>
      <c r="AL21" s="65">
        <f t="shared" si="66"/>
        <v>0</v>
      </c>
      <c r="AM21" s="58"/>
      <c r="AN21" s="65">
        <f t="shared" si="67"/>
        <v>0</v>
      </c>
      <c r="AO21" s="58"/>
      <c r="AP21" s="65">
        <f t="shared" si="68"/>
        <v>0</v>
      </c>
      <c r="AQ21" s="58"/>
      <c r="AR21" s="65">
        <f t="shared" si="69"/>
        <v>0</v>
      </c>
      <c r="AS21" s="58"/>
      <c r="AT21" s="65">
        <f t="shared" si="70"/>
        <v>0</v>
      </c>
      <c r="AU21" s="58"/>
      <c r="AV21" s="65">
        <f t="shared" si="71"/>
        <v>0</v>
      </c>
      <c r="AW21" s="58"/>
      <c r="AX21" s="65">
        <f t="shared" si="72"/>
        <v>0</v>
      </c>
      <c r="AY21" s="58"/>
      <c r="AZ21" s="65">
        <f t="shared" si="73"/>
        <v>0</v>
      </c>
      <c r="BA21" s="58"/>
      <c r="BB21" s="65">
        <f t="shared" si="74"/>
        <v>0</v>
      </c>
      <c r="BC21" s="58"/>
      <c r="BD21" s="65">
        <f t="shared" si="75"/>
        <v>0</v>
      </c>
      <c r="BE21" s="59"/>
      <c r="BF21" s="67">
        <f t="shared" si="76"/>
        <v>0</v>
      </c>
      <c r="BG21" s="60"/>
      <c r="BH21" s="65">
        <f t="shared" si="77"/>
        <v>0</v>
      </c>
      <c r="BI21" s="60"/>
      <c r="BJ21" s="65">
        <f t="shared" si="78"/>
        <v>0</v>
      </c>
      <c r="BK21" s="60"/>
      <c r="BL21" s="65">
        <f t="shared" si="79"/>
        <v>0</v>
      </c>
      <c r="BM21" s="60"/>
      <c r="BN21" s="65">
        <f t="shared" si="80"/>
        <v>0</v>
      </c>
      <c r="BO21" s="60"/>
      <c r="BP21" s="65">
        <f t="shared" si="81"/>
        <v>0</v>
      </c>
      <c r="BQ21" s="60"/>
      <c r="BR21" s="65">
        <f t="shared" si="82"/>
        <v>0</v>
      </c>
      <c r="BS21" s="60"/>
      <c r="BT21" s="65">
        <f t="shared" si="83"/>
        <v>0</v>
      </c>
      <c r="BU21" s="60"/>
      <c r="BV21" s="65">
        <f t="shared" si="84"/>
        <v>0</v>
      </c>
      <c r="BW21" s="60"/>
      <c r="BX21" s="65">
        <f t="shared" si="85"/>
        <v>0</v>
      </c>
      <c r="BY21" s="60"/>
      <c r="BZ21" s="67">
        <f t="shared" si="86"/>
        <v>0</v>
      </c>
      <c r="CA21" s="60"/>
      <c r="CB21" s="67">
        <f t="shared" si="87"/>
        <v>0</v>
      </c>
      <c r="CC21" s="60"/>
      <c r="CD21" s="67">
        <f t="shared" si="88"/>
        <v>0</v>
      </c>
      <c r="CE21" s="60"/>
      <c r="CF21" s="67">
        <f t="shared" si="89"/>
        <v>0</v>
      </c>
      <c r="CG21" s="60"/>
      <c r="CH21" s="67">
        <f t="shared" si="90"/>
        <v>0</v>
      </c>
      <c r="CI21" s="60"/>
      <c r="CJ21" s="67">
        <f t="shared" si="91"/>
        <v>0</v>
      </c>
      <c r="CK21" s="60"/>
      <c r="CL21" s="64">
        <f t="shared" si="92"/>
        <v>0</v>
      </c>
      <c r="CM21" s="65">
        <f t="shared" si="93"/>
        <v>0</v>
      </c>
      <c r="CN21" s="62"/>
      <c r="CO21" s="62"/>
      <c r="CP21" s="68"/>
      <c r="CQ21" s="67">
        <f t="shared" si="94"/>
        <v>0</v>
      </c>
      <c r="CR21" s="68"/>
      <c r="CS21" s="67">
        <f t="shared" si="95"/>
        <v>0</v>
      </c>
      <c r="CT21" s="75"/>
      <c r="CU21" s="67">
        <f t="shared" si="96"/>
        <v>0</v>
      </c>
      <c r="CV21" s="68"/>
      <c r="CW21" s="67">
        <f t="shared" si="97"/>
        <v>0</v>
      </c>
      <c r="CX21" s="58"/>
      <c r="CY21" s="67">
        <f t="shared" si="98"/>
        <v>0</v>
      </c>
    </row>
    <row r="22" spans="1:103" ht="25.5" customHeight="1" thickBot="1" x14ac:dyDescent="0.45">
      <c r="A22" s="63">
        <v>44792</v>
      </c>
      <c r="B22" s="44"/>
      <c r="C22" s="58"/>
      <c r="D22" s="64">
        <f t="shared" si="50"/>
        <v>0</v>
      </c>
      <c r="E22" s="58"/>
      <c r="F22" s="64">
        <f t="shared" si="99"/>
        <v>0</v>
      </c>
      <c r="G22" s="58"/>
      <c r="H22" s="64">
        <f t="shared" si="51"/>
        <v>0</v>
      </c>
      <c r="I22" s="58"/>
      <c r="J22" s="64">
        <f t="shared" si="52"/>
        <v>0</v>
      </c>
      <c r="K22" s="58"/>
      <c r="L22" s="64">
        <f t="shared" si="53"/>
        <v>0</v>
      </c>
      <c r="M22" s="58"/>
      <c r="N22" s="64">
        <f t="shared" si="54"/>
        <v>0</v>
      </c>
      <c r="O22" s="58"/>
      <c r="P22" s="67">
        <f t="shared" si="55"/>
        <v>0</v>
      </c>
      <c r="Q22" s="58"/>
      <c r="R22" s="67">
        <f t="shared" si="56"/>
        <v>0</v>
      </c>
      <c r="S22" s="58"/>
      <c r="T22" s="67">
        <f t="shared" si="57"/>
        <v>0</v>
      </c>
      <c r="U22" s="58"/>
      <c r="V22" s="67">
        <f t="shared" si="58"/>
        <v>0</v>
      </c>
      <c r="W22" s="58"/>
      <c r="X22" s="65">
        <f t="shared" si="59"/>
        <v>0</v>
      </c>
      <c r="Y22" s="58"/>
      <c r="Z22" s="65">
        <f t="shared" si="60"/>
        <v>0</v>
      </c>
      <c r="AA22" s="58"/>
      <c r="AB22" s="65">
        <f t="shared" si="61"/>
        <v>0</v>
      </c>
      <c r="AC22" s="58"/>
      <c r="AD22" s="65">
        <f t="shared" si="62"/>
        <v>0</v>
      </c>
      <c r="AE22" s="58"/>
      <c r="AF22" s="65">
        <f t="shared" si="63"/>
        <v>0</v>
      </c>
      <c r="AG22" s="58"/>
      <c r="AH22" s="67">
        <f t="shared" si="64"/>
        <v>0</v>
      </c>
      <c r="AI22" s="58"/>
      <c r="AJ22" s="65">
        <f t="shared" si="65"/>
        <v>0</v>
      </c>
      <c r="AK22" s="58"/>
      <c r="AL22" s="65">
        <f t="shared" si="66"/>
        <v>0</v>
      </c>
      <c r="AM22" s="58"/>
      <c r="AN22" s="65">
        <f t="shared" si="67"/>
        <v>0</v>
      </c>
      <c r="AO22" s="58"/>
      <c r="AP22" s="65">
        <f t="shared" si="68"/>
        <v>0</v>
      </c>
      <c r="AQ22" s="58"/>
      <c r="AR22" s="65">
        <f t="shared" si="69"/>
        <v>0</v>
      </c>
      <c r="AS22" s="58"/>
      <c r="AT22" s="65">
        <f t="shared" si="70"/>
        <v>0</v>
      </c>
      <c r="AU22" s="58"/>
      <c r="AV22" s="65">
        <f t="shared" si="71"/>
        <v>0</v>
      </c>
      <c r="AW22" s="58"/>
      <c r="AX22" s="65">
        <f t="shared" si="72"/>
        <v>0</v>
      </c>
      <c r="AY22" s="58"/>
      <c r="AZ22" s="65">
        <f t="shared" si="73"/>
        <v>0</v>
      </c>
      <c r="BA22" s="58"/>
      <c r="BB22" s="65">
        <f t="shared" si="74"/>
        <v>0</v>
      </c>
      <c r="BC22" s="58"/>
      <c r="BD22" s="65">
        <f t="shared" si="75"/>
        <v>0</v>
      </c>
      <c r="BE22" s="59"/>
      <c r="BF22" s="67">
        <f t="shared" si="76"/>
        <v>0</v>
      </c>
      <c r="BG22" s="60"/>
      <c r="BH22" s="65">
        <f t="shared" si="77"/>
        <v>0</v>
      </c>
      <c r="BI22" s="60"/>
      <c r="BJ22" s="65">
        <f t="shared" si="78"/>
        <v>0</v>
      </c>
      <c r="BK22" s="60"/>
      <c r="BL22" s="65">
        <f t="shared" si="79"/>
        <v>0</v>
      </c>
      <c r="BM22" s="60"/>
      <c r="BN22" s="65">
        <f t="shared" si="80"/>
        <v>0</v>
      </c>
      <c r="BO22" s="60"/>
      <c r="BP22" s="65">
        <f t="shared" si="81"/>
        <v>0</v>
      </c>
      <c r="BQ22" s="60"/>
      <c r="BR22" s="65">
        <f t="shared" si="82"/>
        <v>0</v>
      </c>
      <c r="BS22" s="60"/>
      <c r="BT22" s="65">
        <f t="shared" si="83"/>
        <v>0</v>
      </c>
      <c r="BU22" s="60"/>
      <c r="BV22" s="65">
        <f t="shared" si="84"/>
        <v>0</v>
      </c>
      <c r="BW22" s="60"/>
      <c r="BX22" s="65">
        <f t="shared" si="85"/>
        <v>0</v>
      </c>
      <c r="BY22" s="60"/>
      <c r="BZ22" s="67">
        <f t="shared" si="86"/>
        <v>0</v>
      </c>
      <c r="CA22" s="60"/>
      <c r="CB22" s="67">
        <f t="shared" si="87"/>
        <v>0</v>
      </c>
      <c r="CC22" s="60"/>
      <c r="CD22" s="67">
        <f t="shared" si="88"/>
        <v>0</v>
      </c>
      <c r="CE22" s="60"/>
      <c r="CF22" s="67">
        <f t="shared" si="89"/>
        <v>0</v>
      </c>
      <c r="CG22" s="60"/>
      <c r="CH22" s="67">
        <f t="shared" si="90"/>
        <v>0</v>
      </c>
      <c r="CI22" s="60"/>
      <c r="CJ22" s="67">
        <f t="shared" si="91"/>
        <v>0</v>
      </c>
      <c r="CK22" s="60"/>
      <c r="CL22" s="64">
        <f t="shared" si="92"/>
        <v>0</v>
      </c>
      <c r="CM22" s="65">
        <f t="shared" si="93"/>
        <v>0</v>
      </c>
      <c r="CN22" s="62"/>
      <c r="CO22" s="62"/>
      <c r="CP22" s="68"/>
      <c r="CQ22" s="67">
        <f t="shared" si="94"/>
        <v>0</v>
      </c>
      <c r="CR22" s="68"/>
      <c r="CS22" s="67">
        <f t="shared" si="95"/>
        <v>0</v>
      </c>
      <c r="CT22" s="75"/>
      <c r="CU22" s="67">
        <f t="shared" si="96"/>
        <v>0</v>
      </c>
      <c r="CV22" s="68"/>
      <c r="CW22" s="67">
        <f t="shared" si="97"/>
        <v>0</v>
      </c>
      <c r="CX22" s="58"/>
      <c r="CY22" s="67">
        <f t="shared" si="98"/>
        <v>0</v>
      </c>
    </row>
    <row r="23" spans="1:103" ht="25.5" customHeight="1" thickBot="1" x14ac:dyDescent="0.45">
      <c r="A23" s="63">
        <v>44793</v>
      </c>
      <c r="B23" s="44"/>
      <c r="C23" s="58"/>
      <c r="D23" s="64">
        <f t="shared" si="50"/>
        <v>0</v>
      </c>
      <c r="E23" s="58"/>
      <c r="F23" s="64">
        <f t="shared" si="99"/>
        <v>0</v>
      </c>
      <c r="G23" s="58"/>
      <c r="H23" s="64">
        <f t="shared" si="51"/>
        <v>0</v>
      </c>
      <c r="I23" s="58"/>
      <c r="J23" s="64">
        <f t="shared" si="52"/>
        <v>0</v>
      </c>
      <c r="K23" s="58"/>
      <c r="L23" s="64">
        <f t="shared" si="53"/>
        <v>0</v>
      </c>
      <c r="M23" s="58"/>
      <c r="N23" s="64">
        <f t="shared" si="54"/>
        <v>0</v>
      </c>
      <c r="O23" s="58"/>
      <c r="P23" s="67">
        <f t="shared" si="55"/>
        <v>0</v>
      </c>
      <c r="Q23" s="58"/>
      <c r="R23" s="67">
        <f t="shared" si="56"/>
        <v>0</v>
      </c>
      <c r="S23" s="58"/>
      <c r="T23" s="67">
        <f t="shared" si="57"/>
        <v>0</v>
      </c>
      <c r="U23" s="58"/>
      <c r="V23" s="67">
        <f t="shared" si="58"/>
        <v>0</v>
      </c>
      <c r="W23" s="58"/>
      <c r="X23" s="65">
        <f t="shared" si="59"/>
        <v>0</v>
      </c>
      <c r="Y23" s="58"/>
      <c r="Z23" s="65">
        <f t="shared" si="60"/>
        <v>0</v>
      </c>
      <c r="AA23" s="58"/>
      <c r="AB23" s="65">
        <f t="shared" si="61"/>
        <v>0</v>
      </c>
      <c r="AC23" s="58"/>
      <c r="AD23" s="65">
        <f t="shared" si="62"/>
        <v>0</v>
      </c>
      <c r="AE23" s="58"/>
      <c r="AF23" s="65">
        <f t="shared" si="63"/>
        <v>0</v>
      </c>
      <c r="AG23" s="58"/>
      <c r="AH23" s="67">
        <f t="shared" si="64"/>
        <v>0</v>
      </c>
      <c r="AI23" s="58"/>
      <c r="AJ23" s="65">
        <f t="shared" si="65"/>
        <v>0</v>
      </c>
      <c r="AK23" s="58"/>
      <c r="AL23" s="65">
        <f t="shared" si="66"/>
        <v>0</v>
      </c>
      <c r="AM23" s="58"/>
      <c r="AN23" s="65">
        <f t="shared" si="67"/>
        <v>0</v>
      </c>
      <c r="AO23" s="58"/>
      <c r="AP23" s="65">
        <f t="shared" si="68"/>
        <v>0</v>
      </c>
      <c r="AQ23" s="58"/>
      <c r="AR23" s="65">
        <f t="shared" si="69"/>
        <v>0</v>
      </c>
      <c r="AS23" s="58"/>
      <c r="AT23" s="65">
        <f t="shared" si="70"/>
        <v>0</v>
      </c>
      <c r="AU23" s="58"/>
      <c r="AV23" s="65">
        <f t="shared" si="71"/>
        <v>0</v>
      </c>
      <c r="AW23" s="58"/>
      <c r="AX23" s="65">
        <f t="shared" si="72"/>
        <v>0</v>
      </c>
      <c r="AY23" s="58"/>
      <c r="AZ23" s="65">
        <f t="shared" si="73"/>
        <v>0</v>
      </c>
      <c r="BA23" s="58"/>
      <c r="BB23" s="65">
        <f t="shared" si="74"/>
        <v>0</v>
      </c>
      <c r="BC23" s="58"/>
      <c r="BD23" s="65">
        <f t="shared" si="75"/>
        <v>0</v>
      </c>
      <c r="BE23" s="59"/>
      <c r="BF23" s="67">
        <f t="shared" si="76"/>
        <v>0</v>
      </c>
      <c r="BG23" s="60"/>
      <c r="BH23" s="65">
        <f t="shared" si="77"/>
        <v>0</v>
      </c>
      <c r="BI23" s="60"/>
      <c r="BJ23" s="65">
        <f t="shared" si="78"/>
        <v>0</v>
      </c>
      <c r="BK23" s="60"/>
      <c r="BL23" s="65">
        <f t="shared" si="79"/>
        <v>0</v>
      </c>
      <c r="BM23" s="60"/>
      <c r="BN23" s="65">
        <f t="shared" si="80"/>
        <v>0</v>
      </c>
      <c r="BO23" s="60"/>
      <c r="BP23" s="65">
        <f t="shared" si="81"/>
        <v>0</v>
      </c>
      <c r="BQ23" s="60"/>
      <c r="BR23" s="65">
        <f t="shared" si="82"/>
        <v>0</v>
      </c>
      <c r="BS23" s="60"/>
      <c r="BT23" s="65">
        <f t="shared" si="83"/>
        <v>0</v>
      </c>
      <c r="BU23" s="60"/>
      <c r="BV23" s="65">
        <f t="shared" si="84"/>
        <v>0</v>
      </c>
      <c r="BW23" s="60"/>
      <c r="BX23" s="65">
        <f t="shared" si="85"/>
        <v>0</v>
      </c>
      <c r="BY23" s="60"/>
      <c r="BZ23" s="67">
        <f t="shared" si="86"/>
        <v>0</v>
      </c>
      <c r="CA23" s="60"/>
      <c r="CB23" s="67">
        <f t="shared" si="87"/>
        <v>0</v>
      </c>
      <c r="CC23" s="60"/>
      <c r="CD23" s="67">
        <f t="shared" si="88"/>
        <v>0</v>
      </c>
      <c r="CE23" s="60"/>
      <c r="CF23" s="67">
        <f t="shared" si="89"/>
        <v>0</v>
      </c>
      <c r="CG23" s="60"/>
      <c r="CH23" s="67">
        <f t="shared" si="90"/>
        <v>0</v>
      </c>
      <c r="CI23" s="60"/>
      <c r="CJ23" s="67">
        <f t="shared" si="91"/>
        <v>0</v>
      </c>
      <c r="CK23" s="60"/>
      <c r="CL23" s="64">
        <f t="shared" si="92"/>
        <v>0</v>
      </c>
      <c r="CM23" s="65">
        <f>CQ23+CS23</f>
        <v>0</v>
      </c>
      <c r="CN23" s="62"/>
      <c r="CO23" s="62"/>
      <c r="CP23" s="68"/>
      <c r="CQ23" s="67">
        <f t="shared" si="94"/>
        <v>0</v>
      </c>
      <c r="CR23" s="68"/>
      <c r="CS23" s="67">
        <f t="shared" si="95"/>
        <v>0</v>
      </c>
      <c r="CT23" s="75"/>
      <c r="CU23" s="67">
        <f t="shared" si="96"/>
        <v>0</v>
      </c>
      <c r="CV23" s="68"/>
      <c r="CW23" s="67">
        <f t="shared" si="97"/>
        <v>0</v>
      </c>
      <c r="CX23" s="58"/>
      <c r="CY23" s="67">
        <f t="shared" si="98"/>
        <v>0</v>
      </c>
    </row>
    <row r="24" spans="1:103" ht="25.5" customHeight="1" thickBot="1" x14ac:dyDescent="0.45">
      <c r="A24" s="63">
        <v>44794</v>
      </c>
      <c r="B24" s="44"/>
      <c r="C24" s="58"/>
      <c r="D24" s="64">
        <f t="shared" si="50"/>
        <v>0</v>
      </c>
      <c r="E24" s="58"/>
      <c r="F24" s="64">
        <f t="shared" si="99"/>
        <v>0</v>
      </c>
      <c r="G24" s="58"/>
      <c r="H24" s="64">
        <f t="shared" si="51"/>
        <v>0</v>
      </c>
      <c r="I24" s="58"/>
      <c r="J24" s="64">
        <f t="shared" si="52"/>
        <v>0</v>
      </c>
      <c r="K24" s="58"/>
      <c r="L24" s="64">
        <f t="shared" si="53"/>
        <v>0</v>
      </c>
      <c r="M24" s="58"/>
      <c r="N24" s="64">
        <f t="shared" si="54"/>
        <v>0</v>
      </c>
      <c r="O24" s="58"/>
      <c r="P24" s="67">
        <f t="shared" si="55"/>
        <v>0</v>
      </c>
      <c r="Q24" s="58"/>
      <c r="R24" s="67">
        <f t="shared" si="56"/>
        <v>0</v>
      </c>
      <c r="S24" s="58"/>
      <c r="T24" s="67">
        <f t="shared" si="57"/>
        <v>0</v>
      </c>
      <c r="U24" s="58"/>
      <c r="V24" s="67">
        <f t="shared" si="58"/>
        <v>0</v>
      </c>
      <c r="W24" s="58"/>
      <c r="X24" s="65">
        <f t="shared" si="59"/>
        <v>0</v>
      </c>
      <c r="Y24" s="58"/>
      <c r="Z24" s="65">
        <f t="shared" si="60"/>
        <v>0</v>
      </c>
      <c r="AA24" s="58"/>
      <c r="AB24" s="65">
        <f t="shared" si="61"/>
        <v>0</v>
      </c>
      <c r="AC24" s="58"/>
      <c r="AD24" s="65">
        <f t="shared" si="62"/>
        <v>0</v>
      </c>
      <c r="AE24" s="58"/>
      <c r="AF24" s="65">
        <f t="shared" si="63"/>
        <v>0</v>
      </c>
      <c r="AG24" s="58"/>
      <c r="AH24" s="67">
        <f t="shared" si="64"/>
        <v>0</v>
      </c>
      <c r="AI24" s="58"/>
      <c r="AJ24" s="65">
        <f t="shared" si="65"/>
        <v>0</v>
      </c>
      <c r="AK24" s="58"/>
      <c r="AL24" s="65">
        <f t="shared" si="66"/>
        <v>0</v>
      </c>
      <c r="AM24" s="58"/>
      <c r="AN24" s="65">
        <f t="shared" si="67"/>
        <v>0</v>
      </c>
      <c r="AO24" s="58"/>
      <c r="AP24" s="65">
        <f t="shared" si="68"/>
        <v>0</v>
      </c>
      <c r="AQ24" s="58"/>
      <c r="AR24" s="65">
        <f t="shared" si="69"/>
        <v>0</v>
      </c>
      <c r="AS24" s="58"/>
      <c r="AT24" s="65">
        <f t="shared" si="70"/>
        <v>0</v>
      </c>
      <c r="AU24" s="58"/>
      <c r="AV24" s="65">
        <f t="shared" si="71"/>
        <v>0</v>
      </c>
      <c r="AW24" s="58"/>
      <c r="AX24" s="65">
        <f t="shared" si="72"/>
        <v>0</v>
      </c>
      <c r="AY24" s="58"/>
      <c r="AZ24" s="65">
        <f t="shared" si="73"/>
        <v>0</v>
      </c>
      <c r="BA24" s="58"/>
      <c r="BB24" s="65">
        <f t="shared" si="74"/>
        <v>0</v>
      </c>
      <c r="BC24" s="58"/>
      <c r="BD24" s="65">
        <f t="shared" si="75"/>
        <v>0</v>
      </c>
      <c r="BE24" s="59"/>
      <c r="BF24" s="67">
        <f t="shared" si="76"/>
        <v>0</v>
      </c>
      <c r="BG24" s="60"/>
      <c r="BH24" s="65">
        <f t="shared" si="77"/>
        <v>0</v>
      </c>
      <c r="BI24" s="60"/>
      <c r="BJ24" s="65">
        <f t="shared" si="78"/>
        <v>0</v>
      </c>
      <c r="BK24" s="60"/>
      <c r="BL24" s="65">
        <f t="shared" si="79"/>
        <v>0</v>
      </c>
      <c r="BM24" s="60"/>
      <c r="BN24" s="65">
        <f t="shared" si="80"/>
        <v>0</v>
      </c>
      <c r="BO24" s="60"/>
      <c r="BP24" s="65">
        <f t="shared" si="81"/>
        <v>0</v>
      </c>
      <c r="BQ24" s="60"/>
      <c r="BR24" s="65">
        <f t="shared" si="82"/>
        <v>0</v>
      </c>
      <c r="BS24" s="60"/>
      <c r="BT24" s="65">
        <f t="shared" si="83"/>
        <v>0</v>
      </c>
      <c r="BU24" s="60"/>
      <c r="BV24" s="65">
        <f t="shared" si="84"/>
        <v>0</v>
      </c>
      <c r="BW24" s="60"/>
      <c r="BX24" s="65">
        <f t="shared" si="85"/>
        <v>0</v>
      </c>
      <c r="BY24" s="60"/>
      <c r="BZ24" s="67">
        <f t="shared" si="86"/>
        <v>0</v>
      </c>
      <c r="CA24" s="60"/>
      <c r="CB24" s="67">
        <f t="shared" si="87"/>
        <v>0</v>
      </c>
      <c r="CC24" s="60"/>
      <c r="CD24" s="67">
        <f t="shared" si="88"/>
        <v>0</v>
      </c>
      <c r="CE24" s="60"/>
      <c r="CF24" s="67">
        <f t="shared" si="89"/>
        <v>0</v>
      </c>
      <c r="CG24" s="60"/>
      <c r="CH24" s="67">
        <f t="shared" si="90"/>
        <v>0</v>
      </c>
      <c r="CI24" s="60"/>
      <c r="CJ24" s="67">
        <f t="shared" si="91"/>
        <v>0</v>
      </c>
      <c r="CK24" s="60"/>
      <c r="CL24" s="64">
        <f t="shared" si="92"/>
        <v>0</v>
      </c>
      <c r="CM24" s="65">
        <f t="shared" si="93"/>
        <v>0</v>
      </c>
      <c r="CN24" s="62"/>
      <c r="CO24" s="62"/>
      <c r="CP24" s="68"/>
      <c r="CQ24" s="67">
        <f t="shared" si="94"/>
        <v>0</v>
      </c>
      <c r="CR24" s="68"/>
      <c r="CS24" s="67">
        <f t="shared" si="95"/>
        <v>0</v>
      </c>
      <c r="CT24" s="75"/>
      <c r="CU24" s="67">
        <f t="shared" si="96"/>
        <v>0</v>
      </c>
      <c r="CV24" s="68"/>
      <c r="CW24" s="67">
        <f t="shared" si="97"/>
        <v>0</v>
      </c>
      <c r="CX24" s="58"/>
      <c r="CY24" s="67">
        <f t="shared" si="98"/>
        <v>0</v>
      </c>
    </row>
    <row r="25" spans="1:103" ht="25.5" customHeight="1" thickBot="1" x14ac:dyDescent="0.45">
      <c r="A25" s="63">
        <v>44795</v>
      </c>
      <c r="B25" s="44"/>
      <c r="C25" s="58"/>
      <c r="D25" s="64">
        <f t="shared" si="50"/>
        <v>0</v>
      </c>
      <c r="E25" s="58"/>
      <c r="F25" s="64">
        <f t="shared" si="99"/>
        <v>0</v>
      </c>
      <c r="G25" s="58"/>
      <c r="H25" s="64">
        <f t="shared" si="51"/>
        <v>0</v>
      </c>
      <c r="I25" s="58"/>
      <c r="J25" s="64">
        <f t="shared" si="52"/>
        <v>0</v>
      </c>
      <c r="K25" s="58"/>
      <c r="L25" s="64">
        <f t="shared" si="53"/>
        <v>0</v>
      </c>
      <c r="M25" s="58"/>
      <c r="N25" s="64">
        <f t="shared" si="54"/>
        <v>0</v>
      </c>
      <c r="O25" s="58"/>
      <c r="P25" s="67">
        <f t="shared" si="55"/>
        <v>0</v>
      </c>
      <c r="Q25" s="58"/>
      <c r="R25" s="67">
        <f t="shared" si="56"/>
        <v>0</v>
      </c>
      <c r="S25" s="58"/>
      <c r="T25" s="67">
        <f t="shared" si="57"/>
        <v>0</v>
      </c>
      <c r="U25" s="58"/>
      <c r="V25" s="67">
        <f t="shared" si="58"/>
        <v>0</v>
      </c>
      <c r="W25" s="58"/>
      <c r="X25" s="65">
        <f t="shared" si="59"/>
        <v>0</v>
      </c>
      <c r="Y25" s="58"/>
      <c r="Z25" s="65">
        <f t="shared" si="60"/>
        <v>0</v>
      </c>
      <c r="AA25" s="58"/>
      <c r="AB25" s="65">
        <f t="shared" si="61"/>
        <v>0</v>
      </c>
      <c r="AC25" s="58"/>
      <c r="AD25" s="65">
        <f t="shared" si="62"/>
        <v>0</v>
      </c>
      <c r="AE25" s="58"/>
      <c r="AF25" s="65">
        <f t="shared" si="63"/>
        <v>0</v>
      </c>
      <c r="AG25" s="58"/>
      <c r="AH25" s="67">
        <f t="shared" si="64"/>
        <v>0</v>
      </c>
      <c r="AI25" s="58"/>
      <c r="AJ25" s="65">
        <f t="shared" si="65"/>
        <v>0</v>
      </c>
      <c r="AK25" s="58"/>
      <c r="AL25" s="65">
        <f t="shared" si="66"/>
        <v>0</v>
      </c>
      <c r="AM25" s="58"/>
      <c r="AN25" s="65">
        <f t="shared" si="67"/>
        <v>0</v>
      </c>
      <c r="AO25" s="58"/>
      <c r="AP25" s="65">
        <f t="shared" si="68"/>
        <v>0</v>
      </c>
      <c r="AQ25" s="58"/>
      <c r="AR25" s="65">
        <f t="shared" si="69"/>
        <v>0</v>
      </c>
      <c r="AS25" s="58"/>
      <c r="AT25" s="65">
        <f t="shared" si="70"/>
        <v>0</v>
      </c>
      <c r="AU25" s="58"/>
      <c r="AV25" s="65">
        <f t="shared" si="71"/>
        <v>0</v>
      </c>
      <c r="AW25" s="58"/>
      <c r="AX25" s="65">
        <f t="shared" si="72"/>
        <v>0</v>
      </c>
      <c r="AY25" s="58"/>
      <c r="AZ25" s="65">
        <f t="shared" si="73"/>
        <v>0</v>
      </c>
      <c r="BA25" s="58"/>
      <c r="BB25" s="65">
        <f t="shared" si="74"/>
        <v>0</v>
      </c>
      <c r="BC25" s="58"/>
      <c r="BD25" s="65">
        <f t="shared" si="75"/>
        <v>0</v>
      </c>
      <c r="BE25" s="59"/>
      <c r="BF25" s="67">
        <f t="shared" si="76"/>
        <v>0</v>
      </c>
      <c r="BG25" s="60"/>
      <c r="BH25" s="65">
        <f t="shared" si="77"/>
        <v>0</v>
      </c>
      <c r="BI25" s="60"/>
      <c r="BJ25" s="65">
        <f t="shared" si="78"/>
        <v>0</v>
      </c>
      <c r="BK25" s="60"/>
      <c r="BL25" s="65">
        <f t="shared" si="79"/>
        <v>0</v>
      </c>
      <c r="BM25" s="60"/>
      <c r="BN25" s="65">
        <f t="shared" si="80"/>
        <v>0</v>
      </c>
      <c r="BO25" s="60"/>
      <c r="BP25" s="65">
        <f t="shared" si="81"/>
        <v>0</v>
      </c>
      <c r="BQ25" s="60"/>
      <c r="BR25" s="65">
        <f t="shared" si="82"/>
        <v>0</v>
      </c>
      <c r="BS25" s="60"/>
      <c r="BT25" s="65">
        <f t="shared" si="83"/>
        <v>0</v>
      </c>
      <c r="BU25" s="60"/>
      <c r="BV25" s="65">
        <f t="shared" si="84"/>
        <v>0</v>
      </c>
      <c r="BW25" s="60"/>
      <c r="BX25" s="65">
        <f t="shared" si="85"/>
        <v>0</v>
      </c>
      <c r="BY25" s="60"/>
      <c r="BZ25" s="67">
        <f t="shared" si="86"/>
        <v>0</v>
      </c>
      <c r="CA25" s="60"/>
      <c r="CB25" s="67">
        <f t="shared" si="87"/>
        <v>0</v>
      </c>
      <c r="CC25" s="60"/>
      <c r="CD25" s="67">
        <f t="shared" si="88"/>
        <v>0</v>
      </c>
      <c r="CE25" s="60"/>
      <c r="CF25" s="67">
        <f t="shared" si="89"/>
        <v>0</v>
      </c>
      <c r="CG25" s="60"/>
      <c r="CH25" s="67">
        <f t="shared" si="90"/>
        <v>0</v>
      </c>
      <c r="CI25" s="60"/>
      <c r="CJ25" s="67">
        <f t="shared" si="91"/>
        <v>0</v>
      </c>
      <c r="CK25" s="60"/>
      <c r="CL25" s="64">
        <f t="shared" si="92"/>
        <v>0</v>
      </c>
      <c r="CM25" s="65">
        <f t="shared" si="93"/>
        <v>0</v>
      </c>
      <c r="CN25" s="62"/>
      <c r="CO25" s="62"/>
      <c r="CP25" s="68"/>
      <c r="CQ25" s="67">
        <f t="shared" si="94"/>
        <v>0</v>
      </c>
      <c r="CR25" s="68"/>
      <c r="CS25" s="67">
        <f t="shared" si="95"/>
        <v>0</v>
      </c>
      <c r="CT25" s="75"/>
      <c r="CU25" s="67">
        <f t="shared" si="96"/>
        <v>0</v>
      </c>
      <c r="CV25" s="68"/>
      <c r="CW25" s="67">
        <f t="shared" si="97"/>
        <v>0</v>
      </c>
      <c r="CX25" s="58"/>
      <c r="CY25" s="67">
        <f t="shared" si="98"/>
        <v>0</v>
      </c>
    </row>
    <row r="26" spans="1:103" ht="25.5" customHeight="1" thickBot="1" x14ac:dyDescent="0.45">
      <c r="A26" s="63">
        <v>44796</v>
      </c>
      <c r="B26" s="44"/>
      <c r="C26" s="58"/>
      <c r="D26" s="64">
        <f t="shared" si="50"/>
        <v>0</v>
      </c>
      <c r="E26" s="58"/>
      <c r="F26" s="64">
        <f t="shared" si="99"/>
        <v>0</v>
      </c>
      <c r="G26" s="58"/>
      <c r="H26" s="64">
        <f t="shared" si="51"/>
        <v>0</v>
      </c>
      <c r="I26" s="58"/>
      <c r="J26" s="64">
        <f t="shared" si="52"/>
        <v>0</v>
      </c>
      <c r="K26" s="58"/>
      <c r="L26" s="64">
        <f t="shared" si="53"/>
        <v>0</v>
      </c>
      <c r="M26" s="58"/>
      <c r="N26" s="64">
        <f t="shared" si="54"/>
        <v>0</v>
      </c>
      <c r="O26" s="58"/>
      <c r="P26" s="67">
        <f t="shared" si="55"/>
        <v>0</v>
      </c>
      <c r="Q26" s="58"/>
      <c r="R26" s="67">
        <f t="shared" si="56"/>
        <v>0</v>
      </c>
      <c r="S26" s="58"/>
      <c r="T26" s="67">
        <f t="shared" si="57"/>
        <v>0</v>
      </c>
      <c r="U26" s="58"/>
      <c r="V26" s="67">
        <f t="shared" si="58"/>
        <v>0</v>
      </c>
      <c r="W26" s="58"/>
      <c r="X26" s="65">
        <f t="shared" si="59"/>
        <v>0</v>
      </c>
      <c r="Y26" s="58"/>
      <c r="Z26" s="65">
        <f t="shared" si="60"/>
        <v>0</v>
      </c>
      <c r="AA26" s="58"/>
      <c r="AB26" s="65">
        <f t="shared" si="61"/>
        <v>0</v>
      </c>
      <c r="AC26" s="58"/>
      <c r="AD26" s="65">
        <f t="shared" si="62"/>
        <v>0</v>
      </c>
      <c r="AE26" s="58"/>
      <c r="AF26" s="65">
        <f t="shared" si="63"/>
        <v>0</v>
      </c>
      <c r="AG26" s="58"/>
      <c r="AH26" s="67">
        <f t="shared" si="64"/>
        <v>0</v>
      </c>
      <c r="AI26" s="58"/>
      <c r="AJ26" s="65">
        <f t="shared" si="65"/>
        <v>0</v>
      </c>
      <c r="AK26" s="58"/>
      <c r="AL26" s="65">
        <f t="shared" si="66"/>
        <v>0</v>
      </c>
      <c r="AM26" s="58"/>
      <c r="AN26" s="65">
        <f t="shared" si="67"/>
        <v>0</v>
      </c>
      <c r="AO26" s="58"/>
      <c r="AP26" s="65">
        <f t="shared" si="68"/>
        <v>0</v>
      </c>
      <c r="AQ26" s="58"/>
      <c r="AR26" s="65">
        <f t="shared" si="69"/>
        <v>0</v>
      </c>
      <c r="AS26" s="58"/>
      <c r="AT26" s="65">
        <f t="shared" si="70"/>
        <v>0</v>
      </c>
      <c r="AU26" s="58"/>
      <c r="AV26" s="65">
        <f t="shared" si="71"/>
        <v>0</v>
      </c>
      <c r="AW26" s="58"/>
      <c r="AX26" s="65">
        <f t="shared" si="72"/>
        <v>0</v>
      </c>
      <c r="AY26" s="58"/>
      <c r="AZ26" s="65">
        <f t="shared" si="73"/>
        <v>0</v>
      </c>
      <c r="BA26" s="58"/>
      <c r="BB26" s="65">
        <f t="shared" si="74"/>
        <v>0</v>
      </c>
      <c r="BC26" s="58"/>
      <c r="BD26" s="65">
        <f t="shared" si="75"/>
        <v>0</v>
      </c>
      <c r="BE26" s="59"/>
      <c r="BF26" s="67">
        <f t="shared" si="76"/>
        <v>0</v>
      </c>
      <c r="BG26" s="60"/>
      <c r="BH26" s="65">
        <f t="shared" si="77"/>
        <v>0</v>
      </c>
      <c r="BI26" s="60"/>
      <c r="BJ26" s="65">
        <f t="shared" si="78"/>
        <v>0</v>
      </c>
      <c r="BK26" s="60"/>
      <c r="BL26" s="65">
        <f t="shared" si="79"/>
        <v>0</v>
      </c>
      <c r="BM26" s="60"/>
      <c r="BN26" s="65">
        <f t="shared" si="80"/>
        <v>0</v>
      </c>
      <c r="BO26" s="60"/>
      <c r="BP26" s="65">
        <f t="shared" si="81"/>
        <v>0</v>
      </c>
      <c r="BQ26" s="60"/>
      <c r="BR26" s="65">
        <f t="shared" si="82"/>
        <v>0</v>
      </c>
      <c r="BS26" s="60"/>
      <c r="BT26" s="65">
        <f t="shared" si="83"/>
        <v>0</v>
      </c>
      <c r="BU26" s="60"/>
      <c r="BV26" s="65">
        <f t="shared" si="84"/>
        <v>0</v>
      </c>
      <c r="BW26" s="60"/>
      <c r="BX26" s="65">
        <f t="shared" si="85"/>
        <v>0</v>
      </c>
      <c r="BY26" s="60"/>
      <c r="BZ26" s="67">
        <f t="shared" si="86"/>
        <v>0</v>
      </c>
      <c r="CA26" s="60"/>
      <c r="CB26" s="67">
        <f t="shared" si="87"/>
        <v>0</v>
      </c>
      <c r="CC26" s="60"/>
      <c r="CD26" s="67">
        <f t="shared" si="88"/>
        <v>0</v>
      </c>
      <c r="CE26" s="60"/>
      <c r="CF26" s="67">
        <f t="shared" si="89"/>
        <v>0</v>
      </c>
      <c r="CG26" s="60"/>
      <c r="CH26" s="67">
        <f t="shared" si="90"/>
        <v>0</v>
      </c>
      <c r="CI26" s="60"/>
      <c r="CJ26" s="67">
        <f t="shared" si="91"/>
        <v>0</v>
      </c>
      <c r="CK26" s="60"/>
      <c r="CL26" s="64">
        <f t="shared" si="92"/>
        <v>0</v>
      </c>
      <c r="CM26" s="65">
        <f t="shared" si="93"/>
        <v>0</v>
      </c>
      <c r="CN26" s="62"/>
      <c r="CO26" s="62"/>
      <c r="CP26" s="68"/>
      <c r="CQ26" s="67">
        <f t="shared" si="94"/>
        <v>0</v>
      </c>
      <c r="CR26" s="68"/>
      <c r="CS26" s="67">
        <f t="shared" si="95"/>
        <v>0</v>
      </c>
      <c r="CT26" s="75"/>
      <c r="CU26" s="67">
        <f t="shared" si="96"/>
        <v>0</v>
      </c>
      <c r="CV26" s="68"/>
      <c r="CW26" s="67">
        <f t="shared" si="97"/>
        <v>0</v>
      </c>
      <c r="CX26" s="58"/>
      <c r="CY26" s="67">
        <f t="shared" si="98"/>
        <v>0</v>
      </c>
    </row>
    <row r="27" spans="1:103" ht="25.5" customHeight="1" thickBot="1" x14ac:dyDescent="0.45">
      <c r="A27" s="63">
        <v>44797</v>
      </c>
      <c r="B27" s="44"/>
      <c r="C27" s="58"/>
      <c r="D27" s="64">
        <f t="shared" si="50"/>
        <v>0</v>
      </c>
      <c r="E27" s="58"/>
      <c r="F27" s="64">
        <f t="shared" si="99"/>
        <v>0</v>
      </c>
      <c r="G27" s="58"/>
      <c r="H27" s="64">
        <f t="shared" si="51"/>
        <v>0</v>
      </c>
      <c r="I27" s="58"/>
      <c r="J27" s="64">
        <f t="shared" si="52"/>
        <v>0</v>
      </c>
      <c r="K27" s="58"/>
      <c r="L27" s="64">
        <f t="shared" si="53"/>
        <v>0</v>
      </c>
      <c r="M27" s="58"/>
      <c r="N27" s="64">
        <f t="shared" si="54"/>
        <v>0</v>
      </c>
      <c r="O27" s="58"/>
      <c r="P27" s="67">
        <f t="shared" si="55"/>
        <v>0</v>
      </c>
      <c r="Q27" s="58"/>
      <c r="R27" s="67">
        <f t="shared" si="56"/>
        <v>0</v>
      </c>
      <c r="S27" s="58"/>
      <c r="T27" s="67">
        <f t="shared" si="57"/>
        <v>0</v>
      </c>
      <c r="U27" s="58"/>
      <c r="V27" s="67">
        <f t="shared" si="58"/>
        <v>0</v>
      </c>
      <c r="W27" s="58"/>
      <c r="X27" s="65">
        <f t="shared" si="59"/>
        <v>0</v>
      </c>
      <c r="Y27" s="58"/>
      <c r="Z27" s="65">
        <f t="shared" si="60"/>
        <v>0</v>
      </c>
      <c r="AA27" s="58"/>
      <c r="AB27" s="65">
        <f t="shared" si="61"/>
        <v>0</v>
      </c>
      <c r="AC27" s="58"/>
      <c r="AD27" s="65">
        <f t="shared" si="62"/>
        <v>0</v>
      </c>
      <c r="AE27" s="58"/>
      <c r="AF27" s="65">
        <f t="shared" si="63"/>
        <v>0</v>
      </c>
      <c r="AG27" s="58"/>
      <c r="AH27" s="67">
        <f t="shared" si="64"/>
        <v>0</v>
      </c>
      <c r="AI27" s="58"/>
      <c r="AJ27" s="65">
        <f t="shared" si="65"/>
        <v>0</v>
      </c>
      <c r="AK27" s="58"/>
      <c r="AL27" s="65">
        <f t="shared" si="66"/>
        <v>0</v>
      </c>
      <c r="AM27" s="58"/>
      <c r="AN27" s="65">
        <f t="shared" si="67"/>
        <v>0</v>
      </c>
      <c r="AO27" s="58"/>
      <c r="AP27" s="65">
        <f t="shared" si="68"/>
        <v>0</v>
      </c>
      <c r="AQ27" s="58"/>
      <c r="AR27" s="65">
        <f t="shared" si="69"/>
        <v>0</v>
      </c>
      <c r="AS27" s="58"/>
      <c r="AT27" s="65">
        <f t="shared" si="70"/>
        <v>0</v>
      </c>
      <c r="AU27" s="58"/>
      <c r="AV27" s="65">
        <f t="shared" si="71"/>
        <v>0</v>
      </c>
      <c r="AW27" s="58"/>
      <c r="AX27" s="65">
        <f t="shared" si="72"/>
        <v>0</v>
      </c>
      <c r="AY27" s="58"/>
      <c r="AZ27" s="65">
        <f t="shared" si="73"/>
        <v>0</v>
      </c>
      <c r="BA27" s="58"/>
      <c r="BB27" s="65">
        <f t="shared" si="74"/>
        <v>0</v>
      </c>
      <c r="BC27" s="58"/>
      <c r="BD27" s="65">
        <f t="shared" si="75"/>
        <v>0</v>
      </c>
      <c r="BE27" s="59"/>
      <c r="BF27" s="67">
        <f t="shared" si="76"/>
        <v>0</v>
      </c>
      <c r="BG27" s="60"/>
      <c r="BH27" s="65">
        <f t="shared" si="77"/>
        <v>0</v>
      </c>
      <c r="BI27" s="60"/>
      <c r="BJ27" s="65">
        <f t="shared" si="78"/>
        <v>0</v>
      </c>
      <c r="BK27" s="60"/>
      <c r="BL27" s="65">
        <f t="shared" si="79"/>
        <v>0</v>
      </c>
      <c r="BM27" s="60"/>
      <c r="BN27" s="65">
        <f t="shared" si="80"/>
        <v>0</v>
      </c>
      <c r="BO27" s="60"/>
      <c r="BP27" s="65">
        <f t="shared" si="81"/>
        <v>0</v>
      </c>
      <c r="BQ27" s="60"/>
      <c r="BR27" s="65">
        <f t="shared" si="82"/>
        <v>0</v>
      </c>
      <c r="BS27" s="60"/>
      <c r="BT27" s="65">
        <f t="shared" si="83"/>
        <v>0</v>
      </c>
      <c r="BU27" s="60"/>
      <c r="BV27" s="65">
        <f t="shared" si="84"/>
        <v>0</v>
      </c>
      <c r="BW27" s="60"/>
      <c r="BX27" s="65">
        <f t="shared" si="85"/>
        <v>0</v>
      </c>
      <c r="BY27" s="60"/>
      <c r="BZ27" s="67">
        <f t="shared" si="86"/>
        <v>0</v>
      </c>
      <c r="CA27" s="60"/>
      <c r="CB27" s="67">
        <f t="shared" si="87"/>
        <v>0</v>
      </c>
      <c r="CC27" s="60"/>
      <c r="CD27" s="67">
        <f t="shared" si="88"/>
        <v>0</v>
      </c>
      <c r="CE27" s="60"/>
      <c r="CF27" s="67">
        <f t="shared" si="89"/>
        <v>0</v>
      </c>
      <c r="CG27" s="60"/>
      <c r="CH27" s="67">
        <f t="shared" si="90"/>
        <v>0</v>
      </c>
      <c r="CI27" s="60"/>
      <c r="CJ27" s="67">
        <f t="shared" si="91"/>
        <v>0</v>
      </c>
      <c r="CK27" s="60"/>
      <c r="CL27" s="64">
        <f t="shared" si="92"/>
        <v>0</v>
      </c>
      <c r="CM27" s="65">
        <f t="shared" si="93"/>
        <v>0</v>
      </c>
      <c r="CN27" s="62"/>
      <c r="CO27" s="62"/>
      <c r="CP27" s="68"/>
      <c r="CQ27" s="67">
        <f t="shared" si="94"/>
        <v>0</v>
      </c>
      <c r="CR27" s="68"/>
      <c r="CS27" s="67">
        <f t="shared" si="95"/>
        <v>0</v>
      </c>
      <c r="CT27" s="75"/>
      <c r="CU27" s="67">
        <f t="shared" si="96"/>
        <v>0</v>
      </c>
      <c r="CV27" s="68"/>
      <c r="CW27" s="67">
        <f t="shared" si="97"/>
        <v>0</v>
      </c>
      <c r="CX27" s="58"/>
      <c r="CY27" s="67">
        <f t="shared" si="98"/>
        <v>0</v>
      </c>
    </row>
    <row r="28" spans="1:103" ht="25.5" customHeight="1" thickBot="1" x14ac:dyDescent="0.45">
      <c r="A28" s="63">
        <v>44798</v>
      </c>
      <c r="B28" s="44"/>
      <c r="C28" s="58"/>
      <c r="D28" s="64">
        <f t="shared" si="50"/>
        <v>0</v>
      </c>
      <c r="E28" s="58"/>
      <c r="F28" s="64">
        <f t="shared" si="99"/>
        <v>0</v>
      </c>
      <c r="G28" s="58"/>
      <c r="H28" s="64">
        <f t="shared" si="51"/>
        <v>0</v>
      </c>
      <c r="I28" s="58"/>
      <c r="J28" s="64">
        <f t="shared" si="52"/>
        <v>0</v>
      </c>
      <c r="K28" s="58"/>
      <c r="L28" s="64">
        <f t="shared" si="53"/>
        <v>0</v>
      </c>
      <c r="M28" s="58"/>
      <c r="N28" s="64">
        <f t="shared" si="54"/>
        <v>0</v>
      </c>
      <c r="O28" s="58"/>
      <c r="P28" s="67">
        <f t="shared" si="55"/>
        <v>0</v>
      </c>
      <c r="Q28" s="58"/>
      <c r="R28" s="67">
        <f t="shared" si="56"/>
        <v>0</v>
      </c>
      <c r="S28" s="58"/>
      <c r="T28" s="67">
        <f t="shared" si="57"/>
        <v>0</v>
      </c>
      <c r="U28" s="58"/>
      <c r="V28" s="67">
        <f t="shared" si="58"/>
        <v>0</v>
      </c>
      <c r="W28" s="58"/>
      <c r="X28" s="65">
        <f t="shared" si="59"/>
        <v>0</v>
      </c>
      <c r="Y28" s="58"/>
      <c r="Z28" s="65">
        <f t="shared" si="60"/>
        <v>0</v>
      </c>
      <c r="AA28" s="58"/>
      <c r="AB28" s="65">
        <f t="shared" si="61"/>
        <v>0</v>
      </c>
      <c r="AC28" s="58"/>
      <c r="AD28" s="65">
        <f t="shared" si="62"/>
        <v>0</v>
      </c>
      <c r="AE28" s="58"/>
      <c r="AF28" s="65">
        <f t="shared" si="63"/>
        <v>0</v>
      </c>
      <c r="AG28" s="58"/>
      <c r="AH28" s="67">
        <f t="shared" si="64"/>
        <v>0</v>
      </c>
      <c r="AI28" s="58"/>
      <c r="AJ28" s="65">
        <f t="shared" si="65"/>
        <v>0</v>
      </c>
      <c r="AK28" s="58"/>
      <c r="AL28" s="65">
        <f t="shared" si="66"/>
        <v>0</v>
      </c>
      <c r="AM28" s="58"/>
      <c r="AN28" s="65">
        <f t="shared" si="67"/>
        <v>0</v>
      </c>
      <c r="AO28" s="58"/>
      <c r="AP28" s="65">
        <f t="shared" si="68"/>
        <v>0</v>
      </c>
      <c r="AQ28" s="58"/>
      <c r="AR28" s="65">
        <f t="shared" si="69"/>
        <v>0</v>
      </c>
      <c r="AS28" s="58"/>
      <c r="AT28" s="65">
        <f t="shared" si="70"/>
        <v>0</v>
      </c>
      <c r="AU28" s="58"/>
      <c r="AV28" s="65">
        <f t="shared" si="71"/>
        <v>0</v>
      </c>
      <c r="AW28" s="58"/>
      <c r="AX28" s="65">
        <f t="shared" si="72"/>
        <v>0</v>
      </c>
      <c r="AY28" s="58"/>
      <c r="AZ28" s="65">
        <f t="shared" si="73"/>
        <v>0</v>
      </c>
      <c r="BA28" s="58"/>
      <c r="BB28" s="65">
        <f t="shared" si="74"/>
        <v>0</v>
      </c>
      <c r="BC28" s="58"/>
      <c r="BD28" s="65">
        <f t="shared" si="75"/>
        <v>0</v>
      </c>
      <c r="BE28" s="59"/>
      <c r="BF28" s="67">
        <f t="shared" si="76"/>
        <v>0</v>
      </c>
      <c r="BG28" s="60"/>
      <c r="BH28" s="65">
        <f t="shared" si="77"/>
        <v>0</v>
      </c>
      <c r="BI28" s="60"/>
      <c r="BJ28" s="65">
        <f t="shared" si="78"/>
        <v>0</v>
      </c>
      <c r="BK28" s="60"/>
      <c r="BL28" s="65">
        <f t="shared" si="79"/>
        <v>0</v>
      </c>
      <c r="BM28" s="60"/>
      <c r="BN28" s="65">
        <f t="shared" si="80"/>
        <v>0</v>
      </c>
      <c r="BO28" s="60"/>
      <c r="BP28" s="65">
        <f t="shared" si="81"/>
        <v>0</v>
      </c>
      <c r="BQ28" s="60"/>
      <c r="BR28" s="65">
        <f t="shared" si="82"/>
        <v>0</v>
      </c>
      <c r="BS28" s="60"/>
      <c r="BT28" s="65">
        <f t="shared" si="83"/>
        <v>0</v>
      </c>
      <c r="BU28" s="60"/>
      <c r="BV28" s="65">
        <f t="shared" si="84"/>
        <v>0</v>
      </c>
      <c r="BW28" s="60"/>
      <c r="BX28" s="65">
        <f t="shared" si="85"/>
        <v>0</v>
      </c>
      <c r="BY28" s="60"/>
      <c r="BZ28" s="67">
        <f t="shared" si="86"/>
        <v>0</v>
      </c>
      <c r="CA28" s="60"/>
      <c r="CB28" s="67">
        <f t="shared" si="87"/>
        <v>0</v>
      </c>
      <c r="CC28" s="60"/>
      <c r="CD28" s="67">
        <f t="shared" si="88"/>
        <v>0</v>
      </c>
      <c r="CE28" s="60"/>
      <c r="CF28" s="67">
        <f t="shared" si="89"/>
        <v>0</v>
      </c>
      <c r="CG28" s="60"/>
      <c r="CH28" s="67">
        <f t="shared" si="90"/>
        <v>0</v>
      </c>
      <c r="CI28" s="60"/>
      <c r="CJ28" s="67">
        <f t="shared" si="91"/>
        <v>0</v>
      </c>
      <c r="CK28" s="60"/>
      <c r="CL28" s="64">
        <f t="shared" si="92"/>
        <v>0</v>
      </c>
      <c r="CM28" s="65">
        <f t="shared" si="93"/>
        <v>0</v>
      </c>
      <c r="CN28" s="62"/>
      <c r="CO28" s="62"/>
      <c r="CP28" s="68"/>
      <c r="CQ28" s="67">
        <f t="shared" si="94"/>
        <v>0</v>
      </c>
      <c r="CR28" s="68"/>
      <c r="CS28" s="67">
        <f t="shared" si="95"/>
        <v>0</v>
      </c>
      <c r="CT28" s="75"/>
      <c r="CU28" s="67">
        <f t="shared" si="96"/>
        <v>0</v>
      </c>
      <c r="CV28" s="68"/>
      <c r="CW28" s="67">
        <f t="shared" si="97"/>
        <v>0</v>
      </c>
      <c r="CX28" s="58"/>
      <c r="CY28" s="67">
        <f t="shared" si="98"/>
        <v>0</v>
      </c>
    </row>
    <row r="29" spans="1:103" ht="25.5" customHeight="1" thickBot="1" x14ac:dyDescent="0.45">
      <c r="A29" s="63">
        <v>44799</v>
      </c>
      <c r="B29" s="44"/>
      <c r="C29" s="58"/>
      <c r="D29" s="64">
        <f t="shared" si="50"/>
        <v>0</v>
      </c>
      <c r="E29" s="58"/>
      <c r="F29" s="64">
        <f t="shared" si="99"/>
        <v>0</v>
      </c>
      <c r="G29" s="58"/>
      <c r="H29" s="64">
        <f t="shared" si="51"/>
        <v>0</v>
      </c>
      <c r="I29" s="58"/>
      <c r="J29" s="64">
        <f t="shared" si="52"/>
        <v>0</v>
      </c>
      <c r="K29" s="58"/>
      <c r="L29" s="64">
        <f t="shared" si="53"/>
        <v>0</v>
      </c>
      <c r="M29" s="58"/>
      <c r="N29" s="64">
        <f t="shared" si="54"/>
        <v>0</v>
      </c>
      <c r="O29" s="58"/>
      <c r="P29" s="67">
        <f t="shared" si="55"/>
        <v>0</v>
      </c>
      <c r="Q29" s="58"/>
      <c r="R29" s="67">
        <f t="shared" si="56"/>
        <v>0</v>
      </c>
      <c r="S29" s="58"/>
      <c r="T29" s="67">
        <f t="shared" si="57"/>
        <v>0</v>
      </c>
      <c r="U29" s="58"/>
      <c r="V29" s="67">
        <f t="shared" si="58"/>
        <v>0</v>
      </c>
      <c r="W29" s="58"/>
      <c r="X29" s="65">
        <f t="shared" si="59"/>
        <v>0</v>
      </c>
      <c r="Y29" s="58"/>
      <c r="Z29" s="65">
        <f t="shared" si="60"/>
        <v>0</v>
      </c>
      <c r="AA29" s="58"/>
      <c r="AB29" s="65">
        <f t="shared" si="61"/>
        <v>0</v>
      </c>
      <c r="AC29" s="58"/>
      <c r="AD29" s="65">
        <f t="shared" si="62"/>
        <v>0</v>
      </c>
      <c r="AE29" s="58"/>
      <c r="AF29" s="65">
        <f t="shared" si="63"/>
        <v>0</v>
      </c>
      <c r="AG29" s="58"/>
      <c r="AH29" s="67">
        <f t="shared" si="64"/>
        <v>0</v>
      </c>
      <c r="AI29" s="58"/>
      <c r="AJ29" s="65">
        <f t="shared" si="65"/>
        <v>0</v>
      </c>
      <c r="AK29" s="58"/>
      <c r="AL29" s="65">
        <f t="shared" si="66"/>
        <v>0</v>
      </c>
      <c r="AM29" s="58"/>
      <c r="AN29" s="65">
        <f t="shared" si="67"/>
        <v>0</v>
      </c>
      <c r="AO29" s="58"/>
      <c r="AP29" s="65">
        <f t="shared" si="68"/>
        <v>0</v>
      </c>
      <c r="AQ29" s="58"/>
      <c r="AR29" s="65">
        <f t="shared" si="69"/>
        <v>0</v>
      </c>
      <c r="AS29" s="58"/>
      <c r="AT29" s="65">
        <f t="shared" si="70"/>
        <v>0</v>
      </c>
      <c r="AU29" s="58"/>
      <c r="AV29" s="65">
        <f t="shared" si="71"/>
        <v>0</v>
      </c>
      <c r="AW29" s="58"/>
      <c r="AX29" s="65">
        <f t="shared" si="72"/>
        <v>0</v>
      </c>
      <c r="AY29" s="58"/>
      <c r="AZ29" s="65">
        <f t="shared" si="73"/>
        <v>0</v>
      </c>
      <c r="BA29" s="58"/>
      <c r="BB29" s="65">
        <f t="shared" si="74"/>
        <v>0</v>
      </c>
      <c r="BC29" s="58"/>
      <c r="BD29" s="65">
        <f t="shared" si="75"/>
        <v>0</v>
      </c>
      <c r="BE29" s="59"/>
      <c r="BF29" s="67">
        <f t="shared" si="76"/>
        <v>0</v>
      </c>
      <c r="BG29" s="60"/>
      <c r="BH29" s="65">
        <f t="shared" si="77"/>
        <v>0</v>
      </c>
      <c r="BI29" s="60"/>
      <c r="BJ29" s="65">
        <f t="shared" si="78"/>
        <v>0</v>
      </c>
      <c r="BK29" s="60"/>
      <c r="BL29" s="65">
        <f t="shared" si="79"/>
        <v>0</v>
      </c>
      <c r="BM29" s="60"/>
      <c r="BN29" s="65">
        <f t="shared" si="80"/>
        <v>0</v>
      </c>
      <c r="BO29" s="60"/>
      <c r="BP29" s="65">
        <f t="shared" si="81"/>
        <v>0</v>
      </c>
      <c r="BQ29" s="60"/>
      <c r="BR29" s="65">
        <f t="shared" si="82"/>
        <v>0</v>
      </c>
      <c r="BS29" s="60"/>
      <c r="BT29" s="65">
        <f t="shared" si="83"/>
        <v>0</v>
      </c>
      <c r="BU29" s="60"/>
      <c r="BV29" s="65">
        <f t="shared" si="84"/>
        <v>0</v>
      </c>
      <c r="BW29" s="60"/>
      <c r="BX29" s="65">
        <f t="shared" si="85"/>
        <v>0</v>
      </c>
      <c r="BY29" s="60"/>
      <c r="BZ29" s="67">
        <f t="shared" si="86"/>
        <v>0</v>
      </c>
      <c r="CA29" s="60"/>
      <c r="CB29" s="67">
        <f t="shared" si="87"/>
        <v>0</v>
      </c>
      <c r="CC29" s="60"/>
      <c r="CD29" s="67">
        <f t="shared" si="88"/>
        <v>0</v>
      </c>
      <c r="CE29" s="60"/>
      <c r="CF29" s="67">
        <f t="shared" si="89"/>
        <v>0</v>
      </c>
      <c r="CG29" s="60"/>
      <c r="CH29" s="67">
        <f t="shared" si="90"/>
        <v>0</v>
      </c>
      <c r="CI29" s="60"/>
      <c r="CJ29" s="67">
        <f t="shared" si="91"/>
        <v>0</v>
      </c>
      <c r="CK29" s="60"/>
      <c r="CL29" s="64">
        <f t="shared" si="92"/>
        <v>0</v>
      </c>
      <c r="CM29" s="65">
        <f t="shared" si="93"/>
        <v>0</v>
      </c>
      <c r="CN29" s="62"/>
      <c r="CO29" s="62"/>
      <c r="CP29" s="68"/>
      <c r="CQ29" s="67">
        <f t="shared" si="94"/>
        <v>0</v>
      </c>
      <c r="CR29" s="68"/>
      <c r="CS29" s="67">
        <f t="shared" si="95"/>
        <v>0</v>
      </c>
      <c r="CT29" s="75"/>
      <c r="CU29" s="67">
        <f t="shared" si="96"/>
        <v>0</v>
      </c>
      <c r="CV29" s="68"/>
      <c r="CW29" s="67">
        <f t="shared" si="97"/>
        <v>0</v>
      </c>
      <c r="CX29" s="58"/>
      <c r="CY29" s="67">
        <f t="shared" si="98"/>
        <v>0</v>
      </c>
    </row>
    <row r="30" spans="1:103" ht="25.5" customHeight="1" thickBot="1" x14ac:dyDescent="0.45">
      <c r="A30" s="63">
        <v>44800</v>
      </c>
      <c r="B30" s="44"/>
      <c r="C30" s="58"/>
      <c r="D30" s="64">
        <f t="shared" si="50"/>
        <v>0</v>
      </c>
      <c r="E30" s="58"/>
      <c r="F30" s="64">
        <f t="shared" si="99"/>
        <v>0</v>
      </c>
      <c r="G30" s="58"/>
      <c r="H30" s="64">
        <f t="shared" si="51"/>
        <v>0</v>
      </c>
      <c r="I30" s="58"/>
      <c r="J30" s="64">
        <f t="shared" si="52"/>
        <v>0</v>
      </c>
      <c r="K30" s="58"/>
      <c r="L30" s="64">
        <f t="shared" si="53"/>
        <v>0</v>
      </c>
      <c r="M30" s="58"/>
      <c r="N30" s="64">
        <f t="shared" si="54"/>
        <v>0</v>
      </c>
      <c r="O30" s="58"/>
      <c r="P30" s="67">
        <f t="shared" si="55"/>
        <v>0</v>
      </c>
      <c r="Q30" s="58"/>
      <c r="R30" s="67">
        <f t="shared" si="56"/>
        <v>0</v>
      </c>
      <c r="S30" s="58"/>
      <c r="T30" s="67">
        <f t="shared" si="57"/>
        <v>0</v>
      </c>
      <c r="U30" s="58"/>
      <c r="V30" s="67">
        <f t="shared" si="58"/>
        <v>0</v>
      </c>
      <c r="W30" s="58"/>
      <c r="X30" s="65">
        <f t="shared" si="59"/>
        <v>0</v>
      </c>
      <c r="Y30" s="58"/>
      <c r="Z30" s="65">
        <f t="shared" si="60"/>
        <v>0</v>
      </c>
      <c r="AA30" s="58"/>
      <c r="AB30" s="65">
        <f t="shared" si="61"/>
        <v>0</v>
      </c>
      <c r="AC30" s="58"/>
      <c r="AD30" s="65">
        <f t="shared" si="62"/>
        <v>0</v>
      </c>
      <c r="AE30" s="58"/>
      <c r="AF30" s="65">
        <f t="shared" si="63"/>
        <v>0</v>
      </c>
      <c r="AG30" s="58"/>
      <c r="AH30" s="67">
        <f t="shared" si="64"/>
        <v>0</v>
      </c>
      <c r="AI30" s="58"/>
      <c r="AJ30" s="65">
        <f t="shared" si="65"/>
        <v>0</v>
      </c>
      <c r="AK30" s="58"/>
      <c r="AL30" s="65">
        <f t="shared" si="66"/>
        <v>0</v>
      </c>
      <c r="AM30" s="58"/>
      <c r="AN30" s="65">
        <f t="shared" si="67"/>
        <v>0</v>
      </c>
      <c r="AO30" s="58"/>
      <c r="AP30" s="65">
        <f t="shared" si="68"/>
        <v>0</v>
      </c>
      <c r="AQ30" s="58"/>
      <c r="AR30" s="65">
        <f t="shared" si="69"/>
        <v>0</v>
      </c>
      <c r="AS30" s="58"/>
      <c r="AT30" s="65">
        <f t="shared" si="70"/>
        <v>0</v>
      </c>
      <c r="AU30" s="58"/>
      <c r="AV30" s="65">
        <f t="shared" si="71"/>
        <v>0</v>
      </c>
      <c r="AW30" s="58"/>
      <c r="AX30" s="65">
        <f t="shared" si="72"/>
        <v>0</v>
      </c>
      <c r="AY30" s="58"/>
      <c r="AZ30" s="65">
        <f t="shared" si="73"/>
        <v>0</v>
      </c>
      <c r="BA30" s="58"/>
      <c r="BB30" s="65">
        <f t="shared" si="74"/>
        <v>0</v>
      </c>
      <c r="BC30" s="58"/>
      <c r="BD30" s="65">
        <f t="shared" si="75"/>
        <v>0</v>
      </c>
      <c r="BE30" s="59"/>
      <c r="BF30" s="67">
        <f t="shared" si="76"/>
        <v>0</v>
      </c>
      <c r="BG30" s="60"/>
      <c r="BH30" s="65">
        <f t="shared" si="77"/>
        <v>0</v>
      </c>
      <c r="BI30" s="60"/>
      <c r="BJ30" s="65">
        <f t="shared" si="78"/>
        <v>0</v>
      </c>
      <c r="BK30" s="60"/>
      <c r="BL30" s="65">
        <f t="shared" si="79"/>
        <v>0</v>
      </c>
      <c r="BM30" s="60"/>
      <c r="BN30" s="65">
        <f t="shared" si="80"/>
        <v>0</v>
      </c>
      <c r="BO30" s="60"/>
      <c r="BP30" s="65">
        <f t="shared" si="81"/>
        <v>0</v>
      </c>
      <c r="BQ30" s="60"/>
      <c r="BR30" s="65">
        <f t="shared" si="82"/>
        <v>0</v>
      </c>
      <c r="BS30" s="60"/>
      <c r="BT30" s="65">
        <f t="shared" si="83"/>
        <v>0</v>
      </c>
      <c r="BU30" s="60"/>
      <c r="BV30" s="65">
        <f t="shared" si="84"/>
        <v>0</v>
      </c>
      <c r="BW30" s="60"/>
      <c r="BX30" s="65">
        <f t="shared" si="85"/>
        <v>0</v>
      </c>
      <c r="BY30" s="60"/>
      <c r="BZ30" s="67">
        <f t="shared" si="86"/>
        <v>0</v>
      </c>
      <c r="CA30" s="60"/>
      <c r="CB30" s="67">
        <f t="shared" si="87"/>
        <v>0</v>
      </c>
      <c r="CC30" s="60"/>
      <c r="CD30" s="67">
        <f t="shared" si="88"/>
        <v>0</v>
      </c>
      <c r="CE30" s="60"/>
      <c r="CF30" s="67">
        <f t="shared" si="89"/>
        <v>0</v>
      </c>
      <c r="CG30" s="60"/>
      <c r="CH30" s="67">
        <f t="shared" si="90"/>
        <v>0</v>
      </c>
      <c r="CI30" s="60"/>
      <c r="CJ30" s="67">
        <f t="shared" si="91"/>
        <v>0</v>
      </c>
      <c r="CK30" s="60"/>
      <c r="CL30" s="64">
        <f t="shared" si="92"/>
        <v>0</v>
      </c>
      <c r="CM30" s="65">
        <f t="shared" si="93"/>
        <v>0</v>
      </c>
      <c r="CN30" s="62"/>
      <c r="CO30" s="62"/>
      <c r="CP30" s="68"/>
      <c r="CQ30" s="67">
        <f t="shared" si="94"/>
        <v>0</v>
      </c>
      <c r="CR30" s="68"/>
      <c r="CS30" s="67">
        <f t="shared" si="95"/>
        <v>0</v>
      </c>
      <c r="CT30" s="75"/>
      <c r="CU30" s="67">
        <f t="shared" si="96"/>
        <v>0</v>
      </c>
      <c r="CV30" s="68"/>
      <c r="CW30" s="67">
        <f t="shared" si="97"/>
        <v>0</v>
      </c>
      <c r="CX30" s="58"/>
      <c r="CY30" s="67">
        <f t="shared" si="98"/>
        <v>0</v>
      </c>
    </row>
    <row r="31" spans="1:103" ht="25.5" customHeight="1" thickBot="1" x14ac:dyDescent="0.45">
      <c r="A31" s="63">
        <v>44801</v>
      </c>
      <c r="B31" s="66"/>
      <c r="C31" s="58"/>
      <c r="D31" s="64">
        <f t="shared" si="50"/>
        <v>0</v>
      </c>
      <c r="E31" s="58"/>
      <c r="F31" s="64">
        <f t="shared" si="99"/>
        <v>0</v>
      </c>
      <c r="G31" s="58"/>
      <c r="H31" s="64">
        <f t="shared" si="51"/>
        <v>0</v>
      </c>
      <c r="I31" s="58"/>
      <c r="J31" s="64">
        <f t="shared" si="52"/>
        <v>0</v>
      </c>
      <c r="K31" s="58"/>
      <c r="L31" s="64">
        <f t="shared" si="53"/>
        <v>0</v>
      </c>
      <c r="M31" s="58"/>
      <c r="N31" s="64">
        <f t="shared" si="54"/>
        <v>0</v>
      </c>
      <c r="O31" s="58"/>
      <c r="P31" s="67">
        <f t="shared" si="55"/>
        <v>0</v>
      </c>
      <c r="Q31" s="58"/>
      <c r="R31" s="67">
        <f t="shared" si="56"/>
        <v>0</v>
      </c>
      <c r="S31" s="58"/>
      <c r="T31" s="67">
        <f t="shared" si="57"/>
        <v>0</v>
      </c>
      <c r="U31" s="58"/>
      <c r="V31" s="67">
        <f t="shared" si="58"/>
        <v>0</v>
      </c>
      <c r="W31" s="58"/>
      <c r="X31" s="65">
        <f t="shared" si="59"/>
        <v>0</v>
      </c>
      <c r="Y31" s="58"/>
      <c r="Z31" s="65">
        <f t="shared" si="60"/>
        <v>0</v>
      </c>
      <c r="AA31" s="58"/>
      <c r="AB31" s="65">
        <f t="shared" si="61"/>
        <v>0</v>
      </c>
      <c r="AC31" s="58"/>
      <c r="AD31" s="65">
        <f t="shared" si="62"/>
        <v>0</v>
      </c>
      <c r="AE31" s="58"/>
      <c r="AF31" s="65">
        <f t="shared" si="63"/>
        <v>0</v>
      </c>
      <c r="AG31" s="58"/>
      <c r="AH31" s="67">
        <f t="shared" si="64"/>
        <v>0</v>
      </c>
      <c r="AI31" s="58"/>
      <c r="AJ31" s="65">
        <f t="shared" si="65"/>
        <v>0</v>
      </c>
      <c r="AK31" s="58"/>
      <c r="AL31" s="65">
        <f t="shared" si="66"/>
        <v>0</v>
      </c>
      <c r="AM31" s="58"/>
      <c r="AN31" s="65">
        <f t="shared" si="67"/>
        <v>0</v>
      </c>
      <c r="AO31" s="58"/>
      <c r="AP31" s="65">
        <f t="shared" si="68"/>
        <v>0</v>
      </c>
      <c r="AQ31" s="58"/>
      <c r="AR31" s="65">
        <f t="shared" si="69"/>
        <v>0</v>
      </c>
      <c r="AS31" s="58"/>
      <c r="AT31" s="65">
        <f t="shared" si="70"/>
        <v>0</v>
      </c>
      <c r="AU31" s="58"/>
      <c r="AV31" s="65">
        <f t="shared" si="71"/>
        <v>0</v>
      </c>
      <c r="AW31" s="58"/>
      <c r="AX31" s="65">
        <f t="shared" si="72"/>
        <v>0</v>
      </c>
      <c r="AY31" s="58"/>
      <c r="AZ31" s="65">
        <f t="shared" si="73"/>
        <v>0</v>
      </c>
      <c r="BA31" s="58"/>
      <c r="BB31" s="65">
        <f t="shared" si="74"/>
        <v>0</v>
      </c>
      <c r="BC31" s="58"/>
      <c r="BD31" s="65">
        <f t="shared" si="75"/>
        <v>0</v>
      </c>
      <c r="BE31" s="59"/>
      <c r="BF31" s="67">
        <f t="shared" si="76"/>
        <v>0</v>
      </c>
      <c r="BG31" s="60"/>
      <c r="BH31" s="65">
        <f t="shared" si="77"/>
        <v>0</v>
      </c>
      <c r="BI31" s="60"/>
      <c r="BJ31" s="65">
        <f t="shared" si="78"/>
        <v>0</v>
      </c>
      <c r="BK31" s="60"/>
      <c r="BL31" s="65">
        <f t="shared" si="79"/>
        <v>0</v>
      </c>
      <c r="BM31" s="60"/>
      <c r="BN31" s="65">
        <f t="shared" si="80"/>
        <v>0</v>
      </c>
      <c r="BO31" s="60"/>
      <c r="BP31" s="65">
        <f t="shared" si="81"/>
        <v>0</v>
      </c>
      <c r="BQ31" s="60"/>
      <c r="BR31" s="65">
        <f t="shared" si="82"/>
        <v>0</v>
      </c>
      <c r="BS31" s="60"/>
      <c r="BT31" s="65">
        <f t="shared" si="83"/>
        <v>0</v>
      </c>
      <c r="BU31" s="60"/>
      <c r="BV31" s="65">
        <f t="shared" si="84"/>
        <v>0</v>
      </c>
      <c r="BW31" s="60"/>
      <c r="BX31" s="65">
        <f t="shared" si="85"/>
        <v>0</v>
      </c>
      <c r="BY31" s="60"/>
      <c r="BZ31" s="67">
        <f t="shared" si="86"/>
        <v>0</v>
      </c>
      <c r="CA31" s="60"/>
      <c r="CB31" s="67">
        <f t="shared" si="87"/>
        <v>0</v>
      </c>
      <c r="CC31" s="60"/>
      <c r="CD31" s="67">
        <f t="shared" si="88"/>
        <v>0</v>
      </c>
      <c r="CE31" s="60"/>
      <c r="CF31" s="67">
        <f t="shared" si="89"/>
        <v>0</v>
      </c>
      <c r="CG31" s="60"/>
      <c r="CH31" s="67">
        <f t="shared" si="90"/>
        <v>0</v>
      </c>
      <c r="CI31" s="60"/>
      <c r="CJ31" s="67">
        <f t="shared" si="91"/>
        <v>0</v>
      </c>
      <c r="CK31" s="60"/>
      <c r="CL31" s="64">
        <f t="shared" si="92"/>
        <v>0</v>
      </c>
      <c r="CM31" s="65">
        <f t="shared" si="93"/>
        <v>0</v>
      </c>
      <c r="CN31" s="62"/>
      <c r="CO31" s="62"/>
      <c r="CP31" s="68"/>
      <c r="CQ31" s="67">
        <f t="shared" si="94"/>
        <v>0</v>
      </c>
      <c r="CR31" s="68"/>
      <c r="CS31" s="67">
        <f t="shared" si="95"/>
        <v>0</v>
      </c>
      <c r="CT31" s="75"/>
      <c r="CU31" s="67">
        <f t="shared" si="96"/>
        <v>0</v>
      </c>
      <c r="CV31" s="68"/>
      <c r="CW31" s="67">
        <f t="shared" si="97"/>
        <v>0</v>
      </c>
      <c r="CX31" s="58"/>
      <c r="CY31" s="67">
        <f t="shared" si="98"/>
        <v>0</v>
      </c>
    </row>
    <row r="32" spans="1:103" ht="25.5" customHeight="1" thickBot="1" x14ac:dyDescent="0.45">
      <c r="A32" s="63">
        <v>44802</v>
      </c>
      <c r="B32" s="68"/>
      <c r="C32" s="58"/>
      <c r="D32" s="64">
        <f t="shared" si="50"/>
        <v>0</v>
      </c>
      <c r="E32" s="58"/>
      <c r="F32" s="64">
        <f t="shared" si="99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57"/>
        <v>0</v>
      </c>
      <c r="U32" s="58"/>
      <c r="V32" s="67">
        <f t="shared" si="58"/>
        <v>0</v>
      </c>
      <c r="W32" s="58"/>
      <c r="X32" s="65">
        <f t="shared" si="59"/>
        <v>0</v>
      </c>
      <c r="Y32" s="58"/>
      <c r="Z32" s="65">
        <f t="shared" si="60"/>
        <v>0</v>
      </c>
      <c r="AA32" s="58"/>
      <c r="AB32" s="65">
        <f t="shared" si="61"/>
        <v>0</v>
      </c>
      <c r="AC32" s="58"/>
      <c r="AD32" s="65">
        <f t="shared" si="62"/>
        <v>0</v>
      </c>
      <c r="AE32" s="58"/>
      <c r="AF32" s="65">
        <f t="shared" si="63"/>
        <v>0</v>
      </c>
      <c r="AG32" s="58"/>
      <c r="AH32" s="67">
        <f t="shared" si="64"/>
        <v>0</v>
      </c>
      <c r="AI32" s="58"/>
      <c r="AJ32" s="65">
        <f t="shared" si="65"/>
        <v>0</v>
      </c>
      <c r="AK32" s="58"/>
      <c r="AL32" s="65">
        <f t="shared" si="66"/>
        <v>0</v>
      </c>
      <c r="AM32" s="58"/>
      <c r="AN32" s="65">
        <f t="shared" si="67"/>
        <v>0</v>
      </c>
      <c r="AO32" s="58"/>
      <c r="AP32" s="65">
        <f t="shared" si="68"/>
        <v>0</v>
      </c>
      <c r="AQ32" s="58"/>
      <c r="AR32" s="65">
        <f t="shared" si="69"/>
        <v>0</v>
      </c>
      <c r="AS32" s="58"/>
      <c r="AT32" s="65">
        <f t="shared" si="70"/>
        <v>0</v>
      </c>
      <c r="AU32" s="58"/>
      <c r="AV32" s="65">
        <f t="shared" si="71"/>
        <v>0</v>
      </c>
      <c r="AW32" s="58"/>
      <c r="AX32" s="65">
        <f t="shared" si="72"/>
        <v>0</v>
      </c>
      <c r="AY32" s="58"/>
      <c r="AZ32" s="65">
        <f t="shared" si="73"/>
        <v>0</v>
      </c>
      <c r="BA32" s="58"/>
      <c r="BB32" s="65">
        <f t="shared" si="74"/>
        <v>0</v>
      </c>
      <c r="BC32" s="58"/>
      <c r="BD32" s="65">
        <f t="shared" si="75"/>
        <v>0</v>
      </c>
      <c r="BE32" s="59"/>
      <c r="BF32" s="67">
        <f t="shared" si="76"/>
        <v>0</v>
      </c>
      <c r="BG32" s="60"/>
      <c r="BH32" s="65">
        <f t="shared" si="77"/>
        <v>0</v>
      </c>
      <c r="BI32" s="60"/>
      <c r="BJ32" s="65">
        <f t="shared" si="78"/>
        <v>0</v>
      </c>
      <c r="BK32" s="60"/>
      <c r="BL32" s="65">
        <f t="shared" si="79"/>
        <v>0</v>
      </c>
      <c r="BM32" s="60"/>
      <c r="BN32" s="65">
        <f t="shared" si="80"/>
        <v>0</v>
      </c>
      <c r="BO32" s="60"/>
      <c r="BP32" s="65">
        <f t="shared" si="81"/>
        <v>0</v>
      </c>
      <c r="BQ32" s="60"/>
      <c r="BR32" s="65">
        <f t="shared" si="82"/>
        <v>0</v>
      </c>
      <c r="BS32" s="60"/>
      <c r="BT32" s="65">
        <f t="shared" si="83"/>
        <v>0</v>
      </c>
      <c r="BU32" s="60"/>
      <c r="BV32" s="65">
        <f t="shared" si="84"/>
        <v>0</v>
      </c>
      <c r="BW32" s="60"/>
      <c r="BX32" s="65">
        <f t="shared" si="85"/>
        <v>0</v>
      </c>
      <c r="BY32" s="60"/>
      <c r="BZ32" s="67">
        <f t="shared" si="86"/>
        <v>0</v>
      </c>
      <c r="CA32" s="60"/>
      <c r="CB32" s="67">
        <f t="shared" si="87"/>
        <v>0</v>
      </c>
      <c r="CC32" s="60"/>
      <c r="CD32" s="67">
        <f t="shared" si="88"/>
        <v>0</v>
      </c>
      <c r="CE32" s="60"/>
      <c r="CF32" s="67">
        <f t="shared" si="89"/>
        <v>0</v>
      </c>
      <c r="CG32" s="60"/>
      <c r="CH32" s="67">
        <f t="shared" si="90"/>
        <v>0</v>
      </c>
      <c r="CI32" s="60"/>
      <c r="CJ32" s="67">
        <f t="shared" si="91"/>
        <v>0</v>
      </c>
      <c r="CK32" s="60"/>
      <c r="CL32" s="64">
        <f t="shared" si="92"/>
        <v>0</v>
      </c>
      <c r="CM32" s="65">
        <f t="shared" si="93"/>
        <v>0</v>
      </c>
      <c r="CN32" s="62"/>
      <c r="CO32" s="62"/>
      <c r="CP32" s="68"/>
      <c r="CQ32" s="67">
        <f t="shared" si="94"/>
        <v>0</v>
      </c>
      <c r="CR32" s="68"/>
      <c r="CS32" s="67">
        <f t="shared" si="95"/>
        <v>0</v>
      </c>
      <c r="CT32" s="75"/>
      <c r="CU32" s="67">
        <f t="shared" si="96"/>
        <v>0</v>
      </c>
      <c r="CV32" s="68"/>
      <c r="CW32" s="67">
        <f t="shared" si="97"/>
        <v>0</v>
      </c>
      <c r="CX32" s="58"/>
      <c r="CY32" s="67">
        <f t="shared" si="98"/>
        <v>0</v>
      </c>
    </row>
    <row r="33" spans="1:103" ht="25.5" customHeight="1" thickBot="1" x14ac:dyDescent="0.45">
      <c r="A33" s="63">
        <v>44803</v>
      </c>
      <c r="B33" s="68"/>
      <c r="C33" s="58"/>
      <c r="D33" s="64">
        <f t="shared" si="50"/>
        <v>0</v>
      </c>
      <c r="E33" s="58"/>
      <c r="F33" s="64">
        <f t="shared" si="99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57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2"/>
        <v>0</v>
      </c>
      <c r="CM33" s="65">
        <f t="shared" si="93"/>
        <v>0</v>
      </c>
      <c r="CN33" s="62"/>
      <c r="CO33" s="62"/>
      <c r="CP33" s="68"/>
      <c r="CQ33" s="67">
        <f t="shared" si="94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44804</v>
      </c>
      <c r="B34" s="68"/>
      <c r="C34" s="58"/>
      <c r="D34" s="64">
        <f t="shared" si="50"/>
        <v>0</v>
      </c>
      <c r="E34" s="58"/>
      <c r="F34" s="64">
        <f t="shared" si="99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57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2"/>
        <v>0</v>
      </c>
      <c r="CM34" s="65">
        <f t="shared" si="93"/>
        <v>0</v>
      </c>
      <c r="CN34" s="62"/>
      <c r="CO34" s="62"/>
      <c r="CP34" s="68"/>
      <c r="CQ34" s="67">
        <f t="shared" si="94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5" zoomScaleNormal="100" workbookViewId="0">
      <selection activeCell="Q20" sqref="Q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44773</v>
      </c>
      <c r="B7" s="40">
        <v>0</v>
      </c>
      <c r="C7" s="40">
        <v>43</v>
      </c>
      <c r="D7" s="40">
        <v>98</v>
      </c>
      <c r="E7" s="41">
        <v>83</v>
      </c>
      <c r="F7" s="41">
        <v>6834</v>
      </c>
      <c r="G7" s="41">
        <v>35</v>
      </c>
      <c r="H7" s="41">
        <v>2212</v>
      </c>
      <c r="I7" s="41">
        <v>0</v>
      </c>
      <c r="J7" s="41">
        <v>846</v>
      </c>
      <c r="K7" s="42">
        <v>0</v>
      </c>
      <c r="L7" s="42">
        <v>81</v>
      </c>
      <c r="M7" s="42">
        <v>1859</v>
      </c>
      <c r="N7" s="39">
        <v>45</v>
      </c>
      <c r="O7" s="39">
        <v>80</v>
      </c>
      <c r="P7" s="39">
        <v>80</v>
      </c>
      <c r="Q7" s="39">
        <v>5260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44774</v>
      </c>
      <c r="B8" s="40">
        <v>0</v>
      </c>
      <c r="C8" s="40">
        <v>42</v>
      </c>
      <c r="D8" s="40">
        <v>98</v>
      </c>
      <c r="E8" s="41">
        <v>83</v>
      </c>
      <c r="F8" s="41">
        <v>6834</v>
      </c>
      <c r="G8" s="41">
        <v>20</v>
      </c>
      <c r="H8" s="41">
        <v>2212</v>
      </c>
      <c r="I8" s="41">
        <v>0</v>
      </c>
      <c r="J8" s="41">
        <v>849</v>
      </c>
      <c r="K8" s="42">
        <v>0</v>
      </c>
      <c r="L8" s="42">
        <v>81</v>
      </c>
      <c r="M8" s="42">
        <v>1861</v>
      </c>
      <c r="N8" s="39">
        <v>40</v>
      </c>
      <c r="O8" s="39">
        <v>80</v>
      </c>
      <c r="P8" s="39">
        <v>80</v>
      </c>
      <c r="Q8" s="39">
        <v>5263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44775</v>
      </c>
      <c r="B9" s="40">
        <v>0</v>
      </c>
      <c r="C9" s="40">
        <v>42</v>
      </c>
      <c r="D9" s="40">
        <v>98</v>
      </c>
      <c r="E9" s="41">
        <v>83</v>
      </c>
      <c r="F9" s="41">
        <v>6834</v>
      </c>
      <c r="G9" s="41">
        <v>10</v>
      </c>
      <c r="H9" s="41">
        <v>2212</v>
      </c>
      <c r="I9" s="41">
        <v>0</v>
      </c>
      <c r="J9" s="41">
        <v>852</v>
      </c>
      <c r="K9" s="42">
        <v>0</v>
      </c>
      <c r="L9" s="42">
        <v>81</v>
      </c>
      <c r="M9" s="42">
        <v>1861</v>
      </c>
      <c r="N9" s="39">
        <v>35</v>
      </c>
      <c r="O9" s="39">
        <v>80</v>
      </c>
      <c r="P9" s="39">
        <v>80</v>
      </c>
      <c r="Q9" s="39">
        <v>5266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44776</v>
      </c>
      <c r="B10" s="40">
        <v>0</v>
      </c>
      <c r="C10" s="40">
        <v>42</v>
      </c>
      <c r="D10" s="40">
        <v>98</v>
      </c>
      <c r="E10" s="41">
        <v>83</v>
      </c>
      <c r="F10" s="41">
        <v>6834</v>
      </c>
      <c r="G10" s="41">
        <v>0</v>
      </c>
      <c r="H10" s="41">
        <v>2212</v>
      </c>
      <c r="I10" s="41">
        <v>0</v>
      </c>
      <c r="J10" s="41">
        <v>855</v>
      </c>
      <c r="K10" s="42">
        <v>0</v>
      </c>
      <c r="L10" s="42">
        <v>80</v>
      </c>
      <c r="M10" s="42">
        <v>1864</v>
      </c>
      <c r="N10" s="39">
        <v>30</v>
      </c>
      <c r="O10" s="39">
        <v>80</v>
      </c>
      <c r="P10" s="39">
        <v>80</v>
      </c>
      <c r="Q10" s="39">
        <v>5270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44777</v>
      </c>
      <c r="B11" s="40">
        <v>0</v>
      </c>
      <c r="C11" s="40">
        <v>42</v>
      </c>
      <c r="D11" s="40">
        <v>98</v>
      </c>
      <c r="E11" s="41">
        <v>70</v>
      </c>
      <c r="F11" s="41">
        <v>6834</v>
      </c>
      <c r="G11" s="41">
        <v>0</v>
      </c>
      <c r="H11" s="41">
        <v>2212</v>
      </c>
      <c r="I11" s="41">
        <v>0</v>
      </c>
      <c r="J11" s="41">
        <v>859</v>
      </c>
      <c r="K11" s="42">
        <v>0</v>
      </c>
      <c r="L11" s="42">
        <v>80</v>
      </c>
      <c r="M11" s="42">
        <v>1864</v>
      </c>
      <c r="N11" s="39">
        <v>30</v>
      </c>
      <c r="O11" s="39">
        <v>80</v>
      </c>
      <c r="P11" s="39">
        <v>80</v>
      </c>
      <c r="Q11" s="39">
        <v>5273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44778</v>
      </c>
      <c r="B12" s="40">
        <v>0</v>
      </c>
      <c r="C12" s="40">
        <v>46</v>
      </c>
      <c r="D12" s="40">
        <v>85</v>
      </c>
      <c r="E12" s="41">
        <v>55</v>
      </c>
      <c r="F12" s="41">
        <v>6834</v>
      </c>
      <c r="G12" s="41">
        <v>0</v>
      </c>
      <c r="H12" s="41">
        <v>2212</v>
      </c>
      <c r="I12" s="41">
        <v>0</v>
      </c>
      <c r="J12" s="41">
        <v>862</v>
      </c>
      <c r="K12" s="42">
        <v>0</v>
      </c>
      <c r="L12" s="42">
        <v>75</v>
      </c>
      <c r="M12" s="42">
        <v>1867</v>
      </c>
      <c r="N12" s="39">
        <v>25</v>
      </c>
      <c r="O12" s="39">
        <v>80</v>
      </c>
      <c r="P12" s="39">
        <v>80</v>
      </c>
      <c r="Q12" s="39">
        <v>5276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44779</v>
      </c>
      <c r="B13" s="40">
        <v>0</v>
      </c>
      <c r="C13" s="40">
        <v>54</v>
      </c>
      <c r="D13" s="40">
        <v>99</v>
      </c>
      <c r="E13" s="41">
        <v>70</v>
      </c>
      <c r="F13" s="41">
        <v>6834</v>
      </c>
      <c r="G13" s="41">
        <v>85</v>
      </c>
      <c r="H13" s="41">
        <v>2212</v>
      </c>
      <c r="I13" s="41">
        <v>84</v>
      </c>
      <c r="J13" s="41">
        <v>867</v>
      </c>
      <c r="K13" s="42">
        <v>0</v>
      </c>
      <c r="L13" s="42">
        <v>70</v>
      </c>
      <c r="M13" s="42">
        <v>1868</v>
      </c>
      <c r="N13" s="39">
        <v>80</v>
      </c>
      <c r="O13" s="39">
        <v>80</v>
      </c>
      <c r="P13" s="39">
        <v>80</v>
      </c>
      <c r="Q13" s="39">
        <v>5281</v>
      </c>
      <c r="R13" s="77">
        <v>65</v>
      </c>
      <c r="S13" s="77">
        <v>231</v>
      </c>
      <c r="T13">
        <f t="shared" si="1"/>
        <v>0</v>
      </c>
    </row>
    <row r="14" spans="1:20" ht="17.25" customHeight="1" x14ac:dyDescent="0.25">
      <c r="A14" s="73">
        <v>44780</v>
      </c>
      <c r="B14" s="40">
        <v>0</v>
      </c>
      <c r="C14" s="40">
        <v>54</v>
      </c>
      <c r="D14" s="40">
        <v>101</v>
      </c>
      <c r="E14" s="41">
        <v>60</v>
      </c>
      <c r="F14" s="41">
        <v>6834</v>
      </c>
      <c r="G14" s="41">
        <v>85</v>
      </c>
      <c r="H14" s="41">
        <v>2212</v>
      </c>
      <c r="I14" s="41">
        <v>84</v>
      </c>
      <c r="J14" s="41">
        <v>869</v>
      </c>
      <c r="K14" s="42">
        <v>0</v>
      </c>
      <c r="L14" s="42">
        <v>70</v>
      </c>
      <c r="M14" s="42">
        <v>1870</v>
      </c>
      <c r="N14" s="39">
        <v>79</v>
      </c>
      <c r="O14" s="39">
        <v>80</v>
      </c>
      <c r="P14" s="39">
        <v>80</v>
      </c>
      <c r="Q14" s="39">
        <v>5283</v>
      </c>
      <c r="R14" s="77">
        <v>65</v>
      </c>
      <c r="S14" s="77">
        <v>231</v>
      </c>
      <c r="T14">
        <f t="shared" si="1"/>
        <v>0</v>
      </c>
    </row>
    <row r="15" spans="1:20" x14ac:dyDescent="0.25">
      <c r="A15" s="73">
        <v>44781</v>
      </c>
      <c r="B15" s="40">
        <v>0</v>
      </c>
      <c r="C15" s="40">
        <v>54</v>
      </c>
      <c r="D15" s="40">
        <v>124</v>
      </c>
      <c r="E15" s="41">
        <v>40</v>
      </c>
      <c r="F15" s="41">
        <v>6834</v>
      </c>
      <c r="G15" s="41">
        <v>85</v>
      </c>
      <c r="H15" s="41">
        <v>2212</v>
      </c>
      <c r="I15" s="41">
        <v>84</v>
      </c>
      <c r="J15" s="41">
        <v>873</v>
      </c>
      <c r="K15" s="42">
        <v>0</v>
      </c>
      <c r="L15" s="42">
        <v>70</v>
      </c>
      <c r="M15" s="42">
        <v>1872</v>
      </c>
      <c r="N15" s="39">
        <v>70</v>
      </c>
      <c r="O15" s="39">
        <v>80</v>
      </c>
      <c r="P15" s="39">
        <v>80</v>
      </c>
      <c r="Q15" s="39">
        <v>5287</v>
      </c>
      <c r="R15" s="77">
        <v>65</v>
      </c>
      <c r="S15" s="77">
        <v>231</v>
      </c>
      <c r="T15">
        <f t="shared" si="1"/>
        <v>0</v>
      </c>
    </row>
    <row r="16" spans="1:20" x14ac:dyDescent="0.25">
      <c r="A16" s="73">
        <v>44782</v>
      </c>
      <c r="B16" s="40">
        <v>0</v>
      </c>
      <c r="C16" s="40">
        <v>52</v>
      </c>
      <c r="D16" s="40">
        <v>120</v>
      </c>
      <c r="E16" s="41">
        <v>30</v>
      </c>
      <c r="F16" s="41">
        <v>6834</v>
      </c>
      <c r="G16" s="41">
        <v>85</v>
      </c>
      <c r="H16" s="41">
        <v>2212</v>
      </c>
      <c r="I16" s="41">
        <v>84</v>
      </c>
      <c r="J16" s="41">
        <v>876</v>
      </c>
      <c r="K16" s="42">
        <v>0</v>
      </c>
      <c r="L16" s="42">
        <v>65</v>
      </c>
      <c r="M16" s="42">
        <v>1873</v>
      </c>
      <c r="N16" s="39">
        <v>65</v>
      </c>
      <c r="O16" s="39">
        <v>80</v>
      </c>
      <c r="P16" s="39">
        <v>80</v>
      </c>
      <c r="Q16" s="39">
        <v>5290</v>
      </c>
      <c r="R16" s="77">
        <v>65</v>
      </c>
      <c r="S16" s="77">
        <v>231</v>
      </c>
      <c r="T16">
        <f t="shared" si="1"/>
        <v>0</v>
      </c>
    </row>
    <row r="17" spans="1:20" x14ac:dyDescent="0.25">
      <c r="A17" s="73">
        <v>44783</v>
      </c>
      <c r="B17" s="40">
        <v>0</v>
      </c>
      <c r="C17" s="40">
        <v>51</v>
      </c>
      <c r="D17" s="40">
        <v>119</v>
      </c>
      <c r="E17" s="41">
        <v>18</v>
      </c>
      <c r="F17" s="41">
        <v>6834</v>
      </c>
      <c r="G17" s="41">
        <v>85</v>
      </c>
      <c r="H17" s="41">
        <v>2212</v>
      </c>
      <c r="I17" s="41">
        <v>84</v>
      </c>
      <c r="J17" s="41">
        <v>878</v>
      </c>
      <c r="K17" s="42">
        <v>0</v>
      </c>
      <c r="L17" s="42">
        <v>65</v>
      </c>
      <c r="M17" s="42">
        <v>1875</v>
      </c>
      <c r="N17" s="39">
        <v>60</v>
      </c>
      <c r="O17" s="39">
        <v>80</v>
      </c>
      <c r="P17" s="39">
        <v>80</v>
      </c>
      <c r="Q17" s="39">
        <v>5294</v>
      </c>
      <c r="R17" s="77">
        <v>65</v>
      </c>
      <c r="S17" s="77">
        <v>231</v>
      </c>
      <c r="T17">
        <f t="shared" si="1"/>
        <v>0</v>
      </c>
    </row>
    <row r="18" spans="1:20" x14ac:dyDescent="0.25">
      <c r="A18" s="73">
        <v>44784</v>
      </c>
      <c r="B18" s="40"/>
      <c r="C18" s="40"/>
      <c r="D18" s="40"/>
      <c r="E18" s="41">
        <v>5</v>
      </c>
      <c r="F18" s="41">
        <v>6834</v>
      </c>
      <c r="G18" s="41">
        <v>85</v>
      </c>
      <c r="H18" s="41">
        <v>2212</v>
      </c>
      <c r="I18" s="41">
        <v>84</v>
      </c>
      <c r="J18" s="41">
        <v>882</v>
      </c>
      <c r="K18" s="42">
        <v>0</v>
      </c>
      <c r="L18" s="42">
        <v>65</v>
      </c>
      <c r="M18" s="42">
        <v>1875</v>
      </c>
      <c r="N18" s="39">
        <v>55</v>
      </c>
      <c r="O18" s="39">
        <v>80</v>
      </c>
      <c r="P18" s="39">
        <v>80</v>
      </c>
      <c r="Q18" s="39">
        <v>5300</v>
      </c>
      <c r="R18" s="77">
        <v>65</v>
      </c>
      <c r="S18" s="77">
        <v>231</v>
      </c>
      <c r="T18">
        <f t="shared" si="1"/>
        <v>0</v>
      </c>
    </row>
    <row r="19" spans="1:20" x14ac:dyDescent="0.25">
      <c r="A19" s="73">
        <v>44785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-231</v>
      </c>
    </row>
    <row r="20" spans="1:20" x14ac:dyDescent="0.25">
      <c r="A20" s="73">
        <v>44786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44787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44788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44789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44790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44791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44792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44793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44794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44795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44796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44797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44798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44799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44800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44801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44802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44803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44804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44805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2022-08-12T18:55:01Z</dcterms:modified>
</cp:coreProperties>
</file>