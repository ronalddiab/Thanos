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E19" i="3" s="1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18" i="3" l="1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<sst xmlns="http://schemas.openxmlformats.org/spreadsheetml/2006/main" count="296" uniqueCount="138">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</sst>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1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0.12000000000000455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 t="str">
        <f>'FS Desroches Daily'!D21</f>
        <v>0</v>
      </c>
      <c r="F19" s="33" t="str">
        <f>'FS Desroches Daily'!F21</f>
        <v>0</v>
      </c>
      <c r="G19" s="32" t="str">
        <f>'FS Desroches Daily'!H21</f>
        <v>0</v>
      </c>
      <c r="H19" s="33" t="str">
        <f>'FS Desroches Daily'!J21</f>
        <v>0</v>
      </c>
      <c r="I19" s="32" t="str">
        <f>'FS Desroches Daily'!L21</f>
        <v>0</v>
      </c>
      <c r="J19" s="33" t="str">
        <f>'FS Desroches Daily'!N21</f>
        <v/>
      </c>
      <c r="K19" s="13" t="str">
        <f>'FS Desroches Daily'!P21</f>
        <v/>
      </c>
      <c r="L19" s="32" t="str">
        <f>'FS Desroches Daily'!R21</f>
        <v/>
      </c>
      <c r="M19" s="32" t="str">
        <f>'FS Desroches Daily'!T21</f>
        <v/>
      </c>
      <c r="N19" s="32" t="str">
        <f>'FS Desroches Daily'!V21</f>
        <v/>
      </c>
      <c r="O19" s="32" t="str">
        <f>'FS Desroches Daily'!X21</f>
        <v/>
      </c>
      <c r="P19" s="32" t="str">
        <f>'FS Desroches Daily'!Z21</f>
        <v/>
      </c>
      <c r="Q19" s="32" t="str">
        <f>'FS Desroches Daily'!AB21</f>
        <v/>
      </c>
      <c r="R19" s="32" t="str">
        <f>'FS Desroches Daily'!AD21</f>
        <v/>
      </c>
      <c r="S19" s="32" t="str">
        <f>'FS Desroches Daily'!AF21</f>
        <v/>
      </c>
      <c r="T19" s="32" t="str">
        <f>'FS Desroches Daily'!AH21</f>
        <v/>
      </c>
      <c r="U19" s="36" t="str">
        <f>'FS Desroches Daily'!AJ21</f>
        <v/>
      </c>
      <c r="V19" s="36" t="str">
        <f>'FS Desroches Daily'!AL21</f>
        <v/>
      </c>
      <c r="W19" s="36" t="str">
        <f>'FS Desroches Daily'!AN21</f>
        <v/>
      </c>
      <c r="X19" s="36" t="str">
        <f>'FS Desroches Daily'!AP21</f>
        <v/>
      </c>
      <c r="Y19" s="36" t="str">
        <f>'FS Desroches Daily'!AR21</f>
        <v/>
      </c>
      <c r="Z19" s="36" t="str">
        <f>'FS Desroches Daily'!AT21</f>
        <v/>
      </c>
      <c r="AA19" s="36" t="str">
        <f>'FS Desroches Daily'!AT21</f>
        <v/>
      </c>
      <c r="AB19" s="36" t="str">
        <f>'FS Desroches Daily'!AV21</f>
        <v/>
      </c>
      <c r="AC19" s="36" t="str">
        <f>'FS Desroches Daily'!AZ21</f>
        <v/>
      </c>
      <c r="AD19" s="36" t="str">
        <f>'FS Desroches Daily'!BB21</f>
        <v/>
      </c>
      <c r="AE19" s="36" t="str">
        <f>'FS Desroches Daily'!BD21</f>
        <v/>
      </c>
      <c r="AF19" s="32" t="str">
        <f>'FS Desroches Daily'!BF21</f>
        <v/>
      </c>
      <c r="AG19" s="33" t="str">
        <f>'FS Desroches Daily'!BH21</f>
        <v/>
      </c>
      <c r="AH19" s="33" t="str">
        <f>'FS Desroches Daily'!BJ21</f>
        <v/>
      </c>
      <c r="AI19" s="33" t="str">
        <f>'FS Desroches Daily'!BL21</f>
        <v/>
      </c>
      <c r="AJ19" s="33" t="str">
        <f>'FS Desroches Daily'!BN21</f>
        <v/>
      </c>
      <c r="AK19" s="33" t="str">
        <f>'FS Desroches Daily'!BP21</f>
        <v/>
      </c>
      <c r="AL19" s="33" t="str">
        <f>'FS Desroches Daily'!BR21</f>
        <v/>
      </c>
      <c r="AM19" s="33" t="str">
        <f>'FS Desroches Daily'!BT21</f>
        <v/>
      </c>
      <c r="AN19" s="33" t="str">
        <f>'FS Desroches Daily'!BV21</f>
        <v/>
      </c>
      <c r="AO19" s="33" t="str">
        <f>'FS Desroches Daily'!BX21</f>
        <v/>
      </c>
      <c r="AP19" s="33" t="str">
        <f>'FS Desroches Daily'!BZ21</f>
        <v/>
      </c>
      <c r="AQ19" s="32" t="str">
        <f>'FS Desroches Daily'!CB21</f>
        <v/>
      </c>
      <c r="AR19" s="32" t="str">
        <f>'FS Desroches Daily'!CD21</f>
        <v/>
      </c>
      <c r="AS19" s="32" t="str">
        <f>'FS Desroches Daily'!CF21</f>
        <v/>
      </c>
      <c r="AT19" s="32" t="str">
        <f>'FS Desroches Daily'!CH21</f>
        <v/>
      </c>
      <c r="AU19" s="32" t="str">
        <f>'FS Desroches Daily'!CJ21</f>
        <v/>
      </c>
      <c r="AV19" s="32" t="str">
        <f>'FS Desroches Daily'!CL21</f>
        <v/>
      </c>
      <c r="AW19" s="32">
        <f>'FS Desroches Daily'!CM21</f>
        <v>0</v>
      </c>
      <c r="AX19" s="32" t="str">
        <f>IF(LPG!F26-LPG!F25&lt;0,"0",(LPG!F26-LPG!F25)*1.8315)</f>
        <v>0</v>
      </c>
      <c r="AY19" s="32" t="str">
        <f>IF(LPG!H26-LPG!H25&lt;0,"0",(LPG!H26-LPG!H25)*1.8315)</f>
        <v>0</v>
      </c>
      <c r="AZ19" s="32" t="str">
        <f>IF(LPG!J26-LPG!J25&lt;0,"0",(LPG!J26-LPG!J25)*1.8315)</f>
        <v>0</v>
      </c>
      <c r="BA19" s="32" t="str">
        <f>IF(LPG!M26-LPG!M25&lt;0,"0",(LPG!M26-LPG!M25)*1.8315)</f>
        <v>0</v>
      </c>
      <c r="BB19" s="32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11099.999999999891</v>
      </c>
      <c r="F33" s="17">
        <f t="shared" ref="F33:BC33" si="1">SUM(F2:F32)</f>
        <v>9799.999999999809</v>
      </c>
      <c r="G33" s="17">
        <f t="shared" si="1"/>
        <v>27299.999999999887</v>
      </c>
      <c r="H33" s="17">
        <f t="shared" si="1"/>
        <v>16800.000000000146</v>
      </c>
      <c r="I33" s="17">
        <f t="shared" si="1"/>
        <v>32000.000000000033</v>
      </c>
      <c r="J33" s="17">
        <f t="shared" si="1"/>
        <v>7800.00000000003</v>
      </c>
      <c r="K33" s="17">
        <f t="shared" si="1"/>
        <v>15</v>
      </c>
      <c r="L33" s="17">
        <f t="shared" si="1"/>
        <v>67</v>
      </c>
      <c r="M33" s="17">
        <f t="shared" si="1"/>
        <v>2879</v>
      </c>
      <c r="N33" s="17">
        <f t="shared" si="1"/>
        <v>1652</v>
      </c>
      <c r="O33" s="17">
        <f t="shared" si="1"/>
        <v>1259.9999999999909</v>
      </c>
      <c r="P33" s="17">
        <f t="shared" si="1"/>
        <v>6899.9999999999072</v>
      </c>
      <c r="Q33" s="17">
        <f t="shared" si="1"/>
        <v>1170.0000000000159</v>
      </c>
      <c r="R33" s="17">
        <f t="shared" si="1"/>
        <v>2079.9999999999841</v>
      </c>
      <c r="S33" s="17">
        <f t="shared" si="1"/>
        <v>2720.0000000000273</v>
      </c>
      <c r="T33" s="17">
        <f t="shared" si="1"/>
        <v>21</v>
      </c>
      <c r="U33" s="36">
        <f t="shared" si="1"/>
        <v>3259.9999999999909</v>
      </c>
      <c r="V33" s="36">
        <f t="shared" si="1"/>
        <v>360.31000000001353</v>
      </c>
      <c r="W33" s="36">
        <f t="shared" si="1"/>
        <v>350.21999999999412</v>
      </c>
      <c r="X33" s="36">
        <f t="shared" si="1"/>
        <v>310.29000000000212</v>
      </c>
      <c r="Y33" s="36">
        <f t="shared" si="1"/>
        <v>599.99999999999432</v>
      </c>
      <c r="Z33" s="36">
        <f t="shared" si="1"/>
        <v>805.75000000002046</v>
      </c>
      <c r="AA33" s="36">
        <f t="shared" si="1"/>
        <v>805.75000000002046</v>
      </c>
      <c r="AB33" s="36">
        <f t="shared" si="1"/>
        <v>319.99999999999318</v>
      </c>
      <c r="AC33" s="36">
        <f t="shared" si="1"/>
        <v>430.00000000000682</v>
      </c>
      <c r="AD33" s="36">
        <f t="shared" si="1"/>
        <v>320.00000000005002</v>
      </c>
      <c r="AE33" s="36">
        <f t="shared" si="1"/>
        <v>240.00000000000909</v>
      </c>
      <c r="AF33" s="17">
        <f t="shared" si="1"/>
        <v>434</v>
      </c>
      <c r="AG33" s="33">
        <f t="shared" si="1"/>
        <v>429.9999999999784</v>
      </c>
      <c r="AH33" s="33">
        <f t="shared" si="1"/>
        <v>479.99999999996135</v>
      </c>
      <c r="AI33" s="33">
        <f t="shared" si="1"/>
        <v>439.99999999999773</v>
      </c>
      <c r="AJ33" s="33">
        <f t="shared" si="1"/>
        <v>460.00000000000796</v>
      </c>
      <c r="AK33" s="33">
        <f t="shared" si="1"/>
        <v>689.99999999999773</v>
      </c>
      <c r="AL33" s="33">
        <f t="shared" si="1"/>
        <v>175</v>
      </c>
      <c r="AM33" s="33">
        <f t="shared" si="1"/>
        <v>170.00000000001592</v>
      </c>
      <c r="AN33" s="33">
        <f t="shared" si="1"/>
        <v>343</v>
      </c>
      <c r="AO33" s="33">
        <f t="shared" si="1"/>
        <v>520.00000000001023</v>
      </c>
      <c r="AP33" s="33">
        <f t="shared" si="1"/>
        <v>442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965</v>
      </c>
      <c r="AU33" s="17">
        <f t="shared" si="1"/>
        <v>3410</v>
      </c>
      <c r="AV33" s="17">
        <f t="shared" si="1"/>
        <v>6649.9999999999773</v>
      </c>
      <c r="AW33" s="17">
        <f t="shared" si="1"/>
        <v>491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124.54199999999999</v>
      </c>
      <c r="BC33" s="17">
        <f t="shared" si="1"/>
        <v>0</v>
      </c>
    </row>
    <row r="35" spans="5:55" x14ac:dyDescent="0.25">
      <c r="E35" s="39">
        <f>E33/E37</f>
        <v>0.17360568050298619</v>
      </c>
      <c r="G35" s="30">
        <f>G33-M36</f>
        <v>22768.999999999887</v>
      </c>
      <c r="AE35" s="36">
        <f>SUM(U33:AE33)</f>
        <v>7802.3200000000952</v>
      </c>
      <c r="AG35" s="33">
        <f>SUM(AG33:AP33)</f>
        <v>4149.9999999999691</v>
      </c>
    </row>
    <row r="36" spans="5:55" x14ac:dyDescent="0.25">
      <c r="G36" s="30">
        <f>G35-633*14</f>
        <v>13906.999999999887</v>
      </c>
      <c r="M36" s="30">
        <f>M33+N33</f>
        <v>4531</v>
      </c>
    </row>
    <row r="37" spans="5:55" x14ac:dyDescent="0.25">
      <c r="E37" s="17">
        <f>E33+F33+G33+H33+J33-633*14</f>
        <v>63937.999999999767</v>
      </c>
      <c r="G37" s="38">
        <f>M36/E37</f>
        <v>7.0865525978291724E-2</v>
      </c>
      <c r="M37" s="36">
        <f>AE35</f>
        <v>7802.3200000000952</v>
      </c>
    </row>
    <row r="38" spans="5:55" x14ac:dyDescent="0.25">
      <c r="L38" s="28">
        <f>M38/E37</f>
        <v>6.4906628296161659E-2</v>
      </c>
      <c r="M38" s="30">
        <f>AG35</f>
        <v>4149.9999999999691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BL1" zoomScale="60" zoomScaleNormal="60" workbookViewId="0">
      <pane ySplit="1" topLeftCell="A2" activePane="bottomLeft" state="frozen"/>
      <selection pane="bottomLeft" activeCell="CR18" sqref="CR1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12591</v>
      </c>
      <c r="P20" s="69">
        <f t="shared" si="42"/>
        <v>1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147.1</v>
      </c>
      <c r="AP20" s="67">
        <f t="shared" si="45"/>
        <v>0.12000000000000455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 t="str">
        <f t="shared" si="0"/>
        <v>0</v>
      </c>
      <c r="E21" s="60"/>
      <c r="F21" s="66" t="str">
        <f t="shared" si="1"/>
        <v>0</v>
      </c>
      <c r="G21" s="60"/>
      <c r="H21" s="66" t="str">
        <f t="shared" si="2"/>
        <v>0</v>
      </c>
      <c r="I21" s="60"/>
      <c r="J21" s="66" t="str">
        <f t="shared" si="3"/>
        <v>0</v>
      </c>
      <c r="K21" s="60"/>
      <c r="L21" s="66" t="str">
        <f t="shared" si="4"/>
        <v>0</v>
      </c>
      <c r="M21" s="60"/>
      <c r="N21" s="66" t="str">
        <f t="shared" si="5"/>
        <v/>
      </c>
      <c r="O21" s="60"/>
      <c r="P21" s="69" t="str">
        <f t="shared" si="42"/>
        <v/>
      </c>
      <c r="Q21" s="60"/>
      <c r="R21" s="69" t="str">
        <f t="shared" si="6"/>
        <v/>
      </c>
      <c r="S21" s="60"/>
      <c r="T21" s="69" t="str">
        <f t="shared" si="7"/>
        <v/>
      </c>
      <c r="U21" s="60"/>
      <c r="V21" s="69" t="str">
        <f t="shared" si="8"/>
        <v/>
      </c>
      <c r="W21" s="60"/>
      <c r="X21" s="67" t="str">
        <f t="shared" si="9"/>
        <v/>
      </c>
      <c r="Y21" s="60"/>
      <c r="Z21" s="67" t="str">
        <f t="shared" si="10"/>
        <v/>
      </c>
      <c r="AA21" s="60"/>
      <c r="AB21" s="67" t="str">
        <f t="shared" si="11"/>
        <v/>
      </c>
      <c r="AC21" s="60"/>
      <c r="AD21" s="67" t="str">
        <f t="shared" si="12"/>
        <v/>
      </c>
      <c r="AE21" s="60"/>
      <c r="AF21" s="67" t="str">
        <f t="shared" si="13"/>
        <v/>
      </c>
      <c r="AG21" s="60"/>
      <c r="AH21" s="69" t="str">
        <f t="shared" si="14"/>
        <v/>
      </c>
      <c r="AI21" s="60"/>
      <c r="AJ21" s="67" t="str">
        <f t="shared" si="15"/>
        <v/>
      </c>
      <c r="AK21" s="60"/>
      <c r="AL21" s="67" t="str">
        <f t="shared" si="43"/>
        <v/>
      </c>
      <c r="AM21" s="60"/>
      <c r="AN21" s="67" t="str">
        <f t="shared" si="44"/>
        <v/>
      </c>
      <c r="AO21" s="60"/>
      <c r="AP21" s="67" t="str">
        <f t="shared" si="45"/>
        <v/>
      </c>
      <c r="AQ21" s="60"/>
      <c r="AR21" s="67" t="str">
        <f t="shared" si="16"/>
        <v/>
      </c>
      <c r="AS21" s="60"/>
      <c r="AT21" s="67" t="str">
        <f t="shared" si="17"/>
        <v/>
      </c>
      <c r="AU21" s="60"/>
      <c r="AV21" s="67" t="str">
        <f t="shared" si="18"/>
        <v/>
      </c>
      <c r="AW21" s="60"/>
      <c r="AX21" s="67" t="str">
        <f t="shared" si="19"/>
        <v/>
      </c>
      <c r="AY21" s="60"/>
      <c r="AZ21" s="67" t="str">
        <f t="shared" si="20"/>
        <v/>
      </c>
      <c r="BA21" s="60"/>
      <c r="BB21" s="67" t="str">
        <f t="shared" si="21"/>
        <v/>
      </c>
      <c r="BC21" s="60"/>
      <c r="BD21" s="67" t="str">
        <f t="shared" si="22"/>
        <v/>
      </c>
      <c r="BE21" s="61"/>
      <c r="BF21" s="69" t="str">
        <f t="shared" si="38"/>
        <v/>
      </c>
      <c r="BG21" s="62"/>
      <c r="BH21" s="67" t="str">
        <f t="shared" si="23"/>
        <v/>
      </c>
      <c r="BI21" s="62"/>
      <c r="BJ21" s="67" t="str">
        <f t="shared" si="39"/>
        <v/>
      </c>
      <c r="BK21" s="62"/>
      <c r="BL21" s="67" t="str">
        <f t="shared" si="24"/>
        <v/>
      </c>
      <c r="BM21" s="62"/>
      <c r="BN21" s="67" t="str">
        <f t="shared" si="25"/>
        <v/>
      </c>
      <c r="BO21" s="62"/>
      <c r="BP21" s="67" t="str">
        <f t="shared" si="26"/>
        <v/>
      </c>
      <c r="BQ21" s="62"/>
      <c r="BR21" s="67" t="str">
        <f t="shared" si="27"/>
        <v/>
      </c>
      <c r="BS21" s="62"/>
      <c r="BT21" s="67" t="str">
        <f t="shared" si="41"/>
        <v/>
      </c>
      <c r="BU21" s="62"/>
      <c r="BV21" s="67" t="str">
        <f t="shared" si="29"/>
        <v/>
      </c>
      <c r="BW21" s="62"/>
      <c r="BX21" s="67" t="str">
        <f t="shared" si="30"/>
        <v/>
      </c>
      <c r="BY21" s="62"/>
      <c r="BZ21" s="69" t="str">
        <f t="shared" si="31"/>
        <v/>
      </c>
      <c r="CA21" s="62"/>
      <c r="CB21" s="69" t="str">
        <f t="shared" si="32"/>
        <v/>
      </c>
      <c r="CC21" s="62"/>
      <c r="CD21" s="69" t="str">
        <f t="shared" si="33"/>
        <v/>
      </c>
      <c r="CE21" s="62"/>
      <c r="CF21" s="69" t="str">
        <f t="shared" si="34"/>
        <v/>
      </c>
      <c r="CG21" s="62"/>
      <c r="CH21" s="69" t="str">
        <f t="shared" si="35"/>
        <v/>
      </c>
      <c r="CI21" s="62"/>
      <c r="CJ21" s="69" t="str">
        <f t="shared" si="36"/>
        <v/>
      </c>
      <c r="CK21" s="62"/>
      <c r="CL21" s="66" t="str">
        <f t="shared" si="37"/>
        <v/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Y21" sqref="Y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2020-06-18T07:14:26Z</dcterms:modified>
</cp:coreProperties>
</file>