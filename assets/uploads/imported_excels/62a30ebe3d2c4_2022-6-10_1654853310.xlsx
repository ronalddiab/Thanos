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2964" documentId="8_{5B502D95-7A37-4D5A-8B6B-374537CC2F26}" xr6:coauthVersionLast="47" xr6:coauthVersionMax="48" xr10:uidLastSave="{6446F50F-A66A-4165-BAF3-A05213BFC35F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8" i="2" l="1"/>
  <c r="N19" i="2"/>
  <c r="M19" i="2"/>
  <c r="L19" i="2"/>
  <c r="F19" i="2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" i="22"/>
  <c r="G4" i="22"/>
  <c r="G5" i="22"/>
  <c r="G6" i="22"/>
  <c r="G7" i="22"/>
  <c r="V15" i="2"/>
  <c r="N16" i="2"/>
  <c r="M16" i="2"/>
  <c r="L16" i="2"/>
  <c r="F16" i="2"/>
  <c r="K15" i="6"/>
  <c r="I15" i="6"/>
  <c r="G15" i="6"/>
  <c r="E15" i="6"/>
  <c r="C15" i="6"/>
  <c r="V11" i="2"/>
  <c r="V12" i="2"/>
  <c r="V13" i="2"/>
  <c r="V14" i="2"/>
  <c r="N12" i="2"/>
  <c r="N13" i="2"/>
  <c r="N14" i="2"/>
  <c r="N15" i="2"/>
  <c r="M12" i="2"/>
  <c r="M13" i="2"/>
  <c r="M14" i="2"/>
  <c r="M15" i="2"/>
  <c r="L12" i="2"/>
  <c r="L13" i="2"/>
  <c r="L14" i="2"/>
  <c r="L15" i="2"/>
  <c r="F12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V10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X36" i="2"/>
  <c r="X37" i="2"/>
  <c r="X38" i="2"/>
  <c r="H39" i="2"/>
  <c r="D29" i="10"/>
  <c r="X34" i="2"/>
  <c r="X35" i="2"/>
  <c r="X27" i="2"/>
  <c r="X28" i="2"/>
  <c r="X29" i="2"/>
  <c r="X30" i="2"/>
  <c r="X31" i="2"/>
  <c r="X32" i="2"/>
  <c r="X33" i="2"/>
  <c r="X21" i="2"/>
  <c r="X22" i="2"/>
  <c r="X23" i="2"/>
  <c r="X24" i="2"/>
  <c r="X25" i="2"/>
  <c r="X26" i="2"/>
  <c r="X20" i="2"/>
  <c r="X19" i="2"/>
  <c r="X11" i="2"/>
  <c r="X12" i="2"/>
  <c r="X13" i="2"/>
  <c r="X14" i="2"/>
  <c r="X15" i="2"/>
  <c r="X16" i="2"/>
  <c r="X17" i="2"/>
  <c r="X18" i="2"/>
  <c r="X10" i="2"/>
  <c r="G4" i="4"/>
  <c r="E4" i="4"/>
  <c r="C4" i="4"/>
  <c r="L31" i="22"/>
  <c r="K31" i="22"/>
  <c r="I31" i="22"/>
  <c r="I31" i="21"/>
  <c r="H31" i="21"/>
  <c r="G31" i="21"/>
  <c r="F31" i="21"/>
  <c r="E31" i="21"/>
  <c r="E31" i="22" s="1"/>
  <c r="Q39" i="2"/>
  <c r="O39" i="2"/>
  <c r="Q10" i="2"/>
  <c r="L27" i="22"/>
  <c r="L28" i="22"/>
  <c r="L29" i="22"/>
  <c r="L30" i="22"/>
  <c r="K27" i="22"/>
  <c r="K28" i="22"/>
  <c r="K29" i="22"/>
  <c r="K30" i="22"/>
  <c r="I27" i="22"/>
  <c r="I28" i="22"/>
  <c r="I29" i="22"/>
  <c r="I30" i="22"/>
  <c r="I26" i="21"/>
  <c r="I27" i="21"/>
  <c r="I28" i="21"/>
  <c r="I29" i="21"/>
  <c r="I30" i="21"/>
  <c r="H26" i="21"/>
  <c r="H27" i="21"/>
  <c r="H28" i="21"/>
  <c r="H29" i="21"/>
  <c r="H30" i="21"/>
  <c r="G27" i="21"/>
  <c r="G28" i="21"/>
  <c r="G29" i="21"/>
  <c r="G30" i="21"/>
  <c r="F27" i="21"/>
  <c r="F28" i="21"/>
  <c r="F29" i="21"/>
  <c r="F30" i="21"/>
  <c r="E27" i="21"/>
  <c r="E27" i="22" s="1"/>
  <c r="E28" i="21"/>
  <c r="E28" i="22" s="1"/>
  <c r="E29" i="21"/>
  <c r="E29" i="22" s="1"/>
  <c r="E30" i="21"/>
  <c r="E30" i="22" s="1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34" i="4" l="1"/>
  <c r="X39" i="2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Q40" i="2" s="1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M19" i="22" l="1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<sst xmlns="http://schemas.openxmlformats.org/spreadsheetml/2006/main" count="482" uniqueCount="187">
  <si>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</si>
  <si>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</si>
  <si>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</si>
  <si>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</si>
  <si>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</si>
  <si>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</si>
  <si>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</si>
  <si>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</si>
  <si>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</si>
  <si>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</si>
  <si>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</si>
  <si>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</si>
  <si>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</si>
  <si>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</si>
  <si>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</si>
  <si>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</si>
  <si>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</si>
  <si>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</si>
  <si>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</si>
  <si>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</si>
  <si>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</si>
  <si>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</si>
  <si>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</si>
  <si>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</si>
  <si>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</si>
  <si>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</si>
  <si>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</si>
  <si>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</si>
  <si>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</si>
  <si>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</si>
  <si>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</si>
  <si>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</si>
  <si>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</si>
  <si>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</si>
  <si>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</si>
  <si>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</si>
  <si>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</si>
  <si>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</si>
  <si>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</si>
  <si>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</si>
  <si>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</si>
  <si>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</si>
  <si>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</si>
  <si>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</si>
  <si>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</si>
  <si>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</si>
  <si>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</si>
  <si>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</si>
  <si>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</si>
  <si>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</si>
  <si>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</si>
  <si>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</si>
  <si>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</si>
  <si>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</si>
  <si>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</si>
  <si>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</si>
  <si>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</si>
  <si>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</si>
  <si>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</si>
  <si>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</si>
  <si>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</si>
  <si>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</si>
  <si>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</si>
  <si>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</si>
  <si>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</si>
  <si>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</si>
  <si>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</si>
  <si>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</si>
  <si>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</si>
  <si>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</si>
  <si>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</si>
  <si>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</si>
  <si>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</si>
  <si>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</si>
  <si>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</si>
  <si>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</si>
  <si>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</si>
  <si>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</si>
  <si>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</si>
  <si>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</si>
  <si>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</si>
  <si>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</si>
  <si>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</si>
  <si>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</si>
  <si>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</si>
  <si>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</si>
  <si>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</si>
  <si>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</si>
  <si>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</si>
  <si>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</si>
  <si>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</si>
  <si>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</si>
  <si>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</si>
  <si>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</si>
  <si>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</si>
  <si>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</si>
  <si>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</si>
  <si>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</si>
  <si>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</si>
  <si>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</si>
  <si>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</si>
  <si>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</si>
  <si>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</si>
  <si>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</si>
  <si>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</si>
  <si>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</si>
  <si>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</si>
  <si>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</si>
  <si>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</si>
  <si>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</si>
  <si>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</si>
  <si>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</si>
  <si>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</si>
  <si>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</si>
  <si>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</si>
  <si>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</si>
  <si>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</si>
  <si>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</si>
  <si>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</si>
  <si>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</si>
  <si>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</si>
  <si>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</si>
  <si>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</si>
  <si>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</si>
  <si>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</si>
  <si>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</si>
  <si>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</si>
  <si>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</si>
  <si>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</si>
  <si>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</si>
  <si>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</si>
  <si>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</si>
  <si>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</si>
  <si>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</si>
  <si>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</si>
  <si>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</si>
  <si>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</si>
  <si>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</si>
  <si>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</si>
  <si>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</si>
  <si>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</si>
  <si>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</si>
  <si>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</si>
  <si>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</si>
  <si>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</si>
  <si>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</si>
  <si>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</si>
  <si>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</si>
  <si>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</si>
  <si>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</si>
  <si>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</si>
  <si>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</si>
  <si>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</si>
  <si>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MAI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</si>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</sst>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267</c:v>
                </c:pt>
                <c:pt idx="1">
                  <c:v>165.29999999998836</c:v>
                </c:pt>
                <c:pt idx="2">
                  <c:v>158.90000000002328</c:v>
                </c:pt>
                <c:pt idx="3">
                  <c:v>157.79999999998836</c:v>
                </c:pt>
                <c:pt idx="4">
                  <c:v>160</c:v>
                </c:pt>
                <c:pt idx="5">
                  <c:v>145</c:v>
                </c:pt>
                <c:pt idx="6">
                  <c:v>155</c:v>
                </c:pt>
                <c:pt idx="7">
                  <c:v>139</c:v>
                </c:pt>
                <c:pt idx="8">
                  <c:v>135</c:v>
                </c:pt>
                <c:pt idx="9">
                  <c:v>175.29999999998836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4384</c:v>
                </c:pt>
                <c:pt idx="1">
                  <c:v>4441</c:v>
                </c:pt>
                <c:pt idx="2">
                  <c:v>3749</c:v>
                </c:pt>
                <c:pt idx="3">
                  <c:v>4936</c:v>
                </c:pt>
                <c:pt idx="4">
                  <c:v>4461</c:v>
                </c:pt>
                <c:pt idx="5">
                  <c:v>4437</c:v>
                </c:pt>
                <c:pt idx="6">
                  <c:v>4900</c:v>
                </c:pt>
                <c:pt idx="7">
                  <c:v>5117</c:v>
                </c:pt>
                <c:pt idx="8">
                  <c:v>5025</c:v>
                </c:pt>
                <c:pt idx="9">
                  <c:v>4793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9147</c:v>
                </c:pt>
                <c:pt idx="1">
                  <c:v>10256</c:v>
                </c:pt>
                <c:pt idx="2">
                  <c:v>10529</c:v>
                </c:pt>
                <c:pt idx="3">
                  <c:v>10072</c:v>
                </c:pt>
                <c:pt idx="4">
                  <c:v>10146</c:v>
                </c:pt>
                <c:pt idx="5">
                  <c:v>9912</c:v>
                </c:pt>
                <c:pt idx="6">
                  <c:v>10384</c:v>
                </c:pt>
                <c:pt idx="7">
                  <c:v>10773</c:v>
                </c:pt>
                <c:pt idx="8">
                  <c:v>10593</c:v>
                </c:pt>
                <c:pt idx="9">
                  <c:v>10865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3394</c:v>
                </c:pt>
                <c:pt idx="1">
                  <c:v>3721</c:v>
                </c:pt>
                <c:pt idx="2">
                  <c:v>3819</c:v>
                </c:pt>
                <c:pt idx="3">
                  <c:v>3952</c:v>
                </c:pt>
                <c:pt idx="4">
                  <c:v>3938</c:v>
                </c:pt>
                <c:pt idx="5">
                  <c:v>3710</c:v>
                </c:pt>
                <c:pt idx="6">
                  <c:v>4539</c:v>
                </c:pt>
                <c:pt idx="7">
                  <c:v>4172</c:v>
                </c:pt>
                <c:pt idx="8">
                  <c:v>4219</c:v>
                </c:pt>
                <c:pt idx="9">
                  <c:v>3986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287.99288999999999</c:v>
                </c:pt>
                <c:pt idx="2">
                  <c:v>319.99209999999999</c:v>
                </c:pt>
                <c:pt idx="3">
                  <c:v>352.6567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351.99131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G2" sqref="G2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2022</v>
      </c>
      <c r="E2" s="137">
        <f>submetering!E2+submetering!F2+submetering!G2</f>
        <v>16925</v>
      </c>
      <c r="F2" s="134">
        <v>1.05</v>
      </c>
      <c r="G2" s="134">
        <f>'Consommation mensuel énergie'!V10</f>
        <v>159.99605</v>
      </c>
      <c r="H2" s="134">
        <v>13.14</v>
      </c>
      <c r="I2" s="134">
        <f>'Consommation mensuel énergie'!F10</f>
        <v>267</v>
      </c>
      <c r="J2" s="134">
        <v>11.4</v>
      </c>
      <c r="K2" s="137">
        <f>'Consommation mensuel énergie'!D10</f>
        <v>179</v>
      </c>
      <c r="L2" s="137">
        <f>'Consommation mensuel énergie'!E10</f>
        <v>253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submetering!E3+submetering!F3+submetering!G3</f>
        <v>18635</v>
      </c>
      <c r="F3" s="134">
        <v>1.05</v>
      </c>
      <c r="G3" s="134">
        <f>'Consommation mensuel énergie'!V11</f>
        <v>287.99288999999999</v>
      </c>
      <c r="H3" s="134">
        <v>13.14</v>
      </c>
      <c r="I3" s="134">
        <f>'Consommation mensuel énergie'!F11</f>
        <v>165.29999999998836</v>
      </c>
      <c r="J3" s="134">
        <v>11.4</v>
      </c>
      <c r="K3" s="137">
        <f>'Consommation mensuel énergie'!D11</f>
        <v>177</v>
      </c>
      <c r="L3" s="137">
        <f>'Consommation mensuel énergie'!E11</f>
        <v>263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submetering!E4+submetering!F4+submetering!G4</f>
        <v>18097</v>
      </c>
      <c r="F4" s="134">
        <v>1.05</v>
      </c>
      <c r="G4" s="134">
        <f>'Consommation mensuel énergie'!V12</f>
        <v>319.99209999999999</v>
      </c>
      <c r="H4" s="134">
        <v>13.14</v>
      </c>
      <c r="I4" s="134">
        <f>'Consommation mensuel énergie'!F12</f>
        <v>158.90000000002328</v>
      </c>
      <c r="J4" s="134">
        <v>11.4</v>
      </c>
      <c r="K4" s="137">
        <f>'Consommation mensuel énergie'!D12</f>
        <v>173</v>
      </c>
      <c r="L4" s="137">
        <f>'Consommation mensuel énergie'!E12</f>
        <v>289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submetering!E5+submetering!F5+submetering!G5</f>
        <v>18960</v>
      </c>
      <c r="F5" s="134">
        <v>1.05</v>
      </c>
      <c r="G5" s="134">
        <f>'Consommation mensuel énergie'!V13</f>
        <v>352.6567</v>
      </c>
      <c r="H5" s="134">
        <v>13.14</v>
      </c>
      <c r="I5" s="134">
        <f>'Consommation mensuel énergie'!F13</f>
        <v>157.79999999998836</v>
      </c>
      <c r="J5" s="134">
        <v>11.4</v>
      </c>
      <c r="K5" s="137">
        <f>'Consommation mensuel énergie'!D13</f>
        <v>171</v>
      </c>
      <c r="L5" s="137">
        <f>'Consommation mensuel énergie'!E13</f>
        <v>289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submetering!E6+submetering!F6+submetering!G6</f>
        <v>18545</v>
      </c>
      <c r="F6" s="134">
        <v>1.05</v>
      </c>
      <c r="G6" s="134">
        <f>'Consommation mensuel énergie'!V14</f>
        <v>287.99288999999999</v>
      </c>
      <c r="H6" s="134">
        <v>13.14</v>
      </c>
      <c r="I6" s="134">
        <f>'Consommation mensuel énergie'!F14</f>
        <v>160</v>
      </c>
      <c r="J6" s="134">
        <v>11.4</v>
      </c>
      <c r="K6" s="137">
        <f>'Consommation mensuel énergie'!D14</f>
        <v>146</v>
      </c>
      <c r="L6" s="137">
        <f>'Consommation mensuel énergie'!E14</f>
        <v>229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submetering!E7+submetering!F7+submetering!G7</f>
        <v>18059</v>
      </c>
      <c r="F7" s="134">
        <v>1.05</v>
      </c>
      <c r="G7" s="134">
        <f>'Consommation mensuel énergie'!V15</f>
        <v>127.99684000000001</v>
      </c>
      <c r="H7" s="134">
        <v>13.14</v>
      </c>
      <c r="I7" s="134">
        <f>'Consommation mensuel énergie'!F15</f>
        <v>145</v>
      </c>
      <c r="J7" s="134">
        <v>11.4</v>
      </c>
      <c r="K7" s="137">
        <f>'Consommation mensuel énergie'!D15</f>
        <v>134</v>
      </c>
      <c r="L7" s="137">
        <f>'Consommation mensuel énergie'!E15</f>
        <v>208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submetering!E8+submetering!F8+submetering!G8</f>
        <v>19823</v>
      </c>
      <c r="F8" s="134">
        <v>1.05</v>
      </c>
      <c r="G8" s="134">
        <f>'Consommation mensuel énergie'!V16</f>
        <v>351.99131</v>
      </c>
      <c r="H8" s="134">
        <v>13.14</v>
      </c>
      <c r="I8" s="134">
        <f>'Consommation mensuel énergie'!F16</f>
        <v>155</v>
      </c>
      <c r="J8" s="134">
        <v>11.4</v>
      </c>
      <c r="K8" s="137">
        <f>'Consommation mensuel énergie'!D16</f>
        <v>134</v>
      </c>
      <c r="L8" s="137">
        <f>'Consommation mensuel énergie'!E16</f>
        <v>201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submetering!E9+submetering!F9+submetering!G9</f>
        <v>20062</v>
      </c>
      <c r="F9" s="134">
        <v>1.05</v>
      </c>
      <c r="G9" s="134">
        <f>'Consommation mensuel énergie'!V17</f>
        <v>223.99447000000001</v>
      </c>
      <c r="H9" s="134">
        <v>13.14</v>
      </c>
      <c r="I9" s="134">
        <f>'Consommation mensuel énergie'!F17</f>
        <v>139</v>
      </c>
      <c r="J9" s="134">
        <v>11.4</v>
      </c>
      <c r="K9" s="137">
        <f>'Consommation mensuel énergie'!D17</f>
        <v>147</v>
      </c>
      <c r="L9" s="137">
        <f>'Consommation mensuel énergie'!E17</f>
        <v>205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submetering!E10+submetering!F10+submetering!G10</f>
        <v>19837</v>
      </c>
      <c r="F10" s="134">
        <v>1.05</v>
      </c>
      <c r="G10" s="134">
        <f>'Consommation mensuel énergie'!V18</f>
        <v>287.99288999999999</v>
      </c>
      <c r="H10" s="134">
        <v>13.14</v>
      </c>
      <c r="I10" s="134">
        <f>'Consommation mensuel énergie'!F18</f>
        <v>135</v>
      </c>
      <c r="J10" s="134">
        <v>11.4</v>
      </c>
      <c r="K10" s="137">
        <f>'Consommation mensuel énergie'!D18</f>
        <v>138</v>
      </c>
      <c r="L10" s="137">
        <f>'Consommation mensuel énergie'!E18</f>
        <v>200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submetering!E11+submetering!F11+submetering!G11</f>
        <v>19644</v>
      </c>
      <c r="F11" s="134">
        <v>1.05</v>
      </c>
      <c r="G11" s="134">
        <f>'Consommation mensuel énergie'!V19</f>
        <v>0</v>
      </c>
      <c r="H11" s="134">
        <v>13.14</v>
      </c>
      <c r="I11" s="134">
        <f>'Consommation mensuel énergie'!F19</f>
        <v>175.29999999998836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13.14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13.14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13.14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13.14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13.14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13.14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13.14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13.14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13.14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13.14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13.14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13.14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13.14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13.14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13.14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13.14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13.14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13.14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13.14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13.14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2022</v>
      </c>
      <c r="E2" s="137">
        <f>'Consommation mensuel énergie'!L10</f>
        <v>4384</v>
      </c>
      <c r="F2" s="137">
        <f>'Consommation mensuel énergie'!M10</f>
        <v>9147</v>
      </c>
      <c r="G2" s="137">
        <f>'Consommation mensuel énergie'!N10</f>
        <v>3394</v>
      </c>
      <c r="H2" s="137">
        <f>'Consommation mensuel énergie'!D10</f>
        <v>179</v>
      </c>
      <c r="I2" s="137">
        <f>'Consommation mensuel énergie'!E10</f>
        <v>253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'Consommation mensuel énergie'!L11</f>
        <v>4441</v>
      </c>
      <c r="F3" s="137">
        <f>'Consommation mensuel énergie'!M11</f>
        <v>10256</v>
      </c>
      <c r="G3" s="137">
        <f>'Consommation mensuel énergie'!N14</f>
        <v>3938</v>
      </c>
      <c r="H3" s="137">
        <f>'Consommation mensuel énergie'!D11</f>
        <v>177</v>
      </c>
      <c r="I3" s="137">
        <f>'Consommation mensuel énergie'!E11</f>
        <v>263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'Consommation mensuel énergie'!L12</f>
        <v>3749</v>
      </c>
      <c r="F4" s="137">
        <f>'Consommation mensuel énergie'!M12</f>
        <v>10529</v>
      </c>
      <c r="G4" s="137">
        <f>'Consommation mensuel énergie'!N12</f>
        <v>3819</v>
      </c>
      <c r="H4" s="137">
        <f>'Consommation mensuel énergie'!D12</f>
        <v>173</v>
      </c>
      <c r="I4" s="137">
        <f>'Consommation mensuel énergie'!E12</f>
        <v>289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'Consommation mensuel énergie'!L13</f>
        <v>4936</v>
      </c>
      <c r="F5" s="137">
        <f>'Consommation mensuel énergie'!M13</f>
        <v>10072</v>
      </c>
      <c r="G5" s="137">
        <f>'Consommation mensuel énergie'!N13</f>
        <v>3952</v>
      </c>
      <c r="H5" s="137">
        <f>'Consommation mensuel énergie'!D13</f>
        <v>171</v>
      </c>
      <c r="I5" s="137">
        <f>'Consommation mensuel énergie'!E13</f>
        <v>289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'Consommation mensuel énergie'!L14</f>
        <v>4461</v>
      </c>
      <c r="F6" s="137">
        <f>'Consommation mensuel énergie'!M14</f>
        <v>10146</v>
      </c>
      <c r="G6" s="137">
        <f>'Consommation mensuel énergie'!N14</f>
        <v>3938</v>
      </c>
      <c r="H6" s="137">
        <f>'Consommation mensuel énergie'!D14</f>
        <v>146</v>
      </c>
      <c r="I6" s="137">
        <f>'Consommation mensuel énergie'!E14</f>
        <v>229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'Consommation mensuel énergie'!L15</f>
        <v>4437</v>
      </c>
      <c r="F7" s="137">
        <f>'Consommation mensuel énergie'!M15</f>
        <v>9912</v>
      </c>
      <c r="G7" s="137">
        <f>'Consommation mensuel énergie'!N15</f>
        <v>3710</v>
      </c>
      <c r="H7" s="137">
        <f>'Consommation mensuel énergie'!D15</f>
        <v>134</v>
      </c>
      <c r="I7" s="137">
        <f>'Consommation mensuel énergie'!E15</f>
        <v>208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'Consommation mensuel énergie'!L16</f>
        <v>4900</v>
      </c>
      <c r="F8" s="137">
        <f>'Consommation mensuel énergie'!M16</f>
        <v>10384</v>
      </c>
      <c r="G8" s="137">
        <f>'Consommation mensuel énergie'!N16</f>
        <v>4539</v>
      </c>
      <c r="H8" s="137">
        <f>'Consommation mensuel énergie'!D16</f>
        <v>134</v>
      </c>
      <c r="I8" s="137">
        <f>'Consommation mensuel énergie'!E16</f>
        <v>201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'Consommation mensuel énergie'!L17</f>
        <v>5117</v>
      </c>
      <c r="F9" s="137">
        <f>'Consommation mensuel énergie'!M17</f>
        <v>10773</v>
      </c>
      <c r="G9" s="137">
        <f>'Consommation mensuel énergie'!N17</f>
        <v>4172</v>
      </c>
      <c r="H9" s="137">
        <f>'Consommation mensuel énergie'!D17</f>
        <v>147</v>
      </c>
      <c r="I9" s="137">
        <f>'Consommation mensuel énergie'!E17</f>
        <v>205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'Consommation mensuel énergie'!L18</f>
        <v>5025</v>
      </c>
      <c r="F10" s="137">
        <f>'Consommation mensuel énergie'!M18</f>
        <v>10593</v>
      </c>
      <c r="G10" s="137">
        <f>'Consommation mensuel énergie'!N18</f>
        <v>4219</v>
      </c>
      <c r="H10" s="137">
        <f>'Consommation mensuel énergie'!D18</f>
        <v>138</v>
      </c>
      <c r="I10" s="137">
        <f>'Consommation mensuel énergie'!E18</f>
        <v>200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'Consommation mensuel énergie'!L19</f>
        <v>4793</v>
      </c>
      <c r="F11" s="137">
        <f>'Consommation mensuel énergie'!M19</f>
        <v>10865</v>
      </c>
      <c r="G11" s="137">
        <f>'Consommation mensuel énergie'!N19</f>
        <v>3986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F36" activePane="bottomRight" state="frozen"/>
      <selection pane="bottomRight" activeCell="E19" sqref="E1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44713</v>
      </c>
      <c r="C10" s="7"/>
      <c r="D10" s="143">
        <v>179</v>
      </c>
      <c r="E10" s="143">
        <v>253</v>
      </c>
      <c r="F10" s="13">
        <f>'Suivi EAU-ELEC'!E9</f>
        <v>267</v>
      </c>
      <c r="G10" s="11"/>
      <c r="H10" s="168">
        <f>F10*8.79</f>
        <v>2346.9299999999998</v>
      </c>
      <c r="I10" s="169"/>
      <c r="J10" s="169"/>
      <c r="K10" s="60">
        <v>42278</v>
      </c>
      <c r="L10" s="90">
        <f>'Suivi EAU-ELEC'!G9</f>
        <v>4384</v>
      </c>
      <c r="M10" s="91">
        <f>'Suivi EAU-ELEC'!I9</f>
        <v>9147</v>
      </c>
      <c r="N10" s="91">
        <f>'Suivi EAU-ELEC'!K9</f>
        <v>3394</v>
      </c>
      <c r="O10" s="91">
        <f>L10+M10+N10</f>
        <v>16925</v>
      </c>
      <c r="P10" s="11"/>
      <c r="Q10" s="34">
        <f>L10*0.6985+M10*0.9514+N10*1.3304</f>
        <v>16280.0574</v>
      </c>
      <c r="R10" s="11"/>
      <c r="S10" s="28"/>
      <c r="T10" s="11"/>
      <c r="U10" s="28"/>
      <c r="V10" s="146">
        <f>'Suvi Gaz'!O4</f>
        <v>159.99605</v>
      </c>
      <c r="W10" s="11"/>
      <c r="X10" s="34">
        <f>V10*13.14</f>
        <v>2102.3480970000001</v>
      </c>
    </row>
    <row r="11" spans="1:24" ht="32.25" customHeight="1">
      <c r="A11" s="2"/>
      <c r="B11" s="6">
        <v>44714</v>
      </c>
      <c r="C11" s="7"/>
      <c r="D11" s="143">
        <v>177</v>
      </c>
      <c r="E11" s="143">
        <v>263</v>
      </c>
      <c r="F11" s="13">
        <f>'Suivi EAU-ELEC'!E10</f>
        <v>165.29999999998836</v>
      </c>
      <c r="G11" s="11"/>
      <c r="H11" s="168">
        <f t="shared" ref="H11:H21" si="0">F11*8.79</f>
        <v>1452.9869999998975</v>
      </c>
      <c r="I11" s="169"/>
      <c r="J11" s="169"/>
      <c r="K11" s="60">
        <v>42279</v>
      </c>
      <c r="L11" s="90">
        <f>'Suivi EAU-ELEC'!G10</f>
        <v>4441</v>
      </c>
      <c r="M11" s="91">
        <f>'Suivi EAU-ELEC'!I10</f>
        <v>10256</v>
      </c>
      <c r="N11" s="91">
        <f>'Suivi EAU-ELEC'!K10</f>
        <v>3721</v>
      </c>
      <c r="O11" s="91">
        <f>L11+M11+N11</f>
        <v>18418</v>
      </c>
      <c r="P11" s="11"/>
      <c r="Q11" s="34">
        <f>L11*0.6985+M11*0.9514+N14*1.3304</f>
        <v>18098.712100000001</v>
      </c>
      <c r="R11" s="11"/>
      <c r="S11" s="28"/>
      <c r="T11" s="11"/>
      <c r="U11" s="28"/>
      <c r="V11" s="146">
        <f>'Suvi Gaz'!O5</f>
        <v>287.99288999999999</v>
      </c>
      <c r="W11" s="11"/>
      <c r="X11" s="34">
        <f t="shared" ref="X11:X39" si="1">V11*13.14</f>
        <v>3784.2265745999998</v>
      </c>
    </row>
    <row r="12" spans="1:24" ht="32.25" customHeight="1">
      <c r="A12" s="2"/>
      <c r="B12" s="6">
        <v>44715</v>
      </c>
      <c r="C12" s="7"/>
      <c r="D12" s="143">
        <v>173</v>
      </c>
      <c r="E12" s="143">
        <v>289</v>
      </c>
      <c r="F12" s="13">
        <f>'Suivi EAU-ELEC'!E11</f>
        <v>158.90000000002328</v>
      </c>
      <c r="G12" s="11"/>
      <c r="H12" s="168">
        <f t="shared" si="0"/>
        <v>1396.7310000002046</v>
      </c>
      <c r="I12" s="169"/>
      <c r="J12" s="169"/>
      <c r="K12" s="60">
        <v>42280</v>
      </c>
      <c r="L12" s="90">
        <f>'Suivi EAU-ELEC'!G11</f>
        <v>3749</v>
      </c>
      <c r="M12" s="91">
        <f>'Suivi EAU-ELEC'!I11</f>
        <v>10529</v>
      </c>
      <c r="N12" s="91">
        <f>'Suivi EAU-ELEC'!K11</f>
        <v>3819</v>
      </c>
      <c r="O12" s="91">
        <f>L12+M12+N12</f>
        <v>18097</v>
      </c>
      <c r="P12" s="11"/>
      <c r="Q12" s="34">
        <f>L12*0.6985+M12*0.9514+N12*1.3304</f>
        <v>17716.7647</v>
      </c>
      <c r="R12" s="11"/>
      <c r="S12" s="28"/>
      <c r="T12" s="11"/>
      <c r="U12" s="28"/>
      <c r="V12" s="146">
        <f>'Suvi Gaz'!O6</f>
        <v>319.99209999999999</v>
      </c>
      <c r="W12" s="11"/>
      <c r="X12" s="34">
        <f t="shared" si="1"/>
        <v>4204.6961940000001</v>
      </c>
    </row>
    <row r="13" spans="1:24" ht="32.25" customHeight="1">
      <c r="A13" s="2"/>
      <c r="B13" s="6">
        <v>44716</v>
      </c>
      <c r="C13" s="7"/>
      <c r="D13" s="143">
        <v>171</v>
      </c>
      <c r="E13" s="143">
        <v>289</v>
      </c>
      <c r="F13" s="13">
        <f>'Suivi EAU-ELEC'!E12</f>
        <v>157.79999999998836</v>
      </c>
      <c r="G13" s="11"/>
      <c r="H13" s="168">
        <f t="shared" si="0"/>
        <v>1387.0619999998976</v>
      </c>
      <c r="I13" s="169"/>
      <c r="J13" s="169"/>
      <c r="K13" s="60">
        <v>42281</v>
      </c>
      <c r="L13" s="90">
        <f>'Suivi EAU-ELEC'!G12</f>
        <v>4936</v>
      </c>
      <c r="M13" s="91">
        <f>'Suivi EAU-ELEC'!I12</f>
        <v>10072</v>
      </c>
      <c r="N13" s="91">
        <f>'Suivi EAU-ELEC'!K12</f>
        <v>3952</v>
      </c>
      <c r="O13" s="91">
        <f t="shared" ref="O13:O36" si="2">L13+M13+N13</f>
        <v>18960</v>
      </c>
      <c r="P13" s="11"/>
      <c r="Q13" s="34">
        <f t="shared" ref="Q13:Q36" si="3">L13*0.6985+M13*0.9514+N13*1.3304</f>
        <v>18288.0376</v>
      </c>
      <c r="R13" s="11"/>
      <c r="S13" s="28"/>
      <c r="T13" s="11"/>
      <c r="U13" s="28"/>
      <c r="V13" s="146">
        <f>'Suvi Gaz'!O7</f>
        <v>352.6567</v>
      </c>
      <c r="W13" s="11"/>
      <c r="X13" s="34">
        <f t="shared" si="1"/>
        <v>4633.9090379999998</v>
      </c>
    </row>
    <row r="14" spans="1:24" ht="32.25" customHeight="1">
      <c r="A14" s="2"/>
      <c r="B14" s="6">
        <v>44717</v>
      </c>
      <c r="C14" s="7"/>
      <c r="D14" s="143">
        <v>146</v>
      </c>
      <c r="E14" s="143">
        <v>229</v>
      </c>
      <c r="F14" s="13">
        <f>'Suivi EAU-ELEC'!E13</f>
        <v>160</v>
      </c>
      <c r="G14" s="12"/>
      <c r="H14" s="168">
        <f t="shared" si="0"/>
        <v>1406.3999999999999</v>
      </c>
      <c r="I14" s="169"/>
      <c r="J14" s="169"/>
      <c r="K14" s="60">
        <v>42282</v>
      </c>
      <c r="L14" s="90">
        <f>'Suivi EAU-ELEC'!G13</f>
        <v>4461</v>
      </c>
      <c r="M14" s="91">
        <f>'Suivi EAU-ELEC'!I13</f>
        <v>10146</v>
      </c>
      <c r="N14" s="91">
        <f>'Suivi EAU-ELEC'!K13</f>
        <v>3938</v>
      </c>
      <c r="O14" s="91">
        <f t="shared" si="2"/>
        <v>18545</v>
      </c>
      <c r="P14" s="12"/>
      <c r="Q14" s="34">
        <f t="shared" si="3"/>
        <v>18008.0281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>V14*13.14</f>
        <v>3784.2265745999998</v>
      </c>
    </row>
    <row r="15" spans="1:24" ht="32.25" customHeight="1">
      <c r="A15" s="5"/>
      <c r="B15" s="6">
        <v>44718</v>
      </c>
      <c r="C15" s="7"/>
      <c r="D15" s="143">
        <v>134</v>
      </c>
      <c r="E15" s="143">
        <v>208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4437</v>
      </c>
      <c r="M15" s="91">
        <f>'Suivi EAU-ELEC'!I14</f>
        <v>9912</v>
      </c>
      <c r="N15" s="91">
        <f>'Suivi EAU-ELEC'!K14</f>
        <v>3710</v>
      </c>
      <c r="O15" s="91">
        <f t="shared" si="2"/>
        <v>18059</v>
      </c>
      <c r="P15" s="12"/>
      <c r="Q15" s="34">
        <f>L15*0.6985+M15*0.9514+N15*1.3304</f>
        <v>17465.3053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>V15*13.14</f>
        <v>1681.8784776000002</v>
      </c>
    </row>
    <row r="16" spans="1:24" ht="32.25" customHeight="1">
      <c r="A16" s="5"/>
      <c r="B16" s="6">
        <v>44719</v>
      </c>
      <c r="C16" s="7"/>
      <c r="D16" s="143">
        <v>134</v>
      </c>
      <c r="E16" s="143">
        <v>201</v>
      </c>
      <c r="F16" s="13">
        <f>'Suivi EAU-ELEC'!E15</f>
        <v>155</v>
      </c>
      <c r="G16" s="11"/>
      <c r="H16" s="168">
        <f t="shared" si="0"/>
        <v>1362.4499999999998</v>
      </c>
      <c r="I16" s="169"/>
      <c r="J16" s="169"/>
      <c r="K16" s="60">
        <v>42284</v>
      </c>
      <c r="L16" s="90">
        <f>'Suivi EAU-ELEC'!G15</f>
        <v>4900</v>
      </c>
      <c r="M16" s="91">
        <f>'Suivi EAU-ELEC'!I15</f>
        <v>10384</v>
      </c>
      <c r="N16" s="91">
        <f>'Suivi EAU-ELEC'!K15</f>
        <v>4539</v>
      </c>
      <c r="O16" s="91">
        <f t="shared" si="2"/>
        <v>19823</v>
      </c>
      <c r="P16" s="11"/>
      <c r="Q16" s="34">
        <f t="shared" si="3"/>
        <v>19340.673200000001</v>
      </c>
      <c r="R16" s="11"/>
      <c r="S16" s="28"/>
      <c r="T16" s="11"/>
      <c r="U16" s="28"/>
      <c r="V16" s="146">
        <f>'Suvi Gaz'!O10</f>
        <v>351.99131</v>
      </c>
      <c r="W16" s="11"/>
      <c r="X16" s="34">
        <f t="shared" si="1"/>
        <v>4625.1658133999999</v>
      </c>
    </row>
    <row r="17" spans="1:24" s="5" customFormat="1" ht="32.25" customHeight="1">
      <c r="A17" s="2"/>
      <c r="B17" s="6">
        <v>44720</v>
      </c>
      <c r="C17" s="7"/>
      <c r="D17" s="143">
        <v>147</v>
      </c>
      <c r="E17" s="143">
        <v>205</v>
      </c>
      <c r="F17" s="13">
        <f>'Suivi EAU-ELEC'!E16</f>
        <v>139</v>
      </c>
      <c r="G17" s="11"/>
      <c r="H17" s="168">
        <f t="shared" si="0"/>
        <v>1221.81</v>
      </c>
      <c r="I17" s="169"/>
      <c r="J17" s="169"/>
      <c r="K17" s="60">
        <v>42285</v>
      </c>
      <c r="L17" s="90">
        <f>'Suivi EAU-ELEC'!G16</f>
        <v>5117</v>
      </c>
      <c r="M17" s="91">
        <f>'Suivi EAU-ELEC'!I16</f>
        <v>10773</v>
      </c>
      <c r="N17" s="91">
        <f>'Suivi EAU-ELEC'!K16</f>
        <v>4172</v>
      </c>
      <c r="O17" s="91">
        <f t="shared" si="2"/>
        <v>20062</v>
      </c>
      <c r="P17" s="12"/>
      <c r="Q17" s="34">
        <f t="shared" si="3"/>
        <v>19374.085500000001</v>
      </c>
      <c r="R17" s="12"/>
      <c r="S17" s="28"/>
      <c r="T17" s="12"/>
      <c r="U17" s="28"/>
      <c r="V17" s="146">
        <f>'Suvi Gaz'!O11</f>
        <v>223.99447000000001</v>
      </c>
      <c r="W17" s="11"/>
      <c r="X17" s="34">
        <f t="shared" si="1"/>
        <v>2943.2873358000002</v>
      </c>
    </row>
    <row r="18" spans="1:24" ht="32.25" customHeight="1">
      <c r="A18" s="2"/>
      <c r="B18" s="6">
        <v>44721</v>
      </c>
      <c r="C18" s="7"/>
      <c r="D18" s="143">
        <v>138</v>
      </c>
      <c r="E18" s="143">
        <v>200</v>
      </c>
      <c r="F18" s="13">
        <f>'Suivi EAU-ELEC'!E17</f>
        <v>135</v>
      </c>
      <c r="G18" s="11"/>
      <c r="H18" s="168">
        <f t="shared" si="0"/>
        <v>1186.6499999999999</v>
      </c>
      <c r="I18" s="169"/>
      <c r="J18" s="169"/>
      <c r="K18" s="60">
        <v>42286</v>
      </c>
      <c r="L18" s="90">
        <f>'Suivi EAU-ELEC'!G17</f>
        <v>5025</v>
      </c>
      <c r="M18" s="91">
        <f>'Suivi EAU-ELEC'!I17</f>
        <v>10593</v>
      </c>
      <c r="N18" s="91">
        <f>'Suivi EAU-ELEC'!K17</f>
        <v>4219</v>
      </c>
      <c r="O18" s="91">
        <f t="shared" si="2"/>
        <v>19837</v>
      </c>
      <c r="P18" s="12"/>
      <c r="Q18" s="34">
        <f t="shared" si="3"/>
        <v>19201.100299999998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3784.2265745999998</v>
      </c>
    </row>
    <row r="19" spans="1:24" ht="32.25" customHeight="1">
      <c r="A19" s="2"/>
      <c r="B19" s="6">
        <v>44722</v>
      </c>
      <c r="C19" s="7"/>
      <c r="D19" s="143"/>
      <c r="E19" s="143"/>
      <c r="F19" s="13">
        <f>'Suivi EAU-ELEC'!E18</f>
        <v>175.29999999998836</v>
      </c>
      <c r="G19" s="12"/>
      <c r="H19" s="168">
        <f t="shared" si="0"/>
        <v>1540.8869999998976</v>
      </c>
      <c r="I19" s="169"/>
      <c r="J19" s="169"/>
      <c r="K19" s="60">
        <v>42287</v>
      </c>
      <c r="L19" s="90">
        <f>'Suivi EAU-ELEC'!G18</f>
        <v>4793</v>
      </c>
      <c r="M19" s="91">
        <f>'Suivi EAU-ELEC'!I18</f>
        <v>10865</v>
      </c>
      <c r="N19" s="91">
        <f>'Suivi EAU-ELEC'!K18</f>
        <v>3986</v>
      </c>
      <c r="O19" s="91">
        <f t="shared" si="2"/>
        <v>19644</v>
      </c>
      <c r="P19" s="12"/>
      <c r="Q19" s="34">
        <f t="shared" si="3"/>
        <v>18987.8459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44723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44724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44725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44726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44727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44728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44729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44730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44731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44732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44733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44734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44735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44736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44737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44738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44739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44740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44741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44742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1399</v>
      </c>
      <c r="E40" s="8">
        <f>SUM(E10:E39)</f>
        <v>2137</v>
      </c>
      <c r="F40" s="152">
        <f>SUM(F10:F39)</f>
        <v>1658.2999999999884</v>
      </c>
      <c r="G40" s="1"/>
      <c r="H40" s="249">
        <f>SUM(H10:H39)</f>
        <v>14576.456999999893</v>
      </c>
      <c r="I40" s="250"/>
      <c r="J40" s="251"/>
      <c r="K40" s="1"/>
      <c r="L40" s="53">
        <f>SUM(L10:L39)</f>
        <v>46243</v>
      </c>
      <c r="M40" s="53">
        <f>SUM(M10:M39)</f>
        <v>102677</v>
      </c>
      <c r="N40" s="54">
        <f>SUM(N10:N39)</f>
        <v>39450</v>
      </c>
      <c r="O40" s="55">
        <f>SUM(O10:O39)</f>
        <v>188370</v>
      </c>
      <c r="P40" s="31"/>
      <c r="Q40" s="34">
        <f t="shared" si="7"/>
        <v>182471.91330000001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2400.6061399999999</v>
      </c>
      <c r="W40" s="31"/>
      <c r="X40" s="32">
        <f>SUM(X10:X39)</f>
        <v>31543.964679599998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46243</v>
      </c>
      <c r="J43" s="210"/>
      <c r="K43" s="211"/>
      <c r="L43" s="170">
        <f>I43*H43</f>
        <v>32300.735499999999</v>
      </c>
      <c r="M43" s="171"/>
      <c r="N43" s="227">
        <f>L43+L44+L45</f>
        <v>182471.91330000001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102677</v>
      </c>
      <c r="J44" s="210"/>
      <c r="K44" s="211"/>
      <c r="L44" s="170">
        <f>I44*H44</f>
        <v>97686.897800000006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39450</v>
      </c>
      <c r="J45" s="241"/>
      <c r="K45" s="242"/>
      <c r="L45" s="170">
        <f>I45*H45</f>
        <v>52484.28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237213.48729000002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1658.2999999999884</v>
      </c>
      <c r="J47" s="202"/>
      <c r="K47" s="203"/>
      <c r="L47" s="207">
        <f>I47*H47</f>
        <v>14576.456999999897</v>
      </c>
      <c r="M47" s="208"/>
      <c r="N47" s="224">
        <f>L47</f>
        <v>14576.456999999897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13.14</v>
      </c>
      <c r="I48" s="199">
        <f>V40</f>
        <v>2400.6061399999999</v>
      </c>
      <c r="J48" s="239"/>
      <c r="K48" s="200"/>
      <c r="L48" s="199">
        <f>I48*H48</f>
        <v>31543.964679599998</v>
      </c>
      <c r="M48" s="200"/>
      <c r="N48" s="221">
        <f>L48</f>
        <v>31543.964679599998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6" activePane="bottomRight" state="frozen"/>
      <selection pane="bottomRight" activeCell="B18" sqref="B18:K1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44713</v>
      </c>
      <c r="B9" s="116">
        <v>2560</v>
      </c>
      <c r="C9" s="115">
        <v>0</v>
      </c>
      <c r="D9" s="57">
        <v>148296</v>
      </c>
      <c r="E9" s="50">
        <v>267</v>
      </c>
      <c r="F9" s="51">
        <v>11843664</v>
      </c>
      <c r="G9" s="50">
        <v>4384</v>
      </c>
      <c r="H9" s="51">
        <v>20106843</v>
      </c>
      <c r="I9" s="50">
        <v>9147</v>
      </c>
      <c r="J9" s="51">
        <v>8829353</v>
      </c>
      <c r="K9" s="50">
        <v>3394</v>
      </c>
    </row>
    <row r="10" spans="1:12" ht="19.5">
      <c r="A10" s="59">
        <v>44714</v>
      </c>
      <c r="B10" s="116">
        <v>2560</v>
      </c>
      <c r="C10" s="115">
        <f>B10-B9</f>
        <v>0</v>
      </c>
      <c r="D10" s="57">
        <v>148461.29999999999</v>
      </c>
      <c r="E10" s="50">
        <f>D10-D9</f>
        <v>165.29999999998836</v>
      </c>
      <c r="F10" s="51">
        <v>11848105</v>
      </c>
      <c r="G10" s="50">
        <f>F10-F9</f>
        <v>4441</v>
      </c>
      <c r="H10" s="51">
        <v>20117099</v>
      </c>
      <c r="I10" s="50">
        <f>H10-H9</f>
        <v>10256</v>
      </c>
      <c r="J10" s="51">
        <v>8833074</v>
      </c>
      <c r="K10" s="50">
        <f>J10-J9</f>
        <v>3721</v>
      </c>
    </row>
    <row r="11" spans="1:12" ht="19.5">
      <c r="A11" s="59">
        <v>44715</v>
      </c>
      <c r="B11" s="116">
        <v>2560</v>
      </c>
      <c r="C11" s="115">
        <f>B11-B10</f>
        <v>0</v>
      </c>
      <c r="D11" s="57">
        <v>148620.20000000001</v>
      </c>
      <c r="E11" s="50">
        <f>D11-D10</f>
        <v>158.90000000002328</v>
      </c>
      <c r="F11" s="51">
        <v>11851854</v>
      </c>
      <c r="G11" s="50">
        <f>F11-F10</f>
        <v>3749</v>
      </c>
      <c r="H11" s="51">
        <v>20127628</v>
      </c>
      <c r="I11" s="50">
        <f>H11-H10</f>
        <v>10529</v>
      </c>
      <c r="J11" s="51">
        <v>8836893</v>
      </c>
      <c r="K11" s="50">
        <f>J11-J10</f>
        <v>3819</v>
      </c>
    </row>
    <row r="12" spans="1:12" ht="19.5">
      <c r="A12" s="59">
        <v>44716</v>
      </c>
      <c r="B12" s="116">
        <v>2560</v>
      </c>
      <c r="C12" s="115">
        <f>B12-B11</f>
        <v>0</v>
      </c>
      <c r="D12" s="57">
        <v>148778</v>
      </c>
      <c r="E12" s="50">
        <f>D12-D11</f>
        <v>157.79999999998836</v>
      </c>
      <c r="F12" s="51">
        <v>11856790</v>
      </c>
      <c r="G12" s="50">
        <f>F12-F11</f>
        <v>4936</v>
      </c>
      <c r="H12" s="51">
        <v>20137700</v>
      </c>
      <c r="I12" s="50">
        <f>H12-H11</f>
        <v>10072</v>
      </c>
      <c r="J12" s="51">
        <v>8840845</v>
      </c>
      <c r="K12" s="50">
        <f>J12-J11</f>
        <v>3952</v>
      </c>
    </row>
    <row r="13" spans="1:12" ht="19.5">
      <c r="A13" s="59">
        <v>44717</v>
      </c>
      <c r="B13" s="116">
        <v>2560</v>
      </c>
      <c r="C13" s="115">
        <f>B13-B12</f>
        <v>0</v>
      </c>
      <c r="D13" s="57">
        <v>148938</v>
      </c>
      <c r="E13" s="50">
        <f>D13-D12</f>
        <v>160</v>
      </c>
      <c r="F13" s="51">
        <v>11861251</v>
      </c>
      <c r="G13" s="50">
        <f>F13-F12</f>
        <v>4461</v>
      </c>
      <c r="H13" s="51">
        <v>20147846</v>
      </c>
      <c r="I13" s="50">
        <f>H13-H12</f>
        <v>10146</v>
      </c>
      <c r="J13" s="51">
        <v>8844783</v>
      </c>
      <c r="K13" s="50">
        <f>J13-J12</f>
        <v>3938</v>
      </c>
    </row>
    <row r="14" spans="1:12" ht="19.5">
      <c r="A14" s="59">
        <v>44718</v>
      </c>
      <c r="B14" s="116">
        <v>2560</v>
      </c>
      <c r="C14" s="115">
        <f>B14-B13</f>
        <v>0</v>
      </c>
      <c r="D14" s="57">
        <v>149083</v>
      </c>
      <c r="E14" s="50">
        <f>D14-D13</f>
        <v>145</v>
      </c>
      <c r="F14" s="51">
        <v>11865688</v>
      </c>
      <c r="G14" s="50">
        <f>F14-F13</f>
        <v>4437</v>
      </c>
      <c r="H14" s="51">
        <v>20157758</v>
      </c>
      <c r="I14" s="50">
        <f>H14-H13</f>
        <v>9912</v>
      </c>
      <c r="J14" s="51">
        <v>8848493</v>
      </c>
      <c r="K14" s="50">
        <f>J14-J13</f>
        <v>3710</v>
      </c>
    </row>
    <row r="15" spans="1:12" ht="19.5">
      <c r="A15" s="59">
        <v>44719</v>
      </c>
      <c r="B15" s="116">
        <v>2560</v>
      </c>
      <c r="C15" s="115">
        <f>B15-B14</f>
        <v>0</v>
      </c>
      <c r="D15" s="57">
        <v>149238</v>
      </c>
      <c r="E15" s="50">
        <f t="shared" ref="E15:E18" si="0">D15-D14</f>
        <v>155</v>
      </c>
      <c r="F15" s="51">
        <v>11870588</v>
      </c>
      <c r="G15" s="50">
        <f>F15-F14</f>
        <v>4900</v>
      </c>
      <c r="H15" s="51">
        <v>20168142</v>
      </c>
      <c r="I15" s="50">
        <f>H15-H14</f>
        <v>10384</v>
      </c>
      <c r="J15" s="51">
        <v>8853032</v>
      </c>
      <c r="K15" s="50">
        <f>J15-J14</f>
        <v>4539</v>
      </c>
    </row>
    <row r="16" spans="1:12" ht="19.5">
      <c r="A16" s="59">
        <v>44720</v>
      </c>
      <c r="B16" s="116">
        <v>2560</v>
      </c>
      <c r="C16" s="115">
        <f>B16-B15</f>
        <v>0</v>
      </c>
      <c r="D16" s="57">
        <v>149377</v>
      </c>
      <c r="E16" s="50">
        <f t="shared" si="0"/>
        <v>139</v>
      </c>
      <c r="F16" s="51">
        <v>11875705</v>
      </c>
      <c r="G16" s="50">
        <f>F16-F15</f>
        <v>5117</v>
      </c>
      <c r="H16" s="51">
        <v>20178915</v>
      </c>
      <c r="I16" s="50">
        <f>H16-H15</f>
        <v>10773</v>
      </c>
      <c r="J16" s="51">
        <v>8857204</v>
      </c>
      <c r="K16" s="50">
        <f>J16-J15</f>
        <v>4172</v>
      </c>
    </row>
    <row r="17" spans="1:29" ht="19.5">
      <c r="A17" s="59">
        <v>44721</v>
      </c>
      <c r="B17" s="116">
        <v>2560</v>
      </c>
      <c r="C17" s="115">
        <f>B17-B16</f>
        <v>0</v>
      </c>
      <c r="D17" s="57">
        <v>149512</v>
      </c>
      <c r="E17" s="50">
        <f t="shared" si="0"/>
        <v>135</v>
      </c>
      <c r="F17" s="51">
        <v>11880730</v>
      </c>
      <c r="G17" s="50">
        <f>F17-F16</f>
        <v>5025</v>
      </c>
      <c r="H17" s="51">
        <v>20189508</v>
      </c>
      <c r="I17" s="50">
        <f>H17-H16</f>
        <v>10593</v>
      </c>
      <c r="J17" s="51">
        <v>8861423</v>
      </c>
      <c r="K17" s="50">
        <f>J17-J16</f>
        <v>4219</v>
      </c>
    </row>
    <row r="18" spans="1:29" ht="19.5">
      <c r="A18" s="59">
        <v>44722</v>
      </c>
      <c r="B18" s="116">
        <v>2560</v>
      </c>
      <c r="C18" s="115">
        <f>B18-B17</f>
        <v>0</v>
      </c>
      <c r="D18" s="57">
        <v>149687.29999999999</v>
      </c>
      <c r="E18" s="50">
        <f t="shared" si="0"/>
        <v>175.29999999998836</v>
      </c>
      <c r="F18" s="51">
        <v>11885523</v>
      </c>
      <c r="G18" s="50">
        <f>F18-F17</f>
        <v>4793</v>
      </c>
      <c r="H18" s="51">
        <v>20200373</v>
      </c>
      <c r="I18" s="50">
        <f>H18-H17</f>
        <v>10865</v>
      </c>
      <c r="J18" s="51">
        <v>8865409</v>
      </c>
      <c r="K18" s="50">
        <f>J18-J17</f>
        <v>3986</v>
      </c>
    </row>
    <row r="19" spans="1:29" ht="19.5">
      <c r="A19" s="59">
        <v>44723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44724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44725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44726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44727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44728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44729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44730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44731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44732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44733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44734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44735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44736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44737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44738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44739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44740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44741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44742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44743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44744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8">
    <cfRule type="cellIs" dxfId="5" priority="10" stopIfTrue="1" operator="lessThanOrEqual">
      <formula>0</formula>
    </cfRule>
  </conditionalFormatting>
  <conditionalFormatting sqref="E10:E38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39:E40">
    <cfRule type="cellIs" dxfId="1" priority="2" stopIfTrue="1" operator="lessThanOrEqual">
      <formula>0</formula>
    </cfRule>
  </conditionalFormatting>
  <conditionalFormatting sqref="E3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2" activePane="bottomRight" state="frozen"/>
      <selection pane="bottomRight" activeCell="B13" sqref="B13:H1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44713</v>
      </c>
      <c r="B4" s="41">
        <v>84</v>
      </c>
      <c r="C4" s="39">
        <f t="shared" ref="C4" si="0">IF(AC4&gt;0,((B4-R4)+(S4-B5)),IF(B5=0, ,(B4-B5)))</f>
        <v>3</v>
      </c>
      <c r="D4" s="41">
        <v>85</v>
      </c>
      <c r="E4" s="39">
        <f t="shared" ref="E4" si="1">IF(AC4&gt;0,((D4-U4)+(V4-D5)),IF(D5=0, ,(D4-D5)))</f>
        <v>2</v>
      </c>
      <c r="F4" s="41">
        <v>85</v>
      </c>
      <c r="G4" s="39">
        <f t="shared" ref="G4" si="2">IF(AC4&gt;0,((F4-X4)+(Y4-F5)),IF(F5=0, ,(F4-F5)))</f>
        <v>0</v>
      </c>
      <c r="H4" s="41">
        <v>85</v>
      </c>
      <c r="I4" s="39">
        <f>IF(AC4&gt;0,((H4-AA4)+(AB4-H5)),IF(H5=0, ,(H4-H5)))</f>
        <v>0</v>
      </c>
      <c r="J4" s="39">
        <f>B4+D4+F4+H4</f>
        <v>339</v>
      </c>
      <c r="K4" s="39">
        <f>J4/4</f>
        <v>84.75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O4*13.14</f>
        <v>2102.3480970000001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44714</v>
      </c>
      <c r="B5" s="41">
        <v>81</v>
      </c>
      <c r="C5" s="39">
        <f t="shared" ref="C4:C35" si="7">IF(AC5&gt;0,((B5-R5)+(S5-B6)),IF(B6=0, ,(B5-B6)))</f>
        <v>2</v>
      </c>
      <c r="D5" s="41">
        <v>83</v>
      </c>
      <c r="E5" s="39">
        <f t="shared" ref="E4:E35" si="8">IF(AC5&gt;0,((D5-U5)+(V5-D6)),IF(D6=0, ,(D5-D6)))</f>
        <v>3</v>
      </c>
      <c r="F5" s="41">
        <v>85</v>
      </c>
      <c r="G5" s="39">
        <f t="shared" ref="G4:G35" si="9">IF(AC5&gt;0,((F5-X5)+(Y5-F6)),IF(F6=0, ,(F5-F6)))</f>
        <v>2</v>
      </c>
      <c r="H5" s="41">
        <v>85</v>
      </c>
      <c r="I5" s="39">
        <f>IF(AC5&gt;0,((H5-AA5)+(AB5-H6)),IF(H6=0, ,(H5-H6)))</f>
        <v>2</v>
      </c>
      <c r="J5" s="39">
        <f>B5+D5+F5+H5</f>
        <v>334</v>
      </c>
      <c r="K5" s="39">
        <f>J5/4</f>
        <v>83.5</v>
      </c>
      <c r="L5" s="39">
        <f>IF(AC5&gt;0,((K5-AD5)+(AE5-K6)),IF(K6=0, ,(K5-K6)))</f>
        <v>2.25</v>
      </c>
      <c r="M5" s="149">
        <f t="shared" si="3"/>
        <v>24196</v>
      </c>
      <c r="N5" s="39">
        <f>L5*M5/100</f>
        <v>544.41</v>
      </c>
      <c r="O5" s="39">
        <f>N5*0.529</f>
        <v>287.99288999999999</v>
      </c>
      <c r="P5" s="42">
        <f t="shared" ref="P5:P33" si="10">O5*13.14</f>
        <v>3784.2265745999998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44715</v>
      </c>
      <c r="B6" s="41">
        <v>79</v>
      </c>
      <c r="C6" s="39">
        <f t="shared" si="7"/>
        <v>3</v>
      </c>
      <c r="D6" s="41">
        <v>80</v>
      </c>
      <c r="E6" s="39">
        <f t="shared" si="8"/>
        <v>1</v>
      </c>
      <c r="F6" s="41">
        <v>83</v>
      </c>
      <c r="G6" s="39">
        <f t="shared" si="9"/>
        <v>3</v>
      </c>
      <c r="H6" s="41">
        <v>83</v>
      </c>
      <c r="I6" s="39">
        <f t="shared" ref="I6:I36" si="11">IF(AC6&gt;0,((H6-AA6)+(AB6-H7)),IF(H7=0, ,(H6-H7)))</f>
        <v>3</v>
      </c>
      <c r="J6" s="39">
        <f t="shared" ref="J6:J42" si="12">B6+D6+F6+H6</f>
        <v>325</v>
      </c>
      <c r="K6" s="39">
        <f t="shared" ref="K6:K42" si="13">J6/4</f>
        <v>81.25</v>
      </c>
      <c r="L6" s="39">
        <f t="shared" ref="L6:L19" si="14">IF(AC6&gt;0,((K6-AD6)+(AE6-K7)),IF(K7=0, ,(K6-K7)))</f>
        <v>2.5</v>
      </c>
      <c r="M6" s="149">
        <f t="shared" si="3"/>
        <v>24196</v>
      </c>
      <c r="N6" s="39">
        <f t="shared" ref="N6:N42" si="15">L6*M6/100</f>
        <v>604.9</v>
      </c>
      <c r="O6" s="39">
        <f>N6*0.529</f>
        <v>319.99209999999999</v>
      </c>
      <c r="P6" s="42">
        <f t="shared" si="10"/>
        <v>4204.6961940000001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44716</v>
      </c>
      <c r="B7" s="41">
        <v>76</v>
      </c>
      <c r="C7" s="39">
        <f t="shared" si="7"/>
        <v>4</v>
      </c>
      <c r="D7" s="41">
        <v>79</v>
      </c>
      <c r="E7" s="39">
        <f t="shared" si="8"/>
        <v>1</v>
      </c>
      <c r="F7" s="41">
        <v>80</v>
      </c>
      <c r="G7" s="39">
        <f t="shared" si="9"/>
        <v>3</v>
      </c>
      <c r="H7" s="41">
        <v>80</v>
      </c>
      <c r="I7" s="39">
        <f t="shared" si="11"/>
        <v>3</v>
      </c>
      <c r="J7" s="39">
        <f t="shared" si="12"/>
        <v>315</v>
      </c>
      <c r="K7" s="39">
        <f t="shared" si="13"/>
        <v>78.75</v>
      </c>
      <c r="L7" s="39">
        <f t="shared" si="14"/>
        <v>2.75</v>
      </c>
      <c r="M7" s="149">
        <f t="shared" si="3"/>
        <v>24196</v>
      </c>
      <c r="N7" s="39">
        <f t="shared" si="15"/>
        <v>665.39</v>
      </c>
      <c r="O7" s="39">
        <f>N7*0.53</f>
        <v>352.6567</v>
      </c>
      <c r="P7" s="42">
        <f t="shared" si="10"/>
        <v>4633.9090379999998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44717</v>
      </c>
      <c r="B8" s="41">
        <v>72</v>
      </c>
      <c r="C8" s="39">
        <f t="shared" si="7"/>
        <v>1</v>
      </c>
      <c r="D8" s="41">
        <v>78</v>
      </c>
      <c r="E8" s="39">
        <f t="shared" si="8"/>
        <v>4</v>
      </c>
      <c r="F8" s="41">
        <v>77</v>
      </c>
      <c r="G8" s="39">
        <f t="shared" si="9"/>
        <v>2</v>
      </c>
      <c r="H8" s="41">
        <v>77</v>
      </c>
      <c r="I8" s="39">
        <f t="shared" si="11"/>
        <v>2</v>
      </c>
      <c r="J8" s="39">
        <f t="shared" si="12"/>
        <v>304</v>
      </c>
      <c r="K8" s="39">
        <f t="shared" si="13"/>
        <v>76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3784.2265745999998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44718</v>
      </c>
      <c r="B9" s="41">
        <v>71</v>
      </c>
      <c r="C9" s="39">
        <f t="shared" si="7"/>
        <v>1</v>
      </c>
      <c r="D9" s="41">
        <v>74</v>
      </c>
      <c r="E9" s="39">
        <f t="shared" si="8"/>
        <v>3</v>
      </c>
      <c r="F9" s="41">
        <v>75</v>
      </c>
      <c r="G9" s="39">
        <f t="shared" si="9"/>
        <v>0</v>
      </c>
      <c r="H9" s="41">
        <v>75</v>
      </c>
      <c r="I9" s="39">
        <f t="shared" si="11"/>
        <v>0</v>
      </c>
      <c r="J9" s="39">
        <f t="shared" si="12"/>
        <v>295</v>
      </c>
      <c r="K9" s="39">
        <f t="shared" si="13"/>
        <v>73.75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1681.8784776000002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44719</v>
      </c>
      <c r="B10" s="41">
        <v>70</v>
      </c>
      <c r="C10" s="39">
        <f t="shared" si="7"/>
        <v>4</v>
      </c>
      <c r="D10" s="41">
        <v>71</v>
      </c>
      <c r="E10" s="39">
        <f t="shared" si="8"/>
        <v>1</v>
      </c>
      <c r="F10" s="41">
        <v>75</v>
      </c>
      <c r="G10" s="39">
        <f t="shared" si="9"/>
        <v>3</v>
      </c>
      <c r="H10" s="41">
        <v>75</v>
      </c>
      <c r="I10" s="39">
        <f t="shared" si="11"/>
        <v>3</v>
      </c>
      <c r="J10" s="39">
        <f t="shared" si="12"/>
        <v>291</v>
      </c>
      <c r="K10" s="39">
        <f t="shared" si="13"/>
        <v>72.75</v>
      </c>
      <c r="L10" s="39">
        <f t="shared" si="14"/>
        <v>2.75</v>
      </c>
      <c r="M10" s="149">
        <f t="shared" si="17"/>
        <v>24196</v>
      </c>
      <c r="N10" s="39">
        <f t="shared" si="15"/>
        <v>665.39</v>
      </c>
      <c r="O10" s="148">
        <f t="shared" si="16"/>
        <v>351.99131</v>
      </c>
      <c r="P10" s="42">
        <f t="shared" si="10"/>
        <v>4625.1658133999999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44720</v>
      </c>
      <c r="B11" s="41">
        <v>66</v>
      </c>
      <c r="C11" s="39">
        <f t="shared" si="7"/>
        <v>1</v>
      </c>
      <c r="D11" s="41">
        <v>70</v>
      </c>
      <c r="E11" s="39">
        <f t="shared" si="8"/>
        <v>2</v>
      </c>
      <c r="F11" s="41">
        <v>72</v>
      </c>
      <c r="G11" s="39">
        <f t="shared" si="9"/>
        <v>2</v>
      </c>
      <c r="H11" s="41">
        <v>72</v>
      </c>
      <c r="I11" s="39">
        <f t="shared" si="11"/>
        <v>2</v>
      </c>
      <c r="J11" s="39">
        <f t="shared" si="12"/>
        <v>280</v>
      </c>
      <c r="K11" s="39">
        <f t="shared" si="13"/>
        <v>70</v>
      </c>
      <c r="L11" s="39">
        <f t="shared" si="14"/>
        <v>1.75</v>
      </c>
      <c r="M11" s="149">
        <f t="shared" si="17"/>
        <v>24196</v>
      </c>
      <c r="N11" s="39">
        <f t="shared" si="15"/>
        <v>423.43</v>
      </c>
      <c r="O11" s="39">
        <f t="shared" si="16"/>
        <v>223.99447000000001</v>
      </c>
      <c r="P11" s="42">
        <f t="shared" si="10"/>
        <v>2943.2873358000002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44721</v>
      </c>
      <c r="B12" s="41">
        <v>65</v>
      </c>
      <c r="C12" s="39">
        <f t="shared" si="7"/>
        <v>2</v>
      </c>
      <c r="D12" s="41">
        <v>68</v>
      </c>
      <c r="E12" s="39">
        <f t="shared" si="8"/>
        <v>3</v>
      </c>
      <c r="F12" s="41">
        <v>70</v>
      </c>
      <c r="G12" s="39">
        <f t="shared" si="9"/>
        <v>2</v>
      </c>
      <c r="H12" s="41">
        <v>70</v>
      </c>
      <c r="I12" s="39">
        <f t="shared" si="11"/>
        <v>2</v>
      </c>
      <c r="J12" s="39">
        <f t="shared" si="12"/>
        <v>273</v>
      </c>
      <c r="K12" s="39">
        <f t="shared" si="13"/>
        <v>68.25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3784.2265745999998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44722</v>
      </c>
      <c r="B13" s="41">
        <v>63</v>
      </c>
      <c r="C13" s="39">
        <f t="shared" si="7"/>
        <v>0</v>
      </c>
      <c r="D13" s="41">
        <v>65</v>
      </c>
      <c r="E13" s="39">
        <f t="shared" si="8"/>
        <v>0</v>
      </c>
      <c r="F13" s="41">
        <v>68</v>
      </c>
      <c r="G13" s="39">
        <f t="shared" si="9"/>
        <v>0</v>
      </c>
      <c r="H13" s="41">
        <v>68</v>
      </c>
      <c r="I13" s="39">
        <f t="shared" si="11"/>
        <v>0</v>
      </c>
      <c r="J13" s="39">
        <f t="shared" si="12"/>
        <v>264</v>
      </c>
      <c r="K13" s="39">
        <f t="shared" si="13"/>
        <v>66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44723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44724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44725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44726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44727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44728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44729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44730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44731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44732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44733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44734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44735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44736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44737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44738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44739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44740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44741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44742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44743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44744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4536.7499999999991</v>
      </c>
      <c r="O43" s="39">
        <f>N43*0.529</f>
        <v>2399.9407499999998</v>
      </c>
      <c r="P43" s="42">
        <f>O43*13.64</f>
        <v>32735.19183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4536.7499999999991</v>
      </c>
      <c r="L47" s="46">
        <f>O43</f>
        <v>2399.9407499999998</v>
      </c>
      <c r="M47" s="46">
        <f>P43</f>
        <v>32735.19183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L48*13.14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L17" sqref="L17:L1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44567</v>
      </c>
      <c r="D8" s="350"/>
      <c r="E8" s="113">
        <v>44598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793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20117099</v>
      </c>
      <c r="D17" s="66">
        <v>20106843</v>
      </c>
      <c r="E17" s="67">
        <f>MIN(C17-D17)</f>
        <v>10256</v>
      </c>
      <c r="F17" s="67">
        <f>+E17</f>
        <v>10256</v>
      </c>
      <c r="G17" s="329"/>
      <c r="H17" s="330"/>
      <c r="I17" s="329">
        <f>+E17</f>
        <v>10256</v>
      </c>
      <c r="J17" s="330"/>
    </row>
    <row r="18" spans="1:10">
      <c r="A18" s="327" t="s">
        <v>111</v>
      </c>
      <c r="B18" s="328"/>
      <c r="C18" s="66">
        <v>11848105</v>
      </c>
      <c r="D18" s="66">
        <v>11843664</v>
      </c>
      <c r="E18" s="67">
        <f>MIN(C18-D18)</f>
        <v>4441</v>
      </c>
      <c r="F18" s="67">
        <f>+E18</f>
        <v>4441</v>
      </c>
      <c r="G18" s="329"/>
      <c r="H18" s="330"/>
      <c r="I18" s="329">
        <f>+E18</f>
        <v>4441</v>
      </c>
      <c r="J18" s="330"/>
    </row>
    <row r="19" spans="1:10">
      <c r="A19" s="327" t="s">
        <v>112</v>
      </c>
      <c r="B19" s="328"/>
      <c r="C19" s="66">
        <v>8833074</v>
      </c>
      <c r="D19" s="66">
        <v>8829353</v>
      </c>
      <c r="E19" s="67">
        <f>AVERAGE(C19-D19)</f>
        <v>3721</v>
      </c>
      <c r="F19" s="67">
        <f>+E19</f>
        <v>3721</v>
      </c>
      <c r="G19" s="329"/>
      <c r="H19" s="330"/>
      <c r="I19" s="329">
        <f>+E19</f>
        <v>3721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18418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10256</v>
      </c>
      <c r="E25" s="72">
        <v>0.95140000000000002</v>
      </c>
      <c r="F25" s="73">
        <f>PRODUCT(D25*E25)</f>
        <v>9757.5583999999999</v>
      </c>
      <c r="G25" s="151">
        <v>14</v>
      </c>
      <c r="H25" s="65">
        <f>PRODUCT(0.14,F25)</f>
        <v>1366.058176</v>
      </c>
      <c r="I25" s="304">
        <f>SUM(H25,F25)</f>
        <v>11123.616576</v>
      </c>
      <c r="J25" s="305"/>
    </row>
    <row r="26" spans="1:10" ht="15">
      <c r="A26" s="301" t="s">
        <v>124</v>
      </c>
      <c r="B26" s="302"/>
      <c r="C26" s="303"/>
      <c r="D26" s="67">
        <f>+E18</f>
        <v>4441</v>
      </c>
      <c r="E26" s="74">
        <v>0.69850000000000001</v>
      </c>
      <c r="F26" s="73">
        <f>PRODUCT(D26*E26)</f>
        <v>3102.0385000000001</v>
      </c>
      <c r="G26">
        <v>14</v>
      </c>
      <c r="H26" s="67">
        <f>PRODUCT(0.14,F26)</f>
        <v>434.28539000000006</v>
      </c>
      <c r="I26" s="304">
        <f t="shared" ref="I26:I31" si="0">SUM(H26,F26)</f>
        <v>3536.3238900000001</v>
      </c>
      <c r="J26" s="305"/>
    </row>
    <row r="27" spans="1:10" ht="15">
      <c r="A27" s="301" t="s">
        <v>125</v>
      </c>
      <c r="B27" s="302"/>
      <c r="C27" s="303"/>
      <c r="D27" s="67">
        <f>+E19</f>
        <v>3721</v>
      </c>
      <c r="E27" s="74">
        <v>1.3304</v>
      </c>
      <c r="F27" s="73">
        <f>PRODUCT(D27*E27)</f>
        <v>4950.4184000000005</v>
      </c>
      <c r="G27">
        <v>14</v>
      </c>
      <c r="H27" s="67">
        <f>PRODUCT(0.14,F27)</f>
        <v>693.05857600000013</v>
      </c>
      <c r="I27" s="304">
        <f>SUM(H27,F27)</f>
        <v>5643.4769760000008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64024.685299999997</v>
      </c>
      <c r="G32" s="85"/>
      <c r="H32" s="86"/>
      <c r="I32" s="313">
        <f>SUM(I25:J31)</f>
        <v>72934.161242000002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44314</v>
      </c>
      <c r="D8" s="350"/>
      <c r="E8" s="113">
        <v>44709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1135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20068636</v>
      </c>
      <c r="D17" s="66">
        <v>19830772</v>
      </c>
      <c r="E17" s="67">
        <f>MIN(C17-D17)</f>
        <v>237864</v>
      </c>
      <c r="F17" s="67">
        <f>+E17</f>
        <v>237864</v>
      </c>
      <c r="G17" s="329"/>
      <c r="H17" s="330"/>
      <c r="I17" s="329">
        <f>+E17</f>
        <v>237864</v>
      </c>
      <c r="J17" s="330"/>
    </row>
    <row r="18" spans="1:10">
      <c r="A18" s="327" t="s">
        <v>111</v>
      </c>
      <c r="B18" s="328"/>
      <c r="C18" s="66">
        <v>11824428</v>
      </c>
      <c r="D18" s="66">
        <v>11704653</v>
      </c>
      <c r="E18" s="67">
        <f>MIN(C18-D18)</f>
        <v>119775</v>
      </c>
      <c r="F18" s="67">
        <f>+E18</f>
        <v>119775</v>
      </c>
      <c r="G18" s="329"/>
      <c r="H18" s="330"/>
      <c r="I18" s="329">
        <f>+E18</f>
        <v>119775</v>
      </c>
      <c r="J18" s="330"/>
    </row>
    <row r="19" spans="1:10">
      <c r="A19" s="327" t="s">
        <v>112</v>
      </c>
      <c r="B19" s="328"/>
      <c r="C19" s="66">
        <v>8814739</v>
      </c>
      <c r="D19" s="66">
        <v>8719952</v>
      </c>
      <c r="E19" s="67">
        <f>AVERAGE(C19-D19)</f>
        <v>94787</v>
      </c>
      <c r="F19" s="67">
        <f>+E19</f>
        <v>94787</v>
      </c>
      <c r="G19" s="329"/>
      <c r="H19" s="330"/>
      <c r="I19" s="329">
        <f>+E19</f>
        <v>94787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452426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237864</v>
      </c>
      <c r="E25" s="72">
        <v>0.95140000000000002</v>
      </c>
      <c r="F25" s="73">
        <f>PRODUCT(D25*E25)</f>
        <v>226303.80960000001</v>
      </c>
      <c r="G25" s="151">
        <v>14</v>
      </c>
      <c r="H25" s="65">
        <f>PRODUCT(0.14,F25)</f>
        <v>31682.533344000003</v>
      </c>
      <c r="I25" s="304">
        <f>SUM(H25,F25)</f>
        <v>257986.342944</v>
      </c>
      <c r="J25" s="305"/>
    </row>
    <row r="26" spans="1:10" ht="15">
      <c r="A26" s="301" t="s">
        <v>124</v>
      </c>
      <c r="B26" s="302"/>
      <c r="C26" s="303"/>
      <c r="D26" s="67">
        <f>+E18</f>
        <v>119775</v>
      </c>
      <c r="E26" s="74">
        <v>0.69850000000000001</v>
      </c>
      <c r="F26" s="73">
        <f>PRODUCT(D26*E26)</f>
        <v>83662.837499999994</v>
      </c>
      <c r="G26">
        <v>14</v>
      </c>
      <c r="H26" s="67">
        <f>PRODUCT(0.14,F26)</f>
        <v>11712.79725</v>
      </c>
      <c r="I26" s="304">
        <f t="shared" ref="I26:I31" si="0">SUM(H26,F26)</f>
        <v>95375.634749999997</v>
      </c>
      <c r="J26" s="305"/>
    </row>
    <row r="27" spans="1:10" ht="15">
      <c r="A27" s="301" t="s">
        <v>125</v>
      </c>
      <c r="B27" s="302"/>
      <c r="C27" s="303"/>
      <c r="D27" s="67">
        <f>+E19</f>
        <v>94787</v>
      </c>
      <c r="E27" s="74">
        <v>1.3304</v>
      </c>
      <c r="F27" s="73">
        <f>PRODUCT(D27*E27)</f>
        <v>126104.62480000001</v>
      </c>
      <c r="G27">
        <v>14</v>
      </c>
      <c r="H27" s="67">
        <f>PRODUCT(0.14,F27)</f>
        <v>17654.647472000004</v>
      </c>
      <c r="I27" s="304">
        <f>SUM(H27,F27)</f>
        <v>143759.272272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135</v>
      </c>
      <c r="E29" s="76">
        <f>E28*1.5</f>
        <v>65.822505000000007</v>
      </c>
      <c r="F29" s="77">
        <f>PRODUCT(D29,E29)</f>
        <v>8886.0381750000015</v>
      </c>
      <c r="G29" s="78">
        <v>14</v>
      </c>
      <c r="H29" s="75">
        <f>PRODUCT(0.14,F29)</f>
        <v>1244.0453445000003</v>
      </c>
      <c r="I29" s="317">
        <f t="shared" si="0"/>
        <v>10130.083519500002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491171.98007499997</v>
      </c>
      <c r="G32" s="85"/>
      <c r="H32" s="86"/>
      <c r="I32" s="313">
        <f>SUM(I25:J31)</f>
        <v>559882.07728549989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143745</v>
      </c>
      <c r="D8" s="97">
        <v>44682</v>
      </c>
      <c r="E8" s="96">
        <v>148296.1</v>
      </c>
      <c r="F8" s="97">
        <v>44713</v>
      </c>
      <c r="G8" s="98">
        <f>E8-C8</f>
        <v>4551.1000000000058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4551.1000000000058</v>
      </c>
      <c r="C13" s="397"/>
      <c r="D13" s="397">
        <v>8.7899999999999991</v>
      </c>
      <c r="E13" s="397"/>
      <c r="F13" s="399">
        <f>PRODUCT(D13,B13)</f>
        <v>40004.169000000045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4551.1000000000058</v>
      </c>
      <c r="C19" s="397"/>
      <c r="D19" s="397">
        <v>2.61</v>
      </c>
      <c r="E19" s="397"/>
      <c r="F19" s="397">
        <f>PRODUCT(D19,B19)</f>
        <v>11878.371000000014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51905.540000000059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3633.3878000000045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3841.6478000000043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55747.187800000065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148461.29999999999</v>
      </c>
      <c r="F8" s="97">
        <v>44714</v>
      </c>
      <c r="G8" s="98">
        <f>E8-C8</f>
        <v>165.19999999998254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165.19999999998254</v>
      </c>
      <c r="C13" s="397"/>
      <c r="D13" s="397">
        <v>8.5</v>
      </c>
      <c r="E13" s="397"/>
      <c r="F13" s="399">
        <f>PRODUCT(D13,B13)</f>
        <v>1404.1999999998516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165.19999999998254</v>
      </c>
      <c r="C20" s="397"/>
      <c r="D20" s="397">
        <v>2.54</v>
      </c>
      <c r="E20" s="397"/>
      <c r="F20" s="397">
        <f>PRODUCT(D20,B20)</f>
        <v>419.60799999995567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1846.8079999998072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129.27655999998652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337.53655999998648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2184.3445599997935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G26" sqref="G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2022-06-10T09:25:26Z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