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377" documentId="8_{570E39A5-4344-4CF9-9BBE-67993DB36049}" xr6:coauthVersionLast="36" xr6:coauthVersionMax="36" xr10:uidLastSave="{557CC6C9-08CC-452B-BFA6-2B9BE6484986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<sst xmlns="http://schemas.openxmlformats.org/spreadsheetml/2006/main" count="195" uniqueCount="49">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</sst>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7" workbookViewId="0">
      <selection activeCell="L22" sqref="L2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13320</v>
      </c>
      <c r="F22" s="10">
        <v>0.2989</v>
      </c>
      <c r="G22" s="13">
        <f>-'Submetering '!J22+'Submetering '!K22</f>
        <v>767</v>
      </c>
      <c r="H22" s="10">
        <v>0.23150000000000001</v>
      </c>
      <c r="I22" s="13">
        <f>'Submetering '!L22+'Submetering '!M22</f>
        <v>151</v>
      </c>
      <c r="J22" s="10">
        <v>2.74</v>
      </c>
      <c r="K22" s="9">
        <v>231</v>
      </c>
      <c r="L22" s="9">
        <v>231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AA19" sqref="AA19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5685</v>
      </c>
      <c r="F22" s="33">
        <f>(IF((Electrical!C23-Electrical!C22)&lt;0,"0",(Electrical!C23-Electrical!C22)))*15</f>
        <v>3855</v>
      </c>
      <c r="G22" s="33">
        <f>(IF((Electrical!D23-Electrical!D22)&lt;0,"0",(Electrical!D23-Electrical!D22)))*15</f>
        <v>3780</v>
      </c>
      <c r="H22" s="33">
        <f>IF((Electrical!E23-Electrical!E22)&lt;0,"0",(Electrical!E23-Electrical!E22))</f>
        <v>4357</v>
      </c>
      <c r="I22" s="33">
        <f>IF((Electrical!F23-Electrical!F22)&lt;0,"0",(Electrical!F23-Electrical!F22))</f>
        <v>454</v>
      </c>
      <c r="J22" s="33">
        <f>IF((Gas!B23-Gas!B22)&lt;0,"0",(Gas!B23-Gas!B22))</f>
        <v>0</v>
      </c>
      <c r="K22" s="33">
        <f>IF((Gas!C23-Gas!C22)&lt;0,"0",(Gas!C23-Gas!C22))</f>
        <v>767</v>
      </c>
      <c r="L22" s="33">
        <f>(IF((Water!B23-Water!B22)&lt;0,"0",(Water!B23-Water!B22)))*10</f>
        <v>130</v>
      </c>
      <c r="M22" s="33">
        <f>IF((Water!C23-Water!C22)&lt;0,"0",(Water!C23-Water!C22))</f>
        <v>21</v>
      </c>
      <c r="N22" s="33">
        <f>IF((Water!D23-Water!D22)&lt;0,"0",(Water!D23-Water!D22))</f>
        <v>0</v>
      </c>
      <c r="O22" s="33">
        <f>IF((Water!E23-Water!E22)&lt;0,"0",(Water!E23-Water!E22))</f>
        <v>16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6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48</v>
      </c>
      <c r="Y22" s="9">
        <v>231</v>
      </c>
      <c r="Z22" s="9">
        <v>231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 t="str">
        <f>IF((Electrical!E24-Electrical!E23)&lt;0,"0",(Electrical!E24-Electrical!E23))</f>
        <v>0</v>
      </c>
      <c r="I23" s="33" t="str">
        <f>IF((Electrical!F24-Electrical!F23)&lt;0,"0",(Electrical!F24-Electrical!F23))</f>
        <v>0</v>
      </c>
      <c r="J23" s="33">
        <f>IF((Gas!B24-Gas!B23)&lt;0,"0",(Gas!B24-Gas!B23))</f>
        <v>0</v>
      </c>
      <c r="K23" s="33" t="str">
        <f>IF((Gas!C24-Gas!C23)&lt;0,"0",(Gas!C24-Gas!C23))</f>
        <v>0</v>
      </c>
      <c r="L23" s="33">
        <f>(IF((Water!B24-Water!B23)&lt;0,"0",(Water!B24-Water!B23)))*10</f>
        <v>0</v>
      </c>
      <c r="M23" s="33" t="str">
        <f>IF((Water!C24-Water!C23)&lt;0,"0",(Water!C24-Water!C23))</f>
        <v>0</v>
      </c>
      <c r="N23" s="33">
        <f>IF((Water!D24-Water!D23)&lt;0,"0",(Water!D24-Water!D23))</f>
        <v>0</v>
      </c>
      <c r="O23" s="33" t="str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 t="str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 t="str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G23" sqref="G2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>
        <v>125650</v>
      </c>
      <c r="C23" s="28">
        <v>92128</v>
      </c>
      <c r="D23" s="45">
        <v>93803</v>
      </c>
      <c r="E23" s="45">
        <v>1302018</v>
      </c>
      <c r="F23" s="45">
        <v>148181</v>
      </c>
      <c r="G23" s="5" t="s">
        <v>48</v>
      </c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H17" sqref="H1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x14ac:dyDescent="0.35">
      <c r="A23" s="4">
        <v>21</v>
      </c>
      <c r="B23" s="5">
        <v>0</v>
      </c>
      <c r="C23" s="5">
        <v>219112</v>
      </c>
      <c r="D23" s="5" t="s">
        <v>48</v>
      </c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10" zoomScale="85" zoomScaleNormal="85" workbookViewId="0">
      <selection activeCell="L37" sqref="L3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x14ac:dyDescent="0.35">
      <c r="A23" s="4">
        <v>21</v>
      </c>
      <c r="B23" s="5">
        <v>3541</v>
      </c>
      <c r="C23" s="5">
        <v>10737</v>
      </c>
      <c r="D23" s="5">
        <v>0</v>
      </c>
      <c r="E23" s="5">
        <v>3240</v>
      </c>
      <c r="F23" s="5">
        <v>0</v>
      </c>
      <c r="G23" s="5">
        <v>0</v>
      </c>
      <c r="H23" s="5">
        <v>0</v>
      </c>
      <c r="I23" s="5">
        <v>0</v>
      </c>
      <c r="J23" s="5">
        <v>407</v>
      </c>
      <c r="K23" s="5">
        <v>0</v>
      </c>
      <c r="L23" s="5">
        <v>0</v>
      </c>
      <c r="M23" s="5">
        <v>0</v>
      </c>
      <c r="N23" s="5">
        <v>12969</v>
      </c>
      <c r="O23" s="5" t="s">
        <v>48</v>
      </c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http://purl.org/dc/elements/1.1/"/>
    <ds:schemaRef ds:uri="c0c63084-832f-4b13-a501-c844d9f3bfed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2024-03-22T00:48:48Z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