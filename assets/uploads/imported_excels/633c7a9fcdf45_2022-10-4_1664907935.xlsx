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Z5" i="7" l="1"/>
  <c r="Z6" i="7"/>
  <c r="Z7" i="7"/>
  <c r="T7" i="10" l="1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<sst xmlns="http://schemas.openxmlformats.org/spreadsheetml/2006/main" count="315" uniqueCount="148">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</sst>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18" sqref="R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2022</v>
      </c>
      <c r="E2" s="12">
        <f>Submetering!E2+Submetering!F2+Submetering!G2+Submetering!H2+Submetering!J2-Submetering!AV2</f>
        <v>12700.000000000329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161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10</v>
      </c>
      <c r="D3" s="1">
        <v>2022</v>
      </c>
      <c r="E3" s="12">
        <f>Submetering!E3+Submetering!F3+Submetering!G3+Submetering!H3+Submetering!J3-Submetering!AV3</f>
        <v>10999.999999999936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138</v>
      </c>
      <c r="J3" s="11">
        <f>J2</f>
        <v>10.487297712684205</v>
      </c>
      <c r="K3" s="13">
        <f>'FS Desroches Daily'!CN5</f>
        <v>32</v>
      </c>
    </row>
    <row r="4" spans="1:13" s="16" customFormat="1" x14ac:dyDescent="0.25">
      <c r="A4" s="1" t="s">
        <v>11</v>
      </c>
      <c r="B4" s="10">
        <v>3</v>
      </c>
      <c r="C4" s="11">
        <v>10</v>
      </c>
      <c r="D4" s="1">
        <v>2022</v>
      </c>
      <c r="E4" s="12">
        <f>Submetering!E4+Submetering!F4+Submetering!G4+Submetering!H4+Submetering!J4-Submetering!AV4</f>
        <v>10900.000000000244</v>
      </c>
      <c r="F4" s="11">
        <f t="shared" ref="F4:F32" si="0">F3</f>
        <v>0.58765030286592534</v>
      </c>
      <c r="G4" s="12">
        <f>(Submetering!AX4+Submetering!AY4+Submetering!AZ4+Submetering!BA4+Submetering!BB4)</f>
        <v>0</v>
      </c>
      <c r="H4" s="11">
        <f t="shared" ref="H4:H32" si="1">H3</f>
        <v>0.99</v>
      </c>
      <c r="I4" s="12">
        <f>'FS Desroches Daily'!CM6</f>
        <v>115.69999999999709</v>
      </c>
      <c r="J4" s="11">
        <f t="shared" ref="J4:J32" si="2">J3</f>
        <v>10.487297712684205</v>
      </c>
      <c r="K4" s="13">
        <f>'FS Desroches Daily'!CN6</f>
        <v>24</v>
      </c>
    </row>
    <row r="5" spans="1:13" s="16" customFormat="1" x14ac:dyDescent="0.25">
      <c r="A5" s="1" t="s">
        <v>11</v>
      </c>
      <c r="B5" s="10">
        <v>4</v>
      </c>
      <c r="C5" s="11">
        <v>10</v>
      </c>
      <c r="D5" s="1">
        <v>2022</v>
      </c>
      <c r="E5" s="12" t="e">
        <f>Submetering!E5+Submetering!F5+Submetering!G5+Submetering!H5+Submetering!J5-Submetering!AV5</f>
        <v>#VALUE!</v>
      </c>
      <c r="F5" s="11">
        <f t="shared" si="0"/>
        <v>0.58765030286592534</v>
      </c>
      <c r="G5" s="12">
        <f>(Submetering!AX5+Submetering!AY5+Submetering!AZ5+Submetering!BA5+Submetering!BB5)</f>
        <v>0</v>
      </c>
      <c r="H5" s="11">
        <f t="shared" si="1"/>
        <v>0.99</v>
      </c>
      <c r="I5" s="12" t="e">
        <f>'FS Desroches Daily'!CM7</f>
        <v>#VALUE!</v>
      </c>
      <c r="J5" s="11">
        <f t="shared" si="2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0">
        <v>5</v>
      </c>
      <c r="C6" s="11">
        <v>10</v>
      </c>
      <c r="D6" s="1">
        <v>2022</v>
      </c>
      <c r="E6" s="12">
        <f>Submetering!E6+Submetering!F6+Submetering!G6+Submetering!H6+Submetering!J6-Submetering!AV6</f>
        <v>0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>
        <f>'FS Desroches Daily'!CM8</f>
        <v>0</v>
      </c>
      <c r="J6" s="11">
        <f t="shared" si="2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0">
        <v>6</v>
      </c>
      <c r="C7" s="11">
        <v>10</v>
      </c>
      <c r="D7" s="1">
        <v>2022</v>
      </c>
      <c r="E7" s="12">
        <f>Submetering!E7+Submetering!F7+Submetering!G7+Submetering!H7+Submetering!J7-Submetering!AV7</f>
        <v>0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0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10</v>
      </c>
      <c r="D8" s="1">
        <v>2022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10</v>
      </c>
      <c r="D9" s="1">
        <v>2022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10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10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10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10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10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10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10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10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10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10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10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10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10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10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10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10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10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10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10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10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10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10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10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3" sqref="F1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2022</v>
      </c>
      <c r="E2" s="31">
        <f>'FS Desroches Daily'!D4</f>
        <v>2800.0000000001355</v>
      </c>
      <c r="F2" s="32">
        <f>'FS Desroches Daily'!F4</f>
        <v>3300.0000000003029</v>
      </c>
      <c r="G2" s="31">
        <f>'FS Desroches Daily'!H4</f>
        <v>3800.0000000000255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2000.0000000002237</v>
      </c>
      <c r="K2" s="13">
        <f>'FS Desroches Daily'!P4</f>
        <v>34</v>
      </c>
      <c r="L2" s="31">
        <f>'FS Desroches Daily'!R4</f>
        <v>4</v>
      </c>
      <c r="M2" s="31">
        <f>'FS Desroches Daily'!T4</f>
        <v>1.7000000000000455</v>
      </c>
      <c r="N2" s="31">
        <f>'FS Desroches Daily'!V4</f>
        <v>538.69999999995343</v>
      </c>
      <c r="O2" s="31">
        <f>'FS Desroches Daily'!X4</f>
        <v>370.00000000000455</v>
      </c>
      <c r="P2" s="31">
        <f>'FS Desroches Daily'!Z4</f>
        <v>2900.0000000003465</v>
      </c>
      <c r="Q2" s="31">
        <f>'FS Desroches Daily'!AB4</f>
        <v>430.00000000006366</v>
      </c>
      <c r="R2" s="31">
        <f>'FS Desroches Daily'!AD4</f>
        <v>490.00000000000909</v>
      </c>
      <c r="S2" s="31">
        <f>'FS Desroches Daily'!AF4</f>
        <v>1030.0000000000864</v>
      </c>
      <c r="T2" s="31">
        <f>'FS Desroches Daily'!AH4</f>
        <v>38</v>
      </c>
      <c r="U2" s="35">
        <f>'FS Desroches Daily'!AJ4</f>
        <v>929.99999999994998</v>
      </c>
      <c r="V2" s="35">
        <f>'FS Desroches Daily'!AL4</f>
        <v>250</v>
      </c>
      <c r="W2" s="35">
        <f>'FS Desroches Daily'!AN4</f>
        <v>250</v>
      </c>
      <c r="X2" s="35">
        <f>'FS Desroches Daily'!AP4</f>
        <v>300.00000000001137</v>
      </c>
      <c r="Y2" s="35">
        <f>'FS Desroches Daily'!AR4</f>
        <v>170.00000000001592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170.00000000001592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60.000000000002274</v>
      </c>
      <c r="AF2" s="31">
        <f>'FS Desroches Daily'!BF4</f>
        <v>38</v>
      </c>
      <c r="AG2" s="32">
        <f>'FS Desroches Daily'!BH4</f>
        <v>39.999999999992042</v>
      </c>
      <c r="AH2" s="32">
        <f>'FS Desroches Daily'!BJ4</f>
        <v>39.99999999996362</v>
      </c>
      <c r="AI2" s="32">
        <f>'FS Desroches Daily'!BL4</f>
        <v>39.99999999996362</v>
      </c>
      <c r="AJ2" s="32">
        <f>'FS Desroches Daily'!BN4</f>
        <v>40.000000000020464</v>
      </c>
      <c r="AK2" s="32">
        <f>'FS Desroches Daily'!BP4</f>
        <v>29.999999999972715</v>
      </c>
      <c r="AL2" s="32">
        <f>'FS Desroches Daily'!BR4</f>
        <v>40</v>
      </c>
      <c r="AM2" s="32">
        <f>'FS Desroches Daily'!BT4</f>
        <v>39.999999999992042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46</v>
      </c>
      <c r="AQ2" s="31">
        <f>'FS Desroches Daily'!CB4</f>
        <v>58.69999999999709</v>
      </c>
      <c r="AR2" s="31">
        <f>'FS Desroches Daily'!CD4</f>
        <v>11</v>
      </c>
      <c r="AS2" s="31">
        <f>'FS Desroches Daily'!CF4</f>
        <v>0</v>
      </c>
      <c r="AT2" s="31">
        <f>'FS Desroches Daily'!CH4</f>
        <v>64.900000000008731</v>
      </c>
      <c r="AU2" s="31">
        <f>'FS Desroches Daily'!CJ4</f>
        <v>285</v>
      </c>
      <c r="AV2" s="31">
        <f>'FS Desroches Daily'!CL4</f>
        <v>800.0000000001819</v>
      </c>
      <c r="AW2" s="31">
        <f>'FS Desroches Daily'!CM4</f>
        <v>161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v>2</v>
      </c>
      <c r="C3" s="18">
        <v>10</v>
      </c>
      <c r="D3" s="27">
        <v>2022</v>
      </c>
      <c r="E3" s="31">
        <f>'FS Desroches Daily'!D5</f>
        <v>2099.9999999999909</v>
      </c>
      <c r="F3" s="32">
        <f>'FS Desroches Daily'!F5</f>
        <v>3099.9999999998809</v>
      </c>
      <c r="G3" s="31">
        <f>'FS Desroches Daily'!H5</f>
        <v>3499.9999999998367</v>
      </c>
      <c r="H3" s="32">
        <f>'FS Desroches Daily'!J5</f>
        <v>1500.0000000000568</v>
      </c>
      <c r="I3" s="31">
        <f>'FS Desroches Daily'!L5</f>
        <v>2000.0000000002237</v>
      </c>
      <c r="J3" s="32">
        <f>'FS Desroches Daily'!N5</f>
        <v>1700.0000000000348</v>
      </c>
      <c r="K3" s="13">
        <f>'FS Desroches Daily'!P5</f>
        <v>33</v>
      </c>
      <c r="L3" s="31">
        <f>'FS Desroches Daily'!R5</f>
        <v>5</v>
      </c>
      <c r="M3" s="31">
        <f>'FS Desroches Daily'!T5</f>
        <v>1.5</v>
      </c>
      <c r="N3" s="31">
        <f>'FS Desroches Daily'!V5</f>
        <v>493.90000000002328</v>
      </c>
      <c r="O3" s="31">
        <f>'FS Desroches Daily'!X6</f>
        <v>349.99999999990905</v>
      </c>
      <c r="P3" s="31">
        <f>'FS Desroches Daily'!Z5</f>
        <v>3000.0000000001137</v>
      </c>
      <c r="Q3" s="31">
        <f>'FS Desroches Daily'!AB5</f>
        <v>219.9999999999136</v>
      </c>
      <c r="R3" s="31">
        <f>'FS Desroches Daily'!AD5</f>
        <v>440.00000000005457</v>
      </c>
      <c r="S3" s="31">
        <f>'FS Desroches Daily'!AF5</f>
        <v>889.99999999998636</v>
      </c>
      <c r="T3" s="31">
        <f>'FS Desroches Daily'!AH5</f>
        <v>43</v>
      </c>
      <c r="U3" s="35">
        <f>'FS Desroches Daily'!AJ5</f>
        <v>670.00000000007276</v>
      </c>
      <c r="V3" s="35">
        <f>'FS Desroches Daily'!AL5</f>
        <v>180.00000000000682</v>
      </c>
      <c r="W3" s="35">
        <f>'FS Desroches Daily'!AN5</f>
        <v>170.00000000001592</v>
      </c>
      <c r="X3" s="35">
        <f>'FS Desroches Daily'!AP5</f>
        <v>160.00000000002501</v>
      </c>
      <c r="Y3" s="35">
        <f>'FS Desroches Daily'!AR5</f>
        <v>120.00000000000455</v>
      </c>
      <c r="Z3" s="35">
        <f>'FS Desroches Daily'!AT5</f>
        <v>100.00000000002274</v>
      </c>
      <c r="AA3" s="35">
        <f>'FS Desroches Daily'!AT5</f>
        <v>100.00000000002274</v>
      </c>
      <c r="AB3" s="35">
        <f>'FS Desroches Daily'!AV5</f>
        <v>160.00000000002501</v>
      </c>
      <c r="AC3" s="35">
        <f>'FS Desroches Daily'!AZ5</f>
        <v>110.00000000001364</v>
      </c>
      <c r="AD3" s="35">
        <f>'FS Desroches Daily'!BB5</f>
        <v>129.99999999999545</v>
      </c>
      <c r="AE3" s="35">
        <f>'FS Desroches Daily'!BD5</f>
        <v>39.99999999996362</v>
      </c>
      <c r="AF3" s="31">
        <f>'FS Desroches Daily'!BF5</f>
        <v>52</v>
      </c>
      <c r="AG3" s="32">
        <f>'FS Desroches Daily'!BH5</f>
        <v>30.000000000001137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39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30.000000000001137</v>
      </c>
      <c r="AP3" s="32">
        <f>'FS Desroches Daily'!BZ5</f>
        <v>35</v>
      </c>
      <c r="AQ3" s="31">
        <f>'FS Desroches Daily'!CB5</f>
        <v>55.69999999999709</v>
      </c>
      <c r="AR3" s="31">
        <f>'FS Desroches Daily'!CD5</f>
        <v>13.299999999999272</v>
      </c>
      <c r="AS3" s="31">
        <f>'FS Desroches Daily'!CF5</f>
        <v>9.6000000000003638</v>
      </c>
      <c r="AT3" s="31">
        <f>'FS Desroches Daily'!CH5</f>
        <v>65</v>
      </c>
      <c r="AU3" s="31">
        <f>'FS Desroches Daily'!CJ5</f>
        <v>246</v>
      </c>
      <c r="AV3" s="31">
        <f>'FS Desroches Daily'!CL5</f>
        <v>899.99999999986358</v>
      </c>
      <c r="AW3" s="31">
        <f>'FS Desroches Daily'!CM5</f>
        <v>138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32</v>
      </c>
      <c r="BD3" s="9"/>
    </row>
    <row r="4" spans="1:56" s="16" customFormat="1" x14ac:dyDescent="0.25">
      <c r="A4" s="27" t="s">
        <v>11</v>
      </c>
      <c r="B4" s="15">
        <v>3</v>
      </c>
      <c r="C4" s="18">
        <v>10</v>
      </c>
      <c r="D4" s="27">
        <v>2022</v>
      </c>
      <c r="E4" s="31">
        <f>'FS Desroches Daily'!D6</f>
        <v>2200.0000000002019</v>
      </c>
      <c r="F4" s="32">
        <f>'FS Desroches Daily'!F6</f>
        <v>3099.9999999998809</v>
      </c>
      <c r="G4" s="31">
        <f>'FS Desroches Daily'!H6</f>
        <v>3600.0000000004916</v>
      </c>
      <c r="H4" s="32">
        <f>'FS Desroches Daily'!J6</f>
        <v>1399.9999999998458</v>
      </c>
      <c r="I4" s="31">
        <f>'FS Desroches Daily'!L6</f>
        <v>1900.0000000000127</v>
      </c>
      <c r="J4" s="32">
        <f>'FS Desroches Daily'!N6</f>
        <v>1599.9999999998238</v>
      </c>
      <c r="K4" s="13">
        <f>'FS Desroches Daily'!P6</f>
        <v>35</v>
      </c>
      <c r="L4" s="31">
        <f>'FS Desroches Daily'!R6</f>
        <v>5</v>
      </c>
      <c r="M4" s="31">
        <f>'FS Desroches Daily'!T6</f>
        <v>1.5</v>
      </c>
      <c r="N4" s="31">
        <f>'FS Desroches Daily'!V6</f>
        <v>504.59999999997672</v>
      </c>
      <c r="O4" s="31" t="str">
        <f>'FS Desroches Daily'!X7</f>
        <v/>
      </c>
      <c r="P4" s="31">
        <f>'FS Desroches Daily'!Z6</f>
        <v>2899.9999999994584</v>
      </c>
      <c r="Q4" s="31">
        <f>'FS Desroches Daily'!AB6</f>
        <v>410.00000000008185</v>
      </c>
      <c r="R4" s="31">
        <f>'FS Desroches Daily'!AD6</f>
        <v>399.99999999997726</v>
      </c>
      <c r="S4" s="31">
        <f>'FS Desroches Daily'!AF6</f>
        <v>769.99999999998181</v>
      </c>
      <c r="T4" s="31">
        <f>'FS Desroches Daily'!AH6</f>
        <v>37</v>
      </c>
      <c r="U4" s="35">
        <f>'FS Desroches Daily'!AJ6</f>
        <v>610.00000000001364</v>
      </c>
      <c r="V4" s="35">
        <f>'FS Desroches Daily'!AL6</f>
        <v>169.99999999995907</v>
      </c>
      <c r="W4" s="35">
        <f>'FS Desroches Daily'!AN6</f>
        <v>149.99999999997726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89.999999999974989</v>
      </c>
      <c r="AA4" s="35">
        <f>'FS Desroches Daily'!AT6</f>
        <v>89.999999999974989</v>
      </c>
      <c r="AB4" s="35">
        <f>'FS Desroches Daily'!AV6</f>
        <v>109.9999999999568</v>
      </c>
      <c r="AC4" s="35">
        <f>'FS Desroches Daily'!AZ6</f>
        <v>100.00000000002274</v>
      </c>
      <c r="AD4" s="35">
        <f>'FS Desroches Daily'!BB6</f>
        <v>100.00000000002274</v>
      </c>
      <c r="AE4" s="35">
        <f>'FS Desroches Daily'!BD6</f>
        <v>50.000000000011369</v>
      </c>
      <c r="AF4" s="31">
        <f>'FS Desroches Daily'!BF6</f>
        <v>40</v>
      </c>
      <c r="AG4" s="32">
        <f>'FS Desroches Daily'!BH6</f>
        <v>40.000000000020464</v>
      </c>
      <c r="AH4" s="32">
        <f>'FS Desroches Daily'!BJ6</f>
        <v>29.999999999972715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37</v>
      </c>
      <c r="AM4" s="32">
        <f>'FS Desroches Daily'!BT6</f>
        <v>39.999999999992042</v>
      </c>
      <c r="AN4" s="32">
        <f>'FS Desroches Daily'!BV6</f>
        <v>39</v>
      </c>
      <c r="AO4" s="32">
        <f>'FS Desroches Daily'!BX6</f>
        <v>50.000000000011369</v>
      </c>
      <c r="AP4" s="32">
        <f>'FS Desroches Daily'!BZ6</f>
        <v>48</v>
      </c>
      <c r="AQ4" s="31">
        <f>'FS Desroches Daily'!CB6</f>
        <v>47.900000000001455</v>
      </c>
      <c r="AR4" s="31">
        <f>'FS Desroches Daily'!CD6</f>
        <v>10.299999999999272</v>
      </c>
      <c r="AS4" s="31">
        <f>'FS Desroches Daily'!CF6</f>
        <v>2.8999999999996362</v>
      </c>
      <c r="AT4" s="31">
        <f>'FS Desroches Daily'!CH6</f>
        <v>64.19999999999709</v>
      </c>
      <c r="AU4" s="31">
        <f>'FS Desroches Daily'!CJ6</f>
        <v>322</v>
      </c>
      <c r="AV4" s="31">
        <f>'FS Desroches Daily'!CL6</f>
        <v>1000</v>
      </c>
      <c r="AW4" s="31">
        <f>'FS Desroches Daily'!CM6</f>
        <v>115.69999999999709</v>
      </c>
      <c r="AX4" s="31" t="str">
        <f>IF(LPG!F11-LPG!F10&lt;0,"0",(LPG!F11-LPG!F10)*1.8315)</f>
        <v>0</v>
      </c>
      <c r="AY4" s="31" t="str">
        <f>IF(LPG!H11-LPG!H10&lt;0,"0",(LPG!H11-LPG!H10)*1.8315)</f>
        <v>0</v>
      </c>
      <c r="AZ4" s="31" t="str">
        <f>IF(LPG!J13-LPG!J10&lt;0,"0",(LPG!J13-LPG!J10)*1.8315)</f>
        <v>0</v>
      </c>
      <c r="BA4" s="31" t="str">
        <f>IF(LPG!M11-LPG!M10&lt;0,"0",(LPG!M11-LPG!M10)*1.8315)</f>
        <v>0</v>
      </c>
      <c r="BB4" s="31" t="str">
        <f>IF(LPG!Q11-LPG!Q10&lt;0,"0",(LPG!Q11-LPG!Q10)*1.8315)</f>
        <v>0</v>
      </c>
      <c r="BC4" s="13">
        <f>'FS Desroches Daily'!CN6</f>
        <v>24</v>
      </c>
      <c r="BD4" s="9"/>
    </row>
    <row r="5" spans="1:56" s="16" customFormat="1" x14ac:dyDescent="0.25">
      <c r="A5" s="27" t="s">
        <v>11</v>
      </c>
      <c r="B5" s="15">
        <v>4</v>
      </c>
      <c r="C5" s="18">
        <v>10</v>
      </c>
      <c r="D5" s="27">
        <v>2022</v>
      </c>
      <c r="E5" s="31" t="str">
        <f>'FS Desroches Daily'!D7</f>
        <v>0</v>
      </c>
      <c r="F5" s="32" t="str">
        <f>'FS Desroches Daily'!F7</f>
        <v>0</v>
      </c>
      <c r="G5" s="31" t="str">
        <f>'FS Desroches Daily'!H7</f>
        <v>0</v>
      </c>
      <c r="H5" s="32" t="str">
        <f>'FS Desroches Daily'!J7</f>
        <v>0</v>
      </c>
      <c r="I5" s="31" t="str">
        <f>'FS Desroches Daily'!L7</f>
        <v>0</v>
      </c>
      <c r="J5" s="32" t="str">
        <f>'FS Desroches Daily'!N7</f>
        <v/>
      </c>
      <c r="K5" s="13" t="str">
        <f>'FS Desroches Daily'!P7</f>
        <v/>
      </c>
      <c r="L5" s="31" t="str">
        <f>'FS Desroches Daily'!R7</f>
        <v/>
      </c>
      <c r="M5" s="31" t="str">
        <f>'FS Desroches Daily'!T7</f>
        <v/>
      </c>
      <c r="N5" s="31" t="str">
        <f>'FS Desroches Daily'!V7</f>
        <v/>
      </c>
      <c r="O5" s="31">
        <f>'FS Desroches Daily'!X8</f>
        <v>0</v>
      </c>
      <c r="P5" s="31" t="str">
        <f>'FS Desroches Daily'!Z7</f>
        <v/>
      </c>
      <c r="Q5" s="31" t="str">
        <f>'FS Desroches Daily'!AB7</f>
        <v/>
      </c>
      <c r="R5" s="31" t="str">
        <f>'FS Desroches Daily'!AD7</f>
        <v/>
      </c>
      <c r="S5" s="31" t="str">
        <f>'FS Desroches Daily'!AF7</f>
        <v/>
      </c>
      <c r="T5" s="31" t="str">
        <f>'FS Desroches Daily'!AH7</f>
        <v/>
      </c>
      <c r="U5" s="35" t="str">
        <f>'FS Desroches Daily'!AJ7</f>
        <v/>
      </c>
      <c r="V5" s="35" t="str">
        <f>'FS Desroches Daily'!AL7</f>
        <v/>
      </c>
      <c r="W5" s="35" t="str">
        <f>'FS Desroches Daily'!AN7</f>
        <v/>
      </c>
      <c r="X5" s="35" t="str">
        <f>'FS Desroches Daily'!AP7</f>
        <v/>
      </c>
      <c r="Y5" s="35" t="str">
        <f>'FS Desroches Daily'!AR7</f>
        <v/>
      </c>
      <c r="Z5" s="35" t="str">
        <f>'FS Desroches Daily'!AT7</f>
        <v/>
      </c>
      <c r="AA5" s="35" t="str">
        <f>'FS Desroches Daily'!AT7</f>
        <v/>
      </c>
      <c r="AB5" s="35" t="str">
        <f>'FS Desroches Daily'!AV7</f>
        <v/>
      </c>
      <c r="AC5" s="35" t="str">
        <f>'FS Desroches Daily'!AZ7</f>
        <v/>
      </c>
      <c r="AD5" s="35" t="str">
        <f>'FS Desroches Daily'!BB7</f>
        <v/>
      </c>
      <c r="AE5" s="35" t="str">
        <f>'FS Desroches Daily'!BD7</f>
        <v/>
      </c>
      <c r="AF5" s="31" t="str">
        <f>'FS Desroches Daily'!BF7</f>
        <v/>
      </c>
      <c r="AG5" s="32" t="str">
        <f>'FS Desroches Daily'!BH7</f>
        <v/>
      </c>
      <c r="AH5" s="32" t="str">
        <f>'FS Desroches Daily'!BJ7</f>
        <v/>
      </c>
      <c r="AI5" s="32" t="str">
        <f>'FS Desroches Daily'!BL7</f>
        <v/>
      </c>
      <c r="AJ5" s="32" t="str">
        <f>'FS Desroches Daily'!BN7</f>
        <v/>
      </c>
      <c r="AK5" s="32" t="str">
        <f>'FS Desroches Daily'!BP7</f>
        <v/>
      </c>
      <c r="AL5" s="32" t="str">
        <f>'FS Desroches Daily'!BR7</f>
        <v/>
      </c>
      <c r="AM5" s="32" t="str">
        <f>'FS Desroches Daily'!BT7</f>
        <v/>
      </c>
      <c r="AN5" s="32" t="str">
        <f>'FS Desroches Daily'!BV7</f>
        <v/>
      </c>
      <c r="AO5" s="32" t="str">
        <f>'FS Desroches Daily'!BX7</f>
        <v/>
      </c>
      <c r="AP5" s="32" t="str">
        <f>'FS Desroches Daily'!BZ7</f>
        <v/>
      </c>
      <c r="AQ5" s="31" t="str">
        <f>'FS Desroches Daily'!CB7</f>
        <v/>
      </c>
      <c r="AR5" s="31" t="str">
        <f>'FS Desroches Daily'!CD7</f>
        <v/>
      </c>
      <c r="AS5" s="31" t="str">
        <f>'FS Desroches Daily'!CF7</f>
        <v/>
      </c>
      <c r="AT5" s="31" t="str">
        <f>'FS Desroches Daily'!CH7</f>
        <v/>
      </c>
      <c r="AU5" s="31" t="str">
        <f>'FS Desroches Daily'!CJ7</f>
        <v/>
      </c>
      <c r="AV5" s="31" t="str">
        <f>'FS Desroches Daily'!CL7</f>
        <v/>
      </c>
      <c r="AW5" s="31" t="e">
        <f>'FS Desroches Daily'!CM7</f>
        <v>#VALUE!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v>5</v>
      </c>
      <c r="C6" s="18">
        <v>10</v>
      </c>
      <c r="D6" s="27">
        <v>2022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v>6</v>
      </c>
      <c r="C7" s="18">
        <v>10</v>
      </c>
      <c r="D7" s="27">
        <v>2022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10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10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10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10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10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10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10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10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10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10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10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10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10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10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10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10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10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10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10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10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10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10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10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10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10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7100.0000000003283</v>
      </c>
      <c r="F33" s="17">
        <f t="shared" ref="F33:BC33" si="0">SUM(F2:F32)</f>
        <v>9500.0000000000655</v>
      </c>
      <c r="G33" s="17">
        <f t="shared" si="0"/>
        <v>10900.000000000353</v>
      </c>
      <c r="H33" s="17">
        <f t="shared" si="0"/>
        <v>4499.9999999997272</v>
      </c>
      <c r="I33" s="17">
        <f t="shared" si="0"/>
        <v>6000.0000000002274</v>
      </c>
      <c r="J33" s="17">
        <f t="shared" si="0"/>
        <v>5300.0000000000819</v>
      </c>
      <c r="K33" s="17">
        <f t="shared" si="0"/>
        <v>102</v>
      </c>
      <c r="L33" s="17">
        <f t="shared" si="0"/>
        <v>14</v>
      </c>
      <c r="M33" s="17">
        <f t="shared" si="0"/>
        <v>4.7000000000000455</v>
      </c>
      <c r="N33" s="17">
        <f t="shared" si="0"/>
        <v>1537.1999999999534</v>
      </c>
      <c r="O33" s="17">
        <f t="shared" si="0"/>
        <v>719.9999999999136</v>
      </c>
      <c r="P33" s="17">
        <f t="shared" si="0"/>
        <v>8799.9999999999181</v>
      </c>
      <c r="Q33" s="17">
        <f t="shared" si="0"/>
        <v>1060.0000000000591</v>
      </c>
      <c r="R33" s="17">
        <f t="shared" si="0"/>
        <v>1330.0000000000409</v>
      </c>
      <c r="S33" s="17">
        <f t="shared" si="0"/>
        <v>2690.0000000000546</v>
      </c>
      <c r="T33" s="17">
        <f t="shared" si="0"/>
        <v>118</v>
      </c>
      <c r="U33" s="35">
        <f t="shared" si="0"/>
        <v>2210.0000000000364</v>
      </c>
      <c r="V33" s="35">
        <f t="shared" si="0"/>
        <v>599.99999999996589</v>
      </c>
      <c r="W33" s="35">
        <f t="shared" si="0"/>
        <v>569.99999999999318</v>
      </c>
      <c r="X33" s="35">
        <f t="shared" si="0"/>
        <v>629.99999999999545</v>
      </c>
      <c r="Y33" s="35">
        <f t="shared" si="0"/>
        <v>430.00000000000682</v>
      </c>
      <c r="Z33" s="35">
        <f t="shared" si="0"/>
        <v>339.99999999997499</v>
      </c>
      <c r="AA33" s="35">
        <f t="shared" si="0"/>
        <v>339.99999999997499</v>
      </c>
      <c r="AB33" s="35">
        <f t="shared" si="0"/>
        <v>439.99999999999773</v>
      </c>
      <c r="AC33" s="35">
        <f t="shared" si="0"/>
        <v>330.00000000004093</v>
      </c>
      <c r="AD33" s="35">
        <f t="shared" si="0"/>
        <v>350.00000000002274</v>
      </c>
      <c r="AE33" s="35">
        <f t="shared" si="0"/>
        <v>149.99999999997726</v>
      </c>
      <c r="AF33" s="17">
        <f t="shared" si="0"/>
        <v>130</v>
      </c>
      <c r="AG33" s="32">
        <f t="shared" si="0"/>
        <v>110.00000000001364</v>
      </c>
      <c r="AH33" s="32">
        <f t="shared" si="0"/>
        <v>99.999999999965894</v>
      </c>
      <c r="AI33" s="32">
        <f t="shared" si="0"/>
        <v>159.99999999996817</v>
      </c>
      <c r="AJ33" s="32">
        <f t="shared" si="0"/>
        <v>110.00000000001364</v>
      </c>
      <c r="AK33" s="32">
        <f t="shared" si="0"/>
        <v>109.9999999999568</v>
      </c>
      <c r="AL33" s="32">
        <f t="shared" si="0"/>
        <v>116</v>
      </c>
      <c r="AM33" s="32">
        <f t="shared" si="0"/>
        <v>109.99999999998522</v>
      </c>
      <c r="AN33" s="32">
        <f t="shared" si="0"/>
        <v>113</v>
      </c>
      <c r="AO33" s="32">
        <f t="shared" si="0"/>
        <v>120.00000000000455</v>
      </c>
      <c r="AP33" s="32">
        <f t="shared" si="0"/>
        <v>129</v>
      </c>
      <c r="AQ33" s="17">
        <f t="shared" si="0"/>
        <v>162.29999999999563</v>
      </c>
      <c r="AR33" s="17">
        <f t="shared" si="0"/>
        <v>34.599999999998545</v>
      </c>
      <c r="AS33" s="17">
        <f t="shared" si="0"/>
        <v>12.5</v>
      </c>
      <c r="AT33" s="17">
        <f t="shared" si="0"/>
        <v>194.10000000000582</v>
      </c>
      <c r="AU33" s="17">
        <f t="shared" si="0"/>
        <v>853</v>
      </c>
      <c r="AV33" s="17">
        <f t="shared" si="0"/>
        <v>2700.0000000000455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12.820499999999999</v>
      </c>
      <c r="BC33" s="17">
        <f t="shared" si="0"/>
        <v>88</v>
      </c>
    </row>
    <row r="35" spans="5:55" x14ac:dyDescent="0.25">
      <c r="E35" s="38">
        <f>E33/E37</f>
        <v>0.24966593993952424</v>
      </c>
      <c r="G35" s="29">
        <f>G33-M36</f>
        <v>9358.1000000003987</v>
      </c>
      <c r="AE35" s="35">
        <f>SUM(U33:AE33)</f>
        <v>6389.9999999999864</v>
      </c>
      <c r="AG35" s="32">
        <f>SUM(AG33:AP33)</f>
        <v>1177.9999999999079</v>
      </c>
    </row>
    <row r="36" spans="5:55" x14ac:dyDescent="0.25">
      <c r="G36" s="29">
        <f>G35-633*14</f>
        <v>496.10000000039872</v>
      </c>
      <c r="M36" s="29">
        <f>M33+N33</f>
        <v>1541.8999999999535</v>
      </c>
    </row>
    <row r="37" spans="5:55" x14ac:dyDescent="0.25">
      <c r="E37" s="17">
        <f>E33+F33+G33+H33+J33-633*14</f>
        <v>28438.000000000553</v>
      </c>
      <c r="G37" s="37">
        <f>M36/E37</f>
        <v>5.4219706027144085E-2</v>
      </c>
      <c r="M37" s="35">
        <f>AE35</f>
        <v>6389.9999999999864</v>
      </c>
    </row>
    <row r="38" spans="5:55" x14ac:dyDescent="0.25">
      <c r="L38" s="27">
        <f>M38/E37</f>
        <v>4.1423447499820132E-2</v>
      </c>
      <c r="M38" s="29">
        <f>AG35</f>
        <v>1177.9999999999079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CE1" zoomScale="82" zoomScaleNormal="82" workbookViewId="0">
      <pane ySplit="1" topLeftCell="A2" activePane="bottomLeft" state="frozen"/>
      <selection pane="bottomLeft" activeCell="CR13" sqref="CR1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44834</v>
      </c>
      <c r="B3" s="68"/>
      <c r="C3" s="58">
        <v>3.5179999999999998</v>
      </c>
      <c r="D3" s="64" t="e">
        <f t="shared" ref="D3" si="0">IF((C3-C2&lt;0), "0",(C3-C2)*1000000)</f>
        <v>#VALUE!</v>
      </c>
      <c r="E3" s="58">
        <v>4.7146999999999997</v>
      </c>
      <c r="F3" s="64" t="e">
        <f t="shared" ref="F3" si="1">IF((E3-E2&lt;0), "0",(E3-E2)*1000000)</f>
        <v>#VALUE!</v>
      </c>
      <c r="G3" s="58">
        <v>4.6962999999999999</v>
      </c>
      <c r="H3" s="64" t="e">
        <f t="shared" ref="H3" si="2">IF((G3-G2&lt;0), "0",(G3-G2)*1000000)</f>
        <v>#VALUE!</v>
      </c>
      <c r="I3" s="58">
        <v>2.3408000000000002</v>
      </c>
      <c r="J3" s="64" t="e">
        <f t="shared" ref="J3" si="3">IF((I3-I2&lt;0), "0",(I3-I2)*1000000)</f>
        <v>#VALUE!</v>
      </c>
      <c r="K3" s="58">
        <v>3.6162999999999998</v>
      </c>
      <c r="L3" s="64" t="e">
        <f t="shared" ref="L3" si="4">IF((K3-K2&lt;0), "0",(K3-K2)*1000000)</f>
        <v>#VALUE!</v>
      </c>
      <c r="M3" s="58">
        <v>2.1366999999999998</v>
      </c>
      <c r="N3" s="64" t="e">
        <f t="shared" ref="N3" si="5">IF((M3-M2&lt;0), "",(M3-M2)*1000000)</f>
        <v>#VALUE!</v>
      </c>
      <c r="O3" s="58">
        <v>24064</v>
      </c>
      <c r="P3" s="67" t="e">
        <f t="shared" ref="P3" si="6">IF((O3-O2&lt;0), "",O3-O2)</f>
        <v>#VALUE!</v>
      </c>
      <c r="Q3" s="58">
        <v>2966</v>
      </c>
      <c r="R3" s="67" t="e">
        <f t="shared" ref="R3" si="7">IF((Q3-Q2&lt;0), "",Q3-Q2)</f>
        <v>#VALUE!</v>
      </c>
      <c r="S3" s="58">
        <v>1505.6</v>
      </c>
      <c r="T3" s="67" t="e">
        <f t="shared" ref="T3" si="8">IF((S3-S2&lt;0), "",S3-S2)*1000</f>
        <v>#VALUE!</v>
      </c>
      <c r="U3" s="58">
        <v>601580.5</v>
      </c>
      <c r="V3" s="67" t="e">
        <f t="shared" ref="V3" si="9">IF((U3-U2&lt;0), "",U3-U2)</f>
        <v>#VALUE!</v>
      </c>
      <c r="W3" s="58">
        <v>549.51</v>
      </c>
      <c r="X3" s="65" t="e">
        <f t="shared" ref="X3" si="10">IF((W3-W2&lt;0), "",(W3-W2)*1000)</f>
        <v>#VALUE!</v>
      </c>
      <c r="Y3" s="58">
        <v>4.1555</v>
      </c>
      <c r="Z3" s="65" t="e">
        <f t="shared" ref="Z3" si="11">IF((Y3-Y2&lt;0), "",(Y3-Y2)*1000000)</f>
        <v>#VALUE!</v>
      </c>
      <c r="AA3" s="58">
        <v>558.16</v>
      </c>
      <c r="AB3" s="65" t="e">
        <f t="shared" ref="AB3" si="12">IF((AA3-AA2&lt;0), "",(AA3-AA2)*1000)</f>
        <v>#VALUE!</v>
      </c>
      <c r="AC3" s="58">
        <v>552.41</v>
      </c>
      <c r="AD3" s="65" t="e">
        <f t="shared" ref="AD3" si="13">IF((AC3-AC2&lt;0), "",(AC3-AC2)*1000)</f>
        <v>#VALUE!</v>
      </c>
      <c r="AE3" s="58">
        <v>854.17</v>
      </c>
      <c r="AF3" s="65" t="e">
        <f t="shared" ref="AF3" si="14">IF((AE3-AE2&lt;0), "",(AE3-AE2)*1000)</f>
        <v>#VALUE!</v>
      </c>
      <c r="AG3" s="58">
        <v>21753</v>
      </c>
      <c r="AH3" s="67" t="e">
        <f t="shared" ref="AH3" si="15">IF((AG3-AG2&lt;0), "",AG3-AG2)</f>
        <v>#VALUE!</v>
      </c>
      <c r="AI3" s="58">
        <v>939.13</v>
      </c>
      <c r="AJ3" s="65" t="e">
        <f t="shared" ref="AJ3" si="16">IF((AI3-AI2&lt;0), "",(AI3-AI2)*1000)</f>
        <v>#VALUE!</v>
      </c>
      <c r="AK3" s="58">
        <v>312.23</v>
      </c>
      <c r="AL3" s="65" t="e">
        <f t="shared" ref="AL3" si="17">IF((AK3-AK2&lt;0), "",(AK3-AK2)*1000)</f>
        <v>#VALUE!</v>
      </c>
      <c r="AM3" s="58">
        <v>288.93</v>
      </c>
      <c r="AN3" s="65" t="e">
        <f t="shared" ref="AN3" si="18">IF((AM3-AM2&lt;0), "",(AM3-AM2)*1000)</f>
        <v>#VALUE!</v>
      </c>
      <c r="AO3" s="58">
        <v>278.89999999999998</v>
      </c>
      <c r="AP3" s="65" t="e">
        <f t="shared" ref="AP3" si="19">IF((AO3-AO2&lt;0), "",(AO3-AO2)*1000)</f>
        <v>#VALUE!</v>
      </c>
      <c r="AQ3" s="58">
        <v>332.03</v>
      </c>
      <c r="AR3" s="65" t="e">
        <f t="shared" ref="AR3" si="20">IF((AQ3-AQ2&lt;0), "",(AQ3-AQ2)*1000)</f>
        <v>#VALUE!</v>
      </c>
      <c r="AS3" s="58">
        <v>456.86</v>
      </c>
      <c r="AT3" s="65" t="e">
        <f t="shared" ref="AT3" si="21">IF((AS3-AS2&lt;0), "",(AS3-AS2)*1000)</f>
        <v>#VALUE!</v>
      </c>
      <c r="AU3" s="58">
        <v>363.96</v>
      </c>
      <c r="AV3" s="65" t="e">
        <f t="shared" ref="AV3" si="22">IF((AU3-AU2&lt;0), "",(AU3-AU2)*1000)</f>
        <v>#VALUE!</v>
      </c>
      <c r="AW3" s="58">
        <v>393.55</v>
      </c>
      <c r="AX3" s="65" t="e">
        <f t="shared" ref="AX3" si="23">IF((AW3-AW2&lt;0), "",(AW3-AW2)*1000)</f>
        <v>#VALUE!</v>
      </c>
      <c r="AY3" s="58">
        <v>429.27</v>
      </c>
      <c r="AZ3" s="65" t="e">
        <f t="shared" ref="AZ3" si="24">IF((AY3-AY2&lt;0), "",(AY3-AY2)*1000)</f>
        <v>#VALUE!</v>
      </c>
      <c r="BA3" s="58">
        <v>445.95</v>
      </c>
      <c r="BB3" s="65" t="e">
        <f t="shared" ref="BB3" si="25">IF((BA3-BA2&lt;0), "",(BA3-BA2)*1000)</f>
        <v>#VALUE!</v>
      </c>
      <c r="BC3" s="58">
        <v>285.74</v>
      </c>
      <c r="BD3" s="65" t="e">
        <f t="shared" ref="BD3" si="26">IF((BC3-BC2&lt;0), "",(BC3-BC2)*1000)</f>
        <v>#VALUE!</v>
      </c>
      <c r="BE3" s="59">
        <v>55792</v>
      </c>
      <c r="BF3" s="67" t="e">
        <f t="shared" ref="BF3" si="27">IF((BE3-BE2&lt;0), "",BE3-BE2)</f>
        <v>#VALUE!</v>
      </c>
      <c r="BG3" s="60">
        <v>252.63</v>
      </c>
      <c r="BH3" s="65" t="e">
        <f t="shared" ref="BH3" si="28">IF((BG3-BG2&lt;0), "",(BG3-BG2)*1000)</f>
        <v>#VALUE!</v>
      </c>
      <c r="BI3" s="60">
        <v>307.11</v>
      </c>
      <c r="BJ3" s="65" t="e">
        <f t="shared" ref="BJ3" si="29">IF((BI3-BI2&lt;0), "",(BI3-BI2)*1000)</f>
        <v>#VALUE!</v>
      </c>
      <c r="BK3" s="60">
        <v>257.49</v>
      </c>
      <c r="BL3" s="65" t="e">
        <f t="shared" ref="BL3" si="30">IF((BK3-BK2&lt;0), "",(BK3-BK2)*1000)</f>
        <v>#VALUE!</v>
      </c>
      <c r="BM3" s="60">
        <v>242.45</v>
      </c>
      <c r="BN3" s="65" t="e">
        <f t="shared" ref="BN3" si="31">IF((BM3-BM2&lt;0), "",(BM3-BM2)*1000)</f>
        <v>#VALUE!</v>
      </c>
      <c r="BO3" s="60">
        <v>311.17</v>
      </c>
      <c r="BP3" s="65" t="e">
        <f t="shared" ref="BP3" si="32">IF((BO3-BO2&lt;0), "",(BO3-BO2)*1000)</f>
        <v>#VALUE!</v>
      </c>
      <c r="BQ3" s="60">
        <v>60687</v>
      </c>
      <c r="BR3" s="65" t="e">
        <f t="shared" ref="BR3" si="33">IF((BQ3-BQ2&lt;0), "",BQ3-BQ2)</f>
        <v>#VALUE!</v>
      </c>
      <c r="BS3" s="60">
        <v>220.59</v>
      </c>
      <c r="BT3" s="65" t="e">
        <f t="shared" ref="BT3" si="34">IF((BS3-BS2&lt;0), "",(BS3-BS2)*1000)</f>
        <v>#VALUE!</v>
      </c>
      <c r="BU3" s="60">
        <v>58702</v>
      </c>
      <c r="BV3" s="65" t="e">
        <f t="shared" ref="BV3" si="35">IF((BU3-BU2&lt;0), "",BU3-BU2)</f>
        <v>#VALUE!</v>
      </c>
      <c r="BW3" s="60">
        <v>248.68</v>
      </c>
      <c r="BX3" s="65" t="e">
        <f t="shared" ref="BX3" si="36">IF((BW3-BW2&lt;0), "",(BW3-BW2)*1000)</f>
        <v>#VALUE!</v>
      </c>
      <c r="BY3" s="60">
        <v>79125</v>
      </c>
      <c r="BZ3" s="67" t="e">
        <f t="shared" ref="BZ3" si="37">IF((BY3-BY2&lt;0), "",BY3-BY2)</f>
        <v>#VALUE!</v>
      </c>
      <c r="CA3" s="60">
        <v>55174.8</v>
      </c>
      <c r="CB3" s="67" t="e">
        <f t="shared" ref="CB3" si="38">IF((CA3-CA2&lt;0), "",CA3-CA2)</f>
        <v>#VALUE!</v>
      </c>
      <c r="CC3" s="60">
        <v>17207.900000000001</v>
      </c>
      <c r="CD3" s="67" t="e">
        <f t="shared" ref="CD3" si="39">IF((CC3-CC2&lt;0), "",CC3-CC2)</f>
        <v>#VALUE!</v>
      </c>
      <c r="CE3" s="60">
        <v>8656.5</v>
      </c>
      <c r="CF3" s="67" t="e">
        <f t="shared" ref="CF3" si="40">IF((CE3-CE2&lt;0), "",CE3-CE2)</f>
        <v>#VALUE!</v>
      </c>
      <c r="CG3" s="60">
        <v>81213.7</v>
      </c>
      <c r="CH3" s="67" t="e">
        <f t="shared" ref="CH3" si="41">IF((CG3-CG2&lt;0), "",CG3-CG2)</f>
        <v>#VALUE!</v>
      </c>
      <c r="CI3" s="60">
        <v>1084196</v>
      </c>
      <c r="CJ3" s="67" t="e">
        <f t="shared" ref="CJ3" si="42">IF((CI3-CI2&lt;0), "",CI3-CI2)</f>
        <v>#VALUE!</v>
      </c>
      <c r="CK3" s="60">
        <v>1107.5999999999999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44</v>
      </c>
      <c r="CO3" s="62">
        <v>93</v>
      </c>
      <c r="CP3" s="68">
        <v>42109</v>
      </c>
      <c r="CQ3" s="67" t="e">
        <f t="shared" ref="CQ3" si="45">IF((CP3-CP2&lt;0), "",CP3-CP2)</f>
        <v>#VALUE!</v>
      </c>
      <c r="CR3" s="68">
        <v>24223</v>
      </c>
      <c r="CS3" s="67" t="e">
        <f t="shared" ref="CS3" si="46">IF((CR3-CR2&lt;0), "",CR3-CR2)</f>
        <v>#VALUE!</v>
      </c>
      <c r="CT3" s="75">
        <v>11543</v>
      </c>
      <c r="CU3" s="67" t="e">
        <f t="shared" ref="CU3" si="47">IF((CT3-CT2&lt;0), "",CT3-CT2)</f>
        <v>#VALUE!</v>
      </c>
      <c r="CV3" s="68">
        <v>27694</v>
      </c>
      <c r="CW3" s="67" t="e">
        <f t="shared" ref="CW3" si="48">IF((CV3-CV2&lt;0), "",CV3-CV2)</f>
        <v>#VALUE!</v>
      </c>
      <c r="CX3" s="58">
        <v>4452.3999999999996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44835</v>
      </c>
      <c r="B4" s="68"/>
      <c r="C4" s="58">
        <v>3.5207999999999999</v>
      </c>
      <c r="D4" s="64">
        <f t="shared" ref="D4:D34" si="50">IF((C4-C3&lt;0), "0",(C4-C3)*1000000)</f>
        <v>2800.0000000001355</v>
      </c>
      <c r="E4" s="58">
        <v>4.718</v>
      </c>
      <c r="F4" s="64">
        <f t="shared" ref="F4:F34" si="51">IF((E4-E3&lt;0), "0",(E4-E3)*1000000)</f>
        <v>3300.0000000003029</v>
      </c>
      <c r="G4" s="58">
        <v>4.7000999999999999</v>
      </c>
      <c r="H4" s="64">
        <f t="shared" ref="H4:H34" si="52">IF((G4-G3&lt;0), "0",(G4-G3)*1000000)</f>
        <v>3800.0000000000255</v>
      </c>
      <c r="I4" s="58">
        <v>2.3424</v>
      </c>
      <c r="J4" s="64">
        <f t="shared" ref="J4:J34" si="53">IF((I4-I3&lt;0), "0",(I4-I3)*1000000)</f>
        <v>1599.9999999998238</v>
      </c>
      <c r="K4" s="58">
        <v>3.6183999999999998</v>
      </c>
      <c r="L4" s="64">
        <f t="shared" ref="L4:L34" si="54">IF((K4-K3&lt;0), "0",(K4-K3)*1000000)</f>
        <v>2099.9999999999909</v>
      </c>
      <c r="M4" s="58">
        <v>2.1387</v>
      </c>
      <c r="N4" s="64">
        <f t="shared" ref="N4:N34" si="55">IF((M4-M3&lt;0), "",(M4-M3)*1000000)</f>
        <v>2000.0000000002237</v>
      </c>
      <c r="O4" s="58">
        <v>24098</v>
      </c>
      <c r="P4" s="67">
        <f t="shared" ref="P4:P34" si="56">IF((O4-O3&lt;0), "",O4-O3)</f>
        <v>34</v>
      </c>
      <c r="Q4" s="58">
        <v>2970</v>
      </c>
      <c r="R4" s="67">
        <f t="shared" ref="R4:R34" si="57">IF((Q4-Q3&lt;0), "",Q4-Q3)</f>
        <v>4</v>
      </c>
      <c r="S4" s="58">
        <v>1507.3</v>
      </c>
      <c r="T4" s="67">
        <f t="shared" ref="T4:T34" si="58">IF((S4-S3&lt;0), "",S4-S3)</f>
        <v>1.7000000000000455</v>
      </c>
      <c r="U4" s="58">
        <v>602119.19999999995</v>
      </c>
      <c r="V4" s="67">
        <f t="shared" ref="V4:V34" si="59">IF((U4-U3&lt;0), "",U4-U3)</f>
        <v>538.69999999995343</v>
      </c>
      <c r="W4" s="58">
        <v>549.88</v>
      </c>
      <c r="X4" s="65">
        <f t="shared" ref="X4:X34" si="60">IF((W4-W3&lt;0), "",(W4-W3)*1000)</f>
        <v>370.00000000000455</v>
      </c>
      <c r="Y4" s="58">
        <v>4.1584000000000003</v>
      </c>
      <c r="Z4" s="65">
        <f t="shared" ref="Z4:Z34" si="61">IF((Y4-Y3&lt;0), "",(Y4-Y3)*1000000)</f>
        <v>2900.0000000003465</v>
      </c>
      <c r="AA4" s="58">
        <v>558.59</v>
      </c>
      <c r="AB4" s="65">
        <f t="shared" ref="AB4:AB34" si="62">IF((AA4-AA3&lt;0), "",(AA4-AA3)*1000)</f>
        <v>430.00000000006366</v>
      </c>
      <c r="AC4" s="58">
        <v>552.9</v>
      </c>
      <c r="AD4" s="65">
        <f t="shared" ref="AD4:AD34" si="63">IF((AC4-AC3&lt;0), "",(AC4-AC3)*1000)</f>
        <v>490.00000000000909</v>
      </c>
      <c r="AE4" s="58">
        <v>855.2</v>
      </c>
      <c r="AF4" s="65">
        <f t="shared" ref="AF4:AF34" si="64">IF((AE4-AE3&lt;0), "",(AE4-AE3)*1000)</f>
        <v>1030.0000000000864</v>
      </c>
      <c r="AG4" s="58">
        <v>21791</v>
      </c>
      <c r="AH4" s="67">
        <f t="shared" ref="AH4:AH34" si="65">IF((AG4-AG3&lt;0), "",AG4-AG3)</f>
        <v>38</v>
      </c>
      <c r="AI4" s="58">
        <v>940.06</v>
      </c>
      <c r="AJ4" s="65">
        <f t="shared" ref="AJ4:AJ34" si="66">IF((AI4-AI3&lt;0), "",(AI4-AI3)*1000)</f>
        <v>929.99999999994998</v>
      </c>
      <c r="AK4" s="58">
        <v>312.48</v>
      </c>
      <c r="AL4" s="65">
        <f t="shared" ref="AL4:AL34" si="67">IF((AK4-AK3&lt;0), "",(AK4-AK3)*1000)</f>
        <v>250</v>
      </c>
      <c r="AM4" s="58">
        <v>289.18</v>
      </c>
      <c r="AN4" s="65">
        <f t="shared" ref="AN4:AN34" si="68">IF((AM4-AM3&lt;0), "",(AM4-AM3)*1000)</f>
        <v>250</v>
      </c>
      <c r="AO4" s="58">
        <v>279.2</v>
      </c>
      <c r="AP4" s="65">
        <f t="shared" ref="AP4:AP34" si="69">IF((AO4-AO3&lt;0), "",(AO4-AO3)*1000)</f>
        <v>300.00000000001137</v>
      </c>
      <c r="AQ4" s="58">
        <v>332.2</v>
      </c>
      <c r="AR4" s="65">
        <f t="shared" ref="AR4:AR34" si="70">IF((AQ4-AQ3&lt;0), "",(AQ4-AQ3)*1000)</f>
        <v>170.00000000001592</v>
      </c>
      <c r="AS4" s="58">
        <v>457.01</v>
      </c>
      <c r="AT4" s="65">
        <f t="shared" ref="AT4:AT34" si="71">IF((AS4-AS3&lt;0), "",(AS4-AS3)*1000)</f>
        <v>149.99999999997726</v>
      </c>
      <c r="AU4" s="58">
        <v>364.13</v>
      </c>
      <c r="AV4" s="65">
        <f t="shared" ref="AV4:AV34" si="72">IF((AU4-AU3&lt;0), "",(AU4-AU3)*1000)</f>
        <v>170.00000000001592</v>
      </c>
      <c r="AW4" s="58">
        <v>393.74</v>
      </c>
      <c r="AX4" s="65">
        <f t="shared" ref="AX4:AX34" si="73">IF((AW4-AW3&lt;0), "",(AW4-AW3)*1000)</f>
        <v>189.99999999999773</v>
      </c>
      <c r="AY4" s="58">
        <v>429.39</v>
      </c>
      <c r="AZ4" s="65">
        <f t="shared" ref="AZ4:AZ34" si="74">IF((AY4-AY3&lt;0), "",(AY4-AY3)*1000)</f>
        <v>120.00000000000455</v>
      </c>
      <c r="BA4" s="58">
        <v>446.07</v>
      </c>
      <c r="BB4" s="65">
        <f t="shared" ref="BB4:BB34" si="75">IF((BA4-BA3&lt;0), "",(BA4-BA3)*1000)</f>
        <v>120.00000000000455</v>
      </c>
      <c r="BC4" s="58">
        <v>285.8</v>
      </c>
      <c r="BD4" s="65">
        <f t="shared" ref="BD4:BD34" si="76">IF((BC4-BC3&lt;0), "",(BC4-BC3)*1000)</f>
        <v>60.000000000002274</v>
      </c>
      <c r="BE4" s="59">
        <v>55830</v>
      </c>
      <c r="BF4" s="67">
        <f t="shared" ref="BF4:BF34" si="77">IF((BE4-BE3&lt;0), "",BE4-BE3)</f>
        <v>38</v>
      </c>
      <c r="BG4" s="60">
        <v>252.67</v>
      </c>
      <c r="BH4" s="65">
        <f t="shared" ref="BH4:BH34" si="78">IF((BG4-BG3&lt;0), "",(BG4-BG3)*1000)</f>
        <v>39.999999999992042</v>
      </c>
      <c r="BI4" s="60">
        <v>307.14999999999998</v>
      </c>
      <c r="BJ4" s="65">
        <f t="shared" ref="BJ4:BJ34" si="79">IF((BI4-BI3&lt;0), "",(BI4-BI3)*1000)</f>
        <v>39.99999999996362</v>
      </c>
      <c r="BK4" s="60">
        <v>257.52999999999997</v>
      </c>
      <c r="BL4" s="65">
        <f t="shared" ref="BL4:BL34" si="80">IF((BK4-BK3&lt;0), "",(BK4-BK3)*1000)</f>
        <v>39.99999999996362</v>
      </c>
      <c r="BM4" s="60">
        <v>242.49</v>
      </c>
      <c r="BN4" s="65">
        <f t="shared" ref="BN4:BN34" si="81">IF((BM4-BM3&lt;0), "",(BM4-BM3)*1000)</f>
        <v>40.000000000020464</v>
      </c>
      <c r="BO4" s="60">
        <v>311.2</v>
      </c>
      <c r="BP4" s="65">
        <f t="shared" ref="BP4:BP34" si="82">IF((BO4-BO3&lt;0), "",(BO4-BO3)*1000)</f>
        <v>29.999999999972715</v>
      </c>
      <c r="BQ4" s="60">
        <v>60727</v>
      </c>
      <c r="BR4" s="65">
        <f t="shared" ref="BR4:BR34" si="83">IF((BQ4-BQ3&lt;0), "",BQ4-BQ3)</f>
        <v>40</v>
      </c>
      <c r="BS4" s="60">
        <v>220.63</v>
      </c>
      <c r="BT4" s="65">
        <f t="shared" ref="BT4:BT34" si="84">IF((BS4-BS3&lt;0), "",(BS4-BS3)*1000)</f>
        <v>39.999999999992042</v>
      </c>
      <c r="BU4" s="60">
        <v>58742</v>
      </c>
      <c r="BV4" s="65">
        <f t="shared" ref="BV4:BV34" si="85">IF((BU4-BU3&lt;0), "",BU4-BU3)</f>
        <v>40</v>
      </c>
      <c r="BW4" s="60">
        <v>248.72</v>
      </c>
      <c r="BX4" s="65">
        <f t="shared" ref="BX4:BX34" si="86">IF((BW4-BW3&lt;0), "",(BW4-BW3)*1000)</f>
        <v>39.999999999992042</v>
      </c>
      <c r="BY4" s="60">
        <v>79171</v>
      </c>
      <c r="BZ4" s="67">
        <f t="shared" ref="BZ4:BZ34" si="87">IF((BY4-BY3&lt;0), "",BY4-BY3)</f>
        <v>46</v>
      </c>
      <c r="CA4" s="60">
        <v>55233.5</v>
      </c>
      <c r="CB4" s="67">
        <f t="shared" ref="CB4:CB34" si="88">IF((CA4-CA3&lt;0), "",CA4-CA3)</f>
        <v>58.69999999999709</v>
      </c>
      <c r="CC4" s="60">
        <v>17218.900000000001</v>
      </c>
      <c r="CD4" s="67">
        <f t="shared" ref="CD4:CD34" si="89">IF((CC4-CC3&lt;0), "",CC4-CC3)</f>
        <v>11</v>
      </c>
      <c r="CE4" s="60">
        <v>8656.5</v>
      </c>
      <c r="CF4" s="67">
        <f t="shared" ref="CF4:CF34" si="90">IF((CE4-CE3&lt;0), "",CE4-CE3)</f>
        <v>0</v>
      </c>
      <c r="CG4" s="60">
        <v>81278.600000000006</v>
      </c>
      <c r="CH4" s="67">
        <f t="shared" ref="CH4:CH34" si="91">IF((CG4-CG3&lt;0), "",CG4-CG3)</f>
        <v>64.900000000008731</v>
      </c>
      <c r="CI4" s="60">
        <v>1084481</v>
      </c>
      <c r="CJ4" s="67">
        <f t="shared" ref="CJ4:CJ34" si="92">IF((CI4-CI3&lt;0), "",CI4-CI3)</f>
        <v>285</v>
      </c>
      <c r="CK4" s="60">
        <v>1108.4000000000001</v>
      </c>
      <c r="CL4" s="64">
        <f t="shared" ref="CL4:CL34" si="93">IF((CK4-CK3&lt;0), "",(CK4-CK3)*1000)</f>
        <v>800.0000000001819</v>
      </c>
      <c r="CM4" s="65">
        <f t="shared" ref="CM4:CM34" si="94">CQ4+CS4</f>
        <v>161</v>
      </c>
      <c r="CN4" s="62">
        <v>32</v>
      </c>
      <c r="CO4" s="62">
        <v>62</v>
      </c>
      <c r="CP4" s="68">
        <v>42229</v>
      </c>
      <c r="CQ4" s="67">
        <f t="shared" ref="CQ4:CQ34" si="95">IF((CP4-CP3&lt;0), "",CP4-CP3)</f>
        <v>120</v>
      </c>
      <c r="CR4" s="68">
        <v>24264</v>
      </c>
      <c r="CS4" s="67">
        <f t="shared" ref="CS4:CS34" si="96">IF((CR4-CR3&lt;0), "",CR4-CR3)</f>
        <v>41</v>
      </c>
      <c r="CT4" s="75">
        <v>11551</v>
      </c>
      <c r="CU4" s="67">
        <f t="shared" ref="CU4:CU34" si="97">IF((CT4-CT3&lt;0), "",CT4-CT3)</f>
        <v>8</v>
      </c>
      <c r="CV4" s="68">
        <v>27731</v>
      </c>
      <c r="CW4" s="67">
        <f t="shared" ref="CW4:CW34" si="98">IF((CV4-CV3&lt;0), "",CV4-CV3)</f>
        <v>37</v>
      </c>
      <c r="CX4" s="58">
        <v>4464.7</v>
      </c>
      <c r="CY4" s="67">
        <f t="shared" ref="CY4:CY34" si="99">IF((CX4-CX3&lt;0), "",CX4-CX3)</f>
        <v>12.300000000000182</v>
      </c>
    </row>
    <row r="5" spans="1:103" ht="25.5" customHeight="1" thickBot="1" x14ac:dyDescent="0.45">
      <c r="A5" s="63">
        <v>44836</v>
      </c>
      <c r="B5" s="44"/>
      <c r="C5" s="58">
        <v>3.5228999999999999</v>
      </c>
      <c r="D5" s="64">
        <f t="shared" si="50"/>
        <v>2099.9999999999909</v>
      </c>
      <c r="E5" s="58">
        <v>4.7210999999999999</v>
      </c>
      <c r="F5" s="64">
        <f t="shared" si="51"/>
        <v>3099.9999999998809</v>
      </c>
      <c r="G5" s="58">
        <v>4.7035999999999998</v>
      </c>
      <c r="H5" s="64">
        <f t="shared" si="52"/>
        <v>3499.9999999998367</v>
      </c>
      <c r="I5" s="58">
        <v>2.3439000000000001</v>
      </c>
      <c r="J5" s="64">
        <f t="shared" si="53"/>
        <v>1500.0000000000568</v>
      </c>
      <c r="K5" s="58">
        <v>3.6204000000000001</v>
      </c>
      <c r="L5" s="64">
        <f t="shared" si="54"/>
        <v>2000.0000000002237</v>
      </c>
      <c r="M5" s="58">
        <v>2.1404000000000001</v>
      </c>
      <c r="N5" s="64">
        <f t="shared" si="55"/>
        <v>1700.0000000000348</v>
      </c>
      <c r="O5" s="58">
        <v>24131</v>
      </c>
      <c r="P5" s="67">
        <f t="shared" si="56"/>
        <v>33</v>
      </c>
      <c r="Q5" s="58">
        <v>2975</v>
      </c>
      <c r="R5" s="67">
        <f t="shared" si="57"/>
        <v>5</v>
      </c>
      <c r="S5" s="58">
        <v>1508.8</v>
      </c>
      <c r="T5" s="67">
        <f t="shared" si="58"/>
        <v>1.5</v>
      </c>
      <c r="U5" s="58">
        <v>602613.1</v>
      </c>
      <c r="V5" s="67">
        <f t="shared" si="59"/>
        <v>493.90000000002328</v>
      </c>
      <c r="W5" s="58">
        <v>550.20000000000005</v>
      </c>
      <c r="X5" s="65">
        <f t="shared" si="60"/>
        <v>320.00000000005002</v>
      </c>
      <c r="Y5" s="58">
        <v>4.1614000000000004</v>
      </c>
      <c r="Z5" s="65">
        <f t="shared" si="61"/>
        <v>3000.0000000001137</v>
      </c>
      <c r="AA5" s="58">
        <v>558.80999999999995</v>
      </c>
      <c r="AB5" s="65">
        <f t="shared" si="62"/>
        <v>219.9999999999136</v>
      </c>
      <c r="AC5" s="58">
        <v>553.34</v>
      </c>
      <c r="AD5" s="65">
        <f t="shared" si="63"/>
        <v>440.00000000005457</v>
      </c>
      <c r="AE5" s="58">
        <v>856.09</v>
      </c>
      <c r="AF5" s="65">
        <f t="shared" si="64"/>
        <v>889.99999999998636</v>
      </c>
      <c r="AG5" s="58">
        <v>21834</v>
      </c>
      <c r="AH5" s="67">
        <f t="shared" si="65"/>
        <v>43</v>
      </c>
      <c r="AI5" s="58">
        <v>940.73</v>
      </c>
      <c r="AJ5" s="65">
        <f t="shared" si="66"/>
        <v>670.00000000007276</v>
      </c>
      <c r="AK5" s="58">
        <v>312.66000000000003</v>
      </c>
      <c r="AL5" s="65">
        <f t="shared" si="67"/>
        <v>180.00000000000682</v>
      </c>
      <c r="AM5" s="58">
        <v>289.35000000000002</v>
      </c>
      <c r="AN5" s="65">
        <f t="shared" si="68"/>
        <v>170.00000000001592</v>
      </c>
      <c r="AO5" s="58">
        <v>279.36</v>
      </c>
      <c r="AP5" s="65">
        <f t="shared" si="69"/>
        <v>160.00000000002501</v>
      </c>
      <c r="AQ5" s="58">
        <v>332.32</v>
      </c>
      <c r="AR5" s="65">
        <f t="shared" si="70"/>
        <v>120.00000000000455</v>
      </c>
      <c r="AS5" s="58">
        <v>457.11</v>
      </c>
      <c r="AT5" s="65">
        <f t="shared" si="71"/>
        <v>100.00000000002274</v>
      </c>
      <c r="AU5" s="58">
        <v>364.29</v>
      </c>
      <c r="AV5" s="65">
        <f t="shared" si="72"/>
        <v>160.00000000002501</v>
      </c>
      <c r="AW5" s="58">
        <v>393.92</v>
      </c>
      <c r="AX5" s="65">
        <f t="shared" si="73"/>
        <v>180.00000000000682</v>
      </c>
      <c r="AY5" s="58">
        <v>429.5</v>
      </c>
      <c r="AZ5" s="65">
        <f t="shared" si="74"/>
        <v>110.00000000001364</v>
      </c>
      <c r="BA5" s="58">
        <v>446.2</v>
      </c>
      <c r="BB5" s="65">
        <f t="shared" si="75"/>
        <v>129.99999999999545</v>
      </c>
      <c r="BC5" s="58">
        <v>285.83999999999997</v>
      </c>
      <c r="BD5" s="65">
        <f t="shared" si="76"/>
        <v>39.99999999996362</v>
      </c>
      <c r="BE5" s="59">
        <v>55882</v>
      </c>
      <c r="BF5" s="67">
        <f t="shared" si="77"/>
        <v>52</v>
      </c>
      <c r="BG5" s="60">
        <v>252.7</v>
      </c>
      <c r="BH5" s="65">
        <f t="shared" si="78"/>
        <v>30.000000000001137</v>
      </c>
      <c r="BI5" s="60">
        <v>307.18</v>
      </c>
      <c r="BJ5" s="65">
        <f t="shared" si="79"/>
        <v>30.000000000029559</v>
      </c>
      <c r="BK5" s="60">
        <v>257.58</v>
      </c>
      <c r="BL5" s="65">
        <f t="shared" si="80"/>
        <v>50.000000000011369</v>
      </c>
      <c r="BM5" s="60">
        <v>242.52</v>
      </c>
      <c r="BN5" s="65">
        <f t="shared" si="81"/>
        <v>30.000000000001137</v>
      </c>
      <c r="BO5" s="60">
        <v>311.24</v>
      </c>
      <c r="BP5" s="65">
        <f t="shared" si="82"/>
        <v>40.000000000020464</v>
      </c>
      <c r="BQ5" s="60">
        <v>60766</v>
      </c>
      <c r="BR5" s="65">
        <f t="shared" si="83"/>
        <v>39</v>
      </c>
      <c r="BS5" s="60">
        <v>220.66</v>
      </c>
      <c r="BT5" s="65">
        <f t="shared" si="84"/>
        <v>30.000000000001137</v>
      </c>
      <c r="BU5" s="60">
        <v>58776</v>
      </c>
      <c r="BV5" s="65">
        <f t="shared" si="85"/>
        <v>34</v>
      </c>
      <c r="BW5" s="60">
        <v>248.75</v>
      </c>
      <c r="BX5" s="65">
        <f t="shared" si="86"/>
        <v>30.000000000001137</v>
      </c>
      <c r="BY5" s="60">
        <v>79206</v>
      </c>
      <c r="BZ5" s="67">
        <f t="shared" si="87"/>
        <v>35</v>
      </c>
      <c r="CA5" s="60">
        <v>55289.2</v>
      </c>
      <c r="CB5" s="67">
        <f t="shared" si="88"/>
        <v>55.69999999999709</v>
      </c>
      <c r="CC5" s="60">
        <v>17232.2</v>
      </c>
      <c r="CD5" s="67">
        <f t="shared" si="89"/>
        <v>13.299999999999272</v>
      </c>
      <c r="CE5" s="60">
        <v>8666.1</v>
      </c>
      <c r="CF5" s="67">
        <f t="shared" si="90"/>
        <v>9.6000000000003638</v>
      </c>
      <c r="CG5" s="60">
        <v>81343.600000000006</v>
      </c>
      <c r="CH5" s="67">
        <f t="shared" si="91"/>
        <v>65</v>
      </c>
      <c r="CI5" s="60">
        <v>1084727</v>
      </c>
      <c r="CJ5" s="67">
        <f t="shared" si="92"/>
        <v>246</v>
      </c>
      <c r="CK5" s="60">
        <v>1109.3</v>
      </c>
      <c r="CL5" s="64">
        <f t="shared" si="93"/>
        <v>899.99999999986358</v>
      </c>
      <c r="CM5" s="65">
        <f t="shared" si="94"/>
        <v>138</v>
      </c>
      <c r="CN5" s="62">
        <v>32</v>
      </c>
      <c r="CO5" s="62">
        <v>62</v>
      </c>
      <c r="CP5" s="68">
        <v>42337</v>
      </c>
      <c r="CQ5" s="67">
        <f t="shared" si="95"/>
        <v>108</v>
      </c>
      <c r="CR5" s="68">
        <v>24294</v>
      </c>
      <c r="CS5" s="67">
        <f t="shared" si="96"/>
        <v>30</v>
      </c>
      <c r="CT5" s="75">
        <v>11558</v>
      </c>
      <c r="CU5" s="67">
        <f t="shared" si="97"/>
        <v>7</v>
      </c>
      <c r="CV5" s="68">
        <v>27788</v>
      </c>
      <c r="CW5" s="67">
        <f t="shared" si="98"/>
        <v>57</v>
      </c>
      <c r="CX5" s="58">
        <v>4476.2</v>
      </c>
      <c r="CY5" s="67">
        <f t="shared" si="99"/>
        <v>11.5</v>
      </c>
    </row>
    <row r="6" spans="1:103" ht="24.75" customHeight="1" thickBot="1" x14ac:dyDescent="0.45">
      <c r="A6" s="63">
        <v>44837</v>
      </c>
      <c r="B6" s="44"/>
      <c r="C6" s="58">
        <v>3.5251000000000001</v>
      </c>
      <c r="D6" s="64">
        <f t="shared" si="50"/>
        <v>2200.0000000002019</v>
      </c>
      <c r="E6" s="58">
        <v>4.7241999999999997</v>
      </c>
      <c r="F6" s="64">
        <f t="shared" si="51"/>
        <v>3099.9999999998809</v>
      </c>
      <c r="G6" s="58">
        <v>4.7072000000000003</v>
      </c>
      <c r="H6" s="64">
        <f t="shared" si="52"/>
        <v>3600.0000000004916</v>
      </c>
      <c r="I6" s="58">
        <v>2.3452999999999999</v>
      </c>
      <c r="J6" s="64">
        <f t="shared" si="53"/>
        <v>1399.9999999998458</v>
      </c>
      <c r="K6" s="58">
        <v>3.6223000000000001</v>
      </c>
      <c r="L6" s="64">
        <f t="shared" si="54"/>
        <v>1900.0000000000127</v>
      </c>
      <c r="M6" s="58">
        <v>2.1419999999999999</v>
      </c>
      <c r="N6" s="64">
        <f t="shared" si="55"/>
        <v>1599.9999999998238</v>
      </c>
      <c r="O6" s="58">
        <v>24166</v>
      </c>
      <c r="P6" s="67">
        <f t="shared" si="56"/>
        <v>35</v>
      </c>
      <c r="Q6" s="58">
        <v>2980</v>
      </c>
      <c r="R6" s="67">
        <f t="shared" si="57"/>
        <v>5</v>
      </c>
      <c r="S6" s="58">
        <v>1510.3</v>
      </c>
      <c r="T6" s="67">
        <f t="shared" si="58"/>
        <v>1.5</v>
      </c>
      <c r="U6" s="58">
        <v>603117.69999999995</v>
      </c>
      <c r="V6" s="67">
        <f t="shared" si="59"/>
        <v>504.59999999997672</v>
      </c>
      <c r="W6" s="58">
        <v>550.54999999999995</v>
      </c>
      <c r="X6" s="65">
        <f t="shared" si="60"/>
        <v>349.99999999990905</v>
      </c>
      <c r="Y6" s="58">
        <v>4.1642999999999999</v>
      </c>
      <c r="Z6" s="65">
        <f t="shared" si="61"/>
        <v>2899.9999999994584</v>
      </c>
      <c r="AA6" s="58">
        <v>559.22</v>
      </c>
      <c r="AB6" s="65">
        <f t="shared" si="62"/>
        <v>410.00000000008185</v>
      </c>
      <c r="AC6" s="58">
        <v>553.74</v>
      </c>
      <c r="AD6" s="65">
        <f t="shared" si="63"/>
        <v>399.99999999997726</v>
      </c>
      <c r="AE6" s="58">
        <v>856.86</v>
      </c>
      <c r="AF6" s="65">
        <f t="shared" si="64"/>
        <v>769.99999999998181</v>
      </c>
      <c r="AG6" s="58">
        <v>21871</v>
      </c>
      <c r="AH6" s="67">
        <f t="shared" si="65"/>
        <v>37</v>
      </c>
      <c r="AI6" s="58">
        <v>941.34</v>
      </c>
      <c r="AJ6" s="65">
        <f t="shared" si="66"/>
        <v>610.00000000001364</v>
      </c>
      <c r="AK6" s="58">
        <v>312.83</v>
      </c>
      <c r="AL6" s="65">
        <f t="shared" si="67"/>
        <v>169.99999999995907</v>
      </c>
      <c r="AM6" s="58">
        <v>289.5</v>
      </c>
      <c r="AN6" s="65">
        <f t="shared" si="68"/>
        <v>149.99999999997726</v>
      </c>
      <c r="AO6" s="58">
        <v>279.52999999999997</v>
      </c>
      <c r="AP6" s="65">
        <f t="shared" si="69"/>
        <v>169.99999999995907</v>
      </c>
      <c r="AQ6" s="58">
        <v>332.46</v>
      </c>
      <c r="AR6" s="65">
        <f t="shared" si="70"/>
        <v>139.99999999998636</v>
      </c>
      <c r="AS6" s="58">
        <v>457.2</v>
      </c>
      <c r="AT6" s="65">
        <f t="shared" si="71"/>
        <v>89.999999999974989</v>
      </c>
      <c r="AU6" s="58">
        <v>364.4</v>
      </c>
      <c r="AV6" s="65">
        <f t="shared" si="72"/>
        <v>109.9999999999568</v>
      </c>
      <c r="AW6" s="58">
        <v>394.08</v>
      </c>
      <c r="AX6" s="65">
        <f t="shared" si="73"/>
        <v>159.99999999996817</v>
      </c>
      <c r="AY6" s="58">
        <v>429.6</v>
      </c>
      <c r="AZ6" s="65">
        <f t="shared" si="74"/>
        <v>100.00000000002274</v>
      </c>
      <c r="BA6" s="58">
        <v>446.3</v>
      </c>
      <c r="BB6" s="65">
        <f t="shared" si="75"/>
        <v>100.00000000002274</v>
      </c>
      <c r="BC6" s="58">
        <v>285.89</v>
      </c>
      <c r="BD6" s="65">
        <f t="shared" si="76"/>
        <v>50.000000000011369</v>
      </c>
      <c r="BE6" s="59">
        <v>55922</v>
      </c>
      <c r="BF6" s="67">
        <f t="shared" si="77"/>
        <v>40</v>
      </c>
      <c r="BG6" s="60">
        <v>252.74</v>
      </c>
      <c r="BH6" s="65">
        <f t="shared" si="78"/>
        <v>40.000000000020464</v>
      </c>
      <c r="BI6" s="60">
        <v>307.20999999999998</v>
      </c>
      <c r="BJ6" s="65">
        <f t="shared" si="79"/>
        <v>29.999999999972715</v>
      </c>
      <c r="BK6" s="60">
        <v>257.64999999999998</v>
      </c>
      <c r="BL6" s="65">
        <f t="shared" si="80"/>
        <v>69.999999999993179</v>
      </c>
      <c r="BM6" s="60">
        <v>242.56</v>
      </c>
      <c r="BN6" s="65">
        <f t="shared" si="81"/>
        <v>39.999999999992042</v>
      </c>
      <c r="BO6" s="60">
        <v>311.27999999999997</v>
      </c>
      <c r="BP6" s="65">
        <f t="shared" si="82"/>
        <v>39.99999999996362</v>
      </c>
      <c r="BQ6" s="60">
        <v>60803</v>
      </c>
      <c r="BR6" s="65">
        <f t="shared" si="83"/>
        <v>37</v>
      </c>
      <c r="BS6" s="60">
        <v>220.7</v>
      </c>
      <c r="BT6" s="65">
        <f t="shared" si="84"/>
        <v>39.999999999992042</v>
      </c>
      <c r="BU6" s="60">
        <v>58815</v>
      </c>
      <c r="BV6" s="65">
        <f t="shared" si="85"/>
        <v>39</v>
      </c>
      <c r="BW6" s="60">
        <v>248.8</v>
      </c>
      <c r="BX6" s="65">
        <f t="shared" si="86"/>
        <v>50.000000000011369</v>
      </c>
      <c r="BY6" s="60">
        <v>79254</v>
      </c>
      <c r="BZ6" s="67">
        <f t="shared" si="87"/>
        <v>48</v>
      </c>
      <c r="CA6" s="60">
        <v>55337.1</v>
      </c>
      <c r="CB6" s="67">
        <f t="shared" si="88"/>
        <v>47.900000000001455</v>
      </c>
      <c r="CC6" s="60">
        <v>17242.5</v>
      </c>
      <c r="CD6" s="67">
        <f t="shared" si="89"/>
        <v>10.299999999999272</v>
      </c>
      <c r="CE6" s="60">
        <v>8669</v>
      </c>
      <c r="CF6" s="67">
        <f t="shared" si="90"/>
        <v>2.8999999999996362</v>
      </c>
      <c r="CG6" s="60">
        <v>81407.8</v>
      </c>
      <c r="CH6" s="67">
        <f t="shared" si="91"/>
        <v>64.19999999999709</v>
      </c>
      <c r="CI6" s="60">
        <v>1085049</v>
      </c>
      <c r="CJ6" s="67">
        <f t="shared" si="92"/>
        <v>322</v>
      </c>
      <c r="CK6" s="60">
        <v>1110.3</v>
      </c>
      <c r="CL6" s="64">
        <f t="shared" si="93"/>
        <v>1000</v>
      </c>
      <c r="CM6" s="65">
        <f t="shared" si="94"/>
        <v>115.69999999999709</v>
      </c>
      <c r="CN6" s="62">
        <v>24</v>
      </c>
      <c r="CO6" s="62">
        <v>54</v>
      </c>
      <c r="CP6" s="68">
        <v>42441.7</v>
      </c>
      <c r="CQ6" s="67">
        <f t="shared" si="95"/>
        <v>104.69999999999709</v>
      </c>
      <c r="CR6" s="68">
        <v>24305</v>
      </c>
      <c r="CS6" s="67">
        <f t="shared" si="96"/>
        <v>11</v>
      </c>
      <c r="CT6" s="75">
        <v>11566</v>
      </c>
      <c r="CU6" s="67">
        <f t="shared" si="97"/>
        <v>8</v>
      </c>
      <c r="CV6" s="68">
        <v>27847</v>
      </c>
      <c r="CW6" s="67">
        <f t="shared" si="98"/>
        <v>59</v>
      </c>
      <c r="CX6" s="58">
        <v>4487.3</v>
      </c>
      <c r="CY6" s="67">
        <f t="shared" si="99"/>
        <v>11.100000000000364</v>
      </c>
    </row>
    <row r="7" spans="1:103" ht="25.5" customHeight="1" thickBot="1" x14ac:dyDescent="0.45">
      <c r="A7" s="63">
        <v>44838</v>
      </c>
      <c r="B7" s="44"/>
      <c r="C7" s="58"/>
      <c r="D7" s="64" t="str">
        <f t="shared" si="50"/>
        <v>0</v>
      </c>
      <c r="E7" s="58"/>
      <c r="F7" s="64" t="str">
        <f t="shared" si="51"/>
        <v>0</v>
      </c>
      <c r="G7" s="58"/>
      <c r="H7" s="64" t="str">
        <f t="shared" si="52"/>
        <v>0</v>
      </c>
      <c r="I7" s="58"/>
      <c r="J7" s="64" t="str">
        <f t="shared" si="53"/>
        <v>0</v>
      </c>
      <c r="K7" s="58"/>
      <c r="L7" s="64" t="str">
        <f t="shared" si="54"/>
        <v>0</v>
      </c>
      <c r="M7" s="58"/>
      <c r="N7" s="64" t="str">
        <f t="shared" si="55"/>
        <v/>
      </c>
      <c r="O7" s="58"/>
      <c r="P7" s="67" t="str">
        <f t="shared" si="56"/>
        <v/>
      </c>
      <c r="Q7" s="58"/>
      <c r="R7" s="67" t="str">
        <f t="shared" si="57"/>
        <v/>
      </c>
      <c r="S7" s="58"/>
      <c r="T7" s="67" t="str">
        <f t="shared" si="58"/>
        <v/>
      </c>
      <c r="U7" s="58"/>
      <c r="V7" s="67" t="str">
        <f t="shared" si="59"/>
        <v/>
      </c>
      <c r="W7" s="58"/>
      <c r="X7" s="65" t="str">
        <f t="shared" si="60"/>
        <v/>
      </c>
      <c r="Y7" s="58"/>
      <c r="Z7" s="65" t="str">
        <f t="shared" si="61"/>
        <v/>
      </c>
      <c r="AA7" s="58"/>
      <c r="AB7" s="65" t="str">
        <f t="shared" si="62"/>
        <v/>
      </c>
      <c r="AC7" s="58"/>
      <c r="AD7" s="65" t="str">
        <f t="shared" si="63"/>
        <v/>
      </c>
      <c r="AE7" s="58"/>
      <c r="AF7" s="65" t="str">
        <f t="shared" si="64"/>
        <v/>
      </c>
      <c r="AG7" s="58"/>
      <c r="AH7" s="67" t="str">
        <f t="shared" si="65"/>
        <v/>
      </c>
      <c r="AI7" s="58"/>
      <c r="AJ7" s="65" t="str">
        <f t="shared" si="66"/>
        <v/>
      </c>
      <c r="AK7" s="58"/>
      <c r="AL7" s="65" t="str">
        <f t="shared" si="67"/>
        <v/>
      </c>
      <c r="AM7" s="58"/>
      <c r="AN7" s="65" t="str">
        <f t="shared" si="68"/>
        <v/>
      </c>
      <c r="AO7" s="58"/>
      <c r="AP7" s="65" t="str">
        <f t="shared" si="69"/>
        <v/>
      </c>
      <c r="AQ7" s="58"/>
      <c r="AR7" s="65" t="str">
        <f t="shared" si="70"/>
        <v/>
      </c>
      <c r="AS7" s="58"/>
      <c r="AT7" s="65" t="str">
        <f t="shared" si="71"/>
        <v/>
      </c>
      <c r="AU7" s="58"/>
      <c r="AV7" s="65" t="str">
        <f t="shared" si="72"/>
        <v/>
      </c>
      <c r="AW7" s="58"/>
      <c r="AX7" s="65" t="str">
        <f t="shared" si="73"/>
        <v/>
      </c>
      <c r="AY7" s="58"/>
      <c r="AZ7" s="65" t="str">
        <f t="shared" si="74"/>
        <v/>
      </c>
      <c r="BA7" s="58"/>
      <c r="BB7" s="65" t="str">
        <f t="shared" si="75"/>
        <v/>
      </c>
      <c r="BC7" s="58"/>
      <c r="BD7" s="65" t="str">
        <f t="shared" si="76"/>
        <v/>
      </c>
      <c r="BE7" s="59"/>
      <c r="BF7" s="67" t="str">
        <f t="shared" si="77"/>
        <v/>
      </c>
      <c r="BG7" s="60"/>
      <c r="BH7" s="65" t="str">
        <f t="shared" si="78"/>
        <v/>
      </c>
      <c r="BI7" s="60"/>
      <c r="BJ7" s="65" t="str">
        <f t="shared" si="79"/>
        <v/>
      </c>
      <c r="BK7" s="60"/>
      <c r="BL7" s="65" t="str">
        <f t="shared" si="80"/>
        <v/>
      </c>
      <c r="BM7" s="60"/>
      <c r="BN7" s="65" t="str">
        <f t="shared" si="81"/>
        <v/>
      </c>
      <c r="BO7" s="60"/>
      <c r="BP7" s="65" t="str">
        <f t="shared" si="82"/>
        <v/>
      </c>
      <c r="BQ7" s="60"/>
      <c r="BR7" s="65" t="str">
        <f t="shared" si="83"/>
        <v/>
      </c>
      <c r="BS7" s="60"/>
      <c r="BT7" s="65" t="str">
        <f t="shared" si="84"/>
        <v/>
      </c>
      <c r="BU7" s="60"/>
      <c r="BV7" s="65" t="str">
        <f t="shared" si="85"/>
        <v/>
      </c>
      <c r="BW7" s="60"/>
      <c r="BX7" s="65" t="str">
        <f t="shared" si="86"/>
        <v/>
      </c>
      <c r="BY7" s="60"/>
      <c r="BZ7" s="67" t="str">
        <f t="shared" si="87"/>
        <v/>
      </c>
      <c r="CA7" s="60"/>
      <c r="CB7" s="67" t="str">
        <f t="shared" si="88"/>
        <v/>
      </c>
      <c r="CC7" s="60"/>
      <c r="CD7" s="67" t="str">
        <f t="shared" si="89"/>
        <v/>
      </c>
      <c r="CE7" s="60"/>
      <c r="CF7" s="67" t="str">
        <f t="shared" si="90"/>
        <v/>
      </c>
      <c r="CG7" s="60"/>
      <c r="CH7" s="67" t="str">
        <f t="shared" si="91"/>
        <v/>
      </c>
      <c r="CI7" s="60"/>
      <c r="CJ7" s="67" t="str">
        <f t="shared" si="92"/>
        <v/>
      </c>
      <c r="CK7" s="60"/>
      <c r="CL7" s="64" t="str">
        <f t="shared" si="93"/>
        <v/>
      </c>
      <c r="CM7" s="65" t="e">
        <f t="shared" si="94"/>
        <v>#VALUE!</v>
      </c>
      <c r="CN7" s="62"/>
      <c r="CO7" s="62"/>
      <c r="CP7" s="68"/>
      <c r="CQ7" s="67" t="str">
        <f t="shared" si="95"/>
        <v/>
      </c>
      <c r="CR7" s="68"/>
      <c r="CS7" s="67" t="str">
        <f t="shared" si="96"/>
        <v/>
      </c>
      <c r="CT7" s="75"/>
      <c r="CU7" s="67" t="str">
        <f t="shared" si="97"/>
        <v/>
      </c>
      <c r="CV7" s="68"/>
      <c r="CW7" s="67" t="str">
        <f t="shared" si="98"/>
        <v/>
      </c>
      <c r="CX7" s="58"/>
      <c r="CY7" s="67" t="str">
        <f t="shared" si="99"/>
        <v/>
      </c>
    </row>
    <row r="8" spans="1:103" ht="25.5" customHeight="1" thickBot="1" x14ac:dyDescent="0.45">
      <c r="A8" s="63">
        <v>44839</v>
      </c>
      <c r="B8" s="44"/>
      <c r="C8" s="58"/>
      <c r="D8" s="64">
        <f t="shared" si="50"/>
        <v>0</v>
      </c>
      <c r="E8" s="58"/>
      <c r="F8" s="64">
        <f t="shared" si="51"/>
        <v>0</v>
      </c>
      <c r="G8" s="58"/>
      <c r="H8" s="64">
        <f t="shared" si="52"/>
        <v>0</v>
      </c>
      <c r="I8" s="58"/>
      <c r="J8" s="64">
        <f t="shared" si="53"/>
        <v>0</v>
      </c>
      <c r="K8" s="58"/>
      <c r="L8" s="64">
        <f t="shared" si="54"/>
        <v>0</v>
      </c>
      <c r="M8" s="58"/>
      <c r="N8" s="64">
        <f t="shared" si="55"/>
        <v>0</v>
      </c>
      <c r="O8" s="58"/>
      <c r="P8" s="67">
        <f t="shared" si="56"/>
        <v>0</v>
      </c>
      <c r="Q8" s="58"/>
      <c r="R8" s="67">
        <f t="shared" si="57"/>
        <v>0</v>
      </c>
      <c r="S8" s="58"/>
      <c r="T8" s="67">
        <f t="shared" si="58"/>
        <v>0</v>
      </c>
      <c r="U8" s="58"/>
      <c r="V8" s="67">
        <f t="shared" si="59"/>
        <v>0</v>
      </c>
      <c r="W8" s="58"/>
      <c r="X8" s="65">
        <f t="shared" si="60"/>
        <v>0</v>
      </c>
      <c r="Y8" s="58"/>
      <c r="Z8" s="65">
        <f t="shared" si="61"/>
        <v>0</v>
      </c>
      <c r="AA8" s="58"/>
      <c r="AB8" s="65">
        <f t="shared" si="62"/>
        <v>0</v>
      </c>
      <c r="AC8" s="58"/>
      <c r="AD8" s="65">
        <f t="shared" si="63"/>
        <v>0</v>
      </c>
      <c r="AE8" s="58"/>
      <c r="AF8" s="65">
        <f t="shared" si="64"/>
        <v>0</v>
      </c>
      <c r="AG8" s="58"/>
      <c r="AH8" s="67">
        <f t="shared" si="65"/>
        <v>0</v>
      </c>
      <c r="AI8" s="58"/>
      <c r="AJ8" s="65">
        <f t="shared" si="66"/>
        <v>0</v>
      </c>
      <c r="AK8" s="58"/>
      <c r="AL8" s="65">
        <f t="shared" si="67"/>
        <v>0</v>
      </c>
      <c r="AM8" s="58"/>
      <c r="AN8" s="65">
        <f t="shared" si="68"/>
        <v>0</v>
      </c>
      <c r="AO8" s="58"/>
      <c r="AP8" s="65">
        <f t="shared" si="69"/>
        <v>0</v>
      </c>
      <c r="AQ8" s="58"/>
      <c r="AR8" s="65">
        <f t="shared" si="70"/>
        <v>0</v>
      </c>
      <c r="AS8" s="58"/>
      <c r="AT8" s="65">
        <f t="shared" si="71"/>
        <v>0</v>
      </c>
      <c r="AU8" s="58"/>
      <c r="AV8" s="65">
        <f t="shared" si="72"/>
        <v>0</v>
      </c>
      <c r="AW8" s="58"/>
      <c r="AX8" s="65">
        <f t="shared" si="73"/>
        <v>0</v>
      </c>
      <c r="AY8" s="58"/>
      <c r="AZ8" s="65">
        <f t="shared" si="74"/>
        <v>0</v>
      </c>
      <c r="BA8" s="58"/>
      <c r="BB8" s="65">
        <f t="shared" si="75"/>
        <v>0</v>
      </c>
      <c r="BC8" s="58"/>
      <c r="BD8" s="65">
        <f t="shared" si="76"/>
        <v>0</v>
      </c>
      <c r="BE8" s="59"/>
      <c r="BF8" s="67">
        <f t="shared" si="77"/>
        <v>0</v>
      </c>
      <c r="BG8" s="60"/>
      <c r="BH8" s="65">
        <f t="shared" si="78"/>
        <v>0</v>
      </c>
      <c r="BI8" s="60"/>
      <c r="BJ8" s="65">
        <f t="shared" si="79"/>
        <v>0</v>
      </c>
      <c r="BK8" s="60"/>
      <c r="BL8" s="65">
        <f t="shared" si="80"/>
        <v>0</v>
      </c>
      <c r="BM8" s="60"/>
      <c r="BN8" s="65">
        <f t="shared" si="81"/>
        <v>0</v>
      </c>
      <c r="BO8" s="60"/>
      <c r="BP8" s="65">
        <f t="shared" si="82"/>
        <v>0</v>
      </c>
      <c r="BQ8" s="60"/>
      <c r="BR8" s="65">
        <f t="shared" si="83"/>
        <v>0</v>
      </c>
      <c r="BS8" s="60"/>
      <c r="BT8" s="65">
        <f t="shared" si="84"/>
        <v>0</v>
      </c>
      <c r="BU8" s="60"/>
      <c r="BV8" s="65">
        <f t="shared" si="85"/>
        <v>0</v>
      </c>
      <c r="BW8" s="60"/>
      <c r="BX8" s="65">
        <f t="shared" si="86"/>
        <v>0</v>
      </c>
      <c r="BY8" s="60"/>
      <c r="BZ8" s="67">
        <f t="shared" si="87"/>
        <v>0</v>
      </c>
      <c r="CA8" s="60"/>
      <c r="CB8" s="67">
        <f t="shared" si="88"/>
        <v>0</v>
      </c>
      <c r="CC8" s="60"/>
      <c r="CD8" s="67">
        <f t="shared" si="89"/>
        <v>0</v>
      </c>
      <c r="CE8" s="60"/>
      <c r="CF8" s="67">
        <f t="shared" si="90"/>
        <v>0</v>
      </c>
      <c r="CG8" s="60"/>
      <c r="CH8" s="67">
        <f t="shared" si="91"/>
        <v>0</v>
      </c>
      <c r="CI8" s="60"/>
      <c r="CJ8" s="67">
        <f t="shared" si="92"/>
        <v>0</v>
      </c>
      <c r="CK8" s="60"/>
      <c r="CL8" s="64">
        <f t="shared" si="93"/>
        <v>0</v>
      </c>
      <c r="CM8" s="65">
        <f t="shared" si="94"/>
        <v>0</v>
      </c>
      <c r="CN8" s="62"/>
      <c r="CO8" s="62"/>
      <c r="CP8" s="68"/>
      <c r="CQ8" s="67">
        <f t="shared" si="95"/>
        <v>0</v>
      </c>
      <c r="CR8" s="68"/>
      <c r="CS8" s="67">
        <f t="shared" si="96"/>
        <v>0</v>
      </c>
      <c r="CT8" s="75"/>
      <c r="CU8" s="67">
        <f t="shared" si="97"/>
        <v>0</v>
      </c>
      <c r="CV8" s="68"/>
      <c r="CW8" s="67">
        <f t="shared" si="98"/>
        <v>0</v>
      </c>
      <c r="CX8" s="58"/>
      <c r="CY8" s="67">
        <f t="shared" si="99"/>
        <v>0</v>
      </c>
    </row>
    <row r="9" spans="1:103" ht="25.5" customHeight="1" thickBot="1" x14ac:dyDescent="0.45">
      <c r="A9" s="63">
        <v>44840</v>
      </c>
      <c r="B9" s="44"/>
      <c r="C9" s="58"/>
      <c r="D9" s="64">
        <f t="shared" si="50"/>
        <v>0</v>
      </c>
      <c r="E9" s="58"/>
      <c r="F9" s="64">
        <f t="shared" si="51"/>
        <v>0</v>
      </c>
      <c r="G9" s="58"/>
      <c r="H9" s="64">
        <f t="shared" si="52"/>
        <v>0</v>
      </c>
      <c r="I9" s="58"/>
      <c r="J9" s="64">
        <f t="shared" si="53"/>
        <v>0</v>
      </c>
      <c r="K9" s="58"/>
      <c r="L9" s="64">
        <f t="shared" si="54"/>
        <v>0</v>
      </c>
      <c r="M9" s="58"/>
      <c r="N9" s="64">
        <f t="shared" si="55"/>
        <v>0</v>
      </c>
      <c r="O9" s="58"/>
      <c r="P9" s="67">
        <f t="shared" si="56"/>
        <v>0</v>
      </c>
      <c r="Q9" s="58"/>
      <c r="R9" s="67">
        <f t="shared" si="57"/>
        <v>0</v>
      </c>
      <c r="S9" s="58"/>
      <c r="T9" s="67">
        <f t="shared" si="58"/>
        <v>0</v>
      </c>
      <c r="U9" s="58"/>
      <c r="V9" s="67">
        <f t="shared" si="59"/>
        <v>0</v>
      </c>
      <c r="W9" s="58"/>
      <c r="X9" s="65">
        <f t="shared" si="60"/>
        <v>0</v>
      </c>
      <c r="Y9" s="58"/>
      <c r="Z9" s="65">
        <f t="shared" si="61"/>
        <v>0</v>
      </c>
      <c r="AA9" s="58"/>
      <c r="AB9" s="65">
        <f t="shared" si="62"/>
        <v>0</v>
      </c>
      <c r="AC9" s="58"/>
      <c r="AD9" s="65">
        <f t="shared" si="63"/>
        <v>0</v>
      </c>
      <c r="AE9" s="58"/>
      <c r="AF9" s="65">
        <f t="shared" si="64"/>
        <v>0</v>
      </c>
      <c r="AG9" s="58"/>
      <c r="AH9" s="67">
        <f t="shared" si="65"/>
        <v>0</v>
      </c>
      <c r="AI9" s="58"/>
      <c r="AJ9" s="65">
        <f t="shared" si="66"/>
        <v>0</v>
      </c>
      <c r="AK9" s="58"/>
      <c r="AL9" s="65">
        <f t="shared" si="67"/>
        <v>0</v>
      </c>
      <c r="AM9" s="58"/>
      <c r="AN9" s="65">
        <f t="shared" si="68"/>
        <v>0</v>
      </c>
      <c r="AO9" s="58"/>
      <c r="AP9" s="65">
        <f t="shared" si="69"/>
        <v>0</v>
      </c>
      <c r="AQ9" s="58"/>
      <c r="AR9" s="65">
        <f t="shared" si="70"/>
        <v>0</v>
      </c>
      <c r="AS9" s="58"/>
      <c r="AT9" s="65">
        <f t="shared" si="71"/>
        <v>0</v>
      </c>
      <c r="AU9" s="58"/>
      <c r="AV9" s="65">
        <f t="shared" si="72"/>
        <v>0</v>
      </c>
      <c r="AW9" s="58"/>
      <c r="AX9" s="65">
        <f t="shared" si="73"/>
        <v>0</v>
      </c>
      <c r="AY9" s="58"/>
      <c r="AZ9" s="65">
        <f t="shared" si="74"/>
        <v>0</v>
      </c>
      <c r="BA9" s="58"/>
      <c r="BB9" s="65">
        <f t="shared" si="75"/>
        <v>0</v>
      </c>
      <c r="BC9" s="58"/>
      <c r="BD9" s="65">
        <f t="shared" si="76"/>
        <v>0</v>
      </c>
      <c r="BE9" s="59"/>
      <c r="BF9" s="67">
        <f t="shared" si="77"/>
        <v>0</v>
      </c>
      <c r="BG9" s="60"/>
      <c r="BH9" s="65">
        <f t="shared" si="78"/>
        <v>0</v>
      </c>
      <c r="BI9" s="60"/>
      <c r="BJ9" s="65">
        <f t="shared" si="79"/>
        <v>0</v>
      </c>
      <c r="BK9" s="60"/>
      <c r="BL9" s="65">
        <f t="shared" si="80"/>
        <v>0</v>
      </c>
      <c r="BM9" s="60"/>
      <c r="BN9" s="65">
        <f t="shared" si="81"/>
        <v>0</v>
      </c>
      <c r="BO9" s="60"/>
      <c r="BP9" s="65">
        <f t="shared" si="82"/>
        <v>0</v>
      </c>
      <c r="BQ9" s="60"/>
      <c r="BR9" s="65">
        <f t="shared" si="83"/>
        <v>0</v>
      </c>
      <c r="BS9" s="60"/>
      <c r="BT9" s="65">
        <f t="shared" si="84"/>
        <v>0</v>
      </c>
      <c r="BU9" s="60"/>
      <c r="BV9" s="65">
        <f t="shared" si="85"/>
        <v>0</v>
      </c>
      <c r="BW9" s="60"/>
      <c r="BX9" s="65">
        <f t="shared" si="86"/>
        <v>0</v>
      </c>
      <c r="BY9" s="60"/>
      <c r="BZ9" s="67">
        <f t="shared" si="87"/>
        <v>0</v>
      </c>
      <c r="CA9" s="60"/>
      <c r="CB9" s="67">
        <f t="shared" si="88"/>
        <v>0</v>
      </c>
      <c r="CC9" s="60"/>
      <c r="CD9" s="67">
        <f t="shared" si="89"/>
        <v>0</v>
      </c>
      <c r="CE9" s="60"/>
      <c r="CF9" s="67">
        <f t="shared" si="90"/>
        <v>0</v>
      </c>
      <c r="CG9" s="60"/>
      <c r="CH9" s="67">
        <f t="shared" si="91"/>
        <v>0</v>
      </c>
      <c r="CI9" s="60"/>
      <c r="CJ9" s="67">
        <f t="shared" si="92"/>
        <v>0</v>
      </c>
      <c r="CK9" s="60"/>
      <c r="CL9" s="64">
        <f t="shared" si="93"/>
        <v>0</v>
      </c>
      <c r="CM9" s="65">
        <f t="shared" si="94"/>
        <v>0</v>
      </c>
      <c r="CN9" s="62"/>
      <c r="CO9" s="62"/>
      <c r="CP9" s="68"/>
      <c r="CQ9" s="67">
        <f t="shared" si="95"/>
        <v>0</v>
      </c>
      <c r="CR9" s="68"/>
      <c r="CS9" s="67">
        <f t="shared" si="96"/>
        <v>0</v>
      </c>
      <c r="CT9" s="75"/>
      <c r="CU9" s="67">
        <f t="shared" si="97"/>
        <v>0</v>
      </c>
      <c r="CV9" s="68"/>
      <c r="CW9" s="67">
        <f t="shared" si="98"/>
        <v>0</v>
      </c>
      <c r="CX9" s="58"/>
      <c r="CY9" s="67">
        <f t="shared" si="99"/>
        <v>0</v>
      </c>
    </row>
    <row r="10" spans="1:103" ht="25.5" customHeight="1" thickBot="1" x14ac:dyDescent="0.45">
      <c r="A10" s="63">
        <v>44841</v>
      </c>
      <c r="B10" s="44"/>
      <c r="C10" s="58"/>
      <c r="D10" s="64">
        <f t="shared" si="50"/>
        <v>0</v>
      </c>
      <c r="E10" s="58"/>
      <c r="F10" s="64">
        <f t="shared" si="51"/>
        <v>0</v>
      </c>
      <c r="G10" s="58"/>
      <c r="H10" s="64">
        <f t="shared" si="52"/>
        <v>0</v>
      </c>
      <c r="I10" s="58"/>
      <c r="J10" s="64">
        <f t="shared" si="53"/>
        <v>0</v>
      </c>
      <c r="K10" s="58"/>
      <c r="L10" s="64">
        <f t="shared" si="54"/>
        <v>0</v>
      </c>
      <c r="M10" s="58"/>
      <c r="N10" s="64">
        <f t="shared" si="55"/>
        <v>0</v>
      </c>
      <c r="O10" s="58"/>
      <c r="P10" s="67">
        <f t="shared" si="56"/>
        <v>0</v>
      </c>
      <c r="Q10" s="58"/>
      <c r="R10" s="67">
        <f t="shared" si="57"/>
        <v>0</v>
      </c>
      <c r="S10" s="58"/>
      <c r="T10" s="67">
        <f t="shared" si="58"/>
        <v>0</v>
      </c>
      <c r="U10" s="58"/>
      <c r="V10" s="67">
        <f t="shared" si="59"/>
        <v>0</v>
      </c>
      <c r="W10" s="58"/>
      <c r="X10" s="65">
        <f t="shared" si="60"/>
        <v>0</v>
      </c>
      <c r="Y10" s="58"/>
      <c r="Z10" s="65">
        <f t="shared" si="61"/>
        <v>0</v>
      </c>
      <c r="AA10" s="58"/>
      <c r="AB10" s="65">
        <f t="shared" si="62"/>
        <v>0</v>
      </c>
      <c r="AC10" s="58"/>
      <c r="AD10" s="65">
        <f t="shared" si="63"/>
        <v>0</v>
      </c>
      <c r="AE10" s="58"/>
      <c r="AF10" s="65">
        <f t="shared" si="64"/>
        <v>0</v>
      </c>
      <c r="AG10" s="58"/>
      <c r="AH10" s="67">
        <f t="shared" si="65"/>
        <v>0</v>
      </c>
      <c r="AI10" s="58"/>
      <c r="AJ10" s="65">
        <f t="shared" si="66"/>
        <v>0</v>
      </c>
      <c r="AK10" s="58"/>
      <c r="AL10" s="65">
        <f t="shared" si="67"/>
        <v>0</v>
      </c>
      <c r="AM10" s="58"/>
      <c r="AN10" s="65">
        <f t="shared" si="68"/>
        <v>0</v>
      </c>
      <c r="AO10" s="58"/>
      <c r="AP10" s="65">
        <f t="shared" si="69"/>
        <v>0</v>
      </c>
      <c r="AQ10" s="58"/>
      <c r="AR10" s="65">
        <f t="shared" si="70"/>
        <v>0</v>
      </c>
      <c r="AS10" s="58"/>
      <c r="AT10" s="65">
        <f t="shared" si="71"/>
        <v>0</v>
      </c>
      <c r="AU10" s="58"/>
      <c r="AV10" s="65">
        <f t="shared" si="72"/>
        <v>0</v>
      </c>
      <c r="AW10" s="58"/>
      <c r="AX10" s="65">
        <f t="shared" si="73"/>
        <v>0</v>
      </c>
      <c r="AY10" s="58"/>
      <c r="AZ10" s="65">
        <f t="shared" si="74"/>
        <v>0</v>
      </c>
      <c r="BA10" s="58"/>
      <c r="BB10" s="65">
        <f t="shared" si="75"/>
        <v>0</v>
      </c>
      <c r="BC10" s="58"/>
      <c r="BD10" s="65">
        <f t="shared" si="76"/>
        <v>0</v>
      </c>
      <c r="BE10" s="59"/>
      <c r="BF10" s="67">
        <f t="shared" si="77"/>
        <v>0</v>
      </c>
      <c r="BG10" s="60"/>
      <c r="BH10" s="65">
        <f t="shared" si="78"/>
        <v>0</v>
      </c>
      <c r="BI10" s="60"/>
      <c r="BJ10" s="65">
        <f t="shared" si="79"/>
        <v>0</v>
      </c>
      <c r="BK10" s="60"/>
      <c r="BL10" s="65">
        <f t="shared" si="80"/>
        <v>0</v>
      </c>
      <c r="BM10" s="60"/>
      <c r="BN10" s="65">
        <f t="shared" si="81"/>
        <v>0</v>
      </c>
      <c r="BO10" s="60"/>
      <c r="BP10" s="65">
        <f t="shared" si="82"/>
        <v>0</v>
      </c>
      <c r="BQ10" s="60"/>
      <c r="BR10" s="65">
        <f t="shared" si="83"/>
        <v>0</v>
      </c>
      <c r="BS10" s="60"/>
      <c r="BT10" s="65">
        <f t="shared" si="84"/>
        <v>0</v>
      </c>
      <c r="BU10" s="60"/>
      <c r="BV10" s="65">
        <f t="shared" si="85"/>
        <v>0</v>
      </c>
      <c r="BW10" s="60"/>
      <c r="BX10" s="65">
        <f t="shared" si="86"/>
        <v>0</v>
      </c>
      <c r="BY10" s="60"/>
      <c r="BZ10" s="67">
        <f t="shared" si="87"/>
        <v>0</v>
      </c>
      <c r="CA10" s="60"/>
      <c r="CB10" s="67">
        <f t="shared" si="88"/>
        <v>0</v>
      </c>
      <c r="CC10" s="60"/>
      <c r="CD10" s="67">
        <f t="shared" si="89"/>
        <v>0</v>
      </c>
      <c r="CE10" s="60"/>
      <c r="CF10" s="67">
        <f t="shared" si="90"/>
        <v>0</v>
      </c>
      <c r="CG10" s="60"/>
      <c r="CH10" s="67">
        <f t="shared" si="91"/>
        <v>0</v>
      </c>
      <c r="CI10" s="60"/>
      <c r="CJ10" s="67">
        <f t="shared" si="92"/>
        <v>0</v>
      </c>
      <c r="CK10" s="60"/>
      <c r="CL10" s="64">
        <f t="shared" si="93"/>
        <v>0</v>
      </c>
      <c r="CM10" s="65">
        <f t="shared" si="94"/>
        <v>0</v>
      </c>
      <c r="CN10" s="62"/>
      <c r="CO10" s="62"/>
      <c r="CP10" s="68"/>
      <c r="CQ10" s="67">
        <f t="shared" si="95"/>
        <v>0</v>
      </c>
      <c r="CR10" s="68"/>
      <c r="CS10" s="67">
        <f t="shared" si="96"/>
        <v>0</v>
      </c>
      <c r="CT10" s="75"/>
      <c r="CU10" s="67">
        <f t="shared" si="97"/>
        <v>0</v>
      </c>
      <c r="CV10" s="68"/>
      <c r="CW10" s="67">
        <f t="shared" si="98"/>
        <v>0</v>
      </c>
      <c r="CX10" s="58"/>
      <c r="CY10" s="67">
        <f t="shared" si="99"/>
        <v>0</v>
      </c>
    </row>
    <row r="11" spans="1:103" ht="25.5" customHeight="1" thickBot="1" x14ac:dyDescent="0.45">
      <c r="A11" s="63">
        <v>44842</v>
      </c>
      <c r="B11" s="44"/>
      <c r="C11" s="58"/>
      <c r="D11" s="64">
        <f t="shared" si="50"/>
        <v>0</v>
      </c>
      <c r="E11" s="58"/>
      <c r="F11" s="64">
        <f t="shared" si="51"/>
        <v>0</v>
      </c>
      <c r="G11" s="58"/>
      <c r="H11" s="64">
        <f t="shared" si="52"/>
        <v>0</v>
      </c>
      <c r="I11" s="58"/>
      <c r="J11" s="64">
        <f t="shared" si="53"/>
        <v>0</v>
      </c>
      <c r="K11" s="58"/>
      <c r="L11" s="64">
        <f t="shared" si="54"/>
        <v>0</v>
      </c>
      <c r="M11" s="58"/>
      <c r="N11" s="64">
        <f t="shared" si="55"/>
        <v>0</v>
      </c>
      <c r="O11" s="58"/>
      <c r="P11" s="67">
        <f t="shared" si="56"/>
        <v>0</v>
      </c>
      <c r="Q11" s="58"/>
      <c r="R11" s="67">
        <f t="shared" si="57"/>
        <v>0</v>
      </c>
      <c r="S11" s="58"/>
      <c r="T11" s="67">
        <f t="shared" si="58"/>
        <v>0</v>
      </c>
      <c r="U11" s="58"/>
      <c r="V11" s="67">
        <f t="shared" si="59"/>
        <v>0</v>
      </c>
      <c r="W11" s="58"/>
      <c r="X11" s="65">
        <f t="shared" si="60"/>
        <v>0</v>
      </c>
      <c r="Y11" s="58"/>
      <c r="Z11" s="65">
        <f t="shared" si="61"/>
        <v>0</v>
      </c>
      <c r="AA11" s="58"/>
      <c r="AB11" s="65">
        <f t="shared" si="62"/>
        <v>0</v>
      </c>
      <c r="AC11" s="58"/>
      <c r="AD11" s="65">
        <f t="shared" si="63"/>
        <v>0</v>
      </c>
      <c r="AE11" s="58"/>
      <c r="AF11" s="65">
        <f t="shared" si="64"/>
        <v>0</v>
      </c>
      <c r="AG11" s="58"/>
      <c r="AH11" s="67">
        <f t="shared" si="65"/>
        <v>0</v>
      </c>
      <c r="AI11" s="58"/>
      <c r="AJ11" s="65">
        <f t="shared" si="66"/>
        <v>0</v>
      </c>
      <c r="AK11" s="58"/>
      <c r="AL11" s="65">
        <f t="shared" si="67"/>
        <v>0</v>
      </c>
      <c r="AM11" s="58"/>
      <c r="AN11" s="65">
        <f t="shared" si="68"/>
        <v>0</v>
      </c>
      <c r="AO11" s="58"/>
      <c r="AP11" s="65">
        <f t="shared" si="69"/>
        <v>0</v>
      </c>
      <c r="AQ11" s="58"/>
      <c r="AR11" s="65">
        <f t="shared" si="70"/>
        <v>0</v>
      </c>
      <c r="AS11" s="58"/>
      <c r="AT11" s="65">
        <f t="shared" si="71"/>
        <v>0</v>
      </c>
      <c r="AU11" s="58"/>
      <c r="AV11" s="65">
        <f t="shared" si="72"/>
        <v>0</v>
      </c>
      <c r="AW11" s="58"/>
      <c r="AX11" s="65">
        <f t="shared" si="73"/>
        <v>0</v>
      </c>
      <c r="AY11" s="58"/>
      <c r="AZ11" s="65">
        <f t="shared" si="74"/>
        <v>0</v>
      </c>
      <c r="BA11" s="58"/>
      <c r="BB11" s="65">
        <f t="shared" si="75"/>
        <v>0</v>
      </c>
      <c r="BC11" s="58"/>
      <c r="BD11" s="65">
        <f t="shared" si="76"/>
        <v>0</v>
      </c>
      <c r="BE11" s="59"/>
      <c r="BF11" s="67">
        <f t="shared" si="77"/>
        <v>0</v>
      </c>
      <c r="BG11" s="60"/>
      <c r="BH11" s="65">
        <f t="shared" si="78"/>
        <v>0</v>
      </c>
      <c r="BI11" s="60"/>
      <c r="BJ11" s="65">
        <f t="shared" si="79"/>
        <v>0</v>
      </c>
      <c r="BK11" s="60"/>
      <c r="BL11" s="65">
        <f t="shared" si="80"/>
        <v>0</v>
      </c>
      <c r="BM11" s="60"/>
      <c r="BN11" s="65">
        <f t="shared" si="81"/>
        <v>0</v>
      </c>
      <c r="BO11" s="60"/>
      <c r="BP11" s="65">
        <f t="shared" si="82"/>
        <v>0</v>
      </c>
      <c r="BQ11" s="60"/>
      <c r="BR11" s="65">
        <f t="shared" si="83"/>
        <v>0</v>
      </c>
      <c r="BS11" s="60"/>
      <c r="BT11" s="65">
        <f t="shared" si="84"/>
        <v>0</v>
      </c>
      <c r="BU11" s="60"/>
      <c r="BV11" s="65">
        <f t="shared" si="85"/>
        <v>0</v>
      </c>
      <c r="BW11" s="60"/>
      <c r="BX11" s="65">
        <f t="shared" si="86"/>
        <v>0</v>
      </c>
      <c r="BY11" s="60"/>
      <c r="BZ11" s="67">
        <f t="shared" si="87"/>
        <v>0</v>
      </c>
      <c r="CA11" s="60"/>
      <c r="CB11" s="67">
        <f t="shared" si="88"/>
        <v>0</v>
      </c>
      <c r="CC11" s="60"/>
      <c r="CD11" s="67">
        <f t="shared" si="89"/>
        <v>0</v>
      </c>
      <c r="CE11" s="60"/>
      <c r="CF11" s="67">
        <f t="shared" si="90"/>
        <v>0</v>
      </c>
      <c r="CG11" s="60"/>
      <c r="CH11" s="67">
        <f t="shared" si="91"/>
        <v>0</v>
      </c>
      <c r="CI11" s="60"/>
      <c r="CJ11" s="67">
        <f t="shared" si="92"/>
        <v>0</v>
      </c>
      <c r="CK11" s="60"/>
      <c r="CL11" s="64">
        <f t="shared" si="93"/>
        <v>0</v>
      </c>
      <c r="CM11" s="65">
        <f t="shared" si="94"/>
        <v>0</v>
      </c>
      <c r="CN11" s="62"/>
      <c r="CO11" s="62"/>
      <c r="CP11" s="68"/>
      <c r="CQ11" s="67">
        <f t="shared" si="95"/>
        <v>0</v>
      </c>
      <c r="CR11" s="68"/>
      <c r="CS11" s="67">
        <f t="shared" si="96"/>
        <v>0</v>
      </c>
      <c r="CT11" s="75"/>
      <c r="CU11" s="67">
        <f t="shared" si="97"/>
        <v>0</v>
      </c>
      <c r="CV11" s="68"/>
      <c r="CW11" s="67">
        <f t="shared" si="98"/>
        <v>0</v>
      </c>
      <c r="CX11" s="58"/>
      <c r="CY11" s="67">
        <f t="shared" si="99"/>
        <v>0</v>
      </c>
    </row>
    <row r="12" spans="1:103" ht="25.5" customHeight="1" thickBot="1" x14ac:dyDescent="0.45">
      <c r="A12" s="63">
        <v>44843</v>
      </c>
      <c r="B12" s="44"/>
      <c r="C12" s="58"/>
      <c r="D12" s="64">
        <f t="shared" si="50"/>
        <v>0</v>
      </c>
      <c r="E12" s="58"/>
      <c r="F12" s="64">
        <f t="shared" si="51"/>
        <v>0</v>
      </c>
      <c r="G12" s="58"/>
      <c r="H12" s="64">
        <f t="shared" si="52"/>
        <v>0</v>
      </c>
      <c r="I12" s="58"/>
      <c r="J12" s="64">
        <f t="shared" si="53"/>
        <v>0</v>
      </c>
      <c r="K12" s="58"/>
      <c r="L12" s="64">
        <f t="shared" si="54"/>
        <v>0</v>
      </c>
      <c r="M12" s="58"/>
      <c r="N12" s="64">
        <f t="shared" si="55"/>
        <v>0</v>
      </c>
      <c r="O12" s="58"/>
      <c r="P12" s="67">
        <f t="shared" si="56"/>
        <v>0</v>
      </c>
      <c r="Q12" s="58"/>
      <c r="R12" s="67">
        <f t="shared" si="57"/>
        <v>0</v>
      </c>
      <c r="S12" s="58"/>
      <c r="T12" s="67">
        <f t="shared" si="58"/>
        <v>0</v>
      </c>
      <c r="U12" s="58"/>
      <c r="V12" s="67">
        <f t="shared" si="59"/>
        <v>0</v>
      </c>
      <c r="W12" s="58"/>
      <c r="X12" s="65">
        <f t="shared" si="60"/>
        <v>0</v>
      </c>
      <c r="Y12" s="58"/>
      <c r="Z12" s="65">
        <f t="shared" si="61"/>
        <v>0</v>
      </c>
      <c r="AA12" s="58"/>
      <c r="AB12" s="65">
        <f t="shared" si="62"/>
        <v>0</v>
      </c>
      <c r="AC12" s="58"/>
      <c r="AD12" s="65">
        <f t="shared" si="63"/>
        <v>0</v>
      </c>
      <c r="AE12" s="58"/>
      <c r="AF12" s="65">
        <f t="shared" si="64"/>
        <v>0</v>
      </c>
      <c r="AG12" s="58"/>
      <c r="AH12" s="67">
        <f t="shared" si="65"/>
        <v>0</v>
      </c>
      <c r="AI12" s="58"/>
      <c r="AJ12" s="65">
        <f t="shared" si="66"/>
        <v>0</v>
      </c>
      <c r="AK12" s="58"/>
      <c r="AL12" s="65">
        <f t="shared" si="67"/>
        <v>0</v>
      </c>
      <c r="AM12" s="58"/>
      <c r="AN12" s="65">
        <f t="shared" si="68"/>
        <v>0</v>
      </c>
      <c r="AO12" s="58"/>
      <c r="AP12" s="65">
        <f t="shared" si="69"/>
        <v>0</v>
      </c>
      <c r="AQ12" s="58"/>
      <c r="AR12" s="65">
        <f t="shared" si="70"/>
        <v>0</v>
      </c>
      <c r="AS12" s="58"/>
      <c r="AT12" s="65">
        <f t="shared" si="71"/>
        <v>0</v>
      </c>
      <c r="AU12" s="58"/>
      <c r="AV12" s="65">
        <f t="shared" si="72"/>
        <v>0</v>
      </c>
      <c r="AW12" s="58"/>
      <c r="AX12" s="65">
        <f t="shared" si="73"/>
        <v>0</v>
      </c>
      <c r="AY12" s="58"/>
      <c r="AZ12" s="65">
        <f t="shared" si="74"/>
        <v>0</v>
      </c>
      <c r="BA12" s="58"/>
      <c r="BB12" s="65">
        <f t="shared" si="75"/>
        <v>0</v>
      </c>
      <c r="BC12" s="58"/>
      <c r="BD12" s="65">
        <f t="shared" si="76"/>
        <v>0</v>
      </c>
      <c r="BE12" s="59"/>
      <c r="BF12" s="67">
        <f t="shared" si="77"/>
        <v>0</v>
      </c>
      <c r="BG12" s="60"/>
      <c r="BH12" s="65">
        <f t="shared" si="78"/>
        <v>0</v>
      </c>
      <c r="BI12" s="60"/>
      <c r="BJ12" s="65">
        <f t="shared" si="79"/>
        <v>0</v>
      </c>
      <c r="BK12" s="60"/>
      <c r="BL12" s="65">
        <f t="shared" si="80"/>
        <v>0</v>
      </c>
      <c r="BM12" s="60"/>
      <c r="BN12" s="65">
        <f t="shared" si="81"/>
        <v>0</v>
      </c>
      <c r="BO12" s="60"/>
      <c r="BP12" s="65">
        <f t="shared" si="82"/>
        <v>0</v>
      </c>
      <c r="BQ12" s="60"/>
      <c r="BR12" s="65">
        <f t="shared" si="83"/>
        <v>0</v>
      </c>
      <c r="BS12" s="60"/>
      <c r="BT12" s="65">
        <f t="shared" si="84"/>
        <v>0</v>
      </c>
      <c r="BU12" s="60"/>
      <c r="BV12" s="65">
        <f t="shared" si="85"/>
        <v>0</v>
      </c>
      <c r="BW12" s="60"/>
      <c r="BX12" s="65">
        <f t="shared" si="86"/>
        <v>0</v>
      </c>
      <c r="BY12" s="60"/>
      <c r="BZ12" s="67">
        <f t="shared" si="87"/>
        <v>0</v>
      </c>
      <c r="CA12" s="60"/>
      <c r="CB12" s="67">
        <f t="shared" si="88"/>
        <v>0</v>
      </c>
      <c r="CC12" s="60"/>
      <c r="CD12" s="67">
        <f t="shared" si="89"/>
        <v>0</v>
      </c>
      <c r="CE12" s="60"/>
      <c r="CF12" s="67">
        <f t="shared" si="90"/>
        <v>0</v>
      </c>
      <c r="CG12" s="60"/>
      <c r="CH12" s="67">
        <f t="shared" si="91"/>
        <v>0</v>
      </c>
      <c r="CI12" s="60"/>
      <c r="CJ12" s="67">
        <f t="shared" si="92"/>
        <v>0</v>
      </c>
      <c r="CK12" s="60"/>
      <c r="CL12" s="64">
        <f t="shared" si="93"/>
        <v>0</v>
      </c>
      <c r="CM12" s="65">
        <f t="shared" si="94"/>
        <v>0</v>
      </c>
      <c r="CN12" s="62"/>
      <c r="CO12" s="62"/>
      <c r="CP12" s="68"/>
      <c r="CQ12" s="67">
        <f t="shared" si="95"/>
        <v>0</v>
      </c>
      <c r="CR12" s="68"/>
      <c r="CS12" s="67">
        <f t="shared" si="96"/>
        <v>0</v>
      </c>
      <c r="CT12" s="75"/>
      <c r="CU12" s="67">
        <f t="shared" si="97"/>
        <v>0</v>
      </c>
      <c r="CV12" s="68"/>
      <c r="CW12" s="67">
        <f t="shared" si="98"/>
        <v>0</v>
      </c>
      <c r="CX12" s="58"/>
      <c r="CY12" s="67">
        <f t="shared" si="99"/>
        <v>0</v>
      </c>
    </row>
    <row r="13" spans="1:103" ht="25.5" customHeight="1" thickBot="1" x14ac:dyDescent="0.45">
      <c r="A13" s="63">
        <v>44844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74"/>
        <v>0</v>
      </c>
      <c r="BA13" s="58"/>
      <c r="BB13" s="65">
        <f t="shared" si="75"/>
        <v>0</v>
      </c>
      <c r="BC13" s="58"/>
      <c r="BD13" s="65">
        <f t="shared" si="76"/>
        <v>0</v>
      </c>
      <c r="BE13" s="59"/>
      <c r="BF13" s="67">
        <f t="shared" si="77"/>
        <v>0</v>
      </c>
      <c r="BG13" s="60"/>
      <c r="BH13" s="65">
        <f t="shared" si="78"/>
        <v>0</v>
      </c>
      <c r="BI13" s="60"/>
      <c r="BJ13" s="65">
        <f t="shared" si="79"/>
        <v>0</v>
      </c>
      <c r="BK13" s="60"/>
      <c r="BL13" s="65">
        <f t="shared" si="80"/>
        <v>0</v>
      </c>
      <c r="BM13" s="60"/>
      <c r="BN13" s="65">
        <f t="shared" si="81"/>
        <v>0</v>
      </c>
      <c r="BO13" s="60"/>
      <c r="BP13" s="65">
        <f t="shared" si="82"/>
        <v>0</v>
      </c>
      <c r="BQ13" s="60"/>
      <c r="BR13" s="65">
        <f t="shared" si="83"/>
        <v>0</v>
      </c>
      <c r="BS13" s="60"/>
      <c r="BT13" s="65">
        <f t="shared" si="84"/>
        <v>0</v>
      </c>
      <c r="BU13" s="60"/>
      <c r="BV13" s="65">
        <f t="shared" si="85"/>
        <v>0</v>
      </c>
      <c r="BW13" s="60"/>
      <c r="BX13" s="65">
        <f t="shared" si="86"/>
        <v>0</v>
      </c>
      <c r="BY13" s="60"/>
      <c r="BZ13" s="67">
        <f t="shared" si="87"/>
        <v>0</v>
      </c>
      <c r="CA13" s="60"/>
      <c r="CB13" s="67">
        <f t="shared" si="88"/>
        <v>0</v>
      </c>
      <c r="CC13" s="60"/>
      <c r="CD13" s="67">
        <f t="shared" si="89"/>
        <v>0</v>
      </c>
      <c r="CE13" s="60"/>
      <c r="CF13" s="67">
        <f t="shared" si="90"/>
        <v>0</v>
      </c>
      <c r="CG13" s="60"/>
      <c r="CH13" s="67">
        <f t="shared" si="91"/>
        <v>0</v>
      </c>
      <c r="CI13" s="60"/>
      <c r="CJ13" s="67">
        <f t="shared" si="92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95"/>
        <v>0</v>
      </c>
      <c r="CR13" s="68"/>
      <c r="CS13" s="67">
        <f t="shared" si="96"/>
        <v>0</v>
      </c>
      <c r="CT13" s="75"/>
      <c r="CU13" s="67">
        <f t="shared" si="97"/>
        <v>0</v>
      </c>
      <c r="CV13" s="68"/>
      <c r="CW13" s="67">
        <f t="shared" si="98"/>
        <v>0</v>
      </c>
      <c r="CX13" s="58"/>
      <c r="CY13" s="67">
        <f t="shared" si="99"/>
        <v>0</v>
      </c>
    </row>
    <row r="14" spans="1:103" ht="25.5" customHeight="1" thickBot="1" x14ac:dyDescent="0.45">
      <c r="A14" s="63">
        <v>44845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95"/>
        <v>0</v>
      </c>
      <c r="CR14" s="68"/>
      <c r="CS14" s="67">
        <f t="shared" si="96"/>
        <v>0</v>
      </c>
      <c r="CT14" s="75"/>
      <c r="CU14" s="67">
        <f t="shared" si="97"/>
        <v>0</v>
      </c>
      <c r="CV14" s="68"/>
      <c r="CW14" s="67">
        <f t="shared" si="98"/>
        <v>0</v>
      </c>
      <c r="CX14" s="58"/>
      <c r="CY14" s="67">
        <f t="shared" si="99"/>
        <v>0</v>
      </c>
    </row>
    <row r="15" spans="1:103" ht="25.5" customHeight="1" thickBot="1" x14ac:dyDescent="0.45">
      <c r="A15" s="63">
        <v>44846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6"/>
        <v>0</v>
      </c>
      <c r="CT15" s="75"/>
      <c r="CU15" s="67">
        <f t="shared" si="97"/>
        <v>0</v>
      </c>
      <c r="CV15" s="68"/>
      <c r="CW15" s="67">
        <f t="shared" si="98"/>
        <v>0</v>
      </c>
      <c r="CX15" s="58"/>
      <c r="CY15" s="67">
        <f t="shared" si="99"/>
        <v>0</v>
      </c>
    </row>
    <row r="16" spans="1:103" ht="25.5" customHeight="1" thickBot="1" x14ac:dyDescent="0.45">
      <c r="A16" s="63">
        <v>44847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6"/>
        <v>0</v>
      </c>
      <c r="CT16" s="75"/>
      <c r="CU16" s="67">
        <f t="shared" si="97"/>
        <v>0</v>
      </c>
      <c r="CV16" s="68"/>
      <c r="CW16" s="67">
        <f t="shared" si="98"/>
        <v>0</v>
      </c>
      <c r="CX16" s="58"/>
      <c r="CY16" s="67">
        <f t="shared" si="99"/>
        <v>0</v>
      </c>
    </row>
    <row r="17" spans="1:103" ht="25.5" customHeight="1" thickBot="1" x14ac:dyDescent="0.45">
      <c r="A17" s="63">
        <v>44848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si="95"/>
        <v>0</v>
      </c>
      <c r="CR17" s="68"/>
      <c r="CS17" s="67">
        <f t="shared" si="96"/>
        <v>0</v>
      </c>
      <c r="CT17" s="75"/>
      <c r="CU17" s="67">
        <f t="shared" si="97"/>
        <v>0</v>
      </c>
      <c r="CV17" s="68"/>
      <c r="CW17" s="67">
        <f t="shared" si="98"/>
        <v>0</v>
      </c>
      <c r="CX17" s="58"/>
      <c r="CY17" s="67">
        <f t="shared" si="99"/>
        <v>0</v>
      </c>
    </row>
    <row r="18" spans="1:103" ht="25.5" customHeight="1" thickBot="1" x14ac:dyDescent="0.45">
      <c r="A18" s="63">
        <v>44849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5"/>
        <v>0</v>
      </c>
      <c r="CR18" s="68"/>
      <c r="CS18" s="67">
        <f t="shared" si="96"/>
        <v>0</v>
      </c>
      <c r="CT18" s="75"/>
      <c r="CU18" s="67">
        <f t="shared" si="97"/>
        <v>0</v>
      </c>
      <c r="CV18" s="68"/>
      <c r="CW18" s="67">
        <f t="shared" si="98"/>
        <v>0</v>
      </c>
      <c r="CX18" s="58"/>
      <c r="CY18" s="67">
        <f t="shared" si="99"/>
        <v>0</v>
      </c>
    </row>
    <row r="19" spans="1:103" ht="25.5" customHeight="1" thickBot="1" x14ac:dyDescent="0.45">
      <c r="A19" s="63">
        <v>44850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5"/>
        <v>0</v>
      </c>
      <c r="CR19" s="68"/>
      <c r="CS19" s="67">
        <f t="shared" si="96"/>
        <v>0</v>
      </c>
      <c r="CT19" s="75"/>
      <c r="CU19" s="67">
        <f t="shared" si="97"/>
        <v>0</v>
      </c>
      <c r="CV19" s="68"/>
      <c r="CW19" s="67">
        <f t="shared" si="98"/>
        <v>0</v>
      </c>
      <c r="CX19" s="58"/>
      <c r="CY19" s="67">
        <f t="shared" si="99"/>
        <v>0</v>
      </c>
    </row>
    <row r="20" spans="1:103" ht="25.5" customHeight="1" thickBot="1" x14ac:dyDescent="0.45">
      <c r="A20" s="63">
        <v>44851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5"/>
        <v>0</v>
      </c>
      <c r="CR20" s="68"/>
      <c r="CS20" s="67">
        <f t="shared" si="96"/>
        <v>0</v>
      </c>
      <c r="CT20" s="75"/>
      <c r="CU20" s="67">
        <f t="shared" si="97"/>
        <v>0</v>
      </c>
      <c r="CV20" s="68"/>
      <c r="CW20" s="67">
        <f t="shared" si="98"/>
        <v>0</v>
      </c>
      <c r="CX20" s="58"/>
      <c r="CY20" s="67">
        <f t="shared" si="99"/>
        <v>0</v>
      </c>
    </row>
    <row r="21" spans="1:103" ht="25.5" customHeight="1" thickBot="1" x14ac:dyDescent="0.45">
      <c r="A21" s="63">
        <v>44852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5"/>
        <v>0</v>
      </c>
      <c r="CR21" s="68"/>
      <c r="CS21" s="67">
        <f t="shared" si="96"/>
        <v>0</v>
      </c>
      <c r="CT21" s="75"/>
      <c r="CU21" s="67">
        <f t="shared" si="97"/>
        <v>0</v>
      </c>
      <c r="CV21" s="68"/>
      <c r="CW21" s="67">
        <f t="shared" si="98"/>
        <v>0</v>
      </c>
      <c r="CX21" s="58"/>
      <c r="CY21" s="67">
        <f t="shared" si="99"/>
        <v>0</v>
      </c>
    </row>
    <row r="22" spans="1:103" ht="25.5" customHeight="1" thickBot="1" x14ac:dyDescent="0.45">
      <c r="A22" s="63">
        <v>44853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5"/>
        <v>0</v>
      </c>
      <c r="CR22" s="68"/>
      <c r="CS22" s="67">
        <f t="shared" si="96"/>
        <v>0</v>
      </c>
      <c r="CT22" s="75"/>
      <c r="CU22" s="67">
        <f t="shared" si="97"/>
        <v>0</v>
      </c>
      <c r="CV22" s="68"/>
      <c r="CW22" s="67">
        <f t="shared" si="98"/>
        <v>0</v>
      </c>
      <c r="CX22" s="58"/>
      <c r="CY22" s="67">
        <f t="shared" si="99"/>
        <v>0</v>
      </c>
    </row>
    <row r="23" spans="1:103" ht="25.5" customHeight="1" thickBot="1" x14ac:dyDescent="0.45">
      <c r="A23" s="63">
        <v>44854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44855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44856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44857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44858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44859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44860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44861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44862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44863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44864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44865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AA14" sqref="AA1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44834</v>
      </c>
      <c r="B7" s="40">
        <v>0</v>
      </c>
      <c r="C7" s="79">
        <v>44</v>
      </c>
      <c r="D7" s="79">
        <v>93</v>
      </c>
      <c r="E7" s="41">
        <v>40</v>
      </c>
      <c r="F7" s="41">
        <v>6834</v>
      </c>
      <c r="G7" s="41">
        <v>85</v>
      </c>
      <c r="H7" s="41">
        <v>1005</v>
      </c>
      <c r="I7" s="41">
        <v>80</v>
      </c>
      <c r="J7" s="41">
        <v>2212</v>
      </c>
      <c r="K7" s="42">
        <v>82</v>
      </c>
      <c r="L7" s="42">
        <v>79</v>
      </c>
      <c r="M7" s="42">
        <v>1914</v>
      </c>
      <c r="N7" s="39">
        <v>85</v>
      </c>
      <c r="O7" s="39">
        <v>85</v>
      </c>
      <c r="P7" s="39">
        <v>72</v>
      </c>
      <c r="Q7" s="39">
        <v>5455</v>
      </c>
      <c r="R7" s="77">
        <v>60</v>
      </c>
      <c r="S7" s="77">
        <v>232</v>
      </c>
      <c r="T7" t="e">
        <f t="shared" ref="T7" si="0">S7-S6</f>
        <v>#VALUE!</v>
      </c>
    </row>
    <row r="8" spans="1:20" x14ac:dyDescent="0.25">
      <c r="A8" s="73">
        <v>44835</v>
      </c>
      <c r="B8" s="40">
        <v>0</v>
      </c>
      <c r="C8" s="79">
        <v>32</v>
      </c>
      <c r="D8" s="79">
        <v>62</v>
      </c>
      <c r="E8" s="41">
        <v>25</v>
      </c>
      <c r="F8" s="41">
        <v>6834</v>
      </c>
      <c r="G8" s="41">
        <v>85</v>
      </c>
      <c r="H8" s="41">
        <v>1008</v>
      </c>
      <c r="I8" s="41">
        <v>80</v>
      </c>
      <c r="J8" s="41">
        <v>2212</v>
      </c>
      <c r="K8" s="42">
        <v>82</v>
      </c>
      <c r="L8" s="42">
        <v>75</v>
      </c>
      <c r="M8" s="42">
        <v>1914</v>
      </c>
      <c r="N8" s="39">
        <v>85</v>
      </c>
      <c r="O8" s="39">
        <v>85</v>
      </c>
      <c r="P8" s="39">
        <v>69</v>
      </c>
      <c r="Q8" s="39">
        <v>5458</v>
      </c>
      <c r="R8" s="77">
        <v>60</v>
      </c>
      <c r="S8" s="77">
        <v>232</v>
      </c>
      <c r="T8">
        <f>S8-S7</f>
        <v>0</v>
      </c>
    </row>
    <row r="9" spans="1:20" x14ac:dyDescent="0.25">
      <c r="A9" s="73">
        <v>44836</v>
      </c>
      <c r="B9" s="40">
        <v>0</v>
      </c>
      <c r="C9" s="79">
        <v>32</v>
      </c>
      <c r="D9" s="79">
        <v>62</v>
      </c>
      <c r="E9" s="41">
        <v>15</v>
      </c>
      <c r="F9" s="41">
        <v>6834</v>
      </c>
      <c r="G9" s="41">
        <v>85</v>
      </c>
      <c r="H9" s="41">
        <v>1011</v>
      </c>
      <c r="I9" s="41">
        <v>75</v>
      </c>
      <c r="J9" s="41">
        <v>2212</v>
      </c>
      <c r="K9" s="42">
        <v>82</v>
      </c>
      <c r="L9" s="42">
        <v>75</v>
      </c>
      <c r="M9" s="42">
        <v>1914</v>
      </c>
      <c r="N9" s="39">
        <v>85</v>
      </c>
      <c r="O9" s="39">
        <v>85</v>
      </c>
      <c r="P9" s="39">
        <v>60</v>
      </c>
      <c r="Q9" s="39">
        <v>5461</v>
      </c>
      <c r="R9" s="77">
        <v>60</v>
      </c>
      <c r="S9" s="77">
        <v>232</v>
      </c>
      <c r="T9">
        <f t="shared" ref="T9:T39" si="1">S9-S8</f>
        <v>0</v>
      </c>
    </row>
    <row r="10" spans="1:20" x14ac:dyDescent="0.25">
      <c r="A10" s="73">
        <v>44837</v>
      </c>
      <c r="B10" s="40">
        <v>0</v>
      </c>
      <c r="C10" s="40">
        <v>24</v>
      </c>
      <c r="D10" s="40">
        <v>54</v>
      </c>
      <c r="E10" s="41">
        <v>5</v>
      </c>
      <c r="F10" s="41">
        <v>6834</v>
      </c>
      <c r="G10" s="41">
        <v>85</v>
      </c>
      <c r="H10" s="41">
        <v>1014</v>
      </c>
      <c r="I10" s="41">
        <v>75</v>
      </c>
      <c r="J10" s="41">
        <v>2212</v>
      </c>
      <c r="K10" s="42">
        <v>82</v>
      </c>
      <c r="L10" s="42">
        <v>70</v>
      </c>
      <c r="M10" s="42">
        <v>1914</v>
      </c>
      <c r="N10" s="39">
        <v>85</v>
      </c>
      <c r="O10" s="39">
        <v>85</v>
      </c>
      <c r="P10" s="39">
        <v>58</v>
      </c>
      <c r="Q10" s="39">
        <v>5465</v>
      </c>
      <c r="R10" s="77">
        <v>60</v>
      </c>
      <c r="S10" s="77">
        <v>232</v>
      </c>
      <c r="T10">
        <f t="shared" si="1"/>
        <v>0</v>
      </c>
    </row>
    <row r="11" spans="1:20" x14ac:dyDescent="0.25">
      <c r="A11" s="73">
        <v>44838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1"/>
        <v>-232</v>
      </c>
    </row>
    <row r="12" spans="1:20" x14ac:dyDescent="0.25">
      <c r="A12" s="73">
        <v>44839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0</v>
      </c>
    </row>
    <row r="13" spans="1:20" x14ac:dyDescent="0.25">
      <c r="A13" s="73">
        <v>44840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44841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44842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44843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44844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44845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44846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44847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44848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44849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44850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44851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44852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44853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44854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44855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44856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44857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44858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44859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44860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44861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44862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44863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44864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44865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44866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2022-10-04T18:01:04Z</dcterms:modified>
</cp:coreProperties>
</file>