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.Meacham\Documents\Temp Docs\HEP Logs\"/>
    </mc:Choice>
  </mc:AlternateContent>
  <xr:revisionPtr revIDLastSave="0" documentId="8_{FE4628F4-7B26-4CF4-9639-63D675C4C949}" xr6:coauthVersionLast="47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TOTAL" sheetId="1" r:id="rId1"/>
    <sheet name="Submetering" sheetId="3" r:id="rId2"/>
    <sheet name="Hampshire Daily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8" i="2" l="1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6" i="2"/>
  <c r="AE7" i="2"/>
  <c r="AE5" i="2"/>
  <c r="AE4" i="2"/>
  <c r="AD4" i="2"/>
  <c r="AA4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5" i="2"/>
  <c r="P36" i="2"/>
  <c r="O36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R7" i="3"/>
  <c r="S7" i="3"/>
  <c r="R8" i="3"/>
  <c r="S8" i="3"/>
  <c r="R9" i="3"/>
  <c r="S9" i="3"/>
  <c r="R10" i="3"/>
  <c r="S10" i="3"/>
  <c r="R11" i="3"/>
  <c r="S11" i="3"/>
  <c r="R12" i="3"/>
  <c r="S12" i="3"/>
  <c r="R13" i="3"/>
  <c r="S13" i="3"/>
  <c r="R14" i="3"/>
  <c r="S14" i="3"/>
  <c r="R15" i="3"/>
  <c r="S15" i="3"/>
  <c r="R16" i="3"/>
  <c r="S16" i="3"/>
  <c r="R17" i="3"/>
  <c r="S17" i="3"/>
  <c r="R18" i="3"/>
  <c r="S18" i="3"/>
  <c r="R19" i="3"/>
  <c r="S19" i="3"/>
  <c r="R20" i="3"/>
  <c r="S20" i="3"/>
  <c r="R21" i="3"/>
  <c r="S21" i="3"/>
  <c r="R22" i="3"/>
  <c r="S22" i="3"/>
  <c r="R23" i="3"/>
  <c r="S23" i="3"/>
  <c r="R24" i="3"/>
  <c r="S24" i="3"/>
  <c r="R25" i="3"/>
  <c r="S25" i="3"/>
  <c r="R26" i="3"/>
  <c r="S26" i="3"/>
  <c r="R27" i="3"/>
  <c r="S27" i="3"/>
  <c r="R28" i="3"/>
  <c r="S28" i="3"/>
  <c r="R29" i="3"/>
  <c r="S29" i="3"/>
  <c r="R30" i="3"/>
  <c r="S30" i="3"/>
  <c r="R31" i="3"/>
  <c r="S3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P2" i="3"/>
  <c r="O2" i="3"/>
  <c r="N2" i="3"/>
  <c r="E2" i="3"/>
  <c r="G2" i="3"/>
  <c r="G3" i="3"/>
  <c r="H2" i="3"/>
  <c r="I2" i="3"/>
  <c r="J2" i="3"/>
  <c r="K2" i="3"/>
  <c r="L2" i="3"/>
  <c r="M2" i="3"/>
  <c r="P29" i="3"/>
  <c r="P30" i="3"/>
  <c r="P31" i="3"/>
  <c r="O29" i="3"/>
  <c r="O30" i="3"/>
  <c r="O31" i="3"/>
  <c r="N29" i="3"/>
  <c r="N30" i="3"/>
  <c r="I30" i="1" s="1"/>
  <c r="N31" i="3"/>
  <c r="I31" i="1" s="1"/>
  <c r="M29" i="3"/>
  <c r="M30" i="3"/>
  <c r="G30" i="1" s="1"/>
  <c r="M31" i="3"/>
  <c r="G31" i="1" s="1"/>
  <c r="L29" i="3"/>
  <c r="L30" i="3"/>
  <c r="L31" i="3"/>
  <c r="K29" i="3"/>
  <c r="K30" i="3"/>
  <c r="K31" i="3"/>
  <c r="J29" i="3"/>
  <c r="J30" i="3"/>
  <c r="J31" i="3"/>
  <c r="I29" i="3"/>
  <c r="I30" i="3"/>
  <c r="I31" i="3"/>
  <c r="H29" i="3"/>
  <c r="H30" i="3"/>
  <c r="H31" i="3"/>
  <c r="G30" i="3"/>
  <c r="G31" i="3"/>
  <c r="G29" i="3"/>
  <c r="E29" i="3"/>
  <c r="E30" i="3"/>
  <c r="E3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E31" i="1" l="1"/>
  <c r="E30" i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S2" i="3" l="1"/>
  <c r="S3" i="3"/>
  <c r="S4" i="3"/>
  <c r="S5" i="3"/>
  <c r="S6" i="3"/>
  <c r="L2" i="1"/>
  <c r="R2" i="3"/>
  <c r="R3" i="3"/>
  <c r="R4" i="3"/>
  <c r="R5" i="3"/>
  <c r="R6" i="3"/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I29" i="1"/>
  <c r="E29" i="1"/>
  <c r="K2" i="1" l="1"/>
  <c r="E28" i="1"/>
  <c r="I22" i="1"/>
  <c r="I23" i="1"/>
  <c r="E25" i="1"/>
  <c r="E26" i="1"/>
  <c r="I26" i="1"/>
  <c r="E27" i="1"/>
  <c r="I27" i="1"/>
  <c r="I28" i="1"/>
  <c r="E7" i="1"/>
  <c r="E8" i="1"/>
  <c r="E11" i="1"/>
  <c r="E12" i="1"/>
  <c r="E15" i="1"/>
  <c r="E16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1"/>
  <c r="I7" i="1"/>
  <c r="I8" i="1"/>
  <c r="I9" i="1"/>
  <c r="I13" i="1"/>
  <c r="I16" i="1"/>
  <c r="I17" i="1"/>
  <c r="I18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3" i="1"/>
  <c r="I2" i="1"/>
  <c r="I20" i="1"/>
  <c r="I19" i="1"/>
  <c r="I6" i="1"/>
  <c r="I5" i="1"/>
  <c r="I25" i="1"/>
  <c r="I24" i="1"/>
  <c r="I15" i="1"/>
  <c r="I14" i="1"/>
  <c r="I10" i="1"/>
  <c r="I12" i="1"/>
  <c r="E4" i="1" l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</calcChain>
</file>

<file path=xl/sharedStrings.xml><?xml version="1.0" encoding="utf-8"?>
<sst xmlns="http://schemas.openxmlformats.org/spreadsheetml/2006/main" count="155" uniqueCount="62">
  <si>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</si>
  <si>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</si>
  <si>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</si>
  <si>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</si>
  <si>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</si>
  <si>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</si>
  <si>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</si>
  <si>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</si>
  <si>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</si>
  <si>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</si>
  <si>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</si>
  <si>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</si>
  <si>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Hampshire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</si>
  <si>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</si>
  <si>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</si>
  <si>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</si>
  <si>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</si>
  <si>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</si>
  <si>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</si>
  <si>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</si>
  <si>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</si>
  <si>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Gas- KWh</t>
  </si>
  <si>
    <t>Main Site Water Meter - m3</t>
  </si>
  <si>
    <t>Hard Water Supply- m3</t>
  </si>
  <si>
    <t>Pool Supply- m3</t>
  </si>
  <si>
    <t xml:space="preserve">Kids Pool </t>
  </si>
  <si>
    <t xml:space="preserve"> </t>
  </si>
  <si>
    <t>Electrical</t>
  </si>
  <si>
    <t xml:space="preserve">Main Site Gas Meter </t>
  </si>
  <si>
    <t xml:space="preserve">Banquet Gas Meter </t>
  </si>
  <si>
    <t xml:space="preserve">WC
Kitchen Gas Meter </t>
  </si>
  <si>
    <t>Main Site Water Meter</t>
  </si>
  <si>
    <t>EAST
LTHW
Sub Meter</t>
  </si>
  <si>
    <t>SPA
LTHW
Sub Meter</t>
  </si>
  <si>
    <t>CHW
Sub Meter</t>
  </si>
  <si>
    <t>Water Softener 
Sub Meter</t>
  </si>
  <si>
    <t>Hard Water Supply Sub Meter</t>
  </si>
  <si>
    <t>Chlorine Dioxide Water Meter</t>
  </si>
  <si>
    <t>Pool Supply Sub Meter</t>
  </si>
  <si>
    <t xml:space="preserve">Kids pool Sub Meter </t>
  </si>
  <si>
    <t>Main Pool
Backwash</t>
  </si>
  <si>
    <t>Room Night</t>
  </si>
  <si>
    <t>Guest</t>
  </si>
  <si>
    <t>Main Site Electric Meter 1</t>
  </si>
  <si>
    <t>Main Site Electric Meter 2</t>
  </si>
  <si>
    <t>East   MCC Sub Meter</t>
  </si>
  <si>
    <t>South    MCC 1 Sub Meter</t>
  </si>
  <si>
    <t>South       MCC 2 Sub Meter</t>
  </si>
  <si>
    <t>West    MCC 
Sub Meter</t>
  </si>
  <si>
    <t>Kitchen sub meter</t>
  </si>
  <si>
    <t>Spa electric Sub Meter</t>
  </si>
  <si>
    <t>East CHP 41 Electric generated</t>
  </si>
  <si>
    <t>Spa CHP 42 Electric generated</t>
  </si>
  <si>
    <t>GAS</t>
  </si>
  <si>
    <t>East LTHW Water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</si>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</sst>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FF7A"/>
        <bgColor indexed="64"/>
      </patternFill>
    </fill>
    <fill>
      <patternFill patternType="solid">
        <fgColor rgb="FFD9D9D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8" fillId="0" borderId="7" xfId="0" applyFont="1" applyBorder="1"/>
    <xf numFmtId="0" fontId="8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11" xfId="0" applyBorder="1"/>
    <xf numFmtId="0" fontId="0" fillId="0" borderId="7" xfId="0" applyBorder="1"/>
    <xf numFmtId="1" fontId="0" fillId="0" borderId="7" xfId="0" applyNumberFormat="1" applyBorder="1"/>
    <xf numFmtId="0" fontId="8" fillId="0" borderId="0" xfId="0" applyFont="1"/>
    <xf numFmtId="0" fontId="10" fillId="0" borderId="7" xfId="0" applyFont="1" applyBorder="1"/>
    <xf numFmtId="0" fontId="10" fillId="0" borderId="15" xfId="0" applyFont="1" applyBorder="1"/>
    <xf numFmtId="0" fontId="8" fillId="0" borderId="7" xfId="0" applyFont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0" xfId="0" applyAlignment="1">
      <alignment horizontal="right"/>
    </xf>
    <xf numFmtId="1" fontId="8" fillId="0" borderId="7" xfId="0" applyNumberFormat="1" applyFont="1" applyBorder="1"/>
    <xf numFmtId="0" fontId="0" fillId="0" borderId="2" xfId="0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49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164" fontId="0" fillId="0" borderId="7" xfId="0" applyNumberFormat="1" applyBorder="1"/>
    <xf numFmtId="164" fontId="8" fillId="9" borderId="7" xfId="0" applyNumberFormat="1" applyFont="1" applyFill="1" applyBorder="1"/>
    <xf numFmtId="2" fontId="8" fillId="9" borderId="7" xfId="0" applyNumberFormat="1" applyFont="1" applyFill="1" applyBorder="1"/>
    <xf numFmtId="164" fontId="0" fillId="9" borderId="7" xfId="0" applyNumberFormat="1" applyFill="1" applyBorder="1"/>
    <xf numFmtId="2" fontId="0" fillId="9" borderId="7" xfId="0" applyNumberFormat="1" applyFill="1" applyBorder="1"/>
    <xf numFmtId="2" fontId="0" fillId="0" borderId="0" xfId="0" applyNumberFormat="1"/>
    <xf numFmtId="164" fontId="8" fillId="0" borderId="7" xfId="0" applyNumberFormat="1" applyFont="1" applyBorder="1"/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8" xfId="1" applyFont="1" applyFill="1" applyBorder="1" applyAlignment="1">
      <alignment horizontal="center" wrapText="1"/>
    </xf>
    <xf numFmtId="0" fontId="1" fillId="3" borderId="8" xfId="1" applyFill="1" applyBorder="1" applyAlignment="1">
      <alignment horizontal="center"/>
    </xf>
    <xf numFmtId="0" fontId="2" fillId="3" borderId="9" xfId="1" applyFont="1" applyFill="1" applyBorder="1" applyAlignment="1">
      <alignment horizontal="center" wrapText="1"/>
    </xf>
    <xf numFmtId="0" fontId="2" fillId="3" borderId="16" xfId="1" applyFont="1" applyFill="1" applyBorder="1" applyAlignment="1">
      <alignment horizontal="center" wrapText="1"/>
    </xf>
    <xf numFmtId="0" fontId="2" fillId="3" borderId="12" xfId="1" applyFont="1" applyFill="1" applyBorder="1" applyAlignment="1">
      <alignment horizontal="center" wrapText="1"/>
    </xf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2" fillId="5" borderId="2" xfId="1" applyFont="1" applyFill="1" applyBorder="1" applyAlignment="1">
      <alignment horizontal="center" wrapText="1"/>
    </xf>
    <xf numFmtId="0" fontId="1" fillId="5" borderId="2" xfId="1" applyFill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2" fillId="5" borderId="9" xfId="1" applyFont="1" applyFill="1" applyBorder="1" applyAlignment="1">
      <alignment horizontal="center" wrapText="1"/>
    </xf>
    <xf numFmtId="0" fontId="2" fillId="5" borderId="12" xfId="1" applyFont="1" applyFill="1" applyBorder="1" applyAlignment="1">
      <alignment horizontal="center" wrapText="1"/>
    </xf>
    <xf numFmtId="0" fontId="1" fillId="5" borderId="2" xfId="1" applyFill="1" applyBorder="1" applyAlignment="1">
      <alignment horizontal="center"/>
    </xf>
    <xf numFmtId="0" fontId="2" fillId="5" borderId="8" xfId="1" applyFont="1" applyFill="1" applyBorder="1" applyAlignment="1">
      <alignment horizontal="center"/>
    </xf>
    <xf numFmtId="0" fontId="2" fillId="5" borderId="13" xfId="1" applyFont="1" applyFill="1" applyBorder="1" applyAlignment="1">
      <alignment horizontal="center"/>
    </xf>
    <xf numFmtId="0" fontId="2" fillId="5" borderId="14" xfId="1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wrapText="1"/>
    </xf>
    <xf numFmtId="0" fontId="3" fillId="7" borderId="0" xfId="0" applyFont="1" applyFill="1" applyAlignment="1">
      <alignment horizontal="center" vertical="center" wrapText="1"/>
    </xf>
    <xf numFmtId="164" fontId="2" fillId="8" borderId="2" xfId="1" applyNumberFormat="1" applyFont="1" applyFill="1" applyBorder="1" applyAlignment="1">
      <alignment horizontal="center" wrapText="1"/>
    </xf>
    <xf numFmtId="164" fontId="1" fillId="8" borderId="2" xfId="1" applyNumberFormat="1" applyFill="1" applyBorder="1" applyAlignment="1">
      <alignment horizontal="center"/>
    </xf>
    <xf numFmtId="2" fontId="2" fillId="8" borderId="2" xfId="1" applyNumberFormat="1" applyFont="1" applyFill="1" applyBorder="1" applyAlignment="1">
      <alignment horizontal="center" wrapText="1"/>
    </xf>
    <xf numFmtId="2" fontId="1" fillId="8" borderId="2" xfId="1" applyNumberFormat="1" applyFill="1" applyBorder="1" applyAlignment="1">
      <alignment horizontal="center"/>
    </xf>
    <xf numFmtId="164" fontId="11" fillId="3" borderId="2" xfId="1" applyNumberFormat="1" applyFont="1" applyFill="1" applyBorder="1" applyAlignment="1">
      <alignment horizontal="center" wrapText="1"/>
    </xf>
    <xf numFmtId="164" fontId="12" fillId="3" borderId="2" xfId="1" applyNumberFormat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X31"/>
  <sheetViews>
    <sheetView workbookViewId="0">
      <selection activeCell="C33" sqref="C33"/>
    </sheetView>
  </sheetViews>
  <sheetFormatPr defaultColWidth="11.5703125" defaultRowHeight="1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6</v>
      </c>
      <c r="H1" s="11" t="s">
        <v>7</v>
      </c>
      <c r="I1" s="7" t="s">
        <v>8</v>
      </c>
      <c r="J1" s="14" t="s">
        <v>9</v>
      </c>
      <c r="K1" s="7" t="s">
        <v>10</v>
      </c>
      <c r="L1" s="7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3" t="s">
        <v>12</v>
      </c>
      <c r="B2" s="2">
        <v>1</v>
      </c>
      <c r="C2" s="2">
        <v>11</v>
      </c>
      <c r="D2" s="2">
        <v>2022</v>
      </c>
      <c r="E2" s="4">
        <f>(Submetering!E2+Submetering!F2)</f>
        <v>7558</v>
      </c>
      <c r="F2" s="12">
        <v>0.35</v>
      </c>
      <c r="G2" s="4">
        <f>Submetering!M2</f>
        <v>2227</v>
      </c>
      <c r="H2" s="12">
        <v>0.6</v>
      </c>
      <c r="I2" s="4">
        <f>Submetering!N2</f>
        <v>76</v>
      </c>
      <c r="J2" s="13">
        <v>2.06</v>
      </c>
      <c r="K2" s="4">
        <f>'Hampshire Daily'!B5</f>
        <v>41</v>
      </c>
      <c r="L2" s="4">
        <f>'Hampshire Daily'!C5</f>
        <v>71</v>
      </c>
    </row>
    <row r="3" spans="1:24">
      <c r="A3" s="3" t="s">
        <v>12</v>
      </c>
      <c r="B3" s="2">
        <f>B2+1</f>
        <v>2</v>
      </c>
      <c r="C3" s="2">
        <v>11</v>
      </c>
      <c r="D3" s="2">
        <v>2022</v>
      </c>
      <c r="E3" s="4">
        <f>Submetering!E3+Submetering!F3</f>
        <v>6109</v>
      </c>
      <c r="F3" s="12">
        <v>0.35</v>
      </c>
      <c r="G3" s="4">
        <f>Submetering!M3</f>
        <v>2565</v>
      </c>
      <c r="H3" s="12">
        <v>0.6</v>
      </c>
      <c r="I3" s="4">
        <f>Submetering!N3</f>
        <v>83</v>
      </c>
      <c r="J3" s="13">
        <v>2.06</v>
      </c>
      <c r="K3" s="4">
        <f>'Hampshire Daily'!B6</f>
        <v>28</v>
      </c>
      <c r="L3" s="4">
        <f>'Hampshire Daily'!C6</f>
        <v>59</v>
      </c>
    </row>
    <row r="4" spans="1:24">
      <c r="A4" s="3" t="s">
        <v>12</v>
      </c>
      <c r="B4" s="2">
        <f t="shared" ref="B4:B31" si="0">B3+1</f>
        <v>3</v>
      </c>
      <c r="C4" s="2">
        <v>11</v>
      </c>
      <c r="D4" s="2">
        <v>2022</v>
      </c>
      <c r="E4" s="4">
        <f>Submetering!E4+Submetering!F4</f>
        <v>5088</v>
      </c>
      <c r="F4" s="12">
        <v>0.35</v>
      </c>
      <c r="G4" s="4">
        <f>Submetering!M4</f>
        <v>2659</v>
      </c>
      <c r="H4" s="12">
        <v>0.6</v>
      </c>
      <c r="I4" s="4">
        <f>Submetering!N4</f>
        <v>82</v>
      </c>
      <c r="J4" s="13">
        <v>2.06</v>
      </c>
      <c r="K4" s="4">
        <f>'Hampshire Daily'!B7</f>
        <v>36</v>
      </c>
      <c r="L4" s="4">
        <f>'Hampshire Daily'!C7</f>
        <v>68</v>
      </c>
    </row>
    <row r="5" spans="1:24">
      <c r="A5" s="3" t="s">
        <v>12</v>
      </c>
      <c r="B5" s="2">
        <f t="shared" si="0"/>
        <v>4</v>
      </c>
      <c r="C5" s="2">
        <v>11</v>
      </c>
      <c r="D5" s="2">
        <v>2022</v>
      </c>
      <c r="E5" s="4">
        <f>Submetering!E5+Submetering!F5</f>
        <v>5094</v>
      </c>
      <c r="F5" s="12">
        <v>0.35</v>
      </c>
      <c r="G5" s="4">
        <f>Submetering!M5</f>
        <v>2895</v>
      </c>
      <c r="H5" s="12">
        <v>0.6</v>
      </c>
      <c r="I5" s="4">
        <f>Submetering!N5</f>
        <v>141</v>
      </c>
      <c r="J5" s="13">
        <v>2.06</v>
      </c>
      <c r="K5" s="4">
        <f>'Hampshire Daily'!B8</f>
        <v>44</v>
      </c>
      <c r="L5" s="4">
        <f>'Hampshire Daily'!C8</f>
        <v>102</v>
      </c>
    </row>
    <row r="6" spans="1:24">
      <c r="A6" s="3" t="s">
        <v>12</v>
      </c>
      <c r="B6" s="2">
        <f t="shared" si="0"/>
        <v>5</v>
      </c>
      <c r="C6" s="2">
        <v>11</v>
      </c>
      <c r="D6" s="2">
        <v>2022</v>
      </c>
      <c r="E6" s="4">
        <f>Submetering!E6+Submetering!F6</f>
        <v>5922</v>
      </c>
      <c r="F6" s="12">
        <v>0.35</v>
      </c>
      <c r="G6" s="4">
        <f>Submetering!M6</f>
        <v>3276</v>
      </c>
      <c r="H6" s="12">
        <v>0.6</v>
      </c>
      <c r="I6" s="4">
        <f>Submetering!N6</f>
        <v>101</v>
      </c>
      <c r="J6" s="13">
        <v>2.06</v>
      </c>
      <c r="K6" s="4">
        <f>'Hampshire Daily'!B9</f>
        <v>43</v>
      </c>
      <c r="L6" s="4">
        <f>'Hampshire Daily'!C9</f>
        <v>106</v>
      </c>
    </row>
    <row r="7" spans="1:24">
      <c r="A7" s="3" t="s">
        <v>12</v>
      </c>
      <c r="B7" s="2">
        <f t="shared" si="0"/>
        <v>6</v>
      </c>
      <c r="C7" s="2">
        <v>11</v>
      </c>
      <c r="D7" s="2">
        <v>2022</v>
      </c>
      <c r="E7" s="4">
        <f>Submetering!E7+Submetering!F7</f>
        <v>5557</v>
      </c>
      <c r="F7" s="12">
        <v>0.35</v>
      </c>
      <c r="G7" s="4">
        <f>Submetering!M7</f>
        <v>2291</v>
      </c>
      <c r="H7" s="12">
        <v>0.6</v>
      </c>
      <c r="I7" s="4">
        <f>Submetering!N7</f>
        <v>88</v>
      </c>
      <c r="J7" s="13">
        <v>2.06</v>
      </c>
      <c r="K7" s="4">
        <f>'Hampshire Daily'!B10</f>
        <v>15</v>
      </c>
      <c r="L7" s="4">
        <f>'Hampshire Daily'!C10</f>
        <v>32</v>
      </c>
    </row>
    <row r="8" spans="1:24">
      <c r="A8" s="3" t="s">
        <v>12</v>
      </c>
      <c r="B8" s="2">
        <f t="shared" si="0"/>
        <v>7</v>
      </c>
      <c r="C8" s="2">
        <v>11</v>
      </c>
      <c r="D8" s="2">
        <v>2022</v>
      </c>
      <c r="E8" s="4">
        <f>Submetering!E8+Submetering!F8</f>
        <v>7993</v>
      </c>
      <c r="F8" s="12">
        <v>0.35</v>
      </c>
      <c r="G8" s="4">
        <f>Submetering!M8</f>
        <v>2240</v>
      </c>
      <c r="H8" s="12">
        <v>0.6</v>
      </c>
      <c r="I8" s="4">
        <f>Submetering!N8</f>
        <v>65</v>
      </c>
      <c r="J8" s="13">
        <v>2.06</v>
      </c>
      <c r="K8" s="4">
        <f>'Hampshire Daily'!B11</f>
        <v>24</v>
      </c>
      <c r="L8" s="4">
        <f>'Hampshire Daily'!C11</f>
        <v>32</v>
      </c>
    </row>
    <row r="9" spans="1:24">
      <c r="A9" s="3" t="s">
        <v>12</v>
      </c>
      <c r="B9" s="2">
        <f t="shared" si="0"/>
        <v>8</v>
      </c>
      <c r="C9" s="2">
        <v>11</v>
      </c>
      <c r="D9" s="2">
        <v>2022</v>
      </c>
      <c r="E9" s="4">
        <f>Submetering!E9+Submetering!F9</f>
        <v>7601</v>
      </c>
      <c r="F9" s="12">
        <v>0.35</v>
      </c>
      <c r="G9" s="4">
        <f>Submetering!M9</f>
        <v>2152</v>
      </c>
      <c r="H9" s="12">
        <v>0.6</v>
      </c>
      <c r="I9" s="4">
        <f>Submetering!N9</f>
        <v>85</v>
      </c>
      <c r="J9" s="13">
        <v>2.06</v>
      </c>
      <c r="K9" s="4">
        <f>'Hampshire Daily'!B12</f>
        <v>18</v>
      </c>
      <c r="L9" s="4">
        <f>'Hampshire Daily'!C12</f>
        <v>32</v>
      </c>
    </row>
    <row r="10" spans="1:24">
      <c r="A10" s="3" t="s">
        <v>12</v>
      </c>
      <c r="B10" s="2">
        <f t="shared" si="0"/>
        <v>9</v>
      </c>
      <c r="C10" s="2">
        <v>11</v>
      </c>
      <c r="D10" s="2">
        <v>2022</v>
      </c>
      <c r="E10" s="4">
        <f>Submetering!E10+Submetering!F10</f>
        <v>10403</v>
      </c>
      <c r="F10" s="12">
        <v>0.35</v>
      </c>
      <c r="G10" s="4">
        <f>Submetering!M10</f>
        <v>1837</v>
      </c>
      <c r="H10" s="12">
        <v>0.6</v>
      </c>
      <c r="I10" s="4">
        <f>Submetering!N10</f>
        <v>76</v>
      </c>
      <c r="J10" s="13">
        <v>2.06</v>
      </c>
      <c r="K10" s="4">
        <f>'Hampshire Daily'!B13</f>
        <v>37</v>
      </c>
      <c r="L10" s="4">
        <f>'Hampshire Daily'!C13</f>
        <v>55</v>
      </c>
    </row>
    <row r="11" spans="1:24">
      <c r="A11" s="3" t="s">
        <v>12</v>
      </c>
      <c r="B11" s="2">
        <f t="shared" si="0"/>
        <v>10</v>
      </c>
      <c r="C11" s="2">
        <v>11</v>
      </c>
      <c r="D11" s="2">
        <v>2022</v>
      </c>
      <c r="E11" s="4">
        <f>Submetering!E11+Submetering!F11</f>
        <v>7835</v>
      </c>
      <c r="F11" s="12">
        <v>0.35</v>
      </c>
      <c r="G11" s="4">
        <f>Submetering!M11</f>
        <v>2312</v>
      </c>
      <c r="H11" s="12">
        <v>0.6</v>
      </c>
      <c r="I11" s="4">
        <f>Submetering!N11</f>
        <v>81</v>
      </c>
      <c r="J11" s="13">
        <v>2.06</v>
      </c>
      <c r="K11" s="4">
        <f>'Hampshire Daily'!B14</f>
        <v>73</v>
      </c>
      <c r="L11" s="4">
        <f>'Hampshire Daily'!C14</f>
        <v>104</v>
      </c>
    </row>
    <row r="12" spans="1:24">
      <c r="A12" s="3" t="s">
        <v>12</v>
      </c>
      <c r="B12" s="2">
        <f t="shared" si="0"/>
        <v>11</v>
      </c>
      <c r="C12" s="2">
        <v>11</v>
      </c>
      <c r="D12" s="2">
        <v>2022</v>
      </c>
      <c r="E12" s="4">
        <f>Submetering!E12+Submetering!F12</f>
        <v>6138</v>
      </c>
      <c r="F12" s="12">
        <v>0.35</v>
      </c>
      <c r="G12" s="4">
        <f>Submetering!M12</f>
        <v>2571</v>
      </c>
      <c r="H12" s="12">
        <v>0.6</v>
      </c>
      <c r="I12" s="4">
        <f>Submetering!N12</f>
        <v>80</v>
      </c>
      <c r="J12" s="13">
        <v>2.06</v>
      </c>
      <c r="K12" s="4">
        <f>'Hampshire Daily'!B15</f>
        <v>69</v>
      </c>
      <c r="L12" s="4">
        <f>'Hampshire Daily'!C15</f>
        <v>131</v>
      </c>
    </row>
    <row r="13" spans="1:24">
      <c r="A13" s="3" t="s">
        <v>12</v>
      </c>
      <c r="B13" s="2">
        <f t="shared" si="0"/>
        <v>12</v>
      </c>
      <c r="C13" s="2">
        <v>11</v>
      </c>
      <c r="D13" s="2">
        <v>2022</v>
      </c>
      <c r="E13" s="4">
        <f>Submetering!E13+Submetering!F13</f>
        <v>5813</v>
      </c>
      <c r="F13" s="12">
        <v>0.35</v>
      </c>
      <c r="G13" s="4">
        <f>Submetering!M13</f>
        <v>2768</v>
      </c>
      <c r="H13" s="12">
        <v>0.6</v>
      </c>
      <c r="I13" s="4">
        <f>Submetering!N13</f>
        <v>84</v>
      </c>
      <c r="J13" s="13">
        <v>2.06</v>
      </c>
      <c r="K13" s="4">
        <f>'Hampshire Daily'!B16</f>
        <v>68</v>
      </c>
      <c r="L13" s="4">
        <f>'Hampshire Daily'!C16</f>
        <v>160</v>
      </c>
    </row>
    <row r="14" spans="1:24">
      <c r="A14" s="3" t="s">
        <v>12</v>
      </c>
      <c r="B14" s="2">
        <f t="shared" si="0"/>
        <v>13</v>
      </c>
      <c r="C14" s="2">
        <v>11</v>
      </c>
      <c r="D14" s="2">
        <v>2022</v>
      </c>
      <c r="E14" s="4">
        <f>Submetering!E14+Submetering!F14</f>
        <v>8103</v>
      </c>
      <c r="F14" s="12">
        <v>0.35</v>
      </c>
      <c r="G14" s="4">
        <f>Submetering!M14</f>
        <v>2056</v>
      </c>
      <c r="H14" s="12">
        <v>0.6</v>
      </c>
      <c r="I14" s="4">
        <f>Submetering!N14</f>
        <v>58</v>
      </c>
      <c r="J14" s="13">
        <v>2.06</v>
      </c>
      <c r="K14" s="4">
        <f>'Hampshire Daily'!B17</f>
        <v>28</v>
      </c>
      <c r="L14" s="4">
        <f>'Hampshire Daily'!C17</f>
        <v>62</v>
      </c>
    </row>
    <row r="15" spans="1:24">
      <c r="A15" s="3" t="s">
        <v>12</v>
      </c>
      <c r="B15" s="2">
        <f t="shared" si="0"/>
        <v>14</v>
      </c>
      <c r="C15" s="2">
        <v>11</v>
      </c>
      <c r="D15" s="2">
        <v>2022</v>
      </c>
      <c r="E15" s="4">
        <f>Submetering!E15+Submetering!F15</f>
        <v>5775</v>
      </c>
      <c r="F15" s="12">
        <v>0.35</v>
      </c>
      <c r="G15" s="4">
        <f>Submetering!M15</f>
        <v>2606</v>
      </c>
      <c r="H15" s="12">
        <v>0.6</v>
      </c>
      <c r="I15" s="4">
        <f>Submetering!N15</f>
        <v>132</v>
      </c>
      <c r="J15" s="13">
        <v>2.06</v>
      </c>
      <c r="K15" s="4">
        <f>'Hampshire Daily'!B18</f>
        <v>15</v>
      </c>
      <c r="L15" s="4">
        <f>'Hampshire Daily'!C18</f>
        <v>28</v>
      </c>
    </row>
    <row r="16" spans="1:24">
      <c r="A16" s="3" t="s">
        <v>12</v>
      </c>
      <c r="B16" s="2">
        <f t="shared" si="0"/>
        <v>15</v>
      </c>
      <c r="C16" s="2">
        <v>11</v>
      </c>
      <c r="D16" s="2">
        <v>2022</v>
      </c>
      <c r="E16" s="4">
        <f>Submetering!E16+Submetering!F16</f>
        <v>5161</v>
      </c>
      <c r="F16" s="12">
        <v>0.35</v>
      </c>
      <c r="G16" s="4">
        <f>Submetering!M16</f>
        <v>2768</v>
      </c>
      <c r="H16" s="12">
        <v>0.6</v>
      </c>
      <c r="I16" s="4">
        <f>Submetering!N16</f>
        <v>132</v>
      </c>
      <c r="J16" s="13">
        <v>2.06</v>
      </c>
      <c r="K16" s="4">
        <f>'Hampshire Daily'!B19</f>
        <v>14</v>
      </c>
      <c r="L16" s="4">
        <f>'Hampshire Daily'!C19</f>
        <v>25</v>
      </c>
    </row>
    <row r="17" spans="1:12">
      <c r="A17" s="3" t="s">
        <v>12</v>
      </c>
      <c r="B17" s="2">
        <f t="shared" si="0"/>
        <v>16</v>
      </c>
      <c r="C17" s="2">
        <v>11</v>
      </c>
      <c r="D17" s="2">
        <v>2022</v>
      </c>
      <c r="E17" s="4">
        <f>Submetering!E17+Submetering!F17</f>
        <v>8932</v>
      </c>
      <c r="F17" s="12">
        <v>0.35</v>
      </c>
      <c r="G17" s="4">
        <f>Submetering!M17</f>
        <v>2490</v>
      </c>
      <c r="H17" s="12">
        <v>0.6</v>
      </c>
      <c r="I17" s="4">
        <f>Submetering!N17</f>
        <v>61</v>
      </c>
      <c r="J17" s="13">
        <v>2.06</v>
      </c>
      <c r="K17" s="4">
        <f>'Hampshire Daily'!B20</f>
        <v>118</v>
      </c>
      <c r="L17" s="4">
        <f>'Hampshire Daily'!C20</f>
        <v>130</v>
      </c>
    </row>
    <row r="18" spans="1:12">
      <c r="A18" s="3" t="s">
        <v>12</v>
      </c>
      <c r="B18" s="2">
        <f t="shared" si="0"/>
        <v>17</v>
      </c>
      <c r="C18" s="2">
        <v>11</v>
      </c>
      <c r="D18" s="2">
        <v>2022</v>
      </c>
      <c r="E18" s="4">
        <f>Submetering!E18+Submetering!F18</f>
        <v>5752</v>
      </c>
      <c r="F18" s="12">
        <v>0.35</v>
      </c>
      <c r="G18" s="4">
        <f>Submetering!M18</f>
        <v>2834</v>
      </c>
      <c r="H18" s="12">
        <v>0.6</v>
      </c>
      <c r="I18" s="4">
        <f>Submetering!N18</f>
        <v>61</v>
      </c>
      <c r="J18" s="13">
        <v>2.06</v>
      </c>
      <c r="K18" s="4">
        <f>'Hampshire Daily'!B21</f>
        <v>30</v>
      </c>
      <c r="L18" s="4">
        <f>'Hampshire Daily'!C21</f>
        <v>54</v>
      </c>
    </row>
    <row r="19" spans="1:12">
      <c r="A19" s="3" t="s">
        <v>12</v>
      </c>
      <c r="B19" s="2">
        <f t="shared" si="0"/>
        <v>18</v>
      </c>
      <c r="C19" s="2">
        <v>11</v>
      </c>
      <c r="D19" s="2">
        <v>2022</v>
      </c>
      <c r="E19" s="4">
        <f>Submetering!E19+Submetering!F19</f>
        <v>5687</v>
      </c>
      <c r="F19" s="12">
        <v>0.35</v>
      </c>
      <c r="G19" s="4">
        <f>Submetering!M19</f>
        <v>3207</v>
      </c>
      <c r="H19" s="12">
        <v>0.6</v>
      </c>
      <c r="I19" s="4">
        <f>Submetering!N19</f>
        <v>69</v>
      </c>
      <c r="J19" s="13">
        <v>2.06</v>
      </c>
      <c r="K19" s="4">
        <f>'Hampshire Daily'!B22</f>
        <v>52</v>
      </c>
      <c r="L19" s="4">
        <f>'Hampshire Daily'!C22</f>
        <v>119</v>
      </c>
    </row>
    <row r="20" spans="1:12">
      <c r="A20" s="3" t="s">
        <v>12</v>
      </c>
      <c r="B20" s="2">
        <f t="shared" si="0"/>
        <v>19</v>
      </c>
      <c r="C20" s="2">
        <v>11</v>
      </c>
      <c r="D20" s="2">
        <v>2022</v>
      </c>
      <c r="E20" s="4">
        <f>Submetering!E20+Submetering!F20</f>
        <v>5489</v>
      </c>
      <c r="F20" s="12">
        <v>0.35</v>
      </c>
      <c r="G20" s="4">
        <f>Submetering!M20</f>
        <v>3131</v>
      </c>
      <c r="H20" s="12">
        <v>0.6</v>
      </c>
      <c r="I20" s="4">
        <f>Submetering!N20</f>
        <v>69</v>
      </c>
      <c r="J20" s="13">
        <v>2.06</v>
      </c>
      <c r="K20" s="4">
        <f>'Hampshire Daily'!B23</f>
        <v>78</v>
      </c>
      <c r="L20" s="4">
        <f>'Hampshire Daily'!C23</f>
        <v>174</v>
      </c>
    </row>
    <row r="21" spans="1:12">
      <c r="A21" s="3" t="s">
        <v>12</v>
      </c>
      <c r="B21" s="2">
        <f t="shared" si="0"/>
        <v>20</v>
      </c>
      <c r="C21" s="2">
        <v>11</v>
      </c>
      <c r="D21" s="2">
        <v>2022</v>
      </c>
      <c r="E21" s="4">
        <f>Submetering!E21+Submetering!F21</f>
        <v>5969</v>
      </c>
      <c r="F21" s="12">
        <v>0.35</v>
      </c>
      <c r="G21" s="4">
        <f>Submetering!M21</f>
        <v>3287</v>
      </c>
      <c r="H21" s="12">
        <v>0.6</v>
      </c>
      <c r="I21" s="4">
        <f>Submetering!N21</f>
        <v>104</v>
      </c>
      <c r="J21" s="13">
        <v>2.06</v>
      </c>
      <c r="K21" s="4">
        <f>'Hampshire Daily'!B24</f>
        <v>46</v>
      </c>
      <c r="L21" s="4">
        <f>'Hampshire Daily'!C24</f>
        <v>88</v>
      </c>
    </row>
    <row r="22" spans="1:12">
      <c r="A22" s="3" t="s">
        <v>12</v>
      </c>
      <c r="B22" s="2">
        <f t="shared" si="0"/>
        <v>21</v>
      </c>
      <c r="C22" s="2">
        <v>11</v>
      </c>
      <c r="D22" s="2">
        <v>2022</v>
      </c>
      <c r="E22" s="4">
        <f>Submetering!E22+Submetering!F22</f>
        <v>5765</v>
      </c>
      <c r="F22" s="12">
        <v>0.35</v>
      </c>
      <c r="G22" s="4">
        <f>Submetering!M22</f>
        <v>3120</v>
      </c>
      <c r="H22" s="12">
        <v>0.6</v>
      </c>
      <c r="I22" s="4">
        <f>Submetering!N22</f>
        <v>111</v>
      </c>
      <c r="J22" s="13">
        <v>2.06</v>
      </c>
      <c r="K22" s="4">
        <f>'Hampshire Daily'!B25</f>
        <v>74</v>
      </c>
      <c r="L22" s="4">
        <f>'Hampshire Daily'!C25</f>
        <v>84</v>
      </c>
    </row>
    <row r="23" spans="1:12">
      <c r="A23" s="3" t="s">
        <v>12</v>
      </c>
      <c r="B23" s="2">
        <f t="shared" si="0"/>
        <v>22</v>
      </c>
      <c r="C23" s="2">
        <v>11</v>
      </c>
      <c r="D23" s="2">
        <v>2022</v>
      </c>
      <c r="E23" s="4">
        <f>Submetering!E23+Submetering!F23</f>
        <v>6030</v>
      </c>
      <c r="F23" s="12">
        <v>0.35</v>
      </c>
      <c r="G23" s="4">
        <f>Submetering!M23</f>
        <v>3429</v>
      </c>
      <c r="H23" s="12">
        <v>0.6</v>
      </c>
      <c r="I23" s="4">
        <f>Submetering!N23</f>
        <v>83</v>
      </c>
      <c r="J23" s="13">
        <v>2.06</v>
      </c>
      <c r="K23" s="4">
        <f>'Hampshire Daily'!B26</f>
        <v>72</v>
      </c>
      <c r="L23" s="4">
        <f>'Hampshire Daily'!C26</f>
        <v>87</v>
      </c>
    </row>
    <row r="24" spans="1:12">
      <c r="A24" s="3" t="s">
        <v>12</v>
      </c>
      <c r="B24" s="2">
        <f t="shared" si="0"/>
        <v>23</v>
      </c>
      <c r="C24" s="2">
        <v>11</v>
      </c>
      <c r="D24" s="2">
        <v>2022</v>
      </c>
      <c r="E24" s="4">
        <f>Submetering!E24+Submetering!F24</f>
        <v>9086</v>
      </c>
      <c r="F24" s="12">
        <v>0.35</v>
      </c>
      <c r="G24" s="4">
        <f>Submetering!M24</f>
        <v>2882</v>
      </c>
      <c r="H24" s="12">
        <v>0.6</v>
      </c>
      <c r="I24" s="4">
        <f>Submetering!N24</f>
        <v>92</v>
      </c>
      <c r="J24" s="13">
        <v>2.06</v>
      </c>
      <c r="K24" s="4">
        <f>'Hampshire Daily'!B27</f>
        <v>9</v>
      </c>
      <c r="L24" s="4">
        <f>'Hampshire Daily'!C27</f>
        <v>18</v>
      </c>
    </row>
    <row r="25" spans="1:12">
      <c r="A25" s="3" t="s">
        <v>12</v>
      </c>
      <c r="B25" s="2">
        <f t="shared" si="0"/>
        <v>24</v>
      </c>
      <c r="C25" s="2">
        <v>11</v>
      </c>
      <c r="D25" s="2">
        <v>2022</v>
      </c>
      <c r="E25" s="4">
        <f>Submetering!E25+Submetering!F25</f>
        <v>7784</v>
      </c>
      <c r="F25" s="12">
        <v>0.35</v>
      </c>
      <c r="G25" s="4">
        <f>Submetering!M25</f>
        <v>2857</v>
      </c>
      <c r="H25" s="12">
        <v>0.6</v>
      </c>
      <c r="I25" s="4">
        <f>Submetering!N25</f>
        <v>80</v>
      </c>
      <c r="J25" s="13">
        <v>2.06</v>
      </c>
      <c r="K25" s="4">
        <f>'Hampshire Daily'!B28</f>
        <v>132</v>
      </c>
      <c r="L25" s="4">
        <f>'Hampshire Daily'!C28</f>
        <v>132</v>
      </c>
    </row>
    <row r="26" spans="1:12">
      <c r="A26" s="3" t="s">
        <v>12</v>
      </c>
      <c r="B26" s="2">
        <f>B25+1</f>
        <v>25</v>
      </c>
      <c r="C26" s="2">
        <v>11</v>
      </c>
      <c r="D26" s="2">
        <v>2022</v>
      </c>
      <c r="E26" s="4">
        <f>Submetering!E26+Submetering!F26</f>
        <v>6122</v>
      </c>
      <c r="F26" s="12">
        <v>0.35</v>
      </c>
      <c r="G26" s="4">
        <f>Submetering!M26</f>
        <v>3191</v>
      </c>
      <c r="H26" s="12">
        <v>0.6</v>
      </c>
      <c r="I26" s="4">
        <f>Submetering!N26</f>
        <v>88</v>
      </c>
      <c r="J26" s="13">
        <v>2.06</v>
      </c>
      <c r="K26" s="4">
        <f>'Hampshire Daily'!B29</f>
        <v>84</v>
      </c>
      <c r="L26" s="4">
        <f>'Hampshire Daily'!C29</f>
        <v>139</v>
      </c>
    </row>
    <row r="27" spans="1:12">
      <c r="A27" s="3" t="s">
        <v>12</v>
      </c>
      <c r="B27" s="2">
        <f t="shared" si="0"/>
        <v>26</v>
      </c>
      <c r="C27" s="2">
        <v>11</v>
      </c>
      <c r="D27" s="2">
        <v>2022</v>
      </c>
      <c r="E27" s="4">
        <f>Submetering!E27+Submetering!F27</f>
        <v>5692</v>
      </c>
      <c r="F27" s="12">
        <v>0.35</v>
      </c>
      <c r="G27" s="4">
        <f>Submetering!M27</f>
        <v>3035</v>
      </c>
      <c r="H27" s="12">
        <v>0.6</v>
      </c>
      <c r="I27" s="4">
        <f>Submetering!N27</f>
        <v>110</v>
      </c>
      <c r="J27" s="13">
        <v>2.06</v>
      </c>
      <c r="K27" s="4">
        <f>'Hampshire Daily'!B30</f>
        <v>96</v>
      </c>
      <c r="L27" s="4">
        <f>'Hampshire Daily'!C30</f>
        <v>232</v>
      </c>
    </row>
    <row r="28" spans="1:12">
      <c r="A28" s="3" t="s">
        <v>12</v>
      </c>
      <c r="B28" s="2">
        <f t="shared" si="0"/>
        <v>27</v>
      </c>
      <c r="C28" s="2">
        <v>11</v>
      </c>
      <c r="D28" s="2">
        <v>2022</v>
      </c>
      <c r="E28" s="4">
        <f>Submetering!E28+Submetering!F28</f>
        <v>5872</v>
      </c>
      <c r="F28" s="12">
        <v>0.35</v>
      </c>
      <c r="G28" s="4">
        <f>Submetering!M28</f>
        <v>2941</v>
      </c>
      <c r="H28" s="12">
        <v>0.6</v>
      </c>
      <c r="I28" s="4">
        <f>Submetering!N28</f>
        <v>110</v>
      </c>
      <c r="J28" s="13">
        <v>2.06</v>
      </c>
      <c r="K28" s="4">
        <f>'Hampshire Daily'!B31</f>
        <v>34</v>
      </c>
      <c r="L28" s="4">
        <f>'Hampshire Daily'!C31</f>
        <v>66</v>
      </c>
    </row>
    <row r="29" spans="1:12">
      <c r="A29" s="3" t="s">
        <v>12</v>
      </c>
      <c r="B29" s="2">
        <f t="shared" si="0"/>
        <v>28</v>
      </c>
      <c r="C29" s="2">
        <v>11</v>
      </c>
      <c r="D29" s="2">
        <v>2022</v>
      </c>
      <c r="E29" s="4">
        <f>Submetering!E29+Submetering!F29</f>
        <v>5656</v>
      </c>
      <c r="F29" s="12">
        <v>0.35</v>
      </c>
      <c r="G29" s="4">
        <f>Submetering!M29</f>
        <v>2920</v>
      </c>
      <c r="H29" s="12">
        <v>0.6</v>
      </c>
      <c r="I29" s="4">
        <f>Submetering!N29</f>
        <v>78</v>
      </c>
      <c r="J29" s="13">
        <v>2.06</v>
      </c>
      <c r="K29" s="4">
        <f>'Hampshire Daily'!B32</f>
        <v>29</v>
      </c>
      <c r="L29" s="4">
        <f>'Hampshire Daily'!C32</f>
        <v>47</v>
      </c>
    </row>
    <row r="30" spans="1:12">
      <c r="A30" s="3" t="s">
        <v>12</v>
      </c>
      <c r="B30" s="2">
        <f t="shared" si="0"/>
        <v>29</v>
      </c>
      <c r="C30" s="2">
        <v>11</v>
      </c>
      <c r="D30" s="2">
        <v>2022</v>
      </c>
      <c r="E30" s="4">
        <f>Submetering!E30+Submetering!F30</f>
        <v>5914</v>
      </c>
      <c r="F30" s="12">
        <v>0.35</v>
      </c>
      <c r="G30" s="4">
        <f>Submetering!M30</f>
        <v>3147</v>
      </c>
      <c r="H30" s="12">
        <v>0.6</v>
      </c>
      <c r="I30" s="4">
        <f>Submetering!N30</f>
        <v>78</v>
      </c>
      <c r="J30" s="13">
        <v>2.06</v>
      </c>
      <c r="K30" s="4">
        <f>'Hampshire Daily'!B33</f>
        <v>23</v>
      </c>
      <c r="L30" s="4">
        <f>'Hampshire Daily'!C33</f>
        <v>38</v>
      </c>
    </row>
    <row r="31" spans="1:12">
      <c r="A31" s="3" t="s">
        <v>12</v>
      </c>
      <c r="B31" s="2">
        <f t="shared" si="0"/>
        <v>30</v>
      </c>
      <c r="C31" s="2">
        <v>11</v>
      </c>
      <c r="D31" s="2">
        <v>2022</v>
      </c>
      <c r="E31" s="4">
        <f>Submetering!E31+Submetering!F31</f>
        <v>6731</v>
      </c>
      <c r="F31" s="12">
        <v>0.35</v>
      </c>
      <c r="G31" s="4">
        <f>Submetering!M31</f>
        <v>3163</v>
      </c>
      <c r="H31" s="12">
        <v>0.6</v>
      </c>
      <c r="I31" s="4">
        <f>Submetering!N31</f>
        <v>68</v>
      </c>
      <c r="J31" s="13">
        <v>2.06</v>
      </c>
      <c r="K31" s="4">
        <f>'Hampshire Daily'!B34</f>
        <v>18</v>
      </c>
      <c r="L31" s="4">
        <f>'Hampshire Daily'!C34</f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1"/>
  <sheetViews>
    <sheetView zoomScale="85" zoomScaleNormal="85" workbookViewId="0">
      <pane xSplit="2" ySplit="1" topLeftCell="C18" activePane="bottomRight" state="frozen"/>
      <selection pane="bottomRight" activeCell="A32" sqref="A32"/>
      <selection pane="bottomLeft" activeCell="A2" sqref="A2"/>
      <selection pane="topRight" activeCell="C1" sqref="C1"/>
    </sheetView>
  </sheetViews>
  <sheetFormatPr defaultColWidth="11.5703125" defaultRowHeight="15"/>
  <cols>
    <col min="1" max="1" width="13.7109375" style="3" customWidth="1"/>
    <col min="2" max="2" width="11.5703125" style="1" customWidth="1"/>
    <col min="3" max="3" width="11.5703125" style="1"/>
    <col min="4" max="4" width="13.42578125" style="1" customWidth="1"/>
    <col min="5" max="16" width="12.5703125" style="4" customWidth="1"/>
    <col min="17" max="17" width="11.5703125" style="4"/>
  </cols>
  <sheetData>
    <row r="1" spans="1:23" s="3" customFormat="1" ht="45">
      <c r="A1" s="8" t="s">
        <v>0</v>
      </c>
      <c r="B1" s="8" t="s">
        <v>1</v>
      </c>
      <c r="C1" s="6" t="s">
        <v>2</v>
      </c>
      <c r="D1" s="8" t="s">
        <v>3</v>
      </c>
      <c r="E1" s="9" t="s">
        <v>13</v>
      </c>
      <c r="F1" s="9" t="s">
        <v>14</v>
      </c>
      <c r="G1" s="9" t="s">
        <v>15</v>
      </c>
      <c r="H1" s="9" t="s">
        <v>16</v>
      </c>
      <c r="I1" s="9" t="s">
        <v>17</v>
      </c>
      <c r="J1" s="9" t="s">
        <v>18</v>
      </c>
      <c r="K1" s="9" t="s">
        <v>19</v>
      </c>
      <c r="L1" s="9" t="s">
        <v>20</v>
      </c>
      <c r="M1" s="9" t="s">
        <v>21</v>
      </c>
      <c r="N1" s="9" t="s">
        <v>22</v>
      </c>
      <c r="O1" s="9" t="s">
        <v>23</v>
      </c>
      <c r="P1" s="9" t="s">
        <v>24</v>
      </c>
      <c r="Q1" s="10" t="s">
        <v>25</v>
      </c>
      <c r="R1" s="10" t="s">
        <v>10</v>
      </c>
      <c r="S1" s="9" t="s">
        <v>11</v>
      </c>
    </row>
    <row r="2" spans="1:23" ht="15" customHeight="1">
      <c r="A2" s="3" t="s">
        <v>12</v>
      </c>
      <c r="B2" s="1">
        <v>1</v>
      </c>
      <c r="C2" s="1">
        <v>11</v>
      </c>
      <c r="D2" s="1">
        <v>2022</v>
      </c>
      <c r="E2" s="4">
        <f>'Hampshire Daily'!D5-'Hampshire Daily'!D4</f>
        <v>3148</v>
      </c>
      <c r="F2" s="4">
        <f>'Hampshire Daily'!E5-'Hampshire Daily'!E4</f>
        <v>4410</v>
      </c>
      <c r="G2" s="4">
        <f>'Hampshire Daily'!F5-'Hampshire Daily'!F4</f>
        <v>-90</v>
      </c>
      <c r="H2" s="4">
        <f>'Hampshire Daily'!G5-'Hampshire Daily'!G4</f>
        <v>1856</v>
      </c>
      <c r="I2" s="4">
        <f>'Hampshire Daily'!H5-'Hampshire Daily'!H4</f>
        <v>0</v>
      </c>
      <c r="J2" s="4">
        <f>'Hampshire Daily'!I5-'Hampshire Daily'!I4</f>
        <v>-5709614</v>
      </c>
      <c r="K2" s="4">
        <f>'Hampshire Daily'!J5-'Hampshire Daily'!J4</f>
        <v>1120</v>
      </c>
      <c r="L2" s="4">
        <f>'Hampshire Daily'!K5-'Hampshire Daily'!K4</f>
        <v>19</v>
      </c>
      <c r="M2" s="4">
        <f>'Hampshire Daily'!N5-'Hampshire Daily'!N4</f>
        <v>2227</v>
      </c>
      <c r="N2" s="4">
        <f>'Hampshire Daily'!Q5-'Hampshire Daily'!Q4</f>
        <v>76</v>
      </c>
      <c r="O2" s="4">
        <f>'Hampshire Daily'!U5-'Hampshire Daily'!U4</f>
        <v>36</v>
      </c>
      <c r="P2" s="4">
        <f>'Hampshire Daily'!V5-'Hampshire Daily'!V4</f>
        <v>53</v>
      </c>
      <c r="Q2" s="4">
        <f>'Hampshire Daily'!Z5-'Hampshire Daily'!Z4</f>
        <v>4</v>
      </c>
      <c r="R2" s="4">
        <f>'Hampshire Daily'!B5</f>
        <v>41</v>
      </c>
      <c r="S2" s="4">
        <f>'Hampshire Daily'!C5</f>
        <v>71</v>
      </c>
    </row>
    <row r="3" spans="1:23">
      <c r="A3" s="3" t="s">
        <v>12</v>
      </c>
      <c r="B3" s="1">
        <f>B2+1</f>
        <v>2</v>
      </c>
      <c r="C3" s="1">
        <v>11</v>
      </c>
      <c r="D3" s="1">
        <v>2022</v>
      </c>
      <c r="E3" s="4">
        <f>'Hampshire Daily'!D6-'Hampshire Daily'!D5</f>
        <v>3665</v>
      </c>
      <c r="F3" s="4">
        <f>'Hampshire Daily'!E6-'Hampshire Daily'!E5</f>
        <v>2444</v>
      </c>
      <c r="G3" s="4">
        <f>'Hampshire Daily'!F6-'Hampshire Daily'!F5</f>
        <v>760</v>
      </c>
      <c r="H3" s="4">
        <f>'Hampshire Daily'!G6-'Hampshire Daily'!G5</f>
        <v>1915</v>
      </c>
      <c r="I3" s="4">
        <f>'Hampshire Daily'!H6-'Hampshire Daily'!H5</f>
        <v>0</v>
      </c>
      <c r="J3" s="4">
        <f>'Hampshire Daily'!I6-'Hampshire Daily'!I5</f>
        <v>5714321</v>
      </c>
      <c r="K3" s="4">
        <f>'Hampshire Daily'!J6-'Hampshire Daily'!J5</f>
        <v>1342</v>
      </c>
      <c r="L3" s="4">
        <f>'Hampshire Daily'!K6-'Hampshire Daily'!K5</f>
        <v>135</v>
      </c>
      <c r="M3" s="4">
        <f>'Hampshire Daily'!N6-'Hampshire Daily'!N5</f>
        <v>2565</v>
      </c>
      <c r="N3" s="4">
        <f>'Hampshire Daily'!Q6-'Hampshire Daily'!Q5</f>
        <v>83</v>
      </c>
      <c r="O3" s="4">
        <f>'Hampshire Daily'!U6-'Hampshire Daily'!U5</f>
        <v>54</v>
      </c>
      <c r="P3" s="4">
        <f>'Hampshire Daily'!V6-'Hampshire Daily'!V5</f>
        <v>58</v>
      </c>
      <c r="Q3" s="4">
        <f>'Hampshire Daily'!Z6-'Hampshire Daily'!Z5</f>
        <v>4</v>
      </c>
      <c r="R3" s="4">
        <f>'Hampshire Daily'!B6</f>
        <v>28</v>
      </c>
      <c r="S3" s="4">
        <f>'Hampshire Daily'!C6</f>
        <v>59</v>
      </c>
      <c r="T3" t="s">
        <v>26</v>
      </c>
      <c r="U3" t="s">
        <v>26</v>
      </c>
      <c r="V3" t="s">
        <v>26</v>
      </c>
      <c r="W3" t="s">
        <v>26</v>
      </c>
    </row>
    <row r="4" spans="1:23">
      <c r="A4" s="3" t="s">
        <v>12</v>
      </c>
      <c r="B4" s="1">
        <f t="shared" ref="B4:B31" si="0">B3+1</f>
        <v>3</v>
      </c>
      <c r="C4" s="1">
        <v>11</v>
      </c>
      <c r="D4" s="1">
        <v>2022</v>
      </c>
      <c r="E4" s="4">
        <f>'Hampshire Daily'!D7-'Hampshire Daily'!D6</f>
        <v>3177</v>
      </c>
      <c r="F4" s="4">
        <f>'Hampshire Daily'!E7-'Hampshire Daily'!E6</f>
        <v>1911</v>
      </c>
      <c r="G4" s="4">
        <f>'Hampshire Daily'!F7-'Hampshire Daily'!F6</f>
        <v>0</v>
      </c>
      <c r="H4" s="4">
        <f>'Hampshire Daily'!G7-'Hampshire Daily'!G6</f>
        <v>1920</v>
      </c>
      <c r="I4" s="4">
        <f>'Hampshire Daily'!H7-'Hampshire Daily'!H6</f>
        <v>0</v>
      </c>
      <c r="J4" s="4">
        <f>'Hampshire Daily'!I7-'Hampshire Daily'!I6</f>
        <v>2292</v>
      </c>
      <c r="K4" s="4">
        <f>'Hampshire Daily'!J7-'Hampshire Daily'!J6</f>
        <v>747</v>
      </c>
      <c r="L4" s="4">
        <f>'Hampshire Daily'!K7-'Hampshire Daily'!K6</f>
        <v>0</v>
      </c>
      <c r="M4" s="4">
        <f>'Hampshire Daily'!N7-'Hampshire Daily'!N6</f>
        <v>2659</v>
      </c>
      <c r="N4" s="4">
        <f>'Hampshire Daily'!Q7-'Hampshire Daily'!Q6</f>
        <v>82</v>
      </c>
      <c r="O4" s="4">
        <f>'Hampshire Daily'!U7-'Hampshire Daily'!U6</f>
        <v>36</v>
      </c>
      <c r="P4" s="4">
        <f>'Hampshire Daily'!V7-'Hampshire Daily'!V6</f>
        <v>53</v>
      </c>
      <c r="Q4" s="4">
        <f>'Hampshire Daily'!Z7-'Hampshire Daily'!Z6</f>
        <v>28</v>
      </c>
      <c r="R4" s="4">
        <f>'Hampshire Daily'!B7</f>
        <v>36</v>
      </c>
      <c r="S4" s="4">
        <f>'Hampshire Daily'!C7</f>
        <v>68</v>
      </c>
      <c r="T4" t="s">
        <v>26</v>
      </c>
    </row>
    <row r="5" spans="1:23">
      <c r="A5" s="3" t="s">
        <v>12</v>
      </c>
      <c r="B5" s="1">
        <f t="shared" si="0"/>
        <v>4</v>
      </c>
      <c r="C5" s="1">
        <v>11</v>
      </c>
      <c r="D5" s="1">
        <v>2022</v>
      </c>
      <c r="E5" s="4">
        <f>'Hampshire Daily'!D8-'Hampshire Daily'!D7</f>
        <v>3128</v>
      </c>
      <c r="F5" s="4">
        <f>'Hampshire Daily'!E8-'Hampshire Daily'!E7</f>
        <v>1966</v>
      </c>
      <c r="G5" s="4">
        <f>'Hampshire Daily'!F8-'Hampshire Daily'!F7</f>
        <v>0</v>
      </c>
      <c r="H5" s="4">
        <f>'Hampshire Daily'!G8-'Hampshire Daily'!G7</f>
        <v>1921</v>
      </c>
      <c r="I5" s="4">
        <f>'Hampshire Daily'!H8-'Hampshire Daily'!H7</f>
        <v>0</v>
      </c>
      <c r="J5" s="4">
        <f>'Hampshire Daily'!I8-'Hampshire Daily'!I7</f>
        <v>2372</v>
      </c>
      <c r="K5" s="4">
        <f>'Hampshire Daily'!J8-'Hampshire Daily'!J7</f>
        <v>1070</v>
      </c>
      <c r="L5" s="4">
        <f>'Hampshire Daily'!K8-'Hampshire Daily'!K7</f>
        <v>0</v>
      </c>
      <c r="M5" s="4">
        <f>'Hampshire Daily'!N8-'Hampshire Daily'!N7</f>
        <v>2895</v>
      </c>
      <c r="N5" s="4">
        <f>'Hampshire Daily'!Q8-'Hampshire Daily'!Q7</f>
        <v>141</v>
      </c>
      <c r="O5" s="4">
        <f>'Hampshire Daily'!U8-'Hampshire Daily'!U7</f>
        <v>46</v>
      </c>
      <c r="P5" s="4">
        <f>'Hampshire Daily'!V8-'Hampshire Daily'!V7</f>
        <v>52</v>
      </c>
      <c r="Q5" s="4">
        <f>'Hampshire Daily'!Z8-'Hampshire Daily'!Z7</f>
        <v>52</v>
      </c>
      <c r="R5" s="4">
        <f>'Hampshire Daily'!B8</f>
        <v>44</v>
      </c>
      <c r="S5" s="4">
        <f>'Hampshire Daily'!C8</f>
        <v>102</v>
      </c>
    </row>
    <row r="6" spans="1:23">
      <c r="A6" s="3" t="s">
        <v>12</v>
      </c>
      <c r="B6" s="1">
        <f t="shared" si="0"/>
        <v>5</v>
      </c>
      <c r="C6" s="1">
        <v>11</v>
      </c>
      <c r="D6" s="1">
        <v>2022</v>
      </c>
      <c r="E6" s="4">
        <f>'Hampshire Daily'!D9-'Hampshire Daily'!D8</f>
        <v>3715</v>
      </c>
      <c r="F6" s="4">
        <f>'Hampshire Daily'!E9-'Hampshire Daily'!E8</f>
        <v>2207</v>
      </c>
      <c r="G6" s="4">
        <f>'Hampshire Daily'!F9-'Hampshire Daily'!F8</f>
        <v>0</v>
      </c>
      <c r="H6" s="4">
        <f>'Hampshire Daily'!G9-'Hampshire Daily'!G8</f>
        <v>2077</v>
      </c>
      <c r="I6" s="4">
        <f>'Hampshire Daily'!H9-'Hampshire Daily'!H8</f>
        <v>0</v>
      </c>
      <c r="J6" s="4">
        <f>'Hampshire Daily'!I9-'Hampshire Daily'!I8</f>
        <v>2430</v>
      </c>
      <c r="K6" s="4">
        <f>'Hampshire Daily'!J9-'Hampshire Daily'!J8</f>
        <v>1082</v>
      </c>
      <c r="L6" s="4">
        <f>'Hampshire Daily'!K9-'Hampshire Daily'!K8</f>
        <v>0</v>
      </c>
      <c r="M6" s="4">
        <f>'Hampshire Daily'!N9-'Hampshire Daily'!N8</f>
        <v>3276</v>
      </c>
      <c r="N6" s="4">
        <f>'Hampshire Daily'!Q9-'Hampshire Daily'!Q8</f>
        <v>101</v>
      </c>
      <c r="O6" s="4">
        <f>'Hampshire Daily'!U9-'Hampshire Daily'!U8</f>
        <v>56</v>
      </c>
      <c r="P6" s="4">
        <f>'Hampshire Daily'!V9-'Hampshire Daily'!V8</f>
        <v>61</v>
      </c>
      <c r="Q6" s="4">
        <f>'Hampshire Daily'!Z9-'Hampshire Daily'!Z8</f>
        <v>5</v>
      </c>
      <c r="R6" s="4">
        <f>'Hampshire Daily'!B9</f>
        <v>43</v>
      </c>
      <c r="S6" s="4">
        <f>'Hampshire Daily'!C9</f>
        <v>106</v>
      </c>
    </row>
    <row r="7" spans="1:23">
      <c r="A7" s="3" t="s">
        <v>12</v>
      </c>
      <c r="B7" s="1">
        <f t="shared" si="0"/>
        <v>6</v>
      </c>
      <c r="C7" s="1">
        <v>11</v>
      </c>
      <c r="D7" s="1">
        <v>2022</v>
      </c>
      <c r="E7" s="4">
        <f>'Hampshire Daily'!D10-'Hampshire Daily'!D9</f>
        <v>3733</v>
      </c>
      <c r="F7" s="4">
        <f>'Hampshire Daily'!E10-'Hampshire Daily'!E9</f>
        <v>1824</v>
      </c>
      <c r="G7" s="4">
        <f>'Hampshire Daily'!F10-'Hampshire Daily'!F9</f>
        <v>0</v>
      </c>
      <c r="H7" s="4">
        <f>'Hampshire Daily'!G10-'Hampshire Daily'!G9</f>
        <v>1976</v>
      </c>
      <c r="I7" s="4">
        <f>'Hampshire Daily'!H10-'Hampshire Daily'!H9</f>
        <v>0</v>
      </c>
      <c r="J7" s="4">
        <f>'Hampshire Daily'!I10-'Hampshire Daily'!I9</f>
        <v>2482</v>
      </c>
      <c r="K7" s="4">
        <f>'Hampshire Daily'!J10-'Hampshire Daily'!J9</f>
        <v>1145</v>
      </c>
      <c r="L7" s="4">
        <f>'Hampshire Daily'!K10-'Hampshire Daily'!K9</f>
        <v>151</v>
      </c>
      <c r="M7" s="4">
        <f>'Hampshire Daily'!N10-'Hampshire Daily'!N9</f>
        <v>2291</v>
      </c>
      <c r="N7" s="4">
        <f>'Hampshire Daily'!Q10-'Hampshire Daily'!Q9</f>
        <v>88</v>
      </c>
      <c r="O7" s="4">
        <f>'Hampshire Daily'!U10-'Hampshire Daily'!U9</f>
        <v>54</v>
      </c>
      <c r="P7" s="4">
        <f>'Hampshire Daily'!V10-'Hampshire Daily'!V9</f>
        <v>-298</v>
      </c>
      <c r="Q7" s="4">
        <f>'Hampshire Daily'!Z10-'Hampshire Daily'!Z9</f>
        <v>16</v>
      </c>
      <c r="R7" s="4">
        <f>'Hampshire Daily'!B10</f>
        <v>15</v>
      </c>
      <c r="S7" s="4">
        <f>'Hampshire Daily'!C10</f>
        <v>32</v>
      </c>
    </row>
    <row r="8" spans="1:23">
      <c r="A8" s="3" t="s">
        <v>12</v>
      </c>
      <c r="B8" s="1">
        <f t="shared" si="0"/>
        <v>7</v>
      </c>
      <c r="C8" s="1">
        <v>11</v>
      </c>
      <c r="D8" s="1">
        <v>2022</v>
      </c>
      <c r="E8" s="4">
        <f>'Hampshire Daily'!D11-'Hampshire Daily'!D10</f>
        <v>6080</v>
      </c>
      <c r="F8" s="4">
        <f>'Hampshire Daily'!E11-'Hampshire Daily'!E10</f>
        <v>1913</v>
      </c>
      <c r="G8" s="4">
        <f>'Hampshire Daily'!F11-'Hampshire Daily'!F10</f>
        <v>0</v>
      </c>
      <c r="H8" s="4">
        <f>'Hampshire Daily'!G11-'Hampshire Daily'!G10</f>
        <v>1985</v>
      </c>
      <c r="I8" s="4">
        <f>'Hampshire Daily'!H11-'Hampshire Daily'!H10</f>
        <v>0</v>
      </c>
      <c r="J8" s="4">
        <f>'Hampshire Daily'!I11-'Hampshire Daily'!I10</f>
        <v>2477</v>
      </c>
      <c r="K8" s="4">
        <f>'Hampshire Daily'!J11-'Hampshire Daily'!J10</f>
        <v>1094</v>
      </c>
      <c r="L8" s="4">
        <f>'Hampshire Daily'!K11-'Hampshire Daily'!K10</f>
        <v>741</v>
      </c>
      <c r="M8" s="4">
        <f>'Hampshire Daily'!N11-'Hampshire Daily'!N10</f>
        <v>2240</v>
      </c>
      <c r="N8" s="4">
        <f>'Hampshire Daily'!Q11-'Hampshire Daily'!Q10</f>
        <v>65</v>
      </c>
      <c r="O8" s="4">
        <f>'Hampshire Daily'!U11-'Hampshire Daily'!U10</f>
        <v>46</v>
      </c>
      <c r="P8" s="4">
        <f>'Hampshire Daily'!V11-'Hampshire Daily'!V10</f>
        <v>413</v>
      </c>
      <c r="Q8" s="4">
        <f>'Hampshire Daily'!Z11-'Hampshire Daily'!Z10</f>
        <v>6</v>
      </c>
      <c r="R8" s="4">
        <f>'Hampshire Daily'!B11</f>
        <v>24</v>
      </c>
      <c r="S8" s="4">
        <f>'Hampshire Daily'!C11</f>
        <v>32</v>
      </c>
    </row>
    <row r="9" spans="1:23">
      <c r="A9" s="3" t="s">
        <v>12</v>
      </c>
      <c r="B9" s="1">
        <f t="shared" si="0"/>
        <v>8</v>
      </c>
      <c r="C9" s="1">
        <v>11</v>
      </c>
      <c r="D9" s="1">
        <v>2022</v>
      </c>
      <c r="E9" s="4">
        <f>'Hampshire Daily'!D12-'Hampshire Daily'!D11</f>
        <v>5005</v>
      </c>
      <c r="F9" s="4">
        <f>'Hampshire Daily'!E12-'Hampshire Daily'!E11</f>
        <v>2596</v>
      </c>
      <c r="G9" s="4">
        <f>'Hampshire Daily'!F12-'Hampshire Daily'!F11</f>
        <v>0</v>
      </c>
      <c r="H9" s="4">
        <f>'Hampshire Daily'!G12-'Hampshire Daily'!G11</f>
        <v>1831</v>
      </c>
      <c r="I9" s="4">
        <f>'Hampshire Daily'!H12-'Hampshire Daily'!H11</f>
        <v>0</v>
      </c>
      <c r="J9" s="4">
        <f>'Hampshire Daily'!I12-'Hampshire Daily'!I11</f>
        <v>1939</v>
      </c>
      <c r="K9" s="4">
        <f>'Hampshire Daily'!J12-'Hampshire Daily'!J11</f>
        <v>794</v>
      </c>
      <c r="L9" s="4">
        <f>'Hampshire Daily'!K12-'Hampshire Daily'!K11</f>
        <v>715</v>
      </c>
      <c r="M9" s="4">
        <f>'Hampshire Daily'!N12-'Hampshire Daily'!N11</f>
        <v>2152</v>
      </c>
      <c r="N9" s="4">
        <f>'Hampshire Daily'!Q12-'Hampshire Daily'!Q11</f>
        <v>85</v>
      </c>
      <c r="O9" s="4">
        <f>'Hampshire Daily'!U12-'Hampshire Daily'!U11</f>
        <v>32</v>
      </c>
      <c r="P9" s="4">
        <f>'Hampshire Daily'!V12-'Hampshire Daily'!V11</f>
        <v>44</v>
      </c>
      <c r="Q9" s="4">
        <f>'Hampshire Daily'!Z12-'Hampshire Daily'!Z11</f>
        <v>3</v>
      </c>
      <c r="R9" s="4">
        <f>'Hampshire Daily'!B12</f>
        <v>18</v>
      </c>
      <c r="S9" s="4">
        <f>'Hampshire Daily'!C12</f>
        <v>32</v>
      </c>
    </row>
    <row r="10" spans="1:23">
      <c r="A10" s="3" t="s">
        <v>12</v>
      </c>
      <c r="B10" s="1">
        <f t="shared" si="0"/>
        <v>9</v>
      </c>
      <c r="C10" s="1">
        <v>11</v>
      </c>
      <c r="D10" s="1">
        <v>2022</v>
      </c>
      <c r="E10" s="4">
        <f>'Hampshire Daily'!D13-'Hampshire Daily'!D12</f>
        <v>4928</v>
      </c>
      <c r="F10" s="4">
        <f>'Hampshire Daily'!E13-'Hampshire Daily'!E12</f>
        <v>5475</v>
      </c>
      <c r="G10" s="4">
        <f>'Hampshire Daily'!F13-'Hampshire Daily'!F12</f>
        <v>635</v>
      </c>
      <c r="H10" s="4">
        <f>'Hampshire Daily'!G13-'Hampshire Daily'!G12</f>
        <v>1953</v>
      </c>
      <c r="I10" s="4">
        <f>'Hampshire Daily'!H13-'Hampshire Daily'!H12</f>
        <v>0</v>
      </c>
      <c r="J10" s="4">
        <f>'Hampshire Daily'!I13-'Hampshire Daily'!I12</f>
        <v>2245</v>
      </c>
      <c r="K10" s="4">
        <f>'Hampshire Daily'!J13-'Hampshire Daily'!J12</f>
        <v>2551473</v>
      </c>
      <c r="L10" s="4">
        <f>'Hampshire Daily'!K13-'Hampshire Daily'!K12</f>
        <v>714</v>
      </c>
      <c r="M10" s="4">
        <f>'Hampshire Daily'!N13-'Hampshire Daily'!N12</f>
        <v>1837</v>
      </c>
      <c r="N10" s="4">
        <f>'Hampshire Daily'!Q13-'Hampshire Daily'!Q12</f>
        <v>76</v>
      </c>
      <c r="O10" s="4">
        <f>'Hampshire Daily'!U13-'Hampshire Daily'!U12</f>
        <v>18</v>
      </c>
      <c r="P10" s="4">
        <f>'Hampshire Daily'!V13-'Hampshire Daily'!V12</f>
        <v>46</v>
      </c>
      <c r="Q10" s="4">
        <f>'Hampshire Daily'!Z13-'Hampshire Daily'!Z12</f>
        <v>4</v>
      </c>
      <c r="R10" s="4">
        <f>'Hampshire Daily'!B13</f>
        <v>37</v>
      </c>
      <c r="S10" s="4">
        <f>'Hampshire Daily'!C13</f>
        <v>55</v>
      </c>
    </row>
    <row r="11" spans="1:23">
      <c r="A11" s="3" t="s">
        <v>12</v>
      </c>
      <c r="B11" s="1">
        <f t="shared" si="0"/>
        <v>10</v>
      </c>
      <c r="C11" s="1">
        <v>11</v>
      </c>
      <c r="D11" s="1">
        <v>2022</v>
      </c>
      <c r="E11" s="4">
        <f>'Hampshire Daily'!D14-'Hampshire Daily'!D13</f>
        <v>5087</v>
      </c>
      <c r="F11" s="4">
        <f>'Hampshire Daily'!E14-'Hampshire Daily'!E13</f>
        <v>2748</v>
      </c>
      <c r="G11" s="4">
        <f>'Hampshire Daily'!F14-'Hampshire Daily'!F13</f>
        <v>19</v>
      </c>
      <c r="H11" s="4">
        <f>'Hampshire Daily'!G14-'Hampshire Daily'!G13</f>
        <v>1999</v>
      </c>
      <c r="I11" s="4">
        <f>'Hampshire Daily'!H14-'Hampshire Daily'!H13</f>
        <v>0</v>
      </c>
      <c r="J11" s="4">
        <f>'Hampshire Daily'!I14-'Hampshire Daily'!I13</f>
        <v>2270</v>
      </c>
      <c r="K11" s="4">
        <f>'Hampshire Daily'!J14-'Hampshire Daily'!J13</f>
        <v>9567</v>
      </c>
      <c r="L11" s="4">
        <f>'Hampshire Daily'!K14-'Hampshire Daily'!K13</f>
        <v>718</v>
      </c>
      <c r="M11" s="4">
        <f>'Hampshire Daily'!N14-'Hampshire Daily'!N13</f>
        <v>2312</v>
      </c>
      <c r="N11" s="4">
        <f>'Hampshire Daily'!Q14-'Hampshire Daily'!Q13</f>
        <v>81</v>
      </c>
      <c r="O11" s="4">
        <f>'Hampshire Daily'!U14-'Hampshire Daily'!U13</f>
        <v>32</v>
      </c>
      <c r="P11" s="4">
        <f>'Hampshire Daily'!V14-'Hampshire Daily'!V13</f>
        <v>48</v>
      </c>
      <c r="Q11" s="4">
        <f>'Hampshire Daily'!Z14-'Hampshire Daily'!Z13</f>
        <v>4</v>
      </c>
      <c r="R11" s="4">
        <f>'Hampshire Daily'!B14</f>
        <v>73</v>
      </c>
      <c r="S11" s="4">
        <f>'Hampshire Daily'!C14</f>
        <v>104</v>
      </c>
    </row>
    <row r="12" spans="1:23">
      <c r="A12" s="3" t="s">
        <v>12</v>
      </c>
      <c r="B12" s="1">
        <f t="shared" si="0"/>
        <v>11</v>
      </c>
      <c r="C12" s="1">
        <v>11</v>
      </c>
      <c r="D12" s="1">
        <v>2022</v>
      </c>
      <c r="E12" s="4">
        <f>'Hampshire Daily'!D15-'Hampshire Daily'!D14</f>
        <v>3159</v>
      </c>
      <c r="F12" s="4">
        <f>'Hampshire Daily'!E15-'Hampshire Daily'!E14</f>
        <v>2979</v>
      </c>
      <c r="G12" s="4">
        <f>'Hampshire Daily'!F15-'Hampshire Daily'!F14</f>
        <v>0</v>
      </c>
      <c r="H12" s="4">
        <f>'Hampshire Daily'!G15-'Hampshire Daily'!G14</f>
        <v>2088</v>
      </c>
      <c r="I12" s="4">
        <f>'Hampshire Daily'!H15-'Hampshire Daily'!H14</f>
        <v>0</v>
      </c>
      <c r="J12" s="4">
        <f>'Hampshire Daily'!I15-'Hampshire Daily'!I14</f>
        <v>2324</v>
      </c>
      <c r="K12" s="4">
        <f>'Hampshire Daily'!J15-'Hampshire Daily'!J14</f>
        <v>9668</v>
      </c>
      <c r="L12" s="4">
        <f>'Hampshire Daily'!K15-'Hampshire Daily'!K14</f>
        <v>241</v>
      </c>
      <c r="M12" s="4">
        <f>'Hampshire Daily'!N15-'Hampshire Daily'!N14</f>
        <v>2571</v>
      </c>
      <c r="N12" s="4">
        <f>'Hampshire Daily'!Q15-'Hampshire Daily'!Q14</f>
        <v>80</v>
      </c>
      <c r="O12" s="4">
        <f>'Hampshire Daily'!U15-'Hampshire Daily'!U14</f>
        <v>53</v>
      </c>
      <c r="P12" s="4">
        <f>'Hampshire Daily'!V15-'Hampshire Daily'!V14</f>
        <v>59</v>
      </c>
      <c r="Q12" s="4">
        <f>'Hampshire Daily'!Z15-'Hampshire Daily'!Z14</f>
        <v>4</v>
      </c>
      <c r="R12" s="4">
        <f>'Hampshire Daily'!B15</f>
        <v>69</v>
      </c>
      <c r="S12" s="4">
        <f>'Hampshire Daily'!C15</f>
        <v>131</v>
      </c>
    </row>
    <row r="13" spans="1:23">
      <c r="A13" s="3" t="s">
        <v>12</v>
      </c>
      <c r="B13" s="1">
        <f t="shared" si="0"/>
        <v>12</v>
      </c>
      <c r="C13" s="1">
        <v>11</v>
      </c>
      <c r="D13" s="1">
        <v>2022</v>
      </c>
      <c r="E13" s="4">
        <f>'Hampshire Daily'!D16-'Hampshire Daily'!D15</f>
        <v>2519</v>
      </c>
      <c r="F13" s="4">
        <f>'Hampshire Daily'!E16-'Hampshire Daily'!E15</f>
        <v>3294</v>
      </c>
      <c r="G13" s="4">
        <f>'Hampshire Daily'!F16-'Hampshire Daily'!F15</f>
        <v>0</v>
      </c>
      <c r="H13" s="4">
        <f>'Hampshire Daily'!G16-'Hampshire Daily'!G15</f>
        <v>2074</v>
      </c>
      <c r="I13" s="4">
        <f>'Hampshire Daily'!H16-'Hampshire Daily'!H15</f>
        <v>0</v>
      </c>
      <c r="J13" s="4">
        <f>'Hampshire Daily'!I16-'Hampshire Daily'!I15</f>
        <v>2567</v>
      </c>
      <c r="K13" s="4">
        <f>'Hampshire Daily'!J16-'Hampshire Daily'!J15</f>
        <v>11517</v>
      </c>
      <c r="L13" s="4">
        <f>'Hampshire Daily'!K16-'Hampshire Daily'!K15</f>
        <v>16</v>
      </c>
      <c r="M13" s="4">
        <f>'Hampshire Daily'!N16-'Hampshire Daily'!N15</f>
        <v>2768</v>
      </c>
      <c r="N13" s="4">
        <f>'Hampshire Daily'!Q16-'Hampshire Daily'!Q15</f>
        <v>84</v>
      </c>
      <c r="O13" s="4">
        <f>'Hampshire Daily'!U16-'Hampshire Daily'!U15</f>
        <v>63</v>
      </c>
      <c r="P13" s="4">
        <f>'Hampshire Daily'!V16-'Hampshire Daily'!V15</f>
        <v>66</v>
      </c>
      <c r="Q13" s="4">
        <f>'Hampshire Daily'!Z16-'Hampshire Daily'!Z15</f>
        <v>3</v>
      </c>
      <c r="R13" s="4">
        <f>'Hampshire Daily'!B16</f>
        <v>68</v>
      </c>
      <c r="S13" s="4">
        <f>'Hampshire Daily'!C16</f>
        <v>160</v>
      </c>
    </row>
    <row r="14" spans="1:23">
      <c r="A14" s="3" t="s">
        <v>12</v>
      </c>
      <c r="B14" s="1">
        <f t="shared" si="0"/>
        <v>13</v>
      </c>
      <c r="C14" s="1">
        <v>11</v>
      </c>
      <c r="D14" s="1">
        <v>2022</v>
      </c>
      <c r="E14" s="4">
        <f>'Hampshire Daily'!D17-'Hampshire Daily'!D16</f>
        <v>4927</v>
      </c>
      <c r="F14" s="4">
        <f>'Hampshire Daily'!E17-'Hampshire Daily'!E16</f>
        <v>3176</v>
      </c>
      <c r="G14" s="4">
        <f>'Hampshire Daily'!F17-'Hampshire Daily'!F16</f>
        <v>0</v>
      </c>
      <c r="H14" s="4">
        <f>'Hampshire Daily'!G17-'Hampshire Daily'!G16</f>
        <v>1891</v>
      </c>
      <c r="I14" s="4">
        <f>'Hampshire Daily'!H17-'Hampshire Daily'!H16</f>
        <v>0</v>
      </c>
      <c r="J14" s="4">
        <f>'Hampshire Daily'!I17-'Hampshire Daily'!I16</f>
        <v>2488</v>
      </c>
      <c r="K14" s="4">
        <f>'Hampshire Daily'!J17-'Hampshire Daily'!J16</f>
        <v>11550</v>
      </c>
      <c r="L14" s="4">
        <f>'Hampshire Daily'!K17-'Hampshire Daily'!K16</f>
        <v>696</v>
      </c>
      <c r="M14" s="4">
        <f>'Hampshire Daily'!N17-'Hampshire Daily'!N16</f>
        <v>2056</v>
      </c>
      <c r="N14" s="4">
        <f>'Hampshire Daily'!Q17-'Hampshire Daily'!Q16</f>
        <v>58</v>
      </c>
      <c r="O14" s="4">
        <f>'Hampshire Daily'!U17-'Hampshire Daily'!U16</f>
        <v>62</v>
      </c>
      <c r="P14" s="4">
        <f>'Hampshire Daily'!V17-'Hampshire Daily'!V16</f>
        <v>65</v>
      </c>
      <c r="Q14" s="4">
        <f>'Hampshire Daily'!Z17-'Hampshire Daily'!Z16</f>
        <v>7</v>
      </c>
      <c r="R14" s="4">
        <f>'Hampshire Daily'!B17</f>
        <v>28</v>
      </c>
      <c r="S14" s="4">
        <f>'Hampshire Daily'!C17</f>
        <v>62</v>
      </c>
    </row>
    <row r="15" spans="1:23">
      <c r="A15" s="3" t="s">
        <v>12</v>
      </c>
      <c r="B15" s="1">
        <f t="shared" si="0"/>
        <v>14</v>
      </c>
      <c r="C15" s="1">
        <v>11</v>
      </c>
      <c r="D15" s="1">
        <v>2022</v>
      </c>
      <c r="E15" s="4">
        <f>'Hampshire Daily'!D18-'Hampshire Daily'!D17</f>
        <v>2611</v>
      </c>
      <c r="F15" s="4">
        <f>'Hampshire Daily'!E18-'Hampshire Daily'!E17</f>
        <v>3164</v>
      </c>
      <c r="G15" s="4">
        <f>'Hampshire Daily'!F18-'Hampshire Daily'!F17</f>
        <v>0</v>
      </c>
      <c r="H15" s="4">
        <f>'Hampshire Daily'!G18-'Hampshire Daily'!G17</f>
        <v>1989</v>
      </c>
      <c r="I15" s="4">
        <f>'Hampshire Daily'!H18-'Hampshire Daily'!H17</f>
        <v>0</v>
      </c>
      <c r="J15" s="4">
        <f>'Hampshire Daily'!I18-'Hampshire Daily'!I17</f>
        <v>2420</v>
      </c>
      <c r="K15" s="4">
        <f>'Hampshire Daily'!J18-'Hampshire Daily'!J17</f>
        <v>-2587489</v>
      </c>
      <c r="L15" s="4">
        <f>'Hampshire Daily'!K18-'Hampshire Daily'!K17</f>
        <v>103</v>
      </c>
      <c r="M15" s="4">
        <f>'Hampshire Daily'!N18-'Hampshire Daily'!N17</f>
        <v>2606</v>
      </c>
      <c r="N15" s="4">
        <f>'Hampshire Daily'!Q18-'Hampshire Daily'!Q17</f>
        <v>132</v>
      </c>
      <c r="O15" s="4">
        <f>'Hampshire Daily'!U18-'Hampshire Daily'!U17</f>
        <v>57</v>
      </c>
      <c r="P15" s="4">
        <f>'Hampshire Daily'!V18-'Hampshire Daily'!V17</f>
        <v>62</v>
      </c>
      <c r="Q15" s="4">
        <f>'Hampshire Daily'!Z18-'Hampshire Daily'!Z17</f>
        <v>4</v>
      </c>
      <c r="R15" s="4">
        <f>'Hampshire Daily'!B18</f>
        <v>15</v>
      </c>
      <c r="S15" s="4">
        <f>'Hampshire Daily'!C18</f>
        <v>28</v>
      </c>
    </row>
    <row r="16" spans="1:23">
      <c r="A16" s="3" t="s">
        <v>12</v>
      </c>
      <c r="B16" s="1">
        <f t="shared" si="0"/>
        <v>15</v>
      </c>
      <c r="C16" s="1">
        <v>11</v>
      </c>
      <c r="D16" s="1">
        <v>2022</v>
      </c>
      <c r="E16" s="4">
        <f>'Hampshire Daily'!D19-'Hampshire Daily'!D18</f>
        <v>3268</v>
      </c>
      <c r="F16" s="4">
        <f>'Hampshire Daily'!E19-'Hampshire Daily'!E18</f>
        <v>1893</v>
      </c>
      <c r="G16" s="4">
        <f>'Hampshire Daily'!F19-'Hampshire Daily'!F18</f>
        <v>0</v>
      </c>
      <c r="H16" s="4">
        <f>'Hampshire Daily'!G19-'Hampshire Daily'!G18</f>
        <v>1993</v>
      </c>
      <c r="I16" s="4">
        <f>'Hampshire Daily'!H19-'Hampshire Daily'!H18</f>
        <v>0</v>
      </c>
      <c r="J16" s="4">
        <f>'Hampshire Daily'!I19-'Hampshire Daily'!I18</f>
        <v>2252</v>
      </c>
      <c r="K16" s="4">
        <f>'Hampshire Daily'!J19-'Hampshire Daily'!J18</f>
        <v>927</v>
      </c>
      <c r="L16" s="4">
        <f>'Hampshire Daily'!K19-'Hampshire Daily'!K18</f>
        <v>0</v>
      </c>
      <c r="M16" s="4">
        <f>'Hampshire Daily'!N19-'Hampshire Daily'!N18</f>
        <v>2768</v>
      </c>
      <c r="N16" s="4">
        <f>'Hampshire Daily'!Q19-'Hampshire Daily'!Q18</f>
        <v>132</v>
      </c>
      <c r="O16" s="4">
        <f>'Hampshire Daily'!U19-'Hampshire Daily'!U18</f>
        <v>39</v>
      </c>
      <c r="P16" s="4">
        <f>'Hampshire Daily'!V19-'Hampshire Daily'!V18</f>
        <v>47</v>
      </c>
      <c r="Q16" s="4">
        <f>'Hampshire Daily'!Z19-'Hampshire Daily'!Z18</f>
        <v>4</v>
      </c>
      <c r="R16" s="4">
        <f>'Hampshire Daily'!B19</f>
        <v>14</v>
      </c>
      <c r="S16" s="4">
        <f>'Hampshire Daily'!C19</f>
        <v>25</v>
      </c>
    </row>
    <row r="17" spans="1:19">
      <c r="A17" s="3" t="s">
        <v>12</v>
      </c>
      <c r="B17" s="1">
        <f t="shared" si="0"/>
        <v>16</v>
      </c>
      <c r="C17" s="1">
        <v>11</v>
      </c>
      <c r="D17" s="1">
        <v>2022</v>
      </c>
      <c r="E17" s="4">
        <f>'Hampshire Daily'!D20-'Hampshire Daily'!D19</f>
        <v>4331</v>
      </c>
      <c r="F17" s="4">
        <f>'Hampshire Daily'!E20-'Hampshire Daily'!E19</f>
        <v>4601</v>
      </c>
      <c r="G17" s="4">
        <f>'Hampshire Daily'!F20-'Hampshire Daily'!F19</f>
        <v>630</v>
      </c>
      <c r="H17" s="4">
        <f>'Hampshire Daily'!G20-'Hampshire Daily'!G19</f>
        <v>2075</v>
      </c>
      <c r="I17" s="4">
        <f>'Hampshire Daily'!H20-'Hampshire Daily'!H19</f>
        <v>0</v>
      </c>
      <c r="J17" s="4">
        <f>'Hampshire Daily'!I20-'Hampshire Daily'!I19</f>
        <v>2271</v>
      </c>
      <c r="K17" s="4">
        <f>'Hampshire Daily'!J20-'Hampshire Daily'!J19</f>
        <v>936</v>
      </c>
      <c r="L17" s="4">
        <f>'Hampshire Daily'!K20-'Hampshire Daily'!K19</f>
        <v>302</v>
      </c>
      <c r="M17" s="4">
        <f>'Hampshire Daily'!N20-'Hampshire Daily'!N19</f>
        <v>2490</v>
      </c>
      <c r="N17" s="4">
        <f>'Hampshire Daily'!Q20-'Hampshire Daily'!Q19</f>
        <v>61</v>
      </c>
      <c r="O17" s="4">
        <f>'Hampshire Daily'!U20-'Hampshire Daily'!U19</f>
        <v>40</v>
      </c>
      <c r="P17" s="4">
        <f>'Hampshire Daily'!V20-'Hampshire Daily'!V19</f>
        <v>45</v>
      </c>
      <c r="Q17" s="4">
        <f>'Hampshire Daily'!Z20-'Hampshire Daily'!Z19</f>
        <v>4</v>
      </c>
      <c r="R17" s="4">
        <f>'Hampshire Daily'!B20</f>
        <v>118</v>
      </c>
      <c r="S17" s="4">
        <f>'Hampshire Daily'!C20</f>
        <v>130</v>
      </c>
    </row>
    <row r="18" spans="1:19">
      <c r="A18" s="3" t="s">
        <v>12</v>
      </c>
      <c r="B18" s="1">
        <f t="shared" si="0"/>
        <v>17</v>
      </c>
      <c r="C18" s="1">
        <v>11</v>
      </c>
      <c r="D18" s="1">
        <v>2022</v>
      </c>
      <c r="E18" s="4">
        <f>'Hampshire Daily'!D21-'Hampshire Daily'!D20</f>
        <v>3545</v>
      </c>
      <c r="F18" s="4">
        <f>'Hampshire Daily'!E21-'Hampshire Daily'!E20</f>
        <v>2207</v>
      </c>
      <c r="G18" s="4">
        <f>'Hampshire Daily'!F21-'Hampshire Daily'!F20</f>
        <v>51</v>
      </c>
      <c r="H18" s="4">
        <f>'Hampshire Daily'!G21-'Hampshire Daily'!G20</f>
        <v>2295</v>
      </c>
      <c r="I18" s="4">
        <f>'Hampshire Daily'!H21-'Hampshire Daily'!H20</f>
        <v>0</v>
      </c>
      <c r="J18" s="4">
        <f>'Hampshire Daily'!I21-'Hampshire Daily'!I20</f>
        <v>2271</v>
      </c>
      <c r="K18" s="4">
        <f>'Hampshire Daily'!J21-'Hampshire Daily'!J20</f>
        <v>936</v>
      </c>
      <c r="L18" s="4">
        <f>'Hampshire Daily'!K21-'Hampshire Daily'!K20</f>
        <v>0</v>
      </c>
      <c r="M18" s="4">
        <f>'Hampshire Daily'!N21-'Hampshire Daily'!N20</f>
        <v>2834</v>
      </c>
      <c r="N18" s="4">
        <f>'Hampshire Daily'!Q21-'Hampshire Daily'!Q20</f>
        <v>61</v>
      </c>
      <c r="O18" s="4">
        <f>'Hampshire Daily'!U21-'Hampshire Daily'!U20</f>
        <v>57</v>
      </c>
      <c r="P18" s="4">
        <f>'Hampshire Daily'!V21-'Hampshire Daily'!V20</f>
        <v>61</v>
      </c>
      <c r="Q18" s="4">
        <f>'Hampshire Daily'!Z21-'Hampshire Daily'!Z20</f>
        <v>4</v>
      </c>
      <c r="R18" s="4">
        <f>'Hampshire Daily'!B21</f>
        <v>30</v>
      </c>
      <c r="S18" s="4">
        <f>'Hampshire Daily'!C21</f>
        <v>54</v>
      </c>
    </row>
    <row r="19" spans="1:19">
      <c r="A19" s="3" t="s">
        <v>12</v>
      </c>
      <c r="B19" s="1">
        <f t="shared" si="0"/>
        <v>18</v>
      </c>
      <c r="C19" s="1">
        <v>11</v>
      </c>
      <c r="D19" s="1">
        <v>2022</v>
      </c>
      <c r="E19" s="4">
        <f>'Hampshire Daily'!D22-'Hampshire Daily'!D21</f>
        <v>3521</v>
      </c>
      <c r="F19" s="4">
        <f>'Hampshire Daily'!E22-'Hampshire Daily'!E21</f>
        <v>2166</v>
      </c>
      <c r="G19" s="4">
        <f>'Hampshire Daily'!F22-'Hampshire Daily'!F21</f>
        <v>0</v>
      </c>
      <c r="H19" s="4">
        <f>'Hampshire Daily'!G22-'Hampshire Daily'!G21</f>
        <v>2283</v>
      </c>
      <c r="I19" s="4">
        <f>'Hampshire Daily'!H22-'Hampshire Daily'!H21</f>
        <v>0</v>
      </c>
      <c r="J19" s="4">
        <f>'Hampshire Daily'!I22-'Hampshire Daily'!I21</f>
        <v>2436</v>
      </c>
      <c r="K19" s="4">
        <f>'Hampshire Daily'!J22-'Hampshire Daily'!J21</f>
        <v>1084</v>
      </c>
      <c r="L19" s="4">
        <f>'Hampshire Daily'!K22-'Hampshire Daily'!K21</f>
        <v>0</v>
      </c>
      <c r="M19" s="4">
        <f>'Hampshire Daily'!N22-'Hampshire Daily'!N21</f>
        <v>3207</v>
      </c>
      <c r="N19" s="4">
        <f>'Hampshire Daily'!Q22-'Hampshire Daily'!Q21</f>
        <v>69</v>
      </c>
      <c r="O19" s="4">
        <f>'Hampshire Daily'!U22-'Hampshire Daily'!U21</f>
        <v>51</v>
      </c>
      <c r="P19" s="4">
        <f>'Hampshire Daily'!V22-'Hampshire Daily'!V21</f>
        <v>61</v>
      </c>
      <c r="Q19" s="4">
        <f>'Hampshire Daily'!Z22-'Hampshire Daily'!Z21</f>
        <v>2</v>
      </c>
      <c r="R19" s="4">
        <f>'Hampshire Daily'!B22</f>
        <v>52</v>
      </c>
      <c r="S19" s="4">
        <f>'Hampshire Daily'!C22</f>
        <v>119</v>
      </c>
    </row>
    <row r="20" spans="1:19">
      <c r="A20" s="3" t="s">
        <v>12</v>
      </c>
      <c r="B20" s="1">
        <f t="shared" si="0"/>
        <v>19</v>
      </c>
      <c r="C20" s="1">
        <v>11</v>
      </c>
      <c r="D20" s="1">
        <v>2022</v>
      </c>
      <c r="E20" s="4">
        <f>'Hampshire Daily'!D23-'Hampshire Daily'!D22</f>
        <v>3501</v>
      </c>
      <c r="F20" s="4">
        <f>'Hampshire Daily'!E23-'Hampshire Daily'!E22</f>
        <v>1988</v>
      </c>
      <c r="G20" s="4">
        <f>'Hampshire Daily'!F23-'Hampshire Daily'!F22</f>
        <v>0</v>
      </c>
      <c r="H20" s="4">
        <f>'Hampshire Daily'!G23-'Hampshire Daily'!G22</f>
        <v>2290</v>
      </c>
      <c r="I20" s="4">
        <f>'Hampshire Daily'!H23-'Hampshire Daily'!H22</f>
        <v>0</v>
      </c>
      <c r="J20" s="4">
        <f>'Hampshire Daily'!I23-'Hampshire Daily'!I22</f>
        <v>2500</v>
      </c>
      <c r="K20" s="4">
        <f>'Hampshire Daily'!J23-'Hampshire Daily'!J22</f>
        <v>1114</v>
      </c>
      <c r="L20" s="4">
        <f>'Hampshire Daily'!K23-'Hampshire Daily'!K22</f>
        <v>0</v>
      </c>
      <c r="M20" s="4">
        <f>'Hampshire Daily'!N23-'Hampshire Daily'!N22</f>
        <v>3131</v>
      </c>
      <c r="N20" s="4">
        <f>'Hampshire Daily'!Q23-'Hampshire Daily'!Q22</f>
        <v>69</v>
      </c>
      <c r="O20" s="4">
        <f>'Hampshire Daily'!U23-'Hampshire Daily'!U22</f>
        <v>61</v>
      </c>
      <c r="P20" s="4">
        <f>'Hampshire Daily'!V23-'Hampshire Daily'!V22</f>
        <v>65</v>
      </c>
      <c r="Q20" s="4">
        <f>'Hampshire Daily'!Z23-'Hampshire Daily'!Z22</f>
        <v>50</v>
      </c>
      <c r="R20" s="4">
        <f>'Hampshire Daily'!B23</f>
        <v>78</v>
      </c>
      <c r="S20" s="4">
        <f>'Hampshire Daily'!C23</f>
        <v>174</v>
      </c>
    </row>
    <row r="21" spans="1:19">
      <c r="A21" s="3" t="s">
        <v>12</v>
      </c>
      <c r="B21" s="1">
        <f t="shared" si="0"/>
        <v>20</v>
      </c>
      <c r="C21" s="1">
        <v>11</v>
      </c>
      <c r="D21" s="1">
        <v>2022</v>
      </c>
      <c r="E21" s="4">
        <f>'Hampshire Daily'!D24-'Hampshire Daily'!D23</f>
        <v>3525</v>
      </c>
      <c r="F21" s="4">
        <f>'Hampshire Daily'!E24-'Hampshire Daily'!E23</f>
        <v>2444</v>
      </c>
      <c r="G21" s="4">
        <f>'Hampshire Daily'!F24-'Hampshire Daily'!F23</f>
        <v>0</v>
      </c>
      <c r="H21" s="4">
        <f>'Hampshire Daily'!G24-'Hampshire Daily'!G23</f>
        <v>2193</v>
      </c>
      <c r="I21" s="4">
        <f>'Hampshire Daily'!H24-'Hampshire Daily'!H23</f>
        <v>0</v>
      </c>
      <c r="J21" s="4">
        <f>'Hampshire Daily'!I24-'Hampshire Daily'!I23</f>
        <v>2642</v>
      </c>
      <c r="K21" s="4">
        <f>'Hampshire Daily'!J24-'Hampshire Daily'!J23</f>
        <v>1263</v>
      </c>
      <c r="L21" s="4">
        <f>'Hampshire Daily'!K24-'Hampshire Daily'!K23</f>
        <v>0</v>
      </c>
      <c r="M21" s="4">
        <f>'Hampshire Daily'!N24-'Hampshire Daily'!N23</f>
        <v>3287</v>
      </c>
      <c r="N21" s="4">
        <f>'Hampshire Daily'!Q24-'Hampshire Daily'!Q23</f>
        <v>104</v>
      </c>
      <c r="O21" s="4">
        <f>'Hampshire Daily'!U24-'Hampshire Daily'!U23</f>
        <v>63</v>
      </c>
      <c r="P21" s="4">
        <f>'Hampshire Daily'!V24-'Hampshire Daily'!V23</f>
        <v>76</v>
      </c>
      <c r="Q21" s="4">
        <f>'Hampshire Daily'!Z24-'Hampshire Daily'!Z23</f>
        <v>-37</v>
      </c>
      <c r="R21" s="4">
        <f>'Hampshire Daily'!B24</f>
        <v>46</v>
      </c>
      <c r="S21" s="4">
        <f>'Hampshire Daily'!C24</f>
        <v>88</v>
      </c>
    </row>
    <row r="22" spans="1:19">
      <c r="A22" s="3" t="s">
        <v>12</v>
      </c>
      <c r="B22" s="1">
        <f t="shared" si="0"/>
        <v>21</v>
      </c>
      <c r="C22" s="1">
        <v>11</v>
      </c>
      <c r="D22" s="1">
        <v>2022</v>
      </c>
      <c r="E22" s="4">
        <f>'Hampshire Daily'!D25-'Hampshire Daily'!D24</f>
        <v>3519</v>
      </c>
      <c r="F22" s="4">
        <f>'Hampshire Daily'!E25-'Hampshire Daily'!E24</f>
        <v>2246</v>
      </c>
      <c r="G22" s="4">
        <f>'Hampshire Daily'!F25-'Hampshire Daily'!F24</f>
        <v>0</v>
      </c>
      <c r="H22" s="4">
        <f>'Hampshire Daily'!G25-'Hampshire Daily'!G24</f>
        <v>2326</v>
      </c>
      <c r="I22" s="4">
        <f>'Hampshire Daily'!H25-'Hampshire Daily'!H24</f>
        <v>0</v>
      </c>
      <c r="J22" s="4">
        <f>'Hampshire Daily'!I25-'Hampshire Daily'!I24</f>
        <v>2572</v>
      </c>
      <c r="K22" s="4">
        <f>'Hampshire Daily'!J25-'Hampshire Daily'!J24</f>
        <v>1226</v>
      </c>
      <c r="L22" s="4">
        <f>'Hampshire Daily'!K25-'Hampshire Daily'!K24</f>
        <v>1</v>
      </c>
      <c r="M22" s="4">
        <f>'Hampshire Daily'!N25-'Hampshire Daily'!N24</f>
        <v>3120</v>
      </c>
      <c r="N22" s="4">
        <f>'Hampshire Daily'!Q25-'Hampshire Daily'!Q24</f>
        <v>111</v>
      </c>
      <c r="O22" s="4">
        <f>'Hampshire Daily'!U25-'Hampshire Daily'!U24</f>
        <v>61</v>
      </c>
      <c r="P22" s="4">
        <f>'Hampshire Daily'!V25-'Hampshire Daily'!V24</f>
        <v>68</v>
      </c>
      <c r="Q22" s="4">
        <f>'Hampshire Daily'!Z25-'Hampshire Daily'!Z24</f>
        <v>3</v>
      </c>
      <c r="R22" s="4">
        <f>'Hampshire Daily'!B25</f>
        <v>74</v>
      </c>
      <c r="S22" s="4">
        <f>'Hampshire Daily'!C25</f>
        <v>84</v>
      </c>
    </row>
    <row r="23" spans="1:19">
      <c r="A23" s="3" t="s">
        <v>12</v>
      </c>
      <c r="B23" s="1">
        <f t="shared" si="0"/>
        <v>22</v>
      </c>
      <c r="C23" s="1">
        <v>11</v>
      </c>
      <c r="D23" s="1">
        <v>2022</v>
      </c>
      <c r="E23" s="4">
        <f>'Hampshire Daily'!D26-'Hampshire Daily'!D25</f>
        <v>3625</v>
      </c>
      <c r="F23" s="4">
        <f>'Hampshire Daily'!E26-'Hampshire Daily'!E25</f>
        <v>2405</v>
      </c>
      <c r="G23" s="4">
        <f>'Hampshire Daily'!F26-'Hampshire Daily'!F25</f>
        <v>0</v>
      </c>
      <c r="H23" s="4">
        <f>'Hampshire Daily'!G26-'Hampshire Daily'!G25</f>
        <v>2362</v>
      </c>
      <c r="I23" s="4">
        <f>'Hampshire Daily'!H26-'Hampshire Daily'!H25</f>
        <v>7</v>
      </c>
      <c r="J23" s="4">
        <f>'Hampshire Daily'!I26-'Hampshire Daily'!I25</f>
        <v>2580</v>
      </c>
      <c r="K23" s="4">
        <f>'Hampshire Daily'!J26-'Hampshire Daily'!J25</f>
        <v>1176</v>
      </c>
      <c r="L23" s="4">
        <f>'Hampshire Daily'!K26-'Hampshire Daily'!K25</f>
        <v>1</v>
      </c>
      <c r="M23" s="4">
        <f>'Hampshire Daily'!N26-'Hampshire Daily'!N25</f>
        <v>3429</v>
      </c>
      <c r="N23" s="4">
        <f>'Hampshire Daily'!Q26-'Hampshire Daily'!Q25</f>
        <v>83</v>
      </c>
      <c r="O23" s="4">
        <f>'Hampshire Daily'!U26-'Hampshire Daily'!U25</f>
        <v>45</v>
      </c>
      <c r="P23" s="4">
        <f>'Hampshire Daily'!V26-'Hampshire Daily'!V25</f>
        <v>63</v>
      </c>
      <c r="Q23" s="4">
        <f>'Hampshire Daily'!Z26-'Hampshire Daily'!Z25</f>
        <v>4</v>
      </c>
      <c r="R23" s="4">
        <f>'Hampshire Daily'!B26</f>
        <v>72</v>
      </c>
      <c r="S23" s="4">
        <f>'Hampshire Daily'!C26</f>
        <v>87</v>
      </c>
    </row>
    <row r="24" spans="1:19">
      <c r="A24" s="3" t="s">
        <v>12</v>
      </c>
      <c r="B24" s="1">
        <f t="shared" si="0"/>
        <v>23</v>
      </c>
      <c r="C24" s="1">
        <v>11</v>
      </c>
      <c r="D24" s="1">
        <v>2022</v>
      </c>
      <c r="E24" s="4">
        <f>'Hampshire Daily'!D27-'Hampshire Daily'!D26</f>
        <v>4028</v>
      </c>
      <c r="F24" s="4">
        <f>'Hampshire Daily'!E27-'Hampshire Daily'!E26</f>
        <v>5058</v>
      </c>
      <c r="G24" s="4">
        <f>'Hampshire Daily'!F27-'Hampshire Daily'!F26</f>
        <v>700</v>
      </c>
      <c r="H24" s="4">
        <f>'Hampshire Daily'!G27-'Hampshire Daily'!G26</f>
        <v>2302</v>
      </c>
      <c r="I24" s="4">
        <f>'Hampshire Daily'!H27-'Hampshire Daily'!H26</f>
        <v>21</v>
      </c>
      <c r="J24" s="4">
        <f>'Hampshire Daily'!I27-'Hampshire Daily'!I26</f>
        <v>2422</v>
      </c>
      <c r="K24" s="4">
        <f>'Hampshire Daily'!J27-'Hampshire Daily'!J26</f>
        <v>1110</v>
      </c>
      <c r="L24" s="4">
        <f>'Hampshire Daily'!K27-'Hampshire Daily'!K26</f>
        <v>137</v>
      </c>
      <c r="M24" s="4">
        <f>'Hampshire Daily'!N27-'Hampshire Daily'!N26</f>
        <v>2882</v>
      </c>
      <c r="N24" s="4">
        <f>'Hampshire Daily'!Q27-'Hampshire Daily'!Q26</f>
        <v>92</v>
      </c>
      <c r="O24" s="4">
        <f>'Hampshire Daily'!U27-'Hampshire Daily'!U26</f>
        <v>50</v>
      </c>
      <c r="P24" s="4">
        <f>'Hampshire Daily'!V27-'Hampshire Daily'!V26</f>
        <v>64</v>
      </c>
      <c r="Q24" s="4">
        <f>'Hampshire Daily'!Z27-'Hampshire Daily'!Z26</f>
        <v>4</v>
      </c>
      <c r="R24" s="4">
        <f>'Hampshire Daily'!B27</f>
        <v>9</v>
      </c>
      <c r="S24" s="4">
        <f>'Hampshire Daily'!C27</f>
        <v>18</v>
      </c>
    </row>
    <row r="25" spans="1:19">
      <c r="A25" s="3" t="s">
        <v>12</v>
      </c>
      <c r="B25" s="1">
        <f t="shared" si="0"/>
        <v>24</v>
      </c>
      <c r="C25" s="1">
        <v>11</v>
      </c>
      <c r="D25" s="1">
        <v>2022</v>
      </c>
      <c r="E25" s="4">
        <f>'Hampshire Daily'!D28-'Hampshire Daily'!D27</f>
        <v>3322</v>
      </c>
      <c r="F25" s="4">
        <f>'Hampshire Daily'!E28-'Hampshire Daily'!E27</f>
        <v>4462</v>
      </c>
      <c r="G25" s="4">
        <f>'Hampshire Daily'!F28-'Hampshire Daily'!F27</f>
        <v>651</v>
      </c>
      <c r="H25" s="4">
        <f>'Hampshire Daily'!G28-'Hampshire Daily'!G27</f>
        <v>2131</v>
      </c>
      <c r="I25" s="4">
        <f>'Hampshire Daily'!H28-'Hampshire Daily'!H27</f>
        <v>0</v>
      </c>
      <c r="J25" s="4">
        <f>'Hampshire Daily'!I28-'Hampshire Daily'!I27</f>
        <v>2465</v>
      </c>
      <c r="K25" s="4">
        <f>'Hampshire Daily'!J28-'Hampshire Daily'!J27</f>
        <v>1089</v>
      </c>
      <c r="L25" s="4">
        <f>'Hampshire Daily'!K28-'Hampshire Daily'!K27</f>
        <v>0</v>
      </c>
      <c r="M25" s="4">
        <f>'Hampshire Daily'!N28-'Hampshire Daily'!N27</f>
        <v>2857</v>
      </c>
      <c r="N25" s="4">
        <f>'Hampshire Daily'!Q28-'Hampshire Daily'!Q27</f>
        <v>80</v>
      </c>
      <c r="O25" s="4">
        <f>'Hampshire Daily'!U28-'Hampshire Daily'!U27</f>
        <v>39</v>
      </c>
      <c r="P25" s="4">
        <f>'Hampshire Daily'!V28-'Hampshire Daily'!V27</f>
        <v>54</v>
      </c>
      <c r="Q25" s="4">
        <f>'Hampshire Daily'!Z28-'Hampshire Daily'!Z27</f>
        <v>3</v>
      </c>
      <c r="R25" s="4">
        <f>'Hampshire Daily'!B28</f>
        <v>132</v>
      </c>
      <c r="S25" s="4">
        <f>'Hampshire Daily'!C28</f>
        <v>132</v>
      </c>
    </row>
    <row r="26" spans="1:19">
      <c r="A26" s="3" t="s">
        <v>12</v>
      </c>
      <c r="B26" s="22">
        <f>B25+1</f>
        <v>25</v>
      </c>
      <c r="C26" s="1">
        <v>11</v>
      </c>
      <c r="D26" s="1">
        <v>2022</v>
      </c>
      <c r="E26" s="4">
        <f>'Hampshire Daily'!D29-'Hampshire Daily'!D28</f>
        <v>3660</v>
      </c>
      <c r="F26" s="4">
        <f>'Hampshire Daily'!E29-'Hampshire Daily'!E28</f>
        <v>2462</v>
      </c>
      <c r="G26" s="4">
        <f>'Hampshire Daily'!F29-'Hampshire Daily'!F28</f>
        <v>0</v>
      </c>
      <c r="H26" s="4">
        <f>'Hampshire Daily'!G29-'Hampshire Daily'!G28</f>
        <v>2303</v>
      </c>
      <c r="I26" s="4">
        <f>'Hampshire Daily'!H29-'Hampshire Daily'!H28</f>
        <v>0</v>
      </c>
      <c r="J26" s="4">
        <f>'Hampshire Daily'!I29-'Hampshire Daily'!I28</f>
        <v>2560</v>
      </c>
      <c r="K26" s="4">
        <f>'Hampshire Daily'!J29-'Hampshire Daily'!J28</f>
        <v>1150</v>
      </c>
      <c r="L26" s="4">
        <f>'Hampshire Daily'!K29-'Hampshire Daily'!K28</f>
        <v>0</v>
      </c>
      <c r="M26" s="4">
        <f>'Hampshire Daily'!N29-'Hampshire Daily'!N28</f>
        <v>3191</v>
      </c>
      <c r="N26" s="4">
        <f>'Hampshire Daily'!Q29-'Hampshire Daily'!Q28</f>
        <v>88</v>
      </c>
      <c r="O26" s="4">
        <f>'Hampshire Daily'!U29-'Hampshire Daily'!U28</f>
        <v>43</v>
      </c>
      <c r="P26" s="4">
        <f>'Hampshire Daily'!V29-'Hampshire Daily'!V28</f>
        <v>65</v>
      </c>
      <c r="Q26" s="4">
        <f>'Hampshire Daily'!Z29-'Hampshire Daily'!Z28</f>
        <v>4</v>
      </c>
      <c r="R26" s="4">
        <f>'Hampshire Daily'!B29</f>
        <v>84</v>
      </c>
      <c r="S26" s="4">
        <f>'Hampshire Daily'!C29</f>
        <v>139</v>
      </c>
    </row>
    <row r="27" spans="1:19">
      <c r="A27" s="3" t="s">
        <v>12</v>
      </c>
      <c r="B27" s="1">
        <f t="shared" si="0"/>
        <v>26</v>
      </c>
      <c r="C27" s="1">
        <v>11</v>
      </c>
      <c r="D27" s="1">
        <v>2022</v>
      </c>
      <c r="E27" s="4">
        <f>'Hampshire Daily'!D30-'Hampshire Daily'!D29</f>
        <v>3544</v>
      </c>
      <c r="F27" s="4">
        <f>'Hampshire Daily'!E30-'Hampshire Daily'!E29</f>
        <v>2148</v>
      </c>
      <c r="G27" s="4">
        <f>'Hampshire Daily'!F30-'Hampshire Daily'!F29</f>
        <v>0</v>
      </c>
      <c r="H27" s="4">
        <f>'Hampshire Daily'!G30-'Hampshire Daily'!G29</f>
        <v>2311</v>
      </c>
      <c r="I27" s="4">
        <f>'Hampshire Daily'!H30-'Hampshire Daily'!H29</f>
        <v>0</v>
      </c>
      <c r="J27" s="4">
        <f>'Hampshire Daily'!I30-'Hampshire Daily'!I29</f>
        <v>2657</v>
      </c>
      <c r="K27" s="4">
        <f>'Hampshire Daily'!J30-'Hampshire Daily'!J29</f>
        <v>1170</v>
      </c>
      <c r="L27" s="4">
        <f>'Hampshire Daily'!K30-'Hampshire Daily'!K29</f>
        <v>0</v>
      </c>
      <c r="M27" s="4">
        <f>'Hampshire Daily'!N30-'Hampshire Daily'!N29</f>
        <v>3035</v>
      </c>
      <c r="N27" s="4">
        <f>'Hampshire Daily'!Q30-'Hampshire Daily'!Q29</f>
        <v>110</v>
      </c>
      <c r="O27" s="4">
        <f>'Hampshire Daily'!U30-'Hampshire Daily'!U29</f>
        <v>68</v>
      </c>
      <c r="P27" s="4">
        <f>'Hampshire Daily'!V30-'Hampshire Daily'!V29</f>
        <v>75</v>
      </c>
      <c r="Q27" s="4">
        <f>'Hampshire Daily'!Z30-'Hampshire Daily'!Z29</f>
        <v>3</v>
      </c>
      <c r="R27" s="4">
        <f>'Hampshire Daily'!B30</f>
        <v>96</v>
      </c>
      <c r="S27" s="4">
        <f>'Hampshire Daily'!C30</f>
        <v>232</v>
      </c>
    </row>
    <row r="28" spans="1:19">
      <c r="A28" s="3" t="s">
        <v>12</v>
      </c>
      <c r="B28" s="1">
        <f t="shared" si="0"/>
        <v>27</v>
      </c>
      <c r="C28" s="1">
        <v>11</v>
      </c>
      <c r="D28" s="1">
        <v>2022</v>
      </c>
      <c r="E28" s="4">
        <f>'Hampshire Daily'!D31-'Hampshire Daily'!D30</f>
        <v>3524</v>
      </c>
      <c r="F28" s="4">
        <f>'Hampshire Daily'!E31-'Hampshire Daily'!E30</f>
        <v>2348</v>
      </c>
      <c r="G28" s="4">
        <f>'Hampshire Daily'!F31-'Hampshire Daily'!F30</f>
        <v>0</v>
      </c>
      <c r="H28" s="4">
        <f>'Hampshire Daily'!G31-'Hampshire Daily'!G30</f>
        <v>2109</v>
      </c>
      <c r="I28" s="4">
        <f>'Hampshire Daily'!H31-'Hampshire Daily'!H30</f>
        <v>0</v>
      </c>
      <c r="J28" s="4">
        <f>'Hampshire Daily'!I31-'Hampshire Daily'!I30</f>
        <v>2538</v>
      </c>
      <c r="K28" s="4">
        <f>'Hampshire Daily'!J31-'Hampshire Daily'!J30</f>
        <v>1171</v>
      </c>
      <c r="L28" s="4">
        <f>'Hampshire Daily'!K31-'Hampshire Daily'!K30</f>
        <v>1</v>
      </c>
      <c r="M28" s="4">
        <f>'Hampshire Daily'!N31-'Hampshire Daily'!N30</f>
        <v>2941</v>
      </c>
      <c r="N28" s="4">
        <f>'Hampshire Daily'!Q31-'Hampshire Daily'!Q30</f>
        <v>110</v>
      </c>
      <c r="O28" s="4">
        <f>'Hampshire Daily'!U31-'Hampshire Daily'!U30</f>
        <v>67</v>
      </c>
      <c r="P28" s="4">
        <f>'Hampshire Daily'!V31-'Hampshire Daily'!V30</f>
        <v>81</v>
      </c>
      <c r="Q28" s="4">
        <f>'Hampshire Daily'!Z31-'Hampshire Daily'!Z30</f>
        <v>6</v>
      </c>
      <c r="R28" s="4">
        <f>'Hampshire Daily'!B31</f>
        <v>34</v>
      </c>
      <c r="S28" s="4">
        <f>'Hampshire Daily'!C31</f>
        <v>66</v>
      </c>
    </row>
    <row r="29" spans="1:19">
      <c r="A29" s="3" t="s">
        <v>12</v>
      </c>
      <c r="B29" s="1">
        <f t="shared" si="0"/>
        <v>28</v>
      </c>
      <c r="C29" s="1">
        <v>11</v>
      </c>
      <c r="D29" s="1">
        <v>2022</v>
      </c>
      <c r="E29" s="4">
        <f>'Hampshire Daily'!D32-'Hampshire Daily'!D31</f>
        <v>3236</v>
      </c>
      <c r="F29" s="4">
        <f>'Hampshire Daily'!E32-'Hampshire Daily'!E31</f>
        <v>2420</v>
      </c>
      <c r="G29" s="4">
        <f>'Hampshire Daily'!F32-'Hampshire Daily'!F31</f>
        <v>0</v>
      </c>
      <c r="H29" s="4">
        <f>'Hampshire Daily'!G32-'Hampshire Daily'!G31</f>
        <v>1880</v>
      </c>
      <c r="I29" s="4">
        <f>'Hampshire Daily'!H32-'Hampshire Daily'!H31</f>
        <v>0</v>
      </c>
      <c r="J29" s="4">
        <f>'Hampshire Daily'!I32-'Hampshire Daily'!I31</f>
        <v>2464</v>
      </c>
      <c r="K29" s="4">
        <f>'Hampshire Daily'!J32-'Hampshire Daily'!J31</f>
        <v>1112</v>
      </c>
      <c r="L29" s="4">
        <f>'Hampshire Daily'!K32-'Hampshire Daily'!K31</f>
        <v>1</v>
      </c>
      <c r="M29" s="4">
        <f>'Hampshire Daily'!N32-'Hampshire Daily'!N31</f>
        <v>2920</v>
      </c>
      <c r="N29" s="4">
        <f>'Hampshire Daily'!Q32-'Hampshire Daily'!Q31</f>
        <v>78</v>
      </c>
      <c r="O29" s="4">
        <f>'Hampshire Daily'!U32-'Hampshire Daily'!U31</f>
        <v>50</v>
      </c>
      <c r="P29" s="4">
        <f>'Hampshire Daily'!V32-'Hampshire Daily'!V31</f>
        <v>62</v>
      </c>
      <c r="Q29" s="4">
        <f>'Hampshire Daily'!Z32-'Hampshire Daily'!Z31</f>
        <v>4</v>
      </c>
      <c r="R29" s="4">
        <f>'Hampshire Daily'!B32</f>
        <v>29</v>
      </c>
      <c r="S29" s="4">
        <f>'Hampshire Daily'!C32</f>
        <v>47</v>
      </c>
    </row>
    <row r="30" spans="1:19">
      <c r="A30" s="3" t="s">
        <v>12</v>
      </c>
      <c r="B30" s="1">
        <f t="shared" si="0"/>
        <v>29</v>
      </c>
      <c r="C30" s="1">
        <v>11</v>
      </c>
      <c r="D30" s="1">
        <v>2022</v>
      </c>
      <c r="E30" s="4">
        <f>'Hampshire Daily'!D33-'Hampshire Daily'!D32</f>
        <v>3451</v>
      </c>
      <c r="F30" s="4">
        <f>'Hampshire Daily'!E33-'Hampshire Daily'!E32</f>
        <v>2463</v>
      </c>
      <c r="G30" s="4">
        <f>'Hampshire Daily'!F33-'Hampshire Daily'!F32</f>
        <v>0</v>
      </c>
      <c r="H30" s="4">
        <f>'Hampshire Daily'!G33-'Hampshire Daily'!G32</f>
        <v>2072</v>
      </c>
      <c r="I30" s="4">
        <f>'Hampshire Daily'!H33-'Hampshire Daily'!H32</f>
        <v>0</v>
      </c>
      <c r="J30" s="4">
        <f>'Hampshire Daily'!I33-'Hampshire Daily'!I32</f>
        <v>2382</v>
      </c>
      <c r="K30" s="4">
        <f>'Hampshire Daily'!J33-'Hampshire Daily'!J32</f>
        <v>1082</v>
      </c>
      <c r="L30" s="4">
        <f>'Hampshire Daily'!K33-'Hampshire Daily'!K32</f>
        <v>1</v>
      </c>
      <c r="M30" s="4">
        <f>'Hampshire Daily'!N33-'Hampshire Daily'!N32</f>
        <v>3147</v>
      </c>
      <c r="N30" s="4">
        <f>'Hampshire Daily'!Q33-'Hampshire Daily'!Q32</f>
        <v>78</v>
      </c>
      <c r="O30" s="4">
        <f>'Hampshire Daily'!U33-'Hampshire Daily'!U32</f>
        <v>14</v>
      </c>
      <c r="P30" s="4">
        <f>'Hampshire Daily'!V33-'Hampshire Daily'!V32</f>
        <v>54</v>
      </c>
      <c r="Q30" s="4">
        <f>'Hampshire Daily'!Z33-'Hampshire Daily'!Z32</f>
        <v>4</v>
      </c>
      <c r="R30" s="4">
        <f>'Hampshire Daily'!B33</f>
        <v>23</v>
      </c>
      <c r="S30" s="4">
        <f>'Hampshire Daily'!C33</f>
        <v>38</v>
      </c>
    </row>
    <row r="31" spans="1:19">
      <c r="A31" s="3" t="s">
        <v>12</v>
      </c>
      <c r="B31" s="1">
        <f t="shared" si="0"/>
        <v>30</v>
      </c>
      <c r="C31" s="1">
        <v>11</v>
      </c>
      <c r="D31" s="1">
        <v>2022</v>
      </c>
      <c r="E31" s="4">
        <f>'Hampshire Daily'!D34-'Hampshire Daily'!D33</f>
        <v>4242</v>
      </c>
      <c r="F31" s="4">
        <f>'Hampshire Daily'!E34-'Hampshire Daily'!E33</f>
        <v>2489</v>
      </c>
      <c r="G31" s="4">
        <f>'Hampshire Daily'!F34-'Hampshire Daily'!F33</f>
        <v>4</v>
      </c>
      <c r="H31" s="4">
        <f>'Hampshire Daily'!G34-'Hampshire Daily'!G33</f>
        <v>2161</v>
      </c>
      <c r="I31" s="4">
        <f>'Hampshire Daily'!H34-'Hampshire Daily'!H33</f>
        <v>0</v>
      </c>
      <c r="J31" s="4">
        <f>'Hampshire Daily'!I34-'Hampshire Daily'!I33</f>
        <v>2351</v>
      </c>
      <c r="K31" s="4">
        <f>'Hampshire Daily'!J34-'Hampshire Daily'!J33</f>
        <v>1073</v>
      </c>
      <c r="L31" s="4">
        <f>'Hampshire Daily'!K34-'Hampshire Daily'!K33</f>
        <v>242</v>
      </c>
      <c r="M31" s="4">
        <f>'Hampshire Daily'!N34-'Hampshire Daily'!N33</f>
        <v>3163</v>
      </c>
      <c r="N31" s="4">
        <f>'Hampshire Daily'!Q34-'Hampshire Daily'!Q33</f>
        <v>68</v>
      </c>
      <c r="O31" s="4">
        <f>'Hampshire Daily'!U34-'Hampshire Daily'!U33</f>
        <v>1</v>
      </c>
      <c r="P31" s="4">
        <f>'Hampshire Daily'!V34-'Hampshire Daily'!V33</f>
        <v>47</v>
      </c>
      <c r="Q31" s="4">
        <f>'Hampshire Daily'!Z34-'Hampshire Daily'!Z33</f>
        <v>3</v>
      </c>
      <c r="R31" s="4">
        <f>'Hampshire Daily'!B34</f>
        <v>18</v>
      </c>
      <c r="S31" s="4">
        <f>'Hampshire Daily'!C34</f>
        <v>30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E236"/>
  <sheetViews>
    <sheetView tabSelected="1" zoomScaleNormal="100" workbookViewId="0">
      <pane xSplit="1" ySplit="3" topLeftCell="K25" activePane="bottomRight" state="frozen"/>
      <selection pane="bottomRight" activeCell="Q32" sqref="Q32"/>
      <selection pane="bottomLeft"/>
      <selection pane="topRight"/>
    </sheetView>
  </sheetViews>
  <sheetFormatPr defaultRowHeight="15"/>
  <cols>
    <col min="1" max="1" width="8.7109375" style="16" customWidth="1"/>
    <col min="2" max="3" width="8.7109375" style="19" customWidth="1"/>
    <col min="4" max="4" width="10" customWidth="1"/>
    <col min="5" max="5" width="9.7109375" customWidth="1"/>
    <col min="6" max="6" width="9.42578125" customWidth="1"/>
    <col min="7" max="7" width="10.28515625" customWidth="1"/>
    <col min="8" max="9" width="10.140625" customWidth="1"/>
    <col min="11" max="11" width="10.5703125" customWidth="1"/>
    <col min="12" max="12" width="11.42578125" style="1" customWidth="1"/>
    <col min="13" max="13" width="10.5703125" style="1" customWidth="1"/>
    <col min="15" max="15" width="11.42578125" style="37" customWidth="1"/>
    <col min="16" max="16" width="10.7109375" style="43" customWidth="1"/>
    <col min="18" max="18" width="9.28515625" bestFit="1" customWidth="1"/>
    <col min="19" max="19" width="9.140625" style="37"/>
    <col min="20" max="20" width="10.42578125" style="37" bestFit="1" customWidth="1"/>
    <col min="23" max="24" width="10.42578125" customWidth="1"/>
    <col min="27" max="27" width="9.28515625" customWidth="1"/>
    <col min="28" max="28" width="11.7109375" style="35" customWidth="1"/>
    <col min="31" max="31" width="10.7109375" customWidth="1"/>
  </cols>
  <sheetData>
    <row r="1" spans="1:31" ht="15" customHeight="1">
      <c r="A1" s="55"/>
      <c r="B1" s="18"/>
      <c r="C1" s="18"/>
      <c r="D1" s="65" t="s">
        <v>27</v>
      </c>
      <c r="E1" s="66"/>
      <c r="F1" s="66"/>
      <c r="G1" s="66"/>
      <c r="H1" s="66"/>
      <c r="I1" s="66"/>
      <c r="J1" s="66"/>
      <c r="K1" s="66"/>
      <c r="L1" s="66"/>
      <c r="M1" s="67"/>
      <c r="N1" s="45" t="s">
        <v>28</v>
      </c>
      <c r="O1" s="70" t="s">
        <v>29</v>
      </c>
      <c r="P1" s="72" t="s">
        <v>30</v>
      </c>
      <c r="Q1" s="47" t="s">
        <v>31</v>
      </c>
      <c r="R1" s="74" t="s">
        <v>32</v>
      </c>
      <c r="S1" s="74" t="s">
        <v>33</v>
      </c>
      <c r="T1" s="74" t="s">
        <v>34</v>
      </c>
      <c r="U1" s="47" t="s">
        <v>35</v>
      </c>
      <c r="V1" s="49"/>
      <c r="W1" s="47" t="s">
        <v>36</v>
      </c>
      <c r="X1" s="52" t="s">
        <v>37</v>
      </c>
      <c r="Y1" s="50" t="s">
        <v>38</v>
      </c>
      <c r="Z1" s="76" t="s">
        <v>39</v>
      </c>
      <c r="AA1" s="69" t="s">
        <v>40</v>
      </c>
    </row>
    <row r="2" spans="1:31" ht="15" customHeight="1">
      <c r="A2" s="56"/>
      <c r="B2" s="60" t="s">
        <v>41</v>
      </c>
      <c r="C2" s="60" t="s">
        <v>42</v>
      </c>
      <c r="D2" s="62" t="s">
        <v>43</v>
      </c>
      <c r="E2" s="58" t="s">
        <v>44</v>
      </c>
      <c r="F2" s="58" t="s">
        <v>45</v>
      </c>
      <c r="G2" s="58" t="s">
        <v>46</v>
      </c>
      <c r="H2" s="58" t="s">
        <v>47</v>
      </c>
      <c r="I2" s="58" t="s">
        <v>48</v>
      </c>
      <c r="J2" s="58" t="s">
        <v>49</v>
      </c>
      <c r="K2" s="58" t="s">
        <v>50</v>
      </c>
      <c r="L2" s="68" t="s">
        <v>51</v>
      </c>
      <c r="M2" s="68" t="s">
        <v>52</v>
      </c>
      <c r="N2" s="46"/>
      <c r="O2" s="71"/>
      <c r="P2" s="73"/>
      <c r="Q2" s="47"/>
      <c r="R2" s="74"/>
      <c r="S2" s="74"/>
      <c r="T2" s="74"/>
      <c r="U2" s="47"/>
      <c r="V2" s="49"/>
      <c r="W2" s="47"/>
      <c r="X2" s="53"/>
      <c r="Y2" s="50"/>
      <c r="Z2" s="77"/>
      <c r="AA2" s="69"/>
    </row>
    <row r="3" spans="1:31" ht="27" customHeight="1">
      <c r="A3" s="57"/>
      <c r="B3" s="61"/>
      <c r="C3" s="61"/>
      <c r="D3" s="63"/>
      <c r="E3" s="64"/>
      <c r="F3" s="58"/>
      <c r="G3" s="58"/>
      <c r="H3" s="58"/>
      <c r="I3" s="58"/>
      <c r="J3" s="58"/>
      <c r="K3" s="59"/>
      <c r="L3" s="68"/>
      <c r="M3" s="68"/>
      <c r="N3" s="46"/>
      <c r="O3" s="71"/>
      <c r="P3" s="73"/>
      <c r="Q3" s="48"/>
      <c r="R3" s="75"/>
      <c r="S3" s="75"/>
      <c r="T3" s="75"/>
      <c r="U3" s="49"/>
      <c r="V3" s="49"/>
      <c r="W3" s="48"/>
      <c r="X3" s="54"/>
      <c r="Y3" s="51"/>
      <c r="Z3" s="78"/>
      <c r="AA3" s="69"/>
      <c r="AD3" t="s">
        <v>53</v>
      </c>
      <c r="AE3" s="36" t="s">
        <v>54</v>
      </c>
    </row>
    <row r="4" spans="1:31">
      <c r="A4" s="17">
        <v>44865</v>
      </c>
      <c r="B4" s="21">
        <v>21</v>
      </c>
      <c r="C4" s="33">
        <v>37</v>
      </c>
      <c r="D4" s="23">
        <v>2223453</v>
      </c>
      <c r="E4" s="24">
        <v>2203020</v>
      </c>
      <c r="F4" s="24">
        <v>347410</v>
      </c>
      <c r="G4" s="24">
        <v>8093909</v>
      </c>
      <c r="H4" s="24">
        <v>34950</v>
      </c>
      <c r="I4" s="24">
        <v>6344576</v>
      </c>
      <c r="J4" s="24">
        <v>274004</v>
      </c>
      <c r="K4" s="24">
        <v>2694497</v>
      </c>
      <c r="L4" s="30">
        <v>2117</v>
      </c>
      <c r="M4" s="30">
        <v>2924</v>
      </c>
      <c r="N4" s="24">
        <v>2152163</v>
      </c>
      <c r="O4" s="20">
        <v>50817</v>
      </c>
      <c r="P4" s="20">
        <v>357349</v>
      </c>
      <c r="Q4" s="24">
        <v>413874</v>
      </c>
      <c r="R4" s="24">
        <v>1120.56</v>
      </c>
      <c r="S4" s="38">
        <v>490.45499999999998</v>
      </c>
      <c r="T4" s="38">
        <v>3896.1460000000002</v>
      </c>
      <c r="U4" s="24">
        <v>366245</v>
      </c>
      <c r="V4" s="24">
        <v>70619</v>
      </c>
      <c r="W4" s="24">
        <v>55559</v>
      </c>
      <c r="X4" s="24"/>
      <c r="Y4" s="24">
        <v>31790</v>
      </c>
      <c r="Z4" s="24">
        <v>4664</v>
      </c>
      <c r="AA4">
        <f>SUM(Y4-31785)</f>
        <v>5</v>
      </c>
      <c r="AB4" s="35" t="s">
        <v>55</v>
      </c>
      <c r="AD4">
        <f>N4-2149575</f>
        <v>2588</v>
      </c>
      <c r="AE4" s="37">
        <f>R4-1120.427</f>
        <v>0.1330000000000382</v>
      </c>
    </row>
    <row r="5" spans="1:31">
      <c r="A5" s="17">
        <f>A4+1</f>
        <v>44866</v>
      </c>
      <c r="B5" s="21">
        <v>41</v>
      </c>
      <c r="C5" s="21">
        <v>71</v>
      </c>
      <c r="D5" s="20">
        <v>2226601</v>
      </c>
      <c r="E5" s="20">
        <v>2207430</v>
      </c>
      <c r="F5" s="20">
        <v>347320</v>
      </c>
      <c r="G5" s="20">
        <v>8095765</v>
      </c>
      <c r="H5" s="32">
        <v>34950</v>
      </c>
      <c r="I5" s="32">
        <v>634962</v>
      </c>
      <c r="J5" s="20">
        <v>275124</v>
      </c>
      <c r="K5" s="20">
        <v>2694516</v>
      </c>
      <c r="L5" s="28">
        <v>1770</v>
      </c>
      <c r="M5" s="28">
        <v>2390</v>
      </c>
      <c r="N5" s="20">
        <v>2154390</v>
      </c>
      <c r="O5" s="39"/>
      <c r="P5" s="40"/>
      <c r="Q5" s="20">
        <v>413950</v>
      </c>
      <c r="R5" s="44">
        <v>1121.8610000000001</v>
      </c>
      <c r="S5" s="44">
        <v>490.45499999999998</v>
      </c>
      <c r="T5" s="38">
        <v>3896.1460000000002</v>
      </c>
      <c r="U5" s="20">
        <v>366281</v>
      </c>
      <c r="V5" s="20">
        <v>70672</v>
      </c>
      <c r="W5" s="20">
        <v>55565</v>
      </c>
      <c r="X5" s="20"/>
      <c r="Y5" s="20">
        <v>31803</v>
      </c>
      <c r="Z5" s="20">
        <v>4668</v>
      </c>
      <c r="AA5">
        <f>SUM(Y5-Y4)</f>
        <v>13</v>
      </c>
      <c r="AB5" s="35" t="s">
        <v>56</v>
      </c>
      <c r="AD5">
        <f>N5-N4</f>
        <v>2227</v>
      </c>
      <c r="AE5" s="37">
        <f>R5-R4</f>
        <v>1.3010000000001583</v>
      </c>
    </row>
    <row r="6" spans="1:31">
      <c r="A6" s="17">
        <f t="shared" ref="A6:A33" si="0">A5+1</f>
        <v>44867</v>
      </c>
      <c r="B6" s="21">
        <v>28</v>
      </c>
      <c r="C6" s="21">
        <v>59</v>
      </c>
      <c r="D6" s="20">
        <v>2230266</v>
      </c>
      <c r="E6" s="20">
        <v>2209874</v>
      </c>
      <c r="F6" s="20">
        <v>348080</v>
      </c>
      <c r="G6" s="20">
        <v>8097680</v>
      </c>
      <c r="H6" s="32">
        <v>34950</v>
      </c>
      <c r="I6" s="32">
        <v>6349283</v>
      </c>
      <c r="J6" s="20">
        <v>276466</v>
      </c>
      <c r="K6" s="20">
        <v>2694651</v>
      </c>
      <c r="L6" s="28">
        <v>3537</v>
      </c>
      <c r="M6" s="28">
        <v>2923</v>
      </c>
      <c r="N6" s="20">
        <v>2156955</v>
      </c>
      <c r="O6" s="39"/>
      <c r="P6" s="40"/>
      <c r="Q6" s="20">
        <v>414033</v>
      </c>
      <c r="R6" s="20">
        <v>1122.114</v>
      </c>
      <c r="S6" s="44">
        <v>490.45499999999998</v>
      </c>
      <c r="T6" s="44">
        <v>3896.1480000000001</v>
      </c>
      <c r="U6" s="20">
        <v>366335</v>
      </c>
      <c r="V6" s="20">
        <v>70730</v>
      </c>
      <c r="W6" s="20">
        <v>55572</v>
      </c>
      <c r="X6" s="20"/>
      <c r="Y6" s="20">
        <v>31806</v>
      </c>
      <c r="Z6" s="20">
        <v>4672</v>
      </c>
      <c r="AA6">
        <f t="shared" ref="AA6:AA34" si="1">SUM(Y6-Y5)</f>
        <v>3</v>
      </c>
      <c r="AB6" s="35" t="s">
        <v>57</v>
      </c>
      <c r="AC6" s="26"/>
      <c r="AD6">
        <f t="shared" ref="AD6:AD35" si="2">N6-N5</f>
        <v>2565</v>
      </c>
      <c r="AE6" s="37">
        <f t="shared" ref="AE6:AE34" si="3">R6-R5</f>
        <v>0.25299999999992906</v>
      </c>
    </row>
    <row r="7" spans="1:31">
      <c r="A7" s="17">
        <f t="shared" si="0"/>
        <v>44868</v>
      </c>
      <c r="B7" s="21">
        <v>36</v>
      </c>
      <c r="C7" s="21">
        <v>68</v>
      </c>
      <c r="D7" s="20">
        <v>2233443</v>
      </c>
      <c r="E7" s="20">
        <v>2211785</v>
      </c>
      <c r="F7" s="20">
        <v>348080</v>
      </c>
      <c r="G7" s="20">
        <v>8099600</v>
      </c>
      <c r="H7" s="32">
        <v>34950</v>
      </c>
      <c r="I7" s="32">
        <v>6351575</v>
      </c>
      <c r="J7" s="20">
        <v>277213</v>
      </c>
      <c r="K7" s="20">
        <v>2694651</v>
      </c>
      <c r="L7" s="28">
        <v>3507</v>
      </c>
      <c r="M7" s="28">
        <v>2926</v>
      </c>
      <c r="N7" s="20">
        <v>2159614</v>
      </c>
      <c r="O7" s="39"/>
      <c r="P7" s="40"/>
      <c r="Q7" s="20">
        <v>414115</v>
      </c>
      <c r="R7" s="20">
        <v>1122.338</v>
      </c>
      <c r="S7" s="44">
        <v>490.45499999999998</v>
      </c>
      <c r="T7" s="44">
        <v>3896.1480000000001</v>
      </c>
      <c r="U7" s="20">
        <v>366371</v>
      </c>
      <c r="V7" s="20">
        <v>70783</v>
      </c>
      <c r="W7" s="20">
        <v>55579</v>
      </c>
      <c r="X7" s="20"/>
      <c r="Y7" s="20">
        <v>31806</v>
      </c>
      <c r="Z7" s="20">
        <v>4700</v>
      </c>
      <c r="AA7">
        <f t="shared" si="1"/>
        <v>0</v>
      </c>
      <c r="AB7" s="35" t="s">
        <v>58</v>
      </c>
      <c r="AD7">
        <f t="shared" si="2"/>
        <v>2659</v>
      </c>
      <c r="AE7" s="37">
        <f t="shared" si="3"/>
        <v>0.2239999999999327</v>
      </c>
    </row>
    <row r="8" spans="1:31">
      <c r="A8" s="17">
        <f t="shared" si="0"/>
        <v>44869</v>
      </c>
      <c r="B8" s="21">
        <v>44</v>
      </c>
      <c r="C8" s="21">
        <v>102</v>
      </c>
      <c r="D8" s="20">
        <v>2236571</v>
      </c>
      <c r="E8" s="20">
        <v>2213751</v>
      </c>
      <c r="F8" s="20">
        <v>348080</v>
      </c>
      <c r="G8" s="20">
        <v>8101521</v>
      </c>
      <c r="H8" s="32">
        <v>34950</v>
      </c>
      <c r="I8" s="32">
        <v>6353947</v>
      </c>
      <c r="J8" s="20">
        <v>278283</v>
      </c>
      <c r="K8" s="20">
        <v>2694651</v>
      </c>
      <c r="L8" s="28">
        <v>3539</v>
      </c>
      <c r="M8" s="28">
        <v>2925</v>
      </c>
      <c r="N8" s="20">
        <v>2162509</v>
      </c>
      <c r="O8" s="39"/>
      <c r="P8" s="40"/>
      <c r="Q8" s="20">
        <v>414256</v>
      </c>
      <c r="R8" s="20">
        <v>1122.6400000000001</v>
      </c>
      <c r="S8" s="44">
        <v>490.45499999999998</v>
      </c>
      <c r="T8" s="44">
        <v>3896.1480000000001</v>
      </c>
      <c r="U8" s="20">
        <v>366417</v>
      </c>
      <c r="V8" s="20">
        <v>70835</v>
      </c>
      <c r="W8" s="20">
        <v>55585</v>
      </c>
      <c r="X8" s="20"/>
      <c r="Y8" s="20">
        <v>31807</v>
      </c>
      <c r="Z8" s="20">
        <v>4752</v>
      </c>
      <c r="AA8">
        <f t="shared" si="1"/>
        <v>1</v>
      </c>
      <c r="AB8" s="35" t="s">
        <v>59</v>
      </c>
      <c r="AD8">
        <f t="shared" si="2"/>
        <v>2895</v>
      </c>
      <c r="AE8" s="37">
        <f t="shared" si="3"/>
        <v>0.30200000000013461</v>
      </c>
    </row>
    <row r="9" spans="1:31">
      <c r="A9" s="17">
        <f t="shared" si="0"/>
        <v>44870</v>
      </c>
      <c r="B9" s="21">
        <v>43</v>
      </c>
      <c r="C9" s="21">
        <v>106</v>
      </c>
      <c r="D9" s="20">
        <v>2240286</v>
      </c>
      <c r="E9" s="20">
        <v>2215958</v>
      </c>
      <c r="F9" s="20">
        <v>348080</v>
      </c>
      <c r="G9" s="20">
        <v>8103598</v>
      </c>
      <c r="H9" s="32">
        <v>34950</v>
      </c>
      <c r="I9" s="32">
        <v>6356377</v>
      </c>
      <c r="J9" s="20">
        <v>279365</v>
      </c>
      <c r="K9" s="20">
        <v>2694651</v>
      </c>
      <c r="L9" s="28">
        <v>3547</v>
      </c>
      <c r="M9" s="28">
        <v>2924</v>
      </c>
      <c r="N9" s="20">
        <v>2165785</v>
      </c>
      <c r="O9" s="39"/>
      <c r="P9" s="40"/>
      <c r="Q9" s="20">
        <v>414357</v>
      </c>
      <c r="R9" s="20">
        <v>1122.8399999999999</v>
      </c>
      <c r="S9" s="44">
        <v>490.45499999999998</v>
      </c>
      <c r="T9" s="44">
        <v>3896.1480000000001</v>
      </c>
      <c r="U9" s="20">
        <v>366473</v>
      </c>
      <c r="V9" s="20">
        <v>70896</v>
      </c>
      <c r="W9" s="20">
        <v>55592</v>
      </c>
      <c r="X9" s="20"/>
      <c r="Y9" s="20">
        <v>31808</v>
      </c>
      <c r="Z9" s="20">
        <v>4757</v>
      </c>
      <c r="AA9">
        <f t="shared" si="1"/>
        <v>1</v>
      </c>
      <c r="AB9" s="35" t="s">
        <v>60</v>
      </c>
      <c r="AD9">
        <f t="shared" si="2"/>
        <v>3276</v>
      </c>
      <c r="AE9" s="37">
        <f t="shared" si="3"/>
        <v>0.1999999999998181</v>
      </c>
    </row>
    <row r="10" spans="1:31">
      <c r="A10" s="17">
        <f t="shared" si="0"/>
        <v>44871</v>
      </c>
      <c r="B10" s="21">
        <v>15</v>
      </c>
      <c r="C10" s="21">
        <v>32</v>
      </c>
      <c r="D10" s="20">
        <v>2244019</v>
      </c>
      <c r="E10" s="20">
        <v>2217782</v>
      </c>
      <c r="F10" s="20">
        <v>348080</v>
      </c>
      <c r="G10" s="20">
        <v>8105574</v>
      </c>
      <c r="H10" s="32">
        <v>34950</v>
      </c>
      <c r="I10" s="32">
        <v>6358859</v>
      </c>
      <c r="J10" s="20">
        <v>280510</v>
      </c>
      <c r="K10" s="20">
        <v>2694802</v>
      </c>
      <c r="L10" s="28">
        <v>3511</v>
      </c>
      <c r="M10" s="28">
        <v>315</v>
      </c>
      <c r="N10" s="20">
        <v>2168076</v>
      </c>
      <c r="O10" s="39"/>
      <c r="P10" s="40"/>
      <c r="Q10" s="20">
        <v>414445</v>
      </c>
      <c r="R10" s="20">
        <v>1122.9970000000001</v>
      </c>
      <c r="S10" s="44">
        <v>490.45499999999998</v>
      </c>
      <c r="T10" s="44">
        <v>3896.1489999999999</v>
      </c>
      <c r="U10" s="20">
        <v>366527</v>
      </c>
      <c r="V10" s="20">
        <v>70598</v>
      </c>
      <c r="W10" s="20">
        <v>55599</v>
      </c>
      <c r="X10" s="20"/>
      <c r="Y10" s="20">
        <v>31819</v>
      </c>
      <c r="Z10" s="20">
        <v>4773</v>
      </c>
      <c r="AA10">
        <f t="shared" si="1"/>
        <v>11</v>
      </c>
      <c r="AB10" s="35" t="s">
        <v>61</v>
      </c>
      <c r="AD10">
        <f t="shared" si="2"/>
        <v>2291</v>
      </c>
      <c r="AE10" s="37">
        <f t="shared" si="3"/>
        <v>0.1570000000001528</v>
      </c>
    </row>
    <row r="11" spans="1:31">
      <c r="A11" s="17">
        <f t="shared" si="0"/>
        <v>44872</v>
      </c>
      <c r="B11" s="21">
        <v>24</v>
      </c>
      <c r="C11" s="21">
        <v>32</v>
      </c>
      <c r="D11" s="20">
        <v>2250099</v>
      </c>
      <c r="E11" s="20">
        <v>2219695</v>
      </c>
      <c r="F11" s="20">
        <v>348080</v>
      </c>
      <c r="G11" s="20">
        <v>8107559</v>
      </c>
      <c r="H11" s="32">
        <v>34950</v>
      </c>
      <c r="I11" s="32">
        <v>6361336</v>
      </c>
      <c r="J11" s="20">
        <v>281604</v>
      </c>
      <c r="K11" s="20">
        <v>2695543</v>
      </c>
      <c r="L11" s="28">
        <v>3513</v>
      </c>
      <c r="M11" s="28">
        <v>0</v>
      </c>
      <c r="N11" s="20">
        <v>2170316</v>
      </c>
      <c r="O11" s="39"/>
      <c r="P11" s="40"/>
      <c r="Q11" s="20">
        <v>414510</v>
      </c>
      <c r="R11" s="20">
        <v>1123.0719999999999</v>
      </c>
      <c r="S11" s="44">
        <v>490.45499999999998</v>
      </c>
      <c r="T11" s="44">
        <v>3896.1489999999999</v>
      </c>
      <c r="U11" s="20">
        <v>366573</v>
      </c>
      <c r="V11" s="20">
        <v>71011</v>
      </c>
      <c r="W11" s="20">
        <v>55605</v>
      </c>
      <c r="X11" s="20"/>
      <c r="Y11" s="20">
        <v>31829</v>
      </c>
      <c r="Z11" s="20">
        <v>4779</v>
      </c>
      <c r="AA11">
        <f t="shared" si="1"/>
        <v>10</v>
      </c>
      <c r="AB11" s="35" t="s">
        <v>55</v>
      </c>
      <c r="AD11">
        <f t="shared" si="2"/>
        <v>2240</v>
      </c>
      <c r="AE11" s="37">
        <f t="shared" si="3"/>
        <v>7.4999999999818101E-2</v>
      </c>
    </row>
    <row r="12" spans="1:31">
      <c r="A12" s="17">
        <f t="shared" si="0"/>
        <v>44873</v>
      </c>
      <c r="B12" s="21">
        <v>18</v>
      </c>
      <c r="C12" s="21">
        <v>32</v>
      </c>
      <c r="D12" s="20">
        <v>2255104</v>
      </c>
      <c r="E12" s="20">
        <v>2222291</v>
      </c>
      <c r="F12" s="20">
        <v>348080</v>
      </c>
      <c r="G12" s="20">
        <v>8109390</v>
      </c>
      <c r="H12" s="32">
        <v>34950</v>
      </c>
      <c r="I12" s="32">
        <v>6363275</v>
      </c>
      <c r="J12" s="20">
        <v>282398</v>
      </c>
      <c r="K12" s="20">
        <v>2696258</v>
      </c>
      <c r="L12" s="28">
        <v>1714</v>
      </c>
      <c r="M12" s="28">
        <v>0</v>
      </c>
      <c r="N12" s="20">
        <v>2172468</v>
      </c>
      <c r="O12" s="39"/>
      <c r="P12" s="40"/>
      <c r="Q12" s="20">
        <v>414595</v>
      </c>
      <c r="R12" s="20">
        <v>1123.0740000000001</v>
      </c>
      <c r="S12" s="44">
        <v>490.45499999999998</v>
      </c>
      <c r="T12" s="44">
        <v>3896.1489999999999</v>
      </c>
      <c r="U12" s="20">
        <v>366605</v>
      </c>
      <c r="V12" s="20">
        <v>71055</v>
      </c>
      <c r="W12" s="20">
        <v>55612</v>
      </c>
      <c r="X12" s="20"/>
      <c r="Y12" s="20">
        <v>31829</v>
      </c>
      <c r="Z12" s="20">
        <v>4782</v>
      </c>
      <c r="AA12">
        <f t="shared" si="1"/>
        <v>0</v>
      </c>
      <c r="AB12" s="35" t="s">
        <v>56</v>
      </c>
      <c r="AD12">
        <f t="shared" si="2"/>
        <v>2152</v>
      </c>
      <c r="AE12" s="37">
        <f t="shared" si="3"/>
        <v>2.00000000018008E-3</v>
      </c>
    </row>
    <row r="13" spans="1:31">
      <c r="A13" s="17">
        <f t="shared" si="0"/>
        <v>44874</v>
      </c>
      <c r="B13" s="34">
        <v>37</v>
      </c>
      <c r="C13" s="34">
        <v>55</v>
      </c>
      <c r="D13" s="20">
        <v>2260032</v>
      </c>
      <c r="E13" s="20">
        <v>2227766</v>
      </c>
      <c r="F13" s="20">
        <v>348715</v>
      </c>
      <c r="G13" s="20">
        <v>8111343</v>
      </c>
      <c r="H13" s="32">
        <v>34950</v>
      </c>
      <c r="I13" s="32">
        <v>6365520</v>
      </c>
      <c r="J13" s="20">
        <v>2833871</v>
      </c>
      <c r="K13" s="20">
        <v>2696972</v>
      </c>
      <c r="L13" s="28">
        <v>2381</v>
      </c>
      <c r="M13" s="28">
        <v>0</v>
      </c>
      <c r="N13" s="20">
        <v>2174305</v>
      </c>
      <c r="O13" s="39"/>
      <c r="P13" s="40"/>
      <c r="Q13" s="20">
        <v>414671</v>
      </c>
      <c r="R13" s="20">
        <v>1123.08</v>
      </c>
      <c r="S13" s="44">
        <v>490.45499999999998</v>
      </c>
      <c r="T13" s="44">
        <v>3896.1489999999999</v>
      </c>
      <c r="U13" s="20">
        <v>366623</v>
      </c>
      <c r="V13" s="20">
        <v>71101</v>
      </c>
      <c r="W13" s="20">
        <v>55621</v>
      </c>
      <c r="X13" s="20"/>
      <c r="Y13" s="20">
        <v>31830</v>
      </c>
      <c r="Z13" s="20">
        <v>4786</v>
      </c>
      <c r="AA13">
        <f t="shared" si="1"/>
        <v>1</v>
      </c>
      <c r="AB13" s="35" t="s">
        <v>57</v>
      </c>
      <c r="AD13">
        <f t="shared" si="2"/>
        <v>1837</v>
      </c>
      <c r="AE13" s="37">
        <f t="shared" si="3"/>
        <v>5.9999999998581188E-3</v>
      </c>
    </row>
    <row r="14" spans="1:31">
      <c r="A14" s="17">
        <f t="shared" si="0"/>
        <v>44875</v>
      </c>
      <c r="B14" s="21">
        <v>73</v>
      </c>
      <c r="C14" s="21">
        <v>104</v>
      </c>
      <c r="D14" s="20">
        <v>2265119</v>
      </c>
      <c r="E14" s="20">
        <v>2230514</v>
      </c>
      <c r="F14" s="20">
        <v>348734</v>
      </c>
      <c r="G14" s="20">
        <v>8113342</v>
      </c>
      <c r="H14" s="32">
        <v>34950</v>
      </c>
      <c r="I14" s="32">
        <v>6367790</v>
      </c>
      <c r="J14" s="20">
        <v>2843438</v>
      </c>
      <c r="K14" s="20">
        <v>2697690</v>
      </c>
      <c r="L14" s="28">
        <v>3575</v>
      </c>
      <c r="M14" s="28">
        <v>1258</v>
      </c>
      <c r="N14" s="20">
        <v>2176617</v>
      </c>
      <c r="O14" s="39"/>
      <c r="P14" s="40"/>
      <c r="Q14" s="20">
        <v>414752</v>
      </c>
      <c r="R14" s="20">
        <v>1123.08</v>
      </c>
      <c r="S14" s="44">
        <v>490.45499999999998</v>
      </c>
      <c r="T14" s="44">
        <v>3896.15</v>
      </c>
      <c r="U14" s="20">
        <v>366655</v>
      </c>
      <c r="V14" s="20">
        <v>71149</v>
      </c>
      <c r="W14" s="20">
        <v>55628</v>
      </c>
      <c r="X14" s="20"/>
      <c r="Y14" s="20">
        <v>31839</v>
      </c>
      <c r="Z14" s="20">
        <v>4790</v>
      </c>
      <c r="AA14">
        <f t="shared" si="1"/>
        <v>9</v>
      </c>
      <c r="AB14" s="35" t="s">
        <v>58</v>
      </c>
      <c r="AD14">
        <f t="shared" si="2"/>
        <v>2312</v>
      </c>
      <c r="AE14" s="37">
        <f t="shared" si="3"/>
        <v>0</v>
      </c>
    </row>
    <row r="15" spans="1:31">
      <c r="A15" s="17">
        <f t="shared" si="0"/>
        <v>44876</v>
      </c>
      <c r="B15" s="21">
        <v>69</v>
      </c>
      <c r="C15" s="21">
        <v>131</v>
      </c>
      <c r="D15" s="20">
        <v>2268278</v>
      </c>
      <c r="E15" s="20">
        <v>2233493</v>
      </c>
      <c r="F15" s="20">
        <v>348734</v>
      </c>
      <c r="G15" s="20">
        <v>8115430</v>
      </c>
      <c r="H15" s="32">
        <v>34950</v>
      </c>
      <c r="I15" s="32">
        <v>6370114</v>
      </c>
      <c r="J15" s="20">
        <v>2853106</v>
      </c>
      <c r="K15" s="20">
        <v>2697931</v>
      </c>
      <c r="L15" s="28">
        <v>3578</v>
      </c>
      <c r="M15" s="28">
        <v>2842</v>
      </c>
      <c r="N15" s="20">
        <v>2179188</v>
      </c>
      <c r="O15" s="39"/>
      <c r="P15" s="40"/>
      <c r="Q15" s="20">
        <v>414832</v>
      </c>
      <c r="R15" s="20">
        <v>1123.0830000000001</v>
      </c>
      <c r="S15" s="44">
        <v>490.45499999999998</v>
      </c>
      <c r="T15" s="44">
        <v>3896.15</v>
      </c>
      <c r="U15" s="20">
        <v>366708</v>
      </c>
      <c r="V15" s="20">
        <v>71208</v>
      </c>
      <c r="W15" s="20">
        <v>55635</v>
      </c>
      <c r="X15" s="20"/>
      <c r="Y15" s="20">
        <v>31839</v>
      </c>
      <c r="Z15" s="20">
        <v>4794</v>
      </c>
      <c r="AA15">
        <f t="shared" si="1"/>
        <v>0</v>
      </c>
      <c r="AB15" s="35" t="s">
        <v>59</v>
      </c>
      <c r="AD15">
        <f t="shared" si="2"/>
        <v>2571</v>
      </c>
      <c r="AE15" s="37">
        <f t="shared" si="3"/>
        <v>3.0000000001564331E-3</v>
      </c>
    </row>
    <row r="16" spans="1:31">
      <c r="A16" s="17">
        <f t="shared" si="0"/>
        <v>44877</v>
      </c>
      <c r="B16" s="21">
        <v>68</v>
      </c>
      <c r="C16" s="21">
        <v>160</v>
      </c>
      <c r="D16" s="20">
        <v>2270797</v>
      </c>
      <c r="E16" s="20">
        <v>2236787</v>
      </c>
      <c r="F16" s="20">
        <v>348734</v>
      </c>
      <c r="G16" s="20">
        <v>8117504</v>
      </c>
      <c r="H16" s="32">
        <v>34950</v>
      </c>
      <c r="I16" s="32">
        <v>6372681</v>
      </c>
      <c r="J16" s="20">
        <v>2864623</v>
      </c>
      <c r="K16" s="20">
        <v>2697947</v>
      </c>
      <c r="L16" s="28">
        <v>3581</v>
      </c>
      <c r="M16" s="28">
        <v>1056</v>
      </c>
      <c r="N16" s="20">
        <v>2181956</v>
      </c>
      <c r="O16" s="39"/>
      <c r="P16" s="40"/>
      <c r="Q16" s="20">
        <v>414916</v>
      </c>
      <c r="R16" s="20">
        <v>1123.1590000000001</v>
      </c>
      <c r="S16" s="44">
        <v>490.45499999999998</v>
      </c>
      <c r="T16" s="44">
        <v>3896.15</v>
      </c>
      <c r="U16" s="20">
        <v>366771</v>
      </c>
      <c r="V16" s="20">
        <v>71274</v>
      </c>
      <c r="W16" s="20">
        <v>55642</v>
      </c>
      <c r="X16" s="20"/>
      <c r="Y16" s="20">
        <v>31840</v>
      </c>
      <c r="Z16" s="20">
        <v>4797</v>
      </c>
      <c r="AA16">
        <f t="shared" si="1"/>
        <v>1</v>
      </c>
      <c r="AB16" s="35" t="s">
        <v>60</v>
      </c>
      <c r="AD16">
        <f t="shared" si="2"/>
        <v>2768</v>
      </c>
      <c r="AE16" s="37">
        <f t="shared" si="3"/>
        <v>7.6000000000021828E-2</v>
      </c>
    </row>
    <row r="17" spans="1:31">
      <c r="A17" s="17">
        <f t="shared" si="0"/>
        <v>44878</v>
      </c>
      <c r="B17" s="21">
        <v>28</v>
      </c>
      <c r="C17" s="21">
        <v>62</v>
      </c>
      <c r="D17" s="20">
        <v>2275724</v>
      </c>
      <c r="E17" s="20">
        <v>2239963</v>
      </c>
      <c r="F17" s="20">
        <v>348734</v>
      </c>
      <c r="G17" s="20">
        <v>8119395</v>
      </c>
      <c r="H17" s="32">
        <v>34950</v>
      </c>
      <c r="I17" s="32">
        <v>6375169</v>
      </c>
      <c r="J17" s="20">
        <v>2876173</v>
      </c>
      <c r="K17" s="20">
        <v>2698643</v>
      </c>
      <c r="L17" s="28">
        <v>3571</v>
      </c>
      <c r="M17" s="28">
        <v>1716</v>
      </c>
      <c r="N17" s="20">
        <v>2184012</v>
      </c>
      <c r="O17" s="39"/>
      <c r="P17" s="40"/>
      <c r="Q17" s="20">
        <v>414974</v>
      </c>
      <c r="R17" s="20">
        <v>1123.2059999999999</v>
      </c>
      <c r="S17" s="44">
        <v>490.45499999999998</v>
      </c>
      <c r="T17" s="44">
        <v>3896.15</v>
      </c>
      <c r="U17" s="20">
        <v>366833</v>
      </c>
      <c r="V17" s="20">
        <v>71339</v>
      </c>
      <c r="W17" s="20">
        <v>55648</v>
      </c>
      <c r="X17" s="20"/>
      <c r="Y17" s="20">
        <v>31840</v>
      </c>
      <c r="Z17" s="20">
        <v>4804</v>
      </c>
      <c r="AA17">
        <f t="shared" si="1"/>
        <v>0</v>
      </c>
      <c r="AB17" s="35" t="s">
        <v>61</v>
      </c>
      <c r="AD17">
        <f t="shared" si="2"/>
        <v>2056</v>
      </c>
      <c r="AE17" s="37">
        <f t="shared" si="3"/>
        <v>4.6999999999798092E-2</v>
      </c>
    </row>
    <row r="18" spans="1:31">
      <c r="A18" s="17">
        <f t="shared" si="0"/>
        <v>44879</v>
      </c>
      <c r="B18" s="21">
        <v>15</v>
      </c>
      <c r="C18" s="21">
        <v>28</v>
      </c>
      <c r="D18" s="20">
        <v>2278335</v>
      </c>
      <c r="E18" s="20">
        <v>2243127</v>
      </c>
      <c r="F18" s="20">
        <v>348734</v>
      </c>
      <c r="G18" s="20">
        <v>8121384</v>
      </c>
      <c r="H18" s="32">
        <v>34950</v>
      </c>
      <c r="I18" s="32">
        <v>6377589</v>
      </c>
      <c r="J18" s="20">
        <v>288684</v>
      </c>
      <c r="K18" s="20">
        <v>2698746</v>
      </c>
      <c r="L18" s="27">
        <v>3525</v>
      </c>
      <c r="M18" s="27">
        <v>2922</v>
      </c>
      <c r="N18" s="20">
        <v>2186618</v>
      </c>
      <c r="O18" s="39"/>
      <c r="P18" s="40"/>
      <c r="Q18" s="20">
        <v>415106</v>
      </c>
      <c r="R18" s="20">
        <v>1123.3130000000001</v>
      </c>
      <c r="S18" s="44">
        <v>490.45499999999998</v>
      </c>
      <c r="T18" s="44">
        <v>3896.15</v>
      </c>
      <c r="U18" s="20">
        <v>366890</v>
      </c>
      <c r="V18" s="20">
        <v>71401</v>
      </c>
      <c r="W18" s="20">
        <v>55656</v>
      </c>
      <c r="X18" s="20"/>
      <c r="Y18" s="20">
        <v>31849</v>
      </c>
      <c r="Z18" s="20">
        <v>4808</v>
      </c>
      <c r="AA18">
        <f t="shared" si="1"/>
        <v>9</v>
      </c>
      <c r="AB18" s="35" t="s">
        <v>55</v>
      </c>
      <c r="AD18">
        <f t="shared" si="2"/>
        <v>2606</v>
      </c>
      <c r="AE18" s="37">
        <f t="shared" si="3"/>
        <v>0.10700000000019827</v>
      </c>
    </row>
    <row r="19" spans="1:31">
      <c r="A19" s="17">
        <f t="shared" si="0"/>
        <v>44880</v>
      </c>
      <c r="B19" s="21">
        <v>14</v>
      </c>
      <c r="C19" s="21">
        <v>25</v>
      </c>
      <c r="D19" s="20">
        <v>2281603</v>
      </c>
      <c r="E19" s="20">
        <v>2245020</v>
      </c>
      <c r="F19" s="20">
        <v>348734</v>
      </c>
      <c r="G19" s="20">
        <v>8123377</v>
      </c>
      <c r="H19" s="32">
        <v>34950</v>
      </c>
      <c r="I19" s="32">
        <v>6379841</v>
      </c>
      <c r="J19" s="20">
        <v>289611</v>
      </c>
      <c r="K19" s="20">
        <v>2698746</v>
      </c>
      <c r="L19" s="28">
        <v>1744</v>
      </c>
      <c r="M19" s="28">
        <v>1993</v>
      </c>
      <c r="N19" s="20">
        <v>2189386</v>
      </c>
      <c r="O19" s="39"/>
      <c r="P19" s="40"/>
      <c r="Q19" s="20">
        <v>415238</v>
      </c>
      <c r="R19" s="20">
        <v>1123.3430000000001</v>
      </c>
      <c r="S19" s="44">
        <v>490.45499999999998</v>
      </c>
      <c r="T19" s="44">
        <v>3896.1509999999998</v>
      </c>
      <c r="U19" s="20">
        <v>366929</v>
      </c>
      <c r="V19" s="20">
        <v>71448</v>
      </c>
      <c r="W19" s="20">
        <v>55662</v>
      </c>
      <c r="X19" s="20"/>
      <c r="Y19" s="20">
        <v>31850</v>
      </c>
      <c r="Z19" s="20">
        <v>4812</v>
      </c>
      <c r="AA19">
        <f t="shared" si="1"/>
        <v>1</v>
      </c>
      <c r="AB19" s="35" t="s">
        <v>56</v>
      </c>
      <c r="AD19">
        <f t="shared" si="2"/>
        <v>2768</v>
      </c>
      <c r="AE19" s="37">
        <f t="shared" si="3"/>
        <v>2.9999999999972715E-2</v>
      </c>
    </row>
    <row r="20" spans="1:31">
      <c r="A20" s="17">
        <f t="shared" si="0"/>
        <v>44881</v>
      </c>
      <c r="B20" s="21">
        <v>118</v>
      </c>
      <c r="C20" s="21">
        <v>130</v>
      </c>
      <c r="D20" s="20">
        <v>2285934</v>
      </c>
      <c r="E20" s="20">
        <v>2249621</v>
      </c>
      <c r="F20" s="20">
        <v>349364</v>
      </c>
      <c r="G20" s="20">
        <v>8125452</v>
      </c>
      <c r="H20" s="32">
        <v>34950</v>
      </c>
      <c r="I20" s="32">
        <v>6382112</v>
      </c>
      <c r="J20" s="32">
        <v>290547</v>
      </c>
      <c r="K20" s="20">
        <v>2699048</v>
      </c>
      <c r="L20" s="28">
        <v>2151</v>
      </c>
      <c r="M20" s="28">
        <v>2536</v>
      </c>
      <c r="N20" s="20">
        <v>2191876</v>
      </c>
      <c r="O20" s="39"/>
      <c r="P20" s="40"/>
      <c r="Q20" s="20">
        <v>415299</v>
      </c>
      <c r="R20" s="20">
        <v>1123.364</v>
      </c>
      <c r="S20" s="44">
        <v>490.45499999999998</v>
      </c>
      <c r="T20" s="44">
        <v>3896.1509999999998</v>
      </c>
      <c r="U20" s="20">
        <v>366969</v>
      </c>
      <c r="V20" s="20">
        <v>71493</v>
      </c>
      <c r="W20" s="20">
        <v>55668</v>
      </c>
      <c r="X20" s="20"/>
      <c r="Y20" s="20">
        <v>31851</v>
      </c>
      <c r="Z20" s="20">
        <v>4816</v>
      </c>
      <c r="AA20">
        <f t="shared" si="1"/>
        <v>1</v>
      </c>
      <c r="AB20" s="35" t="s">
        <v>57</v>
      </c>
      <c r="AD20">
        <f t="shared" si="2"/>
        <v>2490</v>
      </c>
      <c r="AE20" s="37">
        <f t="shared" si="3"/>
        <v>2.0999999999958163E-2</v>
      </c>
    </row>
    <row r="21" spans="1:31">
      <c r="A21" s="17">
        <f t="shared" si="0"/>
        <v>44882</v>
      </c>
      <c r="B21" s="21">
        <v>30</v>
      </c>
      <c r="C21" s="21">
        <v>54</v>
      </c>
      <c r="D21" s="20">
        <v>2289479</v>
      </c>
      <c r="E21" s="20">
        <v>2251828</v>
      </c>
      <c r="F21" s="20">
        <v>349415</v>
      </c>
      <c r="G21" s="20">
        <v>8127747</v>
      </c>
      <c r="H21" s="32">
        <v>34950</v>
      </c>
      <c r="I21" s="32">
        <v>6384383</v>
      </c>
      <c r="J21" s="20">
        <v>291483</v>
      </c>
      <c r="K21" s="20">
        <v>2699048</v>
      </c>
      <c r="L21" s="28">
        <v>3435</v>
      </c>
      <c r="M21" s="28">
        <v>2923</v>
      </c>
      <c r="N21" s="20">
        <v>2194710</v>
      </c>
      <c r="O21" s="39"/>
      <c r="P21" s="40"/>
      <c r="Q21" s="20">
        <v>415360</v>
      </c>
      <c r="R21" s="20">
        <v>1123.365</v>
      </c>
      <c r="S21" s="44">
        <v>490.45499999999998</v>
      </c>
      <c r="T21" s="44">
        <v>3896.1529999999998</v>
      </c>
      <c r="U21" s="20">
        <v>367026</v>
      </c>
      <c r="V21" s="20">
        <v>71554</v>
      </c>
      <c r="W21" s="20">
        <v>55675</v>
      </c>
      <c r="X21" s="20"/>
      <c r="Y21" s="20">
        <v>31860</v>
      </c>
      <c r="Z21" s="20">
        <v>4820</v>
      </c>
      <c r="AA21">
        <f t="shared" si="1"/>
        <v>9</v>
      </c>
      <c r="AB21" s="35" t="s">
        <v>58</v>
      </c>
      <c r="AD21">
        <f t="shared" si="2"/>
        <v>2834</v>
      </c>
      <c r="AE21" s="37">
        <f t="shared" si="3"/>
        <v>9.9999999997635314E-4</v>
      </c>
    </row>
    <row r="22" spans="1:31">
      <c r="A22" s="17">
        <f t="shared" si="0"/>
        <v>44883</v>
      </c>
      <c r="B22" s="21">
        <v>52</v>
      </c>
      <c r="C22" s="21">
        <v>119</v>
      </c>
      <c r="D22" s="20">
        <v>2293000</v>
      </c>
      <c r="E22" s="20">
        <v>2253994</v>
      </c>
      <c r="F22" s="20">
        <v>349415</v>
      </c>
      <c r="G22" s="20">
        <v>8130030</v>
      </c>
      <c r="H22" s="32">
        <v>34950</v>
      </c>
      <c r="I22" s="32">
        <v>6386819</v>
      </c>
      <c r="J22" s="20">
        <v>292567</v>
      </c>
      <c r="K22" s="20">
        <v>2699048</v>
      </c>
      <c r="L22" s="28">
        <v>3497</v>
      </c>
      <c r="M22" s="28">
        <v>2924</v>
      </c>
      <c r="N22" s="20">
        <v>2197917</v>
      </c>
      <c r="O22" s="39"/>
      <c r="P22" s="40"/>
      <c r="Q22" s="20">
        <v>415429</v>
      </c>
      <c r="R22" s="20">
        <v>1123.365</v>
      </c>
      <c r="S22" s="44">
        <v>490.45499999999998</v>
      </c>
      <c r="T22" s="44">
        <v>3896.154</v>
      </c>
      <c r="U22" s="20">
        <v>367077</v>
      </c>
      <c r="V22" s="20">
        <v>71615</v>
      </c>
      <c r="W22" s="20">
        <v>55682</v>
      </c>
      <c r="X22" s="20"/>
      <c r="Y22" s="20">
        <v>31860</v>
      </c>
      <c r="Z22" s="20">
        <v>4822</v>
      </c>
      <c r="AA22">
        <f t="shared" si="1"/>
        <v>0</v>
      </c>
      <c r="AB22" s="35" t="s">
        <v>59</v>
      </c>
      <c r="AD22">
        <f t="shared" si="2"/>
        <v>3207</v>
      </c>
      <c r="AE22" s="37">
        <f t="shared" si="3"/>
        <v>0</v>
      </c>
    </row>
    <row r="23" spans="1:31">
      <c r="A23" s="17">
        <f t="shared" si="0"/>
        <v>44884</v>
      </c>
      <c r="B23" s="21">
        <v>78</v>
      </c>
      <c r="C23" s="21">
        <v>174</v>
      </c>
      <c r="D23" s="20">
        <v>2296501</v>
      </c>
      <c r="E23" s="20">
        <v>2255982</v>
      </c>
      <c r="F23" s="20">
        <v>349415</v>
      </c>
      <c r="G23" s="20">
        <v>8132320</v>
      </c>
      <c r="H23" s="32">
        <v>34950</v>
      </c>
      <c r="I23" s="32">
        <v>6389319</v>
      </c>
      <c r="J23" s="20">
        <v>293681</v>
      </c>
      <c r="K23" s="20">
        <v>2699048</v>
      </c>
      <c r="L23" s="28">
        <v>3527</v>
      </c>
      <c r="M23" s="28">
        <v>2925</v>
      </c>
      <c r="N23" s="20">
        <v>2201048</v>
      </c>
      <c r="O23" s="39"/>
      <c r="P23" s="40"/>
      <c r="Q23" s="20">
        <v>415498</v>
      </c>
      <c r="R23" s="20">
        <v>1123.365</v>
      </c>
      <c r="S23" s="44">
        <v>490.45499999999998</v>
      </c>
      <c r="T23" s="44">
        <v>3896.154</v>
      </c>
      <c r="U23" s="20">
        <v>367138</v>
      </c>
      <c r="V23" s="20">
        <v>71680</v>
      </c>
      <c r="W23" s="20">
        <v>55689</v>
      </c>
      <c r="X23" s="20"/>
      <c r="Y23" s="20">
        <v>31860</v>
      </c>
      <c r="Z23" s="20">
        <v>4872</v>
      </c>
      <c r="AA23">
        <f t="shared" si="1"/>
        <v>0</v>
      </c>
      <c r="AB23" s="35" t="s">
        <v>60</v>
      </c>
      <c r="AD23">
        <f t="shared" si="2"/>
        <v>3131</v>
      </c>
      <c r="AE23" s="37">
        <f t="shared" si="3"/>
        <v>0</v>
      </c>
    </row>
    <row r="24" spans="1:31">
      <c r="A24" s="17">
        <f t="shared" si="0"/>
        <v>44885</v>
      </c>
      <c r="B24" s="21">
        <v>46</v>
      </c>
      <c r="C24" s="21">
        <v>88</v>
      </c>
      <c r="D24" s="20">
        <v>2300026</v>
      </c>
      <c r="E24" s="20">
        <v>2258426</v>
      </c>
      <c r="F24" s="20">
        <v>349415</v>
      </c>
      <c r="G24" s="20">
        <v>8134513</v>
      </c>
      <c r="H24" s="32">
        <v>34950</v>
      </c>
      <c r="I24" s="32">
        <v>6391961</v>
      </c>
      <c r="J24" s="20">
        <v>294944</v>
      </c>
      <c r="K24" s="20">
        <v>2699048</v>
      </c>
      <c r="L24" s="28">
        <v>3509</v>
      </c>
      <c r="M24" s="28">
        <v>2924</v>
      </c>
      <c r="N24" s="20">
        <v>2204335</v>
      </c>
      <c r="O24" s="39"/>
      <c r="P24" s="40"/>
      <c r="Q24" s="20">
        <v>415602</v>
      </c>
      <c r="R24" s="20">
        <v>1123.547</v>
      </c>
      <c r="S24" s="44">
        <v>490.45499999999998</v>
      </c>
      <c r="T24" s="44">
        <v>3896.154</v>
      </c>
      <c r="U24" s="20">
        <v>367201</v>
      </c>
      <c r="V24" s="20">
        <v>71756</v>
      </c>
      <c r="W24" s="20">
        <v>55697</v>
      </c>
      <c r="X24" s="20"/>
      <c r="Y24" s="20">
        <v>31861</v>
      </c>
      <c r="Z24" s="20">
        <v>4835</v>
      </c>
      <c r="AA24">
        <f t="shared" si="1"/>
        <v>1</v>
      </c>
      <c r="AB24" s="35" t="s">
        <v>61</v>
      </c>
      <c r="AD24">
        <f t="shared" si="2"/>
        <v>3287</v>
      </c>
      <c r="AE24" s="37">
        <f t="shared" si="3"/>
        <v>0.18200000000001637</v>
      </c>
    </row>
    <row r="25" spans="1:31">
      <c r="A25" s="17">
        <f t="shared" si="0"/>
        <v>44886</v>
      </c>
      <c r="B25" s="21">
        <v>74</v>
      </c>
      <c r="C25" s="21">
        <v>84</v>
      </c>
      <c r="D25" s="20">
        <v>2303545</v>
      </c>
      <c r="E25" s="20">
        <v>2260672</v>
      </c>
      <c r="F25" s="20">
        <v>349415</v>
      </c>
      <c r="G25" s="20">
        <v>8136839</v>
      </c>
      <c r="H25" s="32">
        <v>34950</v>
      </c>
      <c r="I25" s="32">
        <v>6394533</v>
      </c>
      <c r="J25" s="20">
        <v>296170</v>
      </c>
      <c r="K25" s="20">
        <v>2699049</v>
      </c>
      <c r="L25" s="31">
        <v>3459</v>
      </c>
      <c r="M25" s="29">
        <v>2924</v>
      </c>
      <c r="N25" s="20">
        <v>2207455</v>
      </c>
      <c r="O25" s="39"/>
      <c r="P25" s="40"/>
      <c r="Q25" s="20">
        <v>415713</v>
      </c>
      <c r="R25" s="20">
        <v>1123.547</v>
      </c>
      <c r="S25" s="44">
        <v>490.45499999999998</v>
      </c>
      <c r="T25" s="44">
        <v>3896.154</v>
      </c>
      <c r="U25" s="20">
        <v>367262</v>
      </c>
      <c r="V25" s="20">
        <v>71824</v>
      </c>
      <c r="W25" s="20">
        <v>55705</v>
      </c>
      <c r="X25" s="20"/>
      <c r="Y25" s="20">
        <v>31875</v>
      </c>
      <c r="Z25" s="20">
        <v>4838</v>
      </c>
      <c r="AA25">
        <f t="shared" si="1"/>
        <v>14</v>
      </c>
      <c r="AB25" s="35" t="s">
        <v>55</v>
      </c>
      <c r="AD25">
        <f t="shared" si="2"/>
        <v>3120</v>
      </c>
      <c r="AE25" s="37">
        <f t="shared" si="3"/>
        <v>0</v>
      </c>
    </row>
    <row r="26" spans="1:31">
      <c r="A26" s="17">
        <f t="shared" si="0"/>
        <v>44887</v>
      </c>
      <c r="B26" s="21">
        <v>72</v>
      </c>
      <c r="C26" s="33">
        <v>87</v>
      </c>
      <c r="D26" s="24">
        <v>2307170</v>
      </c>
      <c r="E26" s="24">
        <v>2263077</v>
      </c>
      <c r="F26" s="24">
        <v>349415</v>
      </c>
      <c r="G26" s="24">
        <v>8139201</v>
      </c>
      <c r="H26" s="25">
        <v>34957</v>
      </c>
      <c r="I26" s="25">
        <v>6397113</v>
      </c>
      <c r="J26" s="25">
        <v>297346</v>
      </c>
      <c r="K26" s="24">
        <v>2699050</v>
      </c>
      <c r="L26" s="29">
        <v>1669</v>
      </c>
      <c r="M26" s="29">
        <v>2514</v>
      </c>
      <c r="N26" s="24">
        <v>2210884</v>
      </c>
      <c r="O26" s="41"/>
      <c r="P26" s="42"/>
      <c r="Q26" s="24">
        <v>415796</v>
      </c>
      <c r="R26" s="38">
        <v>1123.547</v>
      </c>
      <c r="S26" s="44">
        <v>490.45499999999998</v>
      </c>
      <c r="T26" s="44">
        <v>3896.154</v>
      </c>
      <c r="U26" s="24">
        <v>367307</v>
      </c>
      <c r="V26" s="24">
        <v>71887</v>
      </c>
      <c r="W26" s="24">
        <v>55712</v>
      </c>
      <c r="X26" s="24"/>
      <c r="Y26" s="24">
        <v>31875</v>
      </c>
      <c r="Z26" s="24">
        <v>4842</v>
      </c>
      <c r="AA26">
        <f t="shared" si="1"/>
        <v>0</v>
      </c>
      <c r="AB26" s="35" t="s">
        <v>56</v>
      </c>
      <c r="AD26">
        <f t="shared" si="2"/>
        <v>3429</v>
      </c>
      <c r="AE26" s="37">
        <f t="shared" si="3"/>
        <v>0</v>
      </c>
    </row>
    <row r="27" spans="1:31">
      <c r="A27" s="17">
        <f t="shared" si="0"/>
        <v>44888</v>
      </c>
      <c r="B27" s="21">
        <v>9</v>
      </c>
      <c r="C27" s="33">
        <v>18</v>
      </c>
      <c r="D27" s="24">
        <v>2311198</v>
      </c>
      <c r="E27" s="24">
        <v>2268135</v>
      </c>
      <c r="F27" s="24">
        <v>350115</v>
      </c>
      <c r="G27" s="24">
        <v>8141503</v>
      </c>
      <c r="H27" s="25">
        <v>34978</v>
      </c>
      <c r="I27" s="25">
        <v>6399535</v>
      </c>
      <c r="J27" s="25">
        <v>298456</v>
      </c>
      <c r="K27" s="24">
        <v>2699187</v>
      </c>
      <c r="L27" s="29">
        <v>906</v>
      </c>
      <c r="M27" s="29">
        <v>2925</v>
      </c>
      <c r="N27" s="24">
        <v>2213766</v>
      </c>
      <c r="O27" s="41"/>
      <c r="P27" s="42"/>
      <c r="Q27" s="25">
        <v>415888</v>
      </c>
      <c r="R27" s="38">
        <v>1123.547</v>
      </c>
      <c r="S27" s="38">
        <v>490.45499999999998</v>
      </c>
      <c r="T27" s="38">
        <v>3896.154</v>
      </c>
      <c r="U27" s="24">
        <v>367357</v>
      </c>
      <c r="V27" s="24">
        <v>71951</v>
      </c>
      <c r="W27" s="24">
        <v>55721</v>
      </c>
      <c r="X27" s="24"/>
      <c r="Y27" s="24">
        <v>31875</v>
      </c>
      <c r="Z27" s="24">
        <v>4846</v>
      </c>
      <c r="AA27">
        <f t="shared" si="1"/>
        <v>0</v>
      </c>
      <c r="AB27" s="35" t="s">
        <v>57</v>
      </c>
      <c r="AD27">
        <f t="shared" si="2"/>
        <v>2882</v>
      </c>
      <c r="AE27" s="37">
        <f t="shared" si="3"/>
        <v>0</v>
      </c>
    </row>
    <row r="28" spans="1:31">
      <c r="A28" s="17">
        <f t="shared" si="0"/>
        <v>44889</v>
      </c>
      <c r="B28" s="21">
        <v>132</v>
      </c>
      <c r="C28" s="33">
        <v>132</v>
      </c>
      <c r="D28" s="24">
        <v>2314520</v>
      </c>
      <c r="E28" s="24">
        <v>2272597</v>
      </c>
      <c r="F28" s="24">
        <v>350766</v>
      </c>
      <c r="G28" s="24">
        <v>8143634</v>
      </c>
      <c r="H28" s="25">
        <v>34978</v>
      </c>
      <c r="I28" s="25">
        <v>6402000</v>
      </c>
      <c r="J28" s="25">
        <v>299545</v>
      </c>
      <c r="K28" s="24">
        <v>2699187</v>
      </c>
      <c r="L28" s="29">
        <v>2327</v>
      </c>
      <c r="M28" s="29">
        <v>2924</v>
      </c>
      <c r="N28" s="24">
        <v>2216623</v>
      </c>
      <c r="O28" s="41"/>
      <c r="P28" s="42"/>
      <c r="Q28" s="25">
        <v>415968</v>
      </c>
      <c r="R28" s="38">
        <v>1123.568</v>
      </c>
      <c r="S28" s="38">
        <v>490.45499999999998</v>
      </c>
      <c r="T28" s="38">
        <v>3896.2109999999998</v>
      </c>
      <c r="U28" s="24">
        <v>367396</v>
      </c>
      <c r="V28" s="24">
        <v>72005</v>
      </c>
      <c r="W28" s="24">
        <v>55727</v>
      </c>
      <c r="X28" s="24">
        <v>187938</v>
      </c>
      <c r="Y28" s="24">
        <v>31886</v>
      </c>
      <c r="Z28" s="24">
        <v>4849</v>
      </c>
      <c r="AA28">
        <f t="shared" si="1"/>
        <v>11</v>
      </c>
      <c r="AB28" s="35" t="s">
        <v>58</v>
      </c>
      <c r="AD28">
        <f t="shared" si="2"/>
        <v>2857</v>
      </c>
      <c r="AE28" s="37">
        <f t="shared" si="3"/>
        <v>2.0999999999958163E-2</v>
      </c>
    </row>
    <row r="29" spans="1:31">
      <c r="A29" s="17">
        <f t="shared" si="0"/>
        <v>44890</v>
      </c>
      <c r="B29" s="21">
        <v>84</v>
      </c>
      <c r="C29" s="33">
        <v>139</v>
      </c>
      <c r="D29" s="24">
        <v>2318180</v>
      </c>
      <c r="E29" s="24">
        <v>2275059</v>
      </c>
      <c r="F29" s="24">
        <v>350766</v>
      </c>
      <c r="G29" s="24">
        <v>8145937</v>
      </c>
      <c r="H29" s="25">
        <v>34978</v>
      </c>
      <c r="I29" s="25">
        <v>6404560</v>
      </c>
      <c r="J29" s="25">
        <v>300695</v>
      </c>
      <c r="K29" s="24">
        <v>2699187</v>
      </c>
      <c r="L29" s="29">
        <v>3530</v>
      </c>
      <c r="M29" s="29">
        <v>2925</v>
      </c>
      <c r="N29" s="24">
        <v>2219814</v>
      </c>
      <c r="O29" s="41"/>
      <c r="P29" s="42"/>
      <c r="Q29" s="25">
        <v>416056</v>
      </c>
      <c r="R29" s="38">
        <v>1123.568</v>
      </c>
      <c r="S29" s="38">
        <v>490.45499999999998</v>
      </c>
      <c r="T29" s="38">
        <v>3896.2429999999999</v>
      </c>
      <c r="U29" s="24">
        <v>367439</v>
      </c>
      <c r="V29" s="24">
        <v>72070</v>
      </c>
      <c r="W29" s="24">
        <v>55734</v>
      </c>
      <c r="X29" s="24">
        <v>188004</v>
      </c>
      <c r="Y29" s="24">
        <v>31886</v>
      </c>
      <c r="Z29" s="24">
        <v>4853</v>
      </c>
      <c r="AA29">
        <f t="shared" si="1"/>
        <v>0</v>
      </c>
      <c r="AB29" s="35" t="s">
        <v>59</v>
      </c>
      <c r="AD29">
        <f t="shared" si="2"/>
        <v>3191</v>
      </c>
      <c r="AE29" s="37">
        <f t="shared" si="3"/>
        <v>0</v>
      </c>
    </row>
    <row r="30" spans="1:31">
      <c r="A30" s="17">
        <f t="shared" si="0"/>
        <v>44891</v>
      </c>
      <c r="B30" s="21">
        <v>96</v>
      </c>
      <c r="C30" s="33">
        <v>232</v>
      </c>
      <c r="D30" s="24">
        <v>2321724</v>
      </c>
      <c r="E30" s="24">
        <v>2277207</v>
      </c>
      <c r="F30" s="24">
        <v>350766</v>
      </c>
      <c r="G30" s="24">
        <v>8148248</v>
      </c>
      <c r="H30" s="25">
        <v>34978</v>
      </c>
      <c r="I30" s="25">
        <v>6407217</v>
      </c>
      <c r="J30" s="24">
        <v>301865</v>
      </c>
      <c r="K30" s="24">
        <v>2699187</v>
      </c>
      <c r="L30" s="29">
        <v>3568</v>
      </c>
      <c r="M30" s="29">
        <v>2924</v>
      </c>
      <c r="N30" s="24">
        <v>2222849</v>
      </c>
      <c r="O30" s="41"/>
      <c r="P30" s="42"/>
      <c r="Q30" s="24">
        <v>416166</v>
      </c>
      <c r="R30" s="24">
        <v>1123.652</v>
      </c>
      <c r="S30" s="38">
        <v>490.45499999999998</v>
      </c>
      <c r="T30" s="38">
        <v>3896.2539999999999</v>
      </c>
      <c r="U30" s="24">
        <v>367507</v>
      </c>
      <c r="V30" s="24">
        <v>72145</v>
      </c>
      <c r="W30" s="24">
        <v>55741</v>
      </c>
      <c r="X30" s="24">
        <v>188070</v>
      </c>
      <c r="Y30" s="24">
        <v>31887</v>
      </c>
      <c r="Z30" s="24">
        <v>4856</v>
      </c>
      <c r="AA30">
        <f t="shared" si="1"/>
        <v>1</v>
      </c>
      <c r="AB30" s="35" t="s">
        <v>60</v>
      </c>
      <c r="AD30">
        <f t="shared" si="2"/>
        <v>3035</v>
      </c>
      <c r="AE30" s="37">
        <f t="shared" si="3"/>
        <v>8.4000000000060027E-2</v>
      </c>
    </row>
    <row r="31" spans="1:31">
      <c r="A31" s="17">
        <f t="shared" si="0"/>
        <v>44892</v>
      </c>
      <c r="B31" s="21">
        <v>34</v>
      </c>
      <c r="C31" s="33">
        <v>66</v>
      </c>
      <c r="D31" s="24">
        <v>2325248</v>
      </c>
      <c r="E31" s="24">
        <v>2279555</v>
      </c>
      <c r="F31" s="24">
        <v>350766</v>
      </c>
      <c r="G31" s="24">
        <v>8150357</v>
      </c>
      <c r="H31" s="25">
        <v>34978</v>
      </c>
      <c r="I31" s="25">
        <v>6409755</v>
      </c>
      <c r="J31" s="24">
        <v>303036</v>
      </c>
      <c r="K31" s="24">
        <v>2699188</v>
      </c>
      <c r="L31" s="29">
        <v>3533</v>
      </c>
      <c r="M31" s="29">
        <v>2924</v>
      </c>
      <c r="N31" s="24">
        <v>2225790</v>
      </c>
      <c r="O31" s="41"/>
      <c r="P31" s="42"/>
      <c r="Q31" s="24">
        <v>416276</v>
      </c>
      <c r="R31" s="24">
        <v>1123.6780000000001</v>
      </c>
      <c r="S31" s="38">
        <v>490.45499999999998</v>
      </c>
      <c r="T31" s="38">
        <v>3896.2539999999999</v>
      </c>
      <c r="U31" s="24">
        <v>367574</v>
      </c>
      <c r="V31" s="24">
        <v>72226</v>
      </c>
      <c r="W31" s="24">
        <v>55748</v>
      </c>
      <c r="X31" s="24">
        <v>188160</v>
      </c>
      <c r="Y31" s="24">
        <v>31887</v>
      </c>
      <c r="Z31" s="24">
        <v>4862</v>
      </c>
      <c r="AA31">
        <f t="shared" si="1"/>
        <v>0</v>
      </c>
      <c r="AB31" s="35" t="s">
        <v>61</v>
      </c>
      <c r="AD31">
        <f t="shared" si="2"/>
        <v>2941</v>
      </c>
      <c r="AE31" s="37">
        <f t="shared" si="3"/>
        <v>2.6000000000067303E-2</v>
      </c>
    </row>
    <row r="32" spans="1:31">
      <c r="A32" s="17">
        <f t="shared" si="0"/>
        <v>44893</v>
      </c>
      <c r="B32" s="21">
        <v>29</v>
      </c>
      <c r="C32" s="33">
        <v>47</v>
      </c>
      <c r="D32" s="24">
        <v>2328484</v>
      </c>
      <c r="E32" s="24">
        <v>2281975</v>
      </c>
      <c r="F32" s="24">
        <v>350766</v>
      </c>
      <c r="G32" s="24">
        <v>8152237</v>
      </c>
      <c r="H32" s="25">
        <v>34978</v>
      </c>
      <c r="I32" s="25">
        <v>6412219</v>
      </c>
      <c r="J32" s="24">
        <v>304148</v>
      </c>
      <c r="K32" s="24">
        <v>2699189</v>
      </c>
      <c r="L32" s="29">
        <v>3519</v>
      </c>
      <c r="M32" s="29">
        <v>2924</v>
      </c>
      <c r="N32" s="24">
        <v>2228710</v>
      </c>
      <c r="O32" s="41"/>
      <c r="P32" s="42"/>
      <c r="Q32" s="24">
        <v>416354</v>
      </c>
      <c r="R32" s="38">
        <v>1123.6790000000001</v>
      </c>
      <c r="S32" s="38">
        <v>490.45499999999998</v>
      </c>
      <c r="T32" s="38">
        <v>3896.2539999999999</v>
      </c>
      <c r="U32" s="24">
        <v>367624</v>
      </c>
      <c r="V32" s="24">
        <v>72288</v>
      </c>
      <c r="W32" s="24">
        <v>55756</v>
      </c>
      <c r="X32" s="24">
        <v>188222</v>
      </c>
      <c r="Y32" s="24">
        <v>31897</v>
      </c>
      <c r="Z32" s="24">
        <v>4866</v>
      </c>
      <c r="AA32">
        <f t="shared" si="1"/>
        <v>10</v>
      </c>
      <c r="AB32" s="35" t="s">
        <v>55</v>
      </c>
      <c r="AD32">
        <f t="shared" si="2"/>
        <v>2920</v>
      </c>
      <c r="AE32" s="37">
        <f t="shared" si="3"/>
        <v>9.9999999997635314E-4</v>
      </c>
    </row>
    <row r="33" spans="1:31">
      <c r="A33" s="17">
        <f t="shared" si="0"/>
        <v>44894</v>
      </c>
      <c r="B33" s="21">
        <v>23</v>
      </c>
      <c r="C33" s="33">
        <v>38</v>
      </c>
      <c r="D33" s="23">
        <v>2331935</v>
      </c>
      <c r="E33" s="24">
        <v>2284438</v>
      </c>
      <c r="F33" s="24">
        <v>350766</v>
      </c>
      <c r="G33" s="24">
        <v>8154309</v>
      </c>
      <c r="H33" s="24">
        <v>34978</v>
      </c>
      <c r="I33" s="24">
        <v>6414601</v>
      </c>
      <c r="J33" s="24">
        <v>305230</v>
      </c>
      <c r="K33" s="24">
        <v>2699190</v>
      </c>
      <c r="L33" s="30">
        <v>3535</v>
      </c>
      <c r="M33" s="30">
        <v>2229</v>
      </c>
      <c r="N33" s="24">
        <v>2231857</v>
      </c>
      <c r="O33" s="41"/>
      <c r="P33" s="42"/>
      <c r="Q33" s="24">
        <v>416432</v>
      </c>
      <c r="R33" s="38">
        <v>1123.6790000000001</v>
      </c>
      <c r="S33" s="38">
        <v>490.45499999999998</v>
      </c>
      <c r="T33" s="38">
        <v>3896.2539999999999</v>
      </c>
      <c r="U33" s="24">
        <v>367638</v>
      </c>
      <c r="V33" s="24">
        <v>72342</v>
      </c>
      <c r="W33" s="24">
        <v>55765</v>
      </c>
      <c r="X33" s="24">
        <v>188277</v>
      </c>
      <c r="Y33" s="24">
        <v>31897</v>
      </c>
      <c r="Z33" s="24">
        <v>4870</v>
      </c>
      <c r="AA33">
        <f t="shared" si="1"/>
        <v>0</v>
      </c>
      <c r="AB33" s="35" t="s">
        <v>56</v>
      </c>
      <c r="AD33">
        <f t="shared" si="2"/>
        <v>3147</v>
      </c>
      <c r="AE33" s="37">
        <f t="shared" si="3"/>
        <v>0</v>
      </c>
    </row>
    <row r="34" spans="1:31">
      <c r="A34" s="17">
        <f>A33+1</f>
        <v>44895</v>
      </c>
      <c r="B34" s="21">
        <v>18</v>
      </c>
      <c r="C34" s="33">
        <v>30</v>
      </c>
      <c r="D34" s="23">
        <v>2336177</v>
      </c>
      <c r="E34" s="24">
        <v>2286927</v>
      </c>
      <c r="F34" s="24">
        <v>350770</v>
      </c>
      <c r="G34" s="24">
        <v>8156470</v>
      </c>
      <c r="H34" s="24">
        <v>34978</v>
      </c>
      <c r="I34" s="24">
        <v>6416952</v>
      </c>
      <c r="J34" s="24">
        <v>306303</v>
      </c>
      <c r="K34" s="24">
        <v>2699432</v>
      </c>
      <c r="L34" s="30">
        <v>3571</v>
      </c>
      <c r="M34" s="30">
        <v>2925</v>
      </c>
      <c r="N34" s="24">
        <v>2235020</v>
      </c>
      <c r="O34" s="20">
        <v>51129</v>
      </c>
      <c r="P34" s="20">
        <v>359760</v>
      </c>
      <c r="Q34" s="24">
        <v>416500</v>
      </c>
      <c r="R34" s="24">
        <v>1123.836</v>
      </c>
      <c r="S34" s="38">
        <v>490.45499999999998</v>
      </c>
      <c r="T34" s="38">
        <v>3896.2550000000001</v>
      </c>
      <c r="U34" s="24">
        <v>367639</v>
      </c>
      <c r="V34" s="24">
        <v>72389</v>
      </c>
      <c r="W34" s="24">
        <v>55772</v>
      </c>
      <c r="X34" s="24">
        <v>188326</v>
      </c>
      <c r="Y34" s="24">
        <v>31898</v>
      </c>
      <c r="Z34" s="24">
        <v>4873</v>
      </c>
      <c r="AA34">
        <f t="shared" si="1"/>
        <v>1</v>
      </c>
      <c r="AB34" s="35" t="s">
        <v>57</v>
      </c>
      <c r="AD34">
        <f t="shared" si="2"/>
        <v>3163</v>
      </c>
      <c r="AE34" s="37">
        <f t="shared" si="3"/>
        <v>0.15699999999992542</v>
      </c>
    </row>
    <row r="35" spans="1:31">
      <c r="B35" s="1"/>
      <c r="C35" s="1"/>
      <c r="AE35" s="37"/>
    </row>
    <row r="36" spans="1:31">
      <c r="B36"/>
      <c r="C36"/>
      <c r="O36">
        <f>SUM(O34-O4)</f>
        <v>312</v>
      </c>
      <c r="P36">
        <f>SUM(P34-P4)</f>
        <v>2411</v>
      </c>
    </row>
    <row r="37" spans="1:31">
      <c r="B37"/>
      <c r="C37"/>
    </row>
    <row r="38" spans="1:31">
      <c r="B38"/>
      <c r="C38"/>
    </row>
    <row r="39" spans="1:31">
      <c r="B39"/>
      <c r="C39"/>
    </row>
    <row r="40" spans="1:31">
      <c r="B40"/>
      <c r="C40"/>
    </row>
    <row r="41" spans="1:31">
      <c r="B41"/>
      <c r="C41"/>
    </row>
    <row r="42" spans="1:31">
      <c r="B42"/>
      <c r="C42"/>
    </row>
    <row r="43" spans="1:31">
      <c r="B43"/>
      <c r="C43"/>
    </row>
    <row r="44" spans="1:31">
      <c r="B44"/>
      <c r="C44"/>
    </row>
    <row r="45" spans="1:31">
      <c r="B45"/>
      <c r="C45"/>
    </row>
    <row r="46" spans="1:31">
      <c r="B46"/>
      <c r="C46"/>
    </row>
    <row r="47" spans="1:31">
      <c r="B47"/>
      <c r="C47"/>
    </row>
    <row r="48" spans="1:31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</sheetData>
  <mergeCells count="27">
    <mergeCell ref="AA1:AA3"/>
    <mergeCell ref="O1:O3"/>
    <mergeCell ref="P1:P3"/>
    <mergeCell ref="R1:R3"/>
    <mergeCell ref="S1:S3"/>
    <mergeCell ref="T1:T3"/>
    <mergeCell ref="Z1:Z3"/>
    <mergeCell ref="A1:A3"/>
    <mergeCell ref="I2:I3"/>
    <mergeCell ref="J2:J3"/>
    <mergeCell ref="K2:K3"/>
    <mergeCell ref="B2:B3"/>
    <mergeCell ref="C2:C3"/>
    <mergeCell ref="D2:D3"/>
    <mergeCell ref="E2:E3"/>
    <mergeCell ref="F2:F3"/>
    <mergeCell ref="G2:G3"/>
    <mergeCell ref="H2:H3"/>
    <mergeCell ref="D1:M1"/>
    <mergeCell ref="M2:M3"/>
    <mergeCell ref="L2:L3"/>
    <mergeCell ref="N1:N3"/>
    <mergeCell ref="Q1:Q3"/>
    <mergeCell ref="U1:V3"/>
    <mergeCell ref="W1:W3"/>
    <mergeCell ref="Y1:Y3"/>
    <mergeCell ref="X1:X3"/>
  </mergeCells>
  <conditionalFormatting sqref="AB1:AB3 AB5:AB1048576">
    <cfRule type="containsText" dxfId="3" priority="4" operator="containsText" text="Thursday">
      <formula>NOT(ISERROR(SEARCH("Thursday",AB1)))</formula>
    </cfRule>
  </conditionalFormatting>
  <conditionalFormatting sqref="AB1:AB3 AB5:AB1048576">
    <cfRule type="containsText" dxfId="2" priority="3" operator="containsText" text="Monday">
      <formula>NOT(ISERROR(SEARCH("Monday",AB1)))</formula>
    </cfRule>
  </conditionalFormatting>
  <conditionalFormatting sqref="AB4">
    <cfRule type="containsText" dxfId="1" priority="2" operator="containsText" text="Thursday">
      <formula>NOT(ISERROR(SEARCH("Thursday",AB4)))</formula>
    </cfRule>
  </conditionalFormatting>
  <conditionalFormatting sqref="AB4">
    <cfRule type="containsText" dxfId="0" priority="1" operator="containsText" text="Monday">
      <formula>NOT(ISERROR(SEARCH("Monday",AB4)))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6" ma:contentTypeDescription="Create a new document." ma:contentTypeScope="" ma:versionID="81b0e45494f70d550f0933c8704a847b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f0359d90319941969adcf037f8ce83d9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ff7659-e828-429d-9d0c-0fbe586886a6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CDD560-7822-4EA1-8593-5175C6066E7C}"/>
</file>

<file path=customXml/itemProps2.xml><?xml version="1.0" encoding="utf-8"?>
<ds:datastoreItem xmlns:ds="http://schemas.openxmlformats.org/officeDocument/2006/customXml" ds:itemID="{910E6468-2343-4A38-AB3C-AFD27B6937BF}"/>
</file>

<file path=customXml/itemProps3.xml><?xml version="1.0" encoding="utf-8"?>
<ds:datastoreItem xmlns:ds="http://schemas.openxmlformats.org/officeDocument/2006/customXml" ds:itemID="{A0BACACF-264B-4E80-A364-6E53198B6D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/>
  <cp:revision/>
  <dcterms:created xsi:type="dcterms:W3CDTF">2017-05-03T09:23:30Z</dcterms:created>
  <dcterms:modified xsi:type="dcterms:W3CDTF">2022-12-01T10:40:22Z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