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5" l="1"/>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D9" i="5" l="1"/>
  <c r="BF39" i="5"/>
  <c r="BF38" i="5"/>
  <c r="BF37"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9" i="5"/>
  <c r="BD38" i="5"/>
  <c r="BD37"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9" i="5"/>
  <c r="BB38" i="5"/>
  <c r="BB37" i="5"/>
  <c r="BB36" i="5"/>
  <c r="BB35" i="5"/>
  <c r="BB34" i="5"/>
  <c r="BB33" i="5"/>
  <c r="BB32" i="5"/>
  <c r="BB31" i="5"/>
  <c r="BB30" i="5"/>
  <c r="BB29" i="5"/>
  <c r="BB28" i="5"/>
  <c r="BB27" i="5"/>
  <c r="BB26" i="5"/>
  <c r="BB25" i="5"/>
  <c r="BB24" i="5"/>
  <c r="BB23" i="5"/>
  <c r="BB22" i="5"/>
  <c r="BB21" i="5"/>
  <c r="BB20" i="5"/>
  <c r="BB19" i="5"/>
  <c r="BB18" i="5"/>
  <c r="BB17" i="5"/>
  <c r="BB16" i="5"/>
  <c r="BB15" i="5"/>
  <c r="BB14" i="5"/>
  <c r="BB13" i="5"/>
  <c r="BB12" i="5"/>
  <c r="BB11" i="5"/>
  <c r="BB10" i="5"/>
  <c r="BB9" i="5"/>
  <c r="AZ39" i="5"/>
  <c r="AZ38" i="5"/>
  <c r="AZ37" i="5"/>
  <c r="AZ36" i="5"/>
  <c r="AZ35" i="5"/>
  <c r="AZ34" i="5"/>
  <c r="AZ33" i="5"/>
  <c r="AZ32" i="5"/>
  <c r="AZ31" i="5"/>
  <c r="AZ30" i="5"/>
  <c r="AZ29" i="5"/>
  <c r="AZ28" i="5"/>
  <c r="AZ27" i="5"/>
  <c r="AZ26" i="5"/>
  <c r="AZ25" i="5"/>
  <c r="AZ24" i="5"/>
  <c r="AZ23" i="5"/>
  <c r="AZ22" i="5"/>
  <c r="AZ21" i="5"/>
  <c r="AZ20" i="5"/>
  <c r="AZ19" i="5"/>
  <c r="AZ18" i="5"/>
  <c r="AZ17" i="5"/>
  <c r="AZ16" i="5"/>
  <c r="AZ15" i="5"/>
  <c r="AZ14" i="5"/>
  <c r="AZ13" i="5"/>
  <c r="AZ12" i="5"/>
  <c r="AZ11" i="5"/>
  <c r="AZ10" i="5"/>
  <c r="AZ9" i="5"/>
  <c r="AX39" i="5"/>
  <c r="AX38" i="5"/>
  <c r="AX37"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9" i="5"/>
  <c r="AV38" i="5"/>
  <c r="AV37"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9" i="5"/>
  <c r="AT38" i="5"/>
  <c r="AT37"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9" i="5"/>
  <c r="AR38" i="5"/>
  <c r="AR37"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AP39" i="5"/>
  <c r="AP38" i="5"/>
  <c r="AP37"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9" i="5"/>
  <c r="AN38" i="5"/>
  <c r="AN37" i="5"/>
  <c r="AN36" i="5"/>
  <c r="AN35" i="5"/>
  <c r="AN34" i="5"/>
  <c r="AN33" i="5"/>
  <c r="AN32" i="5"/>
  <c r="AN31" i="5"/>
  <c r="AN30" i="5"/>
  <c r="AN29" i="5"/>
  <c r="AN28" i="5"/>
  <c r="AN27" i="5"/>
  <c r="AN26" i="5"/>
  <c r="AN25" i="5"/>
  <c r="AN24" i="5"/>
  <c r="AN23" i="5"/>
  <c r="AN22" i="5"/>
  <c r="AN21" i="5"/>
  <c r="AN20" i="5"/>
  <c r="AN19" i="5"/>
  <c r="AN18" i="5"/>
  <c r="AN17" i="5"/>
  <c r="AN16" i="5"/>
  <c r="AN15" i="5"/>
  <c r="AN14" i="5"/>
  <c r="AN13" i="5"/>
  <c r="AN12" i="5"/>
  <c r="AN11" i="5"/>
  <c r="AN10" i="5"/>
  <c r="AN9" i="5"/>
  <c r="AL39" i="5"/>
  <c r="AL38" i="5"/>
  <c r="AL37"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9" i="5"/>
  <c r="AJ38" i="5"/>
  <c r="AJ37"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H39" i="5"/>
  <c r="AH38" i="5"/>
  <c r="AH37"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F39" i="5"/>
  <c r="AF38" i="5"/>
  <c r="AF37"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9" i="5"/>
  <c r="AD38" i="5"/>
  <c r="AD37"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AB39" i="5"/>
  <c r="AB38" i="5"/>
  <c r="AB37"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Z39" i="5"/>
  <c r="Z38" i="5"/>
  <c r="Z37"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X39" i="5"/>
  <c r="X38" i="5"/>
  <c r="X37"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V39" i="5"/>
  <c r="V38"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V9"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9" i="5"/>
  <c r="R38"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I33" i="4" l="1"/>
  <c r="I30" i="4"/>
  <c r="I29" i="4"/>
  <c r="I26" i="4"/>
  <c r="I24" i="4"/>
  <c r="I22" i="4"/>
  <c r="I8" i="4"/>
  <c r="I9" i="4" s="1"/>
  <c r="I10" i="4" s="1"/>
  <c r="I7" i="4"/>
  <c r="O26" i="4"/>
  <c r="O27" i="4" s="1"/>
  <c r="K26" i="4"/>
  <c r="K27" i="4" s="1"/>
  <c r="G26" i="4"/>
  <c r="G27" i="4" s="1"/>
  <c r="E26" i="4"/>
  <c r="E27" i="4" s="1"/>
  <c r="C27" i="4"/>
  <c r="C26" i="4"/>
  <c r="AH27" i="3" l="1"/>
  <c r="AF27" i="3"/>
  <c r="AD27" i="3"/>
  <c r="AB27" i="3"/>
  <c r="Z27" i="3"/>
  <c r="W27" i="3"/>
  <c r="T27" i="3"/>
  <c r="Q27" i="3"/>
  <c r="N27" i="3"/>
  <c r="L27" i="3"/>
  <c r="J27" i="3"/>
  <c r="G27" i="3"/>
  <c r="E27" i="3"/>
  <c r="C27" i="3"/>
  <c r="A9" i="3" l="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P35" i="4" l="1"/>
  <c r="S35" i="4" s="1"/>
  <c r="L35" i="4"/>
  <c r="N35" i="4" s="1"/>
  <c r="J35" i="4"/>
  <c r="H35" i="4"/>
  <c r="F35" i="4"/>
  <c r="D35" i="4"/>
  <c r="E39" i="5" l="1"/>
  <c r="E10" i="5"/>
  <c r="BH10" i="5" s="1"/>
  <c r="R35" i="4"/>
  <c r="M35" i="4"/>
  <c r="E11" i="5" l="1"/>
  <c r="X26" i="3" l="1"/>
  <c r="X27" i="3"/>
  <c r="X28" i="3"/>
  <c r="X29" i="3"/>
  <c r="X30" i="3"/>
  <c r="X31" i="3"/>
  <c r="X32" i="3"/>
  <c r="X33" i="3"/>
  <c r="X34" i="3"/>
  <c r="X35" i="3"/>
  <c r="X36" i="3"/>
  <c r="X37" i="3"/>
  <c r="X38" i="3"/>
  <c r="X9" i="3"/>
  <c r="X10" i="3"/>
  <c r="X11" i="3"/>
  <c r="X12" i="3"/>
  <c r="X13" i="3"/>
  <c r="X14" i="3"/>
  <c r="X15" i="3"/>
  <c r="X16" i="3"/>
  <c r="X17" i="3"/>
  <c r="X18" i="3"/>
  <c r="X19" i="3"/>
  <c r="X20" i="3"/>
  <c r="X21" i="3"/>
  <c r="X22" i="3"/>
  <c r="X23" i="3"/>
  <c r="X24" i="3"/>
  <c r="X25" i="3"/>
  <c r="E35" i="5" l="1"/>
  <c r="E31" i="5"/>
  <c r="E27" i="5"/>
  <c r="E23" i="5"/>
  <c r="E19" i="5"/>
  <c r="E17" i="5"/>
  <c r="E15" i="5"/>
  <c r="E13" i="5"/>
  <c r="P37" i="4"/>
  <c r="L37" i="4"/>
  <c r="M37" i="4" s="1"/>
  <c r="J37" i="4"/>
  <c r="H37" i="4"/>
  <c r="F37" i="4"/>
  <c r="D37" i="4"/>
  <c r="P36" i="4"/>
  <c r="L36" i="4"/>
  <c r="N36" i="4" s="1"/>
  <c r="J36" i="4"/>
  <c r="H36" i="4"/>
  <c r="F36" i="4"/>
  <c r="D36" i="4"/>
  <c r="P34" i="4"/>
  <c r="L34" i="4"/>
  <c r="N34" i="4" s="1"/>
  <c r="J34" i="4"/>
  <c r="H34" i="4"/>
  <c r="F34" i="4"/>
  <c r="D34" i="4"/>
  <c r="P33" i="4"/>
  <c r="L33" i="4"/>
  <c r="N33" i="4" s="1"/>
  <c r="J33" i="4"/>
  <c r="H33" i="4"/>
  <c r="F33" i="4"/>
  <c r="D33" i="4"/>
  <c r="P32" i="4"/>
  <c r="L32" i="4"/>
  <c r="N32" i="4" s="1"/>
  <c r="J32" i="4"/>
  <c r="H32" i="4"/>
  <c r="F32" i="4"/>
  <c r="D32" i="4"/>
  <c r="P31" i="4"/>
  <c r="L31" i="4"/>
  <c r="N31" i="4" s="1"/>
  <c r="J31" i="4"/>
  <c r="H31" i="4"/>
  <c r="F31" i="4"/>
  <c r="D31" i="4"/>
  <c r="P30" i="4"/>
  <c r="L30" i="4"/>
  <c r="M30" i="4" s="1"/>
  <c r="J30" i="4"/>
  <c r="H30" i="4"/>
  <c r="F30" i="4"/>
  <c r="D30" i="4"/>
  <c r="P29" i="4"/>
  <c r="L29" i="4"/>
  <c r="N29" i="4" s="1"/>
  <c r="J29" i="4"/>
  <c r="H29" i="4"/>
  <c r="F29" i="4"/>
  <c r="D29" i="4"/>
  <c r="P28" i="4"/>
  <c r="L28" i="4"/>
  <c r="N28" i="4" s="1"/>
  <c r="J28" i="4"/>
  <c r="H28" i="4"/>
  <c r="F28" i="4"/>
  <c r="D28" i="4"/>
  <c r="P27" i="4"/>
  <c r="L27" i="4"/>
  <c r="N27" i="4" s="1"/>
  <c r="J27" i="4"/>
  <c r="H27" i="4"/>
  <c r="F27" i="4"/>
  <c r="D27" i="4"/>
  <c r="P26" i="4"/>
  <c r="L26" i="4"/>
  <c r="M26" i="4" s="1"/>
  <c r="J26" i="4"/>
  <c r="H26" i="4"/>
  <c r="F26" i="4"/>
  <c r="D26" i="4"/>
  <c r="P25" i="4"/>
  <c r="L25" i="4"/>
  <c r="M25" i="4" s="1"/>
  <c r="J25" i="4"/>
  <c r="H25" i="4"/>
  <c r="F25" i="4"/>
  <c r="D25" i="4"/>
  <c r="P24" i="4"/>
  <c r="L24" i="4"/>
  <c r="N24" i="4" s="1"/>
  <c r="J24" i="4"/>
  <c r="H24" i="4"/>
  <c r="F24" i="4"/>
  <c r="D24" i="4"/>
  <c r="P23" i="4"/>
  <c r="L23" i="4"/>
  <c r="N23" i="4" s="1"/>
  <c r="J23" i="4"/>
  <c r="H23" i="4"/>
  <c r="F23" i="4"/>
  <c r="D23" i="4"/>
  <c r="P22" i="4"/>
  <c r="L22" i="4"/>
  <c r="N22" i="4" s="1"/>
  <c r="J22" i="4"/>
  <c r="H22" i="4"/>
  <c r="F22" i="4"/>
  <c r="D22" i="4"/>
  <c r="P21" i="4"/>
  <c r="L21" i="4"/>
  <c r="N21" i="4" s="1"/>
  <c r="J21" i="4"/>
  <c r="H21" i="4"/>
  <c r="F21" i="4"/>
  <c r="D21" i="4"/>
  <c r="P20" i="4"/>
  <c r="L20" i="4"/>
  <c r="N20" i="4" s="1"/>
  <c r="J20" i="4"/>
  <c r="H20" i="4"/>
  <c r="F20" i="4"/>
  <c r="D20" i="4"/>
  <c r="P19" i="4"/>
  <c r="L19" i="4"/>
  <c r="N19" i="4" s="1"/>
  <c r="J19" i="4"/>
  <c r="H19" i="4"/>
  <c r="F19" i="4"/>
  <c r="D19" i="4"/>
  <c r="P18" i="4"/>
  <c r="L18" i="4"/>
  <c r="N18" i="4" s="1"/>
  <c r="J18" i="4"/>
  <c r="H18" i="4"/>
  <c r="F18" i="4"/>
  <c r="D18" i="4"/>
  <c r="P17" i="4"/>
  <c r="L17" i="4"/>
  <c r="N17" i="4" s="1"/>
  <c r="J17" i="4"/>
  <c r="H17" i="4"/>
  <c r="F17" i="4"/>
  <c r="D17" i="4"/>
  <c r="P16" i="4"/>
  <c r="L16" i="4"/>
  <c r="M16" i="4" s="1"/>
  <c r="J16" i="4"/>
  <c r="H16" i="4"/>
  <c r="F16" i="4"/>
  <c r="D16" i="4"/>
  <c r="P15" i="4"/>
  <c r="L15" i="4"/>
  <c r="N15" i="4" s="1"/>
  <c r="J15" i="4"/>
  <c r="H15" i="4"/>
  <c r="F15" i="4"/>
  <c r="D15" i="4"/>
  <c r="P14" i="4"/>
  <c r="L14" i="4"/>
  <c r="M14" i="4" s="1"/>
  <c r="J14" i="4"/>
  <c r="H14" i="4"/>
  <c r="F14" i="4"/>
  <c r="D14" i="4"/>
  <c r="P13" i="4"/>
  <c r="L13" i="4"/>
  <c r="N13" i="4" s="1"/>
  <c r="J13" i="4"/>
  <c r="H13" i="4"/>
  <c r="F13" i="4"/>
  <c r="D13" i="4"/>
  <c r="P12" i="4"/>
  <c r="L12" i="4"/>
  <c r="N12" i="4" s="1"/>
  <c r="J12" i="4"/>
  <c r="H12" i="4"/>
  <c r="F12" i="4"/>
  <c r="D12" i="4"/>
  <c r="P11" i="4"/>
  <c r="L11" i="4"/>
  <c r="N11" i="4" s="1"/>
  <c r="J11" i="4"/>
  <c r="H11" i="4"/>
  <c r="F11" i="4"/>
  <c r="D11" i="4"/>
  <c r="P10" i="4"/>
  <c r="L10" i="4"/>
  <c r="N10" i="4" s="1"/>
  <c r="J10" i="4"/>
  <c r="H10" i="4"/>
  <c r="F10" i="4"/>
  <c r="D10" i="4"/>
  <c r="P9" i="4"/>
  <c r="L9" i="4"/>
  <c r="M9" i="4" s="1"/>
  <c r="J9" i="4"/>
  <c r="H9" i="4"/>
  <c r="F9" i="4"/>
  <c r="D9" i="4"/>
  <c r="P8" i="4"/>
  <c r="L8" i="4"/>
  <c r="M8" i="4" s="1"/>
  <c r="J8" i="4"/>
  <c r="H8" i="4"/>
  <c r="F8" i="4"/>
  <c r="D8" i="4"/>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P7" i="4"/>
  <c r="L7" i="4"/>
  <c r="N7" i="4" s="1"/>
  <c r="J7" i="4"/>
  <c r="H7" i="4"/>
  <c r="F7" i="4"/>
  <c r="D7" i="4"/>
  <c r="AI38" i="3"/>
  <c r="AG38" i="3"/>
  <c r="AE38" i="3"/>
  <c r="AC38" i="3"/>
  <c r="AA38" i="3"/>
  <c r="Y38" i="3"/>
  <c r="U38" i="3"/>
  <c r="V38" i="3" s="1"/>
  <c r="R38" i="3"/>
  <c r="S38" i="3" s="1"/>
  <c r="O38" i="3"/>
  <c r="P38" i="3" s="1"/>
  <c r="M38" i="3"/>
  <c r="K38" i="3"/>
  <c r="H38" i="3"/>
  <c r="I38" i="3" s="1"/>
  <c r="F38" i="3"/>
  <c r="D38" i="3"/>
  <c r="AI37" i="3"/>
  <c r="AG37" i="3"/>
  <c r="AE37" i="3"/>
  <c r="AC37" i="3"/>
  <c r="AA37" i="3"/>
  <c r="Y37" i="3"/>
  <c r="U37" i="3"/>
  <c r="V37" i="3" s="1"/>
  <c r="R37" i="3"/>
  <c r="S37" i="3" s="1"/>
  <c r="O37" i="3"/>
  <c r="P37" i="3" s="1"/>
  <c r="M37" i="3"/>
  <c r="K37" i="3"/>
  <c r="H37" i="3"/>
  <c r="I37" i="3" s="1"/>
  <c r="F37" i="3"/>
  <c r="D37" i="3"/>
  <c r="AI36" i="3"/>
  <c r="AG36" i="3"/>
  <c r="AE36" i="3"/>
  <c r="AC36" i="3"/>
  <c r="AA36" i="3"/>
  <c r="Y36" i="3"/>
  <c r="U36" i="3"/>
  <c r="V36" i="3" s="1"/>
  <c r="R36" i="3"/>
  <c r="S36" i="3" s="1"/>
  <c r="O36" i="3"/>
  <c r="P36" i="3" s="1"/>
  <c r="M36" i="3"/>
  <c r="K36" i="3"/>
  <c r="H36" i="3"/>
  <c r="I36" i="3" s="1"/>
  <c r="F36" i="3"/>
  <c r="D36" i="3"/>
  <c r="AI35" i="3"/>
  <c r="AG35" i="3"/>
  <c r="AE35" i="3"/>
  <c r="AC35" i="3"/>
  <c r="AA35" i="3"/>
  <c r="Y35" i="3"/>
  <c r="U35" i="3"/>
  <c r="V35" i="3" s="1"/>
  <c r="R35" i="3"/>
  <c r="S35" i="3" s="1"/>
  <c r="O35" i="3"/>
  <c r="P35" i="3" s="1"/>
  <c r="M35" i="3"/>
  <c r="K35" i="3"/>
  <c r="H35" i="3"/>
  <c r="I35" i="3" s="1"/>
  <c r="F35" i="3"/>
  <c r="D35" i="3"/>
  <c r="AI34" i="3"/>
  <c r="AG34" i="3"/>
  <c r="AE34" i="3"/>
  <c r="AC34" i="3"/>
  <c r="AA34" i="3"/>
  <c r="Y34" i="3"/>
  <c r="U34" i="3"/>
  <c r="V34" i="3" s="1"/>
  <c r="R34" i="3"/>
  <c r="S34" i="3" s="1"/>
  <c r="O34" i="3"/>
  <c r="P34" i="3" s="1"/>
  <c r="M34" i="3"/>
  <c r="K34" i="3"/>
  <c r="H34" i="3"/>
  <c r="I34" i="3" s="1"/>
  <c r="F34" i="3"/>
  <c r="D34" i="3"/>
  <c r="AI33" i="3"/>
  <c r="AG33" i="3"/>
  <c r="AE33" i="3"/>
  <c r="AC33" i="3"/>
  <c r="AA33" i="3"/>
  <c r="Y33" i="3"/>
  <c r="U33" i="3"/>
  <c r="V33" i="3" s="1"/>
  <c r="R33" i="3"/>
  <c r="S33" i="3" s="1"/>
  <c r="O33" i="3"/>
  <c r="P33" i="3" s="1"/>
  <c r="M33" i="3"/>
  <c r="K33" i="3"/>
  <c r="H33" i="3"/>
  <c r="I33" i="3" s="1"/>
  <c r="F33" i="3"/>
  <c r="D33" i="3"/>
  <c r="AI32" i="3"/>
  <c r="AG32" i="3"/>
  <c r="AE32" i="3"/>
  <c r="AC32" i="3"/>
  <c r="AA32" i="3"/>
  <c r="Y32" i="3"/>
  <c r="U32" i="3"/>
  <c r="V32" i="3" s="1"/>
  <c r="R32" i="3"/>
  <c r="S32" i="3" s="1"/>
  <c r="O32" i="3"/>
  <c r="P32" i="3" s="1"/>
  <c r="M32" i="3"/>
  <c r="K32" i="3"/>
  <c r="H32" i="3"/>
  <c r="I32" i="3" s="1"/>
  <c r="F32" i="3"/>
  <c r="D32" i="3"/>
  <c r="AI31" i="3"/>
  <c r="AG31" i="3"/>
  <c r="AE31" i="3"/>
  <c r="AC31" i="3"/>
  <c r="AA31" i="3"/>
  <c r="Y31" i="3"/>
  <c r="U31" i="3"/>
  <c r="V31" i="3" s="1"/>
  <c r="R31" i="3"/>
  <c r="S31" i="3" s="1"/>
  <c r="O31" i="3"/>
  <c r="P31" i="3" s="1"/>
  <c r="M31" i="3"/>
  <c r="K31" i="3"/>
  <c r="H31" i="3"/>
  <c r="I31" i="3" s="1"/>
  <c r="F31" i="3"/>
  <c r="D31" i="3"/>
  <c r="AI30" i="3"/>
  <c r="AG30" i="3"/>
  <c r="AE30" i="3"/>
  <c r="AC30" i="3"/>
  <c r="AA30" i="3"/>
  <c r="Y30" i="3"/>
  <c r="U30" i="3"/>
  <c r="V30" i="3" s="1"/>
  <c r="R30" i="3"/>
  <c r="S30" i="3" s="1"/>
  <c r="O30" i="3"/>
  <c r="P30" i="3" s="1"/>
  <c r="M30" i="3"/>
  <c r="K30" i="3"/>
  <c r="H30" i="3"/>
  <c r="I30" i="3" s="1"/>
  <c r="F30" i="3"/>
  <c r="D30" i="3"/>
  <c r="AI29" i="3"/>
  <c r="AG29" i="3"/>
  <c r="AE29" i="3"/>
  <c r="AC29" i="3"/>
  <c r="AA29" i="3"/>
  <c r="Y29" i="3"/>
  <c r="U29" i="3"/>
  <c r="V29" i="3" s="1"/>
  <c r="R29" i="3"/>
  <c r="S29" i="3" s="1"/>
  <c r="O29" i="3"/>
  <c r="P29" i="3" s="1"/>
  <c r="M29" i="3"/>
  <c r="K29" i="3"/>
  <c r="H29" i="3"/>
  <c r="I29" i="3" s="1"/>
  <c r="F29" i="3"/>
  <c r="D29" i="3"/>
  <c r="AI28" i="3"/>
  <c r="AG28" i="3"/>
  <c r="AE28" i="3"/>
  <c r="AC28" i="3"/>
  <c r="AA28" i="3"/>
  <c r="Y28" i="3"/>
  <c r="U28" i="3"/>
  <c r="V28" i="3" s="1"/>
  <c r="R28" i="3"/>
  <c r="S28" i="3" s="1"/>
  <c r="O28" i="3"/>
  <c r="P28" i="3" s="1"/>
  <c r="M28" i="3"/>
  <c r="K28" i="3"/>
  <c r="H28" i="3"/>
  <c r="I28" i="3" s="1"/>
  <c r="F28" i="3"/>
  <c r="D28" i="3"/>
  <c r="AI27" i="3"/>
  <c r="AG27" i="3"/>
  <c r="AE27" i="3"/>
  <c r="AC27" i="3"/>
  <c r="AA27" i="3"/>
  <c r="Y27" i="3"/>
  <c r="U27" i="3"/>
  <c r="V27" i="3" s="1"/>
  <c r="R27" i="3"/>
  <c r="S27" i="3" s="1"/>
  <c r="O27" i="3"/>
  <c r="P27" i="3" s="1"/>
  <c r="M27" i="3"/>
  <c r="K27" i="3"/>
  <c r="H27" i="3"/>
  <c r="I27" i="3" s="1"/>
  <c r="F27" i="3"/>
  <c r="D27" i="3"/>
  <c r="AI26" i="3"/>
  <c r="AG26" i="3"/>
  <c r="AE26" i="3"/>
  <c r="AC26" i="3"/>
  <c r="AA26" i="3"/>
  <c r="Y26" i="3"/>
  <c r="U26" i="3"/>
  <c r="V26" i="3" s="1"/>
  <c r="R26" i="3"/>
  <c r="S26" i="3" s="1"/>
  <c r="O26" i="3"/>
  <c r="P26" i="3" s="1"/>
  <c r="M26" i="3"/>
  <c r="K26" i="3"/>
  <c r="H26" i="3"/>
  <c r="I26" i="3" s="1"/>
  <c r="F26" i="3"/>
  <c r="D26" i="3"/>
  <c r="AI25" i="3"/>
  <c r="AG25" i="3"/>
  <c r="AE25" i="3"/>
  <c r="AC25" i="3"/>
  <c r="AA25" i="3"/>
  <c r="Y25" i="3"/>
  <c r="U25" i="3"/>
  <c r="V25" i="3" s="1"/>
  <c r="R25" i="3"/>
  <c r="S25" i="3" s="1"/>
  <c r="O25" i="3"/>
  <c r="P25" i="3" s="1"/>
  <c r="M25" i="3"/>
  <c r="K25" i="3"/>
  <c r="H25" i="3"/>
  <c r="I25" i="3" s="1"/>
  <c r="F25" i="3"/>
  <c r="D25" i="3"/>
  <c r="AI24" i="3"/>
  <c r="AG24" i="3"/>
  <c r="AE24" i="3"/>
  <c r="AC24" i="3"/>
  <c r="AA24" i="3"/>
  <c r="Y24" i="3"/>
  <c r="U24" i="3"/>
  <c r="V24" i="3" s="1"/>
  <c r="R24" i="3"/>
  <c r="S24" i="3" s="1"/>
  <c r="O24" i="3"/>
  <c r="P24" i="3" s="1"/>
  <c r="M24" i="3"/>
  <c r="K24" i="3"/>
  <c r="H24" i="3"/>
  <c r="I24" i="3" s="1"/>
  <c r="F24" i="3"/>
  <c r="D24" i="3"/>
  <c r="AI23" i="3"/>
  <c r="AG23" i="3"/>
  <c r="AE23" i="3"/>
  <c r="AC23" i="3"/>
  <c r="AA23" i="3"/>
  <c r="Y23" i="3"/>
  <c r="U23" i="3"/>
  <c r="V23" i="3" s="1"/>
  <c r="R23" i="3"/>
  <c r="S23" i="3" s="1"/>
  <c r="O23" i="3"/>
  <c r="P23" i="3" s="1"/>
  <c r="M23" i="3"/>
  <c r="K23" i="3"/>
  <c r="H23" i="3"/>
  <c r="I23" i="3" s="1"/>
  <c r="F23" i="3"/>
  <c r="D23" i="3"/>
  <c r="AI22" i="3"/>
  <c r="AG22" i="3"/>
  <c r="AE22" i="3"/>
  <c r="AC22" i="3"/>
  <c r="AA22" i="3"/>
  <c r="Y22" i="3"/>
  <c r="U22" i="3"/>
  <c r="V22" i="3" s="1"/>
  <c r="R22" i="3"/>
  <c r="S22" i="3" s="1"/>
  <c r="O22" i="3"/>
  <c r="P22" i="3" s="1"/>
  <c r="M22" i="3"/>
  <c r="K22" i="3"/>
  <c r="H22" i="3"/>
  <c r="I22" i="3" s="1"/>
  <c r="F22" i="3"/>
  <c r="D22" i="3"/>
  <c r="AI21" i="3"/>
  <c r="AG21" i="3"/>
  <c r="AE21" i="3"/>
  <c r="AC21" i="3"/>
  <c r="AA21" i="3"/>
  <c r="Y21" i="3"/>
  <c r="U21" i="3"/>
  <c r="V21" i="3" s="1"/>
  <c r="R21" i="3"/>
  <c r="S21" i="3" s="1"/>
  <c r="O21" i="3"/>
  <c r="P21" i="3" s="1"/>
  <c r="M21" i="3"/>
  <c r="K21" i="3"/>
  <c r="H21" i="3"/>
  <c r="I21" i="3" s="1"/>
  <c r="F21" i="3"/>
  <c r="D21" i="3"/>
  <c r="AI20" i="3"/>
  <c r="AG20" i="3"/>
  <c r="AE20" i="3"/>
  <c r="AC20" i="3"/>
  <c r="AA20" i="3"/>
  <c r="Y20" i="3"/>
  <c r="U20" i="3"/>
  <c r="V20" i="3" s="1"/>
  <c r="R20" i="3"/>
  <c r="S20" i="3" s="1"/>
  <c r="O20" i="3"/>
  <c r="P20" i="3" s="1"/>
  <c r="M20" i="3"/>
  <c r="K20" i="3"/>
  <c r="H20" i="3"/>
  <c r="I20" i="3" s="1"/>
  <c r="F20" i="3"/>
  <c r="D20" i="3"/>
  <c r="AI19" i="3"/>
  <c r="AG19" i="3"/>
  <c r="AE19" i="3"/>
  <c r="AC19" i="3"/>
  <c r="AA19" i="3"/>
  <c r="Y19" i="3"/>
  <c r="U19" i="3"/>
  <c r="V19" i="3" s="1"/>
  <c r="R19" i="3"/>
  <c r="S19" i="3" s="1"/>
  <c r="O19" i="3"/>
  <c r="P19" i="3" s="1"/>
  <c r="M19" i="3"/>
  <c r="K19" i="3"/>
  <c r="H19" i="3"/>
  <c r="I19" i="3" s="1"/>
  <c r="F19" i="3"/>
  <c r="D19" i="3"/>
  <c r="AI18" i="3"/>
  <c r="AG18" i="3"/>
  <c r="AE18" i="3"/>
  <c r="AC18" i="3"/>
  <c r="AA18" i="3"/>
  <c r="Y18" i="3"/>
  <c r="U18" i="3"/>
  <c r="V18" i="3" s="1"/>
  <c r="R18" i="3"/>
  <c r="S18" i="3" s="1"/>
  <c r="O18" i="3"/>
  <c r="P18" i="3" s="1"/>
  <c r="M18" i="3"/>
  <c r="K18" i="3"/>
  <c r="H18" i="3"/>
  <c r="I18" i="3" s="1"/>
  <c r="F18" i="3"/>
  <c r="D18" i="3"/>
  <c r="AI17" i="3"/>
  <c r="AG17" i="3"/>
  <c r="AE17" i="3"/>
  <c r="AC17" i="3"/>
  <c r="AA17" i="3"/>
  <c r="Y17" i="3"/>
  <c r="U17" i="3"/>
  <c r="V17" i="3" s="1"/>
  <c r="R17" i="3"/>
  <c r="S17" i="3" s="1"/>
  <c r="O17" i="3"/>
  <c r="P17" i="3" s="1"/>
  <c r="M17" i="3"/>
  <c r="K17" i="3"/>
  <c r="H17" i="3"/>
  <c r="I17" i="3" s="1"/>
  <c r="F17" i="3"/>
  <c r="D17" i="3"/>
  <c r="AI16" i="3"/>
  <c r="AG16" i="3"/>
  <c r="AE16" i="3"/>
  <c r="AC16" i="3"/>
  <c r="AA16" i="3"/>
  <c r="Y16" i="3"/>
  <c r="U16" i="3"/>
  <c r="V16" i="3" s="1"/>
  <c r="R16" i="3"/>
  <c r="S16" i="3" s="1"/>
  <c r="O16" i="3"/>
  <c r="P16" i="3" s="1"/>
  <c r="M16" i="3"/>
  <c r="K16" i="3"/>
  <c r="H16" i="3"/>
  <c r="I16" i="3" s="1"/>
  <c r="F16" i="3"/>
  <c r="D16" i="3"/>
  <c r="AI15" i="3"/>
  <c r="AG15" i="3"/>
  <c r="AE15" i="3"/>
  <c r="AC15" i="3"/>
  <c r="AA15" i="3"/>
  <c r="Y15" i="3"/>
  <c r="U15" i="3"/>
  <c r="V15" i="3" s="1"/>
  <c r="R15" i="3"/>
  <c r="S15" i="3" s="1"/>
  <c r="O15" i="3"/>
  <c r="P15" i="3" s="1"/>
  <c r="M15" i="3"/>
  <c r="K15" i="3"/>
  <c r="H15" i="3"/>
  <c r="I15" i="3" s="1"/>
  <c r="F15" i="3"/>
  <c r="D15" i="3"/>
  <c r="AI14" i="3"/>
  <c r="AG14" i="3"/>
  <c r="AE14" i="3"/>
  <c r="AC14" i="3"/>
  <c r="AA14" i="3"/>
  <c r="Y14" i="3"/>
  <c r="U14" i="3"/>
  <c r="V14" i="3" s="1"/>
  <c r="R14" i="3"/>
  <c r="S14" i="3" s="1"/>
  <c r="O14" i="3"/>
  <c r="P14" i="3" s="1"/>
  <c r="M14" i="3"/>
  <c r="K14" i="3"/>
  <c r="H14" i="3"/>
  <c r="I14" i="3" s="1"/>
  <c r="F14" i="3"/>
  <c r="D14" i="3"/>
  <c r="AI13" i="3"/>
  <c r="AG13" i="3"/>
  <c r="AE13" i="3"/>
  <c r="AC13" i="3"/>
  <c r="AA13" i="3"/>
  <c r="Y13" i="3"/>
  <c r="U13" i="3"/>
  <c r="V13" i="3" s="1"/>
  <c r="R13" i="3"/>
  <c r="S13" i="3" s="1"/>
  <c r="O13" i="3"/>
  <c r="P13" i="3" s="1"/>
  <c r="M13" i="3"/>
  <c r="K13" i="3"/>
  <c r="H13" i="3"/>
  <c r="I13" i="3" s="1"/>
  <c r="F13" i="3"/>
  <c r="D13" i="3"/>
  <c r="AI12" i="3"/>
  <c r="AG12" i="3"/>
  <c r="AE12" i="3"/>
  <c r="AC12" i="3"/>
  <c r="AA12" i="3"/>
  <c r="Y12" i="3"/>
  <c r="U12" i="3"/>
  <c r="V12" i="3" s="1"/>
  <c r="R12" i="3"/>
  <c r="S12" i="3" s="1"/>
  <c r="O12" i="3"/>
  <c r="P12" i="3" s="1"/>
  <c r="M12" i="3"/>
  <c r="K12" i="3"/>
  <c r="H12" i="3"/>
  <c r="I12" i="3" s="1"/>
  <c r="F12" i="3"/>
  <c r="D12" i="3"/>
  <c r="AI11" i="3"/>
  <c r="AG11" i="3"/>
  <c r="AE11" i="3"/>
  <c r="AC11" i="3"/>
  <c r="AA11" i="3"/>
  <c r="Y11" i="3"/>
  <c r="U11" i="3"/>
  <c r="V11" i="3" s="1"/>
  <c r="R11" i="3"/>
  <c r="S11" i="3" s="1"/>
  <c r="O11" i="3"/>
  <c r="P11" i="3" s="1"/>
  <c r="M11" i="3"/>
  <c r="K11" i="3"/>
  <c r="H11" i="3"/>
  <c r="I11" i="3" s="1"/>
  <c r="F11" i="3"/>
  <c r="D11" i="3"/>
  <c r="AI10" i="3"/>
  <c r="AG10" i="3"/>
  <c r="AE10" i="3"/>
  <c r="AC10" i="3"/>
  <c r="AA10" i="3"/>
  <c r="Y10" i="3"/>
  <c r="U10" i="3"/>
  <c r="V10" i="3" s="1"/>
  <c r="R10" i="3"/>
  <c r="S10" i="3" s="1"/>
  <c r="O10" i="3"/>
  <c r="P10" i="3" s="1"/>
  <c r="M10" i="3"/>
  <c r="K10" i="3"/>
  <c r="H10" i="3"/>
  <c r="I10" i="3" s="1"/>
  <c r="F10" i="3"/>
  <c r="D10" i="3"/>
  <c r="AI9" i="3"/>
  <c r="AG9" i="3"/>
  <c r="AE9" i="3"/>
  <c r="AC9" i="3"/>
  <c r="AA9" i="3"/>
  <c r="Y9" i="3"/>
  <c r="U9" i="3"/>
  <c r="V9" i="3" s="1"/>
  <c r="R9" i="3"/>
  <c r="S9" i="3" s="1"/>
  <c r="O9" i="3"/>
  <c r="P9" i="3" s="1"/>
  <c r="M9" i="3"/>
  <c r="K9" i="3"/>
  <c r="H9" i="3"/>
  <c r="I9" i="3" s="1"/>
  <c r="F9" i="3"/>
  <c r="D9" i="3"/>
  <c r="AI8" i="3"/>
  <c r="AG8" i="3"/>
  <c r="AE8" i="3"/>
  <c r="AC8" i="3"/>
  <c r="AA8" i="3"/>
  <c r="X8" i="3"/>
  <c r="Y8" i="3" s="1"/>
  <c r="U8" i="3"/>
  <c r="V8" i="3" s="1"/>
  <c r="R8" i="3"/>
  <c r="S8" i="3" s="1"/>
  <c r="O8" i="3"/>
  <c r="P8" i="3" s="1"/>
  <c r="M8" i="3"/>
  <c r="K8" i="3"/>
  <c r="H8" i="3"/>
  <c r="I8" i="3" s="1"/>
  <c r="F8" i="3"/>
  <c r="D8" i="3"/>
  <c r="E28" i="5" l="1"/>
  <c r="BI34" i="5"/>
  <c r="E34" i="5"/>
  <c r="BH34" i="5" s="1"/>
  <c r="BI36" i="5"/>
  <c r="E36" i="5"/>
  <c r="BH36" i="5" s="1"/>
  <c r="E38" i="5"/>
  <c r="E9" i="5"/>
  <c r="BI26" i="5"/>
  <c r="E26" i="5"/>
  <c r="BH26" i="5" s="1"/>
  <c r="BI30" i="5"/>
  <c r="E30" i="5"/>
  <c r="BH30" i="5" s="1"/>
  <c r="BI33" i="5"/>
  <c r="E33" i="5"/>
  <c r="BH33" i="5" s="1"/>
  <c r="E37" i="5"/>
  <c r="BH37" i="5" s="1"/>
  <c r="BI25" i="5"/>
  <c r="E25" i="5"/>
  <c r="BH25" i="5" s="1"/>
  <c r="BI29" i="5"/>
  <c r="E29" i="5"/>
  <c r="BI32" i="5"/>
  <c r="E32" i="5"/>
  <c r="BH32" i="5" s="1"/>
  <c r="BI24" i="5"/>
  <c r="E24" i="5"/>
  <c r="E22" i="5"/>
  <c r="E21" i="5"/>
  <c r="BH21" i="5" s="1"/>
  <c r="BI20" i="5"/>
  <c r="E20" i="5"/>
  <c r="BH20" i="5" s="1"/>
  <c r="BI18" i="5"/>
  <c r="E18" i="5"/>
  <c r="BH18" i="5" s="1"/>
  <c r="E16" i="5"/>
  <c r="BH16" i="5" s="1"/>
  <c r="E14" i="5"/>
  <c r="E12" i="5"/>
  <c r="BH12" i="5" s="1"/>
  <c r="S32" i="4"/>
  <c r="S36" i="4"/>
  <c r="S33" i="4"/>
  <c r="S31" i="4"/>
  <c r="S28" i="4"/>
  <c r="N26" i="4"/>
  <c r="S26" i="4" s="1"/>
  <c r="R36" i="4"/>
  <c r="S12" i="4"/>
  <c r="S18" i="4"/>
  <c r="S7" i="4"/>
  <c r="S13" i="4"/>
  <c r="S23" i="4"/>
  <c r="M17" i="4"/>
  <c r="M18" i="4"/>
  <c r="N25" i="4"/>
  <c r="S25" i="4" s="1"/>
  <c r="N30" i="4"/>
  <c r="S30" i="4" s="1"/>
  <c r="R32" i="4"/>
  <c r="R34" i="4"/>
  <c r="R8" i="4"/>
  <c r="R16" i="4"/>
  <c r="R22" i="4"/>
  <c r="AL8" i="3"/>
  <c r="AL38" i="3"/>
  <c r="AK15" i="3"/>
  <c r="AK37" i="3"/>
  <c r="AL36" i="3"/>
  <c r="AK36" i="3"/>
  <c r="R37" i="4"/>
  <c r="S34" i="4"/>
  <c r="M33" i="4"/>
  <c r="M34" i="4"/>
  <c r="AL34" i="3"/>
  <c r="R33" i="4"/>
  <c r="AK32" i="3"/>
  <c r="AK33" i="3"/>
  <c r="AL32" i="3"/>
  <c r="R30" i="4"/>
  <c r="R31" i="4"/>
  <c r="R29" i="4"/>
  <c r="AL30" i="3"/>
  <c r="AK29" i="3"/>
  <c r="S29" i="4"/>
  <c r="M29" i="4"/>
  <c r="R28" i="4"/>
  <c r="AL28" i="3"/>
  <c r="AK28" i="3"/>
  <c r="S27" i="4"/>
  <c r="R27" i="4"/>
  <c r="R26" i="4"/>
  <c r="R25" i="4"/>
  <c r="BI27" i="5"/>
  <c r="S24" i="4"/>
  <c r="R23" i="4"/>
  <c r="R24" i="4"/>
  <c r="AL24" i="3"/>
  <c r="M22" i="4"/>
  <c r="S21" i="4"/>
  <c r="S22" i="4"/>
  <c r="AK23" i="3"/>
  <c r="AL22" i="3"/>
  <c r="M21" i="4"/>
  <c r="S20" i="4"/>
  <c r="S19" i="4"/>
  <c r="R21" i="4"/>
  <c r="R20" i="4"/>
  <c r="R19" i="4"/>
  <c r="R18" i="4"/>
  <c r="BH22" i="5"/>
  <c r="AL17" i="3"/>
  <c r="AL19" i="3"/>
  <c r="BI35" i="5"/>
  <c r="BI22" i="5"/>
  <c r="BH23" i="5"/>
  <c r="S17" i="4"/>
  <c r="R17" i="4"/>
  <c r="BH9" i="5"/>
  <c r="BI11" i="5"/>
  <c r="BI15" i="5"/>
  <c r="BI23" i="5"/>
  <c r="BH38" i="5"/>
  <c r="BH27" i="5"/>
  <c r="BI28" i="5"/>
  <c r="BI31" i="5"/>
  <c r="BH35" i="5"/>
  <c r="BH31" i="5"/>
  <c r="BH19" i="5"/>
  <c r="S15" i="4"/>
  <c r="R15" i="4"/>
  <c r="BI19" i="5"/>
  <c r="AL14" i="3"/>
  <c r="BI37" i="5"/>
  <c r="BI38" i="5"/>
  <c r="BI21" i="5"/>
  <c r="BH17" i="5"/>
  <c r="N14" i="4"/>
  <c r="S14" i="4" s="1"/>
  <c r="M13" i="4"/>
  <c r="R14" i="4"/>
  <c r="BI16" i="5"/>
  <c r="R13" i="4"/>
  <c r="BH15" i="5"/>
  <c r="S11" i="4"/>
  <c r="R12" i="4"/>
  <c r="R11" i="4"/>
  <c r="BI14" i="5"/>
  <c r="BH14" i="5"/>
  <c r="P38" i="4"/>
  <c r="S10" i="4"/>
  <c r="M10" i="4"/>
  <c r="J38" i="4"/>
  <c r="D38" i="4"/>
  <c r="BI12" i="5"/>
  <c r="BH11" i="5"/>
  <c r="BH13" i="5"/>
  <c r="AL26" i="3"/>
  <c r="AK27" i="3"/>
  <c r="AL27" i="3"/>
  <c r="AL11" i="3"/>
  <c r="AL16" i="3"/>
  <c r="AL18" i="3"/>
  <c r="AK21" i="3"/>
  <c r="AL9" i="3"/>
  <c r="AK9" i="3"/>
  <c r="N9" i="4"/>
  <c r="S9" i="4" s="1"/>
  <c r="F38" i="4"/>
  <c r="R10" i="4"/>
  <c r="R9" i="4"/>
  <c r="H38" i="4"/>
  <c r="BH29" i="5"/>
  <c r="BI13" i="5"/>
  <c r="BI17" i="5"/>
  <c r="BH24" i="5"/>
  <c r="BH28" i="5"/>
  <c r="R7" i="4"/>
  <c r="M12" i="4"/>
  <c r="M20" i="4"/>
  <c r="M24" i="4"/>
  <c r="M28" i="4"/>
  <c r="M32" i="4"/>
  <c r="M7" i="4"/>
  <c r="N8" i="4"/>
  <c r="S8" i="4" s="1"/>
  <c r="M11" i="4"/>
  <c r="M15" i="4"/>
  <c r="N16" i="4"/>
  <c r="S16" i="4" s="1"/>
  <c r="M19" i="4"/>
  <c r="M23" i="4"/>
  <c r="M27" i="4"/>
  <c r="M31" i="4"/>
  <c r="M36" i="4"/>
  <c r="N37" i="4"/>
  <c r="S37" i="4" s="1"/>
  <c r="L38" i="4"/>
  <c r="AK11" i="3"/>
  <c r="AK17" i="3"/>
  <c r="AK13" i="3"/>
  <c r="AK19" i="3"/>
  <c r="AK25" i="3"/>
  <c r="AL25" i="3"/>
  <c r="AL12" i="3"/>
  <c r="AL10" i="3"/>
  <c r="AL15" i="3"/>
  <c r="AL20" i="3"/>
  <c r="AK10" i="3"/>
  <c r="AK12" i="3"/>
  <c r="AL13" i="3"/>
  <c r="AK8" i="3"/>
  <c r="AL31" i="3"/>
  <c r="AL35" i="3"/>
  <c r="AK16" i="3"/>
  <c r="AK18" i="3"/>
  <c r="AK20" i="3"/>
  <c r="AK22" i="3"/>
  <c r="AK24" i="3"/>
  <c r="AK30" i="3"/>
  <c r="AK31" i="3"/>
  <c r="AK34" i="3"/>
  <c r="AK35" i="3"/>
  <c r="AK38" i="3"/>
  <c r="AK14" i="3"/>
  <c r="AL21" i="3"/>
  <c r="AL23" i="3"/>
  <c r="AK26" i="3"/>
  <c r="AL29" i="3"/>
  <c r="AL33" i="3"/>
  <c r="AL37" i="3"/>
  <c r="BI10" i="5" l="1"/>
  <c r="BI9" i="5"/>
  <c r="BH39" i="5"/>
  <c r="BI39"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alcChain>
</file>

<file path=xl/sharedStrings.xml><?xml version="1.0" encoding="utf-8"?>
<sst xmlns="http://schemas.openxmlformats.org/spreadsheetml/2006/main" count="1420" uniqueCount="404">
  <si>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</si>
  <si>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</si>
  <si>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</si>
  <si>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</si>
  <si>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</si>
  <si>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</si>
  <si>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</si>
  <si>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</si>
  <si>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</si>
  <si>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</si>
  <si>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</si>
  <si>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</si>
  <si>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</si>
  <si>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</si>
  <si>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</si>
  <si>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</si>
  <si>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</si>
  <si>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</si>
  <si>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</si>
  <si>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</si>
  <si>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</si>
  <si>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</si>
  <si>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</si>
  <si>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</si>
  <si>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</si>
  <si>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</si>
  <si>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</si>
  <si>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</si>
  <si>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</si>
  <si>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</si>
  <si>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</si>
  <si>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</si>
  <si>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</si>
  <si>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</si>
  <si>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</si>
  <si>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</si>
  <si>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</si>
  <si>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</si>
  <si>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</si>
  <si>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</si>
  <si>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</si>
  <si>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</si>
  <si>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</si>
  <si>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</si>
  <si>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</si>
  <si>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</si>
  <si>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</si>
  <si>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</si>
  <si>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</si>
  <si>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</si>
  <si>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</si>
  <si>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</si>
  <si>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</si>
  <si>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</si>
  <si>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</si>
  <si>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</si>
  <si>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</si>
  <si>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</si>
  <si>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</si>
  <si>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</si>
  <si>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</si>
  <si>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</si>
  <si>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</si>
  <si>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</si>
  <si>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</si>
  <si>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</si>
  <si>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</si>
  <si>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</si>
  <si>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</si>
  <si>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</si>
  <si>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</si>
  <si>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</si>
  <si>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</si>
  <si>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</si>
  <si>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</si>
  <si>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</si>
  <si>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</si>
  <si>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</si>
  <si>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</si>
  <si>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</si>
  <si>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</si>
  <si>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</si>
  <si>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</si>
  <si>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</si>
  <si>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</si>
  <si>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</si>
  <si>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</si>
  <si>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</si>
  <si>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</si>
  <si>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</si>
  <si>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</si>
  <si>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</si>
  <si>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</si>
  <si>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</si>
  <si>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</si>
  <si>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</si>
  <si>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</si>
  <si>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</si>
  <si>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</si>
  <si>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</si>
  <si>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</si>
  <si>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</si>
  <si>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</si>
  <si>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</si>
  <si>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</si>
  <si>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</si>
  <si>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</si>
  <si>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</si>
  <si>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</si>
  <si>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</si>
  <si>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</si>
  <si>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</si>
  <si>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</si>
  <si>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</si>
  <si>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</si>
  <si>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</si>
  <si>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</si>
  <si>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</si>
  <si>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</si>
  <si>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</si>
  <si>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</si>
  <si>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</si>
  <si>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</si>
  <si>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</si>
  <si>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</si>
  <si>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</si>
  <si>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</si>
  <si>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</si>
  <si>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</si>
  <si>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</si>
  <si>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</si>
  <si>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</si>
  <si>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</si>
  <si>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</si>
  <si>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</si>
  <si>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</si>
  <si>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</si>
  <si>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</si>
  <si>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</si>
  <si>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</si>
  <si>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</si>
  <si>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</si>
  <si>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</si>
  <si>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</si>
  <si>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</si>
  <si>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</si>
  <si>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</si>
  <si>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</si>
  <si>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</si>
  <si>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</si>
  <si>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</si>
  <si>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</si>
  <si>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</si>
  <si>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</si>
  <si>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</si>
  <si>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</si>
  <si>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</si>
  <si>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</si>
  <si>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</si>
  <si>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</si>
  <si>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</si>
  <si>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</si>
  <si>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</si>
  <si>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</si>
  <si>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</si>
  <si>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</si>
  <si>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</si>
  <si>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</si>
  <si>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</si>
  <si>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</si>
  <si>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</si>
  <si>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</si>
  <si>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</si>
  <si>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</si>
  <si>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</si>
  <si>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</si>
  <si>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</si>
  <si>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</si>
  <si>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</si>
  <si>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</si>
  <si>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</si>
  <si>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</si>
  <si>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</si>
  <si>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</si>
  <si>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</si>
  <si>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</si>
  <si>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</si>
  <si>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</si>
  <si>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</si>
  <si>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</si>
  <si>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</si>
  <si>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</si>
  <si>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</si>
  <si>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</si>
  <si>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</si>
  <si>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</si>
  <si>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</si>
  <si>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</si>
  <si>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</si>
  <si>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</si>
  <si>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</si>
  <si>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</si>
  <si>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</si>
  <si>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</si>
  <si>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</si>
  <si>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</si>
  <si>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</si>
  <si>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</si>
  <si>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</si>
  <si>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</si>
  <si>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</si>
  <si>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</si>
  <si>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</si>
  <si>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</si>
  <si>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</si>
  <si>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</si>
  <si>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</si>
  <si>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</si>
  <si>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</si>
  <si>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</si>
  <si>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</si>
  <si>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</si>
  <si>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</si>
  <si>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</si>
  <si>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</si>
  <si>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</si>
  <si>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</si>
  <si>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</si>
  <si>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</si>
  <si>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</si>
  <si>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</si>
  <si>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</si>
  <si>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</si>
  <si>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</si>
  <si>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</si>
  <si>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</si>
  <si>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</si>
  <si>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</si>
  <si>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</si>
  <si>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</si>
  <si>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</si>
  <si>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</si>
  <si>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</si>
  <si>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</si>
  <si>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</si>
  <si>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</si>
  <si>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</si>
  <si>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</si>
  <si>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</si>
  <si>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</si>
  <si>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</si>
  <si>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</si>
  <si>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</si>
  <si>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</si>
  <si>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</si>
  <si>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</si>
  <si>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</si>
  <si>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</si>
  <si>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</si>
  <si>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</si>
  <si>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</si>
  <si>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</si>
  <si>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</si>
  <si>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</si>
  <si>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</si>
  <si>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</si>
  <si>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</si>
  <si>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</si>
  <si>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</si>
  <si>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</si>
  <si>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</si>
  <si>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</si>
  <si>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</si>
  <si>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</si>
  <si>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</si>
  <si>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</si>
  <si>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</si>
  <si>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</si>
  <si>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</si>
  <si>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</si>
  <si>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</si>
  <si>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</si>
  <si>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</si>
  <si>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</si>
  <si>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</si>
  <si>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</si>
  <si>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</si>
  <si>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</si>
  <si>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</si>
  <si>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</si>
  <si>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</si>
  <si>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</si>
  <si>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</si>
  <si>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</si>
  <si>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</si>
  <si>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</si>
  <si>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</si>
  <si>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</si>
  <si>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</si>
  <si>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</si>
  <si>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</si>
  <si>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</si>
  <si>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</si>
  <si>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</si>
  <si>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</si>
  <si>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</si>
  <si>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</si>
  <si>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</si>
  <si>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</si>
  <si>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</si>
  <si>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</si>
  <si>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</si>
  <si>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</si>
  <si>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</si>
  <si>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</si>
  <si>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</si>
  <si>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</si>
  <si>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</si>
  <si>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</si>
  <si>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</si>
  <si>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</si>
  <si>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</si>
  <si>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</si>
  <si>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</si>
  <si>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</si>
  <si>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</si>
  <si>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</si>
  <si>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</si>
  <si>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</si>
  <si>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</si>
  <si>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</si>
  <si>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</si>
  <si>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</si>
  <si>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</si>
  <si>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</si>
  <si>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</si>
  <si>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</si>
  <si>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</si>
  <si>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</si>
  <si>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</si>
  <si>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</si>
  <si>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</si>
  <si>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</si>
  <si>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</si>
  <si>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</si>
  <si>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</si>
  <si>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</si>
  <si>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</si>
  <si>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</si>
  <si>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</si>
  <si>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</si>
  <si>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</si>
  <si>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</si>
  <si>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</si>
  <si>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</si>
  <si>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</si>
  <si>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</si>
  <si>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</si>
  <si>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</si>
  <si>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</si>
  <si>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</si>
  <si>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</si>
  <si>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</si>
  <si>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</si>
  <si>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</si>
  <si>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</si>
  <si>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</si>
  <si>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</si>
  <si>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</si>
  <si>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</si>
  <si>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</si>
  <si>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</si>
  <si>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</si>
  <si>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</si>
  <si>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</si>
  <si>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</si>
  <si>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</si>
  <si>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</si>
  <si>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</si>
  <si>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</si>
  <si>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</si>
  <si>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</si>
  <si>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</si>
  <si>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</si>
  <si>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</si>
  <si>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</si>
  <si>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</si>
  <si>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</si>
  <si>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</si>
  <si>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</si>
  <si>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</si>
  <si>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</si>
  <si>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</si>
  <si>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</si>
  <si>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</si>
  <si>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</si>
  <si>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</si>
  <si>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</si>
  <si>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</si>
  <si>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</si>
  <si>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</si>
  <si>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</si>
  <si>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</si>
  <si>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Jul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</si>
</sst>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5">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0" fillId="6" borderId="43" xfId="0" applyNumberFormat="1" applyFill="1" applyBorder="1" applyAlignment="1">
      <alignment horizontal="center"/>
    </xf>
    <xf numFmtId="1" fontId="0" fillId="6" borderId="2" xfId="0" applyNumberFormat="1" applyFill="1" applyBorder="1" applyAlignment="1">
      <alignment horizont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D36" sqref="D3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395</v>
      </c>
      <c r="F1" s="185" t="s">
        <v>396</v>
      </c>
      <c r="G1" s="184" t="s">
        <v>402</v>
      </c>
      <c r="H1" s="185" t="s">
        <v>397</v>
      </c>
      <c r="I1" s="184" t="s">
        <v>398</v>
      </c>
      <c r="J1" s="186" t="s">
        <v>399</v>
      </c>
      <c r="K1" s="184" t="s">
        <v>400</v>
      </c>
      <c r="L1" s="184" t="s">
        <v>63</v>
      </c>
    </row>
    <row r="2" spans="1:12">
      <c r="A2" s="187" t="s">
        <v>401</v>
      </c>
      <c r="B2" s="188">
        <v>1</v>
      </c>
      <c r="C2" s="189">
        <v>7</v>
      </c>
      <c r="D2" s="188">
        <v>2022</v>
      </c>
      <c r="E2" s="117">
        <f>Combine!G3</f>
        <v>48795</v>
      </c>
      <c r="F2" s="190">
        <v>1.6411502788073942</v>
      </c>
      <c r="G2" s="117">
        <f>Combine!M3</f>
        <v>3044.4071484071492</v>
      </c>
      <c r="H2" s="191">
        <v>9.7225504076062119</v>
      </c>
      <c r="I2" s="117">
        <f>Combine!J3</f>
        <v>558</v>
      </c>
      <c r="J2" s="190">
        <v>8.2936380645558536</v>
      </c>
      <c r="K2" s="117">
        <f>Combine!N3</f>
        <v>192</v>
      </c>
      <c r="L2" s="117">
        <f>Combine!O3</f>
        <v>396</v>
      </c>
    </row>
    <row r="3" spans="1:12">
      <c r="A3" s="187" t="s">
        <v>401</v>
      </c>
      <c r="B3" s="188">
        <v>2</v>
      </c>
      <c r="C3" s="189">
        <v>7</v>
      </c>
      <c r="D3" s="188">
        <v>2022</v>
      </c>
      <c r="E3" s="117">
        <f>Combine!G4</f>
        <v>50435</v>
      </c>
      <c r="F3" s="190">
        <v>1.6411502788073942</v>
      </c>
      <c r="G3" s="117">
        <f>Combine!M4</f>
        <v>3344.7086247086245</v>
      </c>
      <c r="H3" s="191">
        <v>9.7225504076062119</v>
      </c>
      <c r="I3" s="117">
        <f>Combine!J4</f>
        <v>565</v>
      </c>
      <c r="J3" s="190">
        <v>8.2936380645558536</v>
      </c>
      <c r="K3" s="117">
        <f>Combine!N4</f>
        <v>150</v>
      </c>
      <c r="L3" s="117">
        <f>Combine!O4</f>
        <v>305</v>
      </c>
    </row>
    <row r="4" spans="1:12">
      <c r="A4" s="187" t="s">
        <v>401</v>
      </c>
      <c r="B4" s="188">
        <v>3</v>
      </c>
      <c r="C4" s="189">
        <v>7</v>
      </c>
      <c r="D4" s="188">
        <v>2022</v>
      </c>
      <c r="E4" s="117">
        <f>Combine!G5</f>
        <v>50885</v>
      </c>
      <c r="F4" s="190">
        <v>1.6411502788073942</v>
      </c>
      <c r="G4" s="117">
        <f>Combine!M5</f>
        <v>3179.6027972027969</v>
      </c>
      <c r="H4" s="191">
        <v>9.7225504076062119</v>
      </c>
      <c r="I4" s="117">
        <f>Combine!J5</f>
        <v>576.83899999999994</v>
      </c>
      <c r="J4" s="190">
        <v>8.2936380645558536</v>
      </c>
      <c r="K4" s="117">
        <f>Combine!N5</f>
        <v>135</v>
      </c>
      <c r="L4" s="117">
        <f>Combine!O5</f>
        <v>261</v>
      </c>
    </row>
    <row r="5" spans="1:12">
      <c r="A5" s="187" t="s">
        <v>401</v>
      </c>
      <c r="B5" s="188">
        <v>4</v>
      </c>
      <c r="C5" s="189">
        <v>7</v>
      </c>
      <c r="D5" s="188">
        <v>2022</v>
      </c>
      <c r="E5" s="117">
        <f>Combine!G6</f>
        <v>46470</v>
      </c>
      <c r="F5" s="190">
        <v>1.6411502788073942</v>
      </c>
      <c r="G5" s="117">
        <f>Combine!M6</f>
        <v>3108.0702408702418</v>
      </c>
      <c r="H5" s="191">
        <v>9.7225504076062119</v>
      </c>
      <c r="I5" s="117">
        <f>Combine!J6</f>
        <v>548.16100000000006</v>
      </c>
      <c r="J5" s="190">
        <v>8.2936380645558536</v>
      </c>
      <c r="K5" s="117">
        <f>Combine!N6</f>
        <v>116</v>
      </c>
      <c r="L5" s="117">
        <f>Combine!O6</f>
        <v>217</v>
      </c>
    </row>
    <row r="6" spans="1:12">
      <c r="A6" s="187" t="s">
        <v>401</v>
      </c>
      <c r="B6" s="188">
        <v>5</v>
      </c>
      <c r="C6" s="189">
        <v>7</v>
      </c>
      <c r="D6" s="188">
        <v>2022</v>
      </c>
      <c r="E6" s="117">
        <f>Combine!G7</f>
        <v>48350</v>
      </c>
      <c r="F6" s="190">
        <v>1.6411502788073942</v>
      </c>
      <c r="G6" s="117">
        <f>Combine!M7</f>
        <v>2874.2414918414916</v>
      </c>
      <c r="H6" s="191">
        <v>9.7225504076062119</v>
      </c>
      <c r="I6" s="117">
        <f>Combine!J7</f>
        <v>444</v>
      </c>
      <c r="J6" s="190">
        <v>8.2936380645558536</v>
      </c>
      <c r="K6" s="117">
        <f>Combine!N7</f>
        <v>104</v>
      </c>
      <c r="L6" s="117">
        <f>Combine!O7</f>
        <v>195</v>
      </c>
    </row>
    <row r="7" spans="1:12">
      <c r="A7" s="187" t="s">
        <v>401</v>
      </c>
      <c r="B7" s="188">
        <v>6</v>
      </c>
      <c r="C7" s="189">
        <v>7</v>
      </c>
      <c r="D7" s="188">
        <v>2022</v>
      </c>
      <c r="E7" s="117">
        <f>Combine!G8</f>
        <v>46575</v>
      </c>
      <c r="F7" s="190">
        <v>1.6411502788073942</v>
      </c>
      <c r="G7" s="117">
        <f>Combine!M8</f>
        <v>2787.0570318570321</v>
      </c>
      <c r="H7" s="191">
        <v>9.7225504076062119</v>
      </c>
      <c r="I7" s="117">
        <f>Combine!J8</f>
        <v>442</v>
      </c>
      <c r="J7" s="190">
        <v>8.2936380645558536</v>
      </c>
      <c r="K7" s="117">
        <f>Combine!N8</f>
        <v>100</v>
      </c>
      <c r="L7" s="117">
        <f>Combine!O8</f>
        <v>193</v>
      </c>
    </row>
    <row r="8" spans="1:12">
      <c r="A8" s="187" t="s">
        <v>401</v>
      </c>
      <c r="B8" s="188">
        <v>7</v>
      </c>
      <c r="C8" s="189">
        <v>7</v>
      </c>
      <c r="D8" s="188">
        <v>2022</v>
      </c>
      <c r="E8" s="117">
        <f>Combine!G9</f>
        <v>48940</v>
      </c>
      <c r="F8" s="190">
        <v>1.6411502788073942</v>
      </c>
      <c r="G8" s="117">
        <f>Combine!M9</f>
        <v>2765.4850038850036</v>
      </c>
      <c r="H8" s="191">
        <v>9.7225504076062119</v>
      </c>
      <c r="I8" s="117">
        <f>Combine!J9</f>
        <v>452</v>
      </c>
      <c r="J8" s="190">
        <v>8.2936380645558536</v>
      </c>
      <c r="K8" s="117">
        <f>Combine!N9</f>
        <v>136</v>
      </c>
      <c r="L8" s="117">
        <f>Combine!O9</f>
        <v>282</v>
      </c>
    </row>
    <row r="9" spans="1:12">
      <c r="A9" s="187" t="s">
        <v>401</v>
      </c>
      <c r="B9" s="188">
        <v>8</v>
      </c>
      <c r="C9" s="189">
        <v>7</v>
      </c>
      <c r="D9" s="188">
        <v>2022</v>
      </c>
      <c r="E9" s="117">
        <f>Combine!G10</f>
        <v>49565</v>
      </c>
      <c r="F9" s="190">
        <v>1.6411502788073942</v>
      </c>
      <c r="G9" s="117">
        <f>Combine!M10</f>
        <v>3100.5749805749801</v>
      </c>
      <c r="H9" s="191">
        <v>9.7225504076062119</v>
      </c>
      <c r="I9" s="117">
        <f>Combine!J10</f>
        <v>413</v>
      </c>
      <c r="J9" s="190">
        <v>8.2936380645558536</v>
      </c>
      <c r="K9" s="117">
        <f>Combine!N10</f>
        <v>186</v>
      </c>
      <c r="L9" s="117">
        <f>Combine!O10</f>
        <v>401</v>
      </c>
    </row>
    <row r="10" spans="1:12">
      <c r="A10" s="187" t="s">
        <v>401</v>
      </c>
      <c r="B10" s="188">
        <v>9</v>
      </c>
      <c r="C10" s="189">
        <v>7</v>
      </c>
      <c r="D10" s="188">
        <v>2022</v>
      </c>
      <c r="E10" s="117">
        <f>Combine!G11</f>
        <v>56115</v>
      </c>
      <c r="F10" s="190">
        <v>1.6411502788073942</v>
      </c>
      <c r="G10" s="117">
        <f>Combine!M11</f>
        <v>3327.2254856254858</v>
      </c>
      <c r="H10" s="191">
        <v>9.7225504076062119</v>
      </c>
      <c r="I10" s="117">
        <f>Combine!J11</f>
        <v>516</v>
      </c>
      <c r="J10" s="190">
        <v>8.2936380645558536</v>
      </c>
      <c r="K10" s="117">
        <f>Combine!N11</f>
        <v>208</v>
      </c>
      <c r="L10" s="117">
        <f>Combine!O11</f>
        <v>486</v>
      </c>
    </row>
    <row r="11" spans="1:12">
      <c r="A11" s="187" t="s">
        <v>401</v>
      </c>
      <c r="B11" s="188">
        <v>10</v>
      </c>
      <c r="C11" s="189">
        <v>7</v>
      </c>
      <c r="D11" s="188">
        <v>2022</v>
      </c>
      <c r="E11" s="117">
        <f>Combine!G12</f>
        <v>48480</v>
      </c>
      <c r="F11" s="190">
        <v>1.6411502788073942</v>
      </c>
      <c r="G11" s="117">
        <f>Combine!M12</f>
        <v>3435.1515151515141</v>
      </c>
      <c r="H11" s="191">
        <v>9.7225504076062119</v>
      </c>
      <c r="I11" s="117">
        <f>Combine!J12</f>
        <v>593</v>
      </c>
      <c r="J11" s="190">
        <v>8.2936380645558536</v>
      </c>
      <c r="K11" s="117">
        <f>Combine!N12</f>
        <v>173</v>
      </c>
      <c r="L11" s="117">
        <f>Combine!O12</f>
        <v>360</v>
      </c>
    </row>
    <row r="12" spans="1:12">
      <c r="A12" s="187" t="s">
        <v>401</v>
      </c>
      <c r="B12" s="188">
        <v>11</v>
      </c>
      <c r="C12" s="189">
        <v>7</v>
      </c>
      <c r="D12" s="188">
        <v>2022</v>
      </c>
      <c r="E12" s="117">
        <f>Combine!G13</f>
        <v>48495</v>
      </c>
      <c r="F12" s="190">
        <v>1.6411502788073942</v>
      </c>
      <c r="G12" s="117">
        <f>Combine!M13</f>
        <v>2620.90442890443</v>
      </c>
      <c r="H12" s="191">
        <v>9.7225504076062119</v>
      </c>
      <c r="I12" s="117">
        <f>Combine!J13</f>
        <v>563</v>
      </c>
      <c r="J12" s="190">
        <v>8.2936380645558536</v>
      </c>
      <c r="K12" s="117">
        <f>Combine!N13</f>
        <v>122</v>
      </c>
      <c r="L12" s="117">
        <f>Combine!O13</f>
        <v>246</v>
      </c>
    </row>
    <row r="13" spans="1:12">
      <c r="A13" s="187" t="s">
        <v>401</v>
      </c>
      <c r="B13" s="188">
        <v>12</v>
      </c>
      <c r="C13" s="189">
        <v>7</v>
      </c>
      <c r="D13" s="188">
        <v>2022</v>
      </c>
      <c r="E13" s="117">
        <f>Combine!G14</f>
        <v>50840</v>
      </c>
      <c r="F13" s="190">
        <v>1.6411502788073942</v>
      </c>
      <c r="G13" s="117">
        <f>Combine!M14</f>
        <v>2921.9083139083136</v>
      </c>
      <c r="H13" s="191">
        <v>9.7225504076062119</v>
      </c>
      <c r="I13" s="117">
        <f>Combine!J14</f>
        <v>429</v>
      </c>
      <c r="J13" s="190">
        <v>8.2936380645558536</v>
      </c>
      <c r="K13" s="117">
        <f>Combine!N14</f>
        <v>112</v>
      </c>
      <c r="L13" s="117">
        <f>Combine!O14</f>
        <v>230</v>
      </c>
    </row>
    <row r="14" spans="1:12">
      <c r="A14" s="187" t="s">
        <v>401</v>
      </c>
      <c r="B14" s="188">
        <v>13</v>
      </c>
      <c r="C14" s="189">
        <v>7</v>
      </c>
      <c r="D14" s="188">
        <v>2022</v>
      </c>
      <c r="E14" s="117">
        <f>Combine!G15</f>
        <v>75030</v>
      </c>
      <c r="F14" s="190">
        <v>1.6411502788073942</v>
      </c>
      <c r="G14" s="117">
        <f>Combine!M15</f>
        <v>2812.4158508158512</v>
      </c>
      <c r="H14" s="191">
        <v>9.7225504076062119</v>
      </c>
      <c r="I14" s="117">
        <f>Combine!J15</f>
        <v>458</v>
      </c>
      <c r="J14" s="190">
        <v>8.2936380645558536</v>
      </c>
      <c r="K14" s="117">
        <f>Combine!N15</f>
        <v>127</v>
      </c>
      <c r="L14" s="117">
        <f>Combine!O15</f>
        <v>264</v>
      </c>
    </row>
    <row r="15" spans="1:12">
      <c r="A15" s="187" t="s">
        <v>401</v>
      </c>
      <c r="B15" s="188">
        <v>14</v>
      </c>
      <c r="C15" s="189">
        <v>7</v>
      </c>
      <c r="D15" s="188">
        <v>2022</v>
      </c>
      <c r="E15" s="117">
        <f>Combine!G16</f>
        <v>25125</v>
      </c>
      <c r="F15" s="190">
        <v>1.6411502788073942</v>
      </c>
      <c r="G15" s="117">
        <f>Combine!M16</f>
        <v>3082.620668220668</v>
      </c>
      <c r="H15" s="191">
        <v>9.7225504076062119</v>
      </c>
      <c r="I15" s="117">
        <f>Combine!J16</f>
        <v>478</v>
      </c>
      <c r="J15" s="190">
        <v>8.2936380645558536</v>
      </c>
      <c r="K15" s="117">
        <f>Combine!N16</f>
        <v>136</v>
      </c>
      <c r="L15" s="117">
        <f>Combine!O16</f>
        <v>280</v>
      </c>
    </row>
    <row r="16" spans="1:12">
      <c r="A16" s="187" t="s">
        <v>401</v>
      </c>
      <c r="B16" s="188">
        <v>15</v>
      </c>
      <c r="C16" s="189">
        <v>7</v>
      </c>
      <c r="D16" s="188">
        <v>2022</v>
      </c>
      <c r="E16" s="117">
        <f>Combine!G17</f>
        <v>49595</v>
      </c>
      <c r="F16" s="190">
        <v>1.6411502788073942</v>
      </c>
      <c r="G16" s="117">
        <f>Combine!M17</f>
        <v>3112.5358197358191</v>
      </c>
      <c r="H16" s="191">
        <v>9.7225504076062119</v>
      </c>
      <c r="I16" s="117">
        <f>Combine!J17</f>
        <v>520</v>
      </c>
      <c r="J16" s="190">
        <v>8.2936380645558536</v>
      </c>
      <c r="K16" s="117">
        <f>Combine!N17</f>
        <v>197</v>
      </c>
      <c r="L16" s="117">
        <f>Combine!O17</f>
        <v>444</v>
      </c>
    </row>
    <row r="17" spans="1:12">
      <c r="A17" s="187" t="s">
        <v>401</v>
      </c>
      <c r="B17" s="188">
        <v>16</v>
      </c>
      <c r="C17" s="189">
        <v>7</v>
      </c>
      <c r="D17" s="188">
        <v>2022</v>
      </c>
      <c r="E17" s="117">
        <f>Combine!G18</f>
        <v>58370</v>
      </c>
      <c r="F17" s="190">
        <v>1.6411502788073942</v>
      </c>
      <c r="G17" s="117">
        <f>Combine!M18</f>
        <v>3209.8013986013989</v>
      </c>
      <c r="H17" s="191">
        <v>9.7225504076062119</v>
      </c>
      <c r="I17" s="117">
        <f>Combine!J18</f>
        <v>528</v>
      </c>
      <c r="J17" s="190">
        <v>8.2936380645558536</v>
      </c>
      <c r="K17" s="117">
        <f>Combine!N18</f>
        <v>201</v>
      </c>
      <c r="L17" s="117">
        <f>Combine!O18</f>
        <v>460</v>
      </c>
    </row>
    <row r="18" spans="1:12">
      <c r="A18" s="187" t="s">
        <v>401</v>
      </c>
      <c r="B18" s="188">
        <v>17</v>
      </c>
      <c r="C18" s="189">
        <v>7</v>
      </c>
      <c r="D18" s="188">
        <v>2022</v>
      </c>
      <c r="E18" s="117">
        <f>Combine!G19</f>
        <v>57660</v>
      </c>
      <c r="F18" s="190">
        <v>1.6411502788073942</v>
      </c>
      <c r="G18" s="117">
        <f>Combine!M19</f>
        <v>3048.6402486402485</v>
      </c>
      <c r="H18" s="191">
        <v>9.7225504076062119</v>
      </c>
      <c r="I18" s="117">
        <f>Combine!J19</f>
        <v>651</v>
      </c>
      <c r="J18" s="190">
        <v>8.2936380645558536</v>
      </c>
      <c r="K18" s="117">
        <f>Combine!N19</f>
        <v>186</v>
      </c>
      <c r="L18" s="117">
        <f>Combine!O19</f>
        <v>380</v>
      </c>
    </row>
    <row r="19" spans="1:12">
      <c r="A19" s="187" t="s">
        <v>401</v>
      </c>
      <c r="B19" s="188">
        <v>18</v>
      </c>
      <c r="C19" s="189">
        <v>7</v>
      </c>
      <c r="D19" s="188">
        <v>2022</v>
      </c>
      <c r="E19" s="117">
        <f>Combine!G20</f>
        <v>50990</v>
      </c>
      <c r="F19" s="190">
        <v>1.6411502788073942</v>
      </c>
      <c r="G19" s="117">
        <f>Combine!M20</f>
        <v>2819.5928515928522</v>
      </c>
      <c r="H19" s="191">
        <v>9.7225504076062119</v>
      </c>
      <c r="I19" s="117">
        <f>Combine!J20</f>
        <v>538</v>
      </c>
      <c r="J19" s="190">
        <v>8.2936380645558536</v>
      </c>
      <c r="K19" s="117">
        <f>Combine!N20</f>
        <v>126</v>
      </c>
      <c r="L19" s="117">
        <f>Combine!O20</f>
        <v>250</v>
      </c>
    </row>
    <row r="20" spans="1:12">
      <c r="A20" s="187" t="s">
        <v>401</v>
      </c>
      <c r="B20" s="188">
        <v>19</v>
      </c>
      <c r="C20" s="189">
        <v>7</v>
      </c>
      <c r="D20" s="188">
        <v>2022</v>
      </c>
      <c r="E20" s="117">
        <f>Combine!G21</f>
        <v>97700</v>
      </c>
      <c r="F20" s="190">
        <v>1.6411502788073942</v>
      </c>
      <c r="G20" s="117">
        <f>Combine!M21</f>
        <v>2833.7031857031857</v>
      </c>
      <c r="H20" s="191">
        <v>9.7225504076062119</v>
      </c>
      <c r="I20" s="117">
        <f>Combine!J21</f>
        <v>1578</v>
      </c>
      <c r="J20" s="190">
        <v>8.2936380645558536</v>
      </c>
      <c r="K20" s="117">
        <f>Combine!N21</f>
        <v>100</v>
      </c>
      <c r="L20" s="117">
        <f>Combine!O21</f>
        <v>201</v>
      </c>
    </row>
    <row r="21" spans="1:12">
      <c r="A21" s="187" t="s">
        <v>401</v>
      </c>
      <c r="B21" s="188">
        <v>20</v>
      </c>
      <c r="C21" s="189">
        <v>7</v>
      </c>
      <c r="D21" s="188">
        <v>2022</v>
      </c>
      <c r="E21" s="117">
        <f>Combine!G22</f>
        <v>25502.5</v>
      </c>
      <c r="F21" s="190">
        <v>1.6411502788073942</v>
      </c>
      <c r="G21" s="117">
        <f>Combine!M22</f>
        <v>2829.2152292152291</v>
      </c>
      <c r="H21" s="191">
        <v>9.7225504076062119</v>
      </c>
      <c r="I21" s="117">
        <f>Combine!J22</f>
        <v>184.11166666666213</v>
      </c>
      <c r="J21" s="190">
        <v>8.2936380645558536</v>
      </c>
      <c r="K21" s="117">
        <f>Combine!N22</f>
        <v>119</v>
      </c>
      <c r="L21" s="117">
        <f>Combine!O22</f>
        <v>245</v>
      </c>
    </row>
    <row r="22" spans="1:12">
      <c r="A22" s="187" t="s">
        <v>401</v>
      </c>
      <c r="B22" s="188">
        <v>21</v>
      </c>
      <c r="C22" s="189">
        <v>7</v>
      </c>
      <c r="D22" s="188">
        <v>2022</v>
      </c>
      <c r="E22" s="117">
        <f>Combine!G23</f>
        <v>25502.5</v>
      </c>
      <c r="F22" s="190">
        <v>1.6411502788073942</v>
      </c>
      <c r="G22" s="117">
        <f>Combine!M23</f>
        <v>2956.3810411810409</v>
      </c>
      <c r="H22" s="191">
        <v>9.7225504076062119</v>
      </c>
      <c r="I22" s="117">
        <f>Combine!J23</f>
        <v>287.27244444444113</v>
      </c>
      <c r="J22" s="190">
        <v>8.2936380645558536</v>
      </c>
      <c r="K22" s="117">
        <f>Combine!N23</f>
        <v>131</v>
      </c>
      <c r="L22" s="117">
        <f>Combine!O23</f>
        <v>284</v>
      </c>
    </row>
    <row r="23" spans="1:12">
      <c r="A23" s="187" t="s">
        <v>401</v>
      </c>
      <c r="B23" s="188">
        <v>22</v>
      </c>
      <c r="C23" s="189">
        <v>7</v>
      </c>
      <c r="D23" s="188">
        <v>2022</v>
      </c>
      <c r="E23" s="117">
        <f>Combine!G24</f>
        <v>53585</v>
      </c>
      <c r="F23" s="190">
        <v>1.6411502788073942</v>
      </c>
      <c r="G23" s="117">
        <f>Combine!M24</f>
        <v>2966.3278943278947</v>
      </c>
      <c r="H23" s="191">
        <v>9.7225504076062119</v>
      </c>
      <c r="I23" s="117">
        <f>Combine!J24</f>
        <v>80.950888888895861</v>
      </c>
      <c r="J23" s="190">
        <v>8.2936380645558536</v>
      </c>
      <c r="K23" s="117">
        <f>Combine!N24</f>
        <v>191</v>
      </c>
      <c r="L23" s="117">
        <f>Combine!O24</f>
        <v>429</v>
      </c>
    </row>
    <row r="24" spans="1:12">
      <c r="A24" s="187" t="s">
        <v>401</v>
      </c>
      <c r="B24" s="188">
        <v>23</v>
      </c>
      <c r="C24" s="189">
        <v>7</v>
      </c>
      <c r="D24" s="188">
        <v>2022</v>
      </c>
      <c r="E24" s="117">
        <f>Combine!G25</f>
        <v>54140</v>
      </c>
      <c r="F24" s="190">
        <v>1.6411502788073942</v>
      </c>
      <c r="G24" s="117">
        <f>Combine!M25</f>
        <v>3049.8921522921514</v>
      </c>
      <c r="H24" s="191">
        <v>9.7225504076062119</v>
      </c>
      <c r="I24" s="117">
        <f>Combine!J25</f>
        <v>493.59400000000096</v>
      </c>
      <c r="J24" s="190">
        <v>8.2936380645558536</v>
      </c>
      <c r="K24" s="117">
        <f>Combine!N25</f>
        <v>260</v>
      </c>
      <c r="L24" s="117">
        <f>Combine!O25</f>
        <v>620</v>
      </c>
    </row>
    <row r="25" spans="1:12">
      <c r="A25" s="187" t="s">
        <v>401</v>
      </c>
      <c r="B25" s="188">
        <v>24</v>
      </c>
      <c r="C25" s="189">
        <v>7</v>
      </c>
      <c r="D25" s="188">
        <v>2022</v>
      </c>
      <c r="E25" s="117">
        <f>Combine!G26</f>
        <v>57960</v>
      </c>
      <c r="F25" s="190">
        <v>1.6411502788073942</v>
      </c>
      <c r="G25" s="117">
        <f>Combine!M26</f>
        <v>3196.3972027972031</v>
      </c>
      <c r="H25" s="191">
        <v>9.7225504076062119</v>
      </c>
      <c r="I25" s="117">
        <f>Combine!J26</f>
        <v>561.07099999999991</v>
      </c>
      <c r="J25" s="190">
        <v>8.2936380645558536</v>
      </c>
      <c r="K25" s="117">
        <f>Combine!N26</f>
        <v>203</v>
      </c>
      <c r="L25" s="117">
        <f>Combine!O26</f>
        <v>432</v>
      </c>
    </row>
    <row r="26" spans="1:12">
      <c r="A26" s="187" t="s">
        <v>401</v>
      </c>
      <c r="B26" s="188">
        <v>25</v>
      </c>
      <c r="C26" s="189">
        <v>7</v>
      </c>
      <c r="D26" s="188">
        <v>2022</v>
      </c>
      <c r="E26" s="117">
        <f>Combine!G27</f>
        <v>55070</v>
      </c>
      <c r="F26" s="190">
        <v>1.6411502788073942</v>
      </c>
      <c r="G26" s="117">
        <f>Combine!M27</f>
        <v>2889.8486402486401</v>
      </c>
      <c r="H26" s="191">
        <v>9.7225504076062119</v>
      </c>
      <c r="I26" s="117">
        <f>Combine!J27</f>
        <v>643.16699999999946</v>
      </c>
      <c r="J26" s="190">
        <v>8.2936380645558536</v>
      </c>
      <c r="K26" s="117">
        <f>Combine!N27</f>
        <v>158</v>
      </c>
      <c r="L26" s="117">
        <f>Combine!O27</f>
        <v>330</v>
      </c>
    </row>
    <row r="27" spans="1:12">
      <c r="A27" s="187" t="s">
        <v>401</v>
      </c>
      <c r="B27" s="188">
        <v>26</v>
      </c>
      <c r="C27" s="189">
        <v>7</v>
      </c>
      <c r="D27" s="188">
        <v>2022</v>
      </c>
      <c r="E27" s="117">
        <f>Combine!G28</f>
        <v>51345</v>
      </c>
      <c r="F27" s="190">
        <v>1.6411502788073942</v>
      </c>
      <c r="G27" s="117">
        <f>Combine!M28</f>
        <v>2838.3502719502721</v>
      </c>
      <c r="H27" s="191">
        <v>9.7225504076062119</v>
      </c>
      <c r="I27" s="117">
        <f>Combine!J28</f>
        <v>485.83300000000054</v>
      </c>
      <c r="J27" s="190">
        <v>8.2936380645558536</v>
      </c>
      <c r="K27" s="117">
        <f>Combine!N28</f>
        <v>150</v>
      </c>
      <c r="L27" s="117">
        <f>Combine!O28</f>
        <v>304</v>
      </c>
    </row>
    <row r="28" spans="1:12">
      <c r="A28" s="187" t="s">
        <v>401</v>
      </c>
      <c r="B28" s="188">
        <v>27</v>
      </c>
      <c r="C28" s="189">
        <v>7</v>
      </c>
      <c r="D28" s="188">
        <v>2022</v>
      </c>
      <c r="E28" s="117">
        <f>Combine!G29</f>
        <v>52535</v>
      </c>
      <c r="F28" s="190">
        <v>1.6411502788073942</v>
      </c>
      <c r="G28" s="117">
        <f>Combine!M29</f>
        <v>2919.6357420357417</v>
      </c>
      <c r="H28" s="191">
        <v>9.7225504076062119</v>
      </c>
      <c r="I28" s="117">
        <f>Combine!J29</f>
        <v>483.37900000000081</v>
      </c>
      <c r="J28" s="190">
        <v>8.2936380645558536</v>
      </c>
      <c r="K28" s="117">
        <f>Combine!N29</f>
        <v>132</v>
      </c>
      <c r="L28" s="117">
        <f>Combine!O29</f>
        <v>269</v>
      </c>
    </row>
    <row r="29" spans="1:12">
      <c r="A29" s="187" t="s">
        <v>401</v>
      </c>
      <c r="B29" s="188">
        <v>28</v>
      </c>
      <c r="C29" s="189">
        <v>7</v>
      </c>
      <c r="D29" s="188">
        <v>2022</v>
      </c>
      <c r="E29" s="117">
        <f>Combine!G30</f>
        <v>53910</v>
      </c>
      <c r="F29" s="190">
        <v>1.6411502788073942</v>
      </c>
      <c r="G29" s="117">
        <f>Combine!M30</f>
        <v>2892.9292929292928</v>
      </c>
      <c r="H29" s="191">
        <v>9.7225504076062119</v>
      </c>
      <c r="I29" s="117">
        <f>Combine!J30</f>
        <v>464.62099999999919</v>
      </c>
      <c r="J29" s="190">
        <v>8.2936380645558536</v>
      </c>
      <c r="K29" s="117">
        <f>Combine!N30</f>
        <v>157</v>
      </c>
      <c r="L29" s="117">
        <f>Combine!O30</f>
        <v>325</v>
      </c>
    </row>
    <row r="30" spans="1:12">
      <c r="A30" s="187" t="s">
        <v>401</v>
      </c>
      <c r="B30" s="188">
        <v>29</v>
      </c>
      <c r="C30" s="189">
        <v>7</v>
      </c>
      <c r="D30" s="188">
        <v>2022</v>
      </c>
      <c r="E30" s="117">
        <f>Combine!G31</f>
        <v>54965</v>
      </c>
      <c r="F30" s="190">
        <v>1.6411502788073942</v>
      </c>
      <c r="G30" s="117">
        <f>Combine!M31</f>
        <v>3244.0093240093238</v>
      </c>
      <c r="H30" s="191">
        <v>9.7225504076062119</v>
      </c>
      <c r="I30" s="117">
        <f>Combine!J31</f>
        <v>1024</v>
      </c>
      <c r="J30" s="190">
        <v>8.2936380645558536</v>
      </c>
      <c r="K30" s="117">
        <f>Combine!N31</f>
        <v>219</v>
      </c>
      <c r="L30" s="117">
        <f>Combine!O31</f>
        <v>489</v>
      </c>
    </row>
    <row r="31" spans="1:12">
      <c r="A31" s="187" t="s">
        <v>401</v>
      </c>
      <c r="B31" s="188">
        <v>30</v>
      </c>
      <c r="C31" s="189">
        <v>7</v>
      </c>
      <c r="D31" s="188">
        <v>2022</v>
      </c>
      <c r="E31" s="117">
        <f>Combine!G32</f>
        <v>56450</v>
      </c>
      <c r="F31" s="190">
        <v>1.6411502788073942</v>
      </c>
      <c r="G31" s="117">
        <f>Combine!M32</f>
        <v>3075.6798756798757</v>
      </c>
      <c r="H31" s="191">
        <v>9.7225504076062119</v>
      </c>
      <c r="I31" s="117">
        <f>Combine!J32</f>
        <v>629</v>
      </c>
      <c r="J31" s="190">
        <v>8.2936380645558536</v>
      </c>
      <c r="K31" s="117">
        <f>Combine!N32</f>
        <v>225</v>
      </c>
      <c r="L31" s="117">
        <f>Combine!O32</f>
        <v>506</v>
      </c>
    </row>
    <row r="32" spans="1:12">
      <c r="A32" s="187" t="s">
        <v>401</v>
      </c>
      <c r="B32" s="188">
        <v>31</v>
      </c>
      <c r="C32" s="189">
        <v>7</v>
      </c>
      <c r="D32" s="188">
        <v>2022</v>
      </c>
      <c r="E32" s="117">
        <f>Combine!G33</f>
        <v>52520</v>
      </c>
      <c r="F32" s="190">
        <v>1.6411502788073942</v>
      </c>
      <c r="G32" s="117">
        <f>Combine!M33</f>
        <v>0</v>
      </c>
      <c r="H32" s="191">
        <v>9.7225504076062119</v>
      </c>
      <c r="I32" s="117">
        <f>Combine!J33</f>
        <v>0</v>
      </c>
      <c r="J32" s="190">
        <v>8.2936380645558536</v>
      </c>
      <c r="K32" s="117">
        <f>Combine!N33</f>
        <v>219</v>
      </c>
      <c r="L32" s="117">
        <f>Combine!O33</f>
        <v>473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topLeftCell="B1" zoomScaleNormal="100" workbookViewId="0">
      <pane xSplit="3" ySplit="2" topLeftCell="I3" activePane="bottomRight" state="frozen"/>
      <selection activeCell="B1" sqref="B1"/>
      <selection pane="topRight" activeCell="E1" sqref="E1"/>
      <selection pane="bottomLeft" activeCell="B3" sqref="B3"/>
      <selection pane="bottomRight" activeCell="M32" sqref="M3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3" t="s">
        <v>66</v>
      </c>
      <c r="O1" s="204"/>
      <c r="P1" s="205"/>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394</v>
      </c>
    </row>
    <row r="3" spans="1:17" ht="15.75">
      <c r="A3" s="7" t="s">
        <v>14</v>
      </c>
      <c r="B3" s="7">
        <v>1</v>
      </c>
      <c r="C3" s="7">
        <v>7</v>
      </c>
      <c r="D3" s="116">
        <v>2021</v>
      </c>
      <c r="E3" s="146">
        <f>'Athens Daily - EL'!AK8</f>
        <v>48795</v>
      </c>
      <c r="F3" s="148"/>
      <c r="G3" s="127">
        <f>SUM(E3,F3)</f>
        <v>48795</v>
      </c>
      <c r="H3" s="146">
        <f>'Athens Daily - Water'!R7</f>
        <v>558</v>
      </c>
      <c r="I3" s="117"/>
      <c r="J3" s="123">
        <f t="shared" ref="J3:J33" si="0">SUM(H3,I3)</f>
        <v>558</v>
      </c>
      <c r="K3" s="146">
        <f>'Athens Daily - Gas'!BH9</f>
        <v>117544.56000000003</v>
      </c>
      <c r="L3" s="117"/>
      <c r="M3" s="127">
        <f>SUM(K3,L3)/38.61</f>
        <v>3044.4071484071492</v>
      </c>
      <c r="N3" s="155">
        <f>Occ!G10</f>
        <v>192</v>
      </c>
      <c r="O3" s="100">
        <f>Occ!H10</f>
        <v>396</v>
      </c>
      <c r="P3" s="154">
        <v>918</v>
      </c>
      <c r="Q3" s="163"/>
    </row>
    <row r="4" spans="1:17" ht="15.75">
      <c r="A4" s="7" t="s">
        <v>14</v>
      </c>
      <c r="B4" s="7">
        <v>2</v>
      </c>
      <c r="C4" s="7">
        <v>7</v>
      </c>
      <c r="D4" s="116">
        <v>2021</v>
      </c>
      <c r="E4" s="146">
        <f>'Athens Daily - EL'!AK9</f>
        <v>50435</v>
      </c>
      <c r="F4" s="148"/>
      <c r="G4" s="127">
        <f t="shared" ref="G4:G33" si="1">SUM(E4,F4)</f>
        <v>50435</v>
      </c>
      <c r="H4" s="146">
        <f>'Athens Daily - Water'!R8</f>
        <v>565</v>
      </c>
      <c r="I4" s="117"/>
      <c r="J4" s="123">
        <f t="shared" si="0"/>
        <v>565</v>
      </c>
      <c r="K4" s="146">
        <f>'Athens Daily - Gas'!BH11</f>
        <v>129139.2</v>
      </c>
      <c r="L4" s="117"/>
      <c r="M4" s="127">
        <f t="shared" ref="M4:M33" si="2">SUM(K4,L4)/38.61</f>
        <v>3344.7086247086245</v>
      </c>
      <c r="N4" s="155">
        <f>Occ!G11</f>
        <v>150</v>
      </c>
      <c r="O4" s="100">
        <f>Occ!H11</f>
        <v>305</v>
      </c>
      <c r="P4" s="154">
        <v>918</v>
      </c>
      <c r="Q4" s="163"/>
    </row>
    <row r="5" spans="1:17" ht="15.75">
      <c r="A5" s="7" t="s">
        <v>14</v>
      </c>
      <c r="B5" s="7">
        <v>3</v>
      </c>
      <c r="C5" s="7">
        <v>7</v>
      </c>
      <c r="D5" s="116">
        <v>2021</v>
      </c>
      <c r="E5" s="146">
        <f>'Athens Daily - EL'!AK10</f>
        <v>50885</v>
      </c>
      <c r="F5" s="148"/>
      <c r="G5" s="127">
        <f t="shared" si="1"/>
        <v>50885</v>
      </c>
      <c r="H5" s="146">
        <f>'Athens Daily - Water'!R9</f>
        <v>576.83899999999994</v>
      </c>
      <c r="I5" s="117"/>
      <c r="J5" s="123">
        <f t="shared" si="0"/>
        <v>576.83899999999994</v>
      </c>
      <c r="K5" s="146">
        <f>'Athens Daily - Gas'!BH12</f>
        <v>122764.46399999998</v>
      </c>
      <c r="L5" s="117"/>
      <c r="M5" s="127">
        <f t="shared" si="2"/>
        <v>3179.6027972027969</v>
      </c>
      <c r="N5" s="155">
        <f>Occ!G12</f>
        <v>135</v>
      </c>
      <c r="O5" s="100">
        <f>Occ!H12</f>
        <v>261</v>
      </c>
      <c r="P5" s="154">
        <v>918</v>
      </c>
      <c r="Q5" s="163"/>
    </row>
    <row r="6" spans="1:17" ht="15.75">
      <c r="A6" s="7" t="s">
        <v>14</v>
      </c>
      <c r="B6" s="7">
        <v>4</v>
      </c>
      <c r="C6" s="7">
        <v>7</v>
      </c>
      <c r="D6" s="116">
        <v>2021</v>
      </c>
      <c r="E6" s="146">
        <f>'Athens Daily - EL'!AK11</f>
        <v>46470</v>
      </c>
      <c r="F6" s="148"/>
      <c r="G6" s="127">
        <f t="shared" si="1"/>
        <v>46470</v>
      </c>
      <c r="H6" s="146">
        <f>'Athens Daily - Water'!R10</f>
        <v>548.16100000000006</v>
      </c>
      <c r="I6" s="117"/>
      <c r="J6" s="123">
        <f t="shared" si="0"/>
        <v>548.16100000000006</v>
      </c>
      <c r="K6" s="146">
        <f>'Athens Daily - Gas'!BH13</f>
        <v>120002.59200000003</v>
      </c>
      <c r="L6" s="117"/>
      <c r="M6" s="127">
        <f t="shared" si="2"/>
        <v>3108.0702408702418</v>
      </c>
      <c r="N6" s="155">
        <f>Occ!G13</f>
        <v>116</v>
      </c>
      <c r="O6" s="100">
        <f>Occ!H13</f>
        <v>217</v>
      </c>
      <c r="P6" s="154">
        <v>918</v>
      </c>
      <c r="Q6" s="163"/>
    </row>
    <row r="7" spans="1:17" ht="15.75">
      <c r="A7" s="7" t="s">
        <v>14</v>
      </c>
      <c r="B7" s="7">
        <v>5</v>
      </c>
      <c r="C7" s="7">
        <v>7</v>
      </c>
      <c r="D7" s="116">
        <v>2021</v>
      </c>
      <c r="E7" s="146">
        <f>'Athens Daily - EL'!AK12</f>
        <v>48350</v>
      </c>
      <c r="F7" s="148"/>
      <c r="G7" s="127">
        <f t="shared" si="1"/>
        <v>48350</v>
      </c>
      <c r="H7" s="146">
        <f>'Athens Daily - Water'!R11</f>
        <v>444</v>
      </c>
      <c r="I7" s="117"/>
      <c r="J7" s="123">
        <f t="shared" si="0"/>
        <v>444</v>
      </c>
      <c r="K7" s="146">
        <f>'Athens Daily - Gas'!BH14</f>
        <v>110974.46399999999</v>
      </c>
      <c r="L7" s="117"/>
      <c r="M7" s="127">
        <f t="shared" si="2"/>
        <v>2874.2414918414916</v>
      </c>
      <c r="N7" s="155">
        <f>Occ!G14</f>
        <v>104</v>
      </c>
      <c r="O7" s="100">
        <f>Occ!H14</f>
        <v>195</v>
      </c>
      <c r="P7" s="154">
        <v>918</v>
      </c>
      <c r="Q7" s="163"/>
    </row>
    <row r="8" spans="1:17" ht="15.75">
      <c r="A8" s="7" t="s">
        <v>14</v>
      </c>
      <c r="B8" s="7">
        <v>6</v>
      </c>
      <c r="C8" s="7">
        <v>7</v>
      </c>
      <c r="D8" s="116">
        <v>2021</v>
      </c>
      <c r="E8" s="146">
        <f>'Athens Daily - EL'!AK13</f>
        <v>46575</v>
      </c>
      <c r="F8" s="148"/>
      <c r="G8" s="127">
        <f t="shared" si="1"/>
        <v>46575</v>
      </c>
      <c r="H8" s="146">
        <f>'Athens Daily - Water'!R12</f>
        <v>442</v>
      </c>
      <c r="I8" s="117"/>
      <c r="J8" s="123">
        <f t="shared" si="0"/>
        <v>442</v>
      </c>
      <c r="K8" s="146">
        <f>'Athens Daily - Gas'!BH15</f>
        <v>107608.27200000001</v>
      </c>
      <c r="L8" s="117"/>
      <c r="M8" s="127">
        <f t="shared" si="2"/>
        <v>2787.0570318570321</v>
      </c>
      <c r="N8" s="155">
        <f>Occ!G15</f>
        <v>100</v>
      </c>
      <c r="O8" s="100">
        <f>Occ!H15</f>
        <v>193</v>
      </c>
      <c r="P8" s="154">
        <v>918</v>
      </c>
      <c r="Q8" s="163"/>
    </row>
    <row r="9" spans="1:17" ht="15.75">
      <c r="A9" s="7" t="s">
        <v>14</v>
      </c>
      <c r="B9" s="7">
        <v>7</v>
      </c>
      <c r="C9" s="7">
        <v>7</v>
      </c>
      <c r="D9" s="116">
        <v>2021</v>
      </c>
      <c r="E9" s="146">
        <f>'Athens Daily - EL'!AK14</f>
        <v>48940</v>
      </c>
      <c r="F9" s="148"/>
      <c r="G9" s="127">
        <f t="shared" si="1"/>
        <v>48940</v>
      </c>
      <c r="H9" s="146">
        <f>'Athens Daily - Water'!R13</f>
        <v>452</v>
      </c>
      <c r="I9" s="117"/>
      <c r="J9" s="123">
        <f t="shared" si="0"/>
        <v>452</v>
      </c>
      <c r="K9" s="146">
        <f>'Athens Daily - Gas'!BH16</f>
        <v>106775.37599999999</v>
      </c>
      <c r="L9" s="117"/>
      <c r="M9" s="127">
        <f t="shared" si="2"/>
        <v>2765.4850038850036</v>
      </c>
      <c r="N9" s="155">
        <f>Occ!G16</f>
        <v>136</v>
      </c>
      <c r="O9" s="100">
        <f>Occ!H16</f>
        <v>282</v>
      </c>
      <c r="P9" s="154">
        <v>918</v>
      </c>
      <c r="Q9" s="163"/>
    </row>
    <row r="10" spans="1:17">
      <c r="A10" s="7" t="s">
        <v>14</v>
      </c>
      <c r="B10" s="7">
        <v>8</v>
      </c>
      <c r="C10" s="7">
        <v>7</v>
      </c>
      <c r="D10" s="116">
        <v>2021</v>
      </c>
      <c r="E10" s="146">
        <f>'Athens Daily - EL'!AK15</f>
        <v>49565</v>
      </c>
      <c r="F10" s="148"/>
      <c r="G10" s="127">
        <f t="shared" si="1"/>
        <v>49565</v>
      </c>
      <c r="H10" s="146">
        <f>'Athens Daily - Water'!R14</f>
        <v>413</v>
      </c>
      <c r="I10" s="117"/>
      <c r="J10" s="123">
        <f t="shared" si="0"/>
        <v>413</v>
      </c>
      <c r="K10" s="146">
        <f>'Athens Daily - Gas'!BH17</f>
        <v>119713.19999999998</v>
      </c>
      <c r="L10" s="117"/>
      <c r="M10" s="127">
        <f t="shared" si="2"/>
        <v>3100.5749805749801</v>
      </c>
      <c r="N10" s="155">
        <f>Occ!G17</f>
        <v>186</v>
      </c>
      <c r="O10" s="100">
        <f>Occ!H17</f>
        <v>401</v>
      </c>
      <c r="P10" s="154">
        <v>918</v>
      </c>
      <c r="Q10" s="98"/>
    </row>
    <row r="11" spans="1:17">
      <c r="A11" s="7" t="s">
        <v>14</v>
      </c>
      <c r="B11" s="7">
        <v>9</v>
      </c>
      <c r="C11" s="7">
        <v>7</v>
      </c>
      <c r="D11" s="116">
        <v>2021</v>
      </c>
      <c r="E11" s="146">
        <f>'Athens Daily - EL'!AK16</f>
        <v>56115</v>
      </c>
      <c r="F11" s="148"/>
      <c r="G11" s="127">
        <f t="shared" si="1"/>
        <v>56115</v>
      </c>
      <c r="H11" s="146">
        <f>'Athens Daily - Water'!R15</f>
        <v>516</v>
      </c>
      <c r="I11" s="117"/>
      <c r="J11" s="123">
        <f t="shared" si="0"/>
        <v>516</v>
      </c>
      <c r="K11" s="146">
        <f>'Athens Daily - Gas'!BH18</f>
        <v>128464.17600000001</v>
      </c>
      <c r="L11" s="117"/>
      <c r="M11" s="127">
        <f t="shared" si="2"/>
        <v>3327.2254856254858</v>
      </c>
      <c r="N11" s="155">
        <f>Occ!G18</f>
        <v>208</v>
      </c>
      <c r="O11" s="100">
        <f>Occ!H18</f>
        <v>486</v>
      </c>
      <c r="P11" s="154">
        <v>918</v>
      </c>
      <c r="Q11" s="98"/>
    </row>
    <row r="12" spans="1:17" ht="15.75">
      <c r="A12" s="7" t="s">
        <v>14</v>
      </c>
      <c r="B12" s="7">
        <v>10</v>
      </c>
      <c r="C12" s="7">
        <v>7</v>
      </c>
      <c r="D12" s="116">
        <v>2021</v>
      </c>
      <c r="E12" s="146">
        <f>'Athens Daily - EL'!AK17</f>
        <v>48480</v>
      </c>
      <c r="F12" s="148"/>
      <c r="G12" s="127">
        <f t="shared" si="1"/>
        <v>48480</v>
      </c>
      <c r="H12" s="146">
        <f>'Athens Daily - Water'!R16</f>
        <v>593</v>
      </c>
      <c r="I12" s="117"/>
      <c r="J12" s="123">
        <f t="shared" si="0"/>
        <v>593</v>
      </c>
      <c r="K12" s="146">
        <f>'Athens Daily - Gas'!BH19</f>
        <v>132631.19999999995</v>
      </c>
      <c r="L12" s="117"/>
      <c r="M12" s="127">
        <f t="shared" si="2"/>
        <v>3435.1515151515141</v>
      </c>
      <c r="N12" s="155">
        <f>Occ!G19</f>
        <v>173</v>
      </c>
      <c r="O12" s="100">
        <f>Occ!H19</f>
        <v>360</v>
      </c>
      <c r="P12" s="154">
        <v>918</v>
      </c>
      <c r="Q12" s="163"/>
    </row>
    <row r="13" spans="1:17" ht="15.75">
      <c r="A13" s="7" t="s">
        <v>14</v>
      </c>
      <c r="B13" s="7">
        <v>11</v>
      </c>
      <c r="C13" s="7">
        <v>7</v>
      </c>
      <c r="D13" s="116">
        <v>2021</v>
      </c>
      <c r="E13" s="146">
        <f>'Athens Daily - EL'!AK18</f>
        <v>48495</v>
      </c>
      <c r="F13" s="148"/>
      <c r="G13" s="127">
        <f t="shared" si="1"/>
        <v>48495</v>
      </c>
      <c r="H13" s="146">
        <f>'Athens Daily - Water'!R17</f>
        <v>563</v>
      </c>
      <c r="I13" s="117"/>
      <c r="J13" s="123">
        <f t="shared" si="0"/>
        <v>563</v>
      </c>
      <c r="K13" s="146">
        <f>'Athens Daily - Gas'!BH20</f>
        <v>101193.12000000004</v>
      </c>
      <c r="L13" s="117"/>
      <c r="M13" s="127">
        <f t="shared" si="2"/>
        <v>2620.90442890443</v>
      </c>
      <c r="N13" s="155">
        <f>Occ!G20</f>
        <v>122</v>
      </c>
      <c r="O13" s="100">
        <f>Occ!H20</f>
        <v>246</v>
      </c>
      <c r="P13" s="154">
        <v>918</v>
      </c>
      <c r="Q13" s="163"/>
    </row>
    <row r="14" spans="1:17" ht="15.75">
      <c r="A14" s="7" t="s">
        <v>14</v>
      </c>
      <c r="B14" s="7">
        <v>12</v>
      </c>
      <c r="C14" s="7">
        <v>7</v>
      </c>
      <c r="D14" s="116">
        <v>2021</v>
      </c>
      <c r="E14" s="146">
        <f>'Athens Daily - EL'!AK19</f>
        <v>50840</v>
      </c>
      <c r="F14" s="148"/>
      <c r="G14" s="127">
        <f t="shared" si="1"/>
        <v>50840</v>
      </c>
      <c r="H14" s="146">
        <f>'Athens Daily - Water'!R18</f>
        <v>429</v>
      </c>
      <c r="I14" s="117"/>
      <c r="J14" s="123">
        <f t="shared" si="0"/>
        <v>429</v>
      </c>
      <c r="K14" s="146">
        <f>'Athens Daily - Gas'!BH21</f>
        <v>112814.87999999999</v>
      </c>
      <c r="L14" s="117"/>
      <c r="M14" s="127">
        <f t="shared" si="2"/>
        <v>2921.9083139083136</v>
      </c>
      <c r="N14" s="155">
        <f>Occ!G21</f>
        <v>112</v>
      </c>
      <c r="O14" s="100">
        <f>Occ!H21</f>
        <v>230</v>
      </c>
      <c r="P14" s="154">
        <v>918</v>
      </c>
      <c r="Q14" s="163"/>
    </row>
    <row r="15" spans="1:17">
      <c r="A15" s="7" t="s">
        <v>14</v>
      </c>
      <c r="B15" s="7">
        <v>13</v>
      </c>
      <c r="C15" s="7">
        <v>7</v>
      </c>
      <c r="D15" s="116">
        <v>2021</v>
      </c>
      <c r="E15" s="146">
        <f>'Athens Daily - EL'!AK20</f>
        <v>75030</v>
      </c>
      <c r="F15" s="164"/>
      <c r="G15" s="127">
        <f t="shared" si="1"/>
        <v>75030</v>
      </c>
      <c r="H15" s="146">
        <f>'Athens Daily - Water'!R19</f>
        <v>458</v>
      </c>
      <c r="I15" s="117"/>
      <c r="J15" s="123">
        <f t="shared" si="0"/>
        <v>458</v>
      </c>
      <c r="K15" s="146">
        <f>'Athens Daily - Gas'!BH22</f>
        <v>108587.376</v>
      </c>
      <c r="L15" s="117"/>
      <c r="M15" s="127">
        <f t="shared" si="2"/>
        <v>2812.4158508158512</v>
      </c>
      <c r="N15" s="155">
        <f>Occ!G22</f>
        <v>127</v>
      </c>
      <c r="O15" s="100">
        <f>Occ!H22</f>
        <v>264</v>
      </c>
      <c r="P15" s="154">
        <v>918</v>
      </c>
      <c r="Q15" s="160"/>
    </row>
    <row r="16" spans="1:17">
      <c r="A16" s="7" t="s">
        <v>14</v>
      </c>
      <c r="B16" s="7">
        <v>14</v>
      </c>
      <c r="C16" s="7">
        <v>7</v>
      </c>
      <c r="D16" s="116">
        <v>2021</v>
      </c>
      <c r="E16" s="146">
        <f>'Athens Daily - EL'!AK21</f>
        <v>25125</v>
      </c>
      <c r="F16" s="148"/>
      <c r="G16" s="127">
        <f t="shared" si="1"/>
        <v>25125</v>
      </c>
      <c r="H16" s="146">
        <f>'Athens Daily - Water'!R20</f>
        <v>478</v>
      </c>
      <c r="I16" s="117"/>
      <c r="J16" s="123">
        <f t="shared" si="0"/>
        <v>478</v>
      </c>
      <c r="K16" s="146">
        <f>'Athens Daily - Gas'!BH23</f>
        <v>119019.984</v>
      </c>
      <c r="L16" s="117"/>
      <c r="M16" s="127">
        <f t="shared" si="2"/>
        <v>3082.620668220668</v>
      </c>
      <c r="N16" s="155">
        <f>Occ!G23</f>
        <v>136</v>
      </c>
      <c r="O16" s="100">
        <f>Occ!H23</f>
        <v>280</v>
      </c>
      <c r="P16" s="154">
        <v>918</v>
      </c>
      <c r="Q16" s="160"/>
    </row>
    <row r="17" spans="1:17">
      <c r="A17" s="7" t="s">
        <v>14</v>
      </c>
      <c r="B17" s="7">
        <v>15</v>
      </c>
      <c r="C17" s="7">
        <v>7</v>
      </c>
      <c r="D17" s="116">
        <v>2021</v>
      </c>
      <c r="E17" s="146">
        <f>'Athens Daily - EL'!AK22</f>
        <v>49595</v>
      </c>
      <c r="F17" s="148"/>
      <c r="G17" s="127">
        <f t="shared" si="1"/>
        <v>49595</v>
      </c>
      <c r="H17" s="146">
        <f>'Athens Daily - Water'!R21</f>
        <v>520</v>
      </c>
      <c r="I17" s="117"/>
      <c r="J17" s="123">
        <f t="shared" si="0"/>
        <v>520</v>
      </c>
      <c r="K17" s="146">
        <f>'Athens Daily - Gas'!BH24</f>
        <v>120175.00799999997</v>
      </c>
      <c r="L17" s="117"/>
      <c r="M17" s="127">
        <f t="shared" si="2"/>
        <v>3112.5358197358191</v>
      </c>
      <c r="N17" s="155">
        <f>Occ!G24</f>
        <v>197</v>
      </c>
      <c r="O17" s="100">
        <f>Occ!H24</f>
        <v>444</v>
      </c>
      <c r="P17" s="154">
        <v>918</v>
      </c>
      <c r="Q17" s="160"/>
    </row>
    <row r="18" spans="1:17">
      <c r="A18" s="7" t="s">
        <v>14</v>
      </c>
      <c r="B18" s="7">
        <v>16</v>
      </c>
      <c r="C18" s="7">
        <v>7</v>
      </c>
      <c r="D18" s="116">
        <v>2021</v>
      </c>
      <c r="E18" s="146">
        <f>'Athens Daily - EL'!AK23</f>
        <v>58370</v>
      </c>
      <c r="F18" s="148"/>
      <c r="G18" s="127">
        <f t="shared" si="1"/>
        <v>58370</v>
      </c>
      <c r="H18" s="146">
        <f>'Athens Daily - Water'!R22</f>
        <v>528</v>
      </c>
      <c r="I18" s="117"/>
      <c r="J18" s="123">
        <f t="shared" si="0"/>
        <v>528</v>
      </c>
      <c r="K18" s="146">
        <f>'Athens Daily - Gas'!BH25</f>
        <v>123930.43200000002</v>
      </c>
      <c r="L18" s="117"/>
      <c r="M18" s="127">
        <f t="shared" si="2"/>
        <v>3209.8013986013989</v>
      </c>
      <c r="N18" s="155">
        <f>Occ!G25</f>
        <v>201</v>
      </c>
      <c r="O18" s="100">
        <f>Occ!H25</f>
        <v>460</v>
      </c>
      <c r="P18" s="154">
        <v>918</v>
      </c>
      <c r="Q18" s="159"/>
    </row>
    <row r="19" spans="1:17">
      <c r="A19" s="7" t="s">
        <v>14</v>
      </c>
      <c r="B19" s="7">
        <v>17</v>
      </c>
      <c r="C19" s="7">
        <v>7</v>
      </c>
      <c r="D19" s="116">
        <v>2021</v>
      </c>
      <c r="E19" s="146">
        <f>'Athens Daily - EL'!AK24</f>
        <v>57660</v>
      </c>
      <c r="F19" s="148"/>
      <c r="G19" s="127">
        <f t="shared" si="1"/>
        <v>57660</v>
      </c>
      <c r="H19" s="146">
        <f>'Athens Daily - Water'!R23</f>
        <v>651</v>
      </c>
      <c r="I19" s="117"/>
      <c r="J19" s="123">
        <f t="shared" si="0"/>
        <v>651</v>
      </c>
      <c r="K19" s="146">
        <f>'Athens Daily - Gas'!BH26</f>
        <v>117707.99999999999</v>
      </c>
      <c r="L19" s="117"/>
      <c r="M19" s="127">
        <f t="shared" si="2"/>
        <v>3048.6402486402485</v>
      </c>
      <c r="N19" s="155">
        <f>Occ!G26</f>
        <v>186</v>
      </c>
      <c r="O19" s="100">
        <f>Occ!H26</f>
        <v>380</v>
      </c>
      <c r="P19" s="154">
        <v>918</v>
      </c>
      <c r="Q19" s="159"/>
    </row>
    <row r="20" spans="1:17">
      <c r="A20" s="7" t="s">
        <v>14</v>
      </c>
      <c r="B20" s="7">
        <v>18</v>
      </c>
      <c r="C20" s="7">
        <v>7</v>
      </c>
      <c r="D20" s="116">
        <v>2021</v>
      </c>
      <c r="E20" s="146">
        <f>'Athens Daily - EL'!AK25</f>
        <v>50990</v>
      </c>
      <c r="F20" s="148"/>
      <c r="G20" s="127">
        <f t="shared" si="1"/>
        <v>50990</v>
      </c>
      <c r="H20" s="146">
        <f>'Athens Daily - Water'!R24</f>
        <v>538</v>
      </c>
      <c r="I20" s="117"/>
      <c r="J20" s="123">
        <f t="shared" si="0"/>
        <v>538</v>
      </c>
      <c r="K20" s="146">
        <f>'Athens Daily - Gas'!BH27</f>
        <v>108864.48000000003</v>
      </c>
      <c r="L20" s="117"/>
      <c r="M20" s="127">
        <f t="shared" si="2"/>
        <v>2819.5928515928522</v>
      </c>
      <c r="N20" s="155">
        <f>Occ!G27</f>
        <v>126</v>
      </c>
      <c r="O20" s="100">
        <f>Occ!H27</f>
        <v>250</v>
      </c>
      <c r="P20" s="154">
        <v>918</v>
      </c>
      <c r="Q20" s="159"/>
    </row>
    <row r="21" spans="1:17">
      <c r="A21" s="7" t="s">
        <v>14</v>
      </c>
      <c r="B21" s="7">
        <v>19</v>
      </c>
      <c r="C21" s="7">
        <v>7</v>
      </c>
      <c r="D21" s="116">
        <v>2021</v>
      </c>
      <c r="E21" s="146">
        <f>'Athens Daily - EL'!AK26</f>
        <v>97700</v>
      </c>
      <c r="F21" s="148"/>
      <c r="G21" s="127">
        <f t="shared" si="1"/>
        <v>97700</v>
      </c>
      <c r="H21" s="146">
        <f>'Athens Daily - Water'!R25</f>
        <v>1578</v>
      </c>
      <c r="I21" s="117"/>
      <c r="J21" s="123">
        <f t="shared" si="0"/>
        <v>1578</v>
      </c>
      <c r="K21" s="146">
        <f>'Athens Daily - Gas'!BH28</f>
        <v>109409.28</v>
      </c>
      <c r="L21" s="168"/>
      <c r="M21" s="127">
        <f t="shared" si="2"/>
        <v>2833.7031857031857</v>
      </c>
      <c r="N21" s="155">
        <f>Occ!G28</f>
        <v>100</v>
      </c>
      <c r="O21" s="100">
        <f>Occ!H28</f>
        <v>201</v>
      </c>
      <c r="P21" s="154">
        <v>918</v>
      </c>
      <c r="Q21" s="159"/>
    </row>
    <row r="22" spans="1:17">
      <c r="A22" s="7" t="s">
        <v>14</v>
      </c>
      <c r="B22" s="7">
        <v>20</v>
      </c>
      <c r="C22" s="7">
        <v>7</v>
      </c>
      <c r="D22" s="116">
        <v>2021</v>
      </c>
      <c r="E22" s="146">
        <f>'Athens Daily - EL'!AK27</f>
        <v>25502.5</v>
      </c>
      <c r="F22" s="148"/>
      <c r="G22" s="127">
        <f t="shared" si="1"/>
        <v>25502.5</v>
      </c>
      <c r="H22" s="146">
        <f>'Athens Daily - Water'!R26</f>
        <v>184.11166666666213</v>
      </c>
      <c r="I22" s="117"/>
      <c r="J22" s="123">
        <f t="shared" si="0"/>
        <v>184.11166666666213</v>
      </c>
      <c r="K22" s="146">
        <f>'Athens Daily - Gas'!BH29</f>
        <v>109235.99999999999</v>
      </c>
      <c r="L22" s="117"/>
      <c r="M22" s="127">
        <f t="shared" si="2"/>
        <v>2829.2152292152291</v>
      </c>
      <c r="N22" s="155">
        <f>Occ!G29</f>
        <v>119</v>
      </c>
      <c r="O22" s="100">
        <f>Occ!H29</f>
        <v>245</v>
      </c>
      <c r="P22" s="154">
        <v>918</v>
      </c>
      <c r="Q22" s="160"/>
    </row>
    <row r="23" spans="1:17">
      <c r="A23" s="7" t="s">
        <v>14</v>
      </c>
      <c r="B23" s="7">
        <v>21</v>
      </c>
      <c r="C23" s="7">
        <v>7</v>
      </c>
      <c r="D23" s="116">
        <v>2021</v>
      </c>
      <c r="E23" s="146">
        <f>'Athens Daily - EL'!AK28</f>
        <v>25502.5</v>
      </c>
      <c r="F23" s="148"/>
      <c r="G23" s="127">
        <f t="shared" si="1"/>
        <v>25502.5</v>
      </c>
      <c r="H23" s="179">
        <f>'Athens Daily - Water'!R27</f>
        <v>287.27244444444113</v>
      </c>
      <c r="I23" s="180"/>
      <c r="J23" s="123">
        <f t="shared" si="0"/>
        <v>287.27244444444113</v>
      </c>
      <c r="K23" s="146">
        <f>'Athens Daily - Gas'!BH30</f>
        <v>114145.87199999999</v>
      </c>
      <c r="L23" s="117"/>
      <c r="M23" s="127">
        <f t="shared" si="2"/>
        <v>2956.3810411810409</v>
      </c>
      <c r="N23" s="155">
        <f>Occ!G30</f>
        <v>131</v>
      </c>
      <c r="O23" s="100">
        <f>Occ!H30</f>
        <v>284</v>
      </c>
      <c r="P23" s="154">
        <v>918</v>
      </c>
      <c r="Q23" s="160"/>
    </row>
    <row r="24" spans="1:17">
      <c r="A24" s="7" t="s">
        <v>14</v>
      </c>
      <c r="B24" s="7">
        <v>22</v>
      </c>
      <c r="C24" s="7">
        <v>7</v>
      </c>
      <c r="D24" s="116">
        <v>2021</v>
      </c>
      <c r="E24" s="146">
        <f>'Athens Daily - EL'!AK29</f>
        <v>53585</v>
      </c>
      <c r="F24" s="148"/>
      <c r="G24" s="127">
        <f t="shared" si="1"/>
        <v>53585</v>
      </c>
      <c r="H24" s="179">
        <f>'Athens Daily - Water'!R28</f>
        <v>80.950888888895861</v>
      </c>
      <c r="I24" s="180"/>
      <c r="J24" s="123">
        <f t="shared" si="0"/>
        <v>80.950888888895861</v>
      </c>
      <c r="K24" s="146">
        <f>'Athens Daily - Gas'!BH31</f>
        <v>114529.92000000001</v>
      </c>
      <c r="L24" s="117"/>
      <c r="M24" s="127">
        <f t="shared" si="2"/>
        <v>2966.3278943278947</v>
      </c>
      <c r="N24" s="155">
        <f>Occ!G31</f>
        <v>191</v>
      </c>
      <c r="O24" s="100">
        <f>Occ!H31</f>
        <v>429</v>
      </c>
      <c r="P24" s="154">
        <v>918</v>
      </c>
      <c r="Q24" s="160"/>
    </row>
    <row r="25" spans="1:17">
      <c r="A25" s="7" t="s">
        <v>14</v>
      </c>
      <c r="B25" s="7">
        <v>23</v>
      </c>
      <c r="C25" s="7">
        <v>7</v>
      </c>
      <c r="D25" s="116">
        <v>2021</v>
      </c>
      <c r="E25" s="146">
        <f>'Athens Daily - EL'!AK30</f>
        <v>54140</v>
      </c>
      <c r="F25" s="148"/>
      <c r="G25" s="127">
        <f t="shared" si="1"/>
        <v>54140</v>
      </c>
      <c r="H25" s="179">
        <f>'Athens Daily - Water'!R29</f>
        <v>493.59400000000096</v>
      </c>
      <c r="I25" s="180"/>
      <c r="J25" s="123">
        <f t="shared" si="0"/>
        <v>493.59400000000096</v>
      </c>
      <c r="K25" s="167">
        <f>'Athens Daily - Gas'!BH32</f>
        <v>117756.33599999997</v>
      </c>
      <c r="L25" s="117"/>
      <c r="M25" s="127">
        <f t="shared" si="2"/>
        <v>3049.8921522921514</v>
      </c>
      <c r="N25" s="155">
        <f>Occ!G32</f>
        <v>260</v>
      </c>
      <c r="O25" s="100">
        <f>Occ!H32</f>
        <v>620</v>
      </c>
      <c r="P25" s="154">
        <v>918</v>
      </c>
      <c r="Q25" s="160"/>
    </row>
    <row r="26" spans="1:17">
      <c r="A26" s="7" t="s">
        <v>14</v>
      </c>
      <c r="B26" s="7">
        <v>24</v>
      </c>
      <c r="C26" s="7">
        <v>7</v>
      </c>
      <c r="D26" s="116">
        <v>2021</v>
      </c>
      <c r="E26" s="146">
        <f>'Athens Daily - EL'!AK31</f>
        <v>57960</v>
      </c>
      <c r="F26" s="148"/>
      <c r="G26" s="127">
        <f t="shared" si="1"/>
        <v>57960</v>
      </c>
      <c r="H26" s="179">
        <f>'Athens Daily - Water'!R30</f>
        <v>561.07099999999991</v>
      </c>
      <c r="I26" s="180"/>
      <c r="J26" s="123">
        <f t="shared" si="0"/>
        <v>561.07099999999991</v>
      </c>
      <c r="K26" s="146">
        <f>'Athens Daily - Gas'!BH33</f>
        <v>123412.89600000001</v>
      </c>
      <c r="L26" s="117"/>
      <c r="M26" s="127">
        <f t="shared" si="2"/>
        <v>3196.3972027972031</v>
      </c>
      <c r="N26" s="155">
        <f>Occ!G33</f>
        <v>203</v>
      </c>
      <c r="O26" s="100">
        <f>Occ!H33</f>
        <v>432</v>
      </c>
      <c r="P26" s="154">
        <v>918</v>
      </c>
      <c r="Q26" s="160"/>
    </row>
    <row r="27" spans="1:17">
      <c r="A27" s="7" t="s">
        <v>14</v>
      </c>
      <c r="B27" s="7">
        <v>25</v>
      </c>
      <c r="C27" s="7">
        <v>7</v>
      </c>
      <c r="D27" s="116">
        <v>2021</v>
      </c>
      <c r="E27" s="146">
        <f>'Athens Daily - EL'!AK32</f>
        <v>55070</v>
      </c>
      <c r="F27" s="148"/>
      <c r="G27" s="127">
        <f t="shared" si="1"/>
        <v>55070</v>
      </c>
      <c r="H27" s="146">
        <f>'Athens Daily - Water'!R31</f>
        <v>643.16699999999946</v>
      </c>
      <c r="I27" s="117"/>
      <c r="J27" s="123">
        <f t="shared" si="0"/>
        <v>643.16699999999946</v>
      </c>
      <c r="K27" s="146">
        <f>'Athens Daily - Gas'!BH34</f>
        <v>111577.056</v>
      </c>
      <c r="L27" s="117"/>
      <c r="M27" s="127">
        <f t="shared" si="2"/>
        <v>2889.8486402486401</v>
      </c>
      <c r="N27" s="155">
        <f>Occ!G34</f>
        <v>158</v>
      </c>
      <c r="O27" s="100">
        <f>Occ!H34</f>
        <v>330</v>
      </c>
      <c r="P27" s="154">
        <v>918</v>
      </c>
      <c r="Q27" s="158"/>
    </row>
    <row r="28" spans="1:17">
      <c r="A28" s="7" t="s">
        <v>14</v>
      </c>
      <c r="B28" s="7">
        <v>26</v>
      </c>
      <c r="C28" s="7">
        <v>7</v>
      </c>
      <c r="D28" s="116">
        <v>2021</v>
      </c>
      <c r="E28" s="146">
        <f>'Athens Daily - EL'!AK33</f>
        <v>51345</v>
      </c>
      <c r="F28" s="148"/>
      <c r="G28" s="127">
        <f t="shared" si="1"/>
        <v>51345</v>
      </c>
      <c r="H28" s="146">
        <f>'Athens Daily - Water'!R32</f>
        <v>485.83300000000054</v>
      </c>
      <c r="I28" s="117"/>
      <c r="J28" s="123">
        <f t="shared" si="0"/>
        <v>485.83300000000054</v>
      </c>
      <c r="K28" s="146">
        <f>'Athens Daily - Gas'!BH35</f>
        <v>109588.70400000001</v>
      </c>
      <c r="L28" s="117"/>
      <c r="M28" s="127">
        <f t="shared" si="2"/>
        <v>2838.3502719502721</v>
      </c>
      <c r="N28" s="155">
        <f>Occ!G35</f>
        <v>150</v>
      </c>
      <c r="O28" s="100">
        <f>Occ!H35</f>
        <v>304</v>
      </c>
      <c r="P28" s="154">
        <v>918</v>
      </c>
      <c r="Q28" s="158"/>
    </row>
    <row r="29" spans="1:17">
      <c r="A29" s="7" t="s">
        <v>14</v>
      </c>
      <c r="B29" s="7">
        <v>27</v>
      </c>
      <c r="C29" s="7">
        <v>7</v>
      </c>
      <c r="D29" s="116">
        <v>2021</v>
      </c>
      <c r="E29" s="146">
        <f>'Athens Daily - EL'!AK34</f>
        <v>52535</v>
      </c>
      <c r="F29" s="148"/>
      <c r="G29" s="127">
        <f t="shared" si="1"/>
        <v>52535</v>
      </c>
      <c r="H29" s="146">
        <f>'Athens Daily - Water'!R33</f>
        <v>483.37900000000081</v>
      </c>
      <c r="I29" s="117"/>
      <c r="J29" s="123">
        <f t="shared" si="0"/>
        <v>483.37900000000081</v>
      </c>
      <c r="K29" s="146">
        <f>'Athens Daily - Gas'!BH36</f>
        <v>112727.13599999998</v>
      </c>
      <c r="L29" s="117"/>
      <c r="M29" s="127">
        <f t="shared" si="2"/>
        <v>2919.6357420357417</v>
      </c>
      <c r="N29" s="155">
        <f>Occ!G36</f>
        <v>132</v>
      </c>
      <c r="O29" s="100">
        <f>Occ!H36</f>
        <v>269</v>
      </c>
      <c r="P29" s="154">
        <v>918</v>
      </c>
      <c r="Q29" s="158"/>
    </row>
    <row r="30" spans="1:17">
      <c r="A30" s="7" t="s">
        <v>14</v>
      </c>
      <c r="B30" s="7">
        <v>28</v>
      </c>
      <c r="C30" s="7">
        <v>7</v>
      </c>
      <c r="D30" s="116">
        <v>2021</v>
      </c>
      <c r="E30" s="146">
        <f>'Athens Daily - EL'!AK35</f>
        <v>53910</v>
      </c>
      <c r="F30" s="148"/>
      <c r="G30" s="127">
        <f t="shared" si="1"/>
        <v>53910</v>
      </c>
      <c r="H30" s="146">
        <f>'Athens Daily - Water'!R34</f>
        <v>464.62099999999919</v>
      </c>
      <c r="I30" s="117"/>
      <c r="J30" s="123">
        <f t="shared" si="0"/>
        <v>464.62099999999919</v>
      </c>
      <c r="K30" s="146">
        <f>'Athens Daily - Gas'!BH37</f>
        <v>111696</v>
      </c>
      <c r="L30" s="117"/>
      <c r="M30" s="127">
        <f t="shared" si="2"/>
        <v>2892.9292929292928</v>
      </c>
      <c r="N30" s="155">
        <f>Occ!G37</f>
        <v>157</v>
      </c>
      <c r="O30" s="100">
        <f>Occ!H37</f>
        <v>325</v>
      </c>
      <c r="P30" s="154">
        <v>918</v>
      </c>
      <c r="Q30" s="158"/>
    </row>
    <row r="31" spans="1:17">
      <c r="A31" s="7" t="s">
        <v>14</v>
      </c>
      <c r="B31" s="7">
        <v>29</v>
      </c>
      <c r="C31" s="7">
        <v>7</v>
      </c>
      <c r="D31" s="116">
        <v>2021</v>
      </c>
      <c r="E31" s="146">
        <f>'Athens Daily - EL'!AK36</f>
        <v>54965</v>
      </c>
      <c r="F31" s="148"/>
      <c r="G31" s="127">
        <f t="shared" si="1"/>
        <v>54965</v>
      </c>
      <c r="H31" s="146">
        <f>'Athens Daily - Water'!R36</f>
        <v>1024</v>
      </c>
      <c r="I31" s="117"/>
      <c r="J31" s="123">
        <f t="shared" si="0"/>
        <v>1024</v>
      </c>
      <c r="K31" s="146">
        <f>'Athens Daily - Gas'!BH38</f>
        <v>125251.2</v>
      </c>
      <c r="L31" s="117"/>
      <c r="M31" s="127">
        <f t="shared" si="2"/>
        <v>3244.0093240093238</v>
      </c>
      <c r="N31" s="155">
        <f>Occ!G38</f>
        <v>219</v>
      </c>
      <c r="O31" s="100">
        <f>Occ!H38</f>
        <v>489</v>
      </c>
      <c r="P31" s="154">
        <v>918</v>
      </c>
      <c r="Q31" s="158"/>
    </row>
    <row r="32" spans="1:17">
      <c r="A32" s="7" t="s">
        <v>14</v>
      </c>
      <c r="B32" s="7">
        <v>30</v>
      </c>
      <c r="C32" s="7">
        <v>7</v>
      </c>
      <c r="D32" s="116">
        <v>2021</v>
      </c>
      <c r="E32" s="146">
        <f>'Athens Daily - EL'!AK37</f>
        <v>56450</v>
      </c>
      <c r="F32" s="148"/>
      <c r="G32" s="127">
        <f t="shared" si="1"/>
        <v>56450</v>
      </c>
      <c r="H32" s="146">
        <f>'Athens Daily - Water'!R37</f>
        <v>629</v>
      </c>
      <c r="I32" s="117"/>
      <c r="J32" s="123">
        <f t="shared" si="0"/>
        <v>629</v>
      </c>
      <c r="K32" s="146">
        <f>'Athens Daily - Gas'!BH39</f>
        <v>118752</v>
      </c>
      <c r="L32" s="117"/>
      <c r="M32" s="127">
        <f t="shared" si="2"/>
        <v>3075.6798756798757</v>
      </c>
      <c r="N32" s="155">
        <f>Occ!G39</f>
        <v>225</v>
      </c>
      <c r="O32" s="100">
        <f>Occ!H39</f>
        <v>506</v>
      </c>
      <c r="P32" s="154">
        <v>918</v>
      </c>
      <c r="Q32" s="158"/>
    </row>
    <row r="33" spans="1:17" ht="15.75" thickBot="1">
      <c r="A33" s="7" t="s">
        <v>14</v>
      </c>
      <c r="B33" s="7">
        <v>31</v>
      </c>
      <c r="C33" s="7">
        <v>7</v>
      </c>
      <c r="D33" s="116">
        <v>2021</v>
      </c>
      <c r="E33" s="147">
        <f>'Athens Daily - EL'!AK38</f>
        <v>52520</v>
      </c>
      <c r="F33" s="149"/>
      <c r="G33" s="128">
        <f t="shared" si="1"/>
        <v>52520</v>
      </c>
      <c r="H33" s="147">
        <f>'Athens Daily - Water'!R38</f>
        <v>0</v>
      </c>
      <c r="I33" s="121"/>
      <c r="J33" s="124">
        <f t="shared" si="0"/>
        <v>0</v>
      </c>
      <c r="K33" s="147">
        <f>'Athens Daily - Gas'!BH40</f>
        <v>0</v>
      </c>
      <c r="L33" s="121"/>
      <c r="M33" s="128">
        <f t="shared" si="2"/>
        <v>0</v>
      </c>
      <c r="N33" s="162">
        <f>Occ!G40</f>
        <v>219</v>
      </c>
      <c r="O33" s="153">
        <f>Occ!H40</f>
        <v>473</v>
      </c>
      <c r="P33" s="152">
        <v>918</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7" activePane="bottomRight" state="frozen"/>
      <selection activeCell="A4" sqref="A4"/>
      <selection pane="topRight" activeCell="C4" sqref="C4"/>
      <selection pane="bottomLeft" activeCell="A10" sqref="A10"/>
      <selection pane="bottomRight" activeCell="D41" sqref="D4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403</v>
      </c>
      <c r="D7" s="130"/>
      <c r="E7" s="130"/>
      <c r="F7" s="130"/>
      <c r="G7" s="130"/>
      <c r="H7" s="130"/>
      <c r="I7" s="130"/>
      <c r="J7" s="129"/>
      <c r="K7" s="129"/>
      <c r="L7" s="129"/>
      <c r="M7" s="129"/>
      <c r="N7" s="129"/>
    </row>
    <row r="8" spans="1:14" ht="15.75" thickBot="1">
      <c r="A8" s="129"/>
      <c r="B8" s="129" t="s">
        <v>21</v>
      </c>
      <c r="C8" s="133"/>
      <c r="D8" s="133"/>
      <c r="E8" s="133"/>
      <c r="F8" s="133"/>
      <c r="G8" s="206" t="s">
        <v>22</v>
      </c>
      <c r="H8" s="207"/>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71">
        <v>192</v>
      </c>
      <c r="D10" s="172">
        <v>396</v>
      </c>
      <c r="E10" s="139"/>
      <c r="F10" s="140"/>
      <c r="G10" s="161">
        <f>SUM(C10+E10)</f>
        <v>192</v>
      </c>
      <c r="H10" s="140">
        <f>D10+F10</f>
        <v>396</v>
      </c>
      <c r="I10" s="137">
        <v>918</v>
      </c>
      <c r="J10" s="129"/>
      <c r="K10" s="129"/>
      <c r="L10" s="129"/>
      <c r="M10" s="129"/>
      <c r="N10" s="129"/>
    </row>
    <row r="11" spans="1:14">
      <c r="A11" s="129"/>
      <c r="B11" s="138" t="s">
        <v>29</v>
      </c>
      <c r="C11" s="171">
        <v>150</v>
      </c>
      <c r="D11" s="172">
        <v>305</v>
      </c>
      <c r="E11" s="139"/>
      <c r="F11" s="140"/>
      <c r="G11" s="161">
        <f t="shared" ref="G11:G40" si="0">SUM(C11+E11)</f>
        <v>150</v>
      </c>
      <c r="H11" s="140">
        <f t="shared" ref="H11:H14" si="1">D11+F11</f>
        <v>305</v>
      </c>
      <c r="I11" s="137">
        <v>918</v>
      </c>
      <c r="J11" s="129"/>
      <c r="K11" s="129"/>
      <c r="L11" s="129"/>
      <c r="M11" s="129"/>
      <c r="N11" s="129"/>
    </row>
    <row r="12" spans="1:14">
      <c r="A12" s="129"/>
      <c r="B12" s="138" t="s">
        <v>30</v>
      </c>
      <c r="C12" s="171">
        <v>135</v>
      </c>
      <c r="D12" s="172">
        <v>261</v>
      </c>
      <c r="E12" s="139"/>
      <c r="F12" s="140"/>
      <c r="G12" s="161">
        <f t="shared" si="0"/>
        <v>135</v>
      </c>
      <c r="H12" s="140">
        <f t="shared" si="1"/>
        <v>261</v>
      </c>
      <c r="I12" s="137">
        <v>918</v>
      </c>
      <c r="J12" s="129"/>
      <c r="K12" s="129"/>
      <c r="L12" s="129"/>
      <c r="M12" s="129"/>
      <c r="N12" s="129"/>
    </row>
    <row r="13" spans="1:14">
      <c r="A13" s="129"/>
      <c r="B13" s="138" t="s">
        <v>31</v>
      </c>
      <c r="C13" s="171">
        <v>116</v>
      </c>
      <c r="D13" s="172">
        <v>217</v>
      </c>
      <c r="E13" s="139"/>
      <c r="F13" s="140"/>
      <c r="G13" s="161">
        <f t="shared" si="0"/>
        <v>116</v>
      </c>
      <c r="H13" s="140">
        <f t="shared" si="1"/>
        <v>217</v>
      </c>
      <c r="I13" s="137">
        <v>918</v>
      </c>
      <c r="J13" s="129"/>
      <c r="K13" s="129"/>
      <c r="L13" s="129"/>
      <c r="M13" s="129"/>
      <c r="N13" s="129"/>
    </row>
    <row r="14" spans="1:14">
      <c r="A14" s="129"/>
      <c r="B14" s="138" t="s">
        <v>32</v>
      </c>
      <c r="C14" s="171">
        <v>104</v>
      </c>
      <c r="D14" s="172">
        <v>195</v>
      </c>
      <c r="E14" s="139"/>
      <c r="F14" s="140"/>
      <c r="G14" s="161">
        <f t="shared" si="0"/>
        <v>104</v>
      </c>
      <c r="H14" s="140">
        <f t="shared" si="1"/>
        <v>195</v>
      </c>
      <c r="I14" s="137">
        <v>918</v>
      </c>
      <c r="J14" s="129"/>
      <c r="K14" s="129"/>
      <c r="L14" s="129"/>
      <c r="M14" s="129"/>
      <c r="N14" s="129"/>
    </row>
    <row r="15" spans="1:14">
      <c r="A15" s="129"/>
      <c r="B15" s="138" t="s">
        <v>33</v>
      </c>
      <c r="C15" s="171">
        <v>100</v>
      </c>
      <c r="D15" s="172">
        <v>193</v>
      </c>
      <c r="E15" s="139"/>
      <c r="F15" s="140"/>
      <c r="G15" s="161">
        <f t="shared" si="0"/>
        <v>100</v>
      </c>
      <c r="H15" s="140">
        <f t="shared" ref="H15:H40" si="2">D15+F15</f>
        <v>193</v>
      </c>
      <c r="I15" s="137">
        <v>918</v>
      </c>
      <c r="J15" s="129"/>
      <c r="K15" s="129"/>
      <c r="L15" s="129"/>
      <c r="M15" s="129"/>
      <c r="N15" s="129"/>
    </row>
    <row r="16" spans="1:14">
      <c r="A16" s="129"/>
      <c r="B16" s="138" t="s">
        <v>34</v>
      </c>
      <c r="C16" s="171">
        <v>136</v>
      </c>
      <c r="D16" s="172">
        <v>282</v>
      </c>
      <c r="E16" s="139"/>
      <c r="F16" s="140"/>
      <c r="G16" s="161">
        <f t="shared" si="0"/>
        <v>136</v>
      </c>
      <c r="H16" s="140">
        <f t="shared" si="2"/>
        <v>282</v>
      </c>
      <c r="I16" s="137">
        <v>918</v>
      </c>
      <c r="J16" s="129"/>
      <c r="K16" s="129"/>
      <c r="L16" s="129"/>
      <c r="M16" s="129"/>
      <c r="N16" s="129"/>
    </row>
    <row r="17" spans="1:14">
      <c r="A17" s="129"/>
      <c r="B17" s="138" t="s">
        <v>35</v>
      </c>
      <c r="C17" s="171">
        <v>186</v>
      </c>
      <c r="D17" s="172">
        <v>401</v>
      </c>
      <c r="E17" s="139"/>
      <c r="F17" s="140"/>
      <c r="G17" s="161">
        <f t="shared" si="0"/>
        <v>186</v>
      </c>
      <c r="H17" s="140">
        <f t="shared" si="2"/>
        <v>401</v>
      </c>
      <c r="I17" s="137">
        <v>918</v>
      </c>
      <c r="J17" s="129"/>
      <c r="K17" s="129"/>
      <c r="L17" s="129"/>
      <c r="M17" s="129"/>
      <c r="N17" s="129"/>
    </row>
    <row r="18" spans="1:14">
      <c r="A18" s="129"/>
      <c r="B18" s="138" t="s">
        <v>36</v>
      </c>
      <c r="C18" s="171">
        <v>208</v>
      </c>
      <c r="D18" s="172">
        <v>486</v>
      </c>
      <c r="E18" s="139"/>
      <c r="F18" s="140"/>
      <c r="G18" s="161">
        <f t="shared" si="0"/>
        <v>208</v>
      </c>
      <c r="H18" s="140">
        <f t="shared" si="2"/>
        <v>486</v>
      </c>
      <c r="I18" s="137">
        <v>918</v>
      </c>
      <c r="J18" s="129"/>
      <c r="K18" s="129"/>
      <c r="L18" s="129"/>
      <c r="M18" s="129"/>
      <c r="N18" s="129"/>
    </row>
    <row r="19" spans="1:14">
      <c r="A19" s="129"/>
      <c r="B19" s="138" t="s">
        <v>37</v>
      </c>
      <c r="C19" s="171">
        <v>173</v>
      </c>
      <c r="D19" s="172">
        <v>360</v>
      </c>
      <c r="E19" s="139"/>
      <c r="F19" s="140"/>
      <c r="G19" s="161">
        <f t="shared" si="0"/>
        <v>173</v>
      </c>
      <c r="H19" s="140">
        <f t="shared" si="2"/>
        <v>360</v>
      </c>
      <c r="I19" s="137">
        <v>918</v>
      </c>
      <c r="J19" s="129"/>
      <c r="K19" s="129"/>
      <c r="L19" s="129"/>
      <c r="M19" s="129"/>
      <c r="N19" s="129"/>
    </row>
    <row r="20" spans="1:14">
      <c r="A20" s="129"/>
      <c r="B20" s="138" t="s">
        <v>38</v>
      </c>
      <c r="C20" s="171">
        <v>122</v>
      </c>
      <c r="D20" s="172">
        <v>246</v>
      </c>
      <c r="E20" s="139"/>
      <c r="F20" s="140"/>
      <c r="G20" s="161">
        <f t="shared" si="0"/>
        <v>122</v>
      </c>
      <c r="H20" s="140">
        <f t="shared" si="2"/>
        <v>246</v>
      </c>
      <c r="I20" s="137">
        <v>918</v>
      </c>
      <c r="J20" s="129"/>
      <c r="K20" s="129"/>
      <c r="L20" s="129"/>
      <c r="M20" s="129"/>
      <c r="N20" s="129"/>
    </row>
    <row r="21" spans="1:14">
      <c r="A21" s="129"/>
      <c r="B21" s="138" t="s">
        <v>39</v>
      </c>
      <c r="C21" s="171">
        <v>112</v>
      </c>
      <c r="D21" s="172">
        <v>230</v>
      </c>
      <c r="E21" s="161"/>
      <c r="F21" s="140"/>
      <c r="G21" s="161">
        <f t="shared" ref="G21:G34" si="3">SUM(C21+E21)</f>
        <v>112</v>
      </c>
      <c r="H21" s="140">
        <f t="shared" ref="H21:H34" si="4">D21+F21</f>
        <v>230</v>
      </c>
      <c r="I21" s="137">
        <v>918</v>
      </c>
      <c r="J21" s="129"/>
      <c r="K21" s="129"/>
      <c r="L21" s="129"/>
      <c r="M21" s="129"/>
      <c r="N21" s="129"/>
    </row>
    <row r="22" spans="1:14">
      <c r="A22" s="129"/>
      <c r="B22" s="138" t="s">
        <v>40</v>
      </c>
      <c r="C22" s="171">
        <v>127</v>
      </c>
      <c r="D22" s="172">
        <v>264</v>
      </c>
      <c r="E22" s="161"/>
      <c r="F22" s="140"/>
      <c r="G22" s="161">
        <f t="shared" si="3"/>
        <v>127</v>
      </c>
      <c r="H22" s="140">
        <f t="shared" si="4"/>
        <v>264</v>
      </c>
      <c r="I22" s="137">
        <v>918</v>
      </c>
      <c r="J22" s="129"/>
      <c r="K22" s="129"/>
      <c r="L22" s="129"/>
      <c r="M22" s="129"/>
      <c r="N22" s="129"/>
    </row>
    <row r="23" spans="1:14">
      <c r="A23" s="129"/>
      <c r="B23" s="138" t="s">
        <v>41</v>
      </c>
      <c r="C23" s="171">
        <v>136</v>
      </c>
      <c r="D23" s="172">
        <v>280</v>
      </c>
      <c r="E23" s="161"/>
      <c r="F23" s="140"/>
      <c r="G23" s="161">
        <f t="shared" si="3"/>
        <v>136</v>
      </c>
      <c r="H23" s="140">
        <f t="shared" si="4"/>
        <v>280</v>
      </c>
      <c r="I23" s="137">
        <v>918</v>
      </c>
      <c r="J23" s="129"/>
      <c r="K23" s="129"/>
      <c r="L23" s="129"/>
      <c r="M23" s="129"/>
      <c r="N23" s="129"/>
    </row>
    <row r="24" spans="1:14">
      <c r="A24" s="129"/>
      <c r="B24" s="138" t="s">
        <v>42</v>
      </c>
      <c r="C24" s="171">
        <v>197</v>
      </c>
      <c r="D24" s="172">
        <v>444</v>
      </c>
      <c r="E24" s="161"/>
      <c r="F24" s="140"/>
      <c r="G24" s="161">
        <f t="shared" si="3"/>
        <v>197</v>
      </c>
      <c r="H24" s="140">
        <f t="shared" si="4"/>
        <v>444</v>
      </c>
      <c r="I24" s="137">
        <v>918</v>
      </c>
      <c r="J24" s="129"/>
      <c r="K24" s="129"/>
      <c r="L24" s="129"/>
      <c r="M24" s="129"/>
      <c r="N24" s="129"/>
    </row>
    <row r="25" spans="1:14">
      <c r="A25" s="129"/>
      <c r="B25" s="138" t="s">
        <v>43</v>
      </c>
      <c r="C25" s="171">
        <v>201</v>
      </c>
      <c r="D25" s="172">
        <v>460</v>
      </c>
      <c r="E25" s="161"/>
      <c r="F25" s="140"/>
      <c r="G25" s="161">
        <f t="shared" si="3"/>
        <v>201</v>
      </c>
      <c r="H25" s="140">
        <f t="shared" si="4"/>
        <v>460</v>
      </c>
      <c r="I25" s="137">
        <v>918</v>
      </c>
      <c r="J25" s="129"/>
      <c r="K25" s="129"/>
      <c r="L25" s="129"/>
      <c r="M25" s="129"/>
      <c r="N25" s="129"/>
    </row>
    <row r="26" spans="1:14">
      <c r="A26" s="129"/>
      <c r="B26" s="138" t="s">
        <v>44</v>
      </c>
      <c r="C26" s="171">
        <v>186</v>
      </c>
      <c r="D26" s="172">
        <v>380</v>
      </c>
      <c r="E26" s="161"/>
      <c r="F26" s="140"/>
      <c r="G26" s="161">
        <f t="shared" si="3"/>
        <v>186</v>
      </c>
      <c r="H26" s="140">
        <f t="shared" si="4"/>
        <v>380</v>
      </c>
      <c r="I26" s="137">
        <v>918</v>
      </c>
      <c r="J26" s="129"/>
      <c r="K26" s="129"/>
      <c r="L26" s="129"/>
      <c r="M26" s="129"/>
      <c r="N26" s="129"/>
    </row>
    <row r="27" spans="1:14">
      <c r="A27" s="129"/>
      <c r="B27" s="138" t="s">
        <v>45</v>
      </c>
      <c r="C27" s="171">
        <v>126</v>
      </c>
      <c r="D27" s="172">
        <v>250</v>
      </c>
      <c r="E27" s="161"/>
      <c r="F27" s="140"/>
      <c r="G27" s="161">
        <f t="shared" si="3"/>
        <v>126</v>
      </c>
      <c r="H27" s="140">
        <f t="shared" si="4"/>
        <v>250</v>
      </c>
      <c r="I27" s="137">
        <v>918</v>
      </c>
      <c r="J27" s="129"/>
      <c r="K27" s="129"/>
      <c r="L27" s="129"/>
      <c r="M27" s="129"/>
      <c r="N27" s="129"/>
    </row>
    <row r="28" spans="1:14">
      <c r="A28" s="129"/>
      <c r="B28" s="138" t="s">
        <v>46</v>
      </c>
      <c r="C28" s="171">
        <v>100</v>
      </c>
      <c r="D28" s="172">
        <v>201</v>
      </c>
      <c r="E28" s="161"/>
      <c r="F28" s="140"/>
      <c r="G28" s="161">
        <f t="shared" si="3"/>
        <v>100</v>
      </c>
      <c r="H28" s="140">
        <f t="shared" si="4"/>
        <v>201</v>
      </c>
      <c r="I28" s="137">
        <v>918</v>
      </c>
      <c r="J28" s="129"/>
      <c r="K28" s="129"/>
      <c r="L28" s="129"/>
      <c r="M28" s="129"/>
      <c r="N28" s="129"/>
    </row>
    <row r="29" spans="1:14">
      <c r="A29" s="129"/>
      <c r="B29" s="138" t="s">
        <v>47</v>
      </c>
      <c r="C29" s="171">
        <v>119</v>
      </c>
      <c r="D29" s="172">
        <v>245</v>
      </c>
      <c r="E29" s="161"/>
      <c r="F29" s="140"/>
      <c r="G29" s="161">
        <f t="shared" si="3"/>
        <v>119</v>
      </c>
      <c r="H29" s="140">
        <f t="shared" si="4"/>
        <v>245</v>
      </c>
      <c r="I29" s="137">
        <v>918</v>
      </c>
      <c r="J29" s="129"/>
      <c r="K29" s="129"/>
      <c r="L29" s="129"/>
      <c r="M29" s="129"/>
      <c r="N29" s="129"/>
    </row>
    <row r="30" spans="1:14">
      <c r="A30" s="129"/>
      <c r="B30" s="138" t="s">
        <v>48</v>
      </c>
      <c r="C30" s="139">
        <v>131</v>
      </c>
      <c r="D30" s="140">
        <v>284</v>
      </c>
      <c r="E30" s="161"/>
      <c r="F30" s="140"/>
      <c r="G30" s="161">
        <f t="shared" si="3"/>
        <v>131</v>
      </c>
      <c r="H30" s="140">
        <f t="shared" si="4"/>
        <v>284</v>
      </c>
      <c r="I30" s="137">
        <v>918</v>
      </c>
      <c r="J30" s="129"/>
      <c r="K30" s="129"/>
      <c r="L30" s="129"/>
      <c r="M30" s="129"/>
      <c r="N30" s="129"/>
    </row>
    <row r="31" spans="1:14">
      <c r="A31" s="129"/>
      <c r="B31" s="138" t="s">
        <v>49</v>
      </c>
      <c r="C31" s="139">
        <v>191</v>
      </c>
      <c r="D31" s="140">
        <v>429</v>
      </c>
      <c r="E31" s="161"/>
      <c r="F31" s="140"/>
      <c r="G31" s="161">
        <f t="shared" si="3"/>
        <v>191</v>
      </c>
      <c r="H31" s="140">
        <f t="shared" si="4"/>
        <v>429</v>
      </c>
      <c r="I31" s="137">
        <v>918</v>
      </c>
      <c r="J31" s="129"/>
      <c r="K31" s="129"/>
      <c r="L31" s="129"/>
      <c r="M31" s="129"/>
      <c r="N31" s="129"/>
    </row>
    <row r="32" spans="1:14">
      <c r="A32" s="129"/>
      <c r="B32" s="138" t="s">
        <v>50</v>
      </c>
      <c r="C32" s="139">
        <v>260</v>
      </c>
      <c r="D32" s="140">
        <v>620</v>
      </c>
      <c r="E32" s="161"/>
      <c r="F32" s="140"/>
      <c r="G32" s="161">
        <f t="shared" si="3"/>
        <v>260</v>
      </c>
      <c r="H32" s="140">
        <f t="shared" si="4"/>
        <v>620</v>
      </c>
      <c r="I32" s="137">
        <v>918</v>
      </c>
      <c r="J32" s="129"/>
      <c r="K32" s="129"/>
      <c r="L32" s="129"/>
      <c r="M32" s="129"/>
      <c r="N32" s="129"/>
    </row>
    <row r="33" spans="1:14">
      <c r="A33" s="129"/>
      <c r="B33" s="138" t="s">
        <v>51</v>
      </c>
      <c r="C33" s="139">
        <v>203</v>
      </c>
      <c r="D33" s="140">
        <v>432</v>
      </c>
      <c r="E33" s="161"/>
      <c r="F33" s="140"/>
      <c r="G33" s="161">
        <f t="shared" si="3"/>
        <v>203</v>
      </c>
      <c r="H33" s="140">
        <f t="shared" si="4"/>
        <v>432</v>
      </c>
      <c r="I33" s="137">
        <v>918</v>
      </c>
      <c r="J33" s="129"/>
      <c r="K33" s="129"/>
      <c r="L33" s="129"/>
      <c r="M33" s="129"/>
      <c r="N33" s="129"/>
    </row>
    <row r="34" spans="1:14">
      <c r="A34" s="129"/>
      <c r="B34" s="138" t="s">
        <v>52</v>
      </c>
      <c r="C34" s="139">
        <v>158</v>
      </c>
      <c r="D34" s="140">
        <v>330</v>
      </c>
      <c r="E34" s="161"/>
      <c r="F34" s="140"/>
      <c r="G34" s="161">
        <f t="shared" si="3"/>
        <v>158</v>
      </c>
      <c r="H34" s="140">
        <f t="shared" si="4"/>
        <v>330</v>
      </c>
      <c r="I34" s="137">
        <v>918</v>
      </c>
      <c r="J34" s="129"/>
      <c r="K34" s="129"/>
      <c r="L34" s="129"/>
      <c r="M34" s="129"/>
      <c r="N34" s="129"/>
    </row>
    <row r="35" spans="1:14">
      <c r="A35" s="129"/>
      <c r="B35" s="138" t="s">
        <v>53</v>
      </c>
      <c r="C35" s="139">
        <v>150</v>
      </c>
      <c r="D35" s="140">
        <v>304</v>
      </c>
      <c r="E35" s="139"/>
      <c r="F35" s="140"/>
      <c r="G35" s="161">
        <f t="shared" si="0"/>
        <v>150</v>
      </c>
      <c r="H35" s="140">
        <f t="shared" si="2"/>
        <v>304</v>
      </c>
      <c r="I35" s="137">
        <v>918</v>
      </c>
      <c r="J35" s="129"/>
      <c r="K35" s="129"/>
      <c r="L35" s="129"/>
      <c r="M35" s="129"/>
      <c r="N35" s="129"/>
    </row>
    <row r="36" spans="1:14">
      <c r="A36" s="129"/>
      <c r="B36" s="138" t="s">
        <v>54</v>
      </c>
      <c r="C36" s="139">
        <v>132</v>
      </c>
      <c r="D36" s="140">
        <v>269</v>
      </c>
      <c r="E36" s="139"/>
      <c r="F36" s="140"/>
      <c r="G36" s="161">
        <f t="shared" si="0"/>
        <v>132</v>
      </c>
      <c r="H36" s="140">
        <f t="shared" si="2"/>
        <v>269</v>
      </c>
      <c r="I36" s="137">
        <v>918</v>
      </c>
      <c r="J36" s="129"/>
      <c r="K36" s="129"/>
      <c r="L36" s="129"/>
      <c r="M36" s="129"/>
      <c r="N36" s="129"/>
    </row>
    <row r="37" spans="1:14">
      <c r="A37" s="129"/>
      <c r="B37" s="138" t="s">
        <v>55</v>
      </c>
      <c r="C37" s="139">
        <v>157</v>
      </c>
      <c r="D37" s="140">
        <v>325</v>
      </c>
      <c r="E37" s="139"/>
      <c r="F37" s="140"/>
      <c r="G37" s="161">
        <f t="shared" si="0"/>
        <v>157</v>
      </c>
      <c r="H37" s="140">
        <f t="shared" si="2"/>
        <v>325</v>
      </c>
      <c r="I37" s="137">
        <v>918</v>
      </c>
      <c r="J37" s="129"/>
      <c r="K37" s="129"/>
      <c r="L37" s="129"/>
      <c r="M37" s="129"/>
      <c r="N37" s="129"/>
    </row>
    <row r="38" spans="1:14" s="175" customFormat="1">
      <c r="A38" s="169"/>
      <c r="B38" s="170" t="s">
        <v>56</v>
      </c>
      <c r="C38" s="171">
        <v>219</v>
      </c>
      <c r="D38" s="140">
        <v>489</v>
      </c>
      <c r="E38" s="171"/>
      <c r="F38" s="172"/>
      <c r="G38" s="173">
        <f t="shared" si="0"/>
        <v>219</v>
      </c>
      <c r="H38" s="172">
        <f t="shared" si="2"/>
        <v>489</v>
      </c>
      <c r="I38" s="174">
        <v>918</v>
      </c>
      <c r="J38" s="169"/>
      <c r="K38" s="169"/>
      <c r="L38" s="169"/>
      <c r="M38" s="169"/>
      <c r="N38" s="169"/>
    </row>
    <row r="39" spans="1:14" s="175" customFormat="1">
      <c r="A39" s="169"/>
      <c r="B39" s="170" t="s">
        <v>57</v>
      </c>
      <c r="C39" s="171">
        <v>225</v>
      </c>
      <c r="D39" s="172">
        <v>506</v>
      </c>
      <c r="E39" s="171"/>
      <c r="F39" s="172"/>
      <c r="G39" s="173">
        <f t="shared" si="0"/>
        <v>225</v>
      </c>
      <c r="H39" s="172">
        <f t="shared" si="2"/>
        <v>506</v>
      </c>
      <c r="I39" s="174">
        <v>918</v>
      </c>
      <c r="J39" s="169"/>
      <c r="K39" s="169"/>
      <c r="L39" s="169"/>
      <c r="M39" s="169"/>
      <c r="N39" s="169"/>
    </row>
    <row r="40" spans="1:14" s="175" customFormat="1" ht="15.75" thickBot="1">
      <c r="A40" s="169"/>
      <c r="B40" s="170" t="s">
        <v>58</v>
      </c>
      <c r="C40" s="176">
        <v>219</v>
      </c>
      <c r="D40" s="177">
        <v>473</v>
      </c>
      <c r="E40" s="176"/>
      <c r="F40" s="177"/>
      <c r="G40" s="178">
        <f t="shared" si="0"/>
        <v>219</v>
      </c>
      <c r="H40" s="177">
        <f t="shared" si="2"/>
        <v>473</v>
      </c>
      <c r="I40" s="174">
        <v>918</v>
      </c>
      <c r="J40" s="169"/>
      <c r="K40" s="169"/>
      <c r="L40" s="169"/>
      <c r="M40" s="169"/>
      <c r="N40" s="169"/>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EL'!AK8</f>
        <v>48795</v>
      </c>
      <c r="F2" s="100"/>
      <c r="G2" s="100">
        <f>'Athens Daily - Gas'!BH9</f>
        <v>117544.56000000003</v>
      </c>
      <c r="H2" s="100">
        <f>G2/38.3</f>
        <v>3069.0485639686694</v>
      </c>
      <c r="I2" s="100"/>
      <c r="J2" s="100">
        <f>'Athens Daily - Water'!R7</f>
        <v>558</v>
      </c>
      <c r="K2" s="100"/>
      <c r="L2" s="101">
        <v>142</v>
      </c>
      <c r="M2" s="100">
        <f>L2*2</f>
        <v>284</v>
      </c>
      <c r="N2" s="98">
        <v>10</v>
      </c>
    </row>
    <row r="3" spans="1:14">
      <c r="A3" s="7" t="s">
        <v>14</v>
      </c>
      <c r="B3" s="7">
        <v>2</v>
      </c>
      <c r="C3" s="7">
        <v>1</v>
      </c>
      <c r="D3" s="7">
        <v>2021</v>
      </c>
      <c r="E3" s="100">
        <f>'Athens Daily - EL'!AK9</f>
        <v>50435</v>
      </c>
      <c r="F3" s="100"/>
      <c r="G3" s="100">
        <f>'Athens Daily - Gas'!BH11</f>
        <v>129139.2</v>
      </c>
      <c r="H3" s="100">
        <f t="shared" ref="H3:H32" si="0">G3/38.3</f>
        <v>3371.7806788511753</v>
      </c>
      <c r="I3" s="100"/>
      <c r="J3" s="100">
        <f>'Athens Daily - Water'!R8</f>
        <v>565</v>
      </c>
      <c r="K3" s="100"/>
      <c r="L3" s="101">
        <v>102</v>
      </c>
      <c r="M3" s="100">
        <f t="shared" ref="M3:M32" si="1">L3*2</f>
        <v>204</v>
      </c>
      <c r="N3" s="98">
        <v>12</v>
      </c>
    </row>
    <row r="4" spans="1:14">
      <c r="A4" s="7" t="s">
        <v>14</v>
      </c>
      <c r="B4" s="7">
        <v>3</v>
      </c>
      <c r="C4" s="7">
        <v>1</v>
      </c>
      <c r="D4" s="7">
        <v>2021</v>
      </c>
      <c r="E4" s="100">
        <f>'Athens Daily - EL'!AK10</f>
        <v>50885</v>
      </c>
      <c r="F4" s="100"/>
      <c r="G4" s="100">
        <f>'Athens Daily - Gas'!BH12</f>
        <v>122764.46399999998</v>
      </c>
      <c r="H4" s="100">
        <f t="shared" si="0"/>
        <v>3205.3384856396865</v>
      </c>
      <c r="I4" s="100"/>
      <c r="J4" s="100">
        <f>'Athens Daily - Water'!R9</f>
        <v>576.83899999999994</v>
      </c>
      <c r="K4" s="100"/>
      <c r="L4" s="101">
        <v>55</v>
      </c>
      <c r="M4" s="100">
        <f t="shared" si="1"/>
        <v>110</v>
      </c>
      <c r="N4" s="98">
        <v>15</v>
      </c>
    </row>
    <row r="5" spans="1:14">
      <c r="A5" s="7" t="s">
        <v>14</v>
      </c>
      <c r="B5" s="7">
        <v>4</v>
      </c>
      <c r="C5" s="7">
        <v>1</v>
      </c>
      <c r="D5" s="7">
        <v>2021</v>
      </c>
      <c r="E5" s="100">
        <f>'Athens Daily - EL'!AK11</f>
        <v>46470</v>
      </c>
      <c r="F5" s="100"/>
      <c r="G5" s="100">
        <f>'Athens Daily - Gas'!BH13</f>
        <v>120002.59200000003</v>
      </c>
      <c r="H5" s="100">
        <f t="shared" si="0"/>
        <v>3133.2269451697139</v>
      </c>
      <c r="I5" s="100"/>
      <c r="J5" s="100">
        <f>'Athens Daily - Water'!R10</f>
        <v>548.16100000000006</v>
      </c>
      <c r="K5" s="100"/>
      <c r="L5" s="101">
        <v>45</v>
      </c>
      <c r="M5" s="100">
        <f t="shared" si="1"/>
        <v>90</v>
      </c>
      <c r="N5" s="98">
        <v>17</v>
      </c>
    </row>
    <row r="6" spans="1:14">
      <c r="A6" s="7" t="s">
        <v>14</v>
      </c>
      <c r="B6" s="7">
        <v>5</v>
      </c>
      <c r="C6" s="7">
        <v>1</v>
      </c>
      <c r="D6" s="7">
        <v>2021</v>
      </c>
      <c r="E6" s="100">
        <f>'Athens Daily - EL'!AK12</f>
        <v>48350</v>
      </c>
      <c r="F6" s="100"/>
      <c r="G6" s="100">
        <f>'Athens Daily - Gas'!BH14</f>
        <v>110974.46399999999</v>
      </c>
      <c r="H6" s="100">
        <f t="shared" si="0"/>
        <v>2897.5055874673631</v>
      </c>
      <c r="I6" s="100"/>
      <c r="J6" s="100">
        <f>'Athens Daily - Water'!R11</f>
        <v>444</v>
      </c>
      <c r="K6" s="100"/>
      <c r="L6" s="101">
        <v>34</v>
      </c>
      <c r="M6" s="100">
        <f t="shared" si="1"/>
        <v>68</v>
      </c>
      <c r="N6" s="98">
        <v>15</v>
      </c>
    </row>
    <row r="7" spans="1:14">
      <c r="A7" s="7" t="s">
        <v>14</v>
      </c>
      <c r="B7" s="7">
        <v>6</v>
      </c>
      <c r="C7" s="7">
        <v>1</v>
      </c>
      <c r="D7" s="7">
        <v>2021</v>
      </c>
      <c r="E7" s="100">
        <f>'Athens Daily - EL'!AK13</f>
        <v>46575</v>
      </c>
      <c r="F7" s="100"/>
      <c r="G7" s="100">
        <f>'Athens Daily - Gas'!BH15</f>
        <v>107608.27200000001</v>
      </c>
      <c r="H7" s="100">
        <f t="shared" si="0"/>
        <v>2809.6154569190608</v>
      </c>
      <c r="I7" s="100"/>
      <c r="J7" s="100">
        <f>'Athens Daily - Water'!R12</f>
        <v>442</v>
      </c>
      <c r="K7" s="100"/>
      <c r="L7" s="101">
        <v>36</v>
      </c>
      <c r="M7" s="100">
        <f t="shared" si="1"/>
        <v>72</v>
      </c>
      <c r="N7" s="98"/>
    </row>
    <row r="8" spans="1:14">
      <c r="A8" s="7" t="s">
        <v>14</v>
      </c>
      <c r="B8" s="7">
        <v>7</v>
      </c>
      <c r="C8" s="7">
        <v>1</v>
      </c>
      <c r="D8" s="7">
        <v>2021</v>
      </c>
      <c r="E8" s="100">
        <f>'Athens Daily - EL'!AK14</f>
        <v>48940</v>
      </c>
      <c r="F8" s="100"/>
      <c r="G8" s="100">
        <f>'Athens Daily - Gas'!BH16</f>
        <v>106775.37599999999</v>
      </c>
      <c r="H8" s="100">
        <f t="shared" si="0"/>
        <v>2787.868825065274</v>
      </c>
      <c r="I8" s="100"/>
      <c r="J8" s="100">
        <f>'Athens Daily - Water'!R13</f>
        <v>452</v>
      </c>
      <c r="K8" s="100"/>
      <c r="L8" s="101">
        <v>60</v>
      </c>
      <c r="M8" s="100">
        <f t="shared" si="1"/>
        <v>120</v>
      </c>
      <c r="N8" s="98"/>
    </row>
    <row r="9" spans="1:14">
      <c r="A9" s="7" t="s">
        <v>14</v>
      </c>
      <c r="B9" s="7">
        <v>8</v>
      </c>
      <c r="C9" s="7">
        <v>1</v>
      </c>
      <c r="D9" s="7">
        <v>2021</v>
      </c>
      <c r="E9" s="100">
        <f>'Athens Daily - EL'!AK15</f>
        <v>49565</v>
      </c>
      <c r="F9" s="100"/>
      <c r="G9" s="100">
        <f>'Athens Daily - Gas'!BH17</f>
        <v>119713.19999999998</v>
      </c>
      <c r="H9" s="100">
        <f t="shared" si="0"/>
        <v>3125.671018276762</v>
      </c>
      <c r="I9" s="100"/>
      <c r="J9" s="100">
        <f>'Athens Daily - Water'!R14</f>
        <v>413</v>
      </c>
      <c r="K9" s="100"/>
      <c r="L9" s="101">
        <v>64</v>
      </c>
      <c r="M9" s="100">
        <f t="shared" si="1"/>
        <v>128</v>
      </c>
      <c r="N9" s="98"/>
    </row>
    <row r="10" spans="1:14">
      <c r="A10" s="7" t="s">
        <v>14</v>
      </c>
      <c r="B10" s="7">
        <v>9</v>
      </c>
      <c r="C10" s="7">
        <v>1</v>
      </c>
      <c r="D10" s="7">
        <v>2021</v>
      </c>
      <c r="E10" s="100">
        <f>'Athens Daily - EL'!AK16</f>
        <v>56115</v>
      </c>
      <c r="F10" s="100"/>
      <c r="G10" s="100">
        <f>'Athens Daily - Gas'!BH18</f>
        <v>128464.17600000001</v>
      </c>
      <c r="H10" s="100">
        <f t="shared" si="0"/>
        <v>3354.1560313315931</v>
      </c>
      <c r="I10" s="100"/>
      <c r="J10" s="100">
        <f>'Athens Daily - Water'!R15</f>
        <v>516</v>
      </c>
      <c r="K10" s="100"/>
      <c r="L10" s="101">
        <v>100</v>
      </c>
      <c r="M10" s="100">
        <f t="shared" si="1"/>
        <v>200</v>
      </c>
      <c r="N10" s="98">
        <v>9</v>
      </c>
    </row>
    <row r="11" spans="1:14">
      <c r="A11" s="7" t="s">
        <v>14</v>
      </c>
      <c r="B11" s="7">
        <v>10</v>
      </c>
      <c r="C11" s="7">
        <v>1</v>
      </c>
      <c r="D11" s="7">
        <v>2021</v>
      </c>
      <c r="E11" s="100">
        <f>'Athens Daily - EL'!AK17</f>
        <v>48480</v>
      </c>
      <c r="F11" s="100"/>
      <c r="G11" s="100">
        <f>'Athens Daily - Gas'!BH19</f>
        <v>132631.19999999995</v>
      </c>
      <c r="H11" s="100">
        <f t="shared" si="0"/>
        <v>3462.9556135770226</v>
      </c>
      <c r="I11" s="100"/>
      <c r="J11" s="100">
        <f>'Athens Daily - Water'!R16</f>
        <v>593</v>
      </c>
      <c r="K11" s="100"/>
      <c r="L11" s="101">
        <v>63</v>
      </c>
      <c r="M11" s="100">
        <f t="shared" si="1"/>
        <v>126</v>
      </c>
      <c r="N11" s="98">
        <v>12</v>
      </c>
    </row>
    <row r="12" spans="1:14">
      <c r="A12" s="7" t="s">
        <v>14</v>
      </c>
      <c r="B12" s="7">
        <v>11</v>
      </c>
      <c r="C12" s="7">
        <v>1</v>
      </c>
      <c r="D12" s="7">
        <v>2021</v>
      </c>
      <c r="E12" s="100">
        <f>'Athens Daily - EL'!AK18</f>
        <v>48495</v>
      </c>
      <c r="F12" s="100"/>
      <c r="G12" s="100">
        <f>'Athens Daily - Gas'!BH20</f>
        <v>101193.12000000004</v>
      </c>
      <c r="H12" s="100">
        <f t="shared" si="0"/>
        <v>2642.1180156657974</v>
      </c>
      <c r="I12" s="100"/>
      <c r="J12" s="100">
        <f>'Athens Daily - Water'!R17</f>
        <v>563</v>
      </c>
      <c r="K12" s="100"/>
      <c r="L12" s="101">
        <v>39</v>
      </c>
      <c r="M12" s="100">
        <f t="shared" si="1"/>
        <v>78</v>
      </c>
      <c r="N12" s="98">
        <v>12</v>
      </c>
    </row>
    <row r="13" spans="1:14">
      <c r="A13" s="7" t="s">
        <v>14</v>
      </c>
      <c r="B13" s="7">
        <v>12</v>
      </c>
      <c r="C13" s="7">
        <v>1</v>
      </c>
      <c r="D13" s="7">
        <v>2021</v>
      </c>
      <c r="E13" s="100">
        <f>'Athens Daily - EL'!AK19</f>
        <v>50840</v>
      </c>
      <c r="F13" s="100"/>
      <c r="G13" s="100">
        <f>'Athens Daily - Gas'!BH21</f>
        <v>112814.87999999999</v>
      </c>
      <c r="H13" s="100">
        <f t="shared" si="0"/>
        <v>2945.558224543081</v>
      </c>
      <c r="I13" s="100"/>
      <c r="J13" s="100">
        <f>'Athens Daily - Water'!R18</f>
        <v>429</v>
      </c>
      <c r="K13" s="100"/>
      <c r="L13" s="101">
        <v>43</v>
      </c>
      <c r="M13" s="100">
        <f t="shared" si="1"/>
        <v>86</v>
      </c>
      <c r="N13" s="98">
        <v>10</v>
      </c>
    </row>
    <row r="14" spans="1:14">
      <c r="A14" s="7" t="s">
        <v>14</v>
      </c>
      <c r="B14" s="7">
        <v>13</v>
      </c>
      <c r="C14" s="7">
        <v>1</v>
      </c>
      <c r="D14" s="7">
        <v>2021</v>
      </c>
      <c r="E14" s="100">
        <f>'Athens Daily - EL'!AK20</f>
        <v>75030</v>
      </c>
      <c r="F14" s="100"/>
      <c r="G14" s="100">
        <f>'Athens Daily - Gas'!BH22</f>
        <v>108587.376</v>
      </c>
      <c r="H14" s="100">
        <f t="shared" si="0"/>
        <v>2835.1795300261101</v>
      </c>
      <c r="I14" s="100"/>
      <c r="J14" s="100">
        <f>'Athens Daily - Water'!R19</f>
        <v>458</v>
      </c>
      <c r="K14" s="100"/>
      <c r="L14" s="101">
        <v>46</v>
      </c>
      <c r="M14" s="100">
        <f t="shared" si="1"/>
        <v>92</v>
      </c>
      <c r="N14" s="98">
        <v>12</v>
      </c>
    </row>
    <row r="15" spans="1:14">
      <c r="A15" s="7" t="s">
        <v>14</v>
      </c>
      <c r="B15" s="7">
        <v>14</v>
      </c>
      <c r="C15" s="7">
        <v>1</v>
      </c>
      <c r="D15" s="7">
        <v>2021</v>
      </c>
      <c r="E15" s="100">
        <f>'Athens Daily - EL'!AK21</f>
        <v>25125</v>
      </c>
      <c r="F15" s="100"/>
      <c r="G15" s="100">
        <f>'Athens Daily - Gas'!BH23</f>
        <v>119019.984</v>
      </c>
      <c r="H15" s="100">
        <f t="shared" si="0"/>
        <v>3107.5713838120105</v>
      </c>
      <c r="I15" s="100"/>
      <c r="J15" s="100">
        <f>'Athens Daily - Water'!R20</f>
        <v>478</v>
      </c>
      <c r="K15" s="100"/>
      <c r="L15" s="101">
        <v>55</v>
      </c>
      <c r="M15" s="100">
        <f t="shared" si="1"/>
        <v>110</v>
      </c>
      <c r="N15" s="98">
        <v>13</v>
      </c>
    </row>
    <row r="16" spans="1:14">
      <c r="A16" s="7" t="s">
        <v>14</v>
      </c>
      <c r="B16" s="7">
        <v>15</v>
      </c>
      <c r="C16" s="7">
        <v>1</v>
      </c>
      <c r="D16" s="7">
        <v>2021</v>
      </c>
      <c r="E16" s="100">
        <f>'Athens Daily - EL'!AK22</f>
        <v>49595</v>
      </c>
      <c r="F16" s="100"/>
      <c r="G16" s="100">
        <f>'Athens Daily - Gas'!BH24</f>
        <v>120175.00799999997</v>
      </c>
      <c r="H16" s="100">
        <f t="shared" si="0"/>
        <v>3137.7286684073101</v>
      </c>
      <c r="I16" s="100"/>
      <c r="J16" s="100">
        <f>'Athens Daily - Water'!R21</f>
        <v>520</v>
      </c>
      <c r="K16" s="100"/>
      <c r="L16" s="101">
        <v>74</v>
      </c>
      <c r="M16" s="100">
        <f t="shared" si="1"/>
        <v>148</v>
      </c>
      <c r="N16" s="98">
        <v>13</v>
      </c>
    </row>
    <row r="17" spans="1:14">
      <c r="A17" s="7" t="s">
        <v>14</v>
      </c>
      <c r="B17" s="7">
        <v>16</v>
      </c>
      <c r="C17" s="7">
        <v>1</v>
      </c>
      <c r="D17" s="7">
        <v>2021</v>
      </c>
      <c r="E17" s="100">
        <f>'Athens Daily - EL'!AK23</f>
        <v>58370</v>
      </c>
      <c r="F17" s="100"/>
      <c r="G17" s="100">
        <f>'Athens Daily - Gas'!BH25</f>
        <v>123930.43200000002</v>
      </c>
      <c r="H17" s="100">
        <f t="shared" si="0"/>
        <v>3235.7815143603138</v>
      </c>
      <c r="I17" s="100"/>
      <c r="J17" s="100">
        <f>'Athens Daily - Water'!R22</f>
        <v>528</v>
      </c>
      <c r="K17" s="100"/>
      <c r="L17" s="101">
        <v>149</v>
      </c>
      <c r="M17" s="100">
        <f t="shared" si="1"/>
        <v>298</v>
      </c>
      <c r="N17" s="102"/>
    </row>
    <row r="18" spans="1:14">
      <c r="A18" s="7" t="s">
        <v>14</v>
      </c>
      <c r="B18" s="7">
        <v>17</v>
      </c>
      <c r="C18" s="7">
        <v>1</v>
      </c>
      <c r="D18" s="7">
        <v>2021</v>
      </c>
      <c r="E18" s="100">
        <f>'Athens Daily - EL'!AK24</f>
        <v>57660</v>
      </c>
      <c r="F18" s="100"/>
      <c r="G18" s="100">
        <f>'Athens Daily - Gas'!BH26</f>
        <v>117707.99999999999</v>
      </c>
      <c r="H18" s="100">
        <f t="shared" si="0"/>
        <v>3073.3159268929503</v>
      </c>
      <c r="I18" s="100"/>
      <c r="J18" s="100">
        <f>'Athens Daily - Water'!R23</f>
        <v>651</v>
      </c>
      <c r="K18" s="100"/>
      <c r="L18" s="101">
        <v>64</v>
      </c>
      <c r="M18" s="100">
        <f t="shared" si="1"/>
        <v>128</v>
      </c>
      <c r="N18" s="102"/>
    </row>
    <row r="19" spans="1:14">
      <c r="A19" s="7" t="s">
        <v>14</v>
      </c>
      <c r="B19" s="7">
        <v>18</v>
      </c>
      <c r="C19" s="7">
        <v>1</v>
      </c>
      <c r="D19" s="7">
        <v>2021</v>
      </c>
      <c r="E19" s="100">
        <f>'Athens Daily - EL'!AK25</f>
        <v>50990</v>
      </c>
      <c r="F19" s="100"/>
      <c r="G19" s="100">
        <f>'Athens Daily - Gas'!BH27</f>
        <v>108864.48000000003</v>
      </c>
      <c r="H19" s="100">
        <f t="shared" si="0"/>
        <v>2842.4146214099223</v>
      </c>
      <c r="I19" s="100"/>
      <c r="J19" s="100">
        <f>'Athens Daily - Water'!R24</f>
        <v>538</v>
      </c>
      <c r="K19" s="100"/>
      <c r="L19" s="101">
        <v>58</v>
      </c>
      <c r="M19" s="100">
        <f t="shared" si="1"/>
        <v>116</v>
      </c>
      <c r="N19" s="102"/>
    </row>
    <row r="20" spans="1:14">
      <c r="A20" s="7" t="s">
        <v>14</v>
      </c>
      <c r="B20" s="7">
        <v>19</v>
      </c>
      <c r="C20" s="7">
        <v>1</v>
      </c>
      <c r="D20" s="7">
        <v>2021</v>
      </c>
      <c r="E20" s="100">
        <f>'Athens Daily - EL'!AK26</f>
        <v>97700</v>
      </c>
      <c r="F20" s="100"/>
      <c r="G20" s="100">
        <f>'Athens Daily - Gas'!BH28</f>
        <v>109409.28</v>
      </c>
      <c r="H20" s="100">
        <f t="shared" si="0"/>
        <v>2856.6391644908617</v>
      </c>
      <c r="I20" s="100"/>
      <c r="J20" s="100">
        <f>'Athens Daily - Water'!R25</f>
        <v>1578</v>
      </c>
      <c r="K20" s="100"/>
      <c r="L20" s="101">
        <v>69</v>
      </c>
      <c r="M20" s="100">
        <f t="shared" si="1"/>
        <v>138</v>
      </c>
      <c r="N20" s="102"/>
    </row>
    <row r="21" spans="1:14">
      <c r="A21" s="7" t="s">
        <v>14</v>
      </c>
      <c r="B21" s="7">
        <v>20</v>
      </c>
      <c r="C21" s="7">
        <v>1</v>
      </c>
      <c r="D21" s="7">
        <v>2021</v>
      </c>
      <c r="E21" s="100">
        <f>'Athens Daily - EL'!AK27</f>
        <v>25502.5</v>
      </c>
      <c r="F21" s="100"/>
      <c r="G21" s="100">
        <f>'Athens Daily - Gas'!BH29</f>
        <v>109235.99999999999</v>
      </c>
      <c r="H21" s="100">
        <f t="shared" si="0"/>
        <v>2852.1148825065275</v>
      </c>
      <c r="I21" s="100"/>
      <c r="J21" s="100">
        <f>'Athens Daily - Water'!R26</f>
        <v>184.11166666666213</v>
      </c>
      <c r="K21" s="100"/>
      <c r="L21" s="101">
        <v>42</v>
      </c>
      <c r="M21" s="100">
        <f t="shared" si="1"/>
        <v>84</v>
      </c>
      <c r="N21" s="98"/>
    </row>
    <row r="22" spans="1:14">
      <c r="A22" s="7" t="s">
        <v>14</v>
      </c>
      <c r="B22" s="7">
        <v>21</v>
      </c>
      <c r="C22" s="7">
        <v>1</v>
      </c>
      <c r="D22" s="7">
        <v>2021</v>
      </c>
      <c r="E22" s="100">
        <f>'Athens Daily - EL'!AK28</f>
        <v>25502.5</v>
      </c>
      <c r="F22" s="100"/>
      <c r="G22" s="100">
        <f>'Athens Daily - Gas'!BH30</f>
        <v>114145.87199999999</v>
      </c>
      <c r="H22" s="100">
        <f t="shared" si="0"/>
        <v>2980.3099738903393</v>
      </c>
      <c r="I22" s="100"/>
      <c r="J22" s="100">
        <f>'Athens Daily - Water'!R27</f>
        <v>287.27244444444113</v>
      </c>
      <c r="K22" s="100"/>
      <c r="L22" s="101">
        <v>45</v>
      </c>
      <c r="M22" s="100">
        <f t="shared" si="1"/>
        <v>90</v>
      </c>
      <c r="N22" s="98"/>
    </row>
    <row r="23" spans="1:14">
      <c r="A23" s="7" t="s">
        <v>14</v>
      </c>
      <c r="B23" s="7">
        <v>22</v>
      </c>
      <c r="C23" s="7">
        <v>1</v>
      </c>
      <c r="D23" s="7">
        <v>2021</v>
      </c>
      <c r="E23" s="100">
        <f>'Athens Daily - EL'!AK29</f>
        <v>53585</v>
      </c>
      <c r="F23" s="100"/>
      <c r="G23" s="100">
        <f>'Athens Daily - Gas'!BH31</f>
        <v>114529.92000000001</v>
      </c>
      <c r="H23" s="100">
        <f t="shared" si="0"/>
        <v>2990.3373368146222</v>
      </c>
      <c r="I23" s="100"/>
      <c r="J23" s="100">
        <f>'Athens Daily - Water'!R28</f>
        <v>80.950888888895861</v>
      </c>
      <c r="K23" s="100"/>
      <c r="L23" s="101">
        <v>82</v>
      </c>
      <c r="M23" s="100">
        <f t="shared" si="1"/>
        <v>164</v>
      </c>
      <c r="N23" s="98">
        <v>19</v>
      </c>
    </row>
    <row r="24" spans="1:14">
      <c r="A24" s="7" t="s">
        <v>14</v>
      </c>
      <c r="B24" s="7">
        <v>23</v>
      </c>
      <c r="C24" s="7">
        <v>1</v>
      </c>
      <c r="D24" s="7">
        <v>2021</v>
      </c>
      <c r="E24" s="100">
        <f>'Athens Daily - EL'!AK30</f>
        <v>54140</v>
      </c>
      <c r="F24" s="100"/>
      <c r="G24" s="100">
        <f>'Athens Daily - Gas'!BH32</f>
        <v>117756.33599999997</v>
      </c>
      <c r="H24" s="100">
        <f t="shared" si="0"/>
        <v>3074.5779634464748</v>
      </c>
      <c r="I24" s="100"/>
      <c r="J24" s="100">
        <f>'Athens Daily - Water'!R29</f>
        <v>493.59400000000096</v>
      </c>
      <c r="K24" s="100"/>
      <c r="L24" s="101">
        <v>170</v>
      </c>
      <c r="M24" s="100">
        <f t="shared" si="1"/>
        <v>340</v>
      </c>
      <c r="N24" s="98">
        <v>20</v>
      </c>
    </row>
    <row r="25" spans="1:14">
      <c r="A25" s="7" t="s">
        <v>14</v>
      </c>
      <c r="B25" s="7">
        <v>24</v>
      </c>
      <c r="C25" s="7">
        <v>1</v>
      </c>
      <c r="D25" s="7">
        <v>2021</v>
      </c>
      <c r="E25" s="100">
        <f>'Athens Daily - EL'!AK31</f>
        <v>57960</v>
      </c>
      <c r="F25" s="100"/>
      <c r="G25" s="100">
        <f>'Athens Daily - Gas'!BH33</f>
        <v>123412.89600000001</v>
      </c>
      <c r="H25" s="100">
        <f t="shared" si="0"/>
        <v>3222.2688250652745</v>
      </c>
      <c r="I25" s="100"/>
      <c r="J25" s="100">
        <f>'Athens Daily - Water'!R30</f>
        <v>561.07099999999991</v>
      </c>
      <c r="K25" s="100"/>
      <c r="L25" s="101">
        <v>91</v>
      </c>
      <c r="M25" s="100">
        <f t="shared" si="1"/>
        <v>182</v>
      </c>
      <c r="N25" s="98">
        <v>19</v>
      </c>
    </row>
    <row r="26" spans="1:14">
      <c r="A26" s="7" t="s">
        <v>14</v>
      </c>
      <c r="B26" s="7">
        <v>25</v>
      </c>
      <c r="C26" s="7">
        <v>1</v>
      </c>
      <c r="D26" s="7">
        <v>2021</v>
      </c>
      <c r="E26" s="100">
        <f>'Athens Daily - EL'!AK32</f>
        <v>55070</v>
      </c>
      <c r="F26" s="100"/>
      <c r="G26" s="100">
        <f>'Athens Daily - Gas'!BH34</f>
        <v>111577.056</v>
      </c>
      <c r="H26" s="100">
        <f t="shared" si="0"/>
        <v>2913.2390600522194</v>
      </c>
      <c r="I26" s="100"/>
      <c r="J26" s="100">
        <f>'Athens Daily - Water'!R31</f>
        <v>643.16699999999946</v>
      </c>
      <c r="K26" s="100"/>
      <c r="L26" s="101">
        <v>56</v>
      </c>
      <c r="M26" s="100">
        <f t="shared" si="1"/>
        <v>112</v>
      </c>
      <c r="N26" s="99"/>
    </row>
    <row r="27" spans="1:14">
      <c r="A27" s="7" t="s">
        <v>14</v>
      </c>
      <c r="B27" s="7">
        <v>26</v>
      </c>
      <c r="C27" s="7">
        <v>1</v>
      </c>
      <c r="D27" s="7">
        <v>2021</v>
      </c>
      <c r="E27" s="100">
        <f>'Athens Daily - EL'!AK33</f>
        <v>51345</v>
      </c>
      <c r="F27" s="100"/>
      <c r="G27" s="100">
        <f>'Athens Daily - Gas'!BH35</f>
        <v>109588.70400000001</v>
      </c>
      <c r="H27" s="100">
        <f t="shared" si="0"/>
        <v>2861.3238642297656</v>
      </c>
      <c r="I27" s="100"/>
      <c r="J27" s="100">
        <f>'Athens Daily - Water'!R32</f>
        <v>485.83300000000054</v>
      </c>
      <c r="K27" s="100"/>
      <c r="L27" s="100"/>
      <c r="M27" s="100">
        <f t="shared" si="1"/>
        <v>0</v>
      </c>
      <c r="N27" s="99"/>
    </row>
    <row r="28" spans="1:14">
      <c r="A28" s="7" t="s">
        <v>14</v>
      </c>
      <c r="B28" s="7">
        <v>27</v>
      </c>
      <c r="C28" s="7">
        <v>1</v>
      </c>
      <c r="D28" s="7">
        <v>2021</v>
      </c>
      <c r="E28" s="100">
        <f>'Athens Daily - EL'!AK34</f>
        <v>52535</v>
      </c>
      <c r="F28" s="100"/>
      <c r="G28" s="100">
        <f>'Athens Daily - Gas'!BH36</f>
        <v>112727.13599999998</v>
      </c>
      <c r="H28" s="100">
        <f t="shared" si="0"/>
        <v>2943.2672584856396</v>
      </c>
      <c r="I28" s="100"/>
      <c r="J28" s="100">
        <f>'Athens Daily - Water'!R33</f>
        <v>483.37900000000081</v>
      </c>
      <c r="K28" s="100"/>
      <c r="L28" s="100"/>
      <c r="M28" s="100">
        <f t="shared" si="1"/>
        <v>0</v>
      </c>
      <c r="N28" s="99"/>
    </row>
    <row r="29" spans="1:14">
      <c r="A29" s="7" t="s">
        <v>14</v>
      </c>
      <c r="B29" s="7">
        <v>28</v>
      </c>
      <c r="C29" s="7">
        <v>1</v>
      </c>
      <c r="D29" s="7">
        <v>2021</v>
      </c>
      <c r="E29" s="100">
        <f>'Athens Daily - EL'!AK35</f>
        <v>53910</v>
      </c>
      <c r="F29" s="100"/>
      <c r="G29" s="100">
        <f>'Athens Daily - Gas'!BH37</f>
        <v>111696</v>
      </c>
      <c r="H29" s="100">
        <f t="shared" si="0"/>
        <v>2916.3446475195824</v>
      </c>
      <c r="I29" s="100"/>
      <c r="J29" s="100">
        <f>'Athens Daily - Water'!R34</f>
        <v>464.62099999999919</v>
      </c>
      <c r="K29" s="100"/>
      <c r="L29" s="100"/>
      <c r="M29" s="100">
        <f t="shared" si="1"/>
        <v>0</v>
      </c>
      <c r="N29" s="99"/>
    </row>
    <row r="30" spans="1:14">
      <c r="A30" s="7" t="s">
        <v>14</v>
      </c>
      <c r="B30" s="7">
        <v>29</v>
      </c>
      <c r="C30" s="7">
        <v>1</v>
      </c>
      <c r="D30" s="7">
        <v>2021</v>
      </c>
      <c r="E30" s="100">
        <f>'Athens Daily - EL'!AK36</f>
        <v>54965</v>
      </c>
      <c r="F30" s="100"/>
      <c r="G30" s="100">
        <f>'Athens Daily - Gas'!BH38</f>
        <v>125251.2</v>
      </c>
      <c r="H30" s="100">
        <f t="shared" si="0"/>
        <v>3270.2663185378592</v>
      </c>
      <c r="I30" s="100"/>
      <c r="J30" s="100">
        <f>'Athens Daily - Water'!R36</f>
        <v>1024</v>
      </c>
      <c r="K30" s="100"/>
      <c r="L30" s="100"/>
      <c r="M30" s="100">
        <f t="shared" si="1"/>
        <v>0</v>
      </c>
      <c r="N30" s="99"/>
    </row>
    <row r="31" spans="1:14">
      <c r="A31" s="7" t="s">
        <v>14</v>
      </c>
      <c r="B31" s="7">
        <v>30</v>
      </c>
      <c r="C31" s="7">
        <v>1</v>
      </c>
      <c r="D31" s="7">
        <v>2021</v>
      </c>
      <c r="E31" s="100">
        <f>'Athens Daily - EL'!AK37</f>
        <v>56450</v>
      </c>
      <c r="F31" s="100"/>
      <c r="G31" s="100">
        <f>'Athens Daily - Gas'!BH39</f>
        <v>118752</v>
      </c>
      <c r="H31" s="100">
        <f t="shared" si="0"/>
        <v>3100.5744125326373</v>
      </c>
      <c r="I31" s="100"/>
      <c r="J31" s="100">
        <f>'Athens Daily - Water'!R38</f>
        <v>0</v>
      </c>
      <c r="K31" s="100"/>
      <c r="L31" s="100"/>
      <c r="M31" s="100">
        <f t="shared" si="1"/>
        <v>0</v>
      </c>
      <c r="N31" s="99"/>
    </row>
    <row r="32" spans="1:14">
      <c r="A32" s="7" t="s">
        <v>14</v>
      </c>
      <c r="B32" s="7">
        <v>31</v>
      </c>
      <c r="C32" s="7">
        <v>1</v>
      </c>
      <c r="D32" s="7">
        <v>2021</v>
      </c>
      <c r="E32" s="100">
        <f>'Athens Daily - EL'!AK38</f>
        <v>52520</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14280</v>
      </c>
      <c r="F2" s="7"/>
      <c r="G2" s="38">
        <f>'Athens Daily - Gas'!BI9</f>
        <v>64204.800000000003</v>
      </c>
      <c r="H2" s="7"/>
      <c r="I2" s="39">
        <f>'Athens Daily - Water'!S7</f>
        <v>176.25</v>
      </c>
      <c r="J2" s="7"/>
      <c r="K2" s="7">
        <v>286</v>
      </c>
      <c r="L2" s="7">
        <v>2</v>
      </c>
    </row>
    <row r="3" spans="1:12">
      <c r="A3" s="7" t="s">
        <v>14</v>
      </c>
      <c r="B3" s="7">
        <v>2</v>
      </c>
      <c r="C3" s="7">
        <v>1</v>
      </c>
      <c r="D3" s="7">
        <v>2021</v>
      </c>
      <c r="E3" s="7">
        <f>'Athens Daily - EL'!AL9</f>
        <v>14681</v>
      </c>
      <c r="F3" s="7"/>
      <c r="G3" s="38">
        <f>'Athens Daily - Gas'!BI11</f>
        <v>73996.800000000003</v>
      </c>
      <c r="H3" s="7"/>
      <c r="I3" s="39">
        <f>'Athens Daily - Water'!S8</f>
        <v>177.75</v>
      </c>
      <c r="J3" s="7"/>
      <c r="K3" s="7">
        <v>285</v>
      </c>
      <c r="L3" s="7">
        <v>2</v>
      </c>
    </row>
    <row r="4" spans="1:12">
      <c r="A4" s="7" t="s">
        <v>14</v>
      </c>
      <c r="B4" s="7">
        <v>3</v>
      </c>
      <c r="C4" s="7">
        <v>1</v>
      </c>
      <c r="D4" s="7">
        <v>2021</v>
      </c>
      <c r="E4" s="7">
        <f>'Athens Daily - EL'!AL10</f>
        <v>16039</v>
      </c>
      <c r="F4" s="7"/>
      <c r="G4" s="38">
        <f>'Athens Daily - Gas'!BI12</f>
        <v>64963.200000000004</v>
      </c>
      <c r="H4" s="7"/>
      <c r="I4" s="39">
        <f>'Athens Daily - Water'!S9</f>
        <v>188.2</v>
      </c>
      <c r="J4" s="7"/>
      <c r="K4" s="7">
        <v>282</v>
      </c>
      <c r="L4" s="7">
        <v>2</v>
      </c>
    </row>
    <row r="5" spans="1:12">
      <c r="A5" s="7" t="s">
        <v>14</v>
      </c>
      <c r="B5" s="7">
        <v>4</v>
      </c>
      <c r="C5" s="7">
        <v>1</v>
      </c>
      <c r="D5" s="7">
        <v>2021</v>
      </c>
      <c r="E5" s="7">
        <f>'Athens Daily - EL'!AL11</f>
        <v>14369</v>
      </c>
      <c r="F5" s="7"/>
      <c r="G5" s="38">
        <f>'Athens Daily - Gas'!BI13</f>
        <v>67257.600000000006</v>
      </c>
      <c r="H5" s="7"/>
      <c r="I5" s="39">
        <f>'Athens Daily - Water'!S10</f>
        <v>165.60000000000002</v>
      </c>
      <c r="J5" s="7"/>
      <c r="K5" s="7">
        <v>284</v>
      </c>
      <c r="L5" s="7">
        <v>2</v>
      </c>
    </row>
    <row r="6" spans="1:12">
      <c r="A6" s="7" t="s">
        <v>14</v>
      </c>
      <c r="B6" s="7">
        <v>5</v>
      </c>
      <c r="C6" s="7">
        <v>1</v>
      </c>
      <c r="D6" s="7">
        <v>2021</v>
      </c>
      <c r="E6" s="7">
        <f>'Athens Daily - EL'!AL12</f>
        <v>14337</v>
      </c>
      <c r="F6" s="7"/>
      <c r="G6" s="38">
        <f>'Athens Daily - Gas'!BI14</f>
        <v>61584</v>
      </c>
      <c r="H6" s="7"/>
      <c r="I6" s="39">
        <f>'Athens Daily - Water'!S11</f>
        <v>177.75</v>
      </c>
      <c r="J6" s="7"/>
      <c r="K6" s="7">
        <v>286</v>
      </c>
      <c r="L6" s="7">
        <v>2</v>
      </c>
    </row>
    <row r="7" spans="1:12">
      <c r="A7" s="7" t="s">
        <v>14</v>
      </c>
      <c r="B7" s="7">
        <v>6</v>
      </c>
      <c r="C7" s="7">
        <v>1</v>
      </c>
      <c r="D7" s="7">
        <v>2021</v>
      </c>
      <c r="E7" s="7">
        <f>'Athens Daily - EL'!AL13</f>
        <v>13407</v>
      </c>
      <c r="F7" s="7"/>
      <c r="G7" s="38">
        <f>'Athens Daily - Gas'!BI15</f>
        <v>60086.400000000001</v>
      </c>
      <c r="H7" s="7"/>
      <c r="I7" s="39">
        <f>'Athens Daily - Water'!S12</f>
        <v>168.6</v>
      </c>
      <c r="J7" s="7"/>
      <c r="K7" s="7">
        <v>288</v>
      </c>
      <c r="L7" s="7">
        <v>2</v>
      </c>
    </row>
    <row r="8" spans="1:12">
      <c r="A8" s="7" t="s">
        <v>14</v>
      </c>
      <c r="B8" s="7">
        <v>7</v>
      </c>
      <c r="C8" s="7">
        <v>1</v>
      </c>
      <c r="D8" s="7">
        <v>2021</v>
      </c>
      <c r="E8" s="7">
        <f>'Athens Daily - EL'!AL14</f>
        <v>14975</v>
      </c>
      <c r="F8" s="7"/>
      <c r="G8" s="38">
        <f>'Athens Daily - Gas'!BI16</f>
        <v>57513.599999999999</v>
      </c>
      <c r="H8" s="7"/>
      <c r="I8" s="39">
        <f>'Athens Daily - Water'!S13</f>
        <v>173.2</v>
      </c>
      <c r="J8" s="7"/>
      <c r="K8" s="7">
        <v>286</v>
      </c>
      <c r="L8" s="7">
        <v>2</v>
      </c>
    </row>
    <row r="9" spans="1:12">
      <c r="A9" s="7" t="s">
        <v>14</v>
      </c>
      <c r="B9" s="7">
        <v>8</v>
      </c>
      <c r="C9" s="7">
        <v>1</v>
      </c>
      <c r="D9" s="7">
        <v>2021</v>
      </c>
      <c r="E9" s="7">
        <f>'Athens Daily - EL'!AL15</f>
        <v>14567</v>
      </c>
      <c r="F9" s="7"/>
      <c r="G9" s="38">
        <f>'Athens Daily - Gas'!BI17</f>
        <v>63926.400000000001</v>
      </c>
      <c r="H9" s="7"/>
      <c r="I9" s="39">
        <f>'Athens Daily - Water'!S14</f>
        <v>167.05</v>
      </c>
      <c r="J9" s="7"/>
      <c r="K9" s="7">
        <v>287</v>
      </c>
      <c r="L9" s="7">
        <v>2</v>
      </c>
    </row>
    <row r="10" spans="1:12">
      <c r="A10" s="7" t="s">
        <v>14</v>
      </c>
      <c r="B10" s="7">
        <v>9</v>
      </c>
      <c r="C10" s="7">
        <v>1</v>
      </c>
      <c r="D10" s="7">
        <v>2021</v>
      </c>
      <c r="E10" s="7">
        <f>'Athens Daily - EL'!AL16</f>
        <v>16580</v>
      </c>
      <c r="F10" s="7"/>
      <c r="G10" s="38">
        <f>'Athens Daily - Gas'!BI18</f>
        <v>65913.600000000006</v>
      </c>
      <c r="H10" s="7"/>
      <c r="I10" s="39">
        <f>'Athens Daily - Water'!S15</f>
        <v>165.55</v>
      </c>
      <c r="J10" s="7"/>
      <c r="K10" s="7">
        <v>284</v>
      </c>
      <c r="L10" s="7">
        <v>2</v>
      </c>
    </row>
    <row r="11" spans="1:12">
      <c r="A11" s="7" t="s">
        <v>14</v>
      </c>
      <c r="B11" s="7">
        <v>10</v>
      </c>
      <c r="C11" s="7">
        <v>1</v>
      </c>
      <c r="D11" s="7">
        <v>2021</v>
      </c>
      <c r="E11" s="7">
        <f>'Athens Daily - EL'!AL17</f>
        <v>16986</v>
      </c>
      <c r="F11" s="7"/>
      <c r="G11" s="38">
        <f>'Athens Daily - Gas'!BI19</f>
        <v>72067.200000000012</v>
      </c>
      <c r="H11" s="7"/>
      <c r="I11" s="39">
        <f>'Athens Daily - Water'!S16</f>
        <v>185.65</v>
      </c>
      <c r="J11" s="7"/>
      <c r="K11" s="7">
        <v>284</v>
      </c>
      <c r="L11" s="7">
        <v>2</v>
      </c>
    </row>
    <row r="12" spans="1:12">
      <c r="A12" s="7" t="s">
        <v>14</v>
      </c>
      <c r="B12" s="7">
        <v>11</v>
      </c>
      <c r="C12" s="7">
        <v>1</v>
      </c>
      <c r="D12" s="7">
        <v>2021</v>
      </c>
      <c r="E12" s="7">
        <f>'Athens Daily - EL'!AL18</f>
        <v>16858</v>
      </c>
      <c r="F12" s="7"/>
      <c r="G12" s="38">
        <f>'Athens Daily - Gas'!BI20</f>
        <v>55334.400000000001</v>
      </c>
      <c r="H12" s="7"/>
      <c r="I12" s="39">
        <f>'Athens Daily - Water'!S17</f>
        <v>176.05</v>
      </c>
      <c r="J12" s="7"/>
      <c r="K12" s="7">
        <v>284</v>
      </c>
      <c r="L12" s="7">
        <v>2</v>
      </c>
    </row>
    <row r="13" spans="1:12">
      <c r="A13" s="7" t="s">
        <v>14</v>
      </c>
      <c r="B13" s="7">
        <v>12</v>
      </c>
      <c r="C13" s="7">
        <v>1</v>
      </c>
      <c r="D13" s="7">
        <v>2021</v>
      </c>
      <c r="E13" s="7">
        <f>'Athens Daily - EL'!AL19</f>
        <v>17467</v>
      </c>
      <c r="F13" s="7"/>
      <c r="G13" s="38">
        <f>'Athens Daily - Gas'!BI21</f>
        <v>62707.200000000004</v>
      </c>
      <c r="H13" s="7"/>
      <c r="I13" s="39">
        <f>'Athens Daily - Water'!S18</f>
        <v>181.2</v>
      </c>
      <c r="J13" s="7"/>
      <c r="K13" s="7">
        <v>286</v>
      </c>
      <c r="L13" s="7">
        <v>2</v>
      </c>
    </row>
    <row r="14" spans="1:12">
      <c r="A14" s="7" t="s">
        <v>14</v>
      </c>
      <c r="B14" s="7">
        <v>13</v>
      </c>
      <c r="C14" s="7">
        <v>1</v>
      </c>
      <c r="D14" s="7">
        <v>2021</v>
      </c>
      <c r="E14" s="7">
        <f>'Athens Daily - EL'!AL20</f>
        <v>15263</v>
      </c>
      <c r="F14" s="7"/>
      <c r="G14" s="38">
        <f>'Athens Daily - Gas'!BI22</f>
        <v>82128</v>
      </c>
      <c r="H14" s="7"/>
      <c r="I14" s="39">
        <f>'Athens Daily - Water'!S19</f>
        <v>168.05</v>
      </c>
      <c r="J14" s="7"/>
      <c r="K14" s="7">
        <v>287</v>
      </c>
      <c r="L14" s="7">
        <v>2</v>
      </c>
    </row>
    <row r="15" spans="1:12">
      <c r="A15" s="7" t="s">
        <v>14</v>
      </c>
      <c r="B15" s="7">
        <v>14</v>
      </c>
      <c r="C15" s="7">
        <v>1</v>
      </c>
      <c r="D15" s="7">
        <v>2021</v>
      </c>
      <c r="E15" s="7">
        <f>'Athens Daily - EL'!AL21</f>
        <v>16634</v>
      </c>
      <c r="F15" s="7"/>
      <c r="G15" s="38">
        <f>'Athens Daily - Gas'!BI23</f>
        <v>40156.800000000003</v>
      </c>
      <c r="H15" s="7"/>
      <c r="I15" s="39">
        <f>'Athens Daily - Water'!S20</f>
        <v>163</v>
      </c>
      <c r="J15" s="7"/>
      <c r="K15" s="7">
        <v>287</v>
      </c>
      <c r="L15" s="7">
        <v>2</v>
      </c>
    </row>
    <row r="16" spans="1:12">
      <c r="A16" s="7" t="s">
        <v>14</v>
      </c>
      <c r="B16" s="7">
        <v>15</v>
      </c>
      <c r="C16" s="7">
        <v>1</v>
      </c>
      <c r="D16" s="7">
        <v>2021</v>
      </c>
      <c r="E16" s="7">
        <f>'Athens Daily - EL'!AL22</f>
        <v>17823</v>
      </c>
      <c r="F16" s="7"/>
      <c r="G16" s="38">
        <f>'Athens Daily - Gas'!BI24</f>
        <v>72153.600000000006</v>
      </c>
      <c r="H16" s="7"/>
      <c r="I16" s="39">
        <f>'Athens Daily - Water'!S21</f>
        <v>182.05</v>
      </c>
      <c r="J16" s="7"/>
      <c r="K16" s="7">
        <v>288</v>
      </c>
      <c r="L16" s="7">
        <v>2</v>
      </c>
    </row>
    <row r="17" spans="1:12">
      <c r="A17" s="7" t="s">
        <v>14</v>
      </c>
      <c r="B17" s="7">
        <v>16</v>
      </c>
      <c r="C17" s="7">
        <v>1</v>
      </c>
      <c r="D17" s="7">
        <v>2021</v>
      </c>
      <c r="E17" s="7">
        <f>'Athens Daily - EL'!AL23</f>
        <v>17633</v>
      </c>
      <c r="F17" s="7"/>
      <c r="G17" s="38">
        <f>'Athens Daily - Gas'!BI25</f>
        <v>54700.800000000003</v>
      </c>
      <c r="H17" s="7"/>
      <c r="I17" s="39">
        <f>'Athens Daily - Water'!S22</f>
        <v>158.10000000000002</v>
      </c>
      <c r="J17" s="7"/>
      <c r="K17" s="7">
        <v>288</v>
      </c>
      <c r="L17" s="7">
        <v>2</v>
      </c>
    </row>
    <row r="18" spans="1:12">
      <c r="A18" s="7" t="s">
        <v>14</v>
      </c>
      <c r="B18" s="7">
        <v>17</v>
      </c>
      <c r="C18" s="7">
        <v>1</v>
      </c>
      <c r="D18" s="7">
        <v>2021</v>
      </c>
      <c r="E18" s="7">
        <f>'Athens Daily - EL'!AL24</f>
        <v>18288</v>
      </c>
      <c r="F18" s="7"/>
      <c r="G18" s="38">
        <f>'Athens Daily - Gas'!BI26</f>
        <v>64675.200000000004</v>
      </c>
      <c r="H18" s="7"/>
      <c r="I18" s="39">
        <f>'Athens Daily - Water'!S23</f>
        <v>218.85000000000002</v>
      </c>
      <c r="J18" s="7"/>
      <c r="K18" s="7">
        <v>288</v>
      </c>
      <c r="L18" s="7">
        <v>2</v>
      </c>
    </row>
    <row r="19" spans="1:12">
      <c r="A19" s="7" t="s">
        <v>14</v>
      </c>
      <c r="B19" s="7">
        <v>18</v>
      </c>
      <c r="C19" s="7">
        <v>1</v>
      </c>
      <c r="D19" s="7">
        <v>2021</v>
      </c>
      <c r="E19" s="7">
        <f>'Athens Daily - EL'!AL25</f>
        <v>16300</v>
      </c>
      <c r="F19" s="7"/>
      <c r="G19" s="38">
        <f>'Athens Daily - Gas'!BI27</f>
        <v>59462.400000000001</v>
      </c>
      <c r="H19" s="7"/>
      <c r="I19" s="39">
        <f>'Athens Daily - Water'!S24</f>
        <v>201.55</v>
      </c>
      <c r="J19" s="7"/>
      <c r="K19" s="7">
        <v>291</v>
      </c>
      <c r="L19" s="7">
        <v>2</v>
      </c>
    </row>
    <row r="20" spans="1:12">
      <c r="A20" s="7" t="s">
        <v>14</v>
      </c>
      <c r="B20" s="7">
        <v>19</v>
      </c>
      <c r="C20" s="7">
        <v>1</v>
      </c>
      <c r="D20" s="7">
        <v>2021</v>
      </c>
      <c r="E20" s="7">
        <f>'Athens Daily - EL'!AL26</f>
        <v>34689</v>
      </c>
      <c r="F20" s="7"/>
      <c r="G20" s="38">
        <f>'Athens Daily - Gas'!BI28</f>
        <v>62812.800000000003</v>
      </c>
      <c r="H20" s="7"/>
      <c r="I20" s="39">
        <f>'Athens Daily - Water'!S25</f>
        <v>570.25</v>
      </c>
      <c r="J20" s="7"/>
      <c r="K20" s="7">
        <v>290</v>
      </c>
      <c r="L20" s="7">
        <v>2</v>
      </c>
    </row>
    <row r="21" spans="1:12">
      <c r="A21" s="7" t="s">
        <v>14</v>
      </c>
      <c r="B21" s="7">
        <v>20</v>
      </c>
      <c r="C21" s="7">
        <v>1</v>
      </c>
      <c r="D21" s="7">
        <v>2021</v>
      </c>
      <c r="E21" s="7">
        <f>'Athens Daily - EL'!AL27</f>
        <v>9128.5</v>
      </c>
      <c r="F21" s="7"/>
      <c r="G21" s="38">
        <f>'Athens Daily - Gas'!BI29</f>
        <v>60201.600000000006</v>
      </c>
      <c r="H21" s="7"/>
      <c r="I21" s="39">
        <f>'Athens Daily - Water'!S26</f>
        <v>64.883333333335216</v>
      </c>
      <c r="J21" s="7"/>
      <c r="K21" s="7">
        <v>292</v>
      </c>
      <c r="L21" s="7">
        <v>2</v>
      </c>
    </row>
    <row r="22" spans="1:12">
      <c r="A22" s="7" t="s">
        <v>14</v>
      </c>
      <c r="B22" s="7">
        <v>21</v>
      </c>
      <c r="C22" s="7">
        <v>1</v>
      </c>
      <c r="D22" s="7">
        <v>2021</v>
      </c>
      <c r="E22" s="7">
        <f>'Athens Daily - EL'!AL28</f>
        <v>9128.5</v>
      </c>
      <c r="F22" s="7"/>
      <c r="G22" s="38">
        <f>'Athens Daily - Gas'!BI30</f>
        <v>62688</v>
      </c>
      <c r="H22" s="7"/>
      <c r="I22" s="39">
        <f>'Athens Daily - Water'!S27</f>
        <v>105.20555555555548</v>
      </c>
      <c r="J22" s="7"/>
      <c r="K22" s="7">
        <v>293</v>
      </c>
      <c r="L22" s="7">
        <v>2</v>
      </c>
    </row>
    <row r="23" spans="1:12">
      <c r="A23" s="7" t="s">
        <v>14</v>
      </c>
      <c r="B23" s="7">
        <v>22</v>
      </c>
      <c r="C23" s="7">
        <v>1</v>
      </c>
      <c r="D23" s="7">
        <v>2021</v>
      </c>
      <c r="E23" s="7">
        <f>'Athens Daily - EL'!AL29</f>
        <v>17919</v>
      </c>
      <c r="F23" s="7"/>
      <c r="G23" s="38">
        <f>'Athens Daily - Gas'!BI31</f>
        <v>61564.800000000003</v>
      </c>
      <c r="H23" s="7"/>
      <c r="I23" s="39">
        <f>'Athens Daily - Water'!S28</f>
        <v>24.561111111109312</v>
      </c>
      <c r="J23" s="7"/>
      <c r="K23" s="7">
        <v>293</v>
      </c>
      <c r="L23" s="7">
        <v>2</v>
      </c>
    </row>
    <row r="24" spans="1:12">
      <c r="A24" s="7" t="s">
        <v>14</v>
      </c>
      <c r="B24" s="7">
        <v>23</v>
      </c>
      <c r="C24" s="7">
        <v>1</v>
      </c>
      <c r="D24" s="7">
        <v>2021</v>
      </c>
      <c r="E24" s="7">
        <f>'Athens Daily - EL'!AL30</f>
        <v>19069</v>
      </c>
      <c r="F24" s="7"/>
      <c r="G24" s="38">
        <f>'Athens Daily - Gas'!BI32</f>
        <v>62601.600000000006</v>
      </c>
      <c r="H24" s="7"/>
      <c r="I24" s="39">
        <f>'Athens Daily - Water'!S29</f>
        <v>185.85000000000002</v>
      </c>
      <c r="J24" s="7"/>
      <c r="K24" s="7">
        <v>294</v>
      </c>
      <c r="L24" s="7">
        <v>2</v>
      </c>
    </row>
    <row r="25" spans="1:12">
      <c r="A25" s="7" t="s">
        <v>14</v>
      </c>
      <c r="B25" s="7">
        <v>24</v>
      </c>
      <c r="C25" s="7">
        <v>1</v>
      </c>
      <c r="D25" s="7">
        <v>2021</v>
      </c>
      <c r="E25" s="7">
        <f>'Athens Daily - EL'!AL31</f>
        <v>20106</v>
      </c>
      <c r="F25" s="7"/>
      <c r="G25" s="38">
        <f>'Athens Daily - Gas'!BI33</f>
        <v>64348.800000000003</v>
      </c>
      <c r="H25" s="7"/>
      <c r="I25" s="39">
        <f>'Athens Daily - Water'!S30</f>
        <v>175.95</v>
      </c>
      <c r="J25" s="7"/>
      <c r="K25" s="7">
        <v>294</v>
      </c>
      <c r="L25" s="7">
        <v>2</v>
      </c>
    </row>
    <row r="26" spans="1:12">
      <c r="A26" s="7" t="s">
        <v>14</v>
      </c>
      <c r="B26" s="7">
        <v>25</v>
      </c>
      <c r="C26" s="7">
        <v>1</v>
      </c>
      <c r="D26" s="7">
        <v>2021</v>
      </c>
      <c r="E26" s="7">
        <f>'Athens Daily - EL'!AL32</f>
        <v>19837</v>
      </c>
      <c r="F26" s="7"/>
      <c r="G26" s="38">
        <f>'Athens Daily - Gas'!BI34</f>
        <v>60144</v>
      </c>
      <c r="H26" s="7"/>
      <c r="I26" s="39">
        <f>'Athens Daily - Water'!S31</f>
        <v>238.55</v>
      </c>
      <c r="J26" s="7"/>
      <c r="K26" s="7">
        <v>291</v>
      </c>
      <c r="L26" s="7">
        <v>2</v>
      </c>
    </row>
    <row r="27" spans="1:12">
      <c r="A27" s="7" t="s">
        <v>14</v>
      </c>
      <c r="B27" s="7">
        <v>26</v>
      </c>
      <c r="C27" s="7">
        <v>1</v>
      </c>
      <c r="D27" s="7">
        <v>2021</v>
      </c>
      <c r="E27" s="7">
        <f>'Athens Daily - EL'!AL33</f>
        <v>17612</v>
      </c>
      <c r="F27" s="7"/>
      <c r="G27" s="38">
        <f>'Athens Daily - Gas'!BI35</f>
        <v>59788.800000000003</v>
      </c>
      <c r="H27" s="7"/>
      <c r="I27" s="39">
        <f>'Athens Daily - Water'!S32</f>
        <v>143.44999999999999</v>
      </c>
      <c r="J27" s="7"/>
      <c r="K27" s="7">
        <v>291</v>
      </c>
      <c r="L27" s="7">
        <v>2</v>
      </c>
    </row>
    <row r="28" spans="1:12">
      <c r="A28" s="7" t="s">
        <v>14</v>
      </c>
      <c r="B28" s="7">
        <v>27</v>
      </c>
      <c r="C28" s="7">
        <v>1</v>
      </c>
      <c r="D28" s="7">
        <v>2021</v>
      </c>
      <c r="E28" s="7">
        <f>'Athens Daily - EL'!AL34</f>
        <v>17790</v>
      </c>
      <c r="F28" s="7"/>
      <c r="G28" s="38">
        <f>'Athens Daily - Gas'!BI36</f>
        <v>61353.600000000006</v>
      </c>
      <c r="H28" s="7"/>
      <c r="I28" s="39">
        <f>'Athens Daily - Water'!S33</f>
        <v>174.3</v>
      </c>
      <c r="J28" s="7"/>
      <c r="K28" s="7">
        <v>288</v>
      </c>
      <c r="L28" s="7">
        <v>2</v>
      </c>
    </row>
    <row r="29" spans="1:12">
      <c r="A29" s="7" t="s">
        <v>14</v>
      </c>
      <c r="B29" s="7">
        <v>28</v>
      </c>
      <c r="C29" s="7">
        <v>1</v>
      </c>
      <c r="D29" s="7">
        <v>2021</v>
      </c>
      <c r="E29" s="7">
        <f>'Athens Daily - EL'!AL35</f>
        <v>18899</v>
      </c>
      <c r="F29" s="7"/>
      <c r="G29" s="38">
        <f>'Athens Daily - Gas'!BI37</f>
        <v>61728</v>
      </c>
      <c r="H29" s="7"/>
      <c r="I29" s="39">
        <f>'Athens Daily - Water'!S34</f>
        <v>187.35000000000002</v>
      </c>
      <c r="J29" s="7"/>
      <c r="K29" s="7">
        <v>290</v>
      </c>
      <c r="L29" s="7">
        <v>2</v>
      </c>
    </row>
    <row r="30" spans="1:12">
      <c r="A30" s="7" t="s">
        <v>14</v>
      </c>
      <c r="B30" s="7">
        <v>29</v>
      </c>
      <c r="C30" s="7">
        <v>1</v>
      </c>
      <c r="D30" s="7">
        <v>2021</v>
      </c>
      <c r="E30" s="7">
        <f>'Athens Daily - EL'!AL36</f>
        <v>19343</v>
      </c>
      <c r="F30" s="7"/>
      <c r="G30" s="38">
        <f>'Athens Daily - Gas'!BI38</f>
        <v>69100.800000000003</v>
      </c>
      <c r="H30" s="7"/>
      <c r="I30" s="39">
        <f>'Athens Daily - Water'!S36</f>
        <v>366.35</v>
      </c>
      <c r="J30" s="7"/>
      <c r="K30" s="7">
        <v>291</v>
      </c>
      <c r="L30" s="7">
        <v>2</v>
      </c>
    </row>
    <row r="31" spans="1:12">
      <c r="A31" s="7" t="s">
        <v>14</v>
      </c>
      <c r="B31" s="7">
        <v>30</v>
      </c>
      <c r="C31" s="7">
        <v>1</v>
      </c>
      <c r="D31" s="7">
        <v>2021</v>
      </c>
      <c r="E31" s="7">
        <f>'Athens Daily - EL'!AL37</f>
        <v>18319</v>
      </c>
      <c r="F31" s="7"/>
      <c r="G31" s="38">
        <f>'Athens Daily - Gas'!BI39</f>
        <v>64128</v>
      </c>
      <c r="H31" s="7"/>
      <c r="I31" s="39">
        <f>'Athens Daily - Water'!S38</f>
        <v>0</v>
      </c>
      <c r="J31" s="7"/>
      <c r="K31" s="7">
        <v>290</v>
      </c>
      <c r="L31" s="7">
        <v>2</v>
      </c>
    </row>
    <row r="32" spans="1:12">
      <c r="A32" s="7" t="s">
        <v>14</v>
      </c>
      <c r="B32" s="7">
        <v>31</v>
      </c>
      <c r="C32" s="7">
        <v>1</v>
      </c>
      <c r="D32" s="7">
        <v>2021</v>
      </c>
      <c r="E32" s="7">
        <f>'Athens Daily - EL'!AL38</f>
        <v>17771</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89"/>
  <sheetViews>
    <sheetView topLeftCell="A2" zoomScale="60" zoomScaleNormal="60" workbookViewId="0">
      <pane xSplit="2" ySplit="5" topLeftCell="C7" activePane="bottomRight" state="frozen"/>
      <selection pane="topRight" activeCell="C2" sqref="C2"/>
      <selection pane="bottomLeft" activeCell="A7" sqref="A7"/>
      <selection pane="bottomRight" activeCell="A9" sqref="A9"/>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45" s="12" customFormat="1" ht="49.5" customHeight="1">
      <c r="A1" s="198"/>
      <c r="B1" s="198"/>
      <c r="C1" s="210" t="s">
        <v>65</v>
      </c>
      <c r="D1" s="210"/>
      <c r="E1" s="210" t="s">
        <v>65</v>
      </c>
      <c r="F1" s="210"/>
      <c r="G1" s="210" t="s">
        <v>65</v>
      </c>
      <c r="H1" s="210"/>
      <c r="I1" s="198"/>
      <c r="J1" s="210" t="s">
        <v>65</v>
      </c>
      <c r="K1" s="210"/>
      <c r="L1" s="210" t="s">
        <v>65</v>
      </c>
      <c r="M1" s="210"/>
      <c r="N1" s="223" t="s">
        <v>66</v>
      </c>
      <c r="O1" s="224"/>
      <c r="P1" s="225"/>
      <c r="Q1" s="223" t="s">
        <v>66</v>
      </c>
      <c r="R1" s="224"/>
      <c r="S1" s="225"/>
      <c r="T1" s="223" t="s">
        <v>66</v>
      </c>
      <c r="U1" s="224"/>
      <c r="V1" s="225"/>
      <c r="W1" s="223" t="s">
        <v>66</v>
      </c>
      <c r="X1" s="224"/>
      <c r="Y1" s="225"/>
      <c r="Z1" s="210" t="s">
        <v>67</v>
      </c>
      <c r="AA1" s="210"/>
      <c r="AB1" s="210" t="s">
        <v>67</v>
      </c>
      <c r="AC1" s="210"/>
      <c r="AD1" s="210" t="s">
        <v>67</v>
      </c>
      <c r="AE1" s="210"/>
      <c r="AF1" s="210" t="s">
        <v>67</v>
      </c>
      <c r="AG1" s="210"/>
      <c r="AH1" s="210" t="s">
        <v>67</v>
      </c>
      <c r="AI1" s="210"/>
    </row>
    <row r="2" spans="1:45" s="114" customFormat="1" ht="113.25" customHeight="1">
      <c r="A2" s="13"/>
      <c r="B2" s="14"/>
      <c r="C2" s="209" t="s">
        <v>68</v>
      </c>
      <c r="D2" s="209"/>
      <c r="E2" s="209" t="s">
        <v>69</v>
      </c>
      <c r="F2" s="209"/>
      <c r="G2" s="214" t="s">
        <v>70</v>
      </c>
      <c r="H2" s="215"/>
      <c r="I2" s="216"/>
      <c r="J2" s="209" t="s">
        <v>71</v>
      </c>
      <c r="K2" s="209"/>
      <c r="L2" s="209" t="s">
        <v>72</v>
      </c>
      <c r="M2" s="209"/>
      <c r="N2" s="214" t="s">
        <v>73</v>
      </c>
      <c r="O2" s="215"/>
      <c r="P2" s="216"/>
      <c r="Q2" s="214" t="s">
        <v>74</v>
      </c>
      <c r="R2" s="215"/>
      <c r="S2" s="216"/>
      <c r="T2" s="214" t="s">
        <v>75</v>
      </c>
      <c r="U2" s="215"/>
      <c r="V2" s="216"/>
      <c r="W2" s="214" t="s">
        <v>76</v>
      </c>
      <c r="X2" s="215"/>
      <c r="Y2" s="216"/>
      <c r="Z2" s="209" t="s">
        <v>77</v>
      </c>
      <c r="AA2" s="209"/>
      <c r="AB2" s="209" t="s">
        <v>78</v>
      </c>
      <c r="AC2" s="209"/>
      <c r="AD2" s="209" t="s">
        <v>79</v>
      </c>
      <c r="AE2" s="209"/>
      <c r="AF2" s="209" t="s">
        <v>78</v>
      </c>
      <c r="AG2" s="209"/>
      <c r="AH2" s="209" t="s">
        <v>80</v>
      </c>
      <c r="AI2" s="209"/>
    </row>
    <row r="3" spans="1:45" s="24" customFormat="1" ht="30" customHeight="1">
      <c r="A3" s="197"/>
      <c r="B3" s="48"/>
      <c r="C3" s="211">
        <v>5065546</v>
      </c>
      <c r="D3" s="213"/>
      <c r="E3" s="211">
        <v>5065547</v>
      </c>
      <c r="F3" s="213"/>
      <c r="G3" s="211">
        <v>5008272</v>
      </c>
      <c r="H3" s="212"/>
      <c r="I3" s="213"/>
      <c r="J3" s="211">
        <v>5065548</v>
      </c>
      <c r="K3" s="213"/>
      <c r="L3" s="211">
        <v>5465545</v>
      </c>
      <c r="M3" s="213"/>
      <c r="N3" s="211">
        <v>5008273</v>
      </c>
      <c r="O3" s="212"/>
      <c r="P3" s="213"/>
      <c r="Q3" s="211">
        <v>5018351</v>
      </c>
      <c r="R3" s="212"/>
      <c r="S3" s="213"/>
      <c r="T3" s="211">
        <v>5018354</v>
      </c>
      <c r="U3" s="212"/>
      <c r="V3" s="213"/>
      <c r="W3" s="211">
        <v>5018350</v>
      </c>
      <c r="X3" s="212"/>
      <c r="Y3" s="213"/>
      <c r="Z3" s="211">
        <v>5065543</v>
      </c>
      <c r="AA3" s="213"/>
      <c r="AB3" s="211">
        <v>5065544</v>
      </c>
      <c r="AC3" s="213"/>
      <c r="AD3" s="211">
        <v>5065541</v>
      </c>
      <c r="AE3" s="213"/>
      <c r="AF3" s="211">
        <v>5065542</v>
      </c>
      <c r="AG3" s="213"/>
      <c r="AH3" s="211">
        <v>5065540</v>
      </c>
      <c r="AI3" s="213"/>
      <c r="AK3" s="208" t="s">
        <v>81</v>
      </c>
      <c r="AL3" s="208"/>
    </row>
    <row r="4" spans="1:45" s="23" customFormat="1" ht="30" customHeight="1">
      <c r="A4" s="197"/>
      <c r="B4" s="200"/>
      <c r="C4" s="219" t="s">
        <v>82</v>
      </c>
      <c r="D4" s="220"/>
      <c r="E4" s="219" t="s">
        <v>83</v>
      </c>
      <c r="F4" s="220"/>
      <c r="G4" s="219" t="s">
        <v>84</v>
      </c>
      <c r="H4" s="221"/>
      <c r="I4" s="220"/>
      <c r="J4" s="219" t="s">
        <v>85</v>
      </c>
      <c r="K4" s="220"/>
      <c r="L4" s="219" t="s">
        <v>86</v>
      </c>
      <c r="M4" s="220"/>
      <c r="N4" s="219" t="s">
        <v>87</v>
      </c>
      <c r="O4" s="221"/>
      <c r="P4" s="220"/>
      <c r="Q4" s="219" t="s">
        <v>88</v>
      </c>
      <c r="R4" s="221"/>
      <c r="S4" s="220"/>
      <c r="T4" s="219" t="s">
        <v>89</v>
      </c>
      <c r="U4" s="221"/>
      <c r="V4" s="220"/>
      <c r="W4" s="219" t="s">
        <v>90</v>
      </c>
      <c r="X4" s="221"/>
      <c r="Y4" s="220"/>
      <c r="Z4" s="219" t="s">
        <v>91</v>
      </c>
      <c r="AA4" s="220"/>
      <c r="AB4" s="219" t="s">
        <v>92</v>
      </c>
      <c r="AC4" s="220"/>
      <c r="AD4" s="219" t="s">
        <v>93</v>
      </c>
      <c r="AE4" s="220"/>
      <c r="AF4" s="219" t="s">
        <v>94</v>
      </c>
      <c r="AG4" s="220"/>
      <c r="AH4" s="219" t="s">
        <v>95</v>
      </c>
      <c r="AI4" s="220"/>
      <c r="AK4" s="208"/>
      <c r="AL4" s="208"/>
    </row>
    <row r="5" spans="1:45" s="8" customFormat="1" ht="30" customHeight="1">
      <c r="A5" s="197" t="s">
        <v>96</v>
      </c>
      <c r="B5" s="49"/>
      <c r="C5" s="217" t="s">
        <v>97</v>
      </c>
      <c r="D5" s="218"/>
      <c r="E5" s="217" t="s">
        <v>97</v>
      </c>
      <c r="F5" s="218"/>
      <c r="G5" s="217" t="s">
        <v>97</v>
      </c>
      <c r="H5" s="222"/>
      <c r="I5" s="218"/>
      <c r="J5" s="49" t="s">
        <v>97</v>
      </c>
      <c r="K5" s="49"/>
      <c r="L5" s="217" t="s">
        <v>97</v>
      </c>
      <c r="M5" s="218"/>
      <c r="N5" s="217" t="s">
        <v>97</v>
      </c>
      <c r="O5" s="222"/>
      <c r="P5" s="218"/>
      <c r="Q5" s="217" t="s">
        <v>98</v>
      </c>
      <c r="R5" s="222"/>
      <c r="S5" s="218"/>
      <c r="T5" s="217" t="s">
        <v>98</v>
      </c>
      <c r="U5" s="222"/>
      <c r="V5" s="218"/>
      <c r="W5" s="217" t="s">
        <v>98</v>
      </c>
      <c r="X5" s="222"/>
      <c r="Y5" s="218"/>
      <c r="Z5" s="217" t="s">
        <v>97</v>
      </c>
      <c r="AA5" s="218"/>
      <c r="AB5" s="217" t="s">
        <v>97</v>
      </c>
      <c r="AC5" s="218"/>
      <c r="AD5" s="217" t="s">
        <v>97</v>
      </c>
      <c r="AE5" s="218"/>
      <c r="AF5" s="217" t="s">
        <v>97</v>
      </c>
      <c r="AG5" s="218"/>
      <c r="AH5" s="217" t="s">
        <v>97</v>
      </c>
      <c r="AI5" s="218"/>
    </row>
    <row r="6" spans="1:45" s="10" customFormat="1" ht="50.1" customHeight="1">
      <c r="A6" s="197" t="s">
        <v>99</v>
      </c>
      <c r="B6" s="197"/>
      <c r="C6" s="197" t="s">
        <v>100</v>
      </c>
      <c r="D6" s="197" t="s">
        <v>101</v>
      </c>
      <c r="E6" s="197" t="s">
        <v>100</v>
      </c>
      <c r="F6" s="197" t="s">
        <v>101</v>
      </c>
      <c r="G6" s="197" t="s">
        <v>100</v>
      </c>
      <c r="H6" s="197" t="s">
        <v>101</v>
      </c>
      <c r="I6" s="197" t="s">
        <v>102</v>
      </c>
      <c r="J6" s="197" t="s">
        <v>100</v>
      </c>
      <c r="K6" s="197" t="s">
        <v>101</v>
      </c>
      <c r="L6" s="197" t="s">
        <v>100</v>
      </c>
      <c r="M6" s="197" t="s">
        <v>101</v>
      </c>
      <c r="N6" s="197" t="s">
        <v>100</v>
      </c>
      <c r="O6" s="197" t="s">
        <v>101</v>
      </c>
      <c r="P6" s="197" t="s">
        <v>102</v>
      </c>
      <c r="Q6" s="197" t="s">
        <v>100</v>
      </c>
      <c r="R6" s="197" t="s">
        <v>101</v>
      </c>
      <c r="S6" s="197" t="s">
        <v>102</v>
      </c>
      <c r="T6" s="197" t="s">
        <v>100</v>
      </c>
      <c r="U6" s="197" t="s">
        <v>101</v>
      </c>
      <c r="V6" s="197" t="s">
        <v>102</v>
      </c>
      <c r="W6" s="197" t="s">
        <v>100</v>
      </c>
      <c r="X6" s="197" t="s">
        <v>101</v>
      </c>
      <c r="Y6" s="197" t="s">
        <v>102</v>
      </c>
      <c r="Z6" s="197" t="s">
        <v>100</v>
      </c>
      <c r="AA6" s="197" t="s">
        <v>101</v>
      </c>
      <c r="AB6" s="197" t="s">
        <v>100</v>
      </c>
      <c r="AC6" s="197" t="s">
        <v>101</v>
      </c>
      <c r="AD6" s="197" t="s">
        <v>100</v>
      </c>
      <c r="AE6" s="197" t="s">
        <v>101</v>
      </c>
      <c r="AF6" s="197" t="s">
        <v>100</v>
      </c>
      <c r="AG6" s="197" t="s">
        <v>101</v>
      </c>
      <c r="AH6" s="197" t="s">
        <v>100</v>
      </c>
      <c r="AI6" s="197" t="s">
        <v>101</v>
      </c>
      <c r="AK6" s="197" t="s">
        <v>65</v>
      </c>
      <c r="AL6" s="197" t="s">
        <v>67</v>
      </c>
    </row>
    <row r="7" spans="1:45" ht="39.950000000000003" customHeight="1">
      <c r="A7" s="192">
        <v>44742</v>
      </c>
      <c r="B7" s="16"/>
      <c r="C7" s="193">
        <v>271743</v>
      </c>
      <c r="D7" s="17"/>
      <c r="E7" s="193">
        <v>459657</v>
      </c>
      <c r="F7" s="17"/>
      <c r="G7" s="193">
        <v>192030</v>
      </c>
      <c r="H7" s="17"/>
      <c r="I7" s="17"/>
      <c r="J7" s="193">
        <v>398533</v>
      </c>
      <c r="K7" s="17"/>
      <c r="L7" s="193">
        <v>631822</v>
      </c>
      <c r="M7" s="17"/>
      <c r="N7" s="193">
        <v>318721</v>
      </c>
      <c r="O7" s="17"/>
      <c r="P7" s="17"/>
      <c r="Q7" s="193">
        <v>400701</v>
      </c>
      <c r="R7" s="17"/>
      <c r="S7" s="17"/>
      <c r="T7" s="193">
        <v>187090</v>
      </c>
      <c r="U7" s="17"/>
      <c r="V7" s="17"/>
      <c r="W7" s="193">
        <v>273642</v>
      </c>
      <c r="X7" s="17"/>
      <c r="Y7" s="17"/>
      <c r="Z7" s="193">
        <v>76485</v>
      </c>
      <c r="AA7" s="17"/>
      <c r="AB7" s="193">
        <v>145492</v>
      </c>
      <c r="AC7" s="17"/>
      <c r="AD7" s="193">
        <v>261722</v>
      </c>
      <c r="AE7" s="17"/>
      <c r="AF7" s="193">
        <v>133408</v>
      </c>
      <c r="AG7" s="17"/>
      <c r="AH7" s="193">
        <v>700914</v>
      </c>
      <c r="AI7" s="17"/>
      <c r="AJ7" s="19"/>
      <c r="AK7" s="96"/>
      <c r="AL7" s="97"/>
      <c r="AM7" s="19"/>
      <c r="AN7" s="19"/>
      <c r="AO7" s="19"/>
      <c r="AP7" s="19"/>
      <c r="AQ7" s="19"/>
      <c r="AR7" s="19"/>
      <c r="AS7" s="19"/>
    </row>
    <row r="8" spans="1:45" s="2" customFormat="1" ht="39.950000000000003" customHeight="1">
      <c r="A8" s="192">
        <v>44743</v>
      </c>
      <c r="B8" s="15"/>
      <c r="C8" s="194">
        <v>272178</v>
      </c>
      <c r="D8" s="17">
        <f>(C8-C7)*10</f>
        <v>4350</v>
      </c>
      <c r="E8" s="194">
        <v>460494</v>
      </c>
      <c r="F8" s="17">
        <f>(E8-E7)*10</f>
        <v>8370</v>
      </c>
      <c r="G8" s="194">
        <v>193516</v>
      </c>
      <c r="H8" s="17">
        <f>(G8-G7)*10</f>
        <v>14860</v>
      </c>
      <c r="I8" s="17">
        <f>H8*50%</f>
        <v>7430</v>
      </c>
      <c r="J8" s="194">
        <v>399143</v>
      </c>
      <c r="K8" s="17">
        <f>(J8-J7)*10</f>
        <v>6100</v>
      </c>
      <c r="L8" s="194">
        <v>632834</v>
      </c>
      <c r="M8" s="17">
        <f>(L8-L7)*10</f>
        <v>10120</v>
      </c>
      <c r="N8" s="194">
        <v>320231</v>
      </c>
      <c r="O8" s="17">
        <f t="shared" ref="O8:O38" si="0">(N8-N7)*10</f>
        <v>15100</v>
      </c>
      <c r="P8" s="17">
        <f>O8*50%</f>
        <v>7550</v>
      </c>
      <c r="Q8" s="194">
        <v>401563</v>
      </c>
      <c r="R8" s="17">
        <f t="shared" ref="R8:R38" si="1">(Q8-Q7)*10</f>
        <v>8620</v>
      </c>
      <c r="S8" s="17">
        <f>R8*50%</f>
        <v>4310</v>
      </c>
      <c r="T8" s="194">
        <v>187092</v>
      </c>
      <c r="U8" s="17">
        <f>(T8-T7)*10</f>
        <v>20</v>
      </c>
      <c r="V8" s="17">
        <f>U8*50%</f>
        <v>10</v>
      </c>
      <c r="W8" s="194">
        <v>273753</v>
      </c>
      <c r="X8" s="17">
        <f>(W8-W7)*10</f>
        <v>1110</v>
      </c>
      <c r="Y8" s="17">
        <f>X8*50%</f>
        <v>555</v>
      </c>
      <c r="Z8" s="194">
        <v>76608</v>
      </c>
      <c r="AA8" s="17">
        <f>Z8-Z7</f>
        <v>123</v>
      </c>
      <c r="AB8" s="194">
        <v>145706</v>
      </c>
      <c r="AC8" s="17">
        <f>AB8-AB7</f>
        <v>214</v>
      </c>
      <c r="AD8" s="194">
        <v>262114</v>
      </c>
      <c r="AE8" s="17">
        <f>AD8-AD7</f>
        <v>392</v>
      </c>
      <c r="AF8" s="194">
        <v>133598</v>
      </c>
      <c r="AG8" s="17">
        <f>AF8-AF7</f>
        <v>190</v>
      </c>
      <c r="AH8" s="194">
        <v>701850</v>
      </c>
      <c r="AI8" s="17">
        <f>AH8-AH7</f>
        <v>936</v>
      </c>
      <c r="AK8" s="96">
        <f>SUM(D8,F8,I8,K8,M8,P8,S8,V8,Y8)</f>
        <v>48795</v>
      </c>
      <c r="AL8" s="97">
        <f>SUM(P8,S8,V8,Y8,AA8,AC8,AE8,AG8,AI8)</f>
        <v>14280</v>
      </c>
    </row>
    <row r="9" spans="1:45" ht="39.950000000000003" customHeight="1">
      <c r="A9" s="192">
        <f>SUM(A8+1)</f>
        <v>44744</v>
      </c>
      <c r="B9" s="16"/>
      <c r="C9" s="194">
        <v>272614</v>
      </c>
      <c r="D9" s="17">
        <f t="shared" ref="D9:F25" si="2">(C9-C8)*10</f>
        <v>4360</v>
      </c>
      <c r="E9" s="194">
        <v>461313</v>
      </c>
      <c r="F9" s="17">
        <f t="shared" si="2"/>
        <v>8190</v>
      </c>
      <c r="G9" s="194">
        <v>195071</v>
      </c>
      <c r="H9" s="17">
        <f t="shared" ref="H9:H38" si="3">(G9-G8)*10</f>
        <v>15550</v>
      </c>
      <c r="I9" s="17">
        <f t="shared" ref="I9:I38" si="4">H9*50%</f>
        <v>7775</v>
      </c>
      <c r="J9" s="194">
        <v>399794</v>
      </c>
      <c r="K9" s="17">
        <f t="shared" ref="K9:K38" si="5">(J9-J8)*10</f>
        <v>6510</v>
      </c>
      <c r="L9" s="194">
        <v>633919</v>
      </c>
      <c r="M9" s="17">
        <f t="shared" ref="M9:M38" si="6">(L9-L8)*10</f>
        <v>10850</v>
      </c>
      <c r="N9" s="194">
        <v>321794</v>
      </c>
      <c r="O9" s="17">
        <f t="shared" si="0"/>
        <v>15630</v>
      </c>
      <c r="P9" s="17">
        <f t="shared" ref="P9:P38" si="7">O9*50%</f>
        <v>7815</v>
      </c>
      <c r="Q9" s="194">
        <v>402541</v>
      </c>
      <c r="R9" s="17">
        <f t="shared" si="1"/>
        <v>9780</v>
      </c>
      <c r="S9" s="17">
        <f t="shared" ref="S9:S38" si="8">R9*50%</f>
        <v>4890</v>
      </c>
      <c r="T9" s="194">
        <v>187094</v>
      </c>
      <c r="U9" s="17">
        <f t="shared" ref="U9:U38" si="9">(T9-T8)*10</f>
        <v>20</v>
      </c>
      <c r="V9" s="17">
        <f t="shared" ref="V9:V38" si="10">U9*50%</f>
        <v>10</v>
      </c>
      <c r="W9" s="194">
        <v>273760</v>
      </c>
      <c r="X9" s="17">
        <f t="shared" ref="X9:X38" si="11">(W9-W8)*10</f>
        <v>70</v>
      </c>
      <c r="Y9" s="17">
        <f t="shared" ref="Y9:Y38" si="12">X9*50%</f>
        <v>35</v>
      </c>
      <c r="Z9" s="194">
        <v>76728</v>
      </c>
      <c r="AA9" s="17">
        <f t="shared" ref="AA9:AA38" si="13">Z9-Z8</f>
        <v>120</v>
      </c>
      <c r="AB9" s="194">
        <v>145936</v>
      </c>
      <c r="AC9" s="17">
        <f t="shared" ref="AC9:AC38" si="14">AB9-AB8</f>
        <v>230</v>
      </c>
      <c r="AD9" s="194">
        <v>262528</v>
      </c>
      <c r="AE9" s="17">
        <f t="shared" ref="AE9:AE38" si="15">AD9-AD8</f>
        <v>414</v>
      </c>
      <c r="AF9" s="194">
        <v>133805</v>
      </c>
      <c r="AG9" s="17">
        <f t="shared" ref="AG9:AG38" si="16">AF9-AF8</f>
        <v>207</v>
      </c>
      <c r="AH9" s="194">
        <v>702810</v>
      </c>
      <c r="AI9" s="17">
        <f t="shared" ref="AI9:AI38" si="17">AH9-AH8</f>
        <v>960</v>
      </c>
      <c r="AK9" s="96">
        <f t="shared" ref="AK9:AK38" si="18">SUM(D9,F9,I9,K9,M9,P9,S9,V9,Y9)</f>
        <v>50435</v>
      </c>
      <c r="AL9" s="97">
        <f t="shared" ref="AL9:AL38" si="19">SUM(P9,S9,V9,Y9,AA9,AC9,AE9,AG9,AI9)</f>
        <v>14681</v>
      </c>
    </row>
    <row r="10" spans="1:45" ht="39.950000000000003" customHeight="1">
      <c r="A10" s="192">
        <f t="shared" ref="A10:A38" si="20">SUM(A9+1)</f>
        <v>44745</v>
      </c>
      <c r="B10" s="16"/>
      <c r="C10" s="194">
        <v>273058</v>
      </c>
      <c r="D10" s="17">
        <f t="shared" si="2"/>
        <v>4440</v>
      </c>
      <c r="E10" s="194">
        <v>462081</v>
      </c>
      <c r="F10" s="17">
        <f t="shared" si="2"/>
        <v>7680</v>
      </c>
      <c r="G10" s="194">
        <v>196545</v>
      </c>
      <c r="H10" s="17">
        <f t="shared" si="3"/>
        <v>14740</v>
      </c>
      <c r="I10" s="17">
        <f t="shared" si="4"/>
        <v>7370</v>
      </c>
      <c r="J10" s="194">
        <v>400460</v>
      </c>
      <c r="K10" s="17">
        <f t="shared" si="5"/>
        <v>6660</v>
      </c>
      <c r="L10" s="194">
        <v>634984</v>
      </c>
      <c r="M10" s="17">
        <f t="shared" si="6"/>
        <v>10650</v>
      </c>
      <c r="N10" s="194">
        <v>323171</v>
      </c>
      <c r="O10" s="17">
        <f t="shared" si="0"/>
        <v>13770</v>
      </c>
      <c r="P10" s="17">
        <f t="shared" si="7"/>
        <v>6885</v>
      </c>
      <c r="Q10" s="194">
        <v>402678</v>
      </c>
      <c r="R10" s="17">
        <f t="shared" si="1"/>
        <v>1370</v>
      </c>
      <c r="S10" s="17">
        <f t="shared" si="8"/>
        <v>685</v>
      </c>
      <c r="T10" s="194">
        <v>187816</v>
      </c>
      <c r="U10" s="17">
        <f t="shared" si="9"/>
        <v>7220</v>
      </c>
      <c r="V10" s="17">
        <f t="shared" si="10"/>
        <v>3610</v>
      </c>
      <c r="W10" s="194">
        <v>274341</v>
      </c>
      <c r="X10" s="17">
        <f t="shared" si="11"/>
        <v>5810</v>
      </c>
      <c r="Y10" s="17">
        <f t="shared" si="12"/>
        <v>2905</v>
      </c>
      <c r="Z10" s="194">
        <v>76851</v>
      </c>
      <c r="AA10" s="17">
        <f t="shared" si="13"/>
        <v>123</v>
      </c>
      <c r="AB10" s="194">
        <v>146157</v>
      </c>
      <c r="AC10" s="17">
        <f t="shared" si="14"/>
        <v>221</v>
      </c>
      <c r="AD10" s="194">
        <v>262936</v>
      </c>
      <c r="AE10" s="17">
        <f t="shared" si="15"/>
        <v>408</v>
      </c>
      <c r="AF10" s="194">
        <v>134008</v>
      </c>
      <c r="AG10" s="17">
        <f t="shared" si="16"/>
        <v>203</v>
      </c>
      <c r="AH10" s="194">
        <v>703809</v>
      </c>
      <c r="AI10" s="17">
        <f t="shared" si="17"/>
        <v>999</v>
      </c>
      <c r="AK10" s="96">
        <f t="shared" si="18"/>
        <v>50885</v>
      </c>
      <c r="AL10" s="97">
        <f t="shared" si="19"/>
        <v>16039</v>
      </c>
    </row>
    <row r="11" spans="1:45" ht="39.950000000000003" customHeight="1">
      <c r="A11" s="192">
        <f t="shared" si="20"/>
        <v>44746</v>
      </c>
      <c r="B11" s="16"/>
      <c r="C11" s="194">
        <v>273471</v>
      </c>
      <c r="D11" s="17">
        <f t="shared" si="2"/>
        <v>4130</v>
      </c>
      <c r="E11" s="194">
        <v>462819</v>
      </c>
      <c r="F11" s="17">
        <f t="shared" si="2"/>
        <v>7380</v>
      </c>
      <c r="G11" s="194">
        <v>198012</v>
      </c>
      <c r="H11" s="17">
        <f t="shared" si="3"/>
        <v>14670</v>
      </c>
      <c r="I11" s="17">
        <f t="shared" si="4"/>
        <v>7335</v>
      </c>
      <c r="J11" s="194">
        <v>401072</v>
      </c>
      <c r="K11" s="17">
        <f t="shared" si="5"/>
        <v>6120</v>
      </c>
      <c r="L11" s="194">
        <v>635889</v>
      </c>
      <c r="M11" s="17">
        <f t="shared" si="6"/>
        <v>9050</v>
      </c>
      <c r="N11" s="194">
        <v>324066</v>
      </c>
      <c r="O11" s="17">
        <f t="shared" si="0"/>
        <v>8950</v>
      </c>
      <c r="P11" s="17">
        <f t="shared" si="7"/>
        <v>4475</v>
      </c>
      <c r="Q11" s="194">
        <v>402710</v>
      </c>
      <c r="R11" s="17">
        <f t="shared" si="1"/>
        <v>320</v>
      </c>
      <c r="S11" s="17">
        <f t="shared" si="8"/>
        <v>160</v>
      </c>
      <c r="T11" s="194">
        <v>188794</v>
      </c>
      <c r="U11" s="17">
        <f t="shared" si="9"/>
        <v>9780</v>
      </c>
      <c r="V11" s="17">
        <f t="shared" si="10"/>
        <v>4890</v>
      </c>
      <c r="W11" s="194">
        <v>274927</v>
      </c>
      <c r="X11" s="17">
        <f t="shared" si="11"/>
        <v>5860</v>
      </c>
      <c r="Y11" s="17">
        <f t="shared" si="12"/>
        <v>2930</v>
      </c>
      <c r="Z11" s="194">
        <v>76972</v>
      </c>
      <c r="AA11" s="17">
        <f t="shared" si="13"/>
        <v>121</v>
      </c>
      <c r="AB11" s="194">
        <v>146376</v>
      </c>
      <c r="AC11" s="17">
        <f t="shared" si="14"/>
        <v>219</v>
      </c>
      <c r="AD11" s="194">
        <v>263340</v>
      </c>
      <c r="AE11" s="17">
        <f t="shared" si="15"/>
        <v>404</v>
      </c>
      <c r="AF11" s="194">
        <v>134203</v>
      </c>
      <c r="AG11" s="17">
        <f t="shared" si="16"/>
        <v>195</v>
      </c>
      <c r="AH11" s="194">
        <v>704784</v>
      </c>
      <c r="AI11" s="17">
        <f t="shared" si="17"/>
        <v>975</v>
      </c>
      <c r="AK11" s="96">
        <f t="shared" si="18"/>
        <v>46470</v>
      </c>
      <c r="AL11" s="97">
        <f t="shared" si="19"/>
        <v>14369</v>
      </c>
    </row>
    <row r="12" spans="1:45" ht="39.950000000000003" customHeight="1">
      <c r="A12" s="192">
        <f t="shared" si="20"/>
        <v>44747</v>
      </c>
      <c r="B12" s="16"/>
      <c r="C12" s="194">
        <v>273879</v>
      </c>
      <c r="D12" s="17">
        <f t="shared" si="2"/>
        <v>4080</v>
      </c>
      <c r="E12" s="194">
        <v>463566</v>
      </c>
      <c r="F12" s="17">
        <f t="shared" si="2"/>
        <v>7470</v>
      </c>
      <c r="G12" s="194">
        <v>199552</v>
      </c>
      <c r="H12" s="17">
        <f t="shared" si="3"/>
        <v>15400</v>
      </c>
      <c r="I12" s="17">
        <f t="shared" si="4"/>
        <v>7700</v>
      </c>
      <c r="J12" s="194">
        <v>401709</v>
      </c>
      <c r="K12" s="17">
        <f t="shared" si="5"/>
        <v>6370</v>
      </c>
      <c r="L12" s="194">
        <v>636912</v>
      </c>
      <c r="M12" s="17">
        <f t="shared" si="6"/>
        <v>10230</v>
      </c>
      <c r="N12" s="194">
        <v>325089</v>
      </c>
      <c r="O12" s="17">
        <f t="shared" si="0"/>
        <v>10230</v>
      </c>
      <c r="P12" s="17">
        <f t="shared" si="7"/>
        <v>5115</v>
      </c>
      <c r="Q12" s="194">
        <v>403229</v>
      </c>
      <c r="R12" s="17">
        <f t="shared" si="1"/>
        <v>5190</v>
      </c>
      <c r="S12" s="17">
        <f t="shared" si="8"/>
        <v>2595</v>
      </c>
      <c r="T12" s="194">
        <v>189703</v>
      </c>
      <c r="U12" s="17">
        <f t="shared" si="9"/>
        <v>9090</v>
      </c>
      <c r="V12" s="17">
        <f t="shared" si="10"/>
        <v>4545</v>
      </c>
      <c r="W12" s="194">
        <v>274976</v>
      </c>
      <c r="X12" s="17">
        <f t="shared" si="11"/>
        <v>490</v>
      </c>
      <c r="Y12" s="17">
        <f t="shared" si="12"/>
        <v>245</v>
      </c>
      <c r="Z12" s="194">
        <v>77096</v>
      </c>
      <c r="AA12" s="17">
        <f t="shared" si="13"/>
        <v>124</v>
      </c>
      <c r="AB12" s="194">
        <v>146507</v>
      </c>
      <c r="AC12" s="17">
        <f t="shared" si="14"/>
        <v>131</v>
      </c>
      <c r="AD12" s="194">
        <v>263745</v>
      </c>
      <c r="AE12" s="17">
        <f t="shared" si="15"/>
        <v>405</v>
      </c>
      <c r="AF12" s="194">
        <v>134396</v>
      </c>
      <c r="AG12" s="17">
        <f t="shared" si="16"/>
        <v>193</v>
      </c>
      <c r="AH12" s="194">
        <v>705768</v>
      </c>
      <c r="AI12" s="17">
        <f t="shared" si="17"/>
        <v>984</v>
      </c>
      <c r="AK12" s="96">
        <f t="shared" si="18"/>
        <v>48350</v>
      </c>
      <c r="AL12" s="97">
        <f t="shared" si="19"/>
        <v>14337</v>
      </c>
    </row>
    <row r="13" spans="1:45" ht="39.950000000000003" customHeight="1">
      <c r="A13" s="192">
        <f t="shared" si="20"/>
        <v>44748</v>
      </c>
      <c r="B13" s="16"/>
      <c r="C13" s="194">
        <v>274282</v>
      </c>
      <c r="D13" s="17">
        <f t="shared" si="2"/>
        <v>4030</v>
      </c>
      <c r="E13" s="194">
        <v>464276</v>
      </c>
      <c r="F13" s="17">
        <f t="shared" si="2"/>
        <v>7100</v>
      </c>
      <c r="G13" s="194">
        <v>201086</v>
      </c>
      <c r="H13" s="17">
        <f t="shared" si="3"/>
        <v>15340</v>
      </c>
      <c r="I13" s="17">
        <f t="shared" si="4"/>
        <v>7670</v>
      </c>
      <c r="J13" s="194">
        <v>402327</v>
      </c>
      <c r="K13" s="17">
        <f t="shared" si="5"/>
        <v>6180</v>
      </c>
      <c r="L13" s="194">
        <v>637932</v>
      </c>
      <c r="M13" s="17">
        <f t="shared" si="6"/>
        <v>10200</v>
      </c>
      <c r="N13" s="194">
        <v>325964</v>
      </c>
      <c r="O13" s="17">
        <f t="shared" si="0"/>
        <v>8750</v>
      </c>
      <c r="P13" s="17">
        <f t="shared" si="7"/>
        <v>4375</v>
      </c>
      <c r="Q13" s="194">
        <v>403806</v>
      </c>
      <c r="R13" s="17">
        <f t="shared" si="1"/>
        <v>5770</v>
      </c>
      <c r="S13" s="17">
        <f t="shared" si="8"/>
        <v>2885</v>
      </c>
      <c r="T13" s="194">
        <v>190485</v>
      </c>
      <c r="U13" s="17">
        <f t="shared" si="9"/>
        <v>7820</v>
      </c>
      <c r="V13" s="17">
        <f t="shared" si="10"/>
        <v>3910</v>
      </c>
      <c r="W13" s="194">
        <v>275021</v>
      </c>
      <c r="X13" s="17">
        <f t="shared" si="11"/>
        <v>450</v>
      </c>
      <c r="Y13" s="17">
        <f t="shared" si="12"/>
        <v>225</v>
      </c>
      <c r="Z13" s="194">
        <v>77213</v>
      </c>
      <c r="AA13" s="17">
        <f t="shared" si="13"/>
        <v>117</v>
      </c>
      <c r="AB13" s="194">
        <v>146819</v>
      </c>
      <c r="AC13" s="17">
        <f t="shared" si="14"/>
        <v>312</v>
      </c>
      <c r="AD13" s="194">
        <v>264157</v>
      </c>
      <c r="AE13" s="17">
        <f t="shared" si="15"/>
        <v>412</v>
      </c>
      <c r="AF13" s="194">
        <v>134591</v>
      </c>
      <c r="AG13" s="17">
        <f t="shared" si="16"/>
        <v>195</v>
      </c>
      <c r="AH13" s="194">
        <v>706744</v>
      </c>
      <c r="AI13" s="17">
        <f t="shared" si="17"/>
        <v>976</v>
      </c>
      <c r="AK13" s="96">
        <f t="shared" si="18"/>
        <v>46575</v>
      </c>
      <c r="AL13" s="97">
        <f t="shared" si="19"/>
        <v>13407</v>
      </c>
    </row>
    <row r="14" spans="1:45" ht="39.950000000000003" customHeight="1">
      <c r="A14" s="192">
        <f t="shared" si="20"/>
        <v>44749</v>
      </c>
      <c r="B14" s="16"/>
      <c r="C14" s="194">
        <v>274709</v>
      </c>
      <c r="D14" s="17">
        <f t="shared" si="2"/>
        <v>4270</v>
      </c>
      <c r="E14" s="194">
        <v>465043</v>
      </c>
      <c r="F14" s="17">
        <f t="shared" si="2"/>
        <v>7670</v>
      </c>
      <c r="G14" s="194">
        <v>202623</v>
      </c>
      <c r="H14" s="17">
        <f t="shared" si="3"/>
        <v>15370</v>
      </c>
      <c r="I14" s="17">
        <f t="shared" si="4"/>
        <v>7685</v>
      </c>
      <c r="J14" s="194">
        <v>402930</v>
      </c>
      <c r="K14" s="17">
        <f t="shared" si="5"/>
        <v>6030</v>
      </c>
      <c r="L14" s="194">
        <v>638950</v>
      </c>
      <c r="M14" s="17">
        <f t="shared" si="6"/>
        <v>10180</v>
      </c>
      <c r="N14" s="194">
        <v>327384</v>
      </c>
      <c r="O14" s="17">
        <f t="shared" si="0"/>
        <v>14200</v>
      </c>
      <c r="P14" s="17">
        <f t="shared" si="7"/>
        <v>7100</v>
      </c>
      <c r="Q14" s="194">
        <v>404182</v>
      </c>
      <c r="R14" s="17">
        <f t="shared" si="1"/>
        <v>3760</v>
      </c>
      <c r="S14" s="17">
        <f t="shared" si="8"/>
        <v>1880</v>
      </c>
      <c r="T14" s="194">
        <v>191228</v>
      </c>
      <c r="U14" s="17">
        <f t="shared" si="9"/>
        <v>7430</v>
      </c>
      <c r="V14" s="17">
        <f t="shared" si="10"/>
        <v>3715</v>
      </c>
      <c r="W14" s="194">
        <v>275103</v>
      </c>
      <c r="X14" s="17">
        <f t="shared" si="11"/>
        <v>820</v>
      </c>
      <c r="Y14" s="17">
        <f t="shared" si="12"/>
        <v>410</v>
      </c>
      <c r="Z14" s="194">
        <v>77328</v>
      </c>
      <c r="AA14" s="17">
        <f t="shared" si="13"/>
        <v>115</v>
      </c>
      <c r="AB14" s="194">
        <v>147037</v>
      </c>
      <c r="AC14" s="17">
        <f t="shared" si="14"/>
        <v>218</v>
      </c>
      <c r="AD14" s="194">
        <v>264558</v>
      </c>
      <c r="AE14" s="17">
        <f t="shared" si="15"/>
        <v>401</v>
      </c>
      <c r="AF14" s="194">
        <v>134778</v>
      </c>
      <c r="AG14" s="17">
        <f t="shared" si="16"/>
        <v>187</v>
      </c>
      <c r="AH14" s="194">
        <v>707693</v>
      </c>
      <c r="AI14" s="17">
        <f t="shared" si="17"/>
        <v>949</v>
      </c>
      <c r="AK14" s="96">
        <f t="shared" si="18"/>
        <v>48940</v>
      </c>
      <c r="AL14" s="97">
        <f t="shared" si="19"/>
        <v>14975</v>
      </c>
    </row>
    <row r="15" spans="1:45" ht="39.950000000000003" customHeight="1">
      <c r="A15" s="192">
        <f t="shared" si="20"/>
        <v>44750</v>
      </c>
      <c r="B15" s="16"/>
      <c r="C15" s="194">
        <v>275148</v>
      </c>
      <c r="D15" s="17">
        <f t="shared" si="2"/>
        <v>4390</v>
      </c>
      <c r="E15" s="194">
        <v>465834</v>
      </c>
      <c r="F15" s="17">
        <f t="shared" si="2"/>
        <v>7910</v>
      </c>
      <c r="G15" s="194">
        <v>204178</v>
      </c>
      <c r="H15" s="17">
        <f t="shared" si="3"/>
        <v>15550</v>
      </c>
      <c r="I15" s="17">
        <f t="shared" si="4"/>
        <v>7775</v>
      </c>
      <c r="J15" s="194">
        <v>403566</v>
      </c>
      <c r="K15" s="17">
        <f t="shared" si="5"/>
        <v>6360</v>
      </c>
      <c r="L15" s="194">
        <v>639999</v>
      </c>
      <c r="M15" s="17">
        <f t="shared" si="6"/>
        <v>10490</v>
      </c>
      <c r="N15" s="194">
        <v>328580</v>
      </c>
      <c r="O15" s="17">
        <f t="shared" si="0"/>
        <v>11960</v>
      </c>
      <c r="P15" s="17">
        <f t="shared" si="7"/>
        <v>5980</v>
      </c>
      <c r="Q15" s="194">
        <v>404578</v>
      </c>
      <c r="R15" s="17">
        <f t="shared" si="1"/>
        <v>3960</v>
      </c>
      <c r="S15" s="17">
        <f t="shared" si="8"/>
        <v>1980</v>
      </c>
      <c r="T15" s="194">
        <v>191230</v>
      </c>
      <c r="U15" s="17">
        <f t="shared" si="9"/>
        <v>20</v>
      </c>
      <c r="V15" s="17">
        <f t="shared" si="10"/>
        <v>10</v>
      </c>
      <c r="W15" s="194">
        <v>276037</v>
      </c>
      <c r="X15" s="17">
        <f t="shared" si="11"/>
        <v>9340</v>
      </c>
      <c r="Y15" s="17">
        <f t="shared" si="12"/>
        <v>4670</v>
      </c>
      <c r="Z15" s="194">
        <v>77453</v>
      </c>
      <c r="AA15" s="17">
        <f t="shared" si="13"/>
        <v>125</v>
      </c>
      <c r="AB15" s="194">
        <v>147267</v>
      </c>
      <c r="AC15" s="17">
        <f t="shared" si="14"/>
        <v>230</v>
      </c>
      <c r="AD15" s="194">
        <v>264968</v>
      </c>
      <c r="AE15" s="17">
        <f t="shared" si="15"/>
        <v>410</v>
      </c>
      <c r="AF15" s="194">
        <v>134968</v>
      </c>
      <c r="AG15" s="17">
        <f t="shared" si="16"/>
        <v>190</v>
      </c>
      <c r="AH15" s="194">
        <v>708665</v>
      </c>
      <c r="AI15" s="17">
        <f t="shared" si="17"/>
        <v>972</v>
      </c>
      <c r="AK15" s="96">
        <f t="shared" si="18"/>
        <v>49565</v>
      </c>
      <c r="AL15" s="97">
        <f t="shared" si="19"/>
        <v>14567</v>
      </c>
    </row>
    <row r="16" spans="1:45" ht="39.950000000000003" customHeight="1">
      <c r="A16" s="192">
        <f t="shared" si="20"/>
        <v>44751</v>
      </c>
      <c r="B16" s="16"/>
      <c r="C16" s="194">
        <v>275604</v>
      </c>
      <c r="D16" s="17">
        <f t="shared" si="2"/>
        <v>4560</v>
      </c>
      <c r="E16" s="194">
        <v>466970</v>
      </c>
      <c r="F16" s="17">
        <f t="shared" si="2"/>
        <v>11360</v>
      </c>
      <c r="G16" s="194">
        <v>205804</v>
      </c>
      <c r="H16" s="17">
        <f t="shared" si="3"/>
        <v>16260</v>
      </c>
      <c r="I16" s="17">
        <f t="shared" si="4"/>
        <v>8130</v>
      </c>
      <c r="J16" s="194">
        <v>404221</v>
      </c>
      <c r="K16" s="17">
        <f t="shared" si="5"/>
        <v>6550</v>
      </c>
      <c r="L16" s="194">
        <v>641089</v>
      </c>
      <c r="M16" s="17">
        <f t="shared" si="6"/>
        <v>10900</v>
      </c>
      <c r="N16" s="194">
        <v>329791</v>
      </c>
      <c r="O16" s="17">
        <f t="shared" si="0"/>
        <v>12110</v>
      </c>
      <c r="P16" s="17">
        <f t="shared" si="7"/>
        <v>6055</v>
      </c>
      <c r="Q16" s="194">
        <v>405652</v>
      </c>
      <c r="R16" s="17">
        <f t="shared" si="1"/>
        <v>10740</v>
      </c>
      <c r="S16" s="17">
        <f t="shared" si="8"/>
        <v>5370</v>
      </c>
      <c r="T16" s="194">
        <v>191825</v>
      </c>
      <c r="U16" s="17">
        <f t="shared" si="9"/>
        <v>5950</v>
      </c>
      <c r="V16" s="17">
        <f t="shared" si="10"/>
        <v>2975</v>
      </c>
      <c r="W16" s="194">
        <v>276080</v>
      </c>
      <c r="X16" s="17">
        <f t="shared" si="11"/>
        <v>430</v>
      </c>
      <c r="Y16" s="17">
        <f t="shared" si="12"/>
        <v>215</v>
      </c>
      <c r="Z16" s="194">
        <v>77586</v>
      </c>
      <c r="AA16" s="17">
        <f t="shared" si="13"/>
        <v>133</v>
      </c>
      <c r="AB16" s="194">
        <v>147497</v>
      </c>
      <c r="AC16" s="17">
        <f t="shared" si="14"/>
        <v>230</v>
      </c>
      <c r="AD16" s="194">
        <v>265383</v>
      </c>
      <c r="AE16" s="17">
        <f t="shared" si="15"/>
        <v>415</v>
      </c>
      <c r="AF16" s="194">
        <v>135165</v>
      </c>
      <c r="AG16" s="17">
        <f t="shared" si="16"/>
        <v>197</v>
      </c>
      <c r="AH16" s="194">
        <v>709655</v>
      </c>
      <c r="AI16" s="17">
        <f t="shared" si="17"/>
        <v>990</v>
      </c>
      <c r="AK16" s="96">
        <f t="shared" si="18"/>
        <v>56115</v>
      </c>
      <c r="AL16" s="97">
        <f t="shared" si="19"/>
        <v>16580</v>
      </c>
    </row>
    <row r="17" spans="1:38" ht="39.950000000000003" customHeight="1">
      <c r="A17" s="192">
        <f t="shared" si="20"/>
        <v>44752</v>
      </c>
      <c r="B17" s="16"/>
      <c r="C17" s="194">
        <v>276065</v>
      </c>
      <c r="D17" s="17">
        <f t="shared" si="2"/>
        <v>4610</v>
      </c>
      <c r="E17" s="194">
        <v>467517</v>
      </c>
      <c r="F17" s="17">
        <f t="shared" si="2"/>
        <v>5470</v>
      </c>
      <c r="G17" s="194">
        <v>207209</v>
      </c>
      <c r="H17" s="17">
        <f t="shared" si="3"/>
        <v>14050</v>
      </c>
      <c r="I17" s="17">
        <f t="shared" si="4"/>
        <v>7025</v>
      </c>
      <c r="J17" s="194">
        <v>404841</v>
      </c>
      <c r="K17" s="17">
        <f t="shared" si="5"/>
        <v>6200</v>
      </c>
      <c r="L17" s="194">
        <v>642101</v>
      </c>
      <c r="M17" s="17">
        <f t="shared" si="6"/>
        <v>10120</v>
      </c>
      <c r="N17" s="194">
        <v>331275</v>
      </c>
      <c r="O17" s="17">
        <f t="shared" si="0"/>
        <v>14840</v>
      </c>
      <c r="P17" s="17">
        <f t="shared" si="7"/>
        <v>7420</v>
      </c>
      <c r="Q17" s="194">
        <v>406084</v>
      </c>
      <c r="R17" s="17">
        <f t="shared" si="1"/>
        <v>4320</v>
      </c>
      <c r="S17" s="17">
        <f t="shared" si="8"/>
        <v>2160</v>
      </c>
      <c r="T17" s="194">
        <v>192857</v>
      </c>
      <c r="U17" s="17">
        <f t="shared" si="9"/>
        <v>10320</v>
      </c>
      <c r="V17" s="17">
        <f t="shared" si="10"/>
        <v>5160</v>
      </c>
      <c r="W17" s="194">
        <v>276143</v>
      </c>
      <c r="X17" s="17">
        <f t="shared" si="11"/>
        <v>630</v>
      </c>
      <c r="Y17" s="17">
        <f t="shared" si="12"/>
        <v>315</v>
      </c>
      <c r="Z17" s="194">
        <v>77705</v>
      </c>
      <c r="AA17" s="17">
        <f t="shared" si="13"/>
        <v>119</v>
      </c>
      <c r="AB17" s="194">
        <v>147720</v>
      </c>
      <c r="AC17" s="17">
        <f t="shared" si="14"/>
        <v>223</v>
      </c>
      <c r="AD17" s="194">
        <v>265781</v>
      </c>
      <c r="AE17" s="17">
        <f t="shared" si="15"/>
        <v>398</v>
      </c>
      <c r="AF17" s="194">
        <v>135354</v>
      </c>
      <c r="AG17" s="17">
        <f t="shared" si="16"/>
        <v>189</v>
      </c>
      <c r="AH17" s="194">
        <v>710657</v>
      </c>
      <c r="AI17" s="17">
        <f t="shared" si="17"/>
        <v>1002</v>
      </c>
      <c r="AK17" s="96">
        <f t="shared" si="18"/>
        <v>48480</v>
      </c>
      <c r="AL17" s="97">
        <f t="shared" si="19"/>
        <v>16986</v>
      </c>
    </row>
    <row r="18" spans="1:38" ht="39.950000000000003" customHeight="1">
      <c r="A18" s="192">
        <f t="shared" si="20"/>
        <v>44753</v>
      </c>
      <c r="B18" s="16"/>
      <c r="C18" s="194">
        <v>276513</v>
      </c>
      <c r="D18" s="17">
        <f t="shared" si="2"/>
        <v>4480</v>
      </c>
      <c r="E18" s="194">
        <v>468298</v>
      </c>
      <c r="F18" s="17">
        <f t="shared" si="2"/>
        <v>7810</v>
      </c>
      <c r="G18" s="194">
        <v>208428</v>
      </c>
      <c r="H18" s="17">
        <f t="shared" si="3"/>
        <v>12190</v>
      </c>
      <c r="I18" s="17">
        <f t="shared" si="4"/>
        <v>6095</v>
      </c>
      <c r="J18" s="194">
        <v>405452</v>
      </c>
      <c r="K18" s="17">
        <f t="shared" si="5"/>
        <v>6110</v>
      </c>
      <c r="L18" s="194">
        <v>643011</v>
      </c>
      <c r="M18" s="17">
        <f t="shared" si="6"/>
        <v>9100</v>
      </c>
      <c r="N18" s="194">
        <v>332772</v>
      </c>
      <c r="O18" s="17">
        <f t="shared" si="0"/>
        <v>14970</v>
      </c>
      <c r="P18" s="17">
        <f t="shared" si="7"/>
        <v>7485</v>
      </c>
      <c r="Q18" s="194">
        <v>406086</v>
      </c>
      <c r="R18" s="17">
        <f t="shared" si="1"/>
        <v>20</v>
      </c>
      <c r="S18" s="17">
        <f t="shared" si="8"/>
        <v>10</v>
      </c>
      <c r="T18" s="194">
        <v>193919</v>
      </c>
      <c r="U18" s="17">
        <f t="shared" si="9"/>
        <v>10620</v>
      </c>
      <c r="V18" s="17">
        <f t="shared" si="10"/>
        <v>5310</v>
      </c>
      <c r="W18" s="194">
        <v>276562</v>
      </c>
      <c r="X18" s="17">
        <f t="shared" si="11"/>
        <v>4190</v>
      </c>
      <c r="Y18" s="17">
        <f t="shared" si="12"/>
        <v>2095</v>
      </c>
      <c r="Z18" s="194">
        <v>77822</v>
      </c>
      <c r="AA18" s="17">
        <f t="shared" si="13"/>
        <v>117</v>
      </c>
      <c r="AB18" s="194">
        <v>147944</v>
      </c>
      <c r="AC18" s="17">
        <f t="shared" si="14"/>
        <v>224</v>
      </c>
      <c r="AD18" s="194">
        <v>266180</v>
      </c>
      <c r="AE18" s="17">
        <f t="shared" si="15"/>
        <v>399</v>
      </c>
      <c r="AF18" s="194">
        <v>135545</v>
      </c>
      <c r="AG18" s="17">
        <f t="shared" si="16"/>
        <v>191</v>
      </c>
      <c r="AH18" s="194">
        <v>711684</v>
      </c>
      <c r="AI18" s="17">
        <f t="shared" si="17"/>
        <v>1027</v>
      </c>
      <c r="AK18" s="96">
        <f t="shared" si="18"/>
        <v>48495</v>
      </c>
      <c r="AL18" s="97">
        <f t="shared" si="19"/>
        <v>16858</v>
      </c>
    </row>
    <row r="19" spans="1:38" ht="39.950000000000003" customHeight="1">
      <c r="A19" s="192">
        <f t="shared" si="20"/>
        <v>44754</v>
      </c>
      <c r="B19" s="16"/>
      <c r="C19" s="194">
        <v>276965</v>
      </c>
      <c r="D19" s="17">
        <f t="shared" si="2"/>
        <v>4520</v>
      </c>
      <c r="E19" s="194">
        <v>469085</v>
      </c>
      <c r="F19" s="17">
        <f t="shared" si="2"/>
        <v>7870</v>
      </c>
      <c r="G19" s="194">
        <v>209718</v>
      </c>
      <c r="H19" s="17">
        <f t="shared" si="3"/>
        <v>12900</v>
      </c>
      <c r="I19" s="17">
        <f t="shared" si="4"/>
        <v>6450</v>
      </c>
      <c r="J19" s="194">
        <v>406079</v>
      </c>
      <c r="K19" s="17">
        <f t="shared" si="5"/>
        <v>6270</v>
      </c>
      <c r="L19" s="194">
        <v>644040</v>
      </c>
      <c r="M19" s="17">
        <f t="shared" si="6"/>
        <v>10290</v>
      </c>
      <c r="N19" s="194">
        <v>334314</v>
      </c>
      <c r="O19" s="17">
        <f t="shared" si="0"/>
        <v>15420</v>
      </c>
      <c r="P19" s="17">
        <f t="shared" si="7"/>
        <v>7710</v>
      </c>
      <c r="Q19" s="194">
        <v>406491</v>
      </c>
      <c r="R19" s="17">
        <f t="shared" si="1"/>
        <v>4050</v>
      </c>
      <c r="S19" s="17">
        <f t="shared" si="8"/>
        <v>2025</v>
      </c>
      <c r="T19" s="194">
        <v>194997</v>
      </c>
      <c r="U19" s="17">
        <f t="shared" si="9"/>
        <v>10780</v>
      </c>
      <c r="V19" s="17">
        <f t="shared" si="10"/>
        <v>5390</v>
      </c>
      <c r="W19" s="194">
        <v>276625</v>
      </c>
      <c r="X19" s="17">
        <f t="shared" si="11"/>
        <v>630</v>
      </c>
      <c r="Y19" s="17">
        <f t="shared" si="12"/>
        <v>315</v>
      </c>
      <c r="Z19" s="194">
        <v>77949</v>
      </c>
      <c r="AA19" s="17">
        <f t="shared" si="13"/>
        <v>127</v>
      </c>
      <c r="AB19" s="194">
        <v>148182</v>
      </c>
      <c r="AC19" s="17">
        <f t="shared" si="14"/>
        <v>238</v>
      </c>
      <c r="AD19" s="194">
        <v>266584</v>
      </c>
      <c r="AE19" s="17">
        <f t="shared" si="15"/>
        <v>404</v>
      </c>
      <c r="AF19" s="194">
        <v>135739</v>
      </c>
      <c r="AG19" s="17">
        <f t="shared" si="16"/>
        <v>194</v>
      </c>
      <c r="AH19" s="194">
        <v>712748</v>
      </c>
      <c r="AI19" s="17">
        <f t="shared" si="17"/>
        <v>1064</v>
      </c>
      <c r="AK19" s="96">
        <f t="shared" si="18"/>
        <v>50840</v>
      </c>
      <c r="AL19" s="97">
        <f t="shared" si="19"/>
        <v>17467</v>
      </c>
    </row>
    <row r="20" spans="1:38" ht="39.950000000000003" customHeight="1">
      <c r="A20" s="192">
        <f t="shared" si="20"/>
        <v>44755</v>
      </c>
      <c r="B20" s="16"/>
      <c r="C20" s="194">
        <v>277379</v>
      </c>
      <c r="D20" s="17">
        <f t="shared" si="2"/>
        <v>4140</v>
      </c>
      <c r="E20" s="194">
        <v>469481</v>
      </c>
      <c r="F20" s="17">
        <f t="shared" si="2"/>
        <v>3960</v>
      </c>
      <c r="G20" s="194">
        <v>211115</v>
      </c>
      <c r="H20" s="17">
        <f t="shared" si="3"/>
        <v>13970</v>
      </c>
      <c r="I20" s="17">
        <f t="shared" si="4"/>
        <v>6985</v>
      </c>
      <c r="J20" s="194">
        <v>409712</v>
      </c>
      <c r="K20" s="17">
        <f t="shared" si="5"/>
        <v>36330</v>
      </c>
      <c r="L20" s="194">
        <v>645075</v>
      </c>
      <c r="M20" s="17">
        <f t="shared" si="6"/>
        <v>10350</v>
      </c>
      <c r="N20" s="194">
        <v>335384</v>
      </c>
      <c r="O20" s="17">
        <f t="shared" si="0"/>
        <v>10700</v>
      </c>
      <c r="P20" s="17">
        <f t="shared" si="7"/>
        <v>5350</v>
      </c>
      <c r="Q20" s="194">
        <v>407180</v>
      </c>
      <c r="R20" s="17">
        <f t="shared" si="1"/>
        <v>6890</v>
      </c>
      <c r="S20" s="17">
        <f t="shared" si="8"/>
        <v>3445</v>
      </c>
      <c r="T20" s="194">
        <v>195841</v>
      </c>
      <c r="U20" s="17">
        <f t="shared" si="9"/>
        <v>8440</v>
      </c>
      <c r="V20" s="17">
        <f t="shared" si="10"/>
        <v>4220</v>
      </c>
      <c r="W20" s="194">
        <v>276675</v>
      </c>
      <c r="X20" s="17">
        <f t="shared" si="11"/>
        <v>500</v>
      </c>
      <c r="Y20" s="17">
        <f t="shared" si="12"/>
        <v>250</v>
      </c>
      <c r="Z20" s="194">
        <v>78075</v>
      </c>
      <c r="AA20" s="17">
        <f t="shared" si="13"/>
        <v>126</v>
      </c>
      <c r="AB20" s="194">
        <v>148412</v>
      </c>
      <c r="AC20" s="17">
        <f t="shared" si="14"/>
        <v>230</v>
      </c>
      <c r="AD20" s="194">
        <v>266988</v>
      </c>
      <c r="AE20" s="17">
        <f t="shared" si="15"/>
        <v>404</v>
      </c>
      <c r="AF20" s="194">
        <v>135933</v>
      </c>
      <c r="AG20" s="17">
        <f t="shared" si="16"/>
        <v>194</v>
      </c>
      <c r="AH20" s="194">
        <v>713792</v>
      </c>
      <c r="AI20" s="17">
        <f t="shared" si="17"/>
        <v>1044</v>
      </c>
      <c r="AK20" s="96">
        <f t="shared" si="18"/>
        <v>75030</v>
      </c>
      <c r="AL20" s="97">
        <f t="shared" si="19"/>
        <v>15263</v>
      </c>
    </row>
    <row r="21" spans="1:38" ht="39.950000000000003" customHeight="1">
      <c r="A21" s="192">
        <f t="shared" si="20"/>
        <v>44756</v>
      </c>
      <c r="B21" s="16"/>
      <c r="C21" s="194">
        <v>277829</v>
      </c>
      <c r="D21" s="17">
        <f t="shared" si="2"/>
        <v>4500</v>
      </c>
      <c r="E21" s="194">
        <v>470611</v>
      </c>
      <c r="F21" s="17">
        <f t="shared" si="2"/>
        <v>11300</v>
      </c>
      <c r="G21" s="194">
        <v>212648</v>
      </c>
      <c r="H21" s="17">
        <f t="shared" si="3"/>
        <v>15330</v>
      </c>
      <c r="I21" s="17">
        <f t="shared" si="4"/>
        <v>7665</v>
      </c>
      <c r="J21" s="194">
        <v>407384</v>
      </c>
      <c r="K21" s="17">
        <f t="shared" si="5"/>
        <v>-23280</v>
      </c>
      <c r="L21" s="194">
        <v>646105</v>
      </c>
      <c r="M21" s="17">
        <f t="shared" si="6"/>
        <v>10300</v>
      </c>
      <c r="N21" s="194">
        <v>336463</v>
      </c>
      <c r="O21" s="17">
        <f t="shared" si="0"/>
        <v>10790</v>
      </c>
      <c r="P21" s="17">
        <f t="shared" si="7"/>
        <v>5395</v>
      </c>
      <c r="Q21" s="201">
        <v>408244</v>
      </c>
      <c r="R21" s="17">
        <f t="shared" si="1"/>
        <v>10640</v>
      </c>
      <c r="S21" s="17">
        <f t="shared" si="8"/>
        <v>5320</v>
      </c>
      <c r="T21" s="194">
        <v>196445</v>
      </c>
      <c r="U21" s="17">
        <f t="shared" si="9"/>
        <v>6040</v>
      </c>
      <c r="V21" s="17">
        <f t="shared" si="10"/>
        <v>3020</v>
      </c>
      <c r="W21" s="194">
        <v>276856</v>
      </c>
      <c r="X21" s="17">
        <f t="shared" si="11"/>
        <v>1810</v>
      </c>
      <c r="Y21" s="17">
        <f t="shared" si="12"/>
        <v>905</v>
      </c>
      <c r="Z21" s="194">
        <v>78200</v>
      </c>
      <c r="AA21" s="17">
        <f t="shared" si="13"/>
        <v>125</v>
      </c>
      <c r="AB21" s="194">
        <v>148652</v>
      </c>
      <c r="AC21" s="17">
        <f t="shared" si="14"/>
        <v>240</v>
      </c>
      <c r="AD21" s="194">
        <v>267401</v>
      </c>
      <c r="AE21" s="17">
        <f t="shared" si="15"/>
        <v>413</v>
      </c>
      <c r="AF21" s="194">
        <v>136128</v>
      </c>
      <c r="AG21" s="17">
        <f t="shared" si="16"/>
        <v>195</v>
      </c>
      <c r="AH21" s="194">
        <v>714813</v>
      </c>
      <c r="AI21" s="17">
        <f t="shared" si="17"/>
        <v>1021</v>
      </c>
      <c r="AK21" s="96">
        <f t="shared" si="18"/>
        <v>25125</v>
      </c>
      <c r="AL21" s="97">
        <f t="shared" si="19"/>
        <v>16634</v>
      </c>
    </row>
    <row r="22" spans="1:38" ht="39.950000000000003" customHeight="1">
      <c r="A22" s="192">
        <f t="shared" si="20"/>
        <v>44757</v>
      </c>
      <c r="B22" s="16"/>
      <c r="C22" s="194">
        <v>277838</v>
      </c>
      <c r="D22" s="17">
        <f t="shared" si="2"/>
        <v>90</v>
      </c>
      <c r="E22" s="194">
        <v>471451</v>
      </c>
      <c r="F22" s="17">
        <f t="shared" si="2"/>
        <v>8400</v>
      </c>
      <c r="G22" s="194">
        <v>214219</v>
      </c>
      <c r="H22" s="17">
        <f t="shared" si="3"/>
        <v>15710</v>
      </c>
      <c r="I22" s="17">
        <f t="shared" si="4"/>
        <v>7855</v>
      </c>
      <c r="J22" s="194">
        <v>408025</v>
      </c>
      <c r="K22" s="17">
        <f t="shared" si="5"/>
        <v>6410</v>
      </c>
      <c r="L22" s="194">
        <v>647190</v>
      </c>
      <c r="M22" s="17">
        <f t="shared" si="6"/>
        <v>10850</v>
      </c>
      <c r="N22" s="194">
        <v>336932</v>
      </c>
      <c r="O22" s="17">
        <f t="shared" si="0"/>
        <v>4690</v>
      </c>
      <c r="P22" s="17">
        <f t="shared" si="7"/>
        <v>2345</v>
      </c>
      <c r="Q22" s="194">
        <v>409059</v>
      </c>
      <c r="R22" s="17">
        <f t="shared" si="1"/>
        <v>8150</v>
      </c>
      <c r="S22" s="17">
        <f t="shared" si="8"/>
        <v>4075</v>
      </c>
      <c r="T22" s="194">
        <v>197377</v>
      </c>
      <c r="U22" s="17">
        <f t="shared" si="9"/>
        <v>9320</v>
      </c>
      <c r="V22" s="17">
        <f t="shared" si="10"/>
        <v>4660</v>
      </c>
      <c r="W22" s="194">
        <v>277838</v>
      </c>
      <c r="X22" s="17">
        <f t="shared" si="11"/>
        <v>9820</v>
      </c>
      <c r="Y22" s="17">
        <f t="shared" si="12"/>
        <v>4910</v>
      </c>
      <c r="Z22" s="194">
        <v>78329</v>
      </c>
      <c r="AA22" s="17">
        <f t="shared" si="13"/>
        <v>129</v>
      </c>
      <c r="AB22" s="194">
        <v>148862</v>
      </c>
      <c r="AC22" s="17">
        <f t="shared" si="14"/>
        <v>210</v>
      </c>
      <c r="AD22" s="194">
        <v>267779</v>
      </c>
      <c r="AE22" s="17">
        <f t="shared" si="15"/>
        <v>378</v>
      </c>
      <c r="AF22" s="194">
        <v>136304</v>
      </c>
      <c r="AG22" s="17">
        <f t="shared" si="16"/>
        <v>176</v>
      </c>
      <c r="AH22" s="194">
        <v>715753</v>
      </c>
      <c r="AI22" s="17">
        <f t="shared" si="17"/>
        <v>940</v>
      </c>
      <c r="AK22" s="96">
        <f t="shared" si="18"/>
        <v>49595</v>
      </c>
      <c r="AL22" s="97">
        <f t="shared" si="19"/>
        <v>17823</v>
      </c>
    </row>
    <row r="23" spans="1:38" ht="39.950000000000003" customHeight="1">
      <c r="A23" s="192">
        <f t="shared" si="20"/>
        <v>44758</v>
      </c>
      <c r="B23" s="16"/>
      <c r="C23" s="194">
        <v>278753</v>
      </c>
      <c r="D23" s="17">
        <f t="shared" si="2"/>
        <v>9150</v>
      </c>
      <c r="E23" s="194">
        <v>472324</v>
      </c>
      <c r="F23" s="17">
        <f t="shared" si="2"/>
        <v>8730</v>
      </c>
      <c r="G23" s="194">
        <v>215813</v>
      </c>
      <c r="H23" s="17">
        <f t="shared" si="3"/>
        <v>15940</v>
      </c>
      <c r="I23" s="17">
        <f t="shared" si="4"/>
        <v>7970</v>
      </c>
      <c r="J23" s="194">
        <v>408662</v>
      </c>
      <c r="K23" s="17">
        <f t="shared" si="5"/>
        <v>6370</v>
      </c>
      <c r="L23" s="194">
        <v>648237</v>
      </c>
      <c r="M23" s="17">
        <f t="shared" si="6"/>
        <v>10470</v>
      </c>
      <c r="N23" s="194">
        <v>337402</v>
      </c>
      <c r="O23" s="17">
        <f t="shared" si="0"/>
        <v>4700</v>
      </c>
      <c r="P23" s="17">
        <f t="shared" si="7"/>
        <v>2350</v>
      </c>
      <c r="Q23" s="194">
        <v>410132</v>
      </c>
      <c r="R23" s="17">
        <f t="shared" si="1"/>
        <v>10730</v>
      </c>
      <c r="S23" s="17">
        <f t="shared" si="8"/>
        <v>5365</v>
      </c>
      <c r="T23" s="194">
        <v>198130</v>
      </c>
      <c r="U23" s="17">
        <f t="shared" si="9"/>
        <v>7530</v>
      </c>
      <c r="V23" s="17">
        <f t="shared" si="10"/>
        <v>3765</v>
      </c>
      <c r="W23" s="194">
        <v>278678</v>
      </c>
      <c r="X23" s="17">
        <f t="shared" si="11"/>
        <v>8400</v>
      </c>
      <c r="Y23" s="17">
        <f t="shared" si="12"/>
        <v>4200</v>
      </c>
      <c r="Z23" s="194">
        <v>78458</v>
      </c>
      <c r="AA23" s="17">
        <f t="shared" si="13"/>
        <v>129</v>
      </c>
      <c r="AB23" s="194">
        <v>149092</v>
      </c>
      <c r="AC23" s="17">
        <f t="shared" si="14"/>
        <v>230</v>
      </c>
      <c r="AD23" s="194">
        <v>268180</v>
      </c>
      <c r="AE23" s="17">
        <f t="shared" si="15"/>
        <v>401</v>
      </c>
      <c r="AF23" s="194">
        <v>136499</v>
      </c>
      <c r="AG23" s="17">
        <f t="shared" si="16"/>
        <v>195</v>
      </c>
      <c r="AH23" s="194">
        <v>716751</v>
      </c>
      <c r="AI23" s="17">
        <f t="shared" si="17"/>
        <v>998</v>
      </c>
      <c r="AK23" s="96">
        <f t="shared" si="18"/>
        <v>58370</v>
      </c>
      <c r="AL23" s="97">
        <f t="shared" si="19"/>
        <v>17633</v>
      </c>
    </row>
    <row r="24" spans="1:38" ht="39.950000000000003" customHeight="1">
      <c r="A24" s="192">
        <f t="shared" si="20"/>
        <v>44759</v>
      </c>
      <c r="B24" s="16"/>
      <c r="C24" s="194">
        <v>279641</v>
      </c>
      <c r="D24" s="17">
        <f t="shared" si="2"/>
        <v>8880</v>
      </c>
      <c r="E24" s="194">
        <v>473143</v>
      </c>
      <c r="F24" s="17">
        <f t="shared" si="2"/>
        <v>8190</v>
      </c>
      <c r="G24" s="194">
        <v>217343</v>
      </c>
      <c r="H24" s="17">
        <f t="shared" si="3"/>
        <v>15300</v>
      </c>
      <c r="I24" s="17">
        <f t="shared" si="4"/>
        <v>7650</v>
      </c>
      <c r="J24" s="194">
        <v>409276</v>
      </c>
      <c r="K24" s="17">
        <f t="shared" si="5"/>
        <v>6140</v>
      </c>
      <c r="L24" s="194">
        <v>649290</v>
      </c>
      <c r="M24" s="17">
        <f t="shared" si="6"/>
        <v>10530</v>
      </c>
      <c r="N24" s="194">
        <v>337865</v>
      </c>
      <c r="O24" s="17">
        <f t="shared" si="0"/>
        <v>4630</v>
      </c>
      <c r="P24" s="17">
        <f t="shared" si="7"/>
        <v>2315</v>
      </c>
      <c r="Q24" s="194">
        <v>410861</v>
      </c>
      <c r="R24" s="17">
        <f t="shared" si="1"/>
        <v>7290</v>
      </c>
      <c r="S24" s="17">
        <f t="shared" si="8"/>
        <v>3645</v>
      </c>
      <c r="T24" s="194">
        <v>199229</v>
      </c>
      <c r="U24" s="17">
        <f t="shared" si="9"/>
        <v>10990</v>
      </c>
      <c r="V24" s="17">
        <f t="shared" si="10"/>
        <v>5495</v>
      </c>
      <c r="W24" s="194">
        <v>279641</v>
      </c>
      <c r="X24" s="17">
        <f t="shared" si="11"/>
        <v>9630</v>
      </c>
      <c r="Y24" s="17">
        <f t="shared" si="12"/>
        <v>4815</v>
      </c>
      <c r="Z24" s="194">
        <v>78585</v>
      </c>
      <c r="AA24" s="17">
        <f t="shared" si="13"/>
        <v>127</v>
      </c>
      <c r="AB24" s="194">
        <v>149322</v>
      </c>
      <c r="AC24" s="17">
        <f t="shared" si="14"/>
        <v>230</v>
      </c>
      <c r="AD24" s="194">
        <v>268583</v>
      </c>
      <c r="AE24" s="17">
        <f t="shared" si="15"/>
        <v>403</v>
      </c>
      <c r="AF24" s="194">
        <v>136703</v>
      </c>
      <c r="AG24" s="17">
        <f t="shared" si="16"/>
        <v>204</v>
      </c>
      <c r="AH24" s="194">
        <v>717805</v>
      </c>
      <c r="AI24" s="17">
        <f t="shared" si="17"/>
        <v>1054</v>
      </c>
      <c r="AK24" s="96">
        <f t="shared" si="18"/>
        <v>57660</v>
      </c>
      <c r="AL24" s="97">
        <f t="shared" si="19"/>
        <v>18288</v>
      </c>
    </row>
    <row r="25" spans="1:38" ht="39.950000000000003" customHeight="1">
      <c r="A25" s="192">
        <f t="shared" si="20"/>
        <v>44760</v>
      </c>
      <c r="B25" s="16"/>
      <c r="C25" s="194">
        <v>280197</v>
      </c>
      <c r="D25" s="17">
        <f t="shared" si="2"/>
        <v>5560</v>
      </c>
      <c r="E25" s="194">
        <v>473939</v>
      </c>
      <c r="F25" s="17">
        <f t="shared" si="2"/>
        <v>7960</v>
      </c>
      <c r="G25" s="194">
        <v>218872</v>
      </c>
      <c r="H25" s="17">
        <f t="shared" si="3"/>
        <v>15290</v>
      </c>
      <c r="I25" s="17">
        <f t="shared" si="4"/>
        <v>7645</v>
      </c>
      <c r="J25" s="194">
        <v>409883</v>
      </c>
      <c r="K25" s="17">
        <f t="shared" si="5"/>
        <v>6070</v>
      </c>
      <c r="L25" s="194">
        <v>650225</v>
      </c>
      <c r="M25" s="17">
        <f t="shared" si="6"/>
        <v>9350</v>
      </c>
      <c r="N25" s="194">
        <v>338594</v>
      </c>
      <c r="O25" s="17">
        <f t="shared" si="0"/>
        <v>7290</v>
      </c>
      <c r="P25" s="17">
        <f t="shared" si="7"/>
        <v>3645</v>
      </c>
      <c r="Q25" s="194">
        <v>411387</v>
      </c>
      <c r="R25" s="17">
        <f t="shared" si="1"/>
        <v>5260</v>
      </c>
      <c r="S25" s="17">
        <f t="shared" si="8"/>
        <v>2630</v>
      </c>
      <c r="T25" s="194">
        <v>200299</v>
      </c>
      <c r="U25" s="17">
        <f t="shared" si="9"/>
        <v>10700</v>
      </c>
      <c r="V25" s="17">
        <f t="shared" si="10"/>
        <v>5350</v>
      </c>
      <c r="W25" s="194">
        <v>280197</v>
      </c>
      <c r="X25" s="17">
        <f t="shared" si="11"/>
        <v>5560</v>
      </c>
      <c r="Y25" s="17">
        <f t="shared" si="12"/>
        <v>2780</v>
      </c>
      <c r="Z25" s="194">
        <v>78708</v>
      </c>
      <c r="AA25" s="17">
        <f t="shared" si="13"/>
        <v>123</v>
      </c>
      <c r="AB25" s="194">
        <v>149539</v>
      </c>
      <c r="AC25" s="17">
        <f t="shared" si="14"/>
        <v>217</v>
      </c>
      <c r="AD25" s="194">
        <v>268965</v>
      </c>
      <c r="AE25" s="17">
        <f t="shared" si="15"/>
        <v>382</v>
      </c>
      <c r="AF25" s="194">
        <v>136889</v>
      </c>
      <c r="AG25" s="17">
        <f t="shared" si="16"/>
        <v>186</v>
      </c>
      <c r="AH25" s="194">
        <v>718792</v>
      </c>
      <c r="AI25" s="17">
        <f t="shared" si="17"/>
        <v>987</v>
      </c>
      <c r="AK25" s="96">
        <f t="shared" si="18"/>
        <v>50990</v>
      </c>
      <c r="AL25" s="97">
        <f t="shared" si="19"/>
        <v>16300</v>
      </c>
    </row>
    <row r="26" spans="1:38" ht="39.950000000000003" customHeight="1">
      <c r="A26" s="192">
        <f t="shared" si="20"/>
        <v>44761</v>
      </c>
      <c r="B26" s="16"/>
      <c r="C26" s="194">
        <v>280515</v>
      </c>
      <c r="D26" s="17">
        <f t="shared" ref="D26:D38" si="21">(C26-C25)*10</f>
        <v>3180</v>
      </c>
      <c r="E26" s="194">
        <v>475465</v>
      </c>
      <c r="F26" s="17">
        <f t="shared" ref="F26:F38" si="22">(E26-E25)*10</f>
        <v>15260</v>
      </c>
      <c r="G26" s="194">
        <v>222047</v>
      </c>
      <c r="H26" s="17">
        <f t="shared" si="3"/>
        <v>31750</v>
      </c>
      <c r="I26" s="17">
        <f t="shared" si="4"/>
        <v>15875</v>
      </c>
      <c r="J26" s="194">
        <v>411105</v>
      </c>
      <c r="K26" s="17">
        <f t="shared" si="5"/>
        <v>12220</v>
      </c>
      <c r="L26" s="194">
        <v>652276</v>
      </c>
      <c r="M26" s="17">
        <f t="shared" si="6"/>
        <v>20510</v>
      </c>
      <c r="N26" s="194">
        <v>341741</v>
      </c>
      <c r="O26" s="17">
        <f t="shared" si="0"/>
        <v>31470</v>
      </c>
      <c r="P26" s="17">
        <f t="shared" si="7"/>
        <v>15735</v>
      </c>
      <c r="Q26" s="194">
        <v>412940</v>
      </c>
      <c r="R26" s="17">
        <f t="shared" si="1"/>
        <v>15530</v>
      </c>
      <c r="S26" s="17">
        <f t="shared" si="8"/>
        <v>7765</v>
      </c>
      <c r="T26" s="194">
        <v>200899</v>
      </c>
      <c r="U26" s="17">
        <f t="shared" si="9"/>
        <v>6000</v>
      </c>
      <c r="V26" s="17">
        <f t="shared" si="10"/>
        <v>3000</v>
      </c>
      <c r="W26" s="194">
        <v>281028</v>
      </c>
      <c r="X26" s="17">
        <f>(W26-W25)*10</f>
        <v>8310</v>
      </c>
      <c r="Y26" s="17">
        <f t="shared" si="12"/>
        <v>4155</v>
      </c>
      <c r="Z26" s="194">
        <v>78943</v>
      </c>
      <c r="AA26" s="17">
        <f t="shared" si="13"/>
        <v>235</v>
      </c>
      <c r="AB26" s="194">
        <v>150006</v>
      </c>
      <c r="AC26" s="17">
        <f t="shared" si="14"/>
        <v>467</v>
      </c>
      <c r="AD26" s="194">
        <v>269779</v>
      </c>
      <c r="AE26" s="17">
        <f t="shared" si="15"/>
        <v>814</v>
      </c>
      <c r="AF26" s="194">
        <v>137289</v>
      </c>
      <c r="AG26" s="17">
        <f t="shared" si="16"/>
        <v>400</v>
      </c>
      <c r="AH26" s="194">
        <v>720910</v>
      </c>
      <c r="AI26" s="17">
        <f t="shared" si="17"/>
        <v>2118</v>
      </c>
      <c r="AK26" s="96">
        <f t="shared" si="18"/>
        <v>97700</v>
      </c>
      <c r="AL26" s="97">
        <f t="shared" si="19"/>
        <v>34689</v>
      </c>
    </row>
    <row r="27" spans="1:38" ht="39.950000000000003" customHeight="1">
      <c r="A27" s="192">
        <f t="shared" si="20"/>
        <v>44762</v>
      </c>
      <c r="B27" s="16"/>
      <c r="C27" s="194">
        <f>(C26+C28)/2</f>
        <v>280729.5</v>
      </c>
      <c r="D27" s="17">
        <f t="shared" si="21"/>
        <v>2145</v>
      </c>
      <c r="E27" s="194">
        <f>(E26+E28)/2</f>
        <v>475835.5</v>
      </c>
      <c r="F27" s="17">
        <f t="shared" si="22"/>
        <v>3705</v>
      </c>
      <c r="G27" s="194">
        <f>(G26+G28)/2</f>
        <v>222701</v>
      </c>
      <c r="H27" s="17">
        <f t="shared" si="3"/>
        <v>6540</v>
      </c>
      <c r="I27" s="17">
        <f t="shared" si="4"/>
        <v>3270</v>
      </c>
      <c r="J27" s="194">
        <f>(J26+J28)/2</f>
        <v>411415.5</v>
      </c>
      <c r="K27" s="17">
        <f t="shared" si="5"/>
        <v>3105</v>
      </c>
      <c r="L27" s="194">
        <f>(L26+L28)/2</f>
        <v>652792.5</v>
      </c>
      <c r="M27" s="17">
        <f t="shared" si="6"/>
        <v>5165</v>
      </c>
      <c r="N27" s="194">
        <f>(N26+N28)/2</f>
        <v>342484.5</v>
      </c>
      <c r="O27" s="17">
        <f t="shared" si="0"/>
        <v>7435</v>
      </c>
      <c r="P27" s="17">
        <f t="shared" si="7"/>
        <v>3717.5</v>
      </c>
      <c r="Q27" s="194">
        <f>(Q26+Q28)/2</f>
        <v>413539</v>
      </c>
      <c r="R27" s="17">
        <f t="shared" si="1"/>
        <v>5990</v>
      </c>
      <c r="S27" s="17">
        <f t="shared" si="8"/>
        <v>2995</v>
      </c>
      <c r="T27" s="194">
        <f>(T26+T28)/2</f>
        <v>201177.5</v>
      </c>
      <c r="U27" s="17">
        <f t="shared" si="9"/>
        <v>2785</v>
      </c>
      <c r="V27" s="17">
        <f t="shared" si="10"/>
        <v>1392.5</v>
      </c>
      <c r="W27" s="194">
        <f>(W26+W28)/2</f>
        <v>281029.5</v>
      </c>
      <c r="X27" s="17">
        <f t="shared" si="11"/>
        <v>15</v>
      </c>
      <c r="Y27" s="17">
        <f t="shared" si="12"/>
        <v>7.5</v>
      </c>
      <c r="Z27" s="194">
        <f>(Z26+Z28)/2</f>
        <v>79001</v>
      </c>
      <c r="AA27" s="17">
        <f t="shared" si="13"/>
        <v>58</v>
      </c>
      <c r="AB27" s="194">
        <f>(AB26+AB28)/2</f>
        <v>150121</v>
      </c>
      <c r="AC27" s="17">
        <f t="shared" si="14"/>
        <v>115</v>
      </c>
      <c r="AD27" s="194">
        <f>(AD26+AD28)/2</f>
        <v>269979.5</v>
      </c>
      <c r="AE27" s="17">
        <f t="shared" si="15"/>
        <v>200.5</v>
      </c>
      <c r="AF27" s="194">
        <f>(AF26+AF28)/2</f>
        <v>137387.5</v>
      </c>
      <c r="AG27" s="17">
        <f t="shared" si="16"/>
        <v>98.5</v>
      </c>
      <c r="AH27" s="194">
        <f>(AH26+AH28)/2</f>
        <v>721454</v>
      </c>
      <c r="AI27" s="17">
        <f t="shared" si="17"/>
        <v>544</v>
      </c>
      <c r="AK27" s="96">
        <f t="shared" si="18"/>
        <v>25502.5</v>
      </c>
      <c r="AL27" s="97">
        <f t="shared" si="19"/>
        <v>9128.5</v>
      </c>
    </row>
    <row r="28" spans="1:38" ht="39.950000000000003" customHeight="1">
      <c r="A28" s="192">
        <f t="shared" si="20"/>
        <v>44763</v>
      </c>
      <c r="B28" s="16"/>
      <c r="C28" s="194">
        <v>280944</v>
      </c>
      <c r="D28" s="17">
        <f t="shared" si="21"/>
        <v>2145</v>
      </c>
      <c r="E28" s="194">
        <v>476206</v>
      </c>
      <c r="F28" s="17">
        <f t="shared" si="22"/>
        <v>3705</v>
      </c>
      <c r="G28" s="194">
        <v>223355</v>
      </c>
      <c r="H28" s="17">
        <f t="shared" si="3"/>
        <v>6540</v>
      </c>
      <c r="I28" s="17">
        <f t="shared" si="4"/>
        <v>3270</v>
      </c>
      <c r="J28" s="194">
        <v>411726</v>
      </c>
      <c r="K28" s="17">
        <f t="shared" si="5"/>
        <v>3105</v>
      </c>
      <c r="L28" s="194">
        <v>653309</v>
      </c>
      <c r="M28" s="17">
        <f t="shared" si="6"/>
        <v>5165</v>
      </c>
      <c r="N28" s="194">
        <v>343228</v>
      </c>
      <c r="O28" s="17">
        <f t="shared" si="0"/>
        <v>7435</v>
      </c>
      <c r="P28" s="17">
        <f t="shared" si="7"/>
        <v>3717.5</v>
      </c>
      <c r="Q28" s="194">
        <v>414138</v>
      </c>
      <c r="R28" s="17">
        <f t="shared" si="1"/>
        <v>5990</v>
      </c>
      <c r="S28" s="17">
        <f t="shared" si="8"/>
        <v>2995</v>
      </c>
      <c r="T28" s="194">
        <v>201456</v>
      </c>
      <c r="U28" s="17">
        <f t="shared" si="9"/>
        <v>2785</v>
      </c>
      <c r="V28" s="17">
        <f t="shared" si="10"/>
        <v>1392.5</v>
      </c>
      <c r="W28" s="194">
        <v>281031</v>
      </c>
      <c r="X28" s="17">
        <f t="shared" si="11"/>
        <v>15</v>
      </c>
      <c r="Y28" s="17">
        <f t="shared" si="12"/>
        <v>7.5</v>
      </c>
      <c r="Z28" s="194">
        <v>79059</v>
      </c>
      <c r="AA28" s="17">
        <f t="shared" si="13"/>
        <v>58</v>
      </c>
      <c r="AB28" s="194">
        <v>150236</v>
      </c>
      <c r="AC28" s="17">
        <f t="shared" si="14"/>
        <v>115</v>
      </c>
      <c r="AD28" s="194">
        <v>270180</v>
      </c>
      <c r="AE28" s="17">
        <f t="shared" si="15"/>
        <v>200.5</v>
      </c>
      <c r="AF28" s="194">
        <v>137486</v>
      </c>
      <c r="AG28" s="17">
        <f t="shared" si="16"/>
        <v>98.5</v>
      </c>
      <c r="AH28" s="194">
        <v>721998</v>
      </c>
      <c r="AI28" s="17">
        <f t="shared" si="17"/>
        <v>544</v>
      </c>
      <c r="AK28" s="96">
        <f t="shared" si="18"/>
        <v>25502.5</v>
      </c>
      <c r="AL28" s="97">
        <f t="shared" si="19"/>
        <v>9128.5</v>
      </c>
    </row>
    <row r="29" spans="1:38" ht="39.950000000000003" customHeight="1">
      <c r="A29" s="192">
        <f t="shared" si="20"/>
        <v>44764</v>
      </c>
      <c r="B29" s="16"/>
      <c r="C29" s="194">
        <v>281409</v>
      </c>
      <c r="D29" s="17">
        <f t="shared" si="21"/>
        <v>4650</v>
      </c>
      <c r="E29" s="194">
        <v>477043</v>
      </c>
      <c r="F29" s="17">
        <f t="shared" si="22"/>
        <v>8370</v>
      </c>
      <c r="G29" s="194">
        <v>224998</v>
      </c>
      <c r="H29" s="17">
        <f t="shared" si="3"/>
        <v>16430</v>
      </c>
      <c r="I29" s="17">
        <f t="shared" si="4"/>
        <v>8215</v>
      </c>
      <c r="J29" s="194">
        <v>412341</v>
      </c>
      <c r="K29" s="17">
        <f t="shared" si="5"/>
        <v>6150</v>
      </c>
      <c r="L29" s="194">
        <v>654334</v>
      </c>
      <c r="M29" s="17">
        <f t="shared" si="6"/>
        <v>10250</v>
      </c>
      <c r="N29" s="194">
        <v>344777</v>
      </c>
      <c r="O29" s="17">
        <f t="shared" si="0"/>
        <v>15490</v>
      </c>
      <c r="P29" s="17">
        <f t="shared" si="7"/>
        <v>7745</v>
      </c>
      <c r="Q29" s="194">
        <v>415046</v>
      </c>
      <c r="R29" s="17">
        <f t="shared" si="1"/>
        <v>9080</v>
      </c>
      <c r="S29" s="17">
        <f t="shared" si="8"/>
        <v>4540</v>
      </c>
      <c r="T29" s="194">
        <v>202120</v>
      </c>
      <c r="U29" s="17">
        <f t="shared" si="9"/>
        <v>6640</v>
      </c>
      <c r="V29" s="17">
        <f t="shared" si="10"/>
        <v>3320</v>
      </c>
      <c r="W29" s="194">
        <v>281100</v>
      </c>
      <c r="X29" s="17">
        <f t="shared" si="11"/>
        <v>690</v>
      </c>
      <c r="Y29" s="17">
        <f t="shared" si="12"/>
        <v>345</v>
      </c>
      <c r="Z29" s="194">
        <v>79174</v>
      </c>
      <c r="AA29" s="17">
        <f t="shared" si="13"/>
        <v>115</v>
      </c>
      <c r="AB29" s="194">
        <v>150462</v>
      </c>
      <c r="AC29" s="17">
        <f t="shared" si="14"/>
        <v>226</v>
      </c>
      <c r="AD29" s="194">
        <v>270571</v>
      </c>
      <c r="AE29" s="17">
        <f t="shared" si="15"/>
        <v>391</v>
      </c>
      <c r="AF29" s="194">
        <v>137681</v>
      </c>
      <c r="AG29" s="17">
        <f t="shared" si="16"/>
        <v>195</v>
      </c>
      <c r="AH29" s="194">
        <v>723040</v>
      </c>
      <c r="AI29" s="17">
        <f t="shared" si="17"/>
        <v>1042</v>
      </c>
      <c r="AK29" s="96">
        <f t="shared" si="18"/>
        <v>53585</v>
      </c>
      <c r="AL29" s="97">
        <f t="shared" si="19"/>
        <v>17919</v>
      </c>
    </row>
    <row r="30" spans="1:38" ht="39.950000000000003" customHeight="1">
      <c r="A30" s="192">
        <f t="shared" si="20"/>
        <v>44765</v>
      </c>
      <c r="B30" s="16"/>
      <c r="C30" s="194">
        <v>281849</v>
      </c>
      <c r="D30" s="17">
        <f t="shared" si="21"/>
        <v>4400</v>
      </c>
      <c r="E30" s="194">
        <v>477858</v>
      </c>
      <c r="F30" s="17">
        <f t="shared" si="22"/>
        <v>8150</v>
      </c>
      <c r="G30" s="194">
        <v>226497</v>
      </c>
      <c r="H30" s="17">
        <f t="shared" si="3"/>
        <v>14990</v>
      </c>
      <c r="I30" s="17">
        <f t="shared" si="4"/>
        <v>7495</v>
      </c>
      <c r="J30" s="194">
        <v>412975</v>
      </c>
      <c r="K30" s="17">
        <f t="shared" si="5"/>
        <v>6340</v>
      </c>
      <c r="L30" s="194">
        <v>655408</v>
      </c>
      <c r="M30" s="17">
        <f t="shared" si="6"/>
        <v>10740</v>
      </c>
      <c r="N30" s="194">
        <v>346191</v>
      </c>
      <c r="O30" s="17">
        <f t="shared" si="0"/>
        <v>14140</v>
      </c>
      <c r="P30" s="17">
        <f t="shared" si="7"/>
        <v>7070</v>
      </c>
      <c r="Q30" s="194">
        <v>416204</v>
      </c>
      <c r="R30" s="17">
        <f t="shared" si="1"/>
        <v>11580</v>
      </c>
      <c r="S30" s="17">
        <f t="shared" si="8"/>
        <v>5790</v>
      </c>
      <c r="T30" s="194">
        <v>202906</v>
      </c>
      <c r="U30" s="17">
        <f t="shared" si="9"/>
        <v>7860</v>
      </c>
      <c r="V30" s="17">
        <f t="shared" si="10"/>
        <v>3930</v>
      </c>
      <c r="W30" s="194">
        <v>281145</v>
      </c>
      <c r="X30" s="17">
        <f t="shared" si="11"/>
        <v>450</v>
      </c>
      <c r="Y30" s="17">
        <f t="shared" si="12"/>
        <v>225</v>
      </c>
      <c r="Z30" s="194">
        <v>79292</v>
      </c>
      <c r="AA30" s="17">
        <f t="shared" si="13"/>
        <v>118</v>
      </c>
      <c r="AB30" s="194">
        <v>150697</v>
      </c>
      <c r="AC30" s="17">
        <f t="shared" si="14"/>
        <v>235</v>
      </c>
      <c r="AD30" s="194">
        <v>270980</v>
      </c>
      <c r="AE30" s="17">
        <f t="shared" si="15"/>
        <v>409</v>
      </c>
      <c r="AF30" s="194">
        <v>137878</v>
      </c>
      <c r="AG30" s="17">
        <f t="shared" si="16"/>
        <v>197</v>
      </c>
      <c r="AH30" s="194">
        <v>724135</v>
      </c>
      <c r="AI30" s="17">
        <f t="shared" si="17"/>
        <v>1095</v>
      </c>
      <c r="AK30" s="96">
        <f t="shared" si="18"/>
        <v>54140</v>
      </c>
      <c r="AL30" s="97">
        <f t="shared" si="19"/>
        <v>19069</v>
      </c>
    </row>
    <row r="31" spans="1:38" ht="39.950000000000003" customHeight="1">
      <c r="A31" s="192">
        <f t="shared" si="20"/>
        <v>44766</v>
      </c>
      <c r="B31" s="16"/>
      <c r="C31" s="194">
        <v>282339</v>
      </c>
      <c r="D31" s="17">
        <f t="shared" si="21"/>
        <v>4900</v>
      </c>
      <c r="E31" s="194">
        <v>478758</v>
      </c>
      <c r="F31" s="17">
        <f t="shared" si="22"/>
        <v>9000</v>
      </c>
      <c r="G31" s="194">
        <v>228162</v>
      </c>
      <c r="H31" s="17">
        <f t="shared" si="3"/>
        <v>16650</v>
      </c>
      <c r="I31" s="17">
        <f t="shared" si="4"/>
        <v>8325</v>
      </c>
      <c r="J31" s="194">
        <v>413647</v>
      </c>
      <c r="K31" s="17">
        <f t="shared" si="5"/>
        <v>6720</v>
      </c>
      <c r="L31" s="194">
        <v>656499</v>
      </c>
      <c r="M31" s="17">
        <f t="shared" si="6"/>
        <v>10910</v>
      </c>
      <c r="N31" s="194">
        <v>347779</v>
      </c>
      <c r="O31" s="17">
        <f t="shared" si="0"/>
        <v>15880</v>
      </c>
      <c r="P31" s="17">
        <f t="shared" si="7"/>
        <v>7940</v>
      </c>
      <c r="Q31" s="194">
        <v>417371</v>
      </c>
      <c r="R31" s="17">
        <f t="shared" si="1"/>
        <v>11670</v>
      </c>
      <c r="S31" s="17">
        <f t="shared" si="8"/>
        <v>5835</v>
      </c>
      <c r="T31" s="194">
        <v>203726</v>
      </c>
      <c r="U31" s="17">
        <f t="shared" si="9"/>
        <v>8200</v>
      </c>
      <c r="V31" s="17">
        <f t="shared" si="10"/>
        <v>4100</v>
      </c>
      <c r="W31" s="194">
        <v>281191</v>
      </c>
      <c r="X31" s="17">
        <f t="shared" si="11"/>
        <v>460</v>
      </c>
      <c r="Y31" s="17">
        <f t="shared" si="12"/>
        <v>230</v>
      </c>
      <c r="Z31" s="194">
        <v>79421</v>
      </c>
      <c r="AA31" s="17">
        <f t="shared" si="13"/>
        <v>129</v>
      </c>
      <c r="AB31" s="194">
        <v>150924</v>
      </c>
      <c r="AC31" s="17">
        <f t="shared" si="14"/>
        <v>227</v>
      </c>
      <c r="AD31" s="194">
        <v>271370</v>
      </c>
      <c r="AE31" s="17">
        <f t="shared" si="15"/>
        <v>390</v>
      </c>
      <c r="AF31" s="194">
        <v>138081</v>
      </c>
      <c r="AG31" s="17">
        <f t="shared" si="16"/>
        <v>203</v>
      </c>
      <c r="AH31" s="194">
        <v>725187</v>
      </c>
      <c r="AI31" s="17">
        <f t="shared" si="17"/>
        <v>1052</v>
      </c>
      <c r="AK31" s="96">
        <f t="shared" si="18"/>
        <v>57960</v>
      </c>
      <c r="AL31" s="97">
        <f t="shared" si="19"/>
        <v>20106</v>
      </c>
    </row>
    <row r="32" spans="1:38" ht="39.950000000000003" customHeight="1">
      <c r="A32" s="192">
        <f t="shared" si="20"/>
        <v>44767</v>
      </c>
      <c r="B32" s="16"/>
      <c r="C32" s="193">
        <v>282834</v>
      </c>
      <c r="D32" s="17">
        <f t="shared" si="21"/>
        <v>4950</v>
      </c>
      <c r="E32" s="193">
        <v>479604</v>
      </c>
      <c r="F32" s="17">
        <f t="shared" si="22"/>
        <v>8460</v>
      </c>
      <c r="G32" s="193">
        <v>229818</v>
      </c>
      <c r="H32" s="17">
        <f t="shared" si="3"/>
        <v>16560</v>
      </c>
      <c r="I32" s="17">
        <f t="shared" si="4"/>
        <v>8280</v>
      </c>
      <c r="J32" s="193">
        <v>414273</v>
      </c>
      <c r="K32" s="17">
        <f t="shared" si="5"/>
        <v>6260</v>
      </c>
      <c r="L32" s="193">
        <v>657431</v>
      </c>
      <c r="M32" s="17">
        <f t="shared" si="6"/>
        <v>9320</v>
      </c>
      <c r="N32" s="193">
        <v>349371</v>
      </c>
      <c r="O32" s="17">
        <f t="shared" si="0"/>
        <v>15920</v>
      </c>
      <c r="P32" s="17">
        <f t="shared" si="7"/>
        <v>7960</v>
      </c>
      <c r="Q32" s="193">
        <v>418504</v>
      </c>
      <c r="R32" s="17">
        <f t="shared" si="1"/>
        <v>11330</v>
      </c>
      <c r="S32" s="17">
        <f t="shared" si="8"/>
        <v>5665</v>
      </c>
      <c r="T32" s="193">
        <v>204519</v>
      </c>
      <c r="U32" s="17">
        <f t="shared" si="9"/>
        <v>7930</v>
      </c>
      <c r="V32" s="17">
        <f t="shared" si="10"/>
        <v>3965</v>
      </c>
      <c r="W32" s="193">
        <v>281233</v>
      </c>
      <c r="X32" s="17">
        <f t="shared" si="11"/>
        <v>420</v>
      </c>
      <c r="Y32" s="17">
        <f t="shared" si="12"/>
        <v>210</v>
      </c>
      <c r="Z32" s="193">
        <v>79545</v>
      </c>
      <c r="AA32" s="17">
        <f t="shared" si="13"/>
        <v>124</v>
      </c>
      <c r="AB32" s="193">
        <v>151155</v>
      </c>
      <c r="AC32" s="17">
        <f t="shared" si="14"/>
        <v>231</v>
      </c>
      <c r="AD32" s="193">
        <v>271774</v>
      </c>
      <c r="AE32" s="17">
        <f t="shared" si="15"/>
        <v>404</v>
      </c>
      <c r="AF32" s="193">
        <v>138278</v>
      </c>
      <c r="AG32" s="17">
        <f t="shared" si="16"/>
        <v>197</v>
      </c>
      <c r="AH32" s="193">
        <v>726268</v>
      </c>
      <c r="AI32" s="17">
        <f t="shared" si="17"/>
        <v>1081</v>
      </c>
      <c r="AK32" s="96">
        <f t="shared" si="18"/>
        <v>55070</v>
      </c>
      <c r="AL32" s="97">
        <f t="shared" si="19"/>
        <v>19837</v>
      </c>
    </row>
    <row r="33" spans="1:38" ht="39.950000000000003" customHeight="1">
      <c r="A33" s="192">
        <f t="shared" si="20"/>
        <v>44768</v>
      </c>
      <c r="B33" s="16"/>
      <c r="C33" s="193">
        <v>283266</v>
      </c>
      <c r="D33" s="17">
        <f t="shared" si="21"/>
        <v>4320</v>
      </c>
      <c r="E33" s="193">
        <v>480362</v>
      </c>
      <c r="F33" s="17">
        <f t="shared" si="22"/>
        <v>7580</v>
      </c>
      <c r="G33" s="193">
        <v>231309</v>
      </c>
      <c r="H33" s="17">
        <f t="shared" si="3"/>
        <v>14910</v>
      </c>
      <c r="I33" s="17">
        <f t="shared" si="4"/>
        <v>7455</v>
      </c>
      <c r="J33" s="193">
        <v>414896</v>
      </c>
      <c r="K33" s="17">
        <f t="shared" si="5"/>
        <v>6230</v>
      </c>
      <c r="L33" s="193">
        <v>658441</v>
      </c>
      <c r="M33" s="17">
        <f t="shared" si="6"/>
        <v>10100</v>
      </c>
      <c r="N33" s="193">
        <v>350746</v>
      </c>
      <c r="O33" s="17">
        <f t="shared" si="0"/>
        <v>13750</v>
      </c>
      <c r="P33" s="17">
        <f t="shared" si="7"/>
        <v>6875</v>
      </c>
      <c r="Q33" s="193">
        <v>419594</v>
      </c>
      <c r="R33" s="17">
        <f t="shared" si="1"/>
        <v>10900</v>
      </c>
      <c r="S33" s="17">
        <f t="shared" si="8"/>
        <v>5450</v>
      </c>
      <c r="T33" s="193">
        <v>204522</v>
      </c>
      <c r="U33" s="17">
        <f t="shared" si="9"/>
        <v>30</v>
      </c>
      <c r="V33" s="17">
        <f t="shared" si="10"/>
        <v>15</v>
      </c>
      <c r="W33" s="193">
        <v>281897</v>
      </c>
      <c r="X33" s="17">
        <f t="shared" si="11"/>
        <v>6640</v>
      </c>
      <c r="Y33" s="17">
        <f t="shared" si="12"/>
        <v>3320</v>
      </c>
      <c r="Z33" s="193">
        <v>79667</v>
      </c>
      <c r="AA33" s="17">
        <f t="shared" si="13"/>
        <v>122</v>
      </c>
      <c r="AB33" s="193">
        <v>151375</v>
      </c>
      <c r="AC33" s="17">
        <f t="shared" si="14"/>
        <v>220</v>
      </c>
      <c r="AD33" s="193">
        <v>272164</v>
      </c>
      <c r="AE33" s="17">
        <f t="shared" si="15"/>
        <v>390</v>
      </c>
      <c r="AF33" s="193">
        <v>138464</v>
      </c>
      <c r="AG33" s="17">
        <f t="shared" si="16"/>
        <v>186</v>
      </c>
      <c r="AH33" s="193">
        <v>727302</v>
      </c>
      <c r="AI33" s="17">
        <f t="shared" si="17"/>
        <v>1034</v>
      </c>
      <c r="AK33" s="96">
        <f t="shared" si="18"/>
        <v>51345</v>
      </c>
      <c r="AL33" s="97">
        <f t="shared" si="19"/>
        <v>17612</v>
      </c>
    </row>
    <row r="34" spans="1:38" ht="39.950000000000003" customHeight="1">
      <c r="A34" s="192">
        <f t="shared" si="20"/>
        <v>44769</v>
      </c>
      <c r="B34" s="16"/>
      <c r="C34" s="193">
        <v>283718</v>
      </c>
      <c r="D34" s="17">
        <f t="shared" si="21"/>
        <v>4520</v>
      </c>
      <c r="E34" s="193">
        <v>481149</v>
      </c>
      <c r="F34" s="17">
        <f t="shared" si="22"/>
        <v>7870</v>
      </c>
      <c r="G34" s="193">
        <v>232888</v>
      </c>
      <c r="H34" s="17">
        <f t="shared" si="3"/>
        <v>15790</v>
      </c>
      <c r="I34" s="17">
        <f t="shared" si="4"/>
        <v>7895</v>
      </c>
      <c r="J34" s="193">
        <v>415522</v>
      </c>
      <c r="K34" s="17">
        <f t="shared" si="5"/>
        <v>6260</v>
      </c>
      <c r="L34" s="193">
        <v>659462</v>
      </c>
      <c r="M34" s="17">
        <f t="shared" si="6"/>
        <v>10210</v>
      </c>
      <c r="N34" s="193">
        <v>352189</v>
      </c>
      <c r="O34" s="17">
        <f t="shared" si="0"/>
        <v>14430</v>
      </c>
      <c r="P34" s="17">
        <f t="shared" si="7"/>
        <v>7215</v>
      </c>
      <c r="Q34" s="193">
        <v>420616</v>
      </c>
      <c r="R34" s="17">
        <f t="shared" si="1"/>
        <v>10220</v>
      </c>
      <c r="S34" s="17">
        <f t="shared" si="8"/>
        <v>5110</v>
      </c>
      <c r="T34" s="193">
        <v>205172</v>
      </c>
      <c r="U34" s="17">
        <f t="shared" si="9"/>
        <v>6500</v>
      </c>
      <c r="V34" s="17">
        <f t="shared" si="10"/>
        <v>3250</v>
      </c>
      <c r="W34" s="193">
        <v>281938</v>
      </c>
      <c r="X34" s="17">
        <f t="shared" si="11"/>
        <v>410</v>
      </c>
      <c r="Y34" s="17">
        <f t="shared" si="12"/>
        <v>205</v>
      </c>
      <c r="Z34" s="193">
        <v>79789</v>
      </c>
      <c r="AA34" s="17">
        <f t="shared" si="13"/>
        <v>122</v>
      </c>
      <c r="AB34" s="193">
        <v>151612</v>
      </c>
      <c r="AC34" s="17">
        <f t="shared" si="14"/>
        <v>237</v>
      </c>
      <c r="AD34" s="193">
        <v>272570</v>
      </c>
      <c r="AE34" s="17">
        <f t="shared" si="15"/>
        <v>406</v>
      </c>
      <c r="AF34" s="193">
        <v>138658</v>
      </c>
      <c r="AG34" s="17">
        <f t="shared" si="16"/>
        <v>194</v>
      </c>
      <c r="AH34" s="193">
        <v>728353</v>
      </c>
      <c r="AI34" s="17">
        <f t="shared" si="17"/>
        <v>1051</v>
      </c>
      <c r="AK34" s="96">
        <f t="shared" si="18"/>
        <v>52535</v>
      </c>
      <c r="AL34" s="97">
        <f t="shared" si="19"/>
        <v>17790</v>
      </c>
    </row>
    <row r="35" spans="1:38" ht="39.950000000000003" customHeight="1">
      <c r="A35" s="192">
        <f t="shared" si="20"/>
        <v>44770</v>
      </c>
      <c r="B35" s="16"/>
      <c r="C35" s="193">
        <v>284180</v>
      </c>
      <c r="D35" s="17">
        <f t="shared" si="21"/>
        <v>4620</v>
      </c>
      <c r="E35" s="193">
        <v>481950</v>
      </c>
      <c r="F35" s="17">
        <f t="shared" si="22"/>
        <v>8010</v>
      </c>
      <c r="G35" s="193">
        <v>234436</v>
      </c>
      <c r="H35" s="17">
        <f t="shared" si="3"/>
        <v>15480</v>
      </c>
      <c r="I35" s="17">
        <f t="shared" si="4"/>
        <v>7740</v>
      </c>
      <c r="J35" s="193">
        <v>416157</v>
      </c>
      <c r="K35" s="17">
        <f t="shared" si="5"/>
        <v>6350</v>
      </c>
      <c r="L35" s="193">
        <v>660492</v>
      </c>
      <c r="M35" s="17">
        <f t="shared" si="6"/>
        <v>10300</v>
      </c>
      <c r="N35" s="193">
        <v>353601</v>
      </c>
      <c r="O35" s="17">
        <f t="shared" si="0"/>
        <v>14120</v>
      </c>
      <c r="P35" s="17">
        <f t="shared" si="7"/>
        <v>7060</v>
      </c>
      <c r="Q35" s="193">
        <v>421449</v>
      </c>
      <c r="R35" s="17">
        <f t="shared" si="1"/>
        <v>8330</v>
      </c>
      <c r="S35" s="17">
        <f t="shared" si="8"/>
        <v>4165</v>
      </c>
      <c r="T35" s="193">
        <v>206247</v>
      </c>
      <c r="U35" s="17">
        <f t="shared" si="9"/>
        <v>10750</v>
      </c>
      <c r="V35" s="17">
        <f t="shared" si="10"/>
        <v>5375</v>
      </c>
      <c r="W35" s="193">
        <v>281996</v>
      </c>
      <c r="X35" s="17">
        <f t="shared" si="11"/>
        <v>580</v>
      </c>
      <c r="Y35" s="17">
        <f t="shared" si="12"/>
        <v>290</v>
      </c>
      <c r="Z35" s="193">
        <v>79910</v>
      </c>
      <c r="AA35" s="17">
        <f t="shared" si="13"/>
        <v>121</v>
      </c>
      <c r="AB35" s="193">
        <v>151842</v>
      </c>
      <c r="AC35" s="17">
        <f t="shared" si="14"/>
        <v>230</v>
      </c>
      <c r="AD35" s="193">
        <v>272971</v>
      </c>
      <c r="AE35" s="17">
        <f t="shared" si="15"/>
        <v>401</v>
      </c>
      <c r="AF35" s="193">
        <v>138853</v>
      </c>
      <c r="AG35" s="17">
        <f t="shared" si="16"/>
        <v>195</v>
      </c>
      <c r="AH35" s="193">
        <v>729415</v>
      </c>
      <c r="AI35" s="17">
        <f t="shared" si="17"/>
        <v>1062</v>
      </c>
      <c r="AK35" s="96">
        <f t="shared" si="18"/>
        <v>53910</v>
      </c>
      <c r="AL35" s="97">
        <f t="shared" si="19"/>
        <v>18899</v>
      </c>
    </row>
    <row r="36" spans="1:38" ht="39.950000000000003" customHeight="1">
      <c r="A36" s="192">
        <f t="shared" si="20"/>
        <v>44771</v>
      </c>
      <c r="B36" s="16"/>
      <c r="C36" s="193">
        <v>284656</v>
      </c>
      <c r="D36" s="17">
        <f t="shared" si="21"/>
        <v>4760</v>
      </c>
      <c r="E36" s="193">
        <v>482804</v>
      </c>
      <c r="F36" s="17">
        <f t="shared" si="22"/>
        <v>8540</v>
      </c>
      <c r="G36" s="193">
        <v>235980</v>
      </c>
      <c r="H36" s="17">
        <f t="shared" si="3"/>
        <v>15440</v>
      </c>
      <c r="I36" s="17">
        <f t="shared" si="4"/>
        <v>7720</v>
      </c>
      <c r="J36" s="193">
        <v>416792</v>
      </c>
      <c r="K36" s="17">
        <f t="shared" si="5"/>
        <v>6350</v>
      </c>
      <c r="L36" s="193">
        <v>661519</v>
      </c>
      <c r="M36" s="17">
        <f t="shared" si="6"/>
        <v>10270</v>
      </c>
      <c r="N36" s="193">
        <v>354859</v>
      </c>
      <c r="O36" s="17">
        <f t="shared" si="0"/>
        <v>12580</v>
      </c>
      <c r="P36" s="17">
        <f t="shared" si="7"/>
        <v>6290</v>
      </c>
      <c r="Q36" s="193">
        <v>422554</v>
      </c>
      <c r="R36" s="17">
        <f t="shared" si="1"/>
        <v>11050</v>
      </c>
      <c r="S36" s="17">
        <f t="shared" si="8"/>
        <v>5525</v>
      </c>
      <c r="T36" s="193">
        <v>207291</v>
      </c>
      <c r="U36" s="17">
        <f t="shared" si="9"/>
        <v>10440</v>
      </c>
      <c r="V36" s="17">
        <f t="shared" si="10"/>
        <v>5220</v>
      </c>
      <c r="W36" s="193">
        <v>282054</v>
      </c>
      <c r="X36" s="17">
        <f t="shared" si="11"/>
        <v>580</v>
      </c>
      <c r="Y36" s="17">
        <f t="shared" si="12"/>
        <v>290</v>
      </c>
      <c r="Z36" s="193">
        <v>80024</v>
      </c>
      <c r="AA36" s="17">
        <f t="shared" si="13"/>
        <v>114</v>
      </c>
      <c r="AB36" s="193">
        <v>152070</v>
      </c>
      <c r="AC36" s="17">
        <f t="shared" si="14"/>
        <v>228</v>
      </c>
      <c r="AD36" s="193">
        <v>273377</v>
      </c>
      <c r="AE36" s="17">
        <f t="shared" si="15"/>
        <v>406</v>
      </c>
      <c r="AF36" s="193">
        <v>139052</v>
      </c>
      <c r="AG36" s="17">
        <f t="shared" si="16"/>
        <v>199</v>
      </c>
      <c r="AH36" s="193">
        <v>730486</v>
      </c>
      <c r="AI36" s="17">
        <f t="shared" si="17"/>
        <v>1071</v>
      </c>
      <c r="AK36" s="96">
        <f t="shared" si="18"/>
        <v>54965</v>
      </c>
      <c r="AL36" s="97">
        <f t="shared" si="19"/>
        <v>19343</v>
      </c>
    </row>
    <row r="37" spans="1:38" ht="39.950000000000003" customHeight="1">
      <c r="A37" s="192">
        <f t="shared" si="20"/>
        <v>44772</v>
      </c>
      <c r="B37" s="16"/>
      <c r="C37" s="193">
        <v>285143</v>
      </c>
      <c r="D37" s="17">
        <f t="shared" si="21"/>
        <v>4870</v>
      </c>
      <c r="E37" s="193">
        <v>483713</v>
      </c>
      <c r="F37" s="17">
        <f t="shared" si="22"/>
        <v>9090</v>
      </c>
      <c r="G37" s="193">
        <v>237521</v>
      </c>
      <c r="H37" s="17">
        <f t="shared" si="3"/>
        <v>15410</v>
      </c>
      <c r="I37" s="17">
        <f t="shared" si="4"/>
        <v>7705</v>
      </c>
      <c r="J37" s="193">
        <v>417479</v>
      </c>
      <c r="K37" s="17">
        <f t="shared" si="5"/>
        <v>6870</v>
      </c>
      <c r="L37" s="193">
        <v>662684</v>
      </c>
      <c r="M37" s="17">
        <f t="shared" si="6"/>
        <v>11650</v>
      </c>
      <c r="N37" s="193">
        <v>355998</v>
      </c>
      <c r="O37" s="17">
        <f t="shared" si="0"/>
        <v>11390</v>
      </c>
      <c r="P37" s="17">
        <f t="shared" si="7"/>
        <v>5695</v>
      </c>
      <c r="Q37" s="193">
        <v>423636</v>
      </c>
      <c r="R37" s="17">
        <f t="shared" si="1"/>
        <v>10820</v>
      </c>
      <c r="S37" s="17">
        <f t="shared" si="8"/>
        <v>5410</v>
      </c>
      <c r="T37" s="193">
        <v>208261</v>
      </c>
      <c r="U37" s="17">
        <f t="shared" si="9"/>
        <v>9700</v>
      </c>
      <c r="V37" s="17">
        <f t="shared" si="10"/>
        <v>4850</v>
      </c>
      <c r="W37" s="193">
        <v>282116</v>
      </c>
      <c r="X37" s="17">
        <f t="shared" si="11"/>
        <v>620</v>
      </c>
      <c r="Y37" s="17">
        <f t="shared" si="12"/>
        <v>310</v>
      </c>
      <c r="Z37" s="193">
        <v>80160</v>
      </c>
      <c r="AA37" s="17">
        <f t="shared" si="13"/>
        <v>136</v>
      </c>
      <c r="AB37" s="193">
        <v>152314</v>
      </c>
      <c r="AC37" s="17">
        <f t="shared" si="14"/>
        <v>244</v>
      </c>
      <c r="AD37" s="193">
        <v>273794</v>
      </c>
      <c r="AE37" s="17">
        <f t="shared" si="15"/>
        <v>417</v>
      </c>
      <c r="AF37" s="193">
        <v>139267</v>
      </c>
      <c r="AG37" s="17">
        <f t="shared" si="16"/>
        <v>215</v>
      </c>
      <c r="AH37" s="193">
        <v>731528</v>
      </c>
      <c r="AI37" s="17">
        <f t="shared" si="17"/>
        <v>1042</v>
      </c>
      <c r="AK37" s="96">
        <f t="shared" si="18"/>
        <v>56450</v>
      </c>
      <c r="AL37" s="97">
        <f t="shared" si="19"/>
        <v>18319</v>
      </c>
    </row>
    <row r="38" spans="1:38" s="144" customFormat="1" ht="39.950000000000003" customHeight="1">
      <c r="A38" s="192">
        <f t="shared" si="20"/>
        <v>44773</v>
      </c>
      <c r="B38" s="143"/>
      <c r="C38" s="195">
        <v>285597</v>
      </c>
      <c r="D38" s="17">
        <f t="shared" si="21"/>
        <v>4540</v>
      </c>
      <c r="E38" s="195">
        <v>484517</v>
      </c>
      <c r="F38" s="17">
        <f t="shared" si="22"/>
        <v>8040</v>
      </c>
      <c r="G38" s="195">
        <v>238915</v>
      </c>
      <c r="H38" s="17">
        <f t="shared" si="3"/>
        <v>13940</v>
      </c>
      <c r="I38" s="17">
        <f t="shared" si="4"/>
        <v>6970</v>
      </c>
      <c r="J38" s="195">
        <v>418119</v>
      </c>
      <c r="K38" s="17">
        <f t="shared" si="5"/>
        <v>6400</v>
      </c>
      <c r="L38" s="195">
        <v>663741</v>
      </c>
      <c r="M38" s="17">
        <f t="shared" si="6"/>
        <v>10570</v>
      </c>
      <c r="N38" s="195">
        <v>357155</v>
      </c>
      <c r="O38" s="17">
        <f t="shared" si="0"/>
        <v>11570</v>
      </c>
      <c r="P38" s="17">
        <f t="shared" si="7"/>
        <v>5785</v>
      </c>
      <c r="Q38" s="195">
        <v>424680</v>
      </c>
      <c r="R38" s="17">
        <f t="shared" si="1"/>
        <v>10440</v>
      </c>
      <c r="S38" s="17">
        <f t="shared" si="8"/>
        <v>5220</v>
      </c>
      <c r="T38" s="195">
        <v>209204</v>
      </c>
      <c r="U38" s="17">
        <f t="shared" si="9"/>
        <v>9430</v>
      </c>
      <c r="V38" s="17">
        <f t="shared" si="10"/>
        <v>4715</v>
      </c>
      <c r="W38" s="195">
        <v>282172</v>
      </c>
      <c r="X38" s="17">
        <f t="shared" si="11"/>
        <v>560</v>
      </c>
      <c r="Y38" s="17">
        <f t="shared" si="12"/>
        <v>280</v>
      </c>
      <c r="Z38" s="195">
        <v>80281</v>
      </c>
      <c r="AA38" s="17">
        <f t="shared" si="13"/>
        <v>121</v>
      </c>
      <c r="AB38" s="195">
        <v>152350</v>
      </c>
      <c r="AC38" s="17">
        <f t="shared" si="14"/>
        <v>36</v>
      </c>
      <c r="AD38" s="195">
        <v>274179</v>
      </c>
      <c r="AE38" s="17">
        <f t="shared" si="15"/>
        <v>385</v>
      </c>
      <c r="AF38" s="195">
        <v>139463</v>
      </c>
      <c r="AG38" s="17">
        <f t="shared" si="16"/>
        <v>196</v>
      </c>
      <c r="AH38" s="195">
        <v>732561</v>
      </c>
      <c r="AI38" s="17">
        <f t="shared" si="17"/>
        <v>1033</v>
      </c>
      <c r="AK38" s="96">
        <f t="shared" si="18"/>
        <v>52520</v>
      </c>
      <c r="AL38" s="97">
        <f t="shared" si="19"/>
        <v>17771</v>
      </c>
    </row>
    <row r="39" spans="1:38" s="19" customFormat="1" ht="39.950000000000003" customHeight="1">
      <c r="A39" s="18"/>
      <c r="D39" s="20"/>
    </row>
    <row r="40" spans="1:38" s="19" customFormat="1" ht="39.950000000000003" customHeight="1">
      <c r="A40" s="18"/>
      <c r="D40" s="20"/>
    </row>
    <row r="41" spans="1:38" ht="39.950000000000003" customHeight="1">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5" activePane="bottomRight" state="frozen"/>
      <selection pane="topRight" activeCell="C1" sqref="C1"/>
      <selection pane="bottomLeft" activeCell="A5" sqref="A5"/>
      <selection pane="bottomRight" activeCell="N31" sqref="N31"/>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8"/>
      <c r="B1" s="198"/>
      <c r="C1" s="210" t="s">
        <v>65</v>
      </c>
      <c r="D1" s="210"/>
      <c r="E1" s="210" t="s">
        <v>65</v>
      </c>
      <c r="F1" s="210"/>
      <c r="G1" s="210" t="s">
        <v>65</v>
      </c>
      <c r="H1" s="210"/>
      <c r="I1" s="210" t="s">
        <v>65</v>
      </c>
      <c r="J1" s="210"/>
      <c r="K1" s="223" t="s">
        <v>66</v>
      </c>
      <c r="L1" s="224"/>
      <c r="M1" s="224"/>
      <c r="N1" s="225"/>
      <c r="O1" s="210" t="s">
        <v>67</v>
      </c>
      <c r="P1" s="210"/>
    </row>
    <row r="2" spans="1:19" s="26" customFormat="1" ht="113.25" customHeight="1">
      <c r="A2" s="25"/>
      <c r="B2" s="25"/>
      <c r="C2" s="226" t="s">
        <v>103</v>
      </c>
      <c r="D2" s="227"/>
      <c r="E2" s="226" t="s">
        <v>104</v>
      </c>
      <c r="F2" s="227"/>
      <c r="G2" s="226" t="s">
        <v>105</v>
      </c>
      <c r="H2" s="227"/>
      <c r="I2" s="226" t="s">
        <v>106</v>
      </c>
      <c r="J2" s="227"/>
      <c r="K2" s="235" t="s">
        <v>107</v>
      </c>
      <c r="L2" s="236"/>
      <c r="M2" s="236"/>
      <c r="N2" s="237"/>
      <c r="O2" s="226" t="s">
        <v>108</v>
      </c>
      <c r="P2" s="227"/>
    </row>
    <row r="3" spans="1:19" s="31" customFormat="1" ht="50.1" customHeight="1">
      <c r="A3" s="40"/>
      <c r="B3" s="40"/>
      <c r="C3" s="230" t="s">
        <v>109</v>
      </c>
      <c r="D3" s="231"/>
      <c r="E3" s="228" t="s">
        <v>110</v>
      </c>
      <c r="F3" s="229"/>
      <c r="G3" s="228" t="s">
        <v>111</v>
      </c>
      <c r="H3" s="229"/>
      <c r="I3" s="228" t="s">
        <v>112</v>
      </c>
      <c r="J3" s="229"/>
      <c r="K3" s="232" t="s">
        <v>113</v>
      </c>
      <c r="L3" s="233"/>
      <c r="M3" s="233"/>
      <c r="N3" s="234"/>
      <c r="O3" s="230" t="s">
        <v>114</v>
      </c>
      <c r="P3" s="231"/>
      <c r="R3" s="208" t="s">
        <v>81</v>
      </c>
      <c r="S3" s="208"/>
    </row>
    <row r="4" spans="1:19" s="8" customFormat="1" ht="30" customHeight="1">
      <c r="A4" s="197" t="s">
        <v>96</v>
      </c>
      <c r="B4" s="49"/>
      <c r="C4" s="217"/>
      <c r="D4" s="218"/>
      <c r="E4" s="217"/>
      <c r="F4" s="218"/>
      <c r="G4" s="217"/>
      <c r="H4" s="218"/>
      <c r="I4" s="217"/>
      <c r="J4" s="218"/>
      <c r="K4" s="217"/>
      <c r="L4" s="222"/>
      <c r="M4" s="222"/>
      <c r="N4" s="218"/>
      <c r="O4" s="49"/>
      <c r="P4" s="49"/>
      <c r="R4" s="208"/>
      <c r="S4" s="208"/>
    </row>
    <row r="5" spans="1:19" s="10" customFormat="1" ht="50.1" customHeight="1">
      <c r="A5" s="197" t="s">
        <v>99</v>
      </c>
      <c r="B5" s="197"/>
      <c r="C5" s="197" t="s">
        <v>115</v>
      </c>
      <c r="D5" s="197" t="s">
        <v>116</v>
      </c>
      <c r="E5" s="197" t="s">
        <v>115</v>
      </c>
      <c r="F5" s="197" t="s">
        <v>116</v>
      </c>
      <c r="G5" s="197" t="s">
        <v>115</v>
      </c>
      <c r="H5" s="197" t="s">
        <v>116</v>
      </c>
      <c r="I5" s="197" t="s">
        <v>115</v>
      </c>
      <c r="J5" s="197" t="s">
        <v>116</v>
      </c>
      <c r="K5" s="197" t="s">
        <v>115</v>
      </c>
      <c r="L5" s="197" t="s">
        <v>116</v>
      </c>
      <c r="M5" s="197" t="s">
        <v>65</v>
      </c>
      <c r="N5" s="197" t="s">
        <v>67</v>
      </c>
      <c r="O5" s="197" t="s">
        <v>115</v>
      </c>
      <c r="P5" s="197" t="s">
        <v>116</v>
      </c>
      <c r="R5" s="197"/>
      <c r="S5" s="197"/>
    </row>
    <row r="6" spans="1:19" ht="39.950000000000003" customHeight="1">
      <c r="A6" s="192">
        <v>44742</v>
      </c>
      <c r="B6" s="81"/>
      <c r="C6" s="72">
        <v>64079</v>
      </c>
      <c r="D6" s="74"/>
      <c r="E6" s="72">
        <v>103701</v>
      </c>
      <c r="F6" s="74"/>
      <c r="G6" s="83">
        <v>9470</v>
      </c>
      <c r="H6" s="75"/>
      <c r="I6" s="72">
        <v>19900</v>
      </c>
      <c r="J6" s="74"/>
      <c r="K6" s="72">
        <v>28951</v>
      </c>
      <c r="L6" s="74"/>
      <c r="M6" s="75"/>
      <c r="N6" s="75"/>
      <c r="O6" s="72">
        <v>35630</v>
      </c>
      <c r="P6" s="74"/>
      <c r="R6" s="106"/>
      <c r="S6" s="97"/>
    </row>
    <row r="7" spans="1:19" s="2" customFormat="1" ht="39.950000000000003" customHeight="1">
      <c r="A7" s="192">
        <v>44743</v>
      </c>
      <c r="B7" s="15"/>
      <c r="C7" s="72">
        <v>64273</v>
      </c>
      <c r="D7" s="74">
        <f>(C7-C6)</f>
        <v>194</v>
      </c>
      <c r="E7" s="72">
        <v>104064</v>
      </c>
      <c r="F7" s="74">
        <f>(E7-E6)</f>
        <v>363</v>
      </c>
      <c r="G7" s="72">
        <v>9471</v>
      </c>
      <c r="H7" s="75">
        <f>(G7-G6)</f>
        <v>1</v>
      </c>
      <c r="I7" s="72">
        <f>(I11-I6)/5+I6</f>
        <v>19914</v>
      </c>
      <c r="J7" s="74">
        <f>(I7-I6)</f>
        <v>14</v>
      </c>
      <c r="K7" s="72">
        <v>29116</v>
      </c>
      <c r="L7" s="74">
        <f>(K7-K6)</f>
        <v>165</v>
      </c>
      <c r="M7" s="75">
        <f>L7*55%</f>
        <v>90.750000000000014</v>
      </c>
      <c r="N7" s="75">
        <f>L7*45%</f>
        <v>74.25</v>
      </c>
      <c r="O7" s="72">
        <v>35732</v>
      </c>
      <c r="P7" s="74">
        <f>(O7-O6)</f>
        <v>102</v>
      </c>
      <c r="R7" s="106">
        <f t="shared" ref="R7:R34" si="0">SUM(D7,F7,M71,H7)</f>
        <v>558</v>
      </c>
      <c r="S7" s="97">
        <f>SUM(N7,P7)</f>
        <v>176.25</v>
      </c>
    </row>
    <row r="8" spans="1:19" ht="39.950000000000003" customHeight="1">
      <c r="A8" s="192">
        <f>SUM(A7+1)</f>
        <v>44744</v>
      </c>
      <c r="B8" s="16"/>
      <c r="C8" s="72">
        <v>64488</v>
      </c>
      <c r="D8" s="74">
        <f t="shared" ref="D8:J35" si="1">(C8-C7)</f>
        <v>215</v>
      </c>
      <c r="E8" s="72">
        <v>104402</v>
      </c>
      <c r="F8" s="74">
        <f t="shared" si="1"/>
        <v>338</v>
      </c>
      <c r="G8" s="83">
        <v>9483</v>
      </c>
      <c r="H8" s="75">
        <f t="shared" ref="H8:H37" si="2">(G8-G7)</f>
        <v>12</v>
      </c>
      <c r="I8" s="83">
        <f t="shared" ref="I8:I10" si="3">(I12-I7)/5+I7</f>
        <v>19930.2</v>
      </c>
      <c r="J8" s="181">
        <f t="shared" ref="J8:J37" si="4">(I8-I7)</f>
        <v>16.200000000000728</v>
      </c>
      <c r="K8" s="72">
        <v>29291</v>
      </c>
      <c r="L8" s="74">
        <f t="shared" ref="L8:L37" si="5">(K8-K7)</f>
        <v>175</v>
      </c>
      <c r="M8" s="75">
        <f t="shared" ref="M8:M37" si="6">L8*55%</f>
        <v>96.250000000000014</v>
      </c>
      <c r="N8" s="75">
        <f t="shared" ref="N8:N37" si="7">L8*45%</f>
        <v>78.75</v>
      </c>
      <c r="O8" s="72">
        <v>35831</v>
      </c>
      <c r="P8" s="74">
        <f t="shared" ref="P8:P37" si="8">(O8-O7)</f>
        <v>99</v>
      </c>
      <c r="R8" s="106">
        <f t="shared" si="0"/>
        <v>565</v>
      </c>
      <c r="S8" s="97">
        <f t="shared" ref="S8:S37" si="9">SUM(N8,P8)</f>
        <v>177.75</v>
      </c>
    </row>
    <row r="9" spans="1:19" ht="39.950000000000003" customHeight="1">
      <c r="A9" s="192">
        <f t="shared" ref="A9:A37" si="10">SUM(A8+1)</f>
        <v>44745</v>
      </c>
      <c r="B9" s="16"/>
      <c r="C9" s="72">
        <v>64667</v>
      </c>
      <c r="D9" s="74">
        <f t="shared" si="1"/>
        <v>179</v>
      </c>
      <c r="E9" s="72">
        <v>104758</v>
      </c>
      <c r="F9" s="74">
        <f t="shared" si="1"/>
        <v>356</v>
      </c>
      <c r="G9" s="83">
        <v>9524.8389999999999</v>
      </c>
      <c r="H9" s="75">
        <f t="shared" si="2"/>
        <v>41.838999999999942</v>
      </c>
      <c r="I9" s="83">
        <f t="shared" si="3"/>
        <v>19947.560000000001</v>
      </c>
      <c r="J9" s="181">
        <f t="shared" si="4"/>
        <v>17.360000000000582</v>
      </c>
      <c r="K9" s="72">
        <v>29467</v>
      </c>
      <c r="L9" s="74">
        <f t="shared" si="5"/>
        <v>176</v>
      </c>
      <c r="M9" s="75">
        <f t="shared" si="6"/>
        <v>96.800000000000011</v>
      </c>
      <c r="N9" s="75">
        <f t="shared" si="7"/>
        <v>79.2</v>
      </c>
      <c r="O9" s="72">
        <v>35940</v>
      </c>
      <c r="P9" s="74">
        <f t="shared" si="8"/>
        <v>109</v>
      </c>
      <c r="R9" s="106">
        <f t="shared" si="0"/>
        <v>576.83899999999994</v>
      </c>
      <c r="S9" s="97">
        <f t="shared" si="9"/>
        <v>188.2</v>
      </c>
    </row>
    <row r="10" spans="1:19" ht="39.950000000000003" customHeight="1">
      <c r="A10" s="192">
        <f t="shared" si="10"/>
        <v>44746</v>
      </c>
      <c r="B10" s="16"/>
      <c r="C10" s="72">
        <v>64842</v>
      </c>
      <c r="D10" s="74">
        <f t="shared" si="1"/>
        <v>175</v>
      </c>
      <c r="E10" s="72">
        <v>105111</v>
      </c>
      <c r="F10" s="74">
        <f t="shared" si="1"/>
        <v>353</v>
      </c>
      <c r="G10" s="83">
        <v>9545</v>
      </c>
      <c r="H10" s="75">
        <f t="shared" si="2"/>
        <v>20.161000000000058</v>
      </c>
      <c r="I10" s="83">
        <f t="shared" si="3"/>
        <v>19966.248</v>
      </c>
      <c r="J10" s="181">
        <f t="shared" si="4"/>
        <v>18.687999999998283</v>
      </c>
      <c r="K10" s="72">
        <v>29615</v>
      </c>
      <c r="L10" s="74">
        <f t="shared" si="5"/>
        <v>148</v>
      </c>
      <c r="M10" s="75">
        <f t="shared" si="6"/>
        <v>81.400000000000006</v>
      </c>
      <c r="N10" s="75">
        <f t="shared" si="7"/>
        <v>66.600000000000009</v>
      </c>
      <c r="O10" s="72">
        <v>36039</v>
      </c>
      <c r="P10" s="74">
        <f t="shared" si="8"/>
        <v>99</v>
      </c>
      <c r="R10" s="106">
        <f t="shared" si="0"/>
        <v>548.16100000000006</v>
      </c>
      <c r="S10" s="97">
        <f t="shared" si="9"/>
        <v>165.60000000000002</v>
      </c>
    </row>
    <row r="11" spans="1:19" ht="39.950000000000003" customHeight="1">
      <c r="A11" s="192">
        <f t="shared" si="10"/>
        <v>44747</v>
      </c>
      <c r="B11" s="16"/>
      <c r="C11" s="72">
        <v>64996</v>
      </c>
      <c r="D11" s="74">
        <f t="shared" si="1"/>
        <v>154</v>
      </c>
      <c r="E11" s="72">
        <v>105399</v>
      </c>
      <c r="F11" s="74">
        <f t="shared" si="1"/>
        <v>288</v>
      </c>
      <c r="G11" s="83">
        <v>9547</v>
      </c>
      <c r="H11" s="75">
        <f t="shared" si="2"/>
        <v>2</v>
      </c>
      <c r="I11" s="83">
        <v>19970</v>
      </c>
      <c r="J11" s="181">
        <f t="shared" si="4"/>
        <v>3.7520000000004075</v>
      </c>
      <c r="K11" s="72">
        <v>29790</v>
      </c>
      <c r="L11" s="74">
        <f t="shared" si="5"/>
        <v>175</v>
      </c>
      <c r="M11" s="75">
        <f t="shared" si="6"/>
        <v>96.250000000000014</v>
      </c>
      <c r="N11" s="75">
        <f t="shared" si="7"/>
        <v>78.75</v>
      </c>
      <c r="O11" s="72">
        <v>36138</v>
      </c>
      <c r="P11" s="74">
        <f t="shared" si="8"/>
        <v>99</v>
      </c>
      <c r="R11" s="106">
        <f t="shared" si="0"/>
        <v>444</v>
      </c>
      <c r="S11" s="97">
        <f t="shared" si="9"/>
        <v>177.75</v>
      </c>
    </row>
    <row r="12" spans="1:19" ht="39.950000000000003" customHeight="1">
      <c r="A12" s="192">
        <f t="shared" si="10"/>
        <v>44748</v>
      </c>
      <c r="B12" s="16"/>
      <c r="C12" s="72">
        <v>65131</v>
      </c>
      <c r="D12" s="74">
        <f t="shared" si="1"/>
        <v>135</v>
      </c>
      <c r="E12" s="72">
        <v>105703</v>
      </c>
      <c r="F12" s="74">
        <f t="shared" si="1"/>
        <v>304</v>
      </c>
      <c r="G12" s="83">
        <v>9550</v>
      </c>
      <c r="H12" s="75">
        <f t="shared" si="2"/>
        <v>3</v>
      </c>
      <c r="I12" s="83">
        <v>19995</v>
      </c>
      <c r="J12" s="181">
        <f t="shared" si="4"/>
        <v>25</v>
      </c>
      <c r="K12" s="72">
        <v>29918</v>
      </c>
      <c r="L12" s="74">
        <f t="shared" si="5"/>
        <v>128</v>
      </c>
      <c r="M12" s="75">
        <f t="shared" si="6"/>
        <v>70.400000000000006</v>
      </c>
      <c r="N12" s="75">
        <f t="shared" si="7"/>
        <v>57.6</v>
      </c>
      <c r="O12" s="72">
        <v>36249</v>
      </c>
      <c r="P12" s="74">
        <f t="shared" si="8"/>
        <v>111</v>
      </c>
      <c r="R12" s="106">
        <f t="shared" si="0"/>
        <v>442</v>
      </c>
      <c r="S12" s="97">
        <f t="shared" si="9"/>
        <v>168.6</v>
      </c>
    </row>
    <row r="13" spans="1:19" ht="39.950000000000003" customHeight="1">
      <c r="A13" s="192">
        <f t="shared" si="10"/>
        <v>44749</v>
      </c>
      <c r="B13" s="16"/>
      <c r="C13" s="72">
        <v>65256</v>
      </c>
      <c r="D13" s="74">
        <f t="shared" si="1"/>
        <v>125</v>
      </c>
      <c r="E13" s="72">
        <v>106028</v>
      </c>
      <c r="F13" s="74">
        <f t="shared" si="1"/>
        <v>325</v>
      </c>
      <c r="G13" s="83">
        <v>9552</v>
      </c>
      <c r="H13" s="75">
        <f t="shared" si="2"/>
        <v>2</v>
      </c>
      <c r="I13" s="83">
        <v>20017</v>
      </c>
      <c r="J13" s="181">
        <f t="shared" si="4"/>
        <v>22</v>
      </c>
      <c r="K13" s="72">
        <v>30054</v>
      </c>
      <c r="L13" s="74">
        <f t="shared" si="5"/>
        <v>136</v>
      </c>
      <c r="M13" s="75">
        <f t="shared" si="6"/>
        <v>74.800000000000011</v>
      </c>
      <c r="N13" s="75">
        <f t="shared" si="7"/>
        <v>61.2</v>
      </c>
      <c r="O13" s="72">
        <v>36361</v>
      </c>
      <c r="P13" s="74">
        <f t="shared" si="8"/>
        <v>112</v>
      </c>
      <c r="R13" s="106">
        <f t="shared" si="0"/>
        <v>452</v>
      </c>
      <c r="S13" s="97">
        <f t="shared" si="9"/>
        <v>173.2</v>
      </c>
    </row>
    <row r="14" spans="1:19" ht="39.950000000000003" customHeight="1">
      <c r="A14" s="192">
        <f t="shared" si="10"/>
        <v>44750</v>
      </c>
      <c r="B14" s="16"/>
      <c r="C14" s="72">
        <v>65385</v>
      </c>
      <c r="D14" s="74">
        <f t="shared" si="1"/>
        <v>129</v>
      </c>
      <c r="E14" s="72">
        <v>106310</v>
      </c>
      <c r="F14" s="74">
        <f t="shared" si="1"/>
        <v>282</v>
      </c>
      <c r="G14" s="83">
        <v>9554</v>
      </c>
      <c r="H14" s="75">
        <f t="shared" si="2"/>
        <v>2</v>
      </c>
      <c r="I14" s="83">
        <v>20041</v>
      </c>
      <c r="J14" s="181">
        <f t="shared" si="4"/>
        <v>24</v>
      </c>
      <c r="K14" s="72">
        <v>30203</v>
      </c>
      <c r="L14" s="74">
        <f t="shared" si="5"/>
        <v>149</v>
      </c>
      <c r="M14" s="75">
        <f t="shared" si="6"/>
        <v>81.95</v>
      </c>
      <c r="N14" s="75">
        <f t="shared" si="7"/>
        <v>67.05</v>
      </c>
      <c r="O14" s="72">
        <v>36461</v>
      </c>
      <c r="P14" s="74">
        <f t="shared" si="8"/>
        <v>100</v>
      </c>
      <c r="R14" s="106">
        <f t="shared" si="0"/>
        <v>413</v>
      </c>
      <c r="S14" s="97">
        <f t="shared" si="9"/>
        <v>167.05</v>
      </c>
    </row>
    <row r="15" spans="1:19" ht="39.950000000000003" customHeight="1">
      <c r="A15" s="192">
        <f t="shared" si="10"/>
        <v>44751</v>
      </c>
      <c r="B15" s="16"/>
      <c r="C15" s="72">
        <v>65574</v>
      </c>
      <c r="D15" s="74">
        <f t="shared" si="1"/>
        <v>189</v>
      </c>
      <c r="E15" s="72">
        <v>106635</v>
      </c>
      <c r="F15" s="74">
        <f t="shared" si="1"/>
        <v>325</v>
      </c>
      <c r="G15" s="83">
        <v>9556</v>
      </c>
      <c r="H15" s="75">
        <f t="shared" si="2"/>
        <v>2</v>
      </c>
      <c r="I15" s="83">
        <v>20066</v>
      </c>
      <c r="J15" s="181">
        <f t="shared" si="4"/>
        <v>25</v>
      </c>
      <c r="K15" s="72">
        <v>30362</v>
      </c>
      <c r="L15" s="74">
        <f t="shared" si="5"/>
        <v>159</v>
      </c>
      <c r="M15" s="75">
        <f t="shared" si="6"/>
        <v>87.45</v>
      </c>
      <c r="N15" s="75">
        <f t="shared" si="7"/>
        <v>71.55</v>
      </c>
      <c r="O15" s="72">
        <v>36555</v>
      </c>
      <c r="P15" s="74">
        <f t="shared" si="8"/>
        <v>94</v>
      </c>
      <c r="R15" s="106">
        <f t="shared" si="0"/>
        <v>516</v>
      </c>
      <c r="S15" s="97">
        <f t="shared" si="9"/>
        <v>165.55</v>
      </c>
    </row>
    <row r="16" spans="1:19" ht="39.950000000000003" customHeight="1">
      <c r="A16" s="192">
        <f t="shared" si="10"/>
        <v>44752</v>
      </c>
      <c r="B16" s="16"/>
      <c r="C16" s="83">
        <v>65785</v>
      </c>
      <c r="D16" s="74">
        <f t="shared" si="1"/>
        <v>211</v>
      </c>
      <c r="E16" s="83">
        <v>107016</v>
      </c>
      <c r="F16" s="74">
        <f t="shared" si="1"/>
        <v>381</v>
      </c>
      <c r="G16" s="83">
        <v>9557</v>
      </c>
      <c r="H16" s="75">
        <f t="shared" si="2"/>
        <v>1</v>
      </c>
      <c r="I16" s="72">
        <v>20090</v>
      </c>
      <c r="J16" s="181">
        <f t="shared" si="4"/>
        <v>24</v>
      </c>
      <c r="K16" s="72">
        <v>30519</v>
      </c>
      <c r="L16" s="74">
        <f t="shared" si="5"/>
        <v>157</v>
      </c>
      <c r="M16" s="75">
        <f t="shared" si="6"/>
        <v>86.350000000000009</v>
      </c>
      <c r="N16" s="75">
        <f t="shared" si="7"/>
        <v>70.650000000000006</v>
      </c>
      <c r="O16" s="72">
        <v>36670</v>
      </c>
      <c r="P16" s="74">
        <f t="shared" si="8"/>
        <v>115</v>
      </c>
      <c r="R16" s="106">
        <f t="shared" si="0"/>
        <v>593</v>
      </c>
      <c r="S16" s="97">
        <f t="shared" si="9"/>
        <v>185.65</v>
      </c>
    </row>
    <row r="17" spans="1:19" ht="39.950000000000003" customHeight="1">
      <c r="A17" s="192">
        <f t="shared" si="10"/>
        <v>44753</v>
      </c>
      <c r="B17" s="16"/>
      <c r="C17" s="72">
        <v>65987</v>
      </c>
      <c r="D17" s="74">
        <f t="shared" si="1"/>
        <v>202</v>
      </c>
      <c r="E17" s="72">
        <v>107374</v>
      </c>
      <c r="F17" s="74">
        <f t="shared" si="1"/>
        <v>358</v>
      </c>
      <c r="G17" s="83">
        <v>9560</v>
      </c>
      <c r="H17" s="75">
        <f t="shared" si="2"/>
        <v>3</v>
      </c>
      <c r="I17" s="72">
        <v>20118</v>
      </c>
      <c r="J17" s="74">
        <f t="shared" si="4"/>
        <v>28</v>
      </c>
      <c r="K17" s="72">
        <v>30688</v>
      </c>
      <c r="L17" s="74">
        <f t="shared" si="5"/>
        <v>169</v>
      </c>
      <c r="M17" s="75">
        <f t="shared" si="6"/>
        <v>92.95</v>
      </c>
      <c r="N17" s="75">
        <f t="shared" si="7"/>
        <v>76.05</v>
      </c>
      <c r="O17" s="72">
        <v>36770</v>
      </c>
      <c r="P17" s="181">
        <f t="shared" si="8"/>
        <v>100</v>
      </c>
      <c r="R17" s="106">
        <f t="shared" si="0"/>
        <v>563</v>
      </c>
      <c r="S17" s="97">
        <f t="shared" si="9"/>
        <v>176.05</v>
      </c>
    </row>
    <row r="18" spans="1:19" ht="39.950000000000003" customHeight="1">
      <c r="A18" s="192">
        <f t="shared" si="10"/>
        <v>44754</v>
      </c>
      <c r="B18" s="16"/>
      <c r="C18" s="72">
        <v>66146</v>
      </c>
      <c r="D18" s="74">
        <f t="shared" si="1"/>
        <v>159</v>
      </c>
      <c r="E18" s="72">
        <v>107640</v>
      </c>
      <c r="F18" s="74">
        <f t="shared" si="1"/>
        <v>266</v>
      </c>
      <c r="G18" s="83">
        <v>9564</v>
      </c>
      <c r="H18" s="75">
        <f t="shared" si="2"/>
        <v>4</v>
      </c>
      <c r="I18" s="72">
        <v>20143</v>
      </c>
      <c r="J18" s="74">
        <f t="shared" si="4"/>
        <v>25</v>
      </c>
      <c r="K18" s="72">
        <v>30844</v>
      </c>
      <c r="L18" s="74">
        <f t="shared" si="5"/>
        <v>156</v>
      </c>
      <c r="M18" s="75">
        <f t="shared" si="6"/>
        <v>85.800000000000011</v>
      </c>
      <c r="N18" s="75">
        <f t="shared" si="7"/>
        <v>70.2</v>
      </c>
      <c r="O18" s="72">
        <v>36881</v>
      </c>
      <c r="P18" s="181">
        <f t="shared" si="8"/>
        <v>111</v>
      </c>
      <c r="R18" s="106">
        <f t="shared" si="0"/>
        <v>429</v>
      </c>
      <c r="S18" s="97">
        <f t="shared" si="9"/>
        <v>181.2</v>
      </c>
    </row>
    <row r="19" spans="1:19" s="78" customFormat="1" ht="39.950000000000003" customHeight="1">
      <c r="A19" s="192">
        <f t="shared" si="10"/>
        <v>44755</v>
      </c>
      <c r="B19" s="81"/>
      <c r="C19" s="72">
        <v>66301</v>
      </c>
      <c r="D19" s="74">
        <f t="shared" si="1"/>
        <v>155</v>
      </c>
      <c r="E19" s="72">
        <v>107940</v>
      </c>
      <c r="F19" s="74">
        <f t="shared" si="1"/>
        <v>300</v>
      </c>
      <c r="G19" s="83">
        <v>9567</v>
      </c>
      <c r="H19" s="75">
        <f t="shared" si="2"/>
        <v>3</v>
      </c>
      <c r="I19" s="72">
        <v>20168</v>
      </c>
      <c r="J19" s="74">
        <f t="shared" si="4"/>
        <v>25</v>
      </c>
      <c r="K19" s="72">
        <v>30993</v>
      </c>
      <c r="L19" s="74">
        <f t="shared" si="5"/>
        <v>149</v>
      </c>
      <c r="M19" s="75">
        <f t="shared" si="6"/>
        <v>81.95</v>
      </c>
      <c r="N19" s="75">
        <f t="shared" si="7"/>
        <v>67.05</v>
      </c>
      <c r="O19" s="72">
        <v>36982</v>
      </c>
      <c r="P19" s="181">
        <f t="shared" si="8"/>
        <v>101</v>
      </c>
      <c r="R19" s="165">
        <f t="shared" si="0"/>
        <v>458</v>
      </c>
      <c r="S19" s="105">
        <f t="shared" si="9"/>
        <v>168.05</v>
      </c>
    </row>
    <row r="20" spans="1:19" s="78" customFormat="1" ht="39.950000000000003" customHeight="1">
      <c r="A20" s="192">
        <f t="shared" si="10"/>
        <v>44756</v>
      </c>
      <c r="B20" s="81"/>
      <c r="C20" s="72">
        <v>66456</v>
      </c>
      <c r="D20" s="74">
        <f t="shared" si="1"/>
        <v>155</v>
      </c>
      <c r="E20" s="72">
        <v>108257</v>
      </c>
      <c r="F20" s="74">
        <f t="shared" si="1"/>
        <v>317</v>
      </c>
      <c r="G20" s="83">
        <v>9573</v>
      </c>
      <c r="H20" s="75">
        <f t="shared" si="2"/>
        <v>6</v>
      </c>
      <c r="I20" s="72">
        <v>20197</v>
      </c>
      <c r="J20" s="74">
        <f t="shared" si="4"/>
        <v>29</v>
      </c>
      <c r="K20" s="72">
        <v>31133</v>
      </c>
      <c r="L20" s="74">
        <f t="shared" si="5"/>
        <v>140</v>
      </c>
      <c r="M20" s="75">
        <f t="shared" si="6"/>
        <v>77</v>
      </c>
      <c r="N20" s="75">
        <f t="shared" si="7"/>
        <v>63</v>
      </c>
      <c r="O20" s="72">
        <v>37082</v>
      </c>
      <c r="P20" s="181">
        <f t="shared" si="8"/>
        <v>100</v>
      </c>
      <c r="R20" s="165">
        <f t="shared" si="0"/>
        <v>478</v>
      </c>
      <c r="S20" s="105">
        <f t="shared" si="9"/>
        <v>163</v>
      </c>
    </row>
    <row r="21" spans="1:19" s="78" customFormat="1" ht="39.950000000000003" customHeight="1">
      <c r="A21" s="192">
        <f t="shared" si="10"/>
        <v>44757</v>
      </c>
      <c r="B21" s="81"/>
      <c r="C21" s="73">
        <v>66621</v>
      </c>
      <c r="D21" s="74">
        <f t="shared" si="1"/>
        <v>165</v>
      </c>
      <c r="E21" s="73">
        <v>108586</v>
      </c>
      <c r="F21" s="181">
        <f>(E21-E20)</f>
        <v>329</v>
      </c>
      <c r="G21" s="82">
        <v>9599</v>
      </c>
      <c r="H21" s="75">
        <f t="shared" si="2"/>
        <v>26</v>
      </c>
      <c r="I21" s="72">
        <v>20233</v>
      </c>
      <c r="J21" s="74">
        <f t="shared" si="4"/>
        <v>36</v>
      </c>
      <c r="K21" s="73">
        <v>31282</v>
      </c>
      <c r="L21" s="74">
        <f t="shared" si="5"/>
        <v>149</v>
      </c>
      <c r="M21" s="75">
        <f t="shared" si="6"/>
        <v>81.95</v>
      </c>
      <c r="N21" s="75">
        <f t="shared" si="7"/>
        <v>67.05</v>
      </c>
      <c r="O21" s="73">
        <v>37197</v>
      </c>
      <c r="P21" s="74">
        <f t="shared" si="8"/>
        <v>115</v>
      </c>
      <c r="R21" s="165">
        <f t="shared" si="0"/>
        <v>520</v>
      </c>
      <c r="S21" s="105">
        <f t="shared" si="9"/>
        <v>182.05</v>
      </c>
    </row>
    <row r="22" spans="1:19" s="78" customFormat="1" ht="39.950000000000003" customHeight="1">
      <c r="A22" s="192">
        <f t="shared" si="10"/>
        <v>44758</v>
      </c>
      <c r="B22" s="81"/>
      <c r="C22" s="73">
        <v>66795</v>
      </c>
      <c r="D22" s="74">
        <f t="shared" si="1"/>
        <v>174</v>
      </c>
      <c r="E22" s="73">
        <v>108934</v>
      </c>
      <c r="F22" s="74">
        <f>(E22-E21)</f>
        <v>348</v>
      </c>
      <c r="G22" s="82">
        <v>9605</v>
      </c>
      <c r="H22" s="75">
        <f t="shared" si="2"/>
        <v>6</v>
      </c>
      <c r="I22" s="83">
        <f>(I21+I23)/2</f>
        <v>20264.5</v>
      </c>
      <c r="J22" s="181">
        <f t="shared" si="4"/>
        <v>31.5</v>
      </c>
      <c r="K22" s="73">
        <v>31440</v>
      </c>
      <c r="L22" s="74">
        <f t="shared" si="5"/>
        <v>158</v>
      </c>
      <c r="M22" s="75">
        <f t="shared" si="6"/>
        <v>86.9</v>
      </c>
      <c r="N22" s="75">
        <f t="shared" si="7"/>
        <v>71.100000000000009</v>
      </c>
      <c r="O22" s="73">
        <v>37284</v>
      </c>
      <c r="P22" s="74">
        <f t="shared" si="8"/>
        <v>87</v>
      </c>
      <c r="R22" s="165">
        <f t="shared" si="0"/>
        <v>528</v>
      </c>
      <c r="S22" s="105">
        <f t="shared" si="9"/>
        <v>158.10000000000002</v>
      </c>
    </row>
    <row r="23" spans="1:19" s="78" customFormat="1" ht="39.950000000000003" customHeight="1">
      <c r="A23" s="192">
        <f t="shared" si="10"/>
        <v>44759</v>
      </c>
      <c r="B23" s="81"/>
      <c r="C23" s="73">
        <v>67005</v>
      </c>
      <c r="D23" s="74">
        <f t="shared" si="1"/>
        <v>210</v>
      </c>
      <c r="E23" s="73">
        <v>109310</v>
      </c>
      <c r="F23" s="74">
        <f>(E23-E22)</f>
        <v>376</v>
      </c>
      <c r="G23" s="82">
        <v>9670</v>
      </c>
      <c r="H23" s="75">
        <f t="shared" si="2"/>
        <v>65</v>
      </c>
      <c r="I23" s="72">
        <v>20296</v>
      </c>
      <c r="J23" s="181">
        <f t="shared" si="4"/>
        <v>31.5</v>
      </c>
      <c r="K23" s="73">
        <v>31613</v>
      </c>
      <c r="L23" s="74">
        <f t="shared" si="5"/>
        <v>173</v>
      </c>
      <c r="M23" s="75">
        <f t="shared" si="6"/>
        <v>95.15</v>
      </c>
      <c r="N23" s="75">
        <f t="shared" si="7"/>
        <v>77.850000000000009</v>
      </c>
      <c r="O23" s="73">
        <v>37425</v>
      </c>
      <c r="P23" s="74">
        <f t="shared" si="8"/>
        <v>141</v>
      </c>
      <c r="R23" s="165">
        <f t="shared" si="0"/>
        <v>651</v>
      </c>
      <c r="S23" s="105">
        <f t="shared" si="9"/>
        <v>218.85000000000002</v>
      </c>
    </row>
    <row r="24" spans="1:19" s="78" customFormat="1" ht="39.950000000000003" customHeight="1">
      <c r="A24" s="192">
        <f t="shared" si="10"/>
        <v>44760</v>
      </c>
      <c r="B24" s="81"/>
      <c r="C24" s="73">
        <v>67214</v>
      </c>
      <c r="D24" s="74">
        <f t="shared" si="1"/>
        <v>209</v>
      </c>
      <c r="E24" s="73">
        <v>109628</v>
      </c>
      <c r="F24" s="74">
        <f t="shared" si="1"/>
        <v>318</v>
      </c>
      <c r="G24" s="82">
        <v>9681</v>
      </c>
      <c r="H24" s="75">
        <f t="shared" si="2"/>
        <v>11</v>
      </c>
      <c r="I24" s="83">
        <f>(I23+I25)/2</f>
        <v>20351.5</v>
      </c>
      <c r="J24" s="181">
        <f t="shared" si="4"/>
        <v>55.5</v>
      </c>
      <c r="K24" s="73">
        <v>31772</v>
      </c>
      <c r="L24" s="74">
        <f t="shared" si="5"/>
        <v>159</v>
      </c>
      <c r="M24" s="75">
        <f t="shared" si="6"/>
        <v>87.45</v>
      </c>
      <c r="N24" s="75">
        <f t="shared" si="7"/>
        <v>71.55</v>
      </c>
      <c r="O24" s="73">
        <v>37555</v>
      </c>
      <c r="P24" s="74">
        <f t="shared" si="8"/>
        <v>130</v>
      </c>
      <c r="R24" s="165">
        <f t="shared" si="0"/>
        <v>538</v>
      </c>
      <c r="S24" s="105">
        <f t="shared" si="9"/>
        <v>201.55</v>
      </c>
    </row>
    <row r="25" spans="1:19" s="78" customFormat="1" ht="39.950000000000003" customHeight="1">
      <c r="A25" s="192">
        <f t="shared" si="10"/>
        <v>44761</v>
      </c>
      <c r="B25" s="81"/>
      <c r="C25" s="73">
        <v>67905</v>
      </c>
      <c r="D25" s="74">
        <f t="shared" si="1"/>
        <v>691</v>
      </c>
      <c r="E25" s="73">
        <v>110509</v>
      </c>
      <c r="F25" s="74">
        <f t="shared" si="1"/>
        <v>881</v>
      </c>
      <c r="G25" s="82">
        <v>9687</v>
      </c>
      <c r="H25" s="75">
        <f t="shared" si="2"/>
        <v>6</v>
      </c>
      <c r="I25" s="72">
        <v>20407</v>
      </c>
      <c r="J25" s="181">
        <f t="shared" si="4"/>
        <v>55.5</v>
      </c>
      <c r="K25" s="73">
        <v>32237</v>
      </c>
      <c r="L25" s="74">
        <f t="shared" si="5"/>
        <v>465</v>
      </c>
      <c r="M25" s="75">
        <f t="shared" si="6"/>
        <v>255.75000000000003</v>
      </c>
      <c r="N25" s="75">
        <f t="shared" si="7"/>
        <v>209.25</v>
      </c>
      <c r="O25" s="73">
        <v>37916</v>
      </c>
      <c r="P25" s="74">
        <f t="shared" si="8"/>
        <v>361</v>
      </c>
      <c r="R25" s="165">
        <f t="shared" si="0"/>
        <v>1578</v>
      </c>
      <c r="S25" s="105">
        <f t="shared" si="9"/>
        <v>570.25</v>
      </c>
    </row>
    <row r="26" spans="1:19" ht="39.950000000000003" customHeight="1">
      <c r="A26" s="192">
        <f t="shared" si="10"/>
        <v>44762</v>
      </c>
      <c r="B26" s="81"/>
      <c r="C26" s="82">
        <f>(C28-C25)/3+C25</f>
        <v>67987.333333333328</v>
      </c>
      <c r="D26" s="181">
        <f t="shared" si="1"/>
        <v>82.333333333328483</v>
      </c>
      <c r="E26" s="82">
        <f>(E28-E25)/3+E25</f>
        <v>110609</v>
      </c>
      <c r="F26" s="74">
        <f t="shared" si="1"/>
        <v>100</v>
      </c>
      <c r="G26" s="82">
        <f>(G28-G25)/3+G25</f>
        <v>9688.7783333333336</v>
      </c>
      <c r="H26" s="181">
        <f t="shared" si="2"/>
        <v>1.7783333333336486</v>
      </c>
      <c r="I26" s="83">
        <f>(I25+I27)/2</f>
        <v>20411.5</v>
      </c>
      <c r="J26" s="181">
        <f t="shared" si="4"/>
        <v>4.5</v>
      </c>
      <c r="K26" s="82">
        <f>(K28-K25)/3+K25</f>
        <v>32289.333333333332</v>
      </c>
      <c r="L26" s="181">
        <f t="shared" si="5"/>
        <v>52.333333333332121</v>
      </c>
      <c r="M26" s="181">
        <f t="shared" si="6"/>
        <v>28.783333333332667</v>
      </c>
      <c r="N26" s="181">
        <f t="shared" si="7"/>
        <v>23.549999999999454</v>
      </c>
      <c r="O26" s="82">
        <f>(O28-O25)/3+O25</f>
        <v>37957.333333333336</v>
      </c>
      <c r="P26" s="181">
        <f t="shared" si="8"/>
        <v>41.333333333335759</v>
      </c>
      <c r="R26" s="106">
        <f t="shared" si="0"/>
        <v>184.11166666666213</v>
      </c>
      <c r="S26" s="97">
        <f t="shared" si="9"/>
        <v>64.883333333335216</v>
      </c>
    </row>
    <row r="27" spans="1:19" ht="39.950000000000003" customHeight="1">
      <c r="A27" s="192">
        <f t="shared" si="10"/>
        <v>44763</v>
      </c>
      <c r="B27" s="81"/>
      <c r="C27" s="82">
        <f>(C29-C26)/3+C26</f>
        <v>68100.555555555547</v>
      </c>
      <c r="D27" s="181">
        <f t="shared" si="1"/>
        <v>113.22222222221899</v>
      </c>
      <c r="E27" s="82">
        <f>(E29-E26)/3+E26</f>
        <v>110780</v>
      </c>
      <c r="F27" s="74">
        <f t="shared" si="1"/>
        <v>171</v>
      </c>
      <c r="G27" s="82">
        <f>(G29-G26)/3+G26</f>
        <v>9691.8285555555558</v>
      </c>
      <c r="H27" s="181">
        <f t="shared" si="2"/>
        <v>3.0502222222221462</v>
      </c>
      <c r="I27" s="83">
        <v>20416</v>
      </c>
      <c r="J27" s="181">
        <f t="shared" si="4"/>
        <v>4.5</v>
      </c>
      <c r="K27" s="82">
        <f>(K29-K26)/3+K26</f>
        <v>32375.222222222223</v>
      </c>
      <c r="L27" s="181">
        <f t="shared" si="5"/>
        <v>85.888888888890506</v>
      </c>
      <c r="M27" s="181">
        <f t="shared" si="6"/>
        <v>47.238888888889782</v>
      </c>
      <c r="N27" s="181">
        <f t="shared" si="7"/>
        <v>38.65000000000073</v>
      </c>
      <c r="O27" s="82">
        <f>(O29-O26)/3+O26</f>
        <v>38023.888888888891</v>
      </c>
      <c r="P27" s="181">
        <f t="shared" si="8"/>
        <v>66.555555555554747</v>
      </c>
      <c r="R27" s="106">
        <f t="shared" si="0"/>
        <v>287.27244444444113</v>
      </c>
      <c r="S27" s="97">
        <f t="shared" si="9"/>
        <v>105.20555555555548</v>
      </c>
    </row>
    <row r="28" spans="1:19" ht="39.950000000000003" customHeight="1">
      <c r="A28" s="192">
        <f t="shared" si="10"/>
        <v>44764</v>
      </c>
      <c r="B28" s="81"/>
      <c r="C28" s="82">
        <v>68152</v>
      </c>
      <c r="D28" s="181">
        <f t="shared" si="1"/>
        <v>51.444444444452529</v>
      </c>
      <c r="E28" s="73">
        <v>110809</v>
      </c>
      <c r="F28" s="74">
        <f t="shared" si="1"/>
        <v>29</v>
      </c>
      <c r="G28" s="82">
        <v>9692.3349999999991</v>
      </c>
      <c r="H28" s="181">
        <f t="shared" si="2"/>
        <v>0.50644444444333203</v>
      </c>
      <c r="I28" s="82">
        <v>20442</v>
      </c>
      <c r="J28" s="181">
        <f t="shared" si="4"/>
        <v>26</v>
      </c>
      <c r="K28" s="82">
        <v>32394</v>
      </c>
      <c r="L28" s="181">
        <f t="shared" si="5"/>
        <v>18.777777777777374</v>
      </c>
      <c r="M28" s="181">
        <f t="shared" si="6"/>
        <v>10.327777777777555</v>
      </c>
      <c r="N28" s="181">
        <f t="shared" si="7"/>
        <v>8.4499999999998181</v>
      </c>
      <c r="O28" s="82">
        <v>38040</v>
      </c>
      <c r="P28" s="181">
        <f t="shared" si="8"/>
        <v>16.111111111109494</v>
      </c>
      <c r="R28" s="106">
        <f t="shared" si="0"/>
        <v>80.950888888895861</v>
      </c>
      <c r="S28" s="97">
        <f t="shared" si="9"/>
        <v>24.561111111109312</v>
      </c>
    </row>
    <row r="29" spans="1:19" ht="39.950000000000003" customHeight="1">
      <c r="A29" s="192">
        <f t="shared" si="10"/>
        <v>44765</v>
      </c>
      <c r="B29" s="81"/>
      <c r="C29" s="73">
        <v>68327</v>
      </c>
      <c r="D29" s="74">
        <f t="shared" si="1"/>
        <v>175</v>
      </c>
      <c r="E29" s="73">
        <v>111122</v>
      </c>
      <c r="F29" s="74">
        <f t="shared" si="1"/>
        <v>313</v>
      </c>
      <c r="G29" s="82">
        <v>9697.9290000000001</v>
      </c>
      <c r="H29" s="75">
        <f t="shared" si="2"/>
        <v>5.5940000000009604</v>
      </c>
      <c r="I29" s="73">
        <f>(I31-I28)/3+I28</f>
        <v>20472</v>
      </c>
      <c r="J29" s="74">
        <f t="shared" si="4"/>
        <v>30</v>
      </c>
      <c r="K29" s="73">
        <v>32547</v>
      </c>
      <c r="L29" s="74">
        <f t="shared" si="5"/>
        <v>153</v>
      </c>
      <c r="M29" s="75">
        <f t="shared" si="6"/>
        <v>84.15</v>
      </c>
      <c r="N29" s="75">
        <f t="shared" si="7"/>
        <v>68.850000000000009</v>
      </c>
      <c r="O29" s="73">
        <v>38157</v>
      </c>
      <c r="P29" s="74">
        <f t="shared" si="8"/>
        <v>117</v>
      </c>
      <c r="R29" s="106">
        <f t="shared" si="0"/>
        <v>493.59400000000096</v>
      </c>
      <c r="S29" s="97">
        <f t="shared" si="9"/>
        <v>185.85000000000002</v>
      </c>
    </row>
    <row r="30" spans="1:19" ht="39.950000000000003" customHeight="1">
      <c r="A30" s="192">
        <f t="shared" si="10"/>
        <v>44766</v>
      </c>
      <c r="B30" s="81"/>
      <c r="C30" s="73">
        <v>68562</v>
      </c>
      <c r="D30" s="74">
        <f t="shared" si="1"/>
        <v>235</v>
      </c>
      <c r="E30" s="73">
        <v>111442</v>
      </c>
      <c r="F30" s="74">
        <f t="shared" si="1"/>
        <v>320</v>
      </c>
      <c r="G30" s="82">
        <v>9704</v>
      </c>
      <c r="H30" s="75">
        <f t="shared" si="2"/>
        <v>6.0709999999999127</v>
      </c>
      <c r="I30" s="73">
        <f>(I32-I29)/3+I29</f>
        <v>20500</v>
      </c>
      <c r="J30" s="74">
        <f t="shared" si="4"/>
        <v>28</v>
      </c>
      <c r="K30" s="73">
        <v>32718</v>
      </c>
      <c r="L30" s="74">
        <f t="shared" si="5"/>
        <v>171</v>
      </c>
      <c r="M30" s="75">
        <f t="shared" si="6"/>
        <v>94.050000000000011</v>
      </c>
      <c r="N30" s="75">
        <f t="shared" si="7"/>
        <v>76.95</v>
      </c>
      <c r="O30" s="73">
        <v>38256</v>
      </c>
      <c r="P30" s="74">
        <f t="shared" si="8"/>
        <v>99</v>
      </c>
      <c r="R30" s="106">
        <f t="shared" si="0"/>
        <v>561.07099999999991</v>
      </c>
      <c r="S30" s="97">
        <f t="shared" si="9"/>
        <v>175.95</v>
      </c>
    </row>
    <row r="31" spans="1:19" ht="39.950000000000003" customHeight="1">
      <c r="A31" s="192">
        <f t="shared" si="10"/>
        <v>44767</v>
      </c>
      <c r="B31" s="81"/>
      <c r="C31" s="73">
        <v>68808</v>
      </c>
      <c r="D31" s="74">
        <f t="shared" si="1"/>
        <v>246</v>
      </c>
      <c r="E31" s="73">
        <v>111831</v>
      </c>
      <c r="F31" s="74">
        <f t="shared" si="1"/>
        <v>389</v>
      </c>
      <c r="G31" s="82">
        <v>9712.1669999999995</v>
      </c>
      <c r="H31" s="75">
        <f t="shared" si="2"/>
        <v>8.1669999999994616</v>
      </c>
      <c r="I31" s="73">
        <v>20532</v>
      </c>
      <c r="J31" s="74">
        <f t="shared" si="4"/>
        <v>32</v>
      </c>
      <c r="K31" s="73">
        <v>32997</v>
      </c>
      <c r="L31" s="74">
        <f t="shared" si="5"/>
        <v>279</v>
      </c>
      <c r="M31" s="75">
        <f t="shared" si="6"/>
        <v>153.45000000000002</v>
      </c>
      <c r="N31" s="75">
        <f t="shared" si="7"/>
        <v>125.55</v>
      </c>
      <c r="O31" s="73">
        <v>38369</v>
      </c>
      <c r="P31" s="74">
        <f t="shared" si="8"/>
        <v>113</v>
      </c>
      <c r="R31" s="106">
        <f t="shared" si="0"/>
        <v>643.16699999999946</v>
      </c>
      <c r="S31" s="97">
        <f t="shared" si="9"/>
        <v>238.55</v>
      </c>
    </row>
    <row r="32" spans="1:19" ht="39.950000000000003" customHeight="1">
      <c r="A32" s="192">
        <f t="shared" si="10"/>
        <v>44768</v>
      </c>
      <c r="B32" s="81"/>
      <c r="C32" s="73">
        <v>69000</v>
      </c>
      <c r="D32" s="74">
        <f t="shared" si="1"/>
        <v>192</v>
      </c>
      <c r="E32" s="73">
        <v>112120</v>
      </c>
      <c r="F32" s="74">
        <f t="shared" si="1"/>
        <v>289</v>
      </c>
      <c r="G32" s="82">
        <v>9717</v>
      </c>
      <c r="H32" s="75">
        <f t="shared" si="2"/>
        <v>4.8330000000005384</v>
      </c>
      <c r="I32" s="73">
        <v>20556</v>
      </c>
      <c r="J32" s="74">
        <f t="shared" si="4"/>
        <v>24</v>
      </c>
      <c r="K32" s="73">
        <v>33058</v>
      </c>
      <c r="L32" s="74">
        <f t="shared" si="5"/>
        <v>61</v>
      </c>
      <c r="M32" s="75">
        <f t="shared" si="6"/>
        <v>33.550000000000004</v>
      </c>
      <c r="N32" s="75">
        <f t="shared" si="7"/>
        <v>27.45</v>
      </c>
      <c r="O32" s="73">
        <v>38485</v>
      </c>
      <c r="P32" s="74">
        <f t="shared" si="8"/>
        <v>116</v>
      </c>
      <c r="R32" s="106">
        <f t="shared" si="0"/>
        <v>485.83300000000054</v>
      </c>
      <c r="S32" s="97">
        <f t="shared" si="9"/>
        <v>143.44999999999999</v>
      </c>
    </row>
    <row r="33" spans="1:19" ht="39.950000000000003" customHeight="1">
      <c r="A33" s="192">
        <f t="shared" si="10"/>
        <v>44769</v>
      </c>
      <c r="B33" s="81"/>
      <c r="C33" s="73">
        <v>69166</v>
      </c>
      <c r="D33" s="74">
        <f t="shared" si="1"/>
        <v>166</v>
      </c>
      <c r="E33" s="73">
        <v>112432</v>
      </c>
      <c r="F33" s="74">
        <f t="shared" si="1"/>
        <v>312</v>
      </c>
      <c r="G33" s="82">
        <v>9722.3790000000008</v>
      </c>
      <c r="H33" s="75">
        <f t="shared" si="2"/>
        <v>5.3790000000008149</v>
      </c>
      <c r="I33" s="73">
        <f>(I32+I34)/2</f>
        <v>20582</v>
      </c>
      <c r="J33" s="74">
        <f t="shared" si="4"/>
        <v>26</v>
      </c>
      <c r="K33" s="73">
        <v>33212</v>
      </c>
      <c r="L33" s="74">
        <f t="shared" si="5"/>
        <v>154</v>
      </c>
      <c r="M33" s="75">
        <f t="shared" si="6"/>
        <v>84.7</v>
      </c>
      <c r="N33" s="75">
        <f t="shared" si="7"/>
        <v>69.3</v>
      </c>
      <c r="O33" s="73">
        <v>38590</v>
      </c>
      <c r="P33" s="74">
        <f t="shared" si="8"/>
        <v>105</v>
      </c>
      <c r="R33" s="106">
        <f t="shared" si="0"/>
        <v>483.37900000000081</v>
      </c>
      <c r="S33" s="97">
        <f t="shared" si="9"/>
        <v>174.3</v>
      </c>
    </row>
    <row r="34" spans="1:19" ht="39.950000000000003" customHeight="1">
      <c r="A34" s="192">
        <f t="shared" si="10"/>
        <v>44770</v>
      </c>
      <c r="B34" s="81"/>
      <c r="C34" s="73">
        <v>69329</v>
      </c>
      <c r="D34" s="181">
        <f t="shared" si="1"/>
        <v>163</v>
      </c>
      <c r="E34" s="73">
        <v>112730</v>
      </c>
      <c r="F34" s="74">
        <f t="shared" si="1"/>
        <v>298</v>
      </c>
      <c r="G34" s="82">
        <v>9726</v>
      </c>
      <c r="H34" s="75">
        <f t="shared" si="2"/>
        <v>3.6209999999991851</v>
      </c>
      <c r="I34" s="73">
        <v>20608</v>
      </c>
      <c r="J34" s="74">
        <f t="shared" si="4"/>
        <v>26</v>
      </c>
      <c r="K34" s="73">
        <v>33375</v>
      </c>
      <c r="L34" s="74">
        <f t="shared" si="5"/>
        <v>163</v>
      </c>
      <c r="M34" s="75">
        <f t="shared" si="6"/>
        <v>89.65</v>
      </c>
      <c r="N34" s="75">
        <f t="shared" si="7"/>
        <v>73.350000000000009</v>
      </c>
      <c r="O34" s="73">
        <v>38704</v>
      </c>
      <c r="P34" s="181">
        <f t="shared" si="8"/>
        <v>114</v>
      </c>
      <c r="R34" s="106">
        <f t="shared" si="0"/>
        <v>464.62099999999919</v>
      </c>
      <c r="S34" s="97">
        <f t="shared" si="9"/>
        <v>187.35000000000002</v>
      </c>
    </row>
    <row r="35" spans="1:19" ht="39.950000000000003" customHeight="1">
      <c r="A35" s="192">
        <f t="shared" si="10"/>
        <v>44771</v>
      </c>
      <c r="B35" s="81"/>
      <c r="C35" s="73">
        <v>69491</v>
      </c>
      <c r="D35" s="181">
        <f t="shared" si="1"/>
        <v>162</v>
      </c>
      <c r="E35" s="73">
        <v>113024</v>
      </c>
      <c r="F35" s="181">
        <f t="shared" si="1"/>
        <v>294</v>
      </c>
      <c r="G35" s="82">
        <v>9730</v>
      </c>
      <c r="H35" s="181">
        <f t="shared" si="1"/>
        <v>4</v>
      </c>
      <c r="I35" s="73">
        <v>20637</v>
      </c>
      <c r="J35" s="181">
        <f t="shared" si="1"/>
        <v>29</v>
      </c>
      <c r="K35" s="73">
        <v>33537</v>
      </c>
      <c r="L35" s="74">
        <f t="shared" ref="L35" si="11">(K35-K34)</f>
        <v>162</v>
      </c>
      <c r="M35" s="75">
        <f t="shared" ref="M35" si="12">L35*55%</f>
        <v>89.100000000000009</v>
      </c>
      <c r="N35" s="75">
        <f t="shared" ref="N35" si="13">L35*45%</f>
        <v>72.900000000000006</v>
      </c>
      <c r="O35" s="73">
        <v>38817</v>
      </c>
      <c r="P35" s="181">
        <f t="shared" si="8"/>
        <v>113</v>
      </c>
      <c r="R35" s="106">
        <f t="shared" ref="R35" si="14">SUM(D35,F35,M99,H35)</f>
        <v>460</v>
      </c>
      <c r="S35" s="97">
        <f t="shared" ref="S35" si="15">SUM(N35,P35)</f>
        <v>185.9</v>
      </c>
    </row>
    <row r="36" spans="1:19" ht="39.950000000000003" customHeight="1">
      <c r="A36" s="192">
        <f t="shared" si="10"/>
        <v>44772</v>
      </c>
      <c r="B36" s="81"/>
      <c r="C36" s="82">
        <v>69700</v>
      </c>
      <c r="D36" s="181">
        <f>(C36-C34)</f>
        <v>371</v>
      </c>
      <c r="E36" s="82">
        <v>113377</v>
      </c>
      <c r="F36" s="74">
        <f>(E36-E34)</f>
        <v>647</v>
      </c>
      <c r="G36" s="82">
        <v>9732</v>
      </c>
      <c r="H36" s="75">
        <f>(G36-G34)</f>
        <v>6</v>
      </c>
      <c r="I36" s="82">
        <v>20666</v>
      </c>
      <c r="J36" s="74">
        <f>(I36-I34)</f>
        <v>58</v>
      </c>
      <c r="K36" s="82">
        <v>33718</v>
      </c>
      <c r="L36" s="74">
        <f>(K36-K34)</f>
        <v>343</v>
      </c>
      <c r="M36" s="75">
        <f t="shared" si="6"/>
        <v>188.65</v>
      </c>
      <c r="N36" s="75">
        <f t="shared" si="7"/>
        <v>154.35</v>
      </c>
      <c r="O36" s="82">
        <v>38916</v>
      </c>
      <c r="P36" s="181">
        <f>(O36-O34)</f>
        <v>212</v>
      </c>
      <c r="R36" s="106">
        <f t="shared" ref="R36:R37" si="16">SUM(D36,F36,M99,H36)</f>
        <v>1024</v>
      </c>
      <c r="S36" s="97">
        <f t="shared" si="9"/>
        <v>366.35</v>
      </c>
    </row>
    <row r="37" spans="1:19" ht="39.950000000000003" customHeight="1">
      <c r="A37" s="192">
        <f t="shared" si="10"/>
        <v>44773</v>
      </c>
      <c r="B37" s="81"/>
      <c r="C37" s="73">
        <v>69934</v>
      </c>
      <c r="D37" s="74">
        <f t="shared" ref="D37" si="17">(C37-C36)</f>
        <v>234</v>
      </c>
      <c r="E37" s="73">
        <v>113770</v>
      </c>
      <c r="F37" s="74">
        <f t="shared" ref="F37" si="18">(E37-E36)</f>
        <v>393</v>
      </c>
      <c r="G37" s="82">
        <v>9734</v>
      </c>
      <c r="H37" s="75">
        <f t="shared" si="2"/>
        <v>2</v>
      </c>
      <c r="I37" s="82">
        <v>20695</v>
      </c>
      <c r="J37" s="74">
        <f t="shared" si="4"/>
        <v>29</v>
      </c>
      <c r="K37" s="73">
        <v>33915</v>
      </c>
      <c r="L37" s="74">
        <f t="shared" si="5"/>
        <v>197</v>
      </c>
      <c r="M37" s="75">
        <f t="shared" si="6"/>
        <v>108.35000000000001</v>
      </c>
      <c r="N37" s="75">
        <f t="shared" si="7"/>
        <v>88.65</v>
      </c>
      <c r="O37" s="73">
        <v>39027</v>
      </c>
      <c r="P37" s="74">
        <f t="shared" si="8"/>
        <v>111</v>
      </c>
      <c r="R37" s="106">
        <f t="shared" si="16"/>
        <v>629</v>
      </c>
      <c r="S37" s="97">
        <f t="shared" si="9"/>
        <v>199.65</v>
      </c>
    </row>
    <row r="38" spans="1:19" s="21" customFormat="1" ht="39.950000000000003" customHeight="1">
      <c r="A38" s="18"/>
      <c r="D38" s="22">
        <f>SUM(D7:D37)</f>
        <v>6017</v>
      </c>
      <c r="F38" s="22">
        <f>SUM(F7:F37)</f>
        <v>10363</v>
      </c>
      <c r="H38" s="22">
        <f>SUM(H7:H37)</f>
        <v>268</v>
      </c>
      <c r="J38" s="22">
        <f>SUM(J7:J37)</f>
        <v>824</v>
      </c>
      <c r="L38" s="22">
        <f>SUM(L7:L37)</f>
        <v>5126</v>
      </c>
      <c r="M38" s="22"/>
      <c r="N38" s="22"/>
      <c r="P38" s="22">
        <f>SUM(P7:P37)</f>
        <v>3510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AS8" activePane="bottomRight" state="frozen"/>
      <selection activeCell="V61" sqref="V61"/>
      <selection pane="topRight" activeCell="V61" sqref="V61"/>
      <selection pane="bottomLeft" activeCell="V61" sqref="V61"/>
      <selection pane="bottomRight" activeCell="F28" sqref="F28"/>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8"/>
      <c r="B1" s="198"/>
      <c r="C1" s="210" t="s">
        <v>66</v>
      </c>
      <c r="D1" s="210"/>
      <c r="E1" s="210"/>
      <c r="F1" s="210"/>
      <c r="G1" s="210" t="s">
        <v>65</v>
      </c>
      <c r="H1" s="210"/>
      <c r="I1" s="210" t="s">
        <v>65</v>
      </c>
      <c r="J1" s="210"/>
      <c r="K1" s="210" t="s">
        <v>65</v>
      </c>
      <c r="L1" s="210"/>
      <c r="M1" s="210" t="s">
        <v>65</v>
      </c>
      <c r="N1" s="210"/>
      <c r="O1" s="210" t="s">
        <v>65</v>
      </c>
      <c r="P1" s="210"/>
      <c r="Q1" s="223" t="s">
        <v>65</v>
      </c>
      <c r="R1" s="224"/>
      <c r="S1" s="223" t="s">
        <v>65</v>
      </c>
      <c r="T1" s="224"/>
      <c r="U1" s="223" t="s">
        <v>65</v>
      </c>
      <c r="V1" s="224"/>
      <c r="W1" s="223" t="s">
        <v>65</v>
      </c>
      <c r="X1" s="225"/>
      <c r="Y1" s="210" t="s">
        <v>65</v>
      </c>
      <c r="Z1" s="210"/>
      <c r="AA1" s="223" t="s">
        <v>65</v>
      </c>
      <c r="AB1" s="224"/>
      <c r="AC1" s="210" t="s">
        <v>65</v>
      </c>
      <c r="AD1" s="210"/>
      <c r="AE1" s="210" t="s">
        <v>65</v>
      </c>
      <c r="AF1" s="210"/>
      <c r="AG1" s="210" t="s">
        <v>65</v>
      </c>
      <c r="AH1" s="210"/>
      <c r="AI1" s="210" t="s">
        <v>65</v>
      </c>
      <c r="AJ1" s="210"/>
      <c r="AK1" s="210" t="s">
        <v>65</v>
      </c>
      <c r="AL1" s="210"/>
      <c r="AM1" s="210" t="s">
        <v>67</v>
      </c>
      <c r="AN1" s="210"/>
      <c r="AO1" s="210" t="s">
        <v>67</v>
      </c>
      <c r="AP1" s="210"/>
      <c r="AQ1" s="210" t="s">
        <v>67</v>
      </c>
      <c r="AR1" s="210"/>
      <c r="AS1" s="210" t="s">
        <v>67</v>
      </c>
      <c r="AT1" s="210"/>
      <c r="AU1" s="210" t="s">
        <v>67</v>
      </c>
      <c r="AV1" s="210"/>
      <c r="AW1" s="210" t="s">
        <v>67</v>
      </c>
      <c r="AX1" s="210"/>
      <c r="AY1" s="210" t="s">
        <v>67</v>
      </c>
      <c r="AZ1" s="210"/>
      <c r="BA1" s="210" t="s">
        <v>67</v>
      </c>
      <c r="BB1" s="210"/>
      <c r="BC1" s="210" t="s">
        <v>67</v>
      </c>
      <c r="BD1" s="210"/>
      <c r="BE1" s="210" t="s">
        <v>67</v>
      </c>
      <c r="BF1" s="210"/>
      <c r="BH1" s="32"/>
      <c r="BI1" s="32"/>
    </row>
    <row r="2" spans="1:61" s="24" customFormat="1" ht="75.75" customHeight="1">
      <c r="A2" s="48"/>
      <c r="B2" s="48"/>
      <c r="C2" s="245" t="s">
        <v>117</v>
      </c>
      <c r="D2" s="245"/>
      <c r="E2" s="245"/>
      <c r="F2" s="245"/>
      <c r="G2" s="245" t="s">
        <v>118</v>
      </c>
      <c r="H2" s="245"/>
      <c r="I2" s="245" t="s">
        <v>119</v>
      </c>
      <c r="J2" s="245"/>
      <c r="K2" s="245" t="s">
        <v>120</v>
      </c>
      <c r="L2" s="245"/>
      <c r="M2" s="245" t="s">
        <v>121</v>
      </c>
      <c r="N2" s="245"/>
      <c r="O2" s="250" t="s">
        <v>122</v>
      </c>
      <c r="P2" s="252"/>
      <c r="Q2" s="250" t="s">
        <v>123</v>
      </c>
      <c r="R2" s="252"/>
      <c r="S2" s="250" t="s">
        <v>124</v>
      </c>
      <c r="T2" s="252"/>
      <c r="U2" s="250" t="s">
        <v>125</v>
      </c>
      <c r="V2" s="252"/>
      <c r="W2" s="250" t="s">
        <v>126</v>
      </c>
      <c r="X2" s="251"/>
      <c r="Y2" s="245" t="s">
        <v>127</v>
      </c>
      <c r="Z2" s="245"/>
      <c r="AA2" s="250" t="s">
        <v>128</v>
      </c>
      <c r="AB2" s="252"/>
      <c r="AC2" s="245" t="s">
        <v>129</v>
      </c>
      <c r="AD2" s="245"/>
      <c r="AE2" s="245" t="s">
        <v>130</v>
      </c>
      <c r="AF2" s="245"/>
      <c r="AG2" s="245" t="s">
        <v>130</v>
      </c>
      <c r="AH2" s="245"/>
      <c r="AI2" s="245" t="s">
        <v>130</v>
      </c>
      <c r="AJ2" s="245"/>
      <c r="AK2" s="245" t="s">
        <v>130</v>
      </c>
      <c r="AL2" s="245"/>
      <c r="AM2" s="245" t="s">
        <v>131</v>
      </c>
      <c r="AN2" s="245"/>
      <c r="AO2" s="245" t="s">
        <v>132</v>
      </c>
      <c r="AP2" s="245"/>
      <c r="AQ2" s="245" t="s">
        <v>133</v>
      </c>
      <c r="AR2" s="245"/>
      <c r="AS2" s="245" t="s">
        <v>133</v>
      </c>
      <c r="AT2" s="245"/>
      <c r="AU2" s="245" t="s">
        <v>134</v>
      </c>
      <c r="AV2" s="245"/>
      <c r="AW2" s="245" t="s">
        <v>135</v>
      </c>
      <c r="AX2" s="245"/>
      <c r="AY2" s="245" t="s">
        <v>136</v>
      </c>
      <c r="AZ2" s="245"/>
      <c r="BA2" s="245" t="s">
        <v>136</v>
      </c>
      <c r="BB2" s="245"/>
      <c r="BC2" s="245" t="s">
        <v>137</v>
      </c>
      <c r="BD2" s="245"/>
      <c r="BE2" s="245" t="s">
        <v>137</v>
      </c>
      <c r="BF2" s="245"/>
      <c r="BH2" s="32"/>
      <c r="BI2" s="32"/>
    </row>
    <row r="3" spans="1:61" s="10" customFormat="1" ht="87.75" customHeight="1">
      <c r="A3" s="197"/>
      <c r="B3" s="197"/>
      <c r="C3" s="238" t="s">
        <v>138</v>
      </c>
      <c r="D3" s="239"/>
      <c r="E3" s="197" t="s">
        <v>65</v>
      </c>
      <c r="F3" s="198" t="s">
        <v>67</v>
      </c>
      <c r="G3" s="242" t="s">
        <v>139</v>
      </c>
      <c r="H3" s="243"/>
      <c r="I3" s="242" t="s">
        <v>139</v>
      </c>
      <c r="J3" s="243"/>
      <c r="K3" s="242" t="s">
        <v>139</v>
      </c>
      <c r="L3" s="243"/>
      <c r="M3" s="240" t="s">
        <v>140</v>
      </c>
      <c r="N3" s="241"/>
      <c r="O3" s="242" t="s">
        <v>139</v>
      </c>
      <c r="P3" s="243"/>
      <c r="Q3" s="242" t="s">
        <v>139</v>
      </c>
      <c r="R3" s="243"/>
      <c r="S3" s="248" t="s">
        <v>139</v>
      </c>
      <c r="T3" s="249"/>
      <c r="U3" s="242" t="s">
        <v>139</v>
      </c>
      <c r="V3" s="243"/>
      <c r="W3" s="242" t="s">
        <v>139</v>
      </c>
      <c r="X3" s="243"/>
      <c r="Y3" s="244" t="s">
        <v>141</v>
      </c>
      <c r="Z3" s="243"/>
      <c r="AA3" s="242" t="s">
        <v>142</v>
      </c>
      <c r="AB3" s="243"/>
      <c r="AC3" s="242" t="s">
        <v>143</v>
      </c>
      <c r="AD3" s="243"/>
      <c r="AE3" s="242" t="s">
        <v>143</v>
      </c>
      <c r="AF3" s="243"/>
      <c r="AG3" s="244" t="s">
        <v>144</v>
      </c>
      <c r="AH3" s="243"/>
      <c r="AI3" s="242" t="s">
        <v>145</v>
      </c>
      <c r="AJ3" s="243"/>
      <c r="AK3" s="244" t="s">
        <v>146</v>
      </c>
      <c r="AL3" s="243"/>
      <c r="AM3" s="242" t="s">
        <v>147</v>
      </c>
      <c r="AN3" s="243"/>
      <c r="AO3" s="242" t="s">
        <v>147</v>
      </c>
      <c r="AP3" s="243"/>
      <c r="AQ3" s="244" t="s">
        <v>148</v>
      </c>
      <c r="AR3" s="243"/>
      <c r="AS3" s="242" t="s">
        <v>149</v>
      </c>
      <c r="AT3" s="243"/>
      <c r="AU3" s="244" t="s">
        <v>150</v>
      </c>
      <c r="AV3" s="243"/>
      <c r="AW3" s="244" t="s">
        <v>150</v>
      </c>
      <c r="AX3" s="243"/>
      <c r="AY3" s="242" t="s">
        <v>145</v>
      </c>
      <c r="AZ3" s="243"/>
      <c r="BA3" s="244" t="s">
        <v>146</v>
      </c>
      <c r="BB3" s="243"/>
      <c r="BC3" s="242" t="s">
        <v>145</v>
      </c>
      <c r="BD3" s="243"/>
      <c r="BE3" s="244" t="s">
        <v>146</v>
      </c>
      <c r="BF3" s="243"/>
      <c r="BH3" s="32"/>
      <c r="BI3" s="32"/>
    </row>
    <row r="4" spans="1:61" s="24" customFormat="1" ht="50.1" customHeight="1">
      <c r="A4" s="197"/>
      <c r="B4" s="48"/>
      <c r="C4" s="211" t="s">
        <v>151</v>
      </c>
      <c r="D4" s="213"/>
      <c r="E4" s="246" t="s">
        <v>152</v>
      </c>
      <c r="F4" s="247"/>
      <c r="G4" s="211" t="s">
        <v>153</v>
      </c>
      <c r="H4" s="213"/>
      <c r="I4" s="211" t="s">
        <v>154</v>
      </c>
      <c r="J4" s="213"/>
      <c r="K4" s="211" t="s">
        <v>155</v>
      </c>
      <c r="L4" s="213"/>
      <c r="M4" s="211">
        <v>7092801222</v>
      </c>
      <c r="N4" s="213"/>
      <c r="O4" s="211" t="s">
        <v>156</v>
      </c>
      <c r="P4" s="212"/>
      <c r="Q4" s="211" t="s">
        <v>157</v>
      </c>
      <c r="R4" s="212"/>
      <c r="S4" s="211" t="s">
        <v>158</v>
      </c>
      <c r="T4" s="212"/>
      <c r="U4" s="211" t="s">
        <v>159</v>
      </c>
      <c r="V4" s="212"/>
      <c r="W4" s="211" t="s">
        <v>160</v>
      </c>
      <c r="X4" s="213"/>
      <c r="Y4" s="211" t="s">
        <v>161</v>
      </c>
      <c r="Z4" s="213"/>
      <c r="AA4" s="211" t="s">
        <v>162</v>
      </c>
      <c r="AB4" s="212"/>
      <c r="AC4" s="211" t="s">
        <v>163</v>
      </c>
      <c r="AD4" s="213"/>
      <c r="AE4" s="211" t="s">
        <v>164</v>
      </c>
      <c r="AF4" s="213"/>
      <c r="AG4" s="211" t="s">
        <v>165</v>
      </c>
      <c r="AH4" s="213"/>
      <c r="AI4" s="211">
        <v>7105826734</v>
      </c>
      <c r="AJ4" s="213"/>
      <c r="AK4" s="211">
        <v>7105825932</v>
      </c>
      <c r="AL4" s="213"/>
      <c r="AM4" s="211" t="s">
        <v>166</v>
      </c>
      <c r="AN4" s="213"/>
      <c r="AO4" s="211" t="s">
        <v>167</v>
      </c>
      <c r="AP4" s="213"/>
      <c r="AQ4" s="211" t="s">
        <v>168</v>
      </c>
      <c r="AR4" s="213"/>
      <c r="AS4" s="211" t="s">
        <v>169</v>
      </c>
      <c r="AT4" s="213"/>
      <c r="AU4" s="211" t="s">
        <v>170</v>
      </c>
      <c r="AV4" s="213"/>
      <c r="AW4" s="211" t="s">
        <v>171</v>
      </c>
      <c r="AX4" s="213"/>
      <c r="AY4" s="211">
        <v>7111912486</v>
      </c>
      <c r="AZ4" s="213"/>
      <c r="BA4" s="211">
        <v>7111911842</v>
      </c>
      <c r="BB4" s="213"/>
      <c r="BC4" s="211">
        <v>7111913281</v>
      </c>
      <c r="BD4" s="213"/>
      <c r="BE4" s="211">
        <v>7111912723</v>
      </c>
      <c r="BF4" s="213"/>
      <c r="BH4" s="208" t="s">
        <v>81</v>
      </c>
      <c r="BI4" s="208"/>
    </row>
    <row r="5" spans="1:61" s="24" customFormat="1" ht="50.1" customHeight="1">
      <c r="A5" s="48" t="s">
        <v>172</v>
      </c>
      <c r="B5" s="48"/>
      <c r="C5" s="211" t="s">
        <v>173</v>
      </c>
      <c r="D5" s="213"/>
      <c r="E5" s="79">
        <v>0.6</v>
      </c>
      <c r="F5" s="30">
        <v>0.4</v>
      </c>
      <c r="G5" s="211" t="s">
        <v>174</v>
      </c>
      <c r="H5" s="213"/>
      <c r="I5" s="211" t="s">
        <v>175</v>
      </c>
      <c r="J5" s="213"/>
      <c r="K5" s="211" t="s">
        <v>176</v>
      </c>
      <c r="L5" s="213"/>
      <c r="M5" s="211" t="s">
        <v>177</v>
      </c>
      <c r="N5" s="213"/>
      <c r="O5" s="211" t="s">
        <v>178</v>
      </c>
      <c r="P5" s="212"/>
      <c r="Q5" s="211" t="s">
        <v>179</v>
      </c>
      <c r="R5" s="212"/>
      <c r="S5" s="211" t="s">
        <v>180</v>
      </c>
      <c r="T5" s="212"/>
      <c r="U5" s="211" t="s">
        <v>181</v>
      </c>
      <c r="V5" s="212"/>
      <c r="W5" s="211" t="s">
        <v>182</v>
      </c>
      <c r="X5" s="213"/>
      <c r="Y5" s="211" t="s">
        <v>183</v>
      </c>
      <c r="Z5" s="213"/>
      <c r="AA5" s="211" t="s">
        <v>184</v>
      </c>
      <c r="AB5" s="212"/>
      <c r="AC5" s="211" t="s">
        <v>185</v>
      </c>
      <c r="AD5" s="213"/>
      <c r="AE5" s="211" t="s">
        <v>186</v>
      </c>
      <c r="AF5" s="213"/>
      <c r="AG5" s="211" t="s">
        <v>187</v>
      </c>
      <c r="AH5" s="213"/>
      <c r="AI5" s="211" t="s">
        <v>188</v>
      </c>
      <c r="AJ5" s="213"/>
      <c r="AK5" s="211" t="s">
        <v>189</v>
      </c>
      <c r="AL5" s="213"/>
      <c r="AM5" s="211" t="s">
        <v>190</v>
      </c>
      <c r="AN5" s="213"/>
      <c r="AO5" s="211" t="s">
        <v>191</v>
      </c>
      <c r="AP5" s="213"/>
      <c r="AQ5" s="211" t="s">
        <v>192</v>
      </c>
      <c r="AR5" s="213"/>
      <c r="AS5" s="211" t="s">
        <v>193</v>
      </c>
      <c r="AT5" s="213"/>
      <c r="AU5" s="211" t="s">
        <v>194</v>
      </c>
      <c r="AV5" s="213"/>
      <c r="AW5" s="211" t="s">
        <v>195</v>
      </c>
      <c r="AX5" s="213"/>
      <c r="AY5" s="211">
        <v>744483</v>
      </c>
      <c r="AZ5" s="213"/>
      <c r="BA5" s="211">
        <v>119314</v>
      </c>
      <c r="BB5" s="213"/>
      <c r="BC5" s="211">
        <v>1053229</v>
      </c>
      <c r="BD5" s="213"/>
      <c r="BE5" s="211">
        <v>1053215</v>
      </c>
      <c r="BF5" s="213"/>
      <c r="BH5" s="208"/>
      <c r="BI5" s="208"/>
    </row>
    <row r="6" spans="1:61" s="8" customFormat="1" ht="30" customHeight="1">
      <c r="A6" s="197" t="s">
        <v>96</v>
      </c>
      <c r="B6" s="49"/>
      <c r="C6" s="217"/>
      <c r="D6" s="218"/>
      <c r="E6" s="80"/>
      <c r="F6" s="199"/>
      <c r="G6" s="197"/>
      <c r="H6" s="49"/>
      <c r="I6" s="217"/>
      <c r="J6" s="218"/>
      <c r="K6" s="217"/>
      <c r="L6" s="218"/>
      <c r="M6" s="217"/>
      <c r="N6" s="218"/>
      <c r="O6" s="217"/>
      <c r="P6" s="222"/>
      <c r="Q6" s="217"/>
      <c r="R6" s="222"/>
      <c r="S6" s="217"/>
      <c r="T6" s="222"/>
      <c r="U6" s="217"/>
      <c r="V6" s="222"/>
      <c r="W6" s="217"/>
      <c r="X6" s="218"/>
      <c r="Y6" s="217"/>
      <c r="Z6" s="218"/>
      <c r="AA6" s="217"/>
      <c r="AB6" s="222"/>
      <c r="AC6" s="217"/>
      <c r="AD6" s="218"/>
      <c r="AE6" s="217"/>
      <c r="AF6" s="218"/>
      <c r="AG6" s="217"/>
      <c r="AH6" s="218"/>
      <c r="AI6" s="217"/>
      <c r="AJ6" s="218"/>
      <c r="AK6" s="217"/>
      <c r="AL6" s="218"/>
      <c r="AM6" s="217"/>
      <c r="AN6" s="218"/>
      <c r="AO6" s="217"/>
      <c r="AP6" s="218"/>
      <c r="AQ6" s="217"/>
      <c r="AR6" s="218"/>
      <c r="AS6" s="217"/>
      <c r="AT6" s="218"/>
      <c r="AU6" s="217"/>
      <c r="AV6" s="218"/>
      <c r="AW6" s="217"/>
      <c r="AX6" s="218"/>
      <c r="AY6" s="217"/>
      <c r="AZ6" s="218"/>
      <c r="BA6" s="217"/>
      <c r="BB6" s="218"/>
      <c r="BC6" s="217"/>
      <c r="BD6" s="218"/>
      <c r="BE6" s="217"/>
      <c r="BF6" s="218"/>
      <c r="BH6" s="32"/>
      <c r="BI6" s="32"/>
    </row>
    <row r="7" spans="1:61" s="10" customFormat="1" ht="50.1" customHeight="1">
      <c r="A7" s="197" t="s">
        <v>99</v>
      </c>
      <c r="B7" s="197"/>
      <c r="C7" s="202" t="s">
        <v>115</v>
      </c>
      <c r="D7" s="202" t="s">
        <v>196</v>
      </c>
      <c r="E7" s="202" t="s">
        <v>196</v>
      </c>
      <c r="F7" s="202" t="s">
        <v>196</v>
      </c>
      <c r="G7" s="202" t="s">
        <v>115</v>
      </c>
      <c r="H7" s="202" t="s">
        <v>196</v>
      </c>
      <c r="I7" s="202" t="s">
        <v>115</v>
      </c>
      <c r="J7" s="202" t="s">
        <v>196</v>
      </c>
      <c r="K7" s="202" t="s">
        <v>115</v>
      </c>
      <c r="L7" s="202" t="s">
        <v>196</v>
      </c>
      <c r="M7" s="202" t="s">
        <v>115</v>
      </c>
      <c r="N7" s="202" t="s">
        <v>196</v>
      </c>
      <c r="O7" s="202" t="s">
        <v>115</v>
      </c>
      <c r="P7" s="202" t="s">
        <v>196</v>
      </c>
      <c r="Q7" s="202" t="s">
        <v>115</v>
      </c>
      <c r="R7" s="202" t="s">
        <v>196</v>
      </c>
      <c r="S7" s="202" t="s">
        <v>115</v>
      </c>
      <c r="T7" s="202" t="s">
        <v>196</v>
      </c>
      <c r="U7" s="202" t="s">
        <v>115</v>
      </c>
      <c r="V7" s="202" t="s">
        <v>196</v>
      </c>
      <c r="W7" s="202" t="s">
        <v>115</v>
      </c>
      <c r="X7" s="202" t="s">
        <v>196</v>
      </c>
      <c r="Y7" s="202" t="s">
        <v>115</v>
      </c>
      <c r="Z7" s="202" t="s">
        <v>196</v>
      </c>
      <c r="AA7" s="202" t="s">
        <v>115</v>
      </c>
      <c r="AB7" s="202" t="s">
        <v>196</v>
      </c>
      <c r="AC7" s="202" t="s">
        <v>115</v>
      </c>
      <c r="AD7" s="202" t="s">
        <v>196</v>
      </c>
      <c r="AE7" s="13" t="s">
        <v>115</v>
      </c>
      <c r="AF7" s="202" t="s">
        <v>196</v>
      </c>
      <c r="AG7" s="13" t="s">
        <v>115</v>
      </c>
      <c r="AH7" s="202" t="s">
        <v>196</v>
      </c>
      <c r="AI7" s="13" t="s">
        <v>115</v>
      </c>
      <c r="AJ7" s="202" t="s">
        <v>196</v>
      </c>
      <c r="AK7" s="13" t="s">
        <v>115</v>
      </c>
      <c r="AL7" s="202" t="s">
        <v>196</v>
      </c>
      <c r="AM7" s="13" t="s">
        <v>115</v>
      </c>
      <c r="AN7" s="202" t="s">
        <v>196</v>
      </c>
      <c r="AO7" s="13" t="s">
        <v>115</v>
      </c>
      <c r="AP7" s="202" t="s">
        <v>196</v>
      </c>
      <c r="AQ7" s="13" t="s">
        <v>115</v>
      </c>
      <c r="AR7" s="202" t="s">
        <v>196</v>
      </c>
      <c r="AS7" s="13" t="s">
        <v>115</v>
      </c>
      <c r="AT7" s="202" t="s">
        <v>196</v>
      </c>
      <c r="AU7" s="13" t="s">
        <v>115</v>
      </c>
      <c r="AV7" s="202" t="s">
        <v>196</v>
      </c>
      <c r="AW7" s="13" t="s">
        <v>115</v>
      </c>
      <c r="AX7" s="202" t="s">
        <v>196</v>
      </c>
      <c r="AY7" s="13" t="s">
        <v>115</v>
      </c>
      <c r="AZ7" s="202" t="s">
        <v>196</v>
      </c>
      <c r="BA7" s="13" t="s">
        <v>115</v>
      </c>
      <c r="BB7" s="202" t="s">
        <v>196</v>
      </c>
      <c r="BC7" s="13" t="s">
        <v>115</v>
      </c>
      <c r="BD7" s="202" t="s">
        <v>196</v>
      </c>
      <c r="BE7" s="13" t="s">
        <v>115</v>
      </c>
      <c r="BF7" s="202" t="s">
        <v>196</v>
      </c>
      <c r="BH7" s="197" t="s">
        <v>65</v>
      </c>
      <c r="BI7" s="197" t="s">
        <v>67</v>
      </c>
    </row>
    <row r="8" spans="1:61" s="35" customFormat="1" ht="39.950000000000003" customHeight="1">
      <c r="A8" s="192">
        <v>44742</v>
      </c>
      <c r="B8" s="34"/>
      <c r="C8" s="77">
        <v>6992598</v>
      </c>
      <c r="D8" s="103"/>
      <c r="E8" s="104"/>
      <c r="F8" s="103"/>
      <c r="G8" s="77">
        <v>296568</v>
      </c>
      <c r="H8" s="103"/>
      <c r="I8" s="77">
        <v>193147</v>
      </c>
      <c r="J8" s="37"/>
      <c r="K8" s="77">
        <v>270175</v>
      </c>
      <c r="L8" s="103"/>
      <c r="M8" s="77">
        <v>25359</v>
      </c>
      <c r="N8" s="37"/>
      <c r="O8" s="77">
        <v>337795</v>
      </c>
      <c r="P8" s="37"/>
      <c r="Q8" s="77">
        <v>480363</v>
      </c>
      <c r="R8" s="103"/>
      <c r="S8" s="77">
        <v>769315</v>
      </c>
      <c r="T8" s="103"/>
      <c r="U8" s="82">
        <v>5720.4129999999996</v>
      </c>
      <c r="V8" s="103"/>
      <c r="W8" s="77">
        <v>85387</v>
      </c>
      <c r="X8" s="103"/>
      <c r="Y8" s="77">
        <v>1522613</v>
      </c>
      <c r="Z8" s="103"/>
      <c r="AA8" s="77">
        <v>13886</v>
      </c>
      <c r="AB8" s="103"/>
      <c r="AC8" s="77">
        <v>506580</v>
      </c>
      <c r="AD8" s="103"/>
      <c r="AE8" s="77">
        <v>575794</v>
      </c>
      <c r="AF8" s="103"/>
      <c r="AG8" s="77">
        <v>49793</v>
      </c>
      <c r="AH8" s="103"/>
      <c r="AI8" s="77">
        <v>448520</v>
      </c>
      <c r="AJ8" s="103"/>
      <c r="AK8" s="77">
        <v>102770</v>
      </c>
      <c r="AL8" s="103"/>
      <c r="AM8" s="77">
        <v>612141</v>
      </c>
      <c r="AN8" s="103"/>
      <c r="AO8" s="77">
        <v>1767</v>
      </c>
      <c r="AP8" s="103"/>
      <c r="AQ8" s="77">
        <v>91930</v>
      </c>
      <c r="AR8" s="103"/>
      <c r="AS8" s="77">
        <v>2460</v>
      </c>
      <c r="AT8" s="103"/>
      <c r="AU8" s="77">
        <v>939</v>
      </c>
      <c r="AV8" s="103"/>
      <c r="AW8" s="77">
        <v>3110</v>
      </c>
      <c r="AX8" s="103"/>
      <c r="AY8" s="77">
        <v>351371</v>
      </c>
      <c r="AZ8" s="103"/>
      <c r="BA8" s="77">
        <v>161101</v>
      </c>
      <c r="BB8" s="103"/>
      <c r="BC8" s="77">
        <v>237605</v>
      </c>
      <c r="BD8" s="103"/>
      <c r="BE8" s="77">
        <v>5350</v>
      </c>
      <c r="BF8" s="103"/>
      <c r="BH8" s="105"/>
      <c r="BI8" s="105"/>
    </row>
    <row r="9" spans="1:61" s="28" customFormat="1" ht="39.950000000000003" customHeight="1">
      <c r="A9" s="192">
        <v>44743</v>
      </c>
      <c r="B9" s="27"/>
      <c r="C9" s="77">
        <v>6994887</v>
      </c>
      <c r="D9" s="37">
        <f>(+C9-+C8)*48</f>
        <v>109872</v>
      </c>
      <c r="E9" s="104">
        <f>D9*0.6</f>
        <v>65923.199999999997</v>
      </c>
      <c r="F9" s="37">
        <f>D9*0.4</f>
        <v>43948.800000000003</v>
      </c>
      <c r="G9" s="77">
        <v>296613</v>
      </c>
      <c r="H9" s="37">
        <f>(+G9-+G8)*48</f>
        <v>2160</v>
      </c>
      <c r="I9" s="77">
        <v>193311</v>
      </c>
      <c r="J9" s="37">
        <f>(+I9-+I8)*48</f>
        <v>7872</v>
      </c>
      <c r="K9" s="77">
        <v>270240</v>
      </c>
      <c r="L9" s="37">
        <f>(+K9-+K8)*48</f>
        <v>3120</v>
      </c>
      <c r="M9" s="77">
        <v>25360</v>
      </c>
      <c r="N9" s="37">
        <f>(+M9-+M8)*48</f>
        <v>48</v>
      </c>
      <c r="O9" s="77">
        <v>337994</v>
      </c>
      <c r="P9" s="37">
        <f>(+O9-+O8)*48</f>
        <v>9552</v>
      </c>
      <c r="Q9" s="77">
        <v>480454</v>
      </c>
      <c r="R9" s="37">
        <f>(+Q9-+Q8)*48</f>
        <v>4368</v>
      </c>
      <c r="S9" s="77">
        <v>769422</v>
      </c>
      <c r="T9" s="37">
        <f>(+S9-+S8)*48</f>
        <v>5136</v>
      </c>
      <c r="U9" s="82">
        <v>5736.8580000000002</v>
      </c>
      <c r="V9" s="37">
        <f>(+U9-+U8)*48</f>
        <v>789.36000000002969</v>
      </c>
      <c r="W9" s="77">
        <v>85404</v>
      </c>
      <c r="X9" s="37">
        <f>(+W9-+W8)*48</f>
        <v>816</v>
      </c>
      <c r="Y9" s="77">
        <v>1522617</v>
      </c>
      <c r="Z9" s="37">
        <f>(+Y9-+Y8)*48</f>
        <v>192</v>
      </c>
      <c r="AA9" s="77">
        <v>13886</v>
      </c>
      <c r="AB9" s="37">
        <f>(+AA9-+AA8)*48</f>
        <v>0</v>
      </c>
      <c r="AC9" s="77">
        <v>506707</v>
      </c>
      <c r="AD9" s="37">
        <f>(+AC9-+AC8)*48</f>
        <v>6096</v>
      </c>
      <c r="AE9" s="77">
        <v>575919</v>
      </c>
      <c r="AF9" s="37">
        <f>(+AE9-+AE8)*48</f>
        <v>6000</v>
      </c>
      <c r="AG9" s="76">
        <v>49794</v>
      </c>
      <c r="AH9" s="37">
        <f>(+AG9-+AG8)*48</f>
        <v>48</v>
      </c>
      <c r="AI9" s="77">
        <v>448633</v>
      </c>
      <c r="AJ9" s="37">
        <f>(+AI9-+AI8)*48</f>
        <v>5424</v>
      </c>
      <c r="AK9" s="77">
        <v>102770</v>
      </c>
      <c r="AL9" s="37">
        <f>(+AK9-+AK8)*48</f>
        <v>0</v>
      </c>
      <c r="AM9" s="77">
        <v>612280</v>
      </c>
      <c r="AN9" s="37">
        <f>(+AM9-+AM8)*48</f>
        <v>6672</v>
      </c>
      <c r="AO9" s="77">
        <v>1895</v>
      </c>
      <c r="AP9" s="37">
        <f>(+AO9-+AO8)*48</f>
        <v>6144</v>
      </c>
      <c r="AQ9" s="77">
        <v>91952</v>
      </c>
      <c r="AR9" s="37">
        <f>(+AQ9-+AQ8)*48</f>
        <v>1056</v>
      </c>
      <c r="AS9" s="77">
        <v>2460</v>
      </c>
      <c r="AT9" s="37">
        <f>(+AS9-+AS8)*48</f>
        <v>0</v>
      </c>
      <c r="AU9" s="77">
        <v>939</v>
      </c>
      <c r="AV9" s="37">
        <f>(+AU9-+AU8)*48</f>
        <v>0</v>
      </c>
      <c r="AW9" s="77">
        <v>3110</v>
      </c>
      <c r="AX9" s="37">
        <f>(+AW9-+AW8)*48</f>
        <v>0</v>
      </c>
      <c r="AY9" s="77">
        <v>351451</v>
      </c>
      <c r="AZ9" s="37">
        <f>(+AY9-+AY8)*48</f>
        <v>3840</v>
      </c>
      <c r="BA9" s="76">
        <v>161101</v>
      </c>
      <c r="BB9" s="37">
        <f>(+BA9-+BA8)*48</f>
        <v>0</v>
      </c>
      <c r="BC9" s="77">
        <v>237658</v>
      </c>
      <c r="BD9" s="37">
        <f>(+BC9-+BC8)*48</f>
        <v>2544</v>
      </c>
      <c r="BE9" s="77">
        <v>5350</v>
      </c>
      <c r="BF9" s="37">
        <f>(+BE9-+BE8)*48</f>
        <v>0</v>
      </c>
      <c r="BH9" s="105">
        <f t="shared" ref="BH9:BH39" si="0">SUM(E9,J9,P9,H9,L9,R9,T9,V9,X9,N9,AB9,Z9,AD9,AF9,AH9,AL9,AJ9)</f>
        <v>117544.56000000003</v>
      </c>
      <c r="BI9" s="105">
        <f t="shared" ref="BI9:BI39" si="1">SUM(F9,AN9,AP9,AT9,AV9,AX9,AR9,AZ9,BB9,BD9,BF9)</f>
        <v>64204.800000000003</v>
      </c>
    </row>
    <row r="10" spans="1:61" s="28" customFormat="1" ht="39.950000000000003" customHeight="1">
      <c r="A10" s="192">
        <f>SUM(A9+1)</f>
        <v>44744</v>
      </c>
      <c r="B10" s="27"/>
      <c r="C10" s="77">
        <v>6997281</v>
      </c>
      <c r="D10" s="37">
        <f t="shared" ref="D10:D39" si="2">(+C10-+C9)*48</f>
        <v>114912</v>
      </c>
      <c r="E10" s="104">
        <f t="shared" ref="E10:E39" si="3">D10*0.6</f>
        <v>68947.199999999997</v>
      </c>
      <c r="F10" s="37">
        <f t="shared" ref="F10:F39" si="4">D10*0.4</f>
        <v>45964.800000000003</v>
      </c>
      <c r="G10" s="77">
        <v>296651</v>
      </c>
      <c r="H10" s="37">
        <f t="shared" ref="H10" si="5">(+G10-+G9)*48</f>
        <v>1824</v>
      </c>
      <c r="I10" s="77">
        <v>193489</v>
      </c>
      <c r="J10" s="37">
        <f t="shared" ref="J10" si="6">(+I10-+I9)*48</f>
        <v>8544</v>
      </c>
      <c r="K10" s="77">
        <v>270286</v>
      </c>
      <c r="L10" s="37">
        <f t="shared" ref="L10" si="7">(+K10-+K9)*48</f>
        <v>2208</v>
      </c>
      <c r="M10" s="77">
        <v>25364</v>
      </c>
      <c r="N10" s="37">
        <f t="shared" ref="N10" si="8">(+M10-+M9)*48</f>
        <v>192</v>
      </c>
      <c r="O10" s="77">
        <v>338184</v>
      </c>
      <c r="P10" s="37">
        <f t="shared" ref="P10" si="9">(+O10-+O9)*48</f>
        <v>9120</v>
      </c>
      <c r="Q10" s="77">
        <v>480541</v>
      </c>
      <c r="R10" s="37">
        <f t="shared" ref="R10" si="10">(+Q10-+Q9)*48</f>
        <v>4176</v>
      </c>
      <c r="S10" s="77">
        <v>769540</v>
      </c>
      <c r="T10" s="37">
        <f t="shared" ref="T10" si="11">(+S10-+S9)*48</f>
        <v>5664</v>
      </c>
      <c r="U10" s="82">
        <v>5746.9870000000001</v>
      </c>
      <c r="V10" s="37">
        <f t="shared" ref="V10" si="12">(+U10-+U9)*48</f>
        <v>486.19199999999546</v>
      </c>
      <c r="W10" s="77">
        <v>85420</v>
      </c>
      <c r="X10" s="37">
        <f t="shared" ref="X10" si="13">(+W10-+W9)*48</f>
        <v>768</v>
      </c>
      <c r="Y10" s="77">
        <v>1522725</v>
      </c>
      <c r="Z10" s="37">
        <f t="shared" ref="Z10" si="14">(+Y10-+Y9)*48</f>
        <v>5184</v>
      </c>
      <c r="AA10" s="77">
        <v>13886</v>
      </c>
      <c r="AB10" s="37">
        <f t="shared" ref="AB10" si="15">(+AA10-+AA9)*48</f>
        <v>0</v>
      </c>
      <c r="AC10" s="77">
        <v>506834</v>
      </c>
      <c r="AD10" s="37">
        <f t="shared" ref="AD10" si="16">(+AC10-+AC9)*48</f>
        <v>6096</v>
      </c>
      <c r="AE10" s="77">
        <v>576044</v>
      </c>
      <c r="AF10" s="37">
        <f t="shared" ref="AF10" si="17">(+AE10-+AE9)*48</f>
        <v>6000</v>
      </c>
      <c r="AG10" s="76">
        <v>49795</v>
      </c>
      <c r="AH10" s="37">
        <f t="shared" ref="AH10" si="18">(+AG10-+AG9)*48</f>
        <v>48</v>
      </c>
      <c r="AI10" s="77">
        <v>448749</v>
      </c>
      <c r="AJ10" s="37">
        <f t="shared" ref="AJ10" si="19">(+AI10-+AI9)*48</f>
        <v>5568</v>
      </c>
      <c r="AK10" s="77">
        <v>102770</v>
      </c>
      <c r="AL10" s="37">
        <f t="shared" ref="AL10" si="20">(+AK10-+AK9)*48</f>
        <v>0</v>
      </c>
      <c r="AM10" s="77">
        <v>612421</v>
      </c>
      <c r="AN10" s="37">
        <f t="shared" ref="AN10" si="21">(+AM10-+AM9)*48</f>
        <v>6768</v>
      </c>
      <c r="AO10" s="77">
        <v>2032</v>
      </c>
      <c r="AP10" s="37">
        <f t="shared" ref="AP10" si="22">(+AO10-+AO9)*48</f>
        <v>6576</v>
      </c>
      <c r="AQ10" s="77">
        <v>91978</v>
      </c>
      <c r="AR10" s="37">
        <f t="shared" ref="AR10" si="23">(+AQ10-+AQ9)*48</f>
        <v>1248</v>
      </c>
      <c r="AS10" s="77">
        <v>2460</v>
      </c>
      <c r="AT10" s="37">
        <f t="shared" ref="AT10" si="24">(+AS10-+AS9)*48</f>
        <v>0</v>
      </c>
      <c r="AU10" s="77">
        <v>939</v>
      </c>
      <c r="AV10" s="37">
        <f t="shared" ref="AV10" si="25">(+AU10-+AU9)*48</f>
        <v>0</v>
      </c>
      <c r="AW10" s="77">
        <v>3110</v>
      </c>
      <c r="AX10" s="37">
        <f t="shared" ref="AX10" si="26">(+AW10-+AW9)*48</f>
        <v>0</v>
      </c>
      <c r="AY10" s="77">
        <v>351542</v>
      </c>
      <c r="AZ10" s="37">
        <f t="shared" ref="AZ10" si="27">(+AY10-+AY9)*48</f>
        <v>4368</v>
      </c>
      <c r="BA10" s="76">
        <v>161101</v>
      </c>
      <c r="BB10" s="37">
        <f t="shared" ref="BB10" si="28">(+BA10-+BA9)*48</f>
        <v>0</v>
      </c>
      <c r="BC10" s="77">
        <v>237712</v>
      </c>
      <c r="BD10" s="37">
        <f t="shared" ref="BD10" si="29">(+BC10-+BC9)*48</f>
        <v>2592</v>
      </c>
      <c r="BE10" s="77">
        <v>5350</v>
      </c>
      <c r="BF10" s="37">
        <f t="shared" ref="BF10" si="30">(+BE10-+BE9)*48</f>
        <v>0</v>
      </c>
      <c r="BH10" s="105">
        <f t="shared" ref="BH10" si="31">SUM(E10,J10,P10,H10,L10,R10,T10,V10,X10,N10,AB10,Z10,AD10,AF10,AH10,AL10,AJ10)</f>
        <v>124825.39199999999</v>
      </c>
      <c r="BI10" s="105">
        <f t="shared" ref="BI10" si="32">SUM(F10,AN10,AP10,AT10,AV10,AX10,AR10,AZ10,BB10,BD10,BF10)</f>
        <v>67516.800000000003</v>
      </c>
    </row>
    <row r="11" spans="1:61" s="35" customFormat="1" ht="39.950000000000003" customHeight="1">
      <c r="A11" s="192">
        <f t="shared" ref="A11:A39" si="33">SUM(A10+1)</f>
        <v>44745</v>
      </c>
      <c r="B11" s="34"/>
      <c r="C11" s="77">
        <v>6999700</v>
      </c>
      <c r="D11" s="37">
        <f t="shared" si="2"/>
        <v>116112</v>
      </c>
      <c r="E11" s="104">
        <f t="shared" si="3"/>
        <v>69667.199999999997</v>
      </c>
      <c r="F11" s="37">
        <f t="shared" si="4"/>
        <v>46444.800000000003</v>
      </c>
      <c r="G11" s="77">
        <v>296694</v>
      </c>
      <c r="H11" s="37">
        <f t="shared" ref="H11" si="34">(+G11-+G10)*48</f>
        <v>2064</v>
      </c>
      <c r="I11" s="77">
        <v>193663</v>
      </c>
      <c r="J11" s="37">
        <f t="shared" ref="J11" si="35">(+I11-+I10)*48</f>
        <v>8352</v>
      </c>
      <c r="K11" s="77">
        <v>270357</v>
      </c>
      <c r="L11" s="37">
        <f t="shared" ref="L11" si="36">(+K11-+K10)*48</f>
        <v>3408</v>
      </c>
      <c r="M11" s="77">
        <v>25371</v>
      </c>
      <c r="N11" s="37">
        <f t="shared" ref="N11" si="37">(+M11-+M10)*48</f>
        <v>336</v>
      </c>
      <c r="O11" s="77">
        <v>338383</v>
      </c>
      <c r="P11" s="37">
        <f t="shared" ref="P11" si="38">(+O11-+O10)*48</f>
        <v>9552</v>
      </c>
      <c r="Q11" s="77">
        <v>480619</v>
      </c>
      <c r="R11" s="37">
        <f t="shared" ref="R11" si="39">(+Q11-+Q10)*48</f>
        <v>3744</v>
      </c>
      <c r="S11" s="77">
        <v>769673</v>
      </c>
      <c r="T11" s="37">
        <f t="shared" ref="T11" si="40">(+S11-+S10)*48</f>
        <v>6384</v>
      </c>
      <c r="U11" s="77">
        <v>5746.9870000000001</v>
      </c>
      <c r="V11" s="37">
        <f t="shared" ref="V11" si="41">(+U11-+U10)*48</f>
        <v>0</v>
      </c>
      <c r="W11" s="77">
        <v>85434</v>
      </c>
      <c r="X11" s="37">
        <f t="shared" ref="X11" si="42">(+W11-+W10)*48</f>
        <v>672</v>
      </c>
      <c r="Y11" s="77">
        <v>1522874</v>
      </c>
      <c r="Z11" s="37">
        <f t="shared" ref="Z11" si="43">(+Y11-+Y10)*48</f>
        <v>7152</v>
      </c>
      <c r="AA11" s="77">
        <v>13886</v>
      </c>
      <c r="AB11" s="37">
        <f t="shared" ref="AB11" si="44">(+AA11-+AA10)*48</f>
        <v>0</v>
      </c>
      <c r="AC11" s="77">
        <v>506961</v>
      </c>
      <c r="AD11" s="37">
        <f t="shared" ref="AD11" si="45">(+AC11-+AC10)*48</f>
        <v>6096</v>
      </c>
      <c r="AE11" s="77">
        <v>576172</v>
      </c>
      <c r="AF11" s="37">
        <f t="shared" ref="AF11" si="46">(+AE11-+AE10)*48</f>
        <v>6144</v>
      </c>
      <c r="AG11" s="76">
        <v>49800</v>
      </c>
      <c r="AH11" s="37">
        <f t="shared" ref="AH11" si="47">(+AG11-+AG10)*48</f>
        <v>240</v>
      </c>
      <c r="AI11" s="77">
        <v>448860</v>
      </c>
      <c r="AJ11" s="37">
        <f t="shared" ref="AJ11" si="48">(+AI11-+AI10)*48</f>
        <v>5328</v>
      </c>
      <c r="AK11" s="77">
        <v>102770</v>
      </c>
      <c r="AL11" s="37">
        <f t="shared" ref="AL11" si="49">(+AK11-+AK10)*48</f>
        <v>0</v>
      </c>
      <c r="AM11" s="77">
        <v>612562</v>
      </c>
      <c r="AN11" s="37">
        <f t="shared" ref="AN11" si="50">(+AM11-+AM10)*48</f>
        <v>6768</v>
      </c>
      <c r="AO11" s="77">
        <v>2168</v>
      </c>
      <c r="AP11" s="37">
        <f t="shared" ref="AP11" si="51">(+AO11-+AO10)*48</f>
        <v>6528</v>
      </c>
      <c r="AQ11" s="77">
        <v>92132</v>
      </c>
      <c r="AR11" s="37">
        <f t="shared" ref="AR11" si="52">(+AQ11-+AQ10)*48</f>
        <v>7392</v>
      </c>
      <c r="AS11" s="77">
        <v>2460</v>
      </c>
      <c r="AT11" s="37">
        <f t="shared" ref="AT11" si="53">(+AS11-+AS10)*48</f>
        <v>0</v>
      </c>
      <c r="AU11" s="77">
        <v>939</v>
      </c>
      <c r="AV11" s="37">
        <f t="shared" ref="AV11" si="54">(+AU11-+AU10)*48</f>
        <v>0</v>
      </c>
      <c r="AW11" s="77">
        <v>3110</v>
      </c>
      <c r="AX11" s="37">
        <f t="shared" ref="AX11" si="55">(+AW11-+AW10)*48</f>
        <v>0</v>
      </c>
      <c r="AY11" s="77">
        <v>351631</v>
      </c>
      <c r="AZ11" s="37">
        <f t="shared" ref="AZ11" si="56">(+AY11-+AY10)*48</f>
        <v>4272</v>
      </c>
      <c r="BA11" s="76">
        <v>161101</v>
      </c>
      <c r="BB11" s="37">
        <f t="shared" ref="BB11" si="57">(+BA11-+BA10)*48</f>
        <v>0</v>
      </c>
      <c r="BC11" s="77">
        <v>237766</v>
      </c>
      <c r="BD11" s="37">
        <f t="shared" ref="BD11" si="58">(+BC11-+BC10)*48</f>
        <v>2592</v>
      </c>
      <c r="BE11" s="77">
        <v>5350</v>
      </c>
      <c r="BF11" s="37">
        <f t="shared" ref="BF11" si="59">(+BE11-+BE10)*48</f>
        <v>0</v>
      </c>
      <c r="BH11" s="105">
        <f t="shared" si="0"/>
        <v>129139.2</v>
      </c>
      <c r="BI11" s="105">
        <f t="shared" si="1"/>
        <v>73996.800000000003</v>
      </c>
    </row>
    <row r="12" spans="1:61" s="35" customFormat="1" ht="39.950000000000003" customHeight="1">
      <c r="A12" s="192">
        <f t="shared" si="33"/>
        <v>44746</v>
      </c>
      <c r="B12" s="34"/>
      <c r="C12" s="77">
        <v>7002011</v>
      </c>
      <c r="D12" s="37">
        <f t="shared" si="2"/>
        <v>110928</v>
      </c>
      <c r="E12" s="104">
        <f t="shared" si="3"/>
        <v>66556.800000000003</v>
      </c>
      <c r="F12" s="37">
        <f t="shared" si="4"/>
        <v>44371.200000000004</v>
      </c>
      <c r="G12" s="77">
        <v>296741</v>
      </c>
      <c r="H12" s="37">
        <f t="shared" ref="H12" si="60">(+G12-+G11)*48</f>
        <v>2256</v>
      </c>
      <c r="I12" s="77">
        <v>193834</v>
      </c>
      <c r="J12" s="37">
        <f t="shared" ref="J12" si="61">(+I12-+I11)*48</f>
        <v>8208</v>
      </c>
      <c r="K12" s="77">
        <v>270435</v>
      </c>
      <c r="L12" s="37">
        <f t="shared" ref="L12" si="62">(+K12-+K11)*48</f>
        <v>3744</v>
      </c>
      <c r="M12" s="77">
        <v>25378</v>
      </c>
      <c r="N12" s="37">
        <f t="shared" ref="N12" si="63">(+M12-+M11)*48</f>
        <v>336</v>
      </c>
      <c r="O12" s="77">
        <v>338599</v>
      </c>
      <c r="P12" s="37">
        <f t="shared" ref="P12" si="64">(+O12-+O11)*48</f>
        <v>10368</v>
      </c>
      <c r="Q12" s="77">
        <v>480705</v>
      </c>
      <c r="R12" s="37">
        <f t="shared" ref="R12" si="65">(+Q12-+Q11)*48</f>
        <v>4128</v>
      </c>
      <c r="S12" s="77">
        <v>769813</v>
      </c>
      <c r="T12" s="37">
        <f t="shared" ref="T12" si="66">(+S12-+S11)*48</f>
        <v>6720</v>
      </c>
      <c r="U12" s="196">
        <v>5764.98</v>
      </c>
      <c r="V12" s="37">
        <f t="shared" ref="V12" si="67">(+U12-+U11)*48</f>
        <v>863.6639999999752</v>
      </c>
      <c r="W12" s="77">
        <v>85458</v>
      </c>
      <c r="X12" s="37">
        <f t="shared" ref="X12" si="68">(+W12-+W11)*48</f>
        <v>1152</v>
      </c>
      <c r="Y12" s="77">
        <v>1522914</v>
      </c>
      <c r="Z12" s="37">
        <f t="shared" ref="Z12" si="69">(+Y12-+Y11)*48</f>
        <v>1920</v>
      </c>
      <c r="AA12" s="77">
        <v>13886</v>
      </c>
      <c r="AB12" s="37">
        <f t="shared" ref="AB12" si="70">(+AA12-+AA11)*48</f>
        <v>0</v>
      </c>
      <c r="AC12" s="77">
        <v>507086</v>
      </c>
      <c r="AD12" s="37">
        <f t="shared" ref="AD12" si="71">(+AC12-+AC11)*48</f>
        <v>6000</v>
      </c>
      <c r="AE12" s="77">
        <v>576285</v>
      </c>
      <c r="AF12" s="37">
        <f t="shared" ref="AF12" si="72">(+AE12-+AE11)*48</f>
        <v>5424</v>
      </c>
      <c r="AG12" s="76">
        <v>49800</v>
      </c>
      <c r="AH12" s="37">
        <f t="shared" ref="AH12" si="73">(+AG12-+AG11)*48</f>
        <v>0</v>
      </c>
      <c r="AI12" s="77">
        <v>448966</v>
      </c>
      <c r="AJ12" s="37">
        <f t="shared" ref="AJ12" si="74">(+AI12-+AI11)*48</f>
        <v>5088</v>
      </c>
      <c r="AK12" s="77">
        <v>102770</v>
      </c>
      <c r="AL12" s="37">
        <f t="shared" ref="AL12" si="75">(+AK12-+AK11)*48</f>
        <v>0</v>
      </c>
      <c r="AM12" s="77">
        <v>612697</v>
      </c>
      <c r="AN12" s="37">
        <f t="shared" ref="AN12" si="76">(+AM12-+AM11)*48</f>
        <v>6480</v>
      </c>
      <c r="AO12" s="77">
        <v>2303</v>
      </c>
      <c r="AP12" s="37">
        <f t="shared" ref="AP12" si="77">(+AO12-+AO11)*48</f>
        <v>6480</v>
      </c>
      <c r="AQ12" s="77">
        <v>92153</v>
      </c>
      <c r="AR12" s="37">
        <f t="shared" ref="AR12" si="78">(+AQ12-+AQ11)*48</f>
        <v>1008</v>
      </c>
      <c r="AS12" s="77">
        <v>2460</v>
      </c>
      <c r="AT12" s="37">
        <f t="shared" ref="AT12" si="79">(+AS12-+AS11)*48</f>
        <v>0</v>
      </c>
      <c r="AU12" s="77">
        <v>939</v>
      </c>
      <c r="AV12" s="37">
        <f t="shared" ref="AV12" si="80">(+AU12-+AU11)*48</f>
        <v>0</v>
      </c>
      <c r="AW12" s="77">
        <v>3110</v>
      </c>
      <c r="AX12" s="37">
        <f t="shared" ref="AX12" si="81">(+AW12-+AW11)*48</f>
        <v>0</v>
      </c>
      <c r="AY12" s="77">
        <v>351716</v>
      </c>
      <c r="AZ12" s="37">
        <f t="shared" ref="AZ12" si="82">(+AY12-+AY11)*48</f>
        <v>4080</v>
      </c>
      <c r="BA12" s="76">
        <v>161101</v>
      </c>
      <c r="BB12" s="37">
        <f t="shared" ref="BB12" si="83">(+BA12-+BA11)*48</f>
        <v>0</v>
      </c>
      <c r="BC12" s="77">
        <v>237819</v>
      </c>
      <c r="BD12" s="37">
        <f t="shared" ref="BD12" si="84">(+BC12-+BC11)*48</f>
        <v>2544</v>
      </c>
      <c r="BE12" s="77">
        <v>5350</v>
      </c>
      <c r="BF12" s="37">
        <f t="shared" ref="BF12" si="85">(+BE12-+BE11)*48</f>
        <v>0</v>
      </c>
      <c r="BH12" s="105">
        <f t="shared" si="0"/>
        <v>122764.46399999998</v>
      </c>
      <c r="BI12" s="105">
        <f t="shared" si="1"/>
        <v>64963.200000000004</v>
      </c>
    </row>
    <row r="13" spans="1:61" s="35" customFormat="1" ht="39.950000000000003" customHeight="1">
      <c r="A13" s="192">
        <f t="shared" si="33"/>
        <v>44747</v>
      </c>
      <c r="B13" s="34"/>
      <c r="C13" s="77">
        <v>7004279</v>
      </c>
      <c r="D13" s="37">
        <f t="shared" si="2"/>
        <v>108864</v>
      </c>
      <c r="E13" s="104">
        <f t="shared" si="3"/>
        <v>65318.399999999994</v>
      </c>
      <c r="F13" s="37">
        <f t="shared" si="4"/>
        <v>43545.600000000006</v>
      </c>
      <c r="G13" s="77">
        <v>296777</v>
      </c>
      <c r="H13" s="37">
        <f t="shared" ref="H13" si="86">(+G13-+G12)*48</f>
        <v>1728</v>
      </c>
      <c r="I13" s="77">
        <v>194005</v>
      </c>
      <c r="J13" s="37">
        <f t="shared" ref="J13" si="87">(+I13-+I12)*48</f>
        <v>8208</v>
      </c>
      <c r="K13" s="77">
        <v>270469</v>
      </c>
      <c r="L13" s="37">
        <f t="shared" ref="L13" si="88">(+K13-+K12)*48</f>
        <v>1632</v>
      </c>
      <c r="M13" s="77">
        <v>25379</v>
      </c>
      <c r="N13" s="37">
        <f t="shared" ref="N13" si="89">(+M13-+M12)*48</f>
        <v>48</v>
      </c>
      <c r="O13" s="77">
        <v>338805</v>
      </c>
      <c r="P13" s="37">
        <f t="shared" ref="P13" si="90">(+O13-+O12)*48</f>
        <v>9888</v>
      </c>
      <c r="Q13" s="77">
        <v>480789</v>
      </c>
      <c r="R13" s="37">
        <f t="shared" ref="R13" si="91">(+Q13-+Q12)*48</f>
        <v>4032</v>
      </c>
      <c r="S13" s="77">
        <v>769961</v>
      </c>
      <c r="T13" s="37">
        <f t="shared" ref="T13" si="92">(+S13-+S12)*48</f>
        <v>7104</v>
      </c>
      <c r="U13" s="196">
        <v>5783.2340000000004</v>
      </c>
      <c r="V13" s="37">
        <f t="shared" ref="V13" si="93">(+U13-+U12)*48</f>
        <v>876.19200000003912</v>
      </c>
      <c r="W13" s="77">
        <v>85458</v>
      </c>
      <c r="X13" s="37">
        <f t="shared" ref="X13" si="94">(+W13-+W12)*48</f>
        <v>0</v>
      </c>
      <c r="Y13" s="77">
        <v>1522960</v>
      </c>
      <c r="Z13" s="37">
        <f t="shared" ref="Z13" si="95">(+Y13-+Y12)*48</f>
        <v>2208</v>
      </c>
      <c r="AA13" s="77">
        <v>13886</v>
      </c>
      <c r="AB13" s="37">
        <f t="shared" ref="AB13" si="96">(+AA13-+AA12)*48</f>
        <v>0</v>
      </c>
      <c r="AC13" s="77">
        <v>507240</v>
      </c>
      <c r="AD13" s="37">
        <f t="shared" ref="AD13" si="97">(+AC13-+AC12)*48</f>
        <v>7392</v>
      </c>
      <c r="AE13" s="77">
        <v>576411</v>
      </c>
      <c r="AF13" s="37">
        <f t="shared" ref="AF13" si="98">(+AE13-+AE12)*48</f>
        <v>6048</v>
      </c>
      <c r="AG13" s="76">
        <v>49800</v>
      </c>
      <c r="AH13" s="37">
        <f t="shared" ref="AH13" si="99">(+AG13-+AG12)*48</f>
        <v>0</v>
      </c>
      <c r="AI13" s="77">
        <v>449081</v>
      </c>
      <c r="AJ13" s="37">
        <f t="shared" ref="AJ13" si="100">(+AI13-+AI12)*48</f>
        <v>5520</v>
      </c>
      <c r="AK13" s="77">
        <v>102770</v>
      </c>
      <c r="AL13" s="37">
        <f t="shared" ref="AL13" si="101">(+AK13-+AK12)*48</f>
        <v>0</v>
      </c>
      <c r="AM13" s="77">
        <v>612835</v>
      </c>
      <c r="AN13" s="37">
        <f t="shared" ref="AN13" si="102">(+AM13-+AM12)*48</f>
        <v>6624</v>
      </c>
      <c r="AO13" s="77">
        <v>2439</v>
      </c>
      <c r="AP13" s="37">
        <f t="shared" ref="AP13" si="103">(+AO13-+AO12)*48</f>
        <v>6528</v>
      </c>
      <c r="AQ13" s="77">
        <v>92223</v>
      </c>
      <c r="AR13" s="37">
        <f t="shared" ref="AR13" si="104">(+AQ13-+AQ12)*48</f>
        <v>3360</v>
      </c>
      <c r="AS13" s="77">
        <v>2460</v>
      </c>
      <c r="AT13" s="37">
        <f t="shared" ref="AT13" si="105">(+AS13-+AS12)*48</f>
        <v>0</v>
      </c>
      <c r="AU13" s="77">
        <v>939</v>
      </c>
      <c r="AV13" s="37">
        <f t="shared" ref="AV13" si="106">(+AU13-+AU12)*48</f>
        <v>0</v>
      </c>
      <c r="AW13" s="77">
        <v>3110</v>
      </c>
      <c r="AX13" s="37">
        <f t="shared" ref="AX13" si="107">(+AW13-+AW12)*48</f>
        <v>0</v>
      </c>
      <c r="AY13" s="77">
        <v>351804</v>
      </c>
      <c r="AZ13" s="37">
        <f t="shared" ref="AZ13" si="108">(+AY13-+AY12)*48</f>
        <v>4224</v>
      </c>
      <c r="BA13" s="76">
        <v>161101</v>
      </c>
      <c r="BB13" s="37">
        <f t="shared" ref="BB13" si="109">(+BA13-+BA12)*48</f>
        <v>0</v>
      </c>
      <c r="BC13" s="77">
        <v>237881</v>
      </c>
      <c r="BD13" s="37">
        <f t="shared" ref="BD13" si="110">(+BC13-+BC12)*48</f>
        <v>2976</v>
      </c>
      <c r="BE13" s="77">
        <v>5350</v>
      </c>
      <c r="BF13" s="37">
        <f t="shared" ref="BF13" si="111">(+BE13-+BE12)*48</f>
        <v>0</v>
      </c>
      <c r="BH13" s="105">
        <f t="shared" si="0"/>
        <v>120002.59200000003</v>
      </c>
      <c r="BI13" s="105">
        <f t="shared" si="1"/>
        <v>67257.600000000006</v>
      </c>
    </row>
    <row r="14" spans="1:61" s="35" customFormat="1" ht="39.950000000000003" customHeight="1">
      <c r="A14" s="192">
        <f t="shared" si="33"/>
        <v>44748</v>
      </c>
      <c r="B14" s="34"/>
      <c r="C14" s="77">
        <v>7006319</v>
      </c>
      <c r="D14" s="37">
        <f t="shared" si="2"/>
        <v>97920</v>
      </c>
      <c r="E14" s="104">
        <f t="shared" si="3"/>
        <v>58752</v>
      </c>
      <c r="F14" s="37">
        <f t="shared" si="4"/>
        <v>39168</v>
      </c>
      <c r="G14" s="77">
        <v>296812</v>
      </c>
      <c r="H14" s="37">
        <f t="shared" ref="H14" si="112">(+G14-+G13)*48</f>
        <v>1680</v>
      </c>
      <c r="I14" s="77">
        <v>194168</v>
      </c>
      <c r="J14" s="37">
        <f t="shared" ref="J14" si="113">(+I14-+I13)*48</f>
        <v>7824</v>
      </c>
      <c r="K14" s="77">
        <v>270488</v>
      </c>
      <c r="L14" s="37">
        <f t="shared" ref="L14" si="114">(+K14-+K13)*48</f>
        <v>912</v>
      </c>
      <c r="M14" s="77">
        <v>25379</v>
      </c>
      <c r="N14" s="37">
        <f t="shared" ref="N14" si="115">(+M14-+M13)*48</f>
        <v>0</v>
      </c>
      <c r="O14" s="77">
        <v>339007</v>
      </c>
      <c r="P14" s="37">
        <f t="shared" ref="P14" si="116">(+O14-+O13)*48</f>
        <v>9696</v>
      </c>
      <c r="Q14" s="77">
        <v>480885</v>
      </c>
      <c r="R14" s="37">
        <f t="shared" ref="R14" si="117">(+Q14-+Q13)*48</f>
        <v>4608</v>
      </c>
      <c r="S14" s="77">
        <v>770113</v>
      </c>
      <c r="T14" s="37">
        <f t="shared" ref="T14" si="118">(+S14-+S13)*48</f>
        <v>7296</v>
      </c>
      <c r="U14" s="196">
        <v>5801.2020000000002</v>
      </c>
      <c r="V14" s="37">
        <f t="shared" ref="V14" si="119">(+U14-+U13)*48</f>
        <v>862.46399999999267</v>
      </c>
      <c r="W14" s="77">
        <v>85474</v>
      </c>
      <c r="X14" s="37">
        <f t="shared" ref="X14" si="120">(+W14-+W13)*48</f>
        <v>768</v>
      </c>
      <c r="Y14" s="77">
        <v>1522988</v>
      </c>
      <c r="Z14" s="37">
        <f t="shared" ref="Z14" si="121">(+Y14-+Y13)*48</f>
        <v>1344</v>
      </c>
      <c r="AA14" s="77">
        <v>13886</v>
      </c>
      <c r="AB14" s="37">
        <f t="shared" ref="AB14" si="122">(+AA14-+AA13)*48</f>
        <v>0</v>
      </c>
      <c r="AC14" s="77">
        <v>507367</v>
      </c>
      <c r="AD14" s="37">
        <f t="shared" ref="AD14" si="123">(+AC14-+AC13)*48</f>
        <v>6096</v>
      </c>
      <c r="AE14" s="77">
        <v>576538</v>
      </c>
      <c r="AF14" s="37">
        <f t="shared" ref="AF14" si="124">(+AE14-+AE13)*48</f>
        <v>6096</v>
      </c>
      <c r="AG14" s="76">
        <v>49800</v>
      </c>
      <c r="AH14" s="37">
        <f t="shared" ref="AH14" si="125">(+AG14-+AG13)*48</f>
        <v>0</v>
      </c>
      <c r="AI14" s="77">
        <v>449186</v>
      </c>
      <c r="AJ14" s="37">
        <f t="shared" ref="AJ14" si="126">(+AI14-+AI13)*48</f>
        <v>5040</v>
      </c>
      <c r="AK14" s="77">
        <v>102770</v>
      </c>
      <c r="AL14" s="37">
        <f t="shared" ref="AL14" si="127">(+AK14-+AK13)*48</f>
        <v>0</v>
      </c>
      <c r="AM14" s="77">
        <v>612971</v>
      </c>
      <c r="AN14" s="37">
        <f t="shared" ref="AN14" si="128">(+AM14-+AM13)*48</f>
        <v>6528</v>
      </c>
      <c r="AO14" s="77">
        <v>2566</v>
      </c>
      <c r="AP14" s="37">
        <f t="shared" ref="AP14" si="129">(+AO14-+AO13)*48</f>
        <v>6096</v>
      </c>
      <c r="AQ14" s="77">
        <v>92286</v>
      </c>
      <c r="AR14" s="37">
        <f t="shared" ref="AR14" si="130">(+AQ14-+AQ13)*48</f>
        <v>3024</v>
      </c>
      <c r="AS14" s="77">
        <v>2460</v>
      </c>
      <c r="AT14" s="37">
        <f t="shared" ref="AT14" si="131">(+AS14-+AS13)*48</f>
        <v>0</v>
      </c>
      <c r="AU14" s="77">
        <v>939</v>
      </c>
      <c r="AV14" s="37">
        <f t="shared" ref="AV14" si="132">(+AU14-+AU13)*48</f>
        <v>0</v>
      </c>
      <c r="AW14" s="77">
        <v>3110</v>
      </c>
      <c r="AX14" s="37">
        <f t="shared" ref="AX14" si="133">(+AW14-+AW13)*48</f>
        <v>0</v>
      </c>
      <c r="AY14" s="77">
        <v>351889</v>
      </c>
      <c r="AZ14" s="37">
        <f t="shared" ref="AZ14" si="134">(+AY14-+AY13)*48</f>
        <v>4080</v>
      </c>
      <c r="BA14" s="76">
        <v>161101</v>
      </c>
      <c r="BB14" s="37">
        <f t="shared" ref="BB14" si="135">(+BA14-+BA13)*48</f>
        <v>0</v>
      </c>
      <c r="BC14" s="77">
        <v>237937</v>
      </c>
      <c r="BD14" s="37">
        <f t="shared" ref="BD14" si="136">(+BC14-+BC13)*48</f>
        <v>2688</v>
      </c>
      <c r="BE14" s="77">
        <v>5350</v>
      </c>
      <c r="BF14" s="37">
        <f t="shared" ref="BF14" si="137">(+BE14-+BE13)*48</f>
        <v>0</v>
      </c>
      <c r="BH14" s="105">
        <f t="shared" si="0"/>
        <v>110974.46399999999</v>
      </c>
      <c r="BI14" s="105">
        <f t="shared" si="1"/>
        <v>61584</v>
      </c>
    </row>
    <row r="15" spans="1:61" s="35" customFormat="1" ht="39.950000000000003" customHeight="1">
      <c r="A15" s="192">
        <f t="shared" si="33"/>
        <v>44749</v>
      </c>
      <c r="B15" s="34"/>
      <c r="C15" s="77">
        <v>7008386</v>
      </c>
      <c r="D15" s="37">
        <f t="shared" si="2"/>
        <v>99216</v>
      </c>
      <c r="E15" s="104">
        <f t="shared" si="3"/>
        <v>59529.599999999999</v>
      </c>
      <c r="F15" s="37">
        <f t="shared" si="4"/>
        <v>39686.400000000001</v>
      </c>
      <c r="G15" s="77">
        <v>296851</v>
      </c>
      <c r="H15" s="37">
        <f t="shared" ref="H15" si="138">(+G15-+G14)*48</f>
        <v>1872</v>
      </c>
      <c r="I15" s="77">
        <v>194331</v>
      </c>
      <c r="J15" s="37">
        <f t="shared" ref="J15" si="139">(+I15-+I14)*48</f>
        <v>7824</v>
      </c>
      <c r="K15" s="77">
        <v>270513</v>
      </c>
      <c r="L15" s="37">
        <f t="shared" ref="L15" si="140">(+K15-+K14)*48</f>
        <v>1200</v>
      </c>
      <c r="M15" s="77">
        <v>25379</v>
      </c>
      <c r="N15" s="37">
        <f t="shared" ref="N15" si="141">(+M15-+M14)*48</f>
        <v>0</v>
      </c>
      <c r="O15" s="77">
        <v>339209</v>
      </c>
      <c r="P15" s="37">
        <f t="shared" ref="P15" si="142">(+O15-+O14)*48</f>
        <v>9696</v>
      </c>
      <c r="Q15" s="77">
        <v>480940</v>
      </c>
      <c r="R15" s="37">
        <f t="shared" ref="R15" si="143">(+Q15-+Q14)*48</f>
        <v>2640</v>
      </c>
      <c r="S15" s="77">
        <v>770251</v>
      </c>
      <c r="T15" s="37">
        <f t="shared" ref="T15" si="144">(+S15-+S14)*48</f>
        <v>6624</v>
      </c>
      <c r="U15" s="196">
        <v>5817.8410000000003</v>
      </c>
      <c r="V15" s="37">
        <f t="shared" ref="V15" si="145">(+U15-+U14)*48</f>
        <v>798.67200000000594</v>
      </c>
      <c r="W15" s="77">
        <v>85494</v>
      </c>
      <c r="X15" s="37">
        <f t="shared" ref="X15" si="146">(+W15-+W14)*48</f>
        <v>960</v>
      </c>
      <c r="Y15" s="82">
        <v>1523007</v>
      </c>
      <c r="Z15" s="37">
        <f t="shared" ref="Z15" si="147">(+Y15-+Y14)*48</f>
        <v>912</v>
      </c>
      <c r="AA15" s="77">
        <v>13886</v>
      </c>
      <c r="AB15" s="37">
        <f t="shared" ref="AB15" si="148">(+AA15-+AA14)*48</f>
        <v>0</v>
      </c>
      <c r="AC15" s="77">
        <v>507464</v>
      </c>
      <c r="AD15" s="37">
        <f t="shared" ref="AD15" si="149">(+AC15-+AC14)*48</f>
        <v>4656</v>
      </c>
      <c r="AE15" s="77">
        <v>576668</v>
      </c>
      <c r="AF15" s="37">
        <f t="shared" ref="AF15" si="150">(+AE15-+AE14)*48</f>
        <v>6240</v>
      </c>
      <c r="AG15" s="76">
        <v>49800</v>
      </c>
      <c r="AH15" s="37">
        <f t="shared" ref="AH15" si="151">(+AG15-+AG14)*48</f>
        <v>0</v>
      </c>
      <c r="AI15" s="77">
        <v>449283</v>
      </c>
      <c r="AJ15" s="37">
        <f t="shared" ref="AJ15" si="152">(+AI15-+AI14)*48</f>
        <v>4656</v>
      </c>
      <c r="AK15" s="77">
        <v>102770</v>
      </c>
      <c r="AL15" s="37">
        <f t="shared" ref="AL15" si="153">(+AK15-+AK14)*48</f>
        <v>0</v>
      </c>
      <c r="AM15" s="77">
        <v>613106</v>
      </c>
      <c r="AN15" s="37">
        <f t="shared" ref="AN15" si="154">(+AM15-+AM14)*48</f>
        <v>6480</v>
      </c>
      <c r="AO15" s="77">
        <v>2682</v>
      </c>
      <c r="AP15" s="37">
        <f t="shared" ref="AP15" si="155">(+AO15-+AO14)*48</f>
        <v>5568</v>
      </c>
      <c r="AQ15" s="77">
        <v>92309</v>
      </c>
      <c r="AR15" s="37">
        <f t="shared" ref="AR15" si="156">(+AQ15-+AQ14)*48</f>
        <v>1104</v>
      </c>
      <c r="AS15" s="77">
        <v>2460</v>
      </c>
      <c r="AT15" s="37">
        <f t="shared" ref="AT15" si="157">(+AS15-+AS14)*48</f>
        <v>0</v>
      </c>
      <c r="AU15" s="77">
        <v>939</v>
      </c>
      <c r="AV15" s="37">
        <f t="shared" ref="AV15" si="158">(+AU15-+AU14)*48</f>
        <v>0</v>
      </c>
      <c r="AW15" s="77">
        <v>3110</v>
      </c>
      <c r="AX15" s="37">
        <f t="shared" ref="AX15" si="159">(+AW15-+AW14)*48</f>
        <v>0</v>
      </c>
      <c r="AY15" s="77">
        <v>351980</v>
      </c>
      <c r="AZ15" s="37">
        <f t="shared" ref="AZ15" si="160">(+AY15-+AY14)*48</f>
        <v>4368</v>
      </c>
      <c r="BA15" s="76">
        <v>161101</v>
      </c>
      <c r="BB15" s="37">
        <f t="shared" ref="BB15" si="161">(+BA15-+BA14)*48</f>
        <v>0</v>
      </c>
      <c r="BC15" s="77">
        <v>237997</v>
      </c>
      <c r="BD15" s="37">
        <f t="shared" ref="BD15" si="162">(+BC15-+BC14)*48</f>
        <v>2880</v>
      </c>
      <c r="BE15" s="77">
        <v>5350</v>
      </c>
      <c r="BF15" s="37">
        <f t="shared" ref="BF15" si="163">(+BE15-+BE14)*48</f>
        <v>0</v>
      </c>
      <c r="BH15" s="105">
        <f t="shared" si="0"/>
        <v>107608.27200000001</v>
      </c>
      <c r="BI15" s="105">
        <f t="shared" si="1"/>
        <v>60086.400000000001</v>
      </c>
    </row>
    <row r="16" spans="1:61" s="35" customFormat="1" ht="39.950000000000003" customHeight="1">
      <c r="A16" s="192">
        <f t="shared" si="33"/>
        <v>44750</v>
      </c>
      <c r="B16" s="34"/>
      <c r="C16" s="77">
        <v>7010354</v>
      </c>
      <c r="D16" s="37">
        <f t="shared" si="2"/>
        <v>94464</v>
      </c>
      <c r="E16" s="104">
        <f t="shared" si="3"/>
        <v>56678.400000000001</v>
      </c>
      <c r="F16" s="37">
        <f t="shared" si="4"/>
        <v>37785.599999999999</v>
      </c>
      <c r="G16" s="77">
        <v>296887</v>
      </c>
      <c r="H16" s="37">
        <f t="shared" ref="H16" si="164">(+G16-+G15)*48</f>
        <v>1728</v>
      </c>
      <c r="I16" s="77">
        <v>194493</v>
      </c>
      <c r="J16" s="37">
        <f t="shared" ref="J16" si="165">(+I16-+I15)*48</f>
        <v>7776</v>
      </c>
      <c r="K16" s="77">
        <v>270530</v>
      </c>
      <c r="L16" s="37">
        <f t="shared" ref="L16" si="166">(+K16-+K15)*48</f>
        <v>816</v>
      </c>
      <c r="M16" s="77">
        <v>25379</v>
      </c>
      <c r="N16" s="37">
        <f t="shared" ref="N16" si="167">(+M16-+M15)*48</f>
        <v>0</v>
      </c>
      <c r="O16" s="77">
        <v>339400</v>
      </c>
      <c r="P16" s="37">
        <f t="shared" ref="P16" si="168">(+O16-+O15)*48</f>
        <v>9168</v>
      </c>
      <c r="Q16" s="77">
        <v>481012</v>
      </c>
      <c r="R16" s="37">
        <f t="shared" ref="R16" si="169">(+Q16-+Q15)*48</f>
        <v>3456</v>
      </c>
      <c r="S16" s="77">
        <v>770397</v>
      </c>
      <c r="T16" s="37">
        <f t="shared" ref="T16" si="170">(+S16-+S15)*48</f>
        <v>7008</v>
      </c>
      <c r="U16" s="196">
        <v>5833.5280000000002</v>
      </c>
      <c r="V16" s="37">
        <f t="shared" ref="V16" si="171">(+U16-+U15)*48</f>
        <v>752.97599999999511</v>
      </c>
      <c r="W16" s="77">
        <v>85512</v>
      </c>
      <c r="X16" s="37">
        <f t="shared" ref="X16" si="172">(+W16-+W15)*48</f>
        <v>864</v>
      </c>
      <c r="Y16" s="82">
        <v>1523021</v>
      </c>
      <c r="Z16" s="37">
        <f t="shared" ref="Z16" si="173">(+Y16-+Y15)*48</f>
        <v>672</v>
      </c>
      <c r="AA16" s="77">
        <v>13886</v>
      </c>
      <c r="AB16" s="37">
        <f t="shared" ref="AB16" si="174">(+AA16-+AA15)*48</f>
        <v>0</v>
      </c>
      <c r="AC16" s="82">
        <v>507587</v>
      </c>
      <c r="AD16" s="37">
        <f t="shared" ref="AD16" si="175">(+AC16-+AC15)*48</f>
        <v>5904</v>
      </c>
      <c r="AE16" s="77">
        <v>576813</v>
      </c>
      <c r="AF16" s="37">
        <f t="shared" ref="AF16" si="176">(+AE16-+AE15)*48</f>
        <v>6960</v>
      </c>
      <c r="AG16" s="76">
        <v>49800</v>
      </c>
      <c r="AH16" s="37">
        <f t="shared" ref="AH16" si="177">(+AG16-+AG15)*48</f>
        <v>0</v>
      </c>
      <c r="AI16" s="77">
        <v>449387</v>
      </c>
      <c r="AJ16" s="37">
        <f t="shared" ref="AJ16" si="178">(+AI16-+AI15)*48</f>
        <v>4992</v>
      </c>
      <c r="AK16" s="77">
        <v>102770</v>
      </c>
      <c r="AL16" s="37">
        <f t="shared" ref="AL16" si="179">(+AK16-+AK15)*48</f>
        <v>0</v>
      </c>
      <c r="AM16" s="77">
        <v>613244</v>
      </c>
      <c r="AN16" s="37">
        <f t="shared" ref="AN16" si="180">(+AM16-+AM15)*48</f>
        <v>6624</v>
      </c>
      <c r="AO16" s="77">
        <v>2795</v>
      </c>
      <c r="AP16" s="37">
        <f t="shared" ref="AP16" si="181">(+AO16-+AO15)*48</f>
        <v>5424</v>
      </c>
      <c r="AQ16" s="77">
        <v>92331</v>
      </c>
      <c r="AR16" s="37">
        <f t="shared" ref="AR16" si="182">(+AQ16-+AQ15)*48</f>
        <v>1056</v>
      </c>
      <c r="AS16" s="77">
        <v>2460</v>
      </c>
      <c r="AT16" s="37">
        <f t="shared" ref="AT16" si="183">(+AS16-+AS15)*48</f>
        <v>0</v>
      </c>
      <c r="AU16" s="77">
        <v>939</v>
      </c>
      <c r="AV16" s="37">
        <f t="shared" ref="AV16" si="184">(+AU16-+AU15)*48</f>
        <v>0</v>
      </c>
      <c r="AW16" s="77">
        <v>3110</v>
      </c>
      <c r="AX16" s="37">
        <f t="shared" ref="AX16" si="185">(+AW16-+AW15)*48</f>
        <v>0</v>
      </c>
      <c r="AY16" s="77">
        <v>352063</v>
      </c>
      <c r="AZ16" s="37">
        <f t="shared" ref="AZ16" si="186">(+AY16-+AY15)*48</f>
        <v>3984</v>
      </c>
      <c r="BA16" s="76">
        <v>161101</v>
      </c>
      <c r="BB16" s="37">
        <f t="shared" ref="BB16" si="187">(+BA16-+BA15)*48</f>
        <v>0</v>
      </c>
      <c r="BC16" s="82">
        <v>238052</v>
      </c>
      <c r="BD16" s="37">
        <f t="shared" ref="BD16" si="188">(+BC16-+BC15)*48</f>
        <v>2640</v>
      </c>
      <c r="BE16" s="77">
        <v>5350</v>
      </c>
      <c r="BF16" s="37">
        <f t="shared" ref="BF16" si="189">(+BE16-+BE15)*48</f>
        <v>0</v>
      </c>
      <c r="BH16" s="105">
        <f t="shared" si="0"/>
        <v>106775.37599999999</v>
      </c>
      <c r="BI16" s="105">
        <f t="shared" si="1"/>
        <v>57513.599999999999</v>
      </c>
    </row>
    <row r="17" spans="1:61" s="35" customFormat="1" ht="39.950000000000003" customHeight="1">
      <c r="A17" s="192">
        <f t="shared" si="33"/>
        <v>44751</v>
      </c>
      <c r="B17" s="34"/>
      <c r="C17" s="77">
        <v>7012671</v>
      </c>
      <c r="D17" s="37">
        <f t="shared" si="2"/>
        <v>111216</v>
      </c>
      <c r="E17" s="104">
        <f t="shared" si="3"/>
        <v>66729.599999999991</v>
      </c>
      <c r="F17" s="37">
        <f t="shared" si="4"/>
        <v>44486.400000000001</v>
      </c>
      <c r="G17" s="77">
        <v>296942</v>
      </c>
      <c r="H17" s="37">
        <f t="shared" ref="H17" si="190">(+G17-+G16)*48</f>
        <v>2640</v>
      </c>
      <c r="I17" s="77">
        <v>194661</v>
      </c>
      <c r="J17" s="37">
        <f t="shared" ref="J17" si="191">(+I17-+I16)*48</f>
        <v>8064</v>
      </c>
      <c r="K17" s="77">
        <v>270573</v>
      </c>
      <c r="L17" s="37">
        <f t="shared" ref="L17" si="192">(+K17-+K16)*48</f>
        <v>2064</v>
      </c>
      <c r="M17" s="77">
        <v>25388</v>
      </c>
      <c r="N17" s="37">
        <f t="shared" ref="N17" si="193">(+M17-+M16)*48</f>
        <v>432</v>
      </c>
      <c r="O17" s="77">
        <v>339590</v>
      </c>
      <c r="P17" s="37">
        <f t="shared" ref="P17" si="194">(+O17-+O16)*48</f>
        <v>9120</v>
      </c>
      <c r="Q17" s="77">
        <v>481098</v>
      </c>
      <c r="R17" s="37">
        <f t="shared" ref="R17" si="195">(+Q17-+Q16)*48</f>
        <v>4128</v>
      </c>
      <c r="S17" s="77">
        <v>770525</v>
      </c>
      <c r="T17" s="37">
        <f t="shared" ref="T17" si="196">(+S17-+S16)*48</f>
        <v>6144</v>
      </c>
      <c r="U17" s="196">
        <v>5851.3530000000001</v>
      </c>
      <c r="V17" s="37">
        <f t="shared" ref="V17" si="197">(+U17-+U16)*48</f>
        <v>855.59999999999127</v>
      </c>
      <c r="W17" s="77">
        <v>85530</v>
      </c>
      <c r="X17" s="37">
        <f t="shared" ref="X17" si="198">(+W17-+W16)*48</f>
        <v>864</v>
      </c>
      <c r="Y17" s="82">
        <v>1523027</v>
      </c>
      <c r="Z17" s="37">
        <f t="shared" ref="Z17" si="199">(+Y17-+Y16)*48</f>
        <v>288</v>
      </c>
      <c r="AA17" s="77">
        <v>13886</v>
      </c>
      <c r="AB17" s="37">
        <f t="shared" ref="AB17" si="200">(+AA17-+AA16)*48</f>
        <v>0</v>
      </c>
      <c r="AC17" s="82">
        <v>507710</v>
      </c>
      <c r="AD17" s="37">
        <f t="shared" ref="AD17" si="201">(+AC17-+AC16)*48</f>
        <v>5904</v>
      </c>
      <c r="AE17" s="77">
        <v>576959</v>
      </c>
      <c r="AF17" s="37">
        <f t="shared" ref="AF17" si="202">(+AE17-+AE16)*48</f>
        <v>7008</v>
      </c>
      <c r="AG17" s="76">
        <v>49800</v>
      </c>
      <c r="AH17" s="37">
        <f t="shared" ref="AH17" si="203">(+AG17-+AG16)*48</f>
        <v>0</v>
      </c>
      <c r="AI17" s="77">
        <v>449501</v>
      </c>
      <c r="AJ17" s="37">
        <f t="shared" ref="AJ17" si="204">(+AI17-+AI16)*48</f>
        <v>5472</v>
      </c>
      <c r="AK17" s="77">
        <v>102770</v>
      </c>
      <c r="AL17" s="37">
        <f t="shared" ref="AL17" si="205">(+AK17-+AK16)*48</f>
        <v>0</v>
      </c>
      <c r="AM17" s="77">
        <v>613388</v>
      </c>
      <c r="AN17" s="37">
        <f t="shared" ref="AN17" si="206">(+AM17-+AM16)*48</f>
        <v>6912</v>
      </c>
      <c r="AO17" s="77">
        <v>2894</v>
      </c>
      <c r="AP17" s="37">
        <f t="shared" ref="AP17" si="207">(+AO17-+AO16)*48</f>
        <v>4752</v>
      </c>
      <c r="AQ17" s="77">
        <v>92352</v>
      </c>
      <c r="AR17" s="37">
        <f t="shared" ref="AR17" si="208">(+AQ17-+AQ16)*48</f>
        <v>1008</v>
      </c>
      <c r="AS17" s="77">
        <v>2460</v>
      </c>
      <c r="AT17" s="37">
        <f t="shared" ref="AT17" si="209">(+AS17-+AS16)*48</f>
        <v>0</v>
      </c>
      <c r="AU17" s="77">
        <v>939</v>
      </c>
      <c r="AV17" s="37">
        <f t="shared" ref="AV17" si="210">(+AU17-+AU16)*48</f>
        <v>0</v>
      </c>
      <c r="AW17" s="77">
        <v>3110</v>
      </c>
      <c r="AX17" s="37">
        <f t="shared" ref="AX17" si="211">(+AW17-+AW16)*48</f>
        <v>0</v>
      </c>
      <c r="AY17" s="77">
        <v>352147</v>
      </c>
      <c r="AZ17" s="37">
        <f t="shared" ref="AZ17" si="212">(+AY17-+AY16)*48</f>
        <v>4032</v>
      </c>
      <c r="BA17" s="76">
        <v>161101</v>
      </c>
      <c r="BB17" s="37">
        <f t="shared" ref="BB17" si="213">(+BA17-+BA16)*48</f>
        <v>0</v>
      </c>
      <c r="BC17" s="82">
        <v>238109</v>
      </c>
      <c r="BD17" s="37">
        <f t="shared" ref="BD17" si="214">(+BC17-+BC16)*48</f>
        <v>2736</v>
      </c>
      <c r="BE17" s="77">
        <v>5350</v>
      </c>
      <c r="BF17" s="37">
        <f t="shared" ref="BF17" si="215">(+BE17-+BE16)*48</f>
        <v>0</v>
      </c>
      <c r="BH17" s="105">
        <f t="shared" si="0"/>
        <v>119713.19999999998</v>
      </c>
      <c r="BI17" s="105">
        <f t="shared" si="1"/>
        <v>63926.400000000001</v>
      </c>
    </row>
    <row r="18" spans="1:61" s="35" customFormat="1" ht="39.950000000000003" customHeight="1">
      <c r="A18" s="192">
        <f t="shared" si="33"/>
        <v>44752</v>
      </c>
      <c r="B18" s="34"/>
      <c r="C18" s="77">
        <v>7015089</v>
      </c>
      <c r="D18" s="37">
        <f t="shared" si="2"/>
        <v>116064</v>
      </c>
      <c r="E18" s="104">
        <f t="shared" si="3"/>
        <v>69638.399999999994</v>
      </c>
      <c r="F18" s="37">
        <f t="shared" si="4"/>
        <v>46425.600000000006</v>
      </c>
      <c r="G18" s="77">
        <v>297003</v>
      </c>
      <c r="H18" s="37">
        <f t="shared" ref="H18" si="216">(+G18-+G17)*48</f>
        <v>2928</v>
      </c>
      <c r="I18" s="77">
        <v>194835</v>
      </c>
      <c r="J18" s="37">
        <f t="shared" ref="J18" si="217">(+I18-+I17)*48</f>
        <v>8352</v>
      </c>
      <c r="K18" s="77">
        <v>270670</v>
      </c>
      <c r="L18" s="37">
        <f t="shared" ref="L18" si="218">(+K18-+K17)*48</f>
        <v>4656</v>
      </c>
      <c r="M18" s="77">
        <v>25398</v>
      </c>
      <c r="N18" s="37">
        <f t="shared" ref="N18" si="219">(+M18-+M17)*48</f>
        <v>480</v>
      </c>
      <c r="O18" s="77">
        <v>339814</v>
      </c>
      <c r="P18" s="37">
        <f t="shared" ref="P18" si="220">(+O18-+O17)*48</f>
        <v>10752</v>
      </c>
      <c r="Q18" s="77">
        <v>481186</v>
      </c>
      <c r="R18" s="37">
        <f t="shared" ref="R18" si="221">(+Q18-+Q17)*48</f>
        <v>4224</v>
      </c>
      <c r="S18" s="77">
        <v>770665</v>
      </c>
      <c r="T18" s="37">
        <f t="shared" ref="T18" si="222">(+S18-+S17)*48</f>
        <v>6720</v>
      </c>
      <c r="U18" s="196">
        <v>5869.89</v>
      </c>
      <c r="V18" s="37">
        <f t="shared" ref="V18" si="223">(+U18-+U17)*48</f>
        <v>889.77600000001257</v>
      </c>
      <c r="W18" s="77">
        <v>85548</v>
      </c>
      <c r="X18" s="37">
        <f t="shared" ref="X18" si="224">(+W18-+W17)*48</f>
        <v>864</v>
      </c>
      <c r="Y18" s="77">
        <v>1523027</v>
      </c>
      <c r="Z18" s="37">
        <f t="shared" ref="Z18" si="225">(+Y18-+Y17)*48</f>
        <v>0</v>
      </c>
      <c r="AA18" s="77">
        <v>13886</v>
      </c>
      <c r="AB18" s="37">
        <f t="shared" ref="AB18" si="226">(+AA18-+AA17)*48</f>
        <v>0</v>
      </c>
      <c r="AC18" s="77">
        <v>507833</v>
      </c>
      <c r="AD18" s="37">
        <f t="shared" ref="AD18" si="227">(+AC18-+AC17)*48</f>
        <v>5904</v>
      </c>
      <c r="AE18" s="77">
        <v>577101</v>
      </c>
      <c r="AF18" s="37">
        <f t="shared" ref="AF18" si="228">(+AE18-+AE17)*48</f>
        <v>6816</v>
      </c>
      <c r="AG18" s="76">
        <v>49800</v>
      </c>
      <c r="AH18" s="37">
        <f t="shared" ref="AH18" si="229">(+AG18-+AG17)*48</f>
        <v>0</v>
      </c>
      <c r="AI18" s="77">
        <v>449631</v>
      </c>
      <c r="AJ18" s="37">
        <f t="shared" ref="AJ18" si="230">(+AI18-+AI17)*48</f>
        <v>6240</v>
      </c>
      <c r="AK18" s="77">
        <v>102770</v>
      </c>
      <c r="AL18" s="37">
        <f t="shared" ref="AL18" si="231">(+AK18-+AK17)*48</f>
        <v>0</v>
      </c>
      <c r="AM18" s="77">
        <v>613535</v>
      </c>
      <c r="AN18" s="37">
        <f t="shared" ref="AN18" si="232">(+AM18-+AM17)*48</f>
        <v>7056</v>
      </c>
      <c r="AO18" s="77">
        <v>3003</v>
      </c>
      <c r="AP18" s="37">
        <f t="shared" ref="AP18" si="233">(+AO18-+AO17)*48</f>
        <v>5232</v>
      </c>
      <c r="AQ18" s="77">
        <v>92355</v>
      </c>
      <c r="AR18" s="37">
        <f t="shared" ref="AR18" si="234">(+AQ18-+AQ17)*48</f>
        <v>144</v>
      </c>
      <c r="AS18" s="77">
        <v>2460</v>
      </c>
      <c r="AT18" s="37">
        <f t="shared" ref="AT18" si="235">(+AS18-+AS17)*48</f>
        <v>0</v>
      </c>
      <c r="AU18" s="77">
        <v>939</v>
      </c>
      <c r="AV18" s="37">
        <f t="shared" ref="AV18" si="236">(+AU18-+AU17)*48</f>
        <v>0</v>
      </c>
      <c r="AW18" s="77">
        <v>3110</v>
      </c>
      <c r="AX18" s="37">
        <f t="shared" ref="AX18" si="237">(+AW18-+AW17)*48</f>
        <v>0</v>
      </c>
      <c r="AY18" s="77">
        <v>352236</v>
      </c>
      <c r="AZ18" s="37">
        <f t="shared" ref="AZ18" si="238">(+AY18-+AY17)*48</f>
        <v>4272</v>
      </c>
      <c r="BA18" s="76">
        <v>161101</v>
      </c>
      <c r="BB18" s="37">
        <f t="shared" ref="BB18" si="239">(+BA18-+BA17)*48</f>
        <v>0</v>
      </c>
      <c r="BC18" s="77">
        <v>238167</v>
      </c>
      <c r="BD18" s="37">
        <f t="shared" ref="BD18" si="240">(+BC18-+BC17)*48</f>
        <v>2784</v>
      </c>
      <c r="BE18" s="77">
        <v>5350</v>
      </c>
      <c r="BF18" s="37">
        <f t="shared" ref="BF18" si="241">(+BE18-+BE17)*48</f>
        <v>0</v>
      </c>
      <c r="BH18" s="105">
        <f t="shared" si="0"/>
        <v>128464.17600000001</v>
      </c>
      <c r="BI18" s="105">
        <f t="shared" si="1"/>
        <v>65913.600000000006</v>
      </c>
    </row>
    <row r="19" spans="1:61" s="35" customFormat="1" ht="39.950000000000003" customHeight="1">
      <c r="A19" s="192">
        <f t="shared" si="33"/>
        <v>44753</v>
      </c>
      <c r="B19" s="34"/>
      <c r="C19" s="77">
        <v>7017885</v>
      </c>
      <c r="D19" s="37">
        <f t="shared" si="2"/>
        <v>134208</v>
      </c>
      <c r="E19" s="104">
        <f t="shared" si="3"/>
        <v>80524.800000000003</v>
      </c>
      <c r="F19" s="37">
        <f t="shared" si="4"/>
        <v>53683.200000000004</v>
      </c>
      <c r="G19" s="77">
        <v>297047</v>
      </c>
      <c r="H19" s="37">
        <f t="shared" ref="H19" si="242">(+G19-+G18)*48</f>
        <v>2112</v>
      </c>
      <c r="I19" s="77">
        <v>195006</v>
      </c>
      <c r="J19" s="37">
        <f t="shared" ref="J19" si="243">(+I19-+I18)*48</f>
        <v>8208</v>
      </c>
      <c r="K19" s="77">
        <v>270699</v>
      </c>
      <c r="L19" s="37">
        <f t="shared" ref="L19" si="244">(+K19-+K18)*48</f>
        <v>1392</v>
      </c>
      <c r="M19" s="77">
        <v>25398</v>
      </c>
      <c r="N19" s="37">
        <f t="shared" ref="N19" si="245">(+M19-+M18)*48</f>
        <v>0</v>
      </c>
      <c r="O19" s="77">
        <v>340017</v>
      </c>
      <c r="P19" s="37">
        <f t="shared" ref="P19" si="246">(+O19-+O18)*48</f>
        <v>9744</v>
      </c>
      <c r="Q19" s="77">
        <v>481262</v>
      </c>
      <c r="R19" s="37">
        <f t="shared" ref="R19" si="247">(+Q19-+Q18)*48</f>
        <v>3648</v>
      </c>
      <c r="S19" s="77">
        <v>770801</v>
      </c>
      <c r="T19" s="37">
        <f t="shared" ref="T19" si="248">(+S19-+S18)*48</f>
        <v>6528</v>
      </c>
      <c r="U19" s="196">
        <v>5888.44</v>
      </c>
      <c r="V19" s="37">
        <f t="shared" ref="V19" si="249">(+U19-+U18)*48</f>
        <v>890.39999999996508</v>
      </c>
      <c r="W19" s="77">
        <v>85565</v>
      </c>
      <c r="X19" s="37">
        <f t="shared" ref="X19" si="250">(+W19-+W18)*48</f>
        <v>816</v>
      </c>
      <c r="Y19" s="77">
        <v>1523027</v>
      </c>
      <c r="Z19" s="37">
        <f t="shared" ref="Z19" si="251">(+Y19-+Y18)*48</f>
        <v>0</v>
      </c>
      <c r="AA19" s="77">
        <v>13886</v>
      </c>
      <c r="AB19" s="37">
        <f t="shared" ref="AB19" si="252">(+AA19-+AA18)*48</f>
        <v>0</v>
      </c>
      <c r="AC19" s="77">
        <v>507954</v>
      </c>
      <c r="AD19" s="37">
        <f t="shared" ref="AD19" si="253">(+AC19-+AC18)*48</f>
        <v>5808</v>
      </c>
      <c r="AE19" s="77">
        <v>577243</v>
      </c>
      <c r="AF19" s="37">
        <f t="shared" ref="AF19" si="254">(+AE19-+AE18)*48</f>
        <v>6816</v>
      </c>
      <c r="AG19" s="76">
        <v>49800</v>
      </c>
      <c r="AH19" s="37">
        <f t="shared" ref="AH19" si="255">(+AG19-+AG18)*48</f>
        <v>0</v>
      </c>
      <c r="AI19" s="77">
        <v>449759</v>
      </c>
      <c r="AJ19" s="37">
        <f t="shared" ref="AJ19" si="256">(+AI19-+AI18)*48</f>
        <v>6144</v>
      </c>
      <c r="AK19" s="77">
        <v>102770</v>
      </c>
      <c r="AL19" s="37">
        <f t="shared" ref="AL19" si="257">(+AK19-+AK18)*48</f>
        <v>0</v>
      </c>
      <c r="AM19" s="77">
        <v>613677</v>
      </c>
      <c r="AN19" s="37">
        <f t="shared" ref="AN19" si="258">(+AM19-+AM18)*48</f>
        <v>6816</v>
      </c>
      <c r="AO19" s="77">
        <v>3114</v>
      </c>
      <c r="AP19" s="37">
        <f t="shared" ref="AP19" si="259">(+AO19-+AO18)*48</f>
        <v>5328</v>
      </c>
      <c r="AQ19" s="77">
        <v>92355</v>
      </c>
      <c r="AR19" s="37">
        <f t="shared" ref="AR19" si="260">(+AQ19-+AQ18)*48</f>
        <v>0</v>
      </c>
      <c r="AS19" s="77">
        <v>2460</v>
      </c>
      <c r="AT19" s="37">
        <f t="shared" ref="AT19" si="261">(+AS19-+AS18)*48</f>
        <v>0</v>
      </c>
      <c r="AU19" s="77">
        <v>939</v>
      </c>
      <c r="AV19" s="37">
        <f t="shared" ref="AV19" si="262">(+AU19-+AU18)*48</f>
        <v>0</v>
      </c>
      <c r="AW19" s="77">
        <v>3110</v>
      </c>
      <c r="AX19" s="37">
        <f t="shared" ref="AX19" si="263">(+AW19-+AW18)*48</f>
        <v>0</v>
      </c>
      <c r="AY19" s="77">
        <v>352315</v>
      </c>
      <c r="AZ19" s="37">
        <f t="shared" ref="AZ19" si="264">(+AY19-+AY18)*48</f>
        <v>3792</v>
      </c>
      <c r="BA19" s="76">
        <v>161101</v>
      </c>
      <c r="BB19" s="37">
        <f t="shared" ref="BB19" si="265">(+BA19-+BA18)*48</f>
        <v>0</v>
      </c>
      <c r="BC19" s="77">
        <v>238218</v>
      </c>
      <c r="BD19" s="37">
        <f t="shared" ref="BD19" si="266">(+BC19-+BC18)*48</f>
        <v>2448</v>
      </c>
      <c r="BE19" s="77">
        <v>5350</v>
      </c>
      <c r="BF19" s="37">
        <f t="shared" ref="BF19" si="267">(+BE19-+BE18)*48</f>
        <v>0</v>
      </c>
      <c r="BH19" s="105">
        <f t="shared" si="0"/>
        <v>132631.19999999995</v>
      </c>
      <c r="BI19" s="105">
        <f t="shared" si="1"/>
        <v>72067.200000000012</v>
      </c>
    </row>
    <row r="20" spans="1:61" s="35" customFormat="1" ht="39.950000000000003" customHeight="1">
      <c r="A20" s="192">
        <f t="shared" si="33"/>
        <v>44754</v>
      </c>
      <c r="B20" s="34"/>
      <c r="C20" s="77">
        <v>7019782</v>
      </c>
      <c r="D20" s="37">
        <f t="shared" si="2"/>
        <v>91056</v>
      </c>
      <c r="E20" s="104">
        <f t="shared" si="3"/>
        <v>54633.599999999999</v>
      </c>
      <c r="F20" s="37">
        <f t="shared" si="4"/>
        <v>36422.400000000001</v>
      </c>
      <c r="G20" s="77">
        <v>297081</v>
      </c>
      <c r="H20" s="37">
        <f t="shared" ref="H20" si="268">(+G20-+G19)*48</f>
        <v>1632</v>
      </c>
      <c r="I20" s="77">
        <v>195170</v>
      </c>
      <c r="J20" s="37">
        <f t="shared" ref="J20" si="269">(+I20-+I19)*48</f>
        <v>7872</v>
      </c>
      <c r="K20" s="77">
        <v>270710</v>
      </c>
      <c r="L20" s="37">
        <f t="shared" ref="L20" si="270">(+K20-+K19)*48</f>
        <v>528</v>
      </c>
      <c r="M20" s="77">
        <v>25398</v>
      </c>
      <c r="N20" s="37">
        <f t="shared" ref="N20" si="271">(+M20-+M19)*48</f>
        <v>0</v>
      </c>
      <c r="O20" s="77">
        <v>340193</v>
      </c>
      <c r="P20" s="37">
        <f t="shared" ref="P20" si="272">(+O20-+O19)*48</f>
        <v>8448</v>
      </c>
      <c r="Q20" s="77">
        <v>481336</v>
      </c>
      <c r="R20" s="37">
        <f t="shared" ref="R20" si="273">(+Q20-+Q19)*48</f>
        <v>3552</v>
      </c>
      <c r="S20" s="77">
        <v>770927</v>
      </c>
      <c r="T20" s="37">
        <f t="shared" ref="T20" si="274">(+S20-+S19)*48</f>
        <v>6048</v>
      </c>
      <c r="U20" s="196">
        <v>5907.43</v>
      </c>
      <c r="V20" s="37">
        <f t="shared" ref="V20" si="275">(+U20-+U19)*48</f>
        <v>911.52000000003318</v>
      </c>
      <c r="W20" s="77">
        <v>85569</v>
      </c>
      <c r="X20" s="37">
        <f t="shared" ref="X20" si="276">(+W20-+W19)*48</f>
        <v>192</v>
      </c>
      <c r="Y20" s="77">
        <v>1523027</v>
      </c>
      <c r="Z20" s="37">
        <f t="shared" ref="Z20" si="277">(+Y20-+Y19)*48</f>
        <v>0</v>
      </c>
      <c r="AA20" s="77">
        <v>13886</v>
      </c>
      <c r="AB20" s="37">
        <f t="shared" ref="AB20" si="278">(+AA20-+AA19)*48</f>
        <v>0</v>
      </c>
      <c r="AC20" s="77">
        <v>508062</v>
      </c>
      <c r="AD20" s="37">
        <f t="shared" ref="AD20" si="279">(+AC20-+AC19)*48</f>
        <v>5184</v>
      </c>
      <c r="AE20" s="77">
        <v>577386</v>
      </c>
      <c r="AF20" s="37">
        <f t="shared" ref="AF20" si="280">(+AE20-+AE19)*48</f>
        <v>6864</v>
      </c>
      <c r="AG20" s="76">
        <v>49800</v>
      </c>
      <c r="AH20" s="37">
        <f t="shared" ref="AH20" si="281">(+AG20-+AG19)*48</f>
        <v>0</v>
      </c>
      <c r="AI20" s="77">
        <v>449870</v>
      </c>
      <c r="AJ20" s="37">
        <f t="shared" ref="AJ20" si="282">(+AI20-+AI19)*48</f>
        <v>5328</v>
      </c>
      <c r="AK20" s="77">
        <v>102770</v>
      </c>
      <c r="AL20" s="37">
        <f t="shared" ref="AL20" si="283">(+AK20-+AK19)*48</f>
        <v>0</v>
      </c>
      <c r="AM20" s="77">
        <v>613817</v>
      </c>
      <c r="AN20" s="37">
        <f t="shared" ref="AN20" si="284">(+AM20-+AM19)*48</f>
        <v>6720</v>
      </c>
      <c r="AO20" s="77">
        <v>3227</v>
      </c>
      <c r="AP20" s="37">
        <f t="shared" ref="AP20" si="285">(+AO20-+AO19)*48</f>
        <v>5424</v>
      </c>
      <c r="AQ20" s="77">
        <v>92355</v>
      </c>
      <c r="AR20" s="37">
        <f t="shared" ref="AR20" si="286">(+AQ20-+AQ19)*48</f>
        <v>0</v>
      </c>
      <c r="AS20" s="77">
        <v>2460</v>
      </c>
      <c r="AT20" s="37">
        <f t="shared" ref="AT20" si="287">(+AS20-+AS19)*48</f>
        <v>0</v>
      </c>
      <c r="AU20" s="77">
        <v>939</v>
      </c>
      <c r="AV20" s="37">
        <f t="shared" ref="AV20" si="288">(+AU20-+AU19)*48</f>
        <v>0</v>
      </c>
      <c r="AW20" s="77">
        <v>3110</v>
      </c>
      <c r="AX20" s="37">
        <f t="shared" ref="AX20" si="289">(+AW20-+AW19)*48</f>
        <v>0</v>
      </c>
      <c r="AY20" s="77">
        <v>352402</v>
      </c>
      <c r="AZ20" s="37">
        <f t="shared" ref="AZ20" si="290">(+AY20-+AY19)*48</f>
        <v>4176</v>
      </c>
      <c r="BA20" s="76">
        <v>161101</v>
      </c>
      <c r="BB20" s="37">
        <f t="shared" ref="BB20" si="291">(+BA20-+BA19)*48</f>
        <v>0</v>
      </c>
      <c r="BC20" s="77">
        <v>238272</v>
      </c>
      <c r="BD20" s="37">
        <f t="shared" ref="BD20" si="292">(+BC20-+BC19)*48</f>
        <v>2592</v>
      </c>
      <c r="BE20" s="77">
        <v>5350</v>
      </c>
      <c r="BF20" s="37">
        <f t="shared" ref="BF20" si="293">(+BE20-+BE19)*48</f>
        <v>0</v>
      </c>
      <c r="BH20" s="166">
        <f t="shared" si="0"/>
        <v>101193.12000000004</v>
      </c>
      <c r="BI20" s="166">
        <f t="shared" si="1"/>
        <v>55334.400000000001</v>
      </c>
    </row>
    <row r="21" spans="1:61" s="35" customFormat="1" ht="39.950000000000003" customHeight="1">
      <c r="A21" s="192">
        <f t="shared" si="33"/>
        <v>44755</v>
      </c>
      <c r="B21" s="34"/>
      <c r="C21" s="77">
        <v>7022028</v>
      </c>
      <c r="D21" s="37">
        <f t="shared" si="2"/>
        <v>107808</v>
      </c>
      <c r="E21" s="104">
        <f t="shared" si="3"/>
        <v>64684.799999999996</v>
      </c>
      <c r="F21" s="37">
        <f t="shared" si="4"/>
        <v>43123.200000000004</v>
      </c>
      <c r="G21" s="77">
        <v>297112</v>
      </c>
      <c r="H21" s="37">
        <f t="shared" ref="H21" si="294">(+G21-+G20)*48</f>
        <v>1488</v>
      </c>
      <c r="I21" s="77">
        <v>195334</v>
      </c>
      <c r="J21" s="37">
        <f t="shared" ref="J21" si="295">(+I21-+I20)*48</f>
        <v>7872</v>
      </c>
      <c r="K21" s="77">
        <v>270729</v>
      </c>
      <c r="L21" s="37">
        <f t="shared" ref="L21" si="296">(+K21-+K20)*48</f>
        <v>912</v>
      </c>
      <c r="M21" s="77">
        <v>25398</v>
      </c>
      <c r="N21" s="37">
        <f t="shared" ref="N21" si="297">(+M21-+M20)*48</f>
        <v>0</v>
      </c>
      <c r="O21" s="77">
        <v>340366</v>
      </c>
      <c r="P21" s="37">
        <f t="shared" ref="P21" si="298">(+O21-+O20)*48</f>
        <v>8304</v>
      </c>
      <c r="Q21" s="77">
        <v>481413</v>
      </c>
      <c r="R21" s="37">
        <f t="shared" ref="R21" si="299">(+Q21-+Q20)*48</f>
        <v>3696</v>
      </c>
      <c r="S21" s="77">
        <v>771062</v>
      </c>
      <c r="T21" s="37">
        <f t="shared" ref="T21" si="300">(+S21-+S20)*48</f>
        <v>6480</v>
      </c>
      <c r="U21" s="196">
        <v>5925.14</v>
      </c>
      <c r="V21" s="37">
        <f t="shared" ref="V21" si="301">(+U21-+U20)*48</f>
        <v>850.08000000000175</v>
      </c>
      <c r="W21" s="77">
        <v>85585</v>
      </c>
      <c r="X21" s="37">
        <f t="shared" ref="X21" si="302">(+W21-+W20)*48</f>
        <v>768</v>
      </c>
      <c r="Y21" s="77">
        <v>1523027</v>
      </c>
      <c r="Z21" s="37">
        <f t="shared" ref="Z21" si="303">(+Y21-+Y20)*48</f>
        <v>0</v>
      </c>
      <c r="AA21" s="77">
        <v>13886</v>
      </c>
      <c r="AB21" s="37">
        <f t="shared" ref="AB21" si="304">(+AA21-+AA20)*48</f>
        <v>0</v>
      </c>
      <c r="AC21" s="76">
        <v>508180</v>
      </c>
      <c r="AD21" s="37">
        <f t="shared" ref="AD21" si="305">(+AC21-+AC20)*48</f>
        <v>5664</v>
      </c>
      <c r="AE21" s="76">
        <v>577526</v>
      </c>
      <c r="AF21" s="37">
        <f t="shared" ref="AF21" si="306">(+AE21-+AE20)*48</f>
        <v>6720</v>
      </c>
      <c r="AG21" s="76">
        <v>49800</v>
      </c>
      <c r="AH21" s="37">
        <f t="shared" ref="AH21" si="307">(+AG21-+AG20)*48</f>
        <v>0</v>
      </c>
      <c r="AI21" s="76">
        <v>449982</v>
      </c>
      <c r="AJ21" s="37">
        <f t="shared" ref="AJ21" si="308">(+AI21-+AI20)*48</f>
        <v>5376</v>
      </c>
      <c r="AK21" s="77">
        <v>102770</v>
      </c>
      <c r="AL21" s="37">
        <f t="shared" ref="AL21" si="309">(+AK21-+AK20)*48</f>
        <v>0</v>
      </c>
      <c r="AM21" s="77">
        <v>613958</v>
      </c>
      <c r="AN21" s="37">
        <f t="shared" ref="AN21" si="310">(+AM21-+AM20)*48</f>
        <v>6768</v>
      </c>
      <c r="AO21" s="77">
        <v>3351</v>
      </c>
      <c r="AP21" s="37">
        <f t="shared" ref="AP21" si="311">(+AO21-+AO20)*48</f>
        <v>5952</v>
      </c>
      <c r="AQ21" s="77">
        <v>92355</v>
      </c>
      <c r="AR21" s="37">
        <f t="shared" ref="AR21" si="312">(+AQ21-+AQ20)*48</f>
        <v>0</v>
      </c>
      <c r="AS21" s="77">
        <v>2460</v>
      </c>
      <c r="AT21" s="37">
        <f t="shared" ref="AT21" si="313">(+AS21-+AS20)*48</f>
        <v>0</v>
      </c>
      <c r="AU21" s="77">
        <v>939</v>
      </c>
      <c r="AV21" s="37">
        <f t="shared" ref="AV21" si="314">(+AU21-+AU20)*48</f>
        <v>0</v>
      </c>
      <c r="AW21" s="77">
        <v>3110</v>
      </c>
      <c r="AX21" s="37">
        <f t="shared" ref="AX21" si="315">(+AW21-+AW20)*48</f>
        <v>0</v>
      </c>
      <c r="AY21" s="77">
        <v>352491</v>
      </c>
      <c r="AZ21" s="37">
        <f t="shared" ref="AZ21" si="316">(+AY21-+AY20)*48</f>
        <v>4272</v>
      </c>
      <c r="BA21" s="76">
        <v>161101</v>
      </c>
      <c r="BB21" s="37">
        <f t="shared" ref="BB21" si="317">(+BA21-+BA20)*48</f>
        <v>0</v>
      </c>
      <c r="BC21" s="77">
        <v>238326</v>
      </c>
      <c r="BD21" s="37">
        <f t="shared" ref="BD21" si="318">(+BC21-+BC20)*48</f>
        <v>2592</v>
      </c>
      <c r="BE21" s="77">
        <v>5350</v>
      </c>
      <c r="BF21" s="37">
        <f t="shared" ref="BF21" si="319">(+BE21-+BE20)*48</f>
        <v>0</v>
      </c>
      <c r="BH21" s="166">
        <f t="shared" si="0"/>
        <v>112814.87999999999</v>
      </c>
      <c r="BI21" s="166">
        <f t="shared" si="1"/>
        <v>62707.200000000004</v>
      </c>
    </row>
    <row r="22" spans="1:61" s="35" customFormat="1" ht="39.950000000000003" customHeight="1">
      <c r="A22" s="192">
        <f t="shared" si="33"/>
        <v>44756</v>
      </c>
      <c r="B22" s="34"/>
      <c r="C22" s="77">
        <v>7024113</v>
      </c>
      <c r="D22" s="37">
        <f t="shared" si="2"/>
        <v>100080</v>
      </c>
      <c r="E22" s="104">
        <f t="shared" si="3"/>
        <v>60048</v>
      </c>
      <c r="F22" s="37">
        <f t="shared" si="4"/>
        <v>40032</v>
      </c>
      <c r="G22" s="77">
        <v>297143</v>
      </c>
      <c r="H22" s="37">
        <f t="shared" ref="H22" si="320">(+G22-+G21)*48</f>
        <v>1488</v>
      </c>
      <c r="I22" s="77">
        <v>195504</v>
      </c>
      <c r="J22" s="37">
        <f t="shared" ref="J22" si="321">(+I22-+I21)*48</f>
        <v>8160</v>
      </c>
      <c r="K22" s="77">
        <v>270762</v>
      </c>
      <c r="L22" s="37">
        <f t="shared" ref="L22" si="322">(+K22-+K21)*48</f>
        <v>1584</v>
      </c>
      <c r="M22" s="77">
        <v>25398</v>
      </c>
      <c r="N22" s="37">
        <f t="shared" ref="N22" si="323">(+M22-+M21)*48</f>
        <v>0</v>
      </c>
      <c r="O22" s="77">
        <v>340549</v>
      </c>
      <c r="P22" s="37">
        <f t="shared" ref="P22" si="324">(+O22-+O21)*48</f>
        <v>8784</v>
      </c>
      <c r="Q22" s="77">
        <v>481493</v>
      </c>
      <c r="R22" s="37">
        <f t="shared" ref="R22" si="325">(+Q22-+Q21)*48</f>
        <v>3840</v>
      </c>
      <c r="S22" s="77">
        <v>771186</v>
      </c>
      <c r="T22" s="37">
        <f t="shared" ref="T22" si="326">(+S22-+S21)*48</f>
        <v>5952</v>
      </c>
      <c r="U22" s="196">
        <v>5943.3770000000004</v>
      </c>
      <c r="V22" s="37">
        <f t="shared" ref="V22" si="327">(+U22-+U21)*48</f>
        <v>875.37600000000384</v>
      </c>
      <c r="W22" s="77">
        <v>85599</v>
      </c>
      <c r="X22" s="37">
        <f t="shared" ref="X22" si="328">(+W22-+W21)*48</f>
        <v>672</v>
      </c>
      <c r="Y22" s="77">
        <v>1523027</v>
      </c>
      <c r="Z22" s="37">
        <f t="shared" ref="Z22" si="329">(+Y22-+Y21)*48</f>
        <v>0</v>
      </c>
      <c r="AA22" s="77">
        <v>13886</v>
      </c>
      <c r="AB22" s="37">
        <f t="shared" ref="AB22" si="330">(+AA22-+AA21)*48</f>
        <v>0</v>
      </c>
      <c r="AC22" s="77">
        <v>508298</v>
      </c>
      <c r="AD22" s="37">
        <f t="shared" ref="AD22" si="331">(+AC22-+AC21)*48</f>
        <v>5664</v>
      </c>
      <c r="AE22" s="77">
        <v>577664</v>
      </c>
      <c r="AF22" s="37">
        <f t="shared" ref="AF22" si="332">(+AE22-+AE21)*48</f>
        <v>6624</v>
      </c>
      <c r="AG22" s="76">
        <v>49800</v>
      </c>
      <c r="AH22" s="37">
        <f t="shared" ref="AH22" si="333">(+AG22-+AG21)*48</f>
        <v>0</v>
      </c>
      <c r="AI22" s="77">
        <v>450084</v>
      </c>
      <c r="AJ22" s="37">
        <f t="shared" ref="AJ22" si="334">(+AI22-+AI21)*48</f>
        <v>4896</v>
      </c>
      <c r="AK22" s="77">
        <v>102770</v>
      </c>
      <c r="AL22" s="37">
        <f t="shared" ref="AL22" si="335">(+AK22-+AK21)*48</f>
        <v>0</v>
      </c>
      <c r="AM22" s="76">
        <v>614094</v>
      </c>
      <c r="AN22" s="37">
        <f t="shared" ref="AN22" si="336">(+AM22-+AM21)*48</f>
        <v>6528</v>
      </c>
      <c r="AO22" s="76">
        <v>3460</v>
      </c>
      <c r="AP22" s="37">
        <f t="shared" ref="AP22" si="337">(+AO22-+AO21)*48</f>
        <v>5232</v>
      </c>
      <c r="AQ22" s="77">
        <v>92355</v>
      </c>
      <c r="AR22" s="37">
        <f t="shared" ref="AR22" si="338">(+AQ22-+AQ21)*48</f>
        <v>0</v>
      </c>
      <c r="AS22" s="77">
        <v>2460</v>
      </c>
      <c r="AT22" s="37">
        <f t="shared" ref="AT22" si="339">(+AS22-+AS21)*48</f>
        <v>0</v>
      </c>
      <c r="AU22" s="77">
        <v>939</v>
      </c>
      <c r="AV22" s="37">
        <f t="shared" ref="AV22" si="340">(+AU22-+AU21)*48</f>
        <v>0</v>
      </c>
      <c r="AW22" s="77">
        <v>3110</v>
      </c>
      <c r="AX22" s="37">
        <f t="shared" ref="AX22" si="341">(+AW22-+AW21)*48</f>
        <v>0</v>
      </c>
      <c r="AY22" s="77">
        <v>352576</v>
      </c>
      <c r="AZ22" s="37">
        <f t="shared" ref="AZ22" si="342">(+AY22-+AY21)*48</f>
        <v>4080</v>
      </c>
      <c r="BA22" s="76">
        <v>161101</v>
      </c>
      <c r="BB22" s="37">
        <f t="shared" ref="BB22" si="343">(+BA22-+BA21)*48</f>
        <v>0</v>
      </c>
      <c r="BC22" s="77">
        <v>238873</v>
      </c>
      <c r="BD22" s="37">
        <f t="shared" ref="BD22" si="344">(+BC22-+BC21)*48</f>
        <v>26256</v>
      </c>
      <c r="BE22" s="77">
        <v>5350</v>
      </c>
      <c r="BF22" s="37">
        <f t="shared" ref="BF22" si="345">(+BE22-+BE21)*48</f>
        <v>0</v>
      </c>
      <c r="BH22" s="166">
        <f t="shared" si="0"/>
        <v>108587.376</v>
      </c>
      <c r="BI22" s="166">
        <f t="shared" si="1"/>
        <v>82128</v>
      </c>
    </row>
    <row r="23" spans="1:61" s="35" customFormat="1" ht="39.950000000000003" customHeight="1">
      <c r="A23" s="192">
        <f t="shared" si="33"/>
        <v>44757</v>
      </c>
      <c r="B23" s="34"/>
      <c r="C23" s="77">
        <v>7026502</v>
      </c>
      <c r="D23" s="37">
        <f t="shared" si="2"/>
        <v>114672</v>
      </c>
      <c r="E23" s="104">
        <f t="shared" si="3"/>
        <v>68803.199999999997</v>
      </c>
      <c r="F23" s="37">
        <f t="shared" si="4"/>
        <v>45868.800000000003</v>
      </c>
      <c r="G23" s="77">
        <v>297181</v>
      </c>
      <c r="H23" s="37">
        <f t="shared" ref="H23" si="346">(+G23-+G22)*48</f>
        <v>1824</v>
      </c>
      <c r="I23" s="77">
        <v>195676</v>
      </c>
      <c r="J23" s="37">
        <f t="shared" ref="J23" si="347">(+I23-+I22)*48</f>
        <v>8256</v>
      </c>
      <c r="K23" s="77">
        <v>270788</v>
      </c>
      <c r="L23" s="37">
        <f t="shared" ref="L23" si="348">(+K23-+K22)*48</f>
        <v>1248</v>
      </c>
      <c r="M23" s="77">
        <v>25398</v>
      </c>
      <c r="N23" s="37">
        <f t="shared" ref="N23" si="349">(+M23-+M22)*48</f>
        <v>0</v>
      </c>
      <c r="O23" s="77">
        <v>340731</v>
      </c>
      <c r="P23" s="37">
        <f t="shared" ref="P23" si="350">(+O23-+O22)*48</f>
        <v>8736</v>
      </c>
      <c r="Q23" s="77">
        <v>481578</v>
      </c>
      <c r="R23" s="37">
        <f t="shared" ref="R23" si="351">(+Q23-+Q22)*48</f>
        <v>4080</v>
      </c>
      <c r="S23" s="77">
        <v>771309</v>
      </c>
      <c r="T23" s="37">
        <f t="shared" ref="T23" si="352">(+S23-+S22)*48</f>
        <v>5904</v>
      </c>
      <c r="U23" s="196">
        <v>5963.56</v>
      </c>
      <c r="V23" s="37">
        <f t="shared" ref="V23" si="353">(+U23-+U22)*48</f>
        <v>968.78399999999965</v>
      </c>
      <c r="W23" s="77">
        <v>85620</v>
      </c>
      <c r="X23" s="37">
        <f t="shared" ref="X23" si="354">(+W23-+W22)*48</f>
        <v>1008</v>
      </c>
      <c r="Y23" s="77">
        <v>1523027</v>
      </c>
      <c r="Z23" s="37">
        <f t="shared" ref="Z23" si="355">(+Y23-+Y22)*48</f>
        <v>0</v>
      </c>
      <c r="AA23" s="77">
        <v>13886</v>
      </c>
      <c r="AB23" s="37">
        <f t="shared" ref="AB23" si="356">(+AA23-+AA22)*48</f>
        <v>0</v>
      </c>
      <c r="AC23" s="77">
        <v>508422</v>
      </c>
      <c r="AD23" s="37">
        <f t="shared" ref="AD23" si="357">(+AC23-+AC22)*48</f>
        <v>5952</v>
      </c>
      <c r="AE23" s="77">
        <v>577808</v>
      </c>
      <c r="AF23" s="37">
        <f t="shared" ref="AF23" si="358">(+AE23-+AE22)*48</f>
        <v>6912</v>
      </c>
      <c r="AG23" s="76">
        <v>49800</v>
      </c>
      <c r="AH23" s="37">
        <f t="shared" ref="AH23" si="359">(+AG23-+AG22)*48</f>
        <v>0</v>
      </c>
      <c r="AI23" s="77">
        <v>450195</v>
      </c>
      <c r="AJ23" s="37">
        <f t="shared" ref="AJ23" si="360">(+AI23-+AI22)*48</f>
        <v>5328</v>
      </c>
      <c r="AK23" s="77">
        <v>102770</v>
      </c>
      <c r="AL23" s="37">
        <f t="shared" ref="AL23" si="361">(+AK23-+AK22)*48</f>
        <v>0</v>
      </c>
      <c r="AM23" s="77">
        <v>614232</v>
      </c>
      <c r="AN23" s="37">
        <f t="shared" ref="AN23" si="362">(+AM23-+AM22)*48</f>
        <v>6624</v>
      </c>
      <c r="AO23" s="77">
        <v>3552</v>
      </c>
      <c r="AP23" s="37">
        <f t="shared" ref="AP23" si="363">(+AO23-+AO22)*48</f>
        <v>4416</v>
      </c>
      <c r="AQ23" s="77">
        <v>92355</v>
      </c>
      <c r="AR23" s="37">
        <f t="shared" ref="AR23" si="364">(+AQ23-+AQ22)*48</f>
        <v>0</v>
      </c>
      <c r="AS23" s="77">
        <v>2460</v>
      </c>
      <c r="AT23" s="37">
        <f t="shared" ref="AT23" si="365">(+AS23-+AS22)*48</f>
        <v>0</v>
      </c>
      <c r="AU23" s="77">
        <v>939</v>
      </c>
      <c r="AV23" s="37">
        <f t="shared" ref="AV23" si="366">(+AU23-+AU22)*48</f>
        <v>0</v>
      </c>
      <c r="AW23" s="77">
        <v>3110</v>
      </c>
      <c r="AX23" s="37">
        <f t="shared" ref="AX23" si="367">(+AW23-+AW22)*48</f>
        <v>0</v>
      </c>
      <c r="AY23" s="77">
        <v>352665</v>
      </c>
      <c r="AZ23" s="37">
        <f t="shared" ref="AZ23" si="368">(+AY23-+AY22)*48</f>
        <v>4272</v>
      </c>
      <c r="BA23" s="76">
        <v>161101</v>
      </c>
      <c r="BB23" s="37">
        <f t="shared" ref="BB23" si="369">(+BA23-+BA22)*48</f>
        <v>0</v>
      </c>
      <c r="BC23" s="77">
        <v>238435</v>
      </c>
      <c r="BD23" s="37">
        <f t="shared" ref="BD23" si="370">(+BC23-+BC22)*48</f>
        <v>-21024</v>
      </c>
      <c r="BE23" s="77">
        <v>5350</v>
      </c>
      <c r="BF23" s="37">
        <f t="shared" ref="BF23" si="371">(+BE23-+BE22)*48</f>
        <v>0</v>
      </c>
      <c r="BH23" s="166">
        <f t="shared" si="0"/>
        <v>119019.984</v>
      </c>
      <c r="BI23" s="166">
        <f t="shared" si="1"/>
        <v>40156.800000000003</v>
      </c>
    </row>
    <row r="24" spans="1:61" s="35" customFormat="1" ht="39.950000000000003" customHeight="1">
      <c r="A24" s="192">
        <f t="shared" si="33"/>
        <v>44758</v>
      </c>
      <c r="B24" s="34"/>
      <c r="C24" s="77">
        <v>7028805</v>
      </c>
      <c r="D24" s="37">
        <f t="shared" si="2"/>
        <v>110544</v>
      </c>
      <c r="E24" s="104">
        <f t="shared" si="3"/>
        <v>66326.399999999994</v>
      </c>
      <c r="F24" s="37">
        <f t="shared" si="4"/>
        <v>44217.600000000006</v>
      </c>
      <c r="G24" s="77">
        <v>297239</v>
      </c>
      <c r="H24" s="37">
        <f t="shared" ref="H24" si="372">(+G24-+G23)*48</f>
        <v>2784</v>
      </c>
      <c r="I24" s="77">
        <v>195842</v>
      </c>
      <c r="J24" s="37">
        <f t="shared" ref="J24" si="373">(+I24-+I23)*48</f>
        <v>7968</v>
      </c>
      <c r="K24" s="77">
        <v>270871</v>
      </c>
      <c r="L24" s="37">
        <f t="shared" ref="L24" si="374">(+K24-+K23)*48</f>
        <v>3984</v>
      </c>
      <c r="M24" s="77">
        <v>25402</v>
      </c>
      <c r="N24" s="37">
        <f t="shared" ref="N24" si="375">(+M24-+M23)*48</f>
        <v>192</v>
      </c>
      <c r="O24" s="77">
        <v>340923</v>
      </c>
      <c r="P24" s="37">
        <f t="shared" ref="P24" si="376">(+O24-+O23)*48</f>
        <v>9216</v>
      </c>
      <c r="Q24" s="77">
        <v>481688</v>
      </c>
      <c r="R24" s="37">
        <f t="shared" ref="R24" si="377">(+Q24-+Q23)*48</f>
        <v>5280</v>
      </c>
      <c r="S24" s="77">
        <v>771433</v>
      </c>
      <c r="T24" s="37">
        <f t="shared" ref="T24" si="378">(+S24-+S23)*48</f>
        <v>5952</v>
      </c>
      <c r="U24" s="196">
        <v>5982.4059999999999</v>
      </c>
      <c r="V24" s="37">
        <f t="shared" ref="V24" si="379">(+U24-+U23)*48</f>
        <v>904.60799999997835</v>
      </c>
      <c r="W24" s="77">
        <v>85647</v>
      </c>
      <c r="X24" s="37">
        <f t="shared" ref="X24" si="380">(+W24-+W23)*48</f>
        <v>1296</v>
      </c>
      <c r="Y24" s="77">
        <v>1523027</v>
      </c>
      <c r="Z24" s="37">
        <f t="shared" ref="Z24" si="381">(+Y24-+Y23)*48</f>
        <v>0</v>
      </c>
      <c r="AA24" s="77">
        <v>13886</v>
      </c>
      <c r="AB24" s="37">
        <f t="shared" ref="AB24" si="382">(+AA24-+AA23)*48</f>
        <v>0</v>
      </c>
      <c r="AC24" s="77">
        <v>508536</v>
      </c>
      <c r="AD24" s="37">
        <f t="shared" ref="AD24" si="383">(+AC24-+AC23)*48</f>
        <v>5472</v>
      </c>
      <c r="AE24" s="77">
        <v>577941</v>
      </c>
      <c r="AF24" s="37">
        <f t="shared" ref="AF24" si="384">(+AE24-+AE23)*48</f>
        <v>6384</v>
      </c>
      <c r="AG24" s="76">
        <v>49800</v>
      </c>
      <c r="AH24" s="37">
        <f t="shared" ref="AH24" si="385">(+AG24-+AG23)*48</f>
        <v>0</v>
      </c>
      <c r="AI24" s="77">
        <v>450287</v>
      </c>
      <c r="AJ24" s="37">
        <f t="shared" ref="AJ24" si="386">(+AI24-+AI23)*48</f>
        <v>4416</v>
      </c>
      <c r="AK24" s="77">
        <v>102770</v>
      </c>
      <c r="AL24" s="37">
        <f t="shared" ref="AL24" si="387">(+AK24-+AK23)*48</f>
        <v>0</v>
      </c>
      <c r="AM24" s="77">
        <v>614576</v>
      </c>
      <c r="AN24" s="37">
        <f t="shared" ref="AN24" si="388">(+AM24-+AM23)*48</f>
        <v>16512</v>
      </c>
      <c r="AO24" s="77">
        <v>3653</v>
      </c>
      <c r="AP24" s="37">
        <f t="shared" ref="AP24" si="389">(+AO24-+AO23)*48</f>
        <v>4848</v>
      </c>
      <c r="AQ24" s="77">
        <v>92355</v>
      </c>
      <c r="AR24" s="37">
        <f t="shared" ref="AR24" si="390">(+AQ24-+AQ23)*48</f>
        <v>0</v>
      </c>
      <c r="AS24" s="77">
        <v>2460</v>
      </c>
      <c r="AT24" s="37">
        <f t="shared" ref="AT24" si="391">(+AS24-+AS23)*48</f>
        <v>0</v>
      </c>
      <c r="AU24" s="77">
        <v>939</v>
      </c>
      <c r="AV24" s="37">
        <f t="shared" ref="AV24" si="392">(+AU24-+AU23)*48</f>
        <v>0</v>
      </c>
      <c r="AW24" s="77">
        <v>3110</v>
      </c>
      <c r="AX24" s="37">
        <f t="shared" ref="AX24" si="393">(+AW24-+AW23)*48</f>
        <v>0</v>
      </c>
      <c r="AY24" s="77">
        <v>352748</v>
      </c>
      <c r="AZ24" s="37">
        <f t="shared" ref="AZ24" si="394">(+AY24-+AY23)*48</f>
        <v>3984</v>
      </c>
      <c r="BA24" s="76">
        <v>161101</v>
      </c>
      <c r="BB24" s="37">
        <f t="shared" ref="BB24" si="395">(+BA24-+BA23)*48</f>
        <v>0</v>
      </c>
      <c r="BC24" s="77">
        <v>238489</v>
      </c>
      <c r="BD24" s="37">
        <f t="shared" ref="BD24" si="396">(+BC24-+BC23)*48</f>
        <v>2592</v>
      </c>
      <c r="BE24" s="77">
        <v>5350</v>
      </c>
      <c r="BF24" s="37">
        <f t="shared" ref="BF24" si="397">(+BE24-+BE23)*48</f>
        <v>0</v>
      </c>
      <c r="BH24" s="105">
        <f t="shared" si="0"/>
        <v>120175.00799999997</v>
      </c>
      <c r="BI24" s="105">
        <f t="shared" si="1"/>
        <v>72153.600000000006</v>
      </c>
    </row>
    <row r="25" spans="1:61" s="35" customFormat="1" ht="39.950000000000003" customHeight="1">
      <c r="A25" s="192">
        <f t="shared" si="33"/>
        <v>44759</v>
      </c>
      <c r="B25" s="34"/>
      <c r="C25" s="77">
        <v>7031139</v>
      </c>
      <c r="D25" s="37">
        <f t="shared" si="2"/>
        <v>112032</v>
      </c>
      <c r="E25" s="104">
        <f t="shared" si="3"/>
        <v>67219.199999999997</v>
      </c>
      <c r="F25" s="37">
        <f t="shared" si="4"/>
        <v>44812.800000000003</v>
      </c>
      <c r="G25" s="77">
        <v>297294</v>
      </c>
      <c r="H25" s="37">
        <f t="shared" ref="H25" si="398">(+G25-+G24)*48</f>
        <v>2640</v>
      </c>
      <c r="I25" s="77">
        <v>196011</v>
      </c>
      <c r="J25" s="37">
        <f t="shared" ref="J25" si="399">(+I25-+I24)*48</f>
        <v>8112</v>
      </c>
      <c r="K25" s="77">
        <v>270970</v>
      </c>
      <c r="L25" s="37">
        <f t="shared" ref="L25" si="400">(+K25-+K24)*48</f>
        <v>4752</v>
      </c>
      <c r="M25" s="77">
        <v>25409</v>
      </c>
      <c r="N25" s="37">
        <f t="shared" ref="N25" si="401">(+M25-+M24)*48</f>
        <v>336</v>
      </c>
      <c r="O25" s="77">
        <v>341129</v>
      </c>
      <c r="P25" s="37">
        <f t="shared" ref="P25" si="402">(+O25-+O24)*48</f>
        <v>9888</v>
      </c>
      <c r="Q25" s="77">
        <v>481789</v>
      </c>
      <c r="R25" s="37">
        <f t="shared" ref="R25" si="403">(+Q25-+Q24)*48</f>
        <v>4848</v>
      </c>
      <c r="S25" s="77">
        <v>771582</v>
      </c>
      <c r="T25" s="37">
        <f t="shared" ref="T25" si="404">(+S25-+S24)*48</f>
        <v>7152</v>
      </c>
      <c r="U25" s="196">
        <v>5999.89</v>
      </c>
      <c r="V25" s="37">
        <f t="shared" ref="V25" si="405">(+U25-+U24)*48</f>
        <v>839.23200000001816</v>
      </c>
      <c r="W25" s="77">
        <v>85664</v>
      </c>
      <c r="X25" s="37">
        <f t="shared" ref="X25" si="406">(+W25-+W24)*48</f>
        <v>816</v>
      </c>
      <c r="Y25" s="77">
        <v>1523027</v>
      </c>
      <c r="Z25" s="37">
        <f t="shared" ref="Z25" si="407">(+Y25-+Y24)*48</f>
        <v>0</v>
      </c>
      <c r="AA25" s="77">
        <v>13886</v>
      </c>
      <c r="AB25" s="37">
        <f t="shared" ref="AB25" si="408">(+AA25-+AA24)*48</f>
        <v>0</v>
      </c>
      <c r="AC25" s="77">
        <v>508654</v>
      </c>
      <c r="AD25" s="37">
        <f t="shared" ref="AD25" si="409">(+AC25-+AC24)*48</f>
        <v>5664</v>
      </c>
      <c r="AE25" s="77">
        <v>578081</v>
      </c>
      <c r="AF25" s="37">
        <f t="shared" ref="AF25" si="410">(+AE25-+AE24)*48</f>
        <v>6720</v>
      </c>
      <c r="AG25" s="76">
        <v>49800</v>
      </c>
      <c r="AH25" s="37">
        <f t="shared" ref="AH25" si="411">(+AG25-+AG24)*48</f>
        <v>0</v>
      </c>
      <c r="AI25" s="77">
        <v>450390</v>
      </c>
      <c r="AJ25" s="37">
        <f t="shared" ref="AJ25" si="412">(+AI25-+AI24)*48</f>
        <v>4944</v>
      </c>
      <c r="AK25" s="77">
        <v>102770</v>
      </c>
      <c r="AL25" s="37">
        <f t="shared" ref="AL25" si="413">(+AK25-+AK24)*48</f>
        <v>0</v>
      </c>
      <c r="AM25" s="77">
        <v>614516</v>
      </c>
      <c r="AN25" s="37">
        <f t="shared" ref="AN25" si="414">(+AM25-+AM24)*48</f>
        <v>-2880</v>
      </c>
      <c r="AO25" s="77">
        <v>3753</v>
      </c>
      <c r="AP25" s="37">
        <f t="shared" ref="AP25" si="415">(+AO25-+AO24)*48</f>
        <v>4800</v>
      </c>
      <c r="AQ25" s="77">
        <v>92355</v>
      </c>
      <c r="AR25" s="37">
        <f t="shared" ref="AR25" si="416">(+AQ25-+AQ24)*48</f>
        <v>0</v>
      </c>
      <c r="AS25" s="77">
        <v>2460</v>
      </c>
      <c r="AT25" s="37">
        <f t="shared" ref="AT25" si="417">(+AS25-+AS24)*48</f>
        <v>0</v>
      </c>
      <c r="AU25" s="77">
        <v>939</v>
      </c>
      <c r="AV25" s="37">
        <f t="shared" ref="AV25" si="418">(+AU25-+AU24)*48</f>
        <v>0</v>
      </c>
      <c r="AW25" s="77">
        <v>3110</v>
      </c>
      <c r="AX25" s="37">
        <f t="shared" ref="AX25" si="419">(+AW25-+AW24)*48</f>
        <v>0</v>
      </c>
      <c r="AY25" s="77">
        <v>352859</v>
      </c>
      <c r="AZ25" s="37">
        <f t="shared" ref="AZ25" si="420">(+AY25-+AY24)*48</f>
        <v>5328</v>
      </c>
      <c r="BA25" s="76">
        <v>161101</v>
      </c>
      <c r="BB25" s="37">
        <f t="shared" ref="BB25" si="421">(+BA25-+BA24)*48</f>
        <v>0</v>
      </c>
      <c r="BC25" s="77">
        <v>238544</v>
      </c>
      <c r="BD25" s="37">
        <f t="shared" ref="BD25" si="422">(+BC25-+BC24)*48</f>
        <v>2640</v>
      </c>
      <c r="BE25" s="77">
        <v>5350</v>
      </c>
      <c r="BF25" s="37">
        <f t="shared" ref="BF25" si="423">(+BE25-+BE24)*48</f>
        <v>0</v>
      </c>
      <c r="BH25" s="105">
        <f t="shared" si="0"/>
        <v>123930.43200000002</v>
      </c>
      <c r="BI25" s="105">
        <f t="shared" si="1"/>
        <v>54700.800000000003</v>
      </c>
    </row>
    <row r="26" spans="1:61" s="35" customFormat="1" ht="39.950000000000003" customHeight="1">
      <c r="A26" s="192">
        <f t="shared" si="33"/>
        <v>44760</v>
      </c>
      <c r="B26" s="34"/>
      <c r="C26" s="77">
        <v>7033455</v>
      </c>
      <c r="D26" s="37">
        <f t="shared" si="2"/>
        <v>111168</v>
      </c>
      <c r="E26" s="104">
        <f t="shared" si="3"/>
        <v>66700.800000000003</v>
      </c>
      <c r="F26" s="37">
        <f t="shared" si="4"/>
        <v>44467.200000000004</v>
      </c>
      <c r="G26" s="77">
        <v>297327</v>
      </c>
      <c r="H26" s="37">
        <f t="shared" ref="H26" si="424">(+G26-+G25)*48</f>
        <v>1584</v>
      </c>
      <c r="I26" s="77">
        <v>196182</v>
      </c>
      <c r="J26" s="37">
        <f t="shared" ref="J26" si="425">(+I26-+I25)*48</f>
        <v>8208</v>
      </c>
      <c r="K26" s="77">
        <v>270988</v>
      </c>
      <c r="L26" s="37">
        <f t="shared" ref="L26" si="426">(+K26-+K25)*48</f>
        <v>864</v>
      </c>
      <c r="M26" s="77">
        <v>25413</v>
      </c>
      <c r="N26" s="37">
        <f t="shared" ref="N26" si="427">(+M26-+M25)*48</f>
        <v>192</v>
      </c>
      <c r="O26" s="77">
        <v>341328</v>
      </c>
      <c r="P26" s="37">
        <f t="shared" ref="P26" si="428">(+O26-+O25)*48</f>
        <v>9552</v>
      </c>
      <c r="Q26" s="77">
        <v>481875</v>
      </c>
      <c r="R26" s="37">
        <f t="shared" ref="R26" si="429">(+Q26-+Q25)*48</f>
        <v>4128</v>
      </c>
      <c r="S26" s="77">
        <v>771710</v>
      </c>
      <c r="T26" s="37">
        <f t="shared" ref="T26" si="430">(+S26-+S25)*48</f>
        <v>6144</v>
      </c>
      <c r="U26" s="196">
        <v>6017.54</v>
      </c>
      <c r="V26" s="37">
        <f t="shared" ref="V26" si="431">(+U26-+U25)*48</f>
        <v>847.19999999998254</v>
      </c>
      <c r="W26" s="77">
        <v>85678</v>
      </c>
      <c r="X26" s="37">
        <f t="shared" ref="X26" si="432">(+W26-+W25)*48</f>
        <v>672</v>
      </c>
      <c r="Y26" s="77">
        <v>1523027</v>
      </c>
      <c r="Z26" s="37">
        <f t="shared" ref="Z26" si="433">(+Y26-+Y25)*48</f>
        <v>0</v>
      </c>
      <c r="AA26" s="77">
        <v>13886</v>
      </c>
      <c r="AB26" s="37">
        <f t="shared" ref="AB26" si="434">(+AA26-+AA25)*48</f>
        <v>0</v>
      </c>
      <c r="AC26" s="77">
        <v>508773</v>
      </c>
      <c r="AD26" s="37">
        <f t="shared" ref="AD26" si="435">(+AC26-+AC25)*48</f>
        <v>5712</v>
      </c>
      <c r="AE26" s="77">
        <v>578222</v>
      </c>
      <c r="AF26" s="37">
        <f t="shared" ref="AF26" si="436">(+AE26-+AE25)*48</f>
        <v>6768</v>
      </c>
      <c r="AG26" s="76">
        <v>49800</v>
      </c>
      <c r="AH26" s="37">
        <f t="shared" ref="AH26" si="437">(+AG26-+AG25)*48</f>
        <v>0</v>
      </c>
      <c r="AI26" s="77">
        <v>450522</v>
      </c>
      <c r="AJ26" s="37">
        <f t="shared" ref="AJ26" si="438">(+AI26-+AI25)*48</f>
        <v>6336</v>
      </c>
      <c r="AK26" s="77">
        <v>102770</v>
      </c>
      <c r="AL26" s="37">
        <f t="shared" ref="AL26" si="439">(+AK26-+AK25)*48</f>
        <v>0</v>
      </c>
      <c r="AM26" s="77">
        <v>614661</v>
      </c>
      <c r="AN26" s="37">
        <f t="shared" ref="AN26" si="440">(+AM26-+AM25)*48</f>
        <v>6960</v>
      </c>
      <c r="AO26" s="77">
        <v>3856</v>
      </c>
      <c r="AP26" s="37">
        <f t="shared" ref="AP26" si="441">(+AO26-+AO25)*48</f>
        <v>4944</v>
      </c>
      <c r="AQ26" s="77">
        <v>92355</v>
      </c>
      <c r="AR26" s="37">
        <f t="shared" ref="AR26" si="442">(+AQ26-+AQ25)*48</f>
        <v>0</v>
      </c>
      <c r="AS26" s="77">
        <v>2460</v>
      </c>
      <c r="AT26" s="37">
        <f t="shared" ref="AT26" si="443">(+AS26-+AS25)*48</f>
        <v>0</v>
      </c>
      <c r="AU26" s="77">
        <v>939</v>
      </c>
      <c r="AV26" s="37">
        <f t="shared" ref="AV26" si="444">(+AU26-+AU25)*48</f>
        <v>0</v>
      </c>
      <c r="AW26" s="77">
        <v>3110</v>
      </c>
      <c r="AX26" s="37">
        <f t="shared" ref="AX26" si="445">(+AW26-+AW25)*48</f>
        <v>0</v>
      </c>
      <c r="AY26" s="77">
        <v>352978</v>
      </c>
      <c r="AZ26" s="37">
        <f t="shared" ref="AZ26" si="446">(+AY26-+AY25)*48</f>
        <v>5712</v>
      </c>
      <c r="BA26" s="76">
        <v>161101</v>
      </c>
      <c r="BB26" s="37">
        <f t="shared" ref="BB26" si="447">(+BA26-+BA25)*48</f>
        <v>0</v>
      </c>
      <c r="BC26" s="77">
        <v>238598</v>
      </c>
      <c r="BD26" s="37">
        <f t="shared" ref="BD26" si="448">(+BC26-+BC25)*48</f>
        <v>2592</v>
      </c>
      <c r="BE26" s="77">
        <v>5350</v>
      </c>
      <c r="BF26" s="37">
        <f t="shared" ref="BF26" si="449">(+BE26-+BE25)*48</f>
        <v>0</v>
      </c>
      <c r="BH26" s="105">
        <f t="shared" si="0"/>
        <v>117707.99999999999</v>
      </c>
      <c r="BI26" s="105">
        <f t="shared" si="1"/>
        <v>64675.200000000004</v>
      </c>
    </row>
    <row r="27" spans="1:61" s="35" customFormat="1" ht="39.950000000000003" customHeight="1">
      <c r="A27" s="192">
        <f t="shared" si="33"/>
        <v>44761</v>
      </c>
      <c r="B27" s="34"/>
      <c r="C27" s="77">
        <v>7035552</v>
      </c>
      <c r="D27" s="37">
        <f t="shared" si="2"/>
        <v>100656</v>
      </c>
      <c r="E27" s="104">
        <f t="shared" si="3"/>
        <v>60393.599999999999</v>
      </c>
      <c r="F27" s="37">
        <f t="shared" si="4"/>
        <v>40262.400000000001</v>
      </c>
      <c r="G27" s="77">
        <v>297359</v>
      </c>
      <c r="H27" s="37">
        <f t="shared" ref="H27" si="450">(+G27-+G26)*48</f>
        <v>1536</v>
      </c>
      <c r="I27" s="77">
        <v>196349</v>
      </c>
      <c r="J27" s="37">
        <f t="shared" ref="J27" si="451">(+I27-+I26)*48</f>
        <v>8016</v>
      </c>
      <c r="K27" s="77">
        <v>271004</v>
      </c>
      <c r="L27" s="37">
        <f t="shared" ref="L27" si="452">(+K27-+K26)*48</f>
        <v>768</v>
      </c>
      <c r="M27" s="77">
        <v>25413</v>
      </c>
      <c r="N27" s="37">
        <f t="shared" ref="N27" si="453">(+M27-+M26)*48</f>
        <v>0</v>
      </c>
      <c r="O27" s="77">
        <v>341511</v>
      </c>
      <c r="P27" s="37">
        <f t="shared" ref="P27" si="454">(+O27-+O26)*48</f>
        <v>8784</v>
      </c>
      <c r="Q27" s="77">
        <v>481951</v>
      </c>
      <c r="R27" s="37">
        <f t="shared" ref="R27" si="455">(+Q27-+Q26)*48</f>
        <v>3648</v>
      </c>
      <c r="S27" s="77">
        <v>771842</v>
      </c>
      <c r="T27" s="37">
        <f t="shared" ref="T27" si="456">(+S27-+S26)*48</f>
        <v>6336</v>
      </c>
      <c r="U27" s="196">
        <v>6043.35</v>
      </c>
      <c r="V27" s="37">
        <f t="shared" ref="V27" si="457">(+U27-+U26)*48</f>
        <v>1238.8800000000192</v>
      </c>
      <c r="W27" s="77">
        <v>85680</v>
      </c>
      <c r="X27" s="37">
        <f t="shared" ref="X27" si="458">(+W27-+W26)*48</f>
        <v>96</v>
      </c>
      <c r="Y27" s="77">
        <v>1523027</v>
      </c>
      <c r="Z27" s="37">
        <f t="shared" ref="Z27" si="459">(+Y27-+Y26)*48</f>
        <v>0</v>
      </c>
      <c r="AA27" s="77">
        <v>13886</v>
      </c>
      <c r="AB27" s="37">
        <f t="shared" ref="AB27" si="460">(+AA27-+AA26)*48</f>
        <v>0</v>
      </c>
      <c r="AC27" s="77">
        <v>508892</v>
      </c>
      <c r="AD27" s="37">
        <f t="shared" ref="AD27" si="461">(+AC27-+AC26)*48</f>
        <v>5712</v>
      </c>
      <c r="AE27" s="77">
        <v>578364</v>
      </c>
      <c r="AF27" s="37">
        <f t="shared" ref="AF27" si="462">(+AE27-+AE26)*48</f>
        <v>6816</v>
      </c>
      <c r="AG27" s="76">
        <v>49800</v>
      </c>
      <c r="AH27" s="37">
        <f t="shared" ref="AH27" si="463">(+AG27-+AG26)*48</f>
        <v>0</v>
      </c>
      <c r="AI27" s="77">
        <v>450637</v>
      </c>
      <c r="AJ27" s="37">
        <f t="shared" ref="AJ27" si="464">(+AI27-+AI26)*48</f>
        <v>5520</v>
      </c>
      <c r="AK27" s="77">
        <v>102770</v>
      </c>
      <c r="AL27" s="37">
        <f t="shared" ref="AL27" si="465">(+AK27-+AK26)*48</f>
        <v>0</v>
      </c>
      <c r="AM27" s="77">
        <v>614805</v>
      </c>
      <c r="AN27" s="37">
        <f t="shared" ref="AN27" si="466">(+AM27-+AM26)*48</f>
        <v>6912</v>
      </c>
      <c r="AO27" s="77">
        <v>3957</v>
      </c>
      <c r="AP27" s="37">
        <f t="shared" ref="AP27" si="467">(+AO27-+AO26)*48</f>
        <v>4848</v>
      </c>
      <c r="AQ27" s="77">
        <v>92355</v>
      </c>
      <c r="AR27" s="37">
        <f t="shared" ref="AR27" si="468">(+AQ27-+AQ26)*48</f>
        <v>0</v>
      </c>
      <c r="AS27" s="77">
        <v>2460</v>
      </c>
      <c r="AT27" s="37">
        <f t="shared" ref="AT27" si="469">(+AS27-+AS26)*48</f>
        <v>0</v>
      </c>
      <c r="AU27" s="77">
        <v>939</v>
      </c>
      <c r="AV27" s="37">
        <f t="shared" ref="AV27" si="470">(+AU27-+AU26)*48</f>
        <v>0</v>
      </c>
      <c r="AW27" s="77">
        <v>3110</v>
      </c>
      <c r="AX27" s="37">
        <f t="shared" ref="AX27" si="471">(+AW27-+AW26)*48</f>
        <v>0</v>
      </c>
      <c r="AY27" s="77">
        <v>353077</v>
      </c>
      <c r="AZ27" s="37">
        <f t="shared" ref="AZ27" si="472">(+AY27-+AY26)*48</f>
        <v>4752</v>
      </c>
      <c r="BA27" s="76">
        <v>161101</v>
      </c>
      <c r="BB27" s="37">
        <f t="shared" ref="BB27" si="473">(+BA27-+BA26)*48</f>
        <v>0</v>
      </c>
      <c r="BC27" s="77">
        <v>238654</v>
      </c>
      <c r="BD27" s="37">
        <f t="shared" ref="BD27" si="474">(+BC27-+BC26)*48</f>
        <v>2688</v>
      </c>
      <c r="BE27" s="77">
        <v>5350</v>
      </c>
      <c r="BF27" s="37">
        <f t="shared" ref="BF27" si="475">(+BE27-+BE26)*48</f>
        <v>0</v>
      </c>
      <c r="BH27" s="105">
        <f t="shared" si="0"/>
        <v>108864.48000000003</v>
      </c>
      <c r="BI27" s="105">
        <f t="shared" si="1"/>
        <v>59462.400000000001</v>
      </c>
    </row>
    <row r="28" spans="1:61" s="35" customFormat="1" ht="39.950000000000003" customHeight="1">
      <c r="A28" s="192">
        <f t="shared" si="33"/>
        <v>44762</v>
      </c>
      <c r="B28" s="34"/>
      <c r="C28" s="77">
        <v>7037741</v>
      </c>
      <c r="D28" s="37">
        <f t="shared" si="2"/>
        <v>105072</v>
      </c>
      <c r="E28" s="104">
        <f t="shared" si="3"/>
        <v>63043.199999999997</v>
      </c>
      <c r="F28" s="37">
        <f t="shared" si="4"/>
        <v>42028.800000000003</v>
      </c>
      <c r="G28" s="77">
        <v>297392</v>
      </c>
      <c r="H28" s="37">
        <f t="shared" ref="H28" si="476">(+G28-+G27)*48</f>
        <v>1584</v>
      </c>
      <c r="I28" s="77">
        <v>196513</v>
      </c>
      <c r="J28" s="37">
        <f t="shared" ref="J28" si="477">(+I28-+I27)*48</f>
        <v>7872</v>
      </c>
      <c r="K28" s="77">
        <v>271017</v>
      </c>
      <c r="L28" s="37">
        <f t="shared" ref="L28" si="478">(+K28-+K27)*48</f>
        <v>624</v>
      </c>
      <c r="M28" s="77">
        <v>25413</v>
      </c>
      <c r="N28" s="37">
        <f t="shared" ref="N28" si="479">(+M28-+M27)*48</f>
        <v>0</v>
      </c>
      <c r="O28" s="77">
        <v>341683</v>
      </c>
      <c r="P28" s="37">
        <f t="shared" ref="P28" si="480">(+O28-+O27)*48</f>
        <v>8256</v>
      </c>
      <c r="Q28" s="77">
        <v>482023</v>
      </c>
      <c r="R28" s="37">
        <f t="shared" ref="R28" si="481">(+Q28-+Q27)*48</f>
        <v>3456</v>
      </c>
      <c r="S28" s="77">
        <v>771963</v>
      </c>
      <c r="T28" s="37">
        <f t="shared" ref="T28" si="482">(+S28-+S27)*48</f>
        <v>5808</v>
      </c>
      <c r="U28" s="77">
        <v>6052.31</v>
      </c>
      <c r="V28" s="37">
        <f t="shared" ref="V28" si="483">(+U28-+U27)*48</f>
        <v>430.08000000000175</v>
      </c>
      <c r="W28" s="77">
        <v>85698</v>
      </c>
      <c r="X28" s="37">
        <f t="shared" ref="X28" si="484">(+W28-+W27)*48</f>
        <v>864</v>
      </c>
      <c r="Y28" s="77">
        <v>1523027</v>
      </c>
      <c r="Z28" s="37">
        <f t="shared" ref="Z28" si="485">(+Y28-+Y27)*48</f>
        <v>0</v>
      </c>
      <c r="AA28" s="77">
        <v>13886</v>
      </c>
      <c r="AB28" s="37">
        <f t="shared" ref="AB28" si="486">(+AA28-+AA27)*48</f>
        <v>0</v>
      </c>
      <c r="AC28" s="77">
        <v>509010</v>
      </c>
      <c r="AD28" s="37">
        <f t="shared" ref="AD28" si="487">(+AC28-+AC27)*48</f>
        <v>5664</v>
      </c>
      <c r="AE28" s="77">
        <v>578505</v>
      </c>
      <c r="AF28" s="37">
        <f t="shared" ref="AF28" si="488">(+AE28-+AE27)*48</f>
        <v>6768</v>
      </c>
      <c r="AG28" s="76">
        <v>49800</v>
      </c>
      <c r="AH28" s="37">
        <f t="shared" ref="AH28" si="489">(+AG28-+AG27)*48</f>
        <v>0</v>
      </c>
      <c r="AI28" s="77">
        <v>450742</v>
      </c>
      <c r="AJ28" s="37">
        <f t="shared" ref="AJ28" si="490">(+AI28-+AI27)*48</f>
        <v>5040</v>
      </c>
      <c r="AK28" s="77">
        <v>102770</v>
      </c>
      <c r="AL28" s="37">
        <f t="shared" ref="AL28" si="491">(+AK28-+AK27)*48</f>
        <v>0</v>
      </c>
      <c r="AM28" s="77">
        <v>614949</v>
      </c>
      <c r="AN28" s="37">
        <f t="shared" ref="AN28" si="492">(+AM28-+AM27)*48</f>
        <v>6912</v>
      </c>
      <c r="AO28" s="77">
        <v>4064</v>
      </c>
      <c r="AP28" s="37">
        <f t="shared" ref="AP28" si="493">(+AO28-+AO27)*48</f>
        <v>5136</v>
      </c>
      <c r="AQ28" s="77">
        <v>92355</v>
      </c>
      <c r="AR28" s="37">
        <f t="shared" ref="AR28" si="494">(+AQ28-+AQ27)*48</f>
        <v>0</v>
      </c>
      <c r="AS28" s="77">
        <v>2460</v>
      </c>
      <c r="AT28" s="37">
        <f t="shared" ref="AT28" si="495">(+AS28-+AS27)*48</f>
        <v>0</v>
      </c>
      <c r="AU28" s="77">
        <v>939</v>
      </c>
      <c r="AV28" s="37">
        <f t="shared" ref="AV28" si="496">(+AU28-+AU27)*48</f>
        <v>0</v>
      </c>
      <c r="AW28" s="77">
        <v>3110</v>
      </c>
      <c r="AX28" s="37">
        <f t="shared" ref="AX28" si="497">(+AW28-+AW27)*48</f>
        <v>0</v>
      </c>
      <c r="AY28" s="77">
        <v>353204</v>
      </c>
      <c r="AZ28" s="37">
        <f t="shared" ref="AZ28" si="498">(+AY28-+AY27)*48</f>
        <v>6096</v>
      </c>
      <c r="BA28" s="76">
        <v>161101</v>
      </c>
      <c r="BB28" s="37">
        <f t="shared" ref="BB28" si="499">(+BA28-+BA27)*48</f>
        <v>0</v>
      </c>
      <c r="BC28" s="77">
        <v>238709</v>
      </c>
      <c r="BD28" s="37">
        <f t="shared" ref="BD28" si="500">(+BC28-+BC27)*48</f>
        <v>2640</v>
      </c>
      <c r="BE28" s="77">
        <v>5350</v>
      </c>
      <c r="BF28" s="37">
        <f t="shared" ref="BF28" si="501">(+BE28-+BE27)*48</f>
        <v>0</v>
      </c>
      <c r="BH28" s="105">
        <f t="shared" si="0"/>
        <v>109409.28</v>
      </c>
      <c r="BI28" s="105">
        <f t="shared" si="1"/>
        <v>62812.800000000003</v>
      </c>
    </row>
    <row r="29" spans="1:61" s="35" customFormat="1" ht="39.950000000000003" customHeight="1">
      <c r="A29" s="192">
        <f t="shared" si="33"/>
        <v>44763</v>
      </c>
      <c r="B29" s="34"/>
      <c r="C29" s="77">
        <v>7039889</v>
      </c>
      <c r="D29" s="37">
        <f t="shared" si="2"/>
        <v>103104</v>
      </c>
      <c r="E29" s="104">
        <f t="shared" si="3"/>
        <v>61862.399999999994</v>
      </c>
      <c r="F29" s="37">
        <f t="shared" si="4"/>
        <v>41241.600000000006</v>
      </c>
      <c r="G29" s="77">
        <v>297428</v>
      </c>
      <c r="H29" s="37">
        <f t="shared" ref="H29" si="502">(+G29-+G28)*48</f>
        <v>1728</v>
      </c>
      <c r="I29" s="77">
        <v>196685</v>
      </c>
      <c r="J29" s="37">
        <f t="shared" ref="J29" si="503">(+I29-+I28)*48</f>
        <v>8256</v>
      </c>
      <c r="K29" s="77">
        <v>271031</v>
      </c>
      <c r="L29" s="37">
        <f t="shared" ref="L29" si="504">(+K29-+K28)*48</f>
        <v>672</v>
      </c>
      <c r="M29" s="77">
        <v>25413</v>
      </c>
      <c r="N29" s="37">
        <f t="shared" ref="N29" si="505">(+M29-+M28)*48</f>
        <v>0</v>
      </c>
      <c r="O29" s="77">
        <v>341863</v>
      </c>
      <c r="P29" s="37">
        <f t="shared" ref="P29" si="506">(+O29-+O28)*48</f>
        <v>8640</v>
      </c>
      <c r="Q29" s="77">
        <v>482089</v>
      </c>
      <c r="R29" s="37">
        <f t="shared" ref="R29" si="507">(+Q29-+Q28)*48</f>
        <v>3168</v>
      </c>
      <c r="S29" s="76">
        <v>772080</v>
      </c>
      <c r="T29" s="37">
        <f t="shared" ref="T29" si="508">(+S29-+S28)*48</f>
        <v>5616</v>
      </c>
      <c r="U29" s="76">
        <v>6071.26</v>
      </c>
      <c r="V29" s="37">
        <f t="shared" ref="V29" si="509">(+U29-+U28)*48</f>
        <v>909.59999999999127</v>
      </c>
      <c r="W29" s="77">
        <v>85716</v>
      </c>
      <c r="X29" s="37">
        <f t="shared" ref="X29" si="510">(+W29-+W28)*48</f>
        <v>864</v>
      </c>
      <c r="Y29" s="77">
        <v>1523027</v>
      </c>
      <c r="Z29" s="37">
        <f t="shared" ref="Z29" si="511">(+Y29-+Y28)*48</f>
        <v>0</v>
      </c>
      <c r="AA29" s="77">
        <v>13886</v>
      </c>
      <c r="AB29" s="37">
        <f t="shared" ref="AB29" si="512">(+AA29-+AA28)*48</f>
        <v>0</v>
      </c>
      <c r="AC29" s="77">
        <v>509128</v>
      </c>
      <c r="AD29" s="37">
        <f t="shared" ref="AD29" si="513">(+AC29-+AC28)*48</f>
        <v>5664</v>
      </c>
      <c r="AE29" s="77">
        <v>578646</v>
      </c>
      <c r="AF29" s="37">
        <f t="shared" ref="AF29" si="514">(+AE29-+AE28)*48</f>
        <v>6768</v>
      </c>
      <c r="AG29" s="76">
        <v>49800</v>
      </c>
      <c r="AH29" s="37">
        <f t="shared" ref="AH29" si="515">(+AG29-+AG28)*48</f>
        <v>0</v>
      </c>
      <c r="AI29" s="77">
        <v>450848</v>
      </c>
      <c r="AJ29" s="37">
        <f t="shared" ref="AJ29" si="516">(+AI29-+AI28)*48</f>
        <v>5088</v>
      </c>
      <c r="AK29" s="77">
        <v>102770</v>
      </c>
      <c r="AL29" s="37">
        <f t="shared" ref="AL29" si="517">(+AK29-+AK28)*48</f>
        <v>0</v>
      </c>
      <c r="AM29" s="77">
        <v>615091</v>
      </c>
      <c r="AN29" s="37">
        <f t="shared" ref="AN29" si="518">(+AM29-+AM28)*48</f>
        <v>6816</v>
      </c>
      <c r="AO29" s="77">
        <v>4176</v>
      </c>
      <c r="AP29" s="37">
        <f t="shared" ref="AP29" si="519">(+AO29-+AO28)*48</f>
        <v>5376</v>
      </c>
      <c r="AQ29" s="77">
        <v>92355</v>
      </c>
      <c r="AR29" s="37">
        <f t="shared" ref="AR29" si="520">(+AQ29-+AQ28)*48</f>
        <v>0</v>
      </c>
      <c r="AS29" s="77">
        <v>2460</v>
      </c>
      <c r="AT29" s="37">
        <f t="shared" ref="AT29" si="521">(+AS29-+AS28)*48</f>
        <v>0</v>
      </c>
      <c r="AU29" s="77">
        <v>939</v>
      </c>
      <c r="AV29" s="37">
        <f t="shared" ref="AV29" si="522">(+AU29-+AU28)*48</f>
        <v>0</v>
      </c>
      <c r="AW29" s="77">
        <v>3110</v>
      </c>
      <c r="AX29" s="37">
        <f t="shared" ref="AX29" si="523">(+AW29-+AW28)*48</f>
        <v>0</v>
      </c>
      <c r="AY29" s="77">
        <v>353293</v>
      </c>
      <c r="AZ29" s="37">
        <f t="shared" ref="AZ29" si="524">(+AY29-+AY28)*48</f>
        <v>4272</v>
      </c>
      <c r="BA29" s="76">
        <v>161101</v>
      </c>
      <c r="BB29" s="37">
        <f t="shared" ref="BB29" si="525">(+BA29-+BA28)*48</f>
        <v>0</v>
      </c>
      <c r="BC29" s="77">
        <v>238761</v>
      </c>
      <c r="BD29" s="37">
        <f t="shared" ref="BD29" si="526">(+BC29-+BC28)*48</f>
        <v>2496</v>
      </c>
      <c r="BE29" s="77">
        <v>5350</v>
      </c>
      <c r="BF29" s="37">
        <f t="shared" ref="BF29" si="527">(+BE29-+BE28)*48</f>
        <v>0</v>
      </c>
      <c r="BH29" s="105">
        <f t="shared" si="0"/>
        <v>109235.99999999999</v>
      </c>
      <c r="BI29" s="105">
        <f t="shared" si="1"/>
        <v>60201.600000000006</v>
      </c>
    </row>
    <row r="30" spans="1:61" s="35" customFormat="1" ht="39.950000000000003" customHeight="1">
      <c r="A30" s="192">
        <f t="shared" si="33"/>
        <v>44764</v>
      </c>
      <c r="B30" s="34"/>
      <c r="C30" s="77">
        <v>7042164</v>
      </c>
      <c r="D30" s="37">
        <f t="shared" si="2"/>
        <v>109200</v>
      </c>
      <c r="E30" s="104">
        <f t="shared" si="3"/>
        <v>65520</v>
      </c>
      <c r="F30" s="37">
        <f t="shared" si="4"/>
        <v>43680</v>
      </c>
      <c r="G30" s="77">
        <v>297464</v>
      </c>
      <c r="H30" s="37">
        <f t="shared" ref="H30" si="528">(+G30-+G29)*48</f>
        <v>1728</v>
      </c>
      <c r="I30" s="77">
        <v>196853</v>
      </c>
      <c r="J30" s="37">
        <f t="shared" ref="J30" si="529">(+I30-+I29)*48</f>
        <v>8064</v>
      </c>
      <c r="K30" s="77">
        <v>271047</v>
      </c>
      <c r="L30" s="37">
        <f t="shared" ref="L30" si="530">(+K30-+K29)*48</f>
        <v>768</v>
      </c>
      <c r="M30" s="77">
        <v>25413</v>
      </c>
      <c r="N30" s="37">
        <f t="shared" ref="N30" si="531">(+M30-+M29)*48</f>
        <v>0</v>
      </c>
      <c r="O30" s="77">
        <v>342050</v>
      </c>
      <c r="P30" s="37">
        <f t="shared" ref="P30" si="532">(+O30-+O29)*48</f>
        <v>8976</v>
      </c>
      <c r="Q30" s="77">
        <v>482166</v>
      </c>
      <c r="R30" s="37">
        <f t="shared" ref="R30" si="533">(+Q30-+Q29)*48</f>
        <v>3696</v>
      </c>
      <c r="S30" s="77">
        <v>772206</v>
      </c>
      <c r="T30" s="37">
        <f t="shared" ref="T30" si="534">(+S30-+S29)*48</f>
        <v>6048</v>
      </c>
      <c r="U30" s="196">
        <v>6088.299</v>
      </c>
      <c r="V30" s="37">
        <f t="shared" ref="V30" si="535">(+U30-+U29)*48</f>
        <v>817.87199999998847</v>
      </c>
      <c r="W30" s="77">
        <v>85732</v>
      </c>
      <c r="X30" s="37">
        <f t="shared" ref="X30" si="536">(+W30-+W29)*48</f>
        <v>768</v>
      </c>
      <c r="Y30" s="77">
        <v>1523027</v>
      </c>
      <c r="Z30" s="37">
        <f t="shared" ref="Z30" si="537">(+Y30-+Y29)*48</f>
        <v>0</v>
      </c>
      <c r="AA30" s="77">
        <v>13886</v>
      </c>
      <c r="AB30" s="37">
        <f t="shared" ref="AB30" si="538">(+AA30-+AA29)*48</f>
        <v>0</v>
      </c>
      <c r="AC30" s="77">
        <v>509246</v>
      </c>
      <c r="AD30" s="37">
        <f t="shared" ref="AD30" si="539">(+AC30-+AC29)*48</f>
        <v>5664</v>
      </c>
      <c r="AE30" s="77">
        <v>578788</v>
      </c>
      <c r="AF30" s="37">
        <f t="shared" ref="AF30" si="540">(+AE30-+AE29)*48</f>
        <v>6816</v>
      </c>
      <c r="AG30" s="77">
        <v>49800</v>
      </c>
      <c r="AH30" s="37">
        <f t="shared" ref="AH30" si="541">(+AG30-+AG29)*48</f>
        <v>0</v>
      </c>
      <c r="AI30" s="77">
        <v>450958</v>
      </c>
      <c r="AJ30" s="37">
        <f t="shared" ref="AJ30" si="542">(+AI30-+AI29)*48</f>
        <v>5280</v>
      </c>
      <c r="AK30" s="77">
        <v>102770</v>
      </c>
      <c r="AL30" s="37">
        <f t="shared" ref="AL30" si="543">(+AK30-+AK29)*48</f>
        <v>0</v>
      </c>
      <c r="AM30" s="77">
        <v>615233</v>
      </c>
      <c r="AN30" s="37">
        <f t="shared" ref="AN30" si="544">(+AM30-+AM29)*48</f>
        <v>6816</v>
      </c>
      <c r="AO30" s="77">
        <v>4290</v>
      </c>
      <c r="AP30" s="37">
        <f t="shared" ref="AP30" si="545">(+AO30-+AO29)*48</f>
        <v>5472</v>
      </c>
      <c r="AQ30" s="77">
        <v>92355</v>
      </c>
      <c r="AR30" s="37">
        <f t="shared" ref="AR30" si="546">(+AQ30-+AQ29)*48</f>
        <v>0</v>
      </c>
      <c r="AS30" s="77">
        <v>2461</v>
      </c>
      <c r="AT30" s="37">
        <f t="shared" ref="AT30" si="547">(+AS30-+AS29)*48</f>
        <v>48</v>
      </c>
      <c r="AU30" s="77">
        <v>939</v>
      </c>
      <c r="AV30" s="37">
        <f t="shared" ref="AV30" si="548">(+AU30-+AU29)*48</f>
        <v>0</v>
      </c>
      <c r="AW30" s="77">
        <v>3110</v>
      </c>
      <c r="AX30" s="37">
        <f t="shared" ref="AX30" si="549">(+AW30-+AW29)*48</f>
        <v>0</v>
      </c>
      <c r="AY30" s="77">
        <v>353378</v>
      </c>
      <c r="AZ30" s="37">
        <f t="shared" ref="AZ30" si="550">(+AY30-+AY29)*48</f>
        <v>4080</v>
      </c>
      <c r="BA30" s="76">
        <v>161101</v>
      </c>
      <c r="BB30" s="37">
        <f t="shared" ref="BB30" si="551">(+BA30-+BA29)*48</f>
        <v>0</v>
      </c>
      <c r="BC30" s="77">
        <v>238815</v>
      </c>
      <c r="BD30" s="37">
        <f t="shared" ref="BD30" si="552">(+BC30-+BC29)*48</f>
        <v>2592</v>
      </c>
      <c r="BE30" s="77">
        <v>5350</v>
      </c>
      <c r="BF30" s="37">
        <f t="shared" ref="BF30" si="553">(+BE30-+BE29)*48</f>
        <v>0</v>
      </c>
      <c r="BH30" s="105">
        <f t="shared" si="0"/>
        <v>114145.87199999999</v>
      </c>
      <c r="BI30" s="105">
        <f t="shared" si="1"/>
        <v>62688</v>
      </c>
    </row>
    <row r="31" spans="1:61" s="35" customFormat="1" ht="39.950000000000003" customHeight="1">
      <c r="A31" s="192">
        <f t="shared" si="33"/>
        <v>44765</v>
      </c>
      <c r="B31" s="34"/>
      <c r="C31" s="77">
        <v>7044393</v>
      </c>
      <c r="D31" s="37">
        <f t="shared" si="2"/>
        <v>106992</v>
      </c>
      <c r="E31" s="104">
        <f t="shared" si="3"/>
        <v>64195.199999999997</v>
      </c>
      <c r="F31" s="37">
        <f t="shared" si="4"/>
        <v>42796.800000000003</v>
      </c>
      <c r="G31" s="77">
        <v>297501</v>
      </c>
      <c r="H31" s="37">
        <f t="shared" ref="H31" si="554">(+G31-+G30)*48</f>
        <v>1776</v>
      </c>
      <c r="I31" s="77">
        <v>197026</v>
      </c>
      <c r="J31" s="37">
        <f t="shared" ref="J31" si="555">(+I31-+I30)*48</f>
        <v>8304</v>
      </c>
      <c r="K31" s="77">
        <v>271087</v>
      </c>
      <c r="L31" s="37">
        <f t="shared" ref="L31" si="556">(+K31-+K30)*48</f>
        <v>1920</v>
      </c>
      <c r="M31" s="77">
        <v>25413</v>
      </c>
      <c r="N31" s="37">
        <f t="shared" ref="N31" si="557">(+M31-+M30)*48</f>
        <v>0</v>
      </c>
      <c r="O31" s="77">
        <v>342255</v>
      </c>
      <c r="P31" s="37">
        <f t="shared" ref="P31" si="558">(+O31-+O30)*48</f>
        <v>9840</v>
      </c>
      <c r="Q31" s="77">
        <v>482242</v>
      </c>
      <c r="R31" s="37">
        <f t="shared" ref="R31" si="559">(+Q31-+Q30)*48</f>
        <v>3648</v>
      </c>
      <c r="S31" s="77">
        <v>772329</v>
      </c>
      <c r="T31" s="37">
        <f t="shared" ref="T31" si="560">(+S31-+S30)*48</f>
        <v>5904</v>
      </c>
      <c r="U31" s="77">
        <v>6105.9390000000003</v>
      </c>
      <c r="V31" s="37">
        <f t="shared" ref="V31" si="561">(+U31-+U30)*48</f>
        <v>846.72000000001572</v>
      </c>
      <c r="W31" s="77">
        <v>85752</v>
      </c>
      <c r="X31" s="37">
        <f t="shared" ref="X31" si="562">(+W31-+W30)*48</f>
        <v>960</v>
      </c>
      <c r="Y31" s="77">
        <v>1523027</v>
      </c>
      <c r="Z31" s="37">
        <f t="shared" ref="Z31" si="563">(+Y31-+Y30)*48</f>
        <v>0</v>
      </c>
      <c r="AA31" s="77">
        <v>13886</v>
      </c>
      <c r="AB31" s="37">
        <f t="shared" ref="AB31" si="564">(+AA31-+AA30)*48</f>
        <v>0</v>
      </c>
      <c r="AC31" s="77">
        <v>509360</v>
      </c>
      <c r="AD31" s="37">
        <f t="shared" ref="AD31" si="565">(+AC31-+AC30)*48</f>
        <v>5472</v>
      </c>
      <c r="AE31" s="77">
        <v>578924</v>
      </c>
      <c r="AF31" s="37">
        <f t="shared" ref="AF31" si="566">(+AE31-+AE30)*48</f>
        <v>6528</v>
      </c>
      <c r="AG31" s="77">
        <v>49800</v>
      </c>
      <c r="AH31" s="37">
        <f t="shared" ref="AH31" si="567">(+AG31-+AG30)*48</f>
        <v>0</v>
      </c>
      <c r="AI31" s="77">
        <v>451065</v>
      </c>
      <c r="AJ31" s="37">
        <f t="shared" ref="AJ31" si="568">(+AI31-+AI30)*48</f>
        <v>5136</v>
      </c>
      <c r="AK31" s="77">
        <v>102770</v>
      </c>
      <c r="AL31" s="37">
        <f t="shared" ref="AL31" si="569">(+AK31-+AK30)*48</f>
        <v>0</v>
      </c>
      <c r="AM31" s="77">
        <v>615373</v>
      </c>
      <c r="AN31" s="37">
        <f t="shared" ref="AN31" si="570">(+AM31-+AM30)*48</f>
        <v>6720</v>
      </c>
      <c r="AO31" s="77">
        <v>4400</v>
      </c>
      <c r="AP31" s="37">
        <f t="shared" ref="AP31" si="571">(+AO31-+AO30)*48</f>
        <v>5280</v>
      </c>
      <c r="AQ31" s="77">
        <v>92355</v>
      </c>
      <c r="AR31" s="37">
        <f t="shared" ref="AR31" si="572">(+AQ31-+AQ30)*48</f>
        <v>0</v>
      </c>
      <c r="AS31" s="77">
        <v>2461</v>
      </c>
      <c r="AT31" s="37">
        <f t="shared" ref="AT31" si="573">(+AS31-+AS30)*48</f>
        <v>0</v>
      </c>
      <c r="AU31" s="77">
        <v>939</v>
      </c>
      <c r="AV31" s="37">
        <f t="shared" ref="AV31" si="574">(+AU31-+AU30)*48</f>
        <v>0</v>
      </c>
      <c r="AW31" s="77">
        <v>3110</v>
      </c>
      <c r="AX31" s="37">
        <f t="shared" ref="AX31" si="575">(+AW31-+AW30)*48</f>
        <v>0</v>
      </c>
      <c r="AY31" s="77">
        <v>353464</v>
      </c>
      <c r="AZ31" s="37">
        <f t="shared" ref="AZ31" si="576">(+AY31-+AY30)*48</f>
        <v>4128</v>
      </c>
      <c r="BA31" s="76">
        <v>161101</v>
      </c>
      <c r="BB31" s="37">
        <f t="shared" ref="BB31" si="577">(+BA31-+BA30)*48</f>
        <v>0</v>
      </c>
      <c r="BC31" s="77">
        <v>238870</v>
      </c>
      <c r="BD31" s="37">
        <f t="shared" ref="BD31" si="578">(+BC31-+BC30)*48</f>
        <v>2640</v>
      </c>
      <c r="BE31" s="77">
        <v>5350</v>
      </c>
      <c r="BF31" s="37">
        <f t="shared" ref="BF31" si="579">(+BE31-+BE30)*48</f>
        <v>0</v>
      </c>
      <c r="BH31" s="105">
        <f t="shared" si="0"/>
        <v>114529.92000000001</v>
      </c>
      <c r="BI31" s="105">
        <f t="shared" si="1"/>
        <v>61564.800000000003</v>
      </c>
    </row>
    <row r="32" spans="1:61" s="35" customFormat="1" ht="39.950000000000003" customHeight="1">
      <c r="A32" s="192">
        <f t="shared" si="33"/>
        <v>44766</v>
      </c>
      <c r="B32" s="34"/>
      <c r="C32" s="77">
        <v>7046691</v>
      </c>
      <c r="D32" s="37">
        <f t="shared" si="2"/>
        <v>110304</v>
      </c>
      <c r="E32" s="104">
        <f t="shared" si="3"/>
        <v>66182.399999999994</v>
      </c>
      <c r="F32" s="37">
        <f t="shared" si="4"/>
        <v>44121.600000000006</v>
      </c>
      <c r="G32" s="77">
        <v>297552</v>
      </c>
      <c r="H32" s="37">
        <f t="shared" ref="H32" si="580">(+G32-+G31)*48</f>
        <v>2448</v>
      </c>
      <c r="I32" s="77">
        <v>197202</v>
      </c>
      <c r="J32" s="37">
        <f t="shared" ref="J32" si="581">(+I32-+I31)*48</f>
        <v>8448</v>
      </c>
      <c r="K32" s="77">
        <v>271126</v>
      </c>
      <c r="L32" s="37">
        <f t="shared" ref="L32" si="582">(+K32-+K31)*48</f>
        <v>1872</v>
      </c>
      <c r="M32" s="77">
        <v>25413</v>
      </c>
      <c r="N32" s="37">
        <f t="shared" ref="N32" si="583">(+M32-+M31)*48</f>
        <v>0</v>
      </c>
      <c r="O32" s="77">
        <v>342470</v>
      </c>
      <c r="P32" s="37">
        <f t="shared" ref="P32" si="584">(+O32-+O31)*48</f>
        <v>10320</v>
      </c>
      <c r="Q32" s="77">
        <v>482319</v>
      </c>
      <c r="R32" s="37">
        <f t="shared" ref="R32" si="585">(+Q32-+Q31)*48</f>
        <v>3696</v>
      </c>
      <c r="S32" s="77">
        <v>772452</v>
      </c>
      <c r="T32" s="37">
        <f t="shared" ref="T32" si="586">(+S32-+S31)*48</f>
        <v>5904</v>
      </c>
      <c r="U32" s="77">
        <v>6123.3959999999997</v>
      </c>
      <c r="V32" s="37">
        <f t="shared" ref="V32" si="587">(+U32-+U31)*48</f>
        <v>837.93599999997241</v>
      </c>
      <c r="W32" s="77">
        <v>85771</v>
      </c>
      <c r="X32" s="37">
        <f t="shared" ref="X32" si="588">(+W32-+W31)*48</f>
        <v>912</v>
      </c>
      <c r="Y32" s="77">
        <v>1523027</v>
      </c>
      <c r="Z32" s="37">
        <f t="shared" ref="Z32" si="589">(+Y32-+Y31)*48</f>
        <v>0</v>
      </c>
      <c r="AA32" s="77">
        <v>13886</v>
      </c>
      <c r="AB32" s="37">
        <f t="shared" ref="AB32" si="590">(+AA32-+AA31)*48</f>
        <v>0</v>
      </c>
      <c r="AC32" s="77">
        <v>509479</v>
      </c>
      <c r="AD32" s="37">
        <f t="shared" ref="AD32" si="591">(+AC32-+AC31)*48</f>
        <v>5712</v>
      </c>
      <c r="AE32" s="77">
        <v>579031</v>
      </c>
      <c r="AF32" s="37">
        <f t="shared" ref="AF32" si="592">(+AE32-+AE31)*48</f>
        <v>5136</v>
      </c>
      <c r="AG32" s="77">
        <v>49800</v>
      </c>
      <c r="AH32" s="37">
        <f t="shared" ref="AH32" si="593">(+AG32-+AG31)*48</f>
        <v>0</v>
      </c>
      <c r="AI32" s="77">
        <v>451196</v>
      </c>
      <c r="AJ32" s="37">
        <f t="shared" ref="AJ32" si="594">(+AI32-+AI31)*48</f>
        <v>6288</v>
      </c>
      <c r="AK32" s="77">
        <v>102770</v>
      </c>
      <c r="AL32" s="37">
        <f t="shared" ref="AL32" si="595">(+AK32-+AK31)*48</f>
        <v>0</v>
      </c>
      <c r="AM32" s="77">
        <v>615513</v>
      </c>
      <c r="AN32" s="37">
        <f t="shared" ref="AN32" si="596">(+AM32-+AM31)*48</f>
        <v>6720</v>
      </c>
      <c r="AO32" s="77">
        <v>4509</v>
      </c>
      <c r="AP32" s="37">
        <f t="shared" ref="AP32" si="597">(+AO32-+AO31)*48</f>
        <v>5232</v>
      </c>
      <c r="AQ32" s="77">
        <v>92355</v>
      </c>
      <c r="AR32" s="37">
        <f t="shared" ref="AR32" si="598">(+AQ32-+AQ31)*48</f>
        <v>0</v>
      </c>
      <c r="AS32" s="77">
        <v>2461</v>
      </c>
      <c r="AT32" s="37">
        <f t="shared" ref="AT32" si="599">(+AS32-+AS31)*48</f>
        <v>0</v>
      </c>
      <c r="AU32" s="77">
        <v>939</v>
      </c>
      <c r="AV32" s="37">
        <f t="shared" ref="AV32" si="600">(+AU32-+AU31)*48</f>
        <v>0</v>
      </c>
      <c r="AW32" s="77">
        <v>3110</v>
      </c>
      <c r="AX32" s="37">
        <f t="shared" ref="AX32" si="601">(+AW32-+AW31)*48</f>
        <v>0</v>
      </c>
      <c r="AY32" s="77">
        <v>353548</v>
      </c>
      <c r="AZ32" s="37">
        <f t="shared" ref="AZ32" si="602">(+AY32-+AY31)*48</f>
        <v>4032</v>
      </c>
      <c r="BA32" s="76">
        <v>161101</v>
      </c>
      <c r="BB32" s="37">
        <f t="shared" ref="BB32" si="603">(+BA32-+BA31)*48</f>
        <v>0</v>
      </c>
      <c r="BC32" s="77">
        <v>238922</v>
      </c>
      <c r="BD32" s="37">
        <f t="shared" ref="BD32" si="604">(+BC32-+BC31)*48</f>
        <v>2496</v>
      </c>
      <c r="BE32" s="77">
        <v>5350</v>
      </c>
      <c r="BF32" s="37">
        <f t="shared" ref="BF32" si="605">(+BE32-+BE31)*48</f>
        <v>0</v>
      </c>
      <c r="BH32" s="105">
        <f t="shared" si="0"/>
        <v>117756.33599999997</v>
      </c>
      <c r="BI32" s="105">
        <f t="shared" si="1"/>
        <v>62601.600000000006</v>
      </c>
    </row>
    <row r="33" spans="1:61" s="35" customFormat="1" ht="39.950000000000003" customHeight="1">
      <c r="A33" s="192">
        <f t="shared" si="33"/>
        <v>44767</v>
      </c>
      <c r="B33" s="34"/>
      <c r="C33" s="77">
        <v>7049095</v>
      </c>
      <c r="D33" s="37">
        <f t="shared" si="2"/>
        <v>115392</v>
      </c>
      <c r="E33" s="104">
        <f t="shared" si="3"/>
        <v>69235.199999999997</v>
      </c>
      <c r="F33" s="37">
        <f t="shared" si="4"/>
        <v>46156.800000000003</v>
      </c>
      <c r="G33" s="77">
        <v>297610</v>
      </c>
      <c r="H33" s="37">
        <f t="shared" ref="H33" si="606">(+G33-+G32)*48</f>
        <v>2784</v>
      </c>
      <c r="I33" s="77">
        <v>197379</v>
      </c>
      <c r="J33" s="37">
        <f t="shared" ref="J33" si="607">(+I33-+I32)*48</f>
        <v>8496</v>
      </c>
      <c r="K33" s="77">
        <v>271194</v>
      </c>
      <c r="L33" s="37">
        <f t="shared" ref="L33" si="608">(+K33-+K32)*48</f>
        <v>3264</v>
      </c>
      <c r="M33" s="77">
        <v>25419</v>
      </c>
      <c r="N33" s="37">
        <f t="shared" ref="N33" si="609">(+M33-+M32)*48</f>
        <v>288</v>
      </c>
      <c r="O33" s="77">
        <v>342687</v>
      </c>
      <c r="P33" s="37">
        <f t="shared" ref="P33" si="610">(+O33-+O32)*48</f>
        <v>10416</v>
      </c>
      <c r="Q33" s="77">
        <v>482433</v>
      </c>
      <c r="R33" s="37">
        <f t="shared" ref="R33" si="611">(+Q33-+Q32)*48</f>
        <v>5472</v>
      </c>
      <c r="S33" s="77">
        <v>772568</v>
      </c>
      <c r="T33" s="37">
        <f t="shared" ref="T33" si="612">(+S33-+S32)*48</f>
        <v>5568</v>
      </c>
      <c r="U33" s="77">
        <v>6143.098</v>
      </c>
      <c r="V33" s="37">
        <f t="shared" ref="V33" si="613">(+U33-+U32)*48</f>
        <v>945.69600000001083</v>
      </c>
      <c r="W33" s="77">
        <v>85787</v>
      </c>
      <c r="X33" s="37">
        <f t="shared" ref="X33" si="614">(+W33-+W32)*48</f>
        <v>768</v>
      </c>
      <c r="Y33" s="77">
        <v>1523027</v>
      </c>
      <c r="Z33" s="37">
        <f t="shared" ref="Z33" si="615">(+Y33-+Y32)*48</f>
        <v>0</v>
      </c>
      <c r="AA33" s="77">
        <v>13886</v>
      </c>
      <c r="AB33" s="37">
        <f t="shared" ref="AB33" si="616">(+AA33-+AA32)*48</f>
        <v>0</v>
      </c>
      <c r="AC33" s="77">
        <v>509592</v>
      </c>
      <c r="AD33" s="37">
        <f t="shared" ref="AD33" si="617">(+AC33-+AC32)*48</f>
        <v>5424</v>
      </c>
      <c r="AE33" s="77">
        <v>579132</v>
      </c>
      <c r="AF33" s="37">
        <f t="shared" ref="AF33" si="618">(+AE33-+AE32)*48</f>
        <v>4848</v>
      </c>
      <c r="AG33" s="77">
        <v>49800</v>
      </c>
      <c r="AH33" s="37">
        <f t="shared" ref="AH33" si="619">(+AG33-+AG32)*48</f>
        <v>0</v>
      </c>
      <c r="AI33" s="77">
        <v>451319</v>
      </c>
      <c r="AJ33" s="37">
        <f t="shared" ref="AJ33" si="620">(+AI33-+AI32)*48</f>
        <v>5904</v>
      </c>
      <c r="AK33" s="77">
        <v>102770</v>
      </c>
      <c r="AL33" s="37">
        <f t="shared" ref="AL33" si="621">(+AK33-+AK32)*48</f>
        <v>0</v>
      </c>
      <c r="AM33" s="77">
        <v>615649</v>
      </c>
      <c r="AN33" s="37">
        <f t="shared" ref="AN33" si="622">(+AM33-+AM32)*48</f>
        <v>6528</v>
      </c>
      <c r="AO33" s="77">
        <v>4617</v>
      </c>
      <c r="AP33" s="37">
        <f t="shared" ref="AP33" si="623">(+AO33-+AO32)*48</f>
        <v>5184</v>
      </c>
      <c r="AQ33" s="77">
        <v>92355</v>
      </c>
      <c r="AR33" s="37">
        <f t="shared" ref="AR33" si="624">(+AQ33-+AQ32)*48</f>
        <v>0</v>
      </c>
      <c r="AS33" s="77">
        <v>2461</v>
      </c>
      <c r="AT33" s="37">
        <f t="shared" ref="AT33" si="625">(+AS33-+AS32)*48</f>
        <v>0</v>
      </c>
      <c r="AU33" s="77">
        <v>939</v>
      </c>
      <c r="AV33" s="37">
        <f t="shared" ref="AV33" si="626">(+AU33-+AU32)*48</f>
        <v>0</v>
      </c>
      <c r="AW33" s="77">
        <v>3110</v>
      </c>
      <c r="AX33" s="37">
        <f t="shared" ref="AX33" si="627">(+AW33-+AW32)*48</f>
        <v>0</v>
      </c>
      <c r="AY33" s="77">
        <v>353632</v>
      </c>
      <c r="AZ33" s="37">
        <f t="shared" ref="AZ33" si="628">(+AY33-+AY32)*48</f>
        <v>4032</v>
      </c>
      <c r="BA33" s="76">
        <v>161101</v>
      </c>
      <c r="BB33" s="37">
        <f t="shared" ref="BB33" si="629">(+BA33-+BA32)*48</f>
        <v>0</v>
      </c>
      <c r="BC33" s="77">
        <v>238973</v>
      </c>
      <c r="BD33" s="37">
        <f t="shared" ref="BD33" si="630">(+BC33-+BC32)*48</f>
        <v>2448</v>
      </c>
      <c r="BE33" s="77">
        <v>5350</v>
      </c>
      <c r="BF33" s="37">
        <f t="shared" ref="BF33" si="631">(+BE33-+BE32)*48</f>
        <v>0</v>
      </c>
      <c r="BH33" s="105">
        <f t="shared" si="0"/>
        <v>123412.89600000001</v>
      </c>
      <c r="BI33" s="105">
        <f t="shared" si="1"/>
        <v>64348.800000000003</v>
      </c>
    </row>
    <row r="34" spans="1:61" s="35" customFormat="1" ht="39.950000000000003" customHeight="1">
      <c r="A34" s="192">
        <f t="shared" si="33"/>
        <v>44768</v>
      </c>
      <c r="B34" s="34"/>
      <c r="C34" s="77">
        <v>7051270</v>
      </c>
      <c r="D34" s="37">
        <f t="shared" si="2"/>
        <v>104400</v>
      </c>
      <c r="E34" s="104">
        <f t="shared" si="3"/>
        <v>62640</v>
      </c>
      <c r="F34" s="37">
        <f t="shared" si="4"/>
        <v>41760</v>
      </c>
      <c r="G34" s="77">
        <v>297653</v>
      </c>
      <c r="H34" s="37">
        <f t="shared" ref="H34" si="632">(+G34-+G33)*48</f>
        <v>2064</v>
      </c>
      <c r="I34" s="77">
        <v>197546</v>
      </c>
      <c r="J34" s="37">
        <f t="shared" ref="J34" si="633">(+I34-+I33)*48</f>
        <v>8016</v>
      </c>
      <c r="K34" s="77">
        <v>271227</v>
      </c>
      <c r="L34" s="37">
        <f t="shared" ref="L34" si="634">(+K34-+K33)*48</f>
        <v>1584</v>
      </c>
      <c r="M34" s="77">
        <v>25419</v>
      </c>
      <c r="N34" s="37">
        <f t="shared" ref="N34" si="635">(+M34-+M33)*48</f>
        <v>0</v>
      </c>
      <c r="O34" s="77">
        <v>342876</v>
      </c>
      <c r="P34" s="37">
        <f t="shared" ref="P34" si="636">(+O34-+O33)*48</f>
        <v>9072</v>
      </c>
      <c r="Q34" s="77">
        <v>482518</v>
      </c>
      <c r="R34" s="37">
        <f t="shared" ref="R34" si="637">(+Q34-+Q33)*48</f>
        <v>4080</v>
      </c>
      <c r="S34" s="77">
        <v>772696</v>
      </c>
      <c r="T34" s="37">
        <f t="shared" ref="T34" si="638">(+S34-+S33)*48</f>
        <v>6144</v>
      </c>
      <c r="U34" s="82">
        <v>6160.62</v>
      </c>
      <c r="V34" s="37">
        <f t="shared" ref="V34" si="639">(+U34-+U33)*48</f>
        <v>841.05599999999686</v>
      </c>
      <c r="W34" s="77">
        <v>85792</v>
      </c>
      <c r="X34" s="37">
        <f t="shared" ref="X34" si="640">(+W34-+W33)*48</f>
        <v>240</v>
      </c>
      <c r="Y34" s="77">
        <v>1523027</v>
      </c>
      <c r="Z34" s="37">
        <f t="shared" ref="Z34" si="641">(+Y34-+Y33)*48</f>
        <v>0</v>
      </c>
      <c r="AA34" s="77">
        <v>13886</v>
      </c>
      <c r="AB34" s="37">
        <f t="shared" ref="AB34" si="642">(+AA34-+AA33)*48</f>
        <v>0</v>
      </c>
      <c r="AC34" s="77">
        <v>509711</v>
      </c>
      <c r="AD34" s="37">
        <f t="shared" ref="AD34" si="643">(+AC34-+AC33)*48</f>
        <v>5712</v>
      </c>
      <c r="AE34" s="77">
        <v>579250</v>
      </c>
      <c r="AF34" s="37">
        <f t="shared" ref="AF34" si="644">(+AE34-+AE33)*48</f>
        <v>5664</v>
      </c>
      <c r="AG34" s="77">
        <v>49800</v>
      </c>
      <c r="AH34" s="37">
        <f t="shared" ref="AH34" si="645">(+AG34-+AG33)*48</f>
        <v>0</v>
      </c>
      <c r="AI34" s="77">
        <v>451434</v>
      </c>
      <c r="AJ34" s="37">
        <f t="shared" ref="AJ34" si="646">(+AI34-+AI33)*48</f>
        <v>5520</v>
      </c>
      <c r="AK34" s="77">
        <v>102770</v>
      </c>
      <c r="AL34" s="37">
        <f t="shared" ref="AL34" si="647">(+AK34-+AK33)*48</f>
        <v>0</v>
      </c>
      <c r="AM34" s="77">
        <v>615789</v>
      </c>
      <c r="AN34" s="37">
        <f t="shared" ref="AN34" si="648">(+AM34-+AM33)*48</f>
        <v>6720</v>
      </c>
      <c r="AO34" s="77">
        <v>4726</v>
      </c>
      <c r="AP34" s="37">
        <f t="shared" ref="AP34" si="649">(+AO34-+AO33)*48</f>
        <v>5232</v>
      </c>
      <c r="AQ34" s="77">
        <v>92355</v>
      </c>
      <c r="AR34" s="37">
        <f t="shared" ref="AR34" si="650">(+AQ34-+AQ33)*48</f>
        <v>0</v>
      </c>
      <c r="AS34" s="77">
        <v>2461</v>
      </c>
      <c r="AT34" s="37">
        <f t="shared" ref="AT34" si="651">(+AS34-+AS33)*48</f>
        <v>0</v>
      </c>
      <c r="AU34" s="77">
        <v>939</v>
      </c>
      <c r="AV34" s="37">
        <f t="shared" ref="AV34" si="652">(+AU34-+AU33)*48</f>
        <v>0</v>
      </c>
      <c r="AW34" s="77">
        <v>3110</v>
      </c>
      <c r="AX34" s="37">
        <f t="shared" ref="AX34" si="653">(+AW34-+AW33)*48</f>
        <v>0</v>
      </c>
      <c r="AY34" s="77">
        <v>353714</v>
      </c>
      <c r="AZ34" s="37">
        <f t="shared" ref="AZ34" si="654">(+AY34-+AY33)*48</f>
        <v>3936</v>
      </c>
      <c r="BA34" s="76">
        <v>161101</v>
      </c>
      <c r="BB34" s="37">
        <f t="shared" ref="BB34" si="655">(+BA34-+BA33)*48</f>
        <v>0</v>
      </c>
      <c r="BC34" s="77">
        <v>239025</v>
      </c>
      <c r="BD34" s="37">
        <f t="shared" ref="BD34" si="656">(+BC34-+BC33)*48</f>
        <v>2496</v>
      </c>
      <c r="BE34" s="77">
        <v>5350</v>
      </c>
      <c r="BF34" s="37">
        <f t="shared" ref="BF34" si="657">(+BE34-+BE33)*48</f>
        <v>0</v>
      </c>
      <c r="BH34" s="105">
        <f t="shared" si="0"/>
        <v>111577.056</v>
      </c>
      <c r="BI34" s="105">
        <f t="shared" si="1"/>
        <v>60144</v>
      </c>
    </row>
    <row r="35" spans="1:61" s="35" customFormat="1" ht="39.950000000000003" customHeight="1">
      <c r="A35" s="192">
        <f t="shared" si="33"/>
        <v>44769</v>
      </c>
      <c r="B35" s="34"/>
      <c r="C35" s="77">
        <v>7053404</v>
      </c>
      <c r="D35" s="37">
        <f t="shared" si="2"/>
        <v>102432</v>
      </c>
      <c r="E35" s="104">
        <f t="shared" si="3"/>
        <v>61459.199999999997</v>
      </c>
      <c r="F35" s="37">
        <f t="shared" si="4"/>
        <v>40972.800000000003</v>
      </c>
      <c r="G35" s="77">
        <v>297688</v>
      </c>
      <c r="H35" s="37">
        <f t="shared" ref="H35" si="658">(+G35-+G34)*48</f>
        <v>1680</v>
      </c>
      <c r="I35" s="77">
        <v>197695</v>
      </c>
      <c r="J35" s="37">
        <f t="shared" ref="J35" si="659">(+I35-+I34)*48</f>
        <v>7152</v>
      </c>
      <c r="K35" s="77">
        <v>271241</v>
      </c>
      <c r="L35" s="37">
        <f t="shared" ref="L35" si="660">(+K35-+K34)*48</f>
        <v>672</v>
      </c>
      <c r="M35" s="77">
        <v>25419</v>
      </c>
      <c r="N35" s="37">
        <f t="shared" ref="N35" si="661">(+M35-+M34)*48</f>
        <v>0</v>
      </c>
      <c r="O35" s="77">
        <v>343072</v>
      </c>
      <c r="P35" s="37">
        <f t="shared" ref="P35" si="662">(+O35-+O34)*48</f>
        <v>9408</v>
      </c>
      <c r="Q35" s="77">
        <v>482610</v>
      </c>
      <c r="R35" s="37">
        <f t="shared" ref="R35" si="663">(+Q35-+Q34)*48</f>
        <v>4416</v>
      </c>
      <c r="S35" s="77">
        <v>772823</v>
      </c>
      <c r="T35" s="37">
        <f t="shared" ref="T35" si="664">(+S35-+S34)*48</f>
        <v>6096</v>
      </c>
      <c r="U35" s="82">
        <v>6179.3180000000002</v>
      </c>
      <c r="V35" s="37">
        <f t="shared" ref="V35" si="665">(+U35-+U34)*48</f>
        <v>897.50400000001537</v>
      </c>
      <c r="W35" s="77">
        <v>85805</v>
      </c>
      <c r="X35" s="37">
        <f t="shared" ref="X35" si="666">(+W35-+W34)*48</f>
        <v>624</v>
      </c>
      <c r="Y35" s="77">
        <v>1523027</v>
      </c>
      <c r="Z35" s="37">
        <f t="shared" ref="Z35" si="667">(+Y35-+Y34)*48</f>
        <v>0</v>
      </c>
      <c r="AA35" s="77">
        <v>13886</v>
      </c>
      <c r="AB35" s="37">
        <f t="shared" ref="AB35" si="668">(+AA35-+AA34)*48</f>
        <v>0</v>
      </c>
      <c r="AC35" s="77">
        <v>509828</v>
      </c>
      <c r="AD35" s="37">
        <f t="shared" ref="AD35" si="669">(+AC35-+AC34)*48</f>
        <v>5616</v>
      </c>
      <c r="AE35" s="77">
        <v>579388</v>
      </c>
      <c r="AF35" s="37">
        <f t="shared" ref="AF35" si="670">(+AE35-+AE34)*48</f>
        <v>6624</v>
      </c>
      <c r="AG35" s="77">
        <v>49800</v>
      </c>
      <c r="AH35" s="37">
        <f t="shared" ref="AH35" si="671">(+AG35-+AG34)*48</f>
        <v>0</v>
      </c>
      <c r="AI35" s="77">
        <v>451537</v>
      </c>
      <c r="AJ35" s="37">
        <f t="shared" ref="AJ35" si="672">(+AI35-+AI34)*48</f>
        <v>4944</v>
      </c>
      <c r="AK35" s="77">
        <v>102770</v>
      </c>
      <c r="AL35" s="37">
        <f t="shared" ref="AL35" si="673">(+AK35-+AK34)*48</f>
        <v>0</v>
      </c>
      <c r="AM35" s="77">
        <v>615930</v>
      </c>
      <c r="AN35" s="37">
        <f t="shared" ref="AN35" si="674">(+AM35-+AM34)*48</f>
        <v>6768</v>
      </c>
      <c r="AO35" s="77">
        <v>4841</v>
      </c>
      <c r="AP35" s="37">
        <f t="shared" ref="AP35" si="675">(+AO35-+AO34)*48</f>
        <v>5520</v>
      </c>
      <c r="AQ35" s="77">
        <v>92355</v>
      </c>
      <c r="AR35" s="37">
        <f t="shared" ref="AR35" si="676">(+AQ35-+AQ34)*48</f>
        <v>0</v>
      </c>
      <c r="AS35" s="77">
        <v>2461</v>
      </c>
      <c r="AT35" s="37">
        <f t="shared" ref="AT35" si="677">(+AS35-+AS34)*48</f>
        <v>0</v>
      </c>
      <c r="AU35" s="77">
        <v>939</v>
      </c>
      <c r="AV35" s="37">
        <f t="shared" ref="AV35" si="678">(+AU35-+AU34)*48</f>
        <v>0</v>
      </c>
      <c r="AW35" s="77">
        <v>3110</v>
      </c>
      <c r="AX35" s="37">
        <f t="shared" ref="AX35" si="679">(+AW35-+AW34)*48</f>
        <v>0</v>
      </c>
      <c r="AY35" s="77">
        <v>353797</v>
      </c>
      <c r="AZ35" s="37">
        <f t="shared" ref="AZ35" si="680">(+AY35-+AY34)*48</f>
        <v>3984</v>
      </c>
      <c r="BA35" s="76">
        <v>161101</v>
      </c>
      <c r="BB35" s="37">
        <f t="shared" ref="BB35" si="681">(+BA35-+BA34)*48</f>
        <v>0</v>
      </c>
      <c r="BC35" s="77">
        <v>239078</v>
      </c>
      <c r="BD35" s="37">
        <f t="shared" ref="BD35" si="682">(+BC35-+BC34)*48</f>
        <v>2544</v>
      </c>
      <c r="BE35" s="77">
        <v>5350</v>
      </c>
      <c r="BF35" s="37">
        <f t="shared" ref="BF35" si="683">(+BE35-+BE34)*48</f>
        <v>0</v>
      </c>
      <c r="BH35" s="105">
        <f t="shared" si="0"/>
        <v>109588.70400000001</v>
      </c>
      <c r="BI35" s="105">
        <f t="shared" si="1"/>
        <v>59788.800000000003</v>
      </c>
    </row>
    <row r="36" spans="1:61" s="35" customFormat="1" ht="39.950000000000003" customHeight="1">
      <c r="A36" s="192">
        <f t="shared" si="33"/>
        <v>44770</v>
      </c>
      <c r="B36" s="34"/>
      <c r="C36" s="77">
        <v>7055637</v>
      </c>
      <c r="D36" s="37">
        <f t="shared" si="2"/>
        <v>107184</v>
      </c>
      <c r="E36" s="104">
        <f t="shared" si="3"/>
        <v>64310.399999999994</v>
      </c>
      <c r="F36" s="37">
        <f t="shared" si="4"/>
        <v>42873.600000000006</v>
      </c>
      <c r="G36" s="77">
        <v>297727</v>
      </c>
      <c r="H36" s="37">
        <f t="shared" ref="H36" si="684">(+G36-+G35)*48</f>
        <v>1872</v>
      </c>
      <c r="I36" s="77">
        <v>197862</v>
      </c>
      <c r="J36" s="37">
        <f t="shared" ref="J36" si="685">(+I36-+I35)*48</f>
        <v>8016</v>
      </c>
      <c r="K36" s="77">
        <v>271262</v>
      </c>
      <c r="L36" s="37">
        <f t="shared" ref="L36" si="686">(+K36-+K35)*48</f>
        <v>1008</v>
      </c>
      <c r="M36" s="77">
        <v>25419</v>
      </c>
      <c r="N36" s="37">
        <f t="shared" ref="N36" si="687">(+M36-+M35)*48</f>
        <v>0</v>
      </c>
      <c r="O36" s="77">
        <v>343267</v>
      </c>
      <c r="P36" s="37">
        <f t="shared" ref="P36" si="688">(+O36-+O35)*48</f>
        <v>9360</v>
      </c>
      <c r="Q36" s="77">
        <v>482682</v>
      </c>
      <c r="R36" s="37">
        <f t="shared" ref="R36" si="689">(+Q36-+Q35)*48</f>
        <v>3456</v>
      </c>
      <c r="S36" s="77">
        <v>772940</v>
      </c>
      <c r="T36" s="37">
        <f t="shared" ref="T36" si="690">(+S36-+S35)*48</f>
        <v>5616</v>
      </c>
      <c r="U36" s="82">
        <v>6197</v>
      </c>
      <c r="V36" s="37">
        <f t="shared" ref="V36" si="691">(+U36-+U35)*48</f>
        <v>848.73599999998987</v>
      </c>
      <c r="W36" s="77">
        <v>85821</v>
      </c>
      <c r="X36" s="37">
        <f t="shared" ref="X36" si="692">(+W36-+W35)*48</f>
        <v>768</v>
      </c>
      <c r="Y36" s="77">
        <v>1523027</v>
      </c>
      <c r="Z36" s="37">
        <f t="shared" ref="Z36" si="693">(+Y36-+Y35)*48</f>
        <v>0</v>
      </c>
      <c r="AA36" s="77">
        <v>13886</v>
      </c>
      <c r="AB36" s="37">
        <f t="shared" ref="AB36" si="694">(+AA36-+AA35)*48</f>
        <v>0</v>
      </c>
      <c r="AC36" s="77">
        <v>509953</v>
      </c>
      <c r="AD36" s="37">
        <f t="shared" ref="AD36" si="695">(+AC36-+AC35)*48</f>
        <v>6000</v>
      </c>
      <c r="AE36" s="77">
        <v>579525</v>
      </c>
      <c r="AF36" s="37">
        <f t="shared" ref="AF36" si="696">(+AE36-+AE35)*48</f>
        <v>6576</v>
      </c>
      <c r="AG36" s="77">
        <v>49800</v>
      </c>
      <c r="AH36" s="37">
        <f t="shared" ref="AH36" si="697">(+AG36-+AG35)*48</f>
        <v>0</v>
      </c>
      <c r="AI36" s="77">
        <v>451639</v>
      </c>
      <c r="AJ36" s="37">
        <f t="shared" ref="AJ36" si="698">(+AI36-+AI35)*48</f>
        <v>4896</v>
      </c>
      <c r="AK36" s="77">
        <v>102770</v>
      </c>
      <c r="AL36" s="37">
        <f t="shared" ref="AL36" si="699">(+AK36-+AK35)*48</f>
        <v>0</v>
      </c>
      <c r="AM36" s="77">
        <v>616068</v>
      </c>
      <c r="AN36" s="37">
        <f t="shared" ref="AN36" si="700">(+AM36-+AM35)*48</f>
        <v>6624</v>
      </c>
      <c r="AO36" s="77">
        <v>4953</v>
      </c>
      <c r="AP36" s="37">
        <f t="shared" ref="AP36" si="701">(+AO36-+AO35)*48</f>
        <v>5376</v>
      </c>
      <c r="AQ36" s="77">
        <v>92355</v>
      </c>
      <c r="AR36" s="37">
        <f t="shared" ref="AR36" si="702">(+AQ36-+AQ35)*48</f>
        <v>0</v>
      </c>
      <c r="AS36" s="77">
        <v>2461</v>
      </c>
      <c r="AT36" s="37">
        <f t="shared" ref="AT36" si="703">(+AS36-+AS35)*48</f>
        <v>0</v>
      </c>
      <c r="AU36" s="77">
        <v>939</v>
      </c>
      <c r="AV36" s="37">
        <f t="shared" ref="AV36" si="704">(+AU36-+AU35)*48</f>
        <v>0</v>
      </c>
      <c r="AW36" s="77">
        <v>3110</v>
      </c>
      <c r="AX36" s="37">
        <f t="shared" ref="AX36" si="705">(+AW36-+AW35)*48</f>
        <v>0</v>
      </c>
      <c r="AY36" s="77">
        <v>353881</v>
      </c>
      <c r="AZ36" s="37">
        <f t="shared" ref="AZ36" si="706">(+AY36-+AY35)*48</f>
        <v>4032</v>
      </c>
      <c r="BA36" s="76">
        <v>161101</v>
      </c>
      <c r="BB36" s="37">
        <f t="shared" ref="BB36" si="707">(+BA36-+BA35)*48</f>
        <v>0</v>
      </c>
      <c r="BC36" s="77">
        <v>239129</v>
      </c>
      <c r="BD36" s="37">
        <f t="shared" ref="BD36" si="708">(+BC36-+BC35)*48</f>
        <v>2448</v>
      </c>
      <c r="BE36" s="77">
        <v>5350</v>
      </c>
      <c r="BF36" s="37">
        <f t="shared" ref="BF36" si="709">(+BE36-+BE35)*48</f>
        <v>0</v>
      </c>
      <c r="BH36" s="105">
        <f t="shared" si="0"/>
        <v>112727.13599999998</v>
      </c>
      <c r="BI36" s="105">
        <f t="shared" si="1"/>
        <v>61353.600000000006</v>
      </c>
    </row>
    <row r="37" spans="1:61" s="35" customFormat="1" ht="39.950000000000003" customHeight="1">
      <c r="A37" s="192">
        <f t="shared" si="33"/>
        <v>44771</v>
      </c>
      <c r="B37" s="34"/>
      <c r="C37" s="77">
        <v>7057867</v>
      </c>
      <c r="D37" s="37">
        <f t="shared" si="2"/>
        <v>107040</v>
      </c>
      <c r="E37" s="104">
        <f t="shared" si="3"/>
        <v>64224</v>
      </c>
      <c r="F37" s="37">
        <f t="shared" si="4"/>
        <v>42816</v>
      </c>
      <c r="G37" s="77">
        <v>297762</v>
      </c>
      <c r="H37" s="37">
        <f t="shared" ref="H37" si="710">(+G37-+G36)*48</f>
        <v>1680</v>
      </c>
      <c r="I37" s="77">
        <v>198025</v>
      </c>
      <c r="J37" s="37">
        <f t="shared" ref="J37" si="711">(+I37-+I36)*48</f>
        <v>7824</v>
      </c>
      <c r="K37" s="77">
        <v>271281</v>
      </c>
      <c r="L37" s="37">
        <f t="shared" ref="L37" si="712">(+K37-+K36)*48</f>
        <v>912</v>
      </c>
      <c r="M37" s="77">
        <v>25419</v>
      </c>
      <c r="N37" s="37">
        <f t="shared" ref="N37" si="713">(+M37-+M36)*48</f>
        <v>0</v>
      </c>
      <c r="O37" s="77">
        <v>343458</v>
      </c>
      <c r="P37" s="37">
        <f t="shared" ref="P37" si="714">(+O37-+O36)*48</f>
        <v>9168</v>
      </c>
      <c r="Q37" s="77">
        <v>482751</v>
      </c>
      <c r="R37" s="37">
        <f t="shared" ref="R37" si="715">(+Q37-+Q36)*48</f>
        <v>3312</v>
      </c>
      <c r="S37" s="77">
        <v>773054</v>
      </c>
      <c r="T37" s="37">
        <f t="shared" ref="T37" si="716">(+S37-+S36)*48</f>
        <v>5472</v>
      </c>
      <c r="U37" s="82">
        <v>6217</v>
      </c>
      <c r="V37" s="37">
        <f t="shared" ref="V37" si="717">(+U37-+U36)*48</f>
        <v>960</v>
      </c>
      <c r="W37" s="77">
        <v>85839</v>
      </c>
      <c r="X37" s="37">
        <f t="shared" ref="X37" si="718">(+W37-+W36)*48</f>
        <v>864</v>
      </c>
      <c r="Y37" s="77">
        <v>1523027</v>
      </c>
      <c r="Z37" s="37">
        <f t="shared" ref="Z37" si="719">(+Y37-+Y36)*48</f>
        <v>0</v>
      </c>
      <c r="AA37" s="77">
        <v>13886</v>
      </c>
      <c r="AB37" s="37">
        <f t="shared" ref="AB37" si="720">(+AA37-+AA36)*48</f>
        <v>0</v>
      </c>
      <c r="AC37" s="77">
        <v>510076</v>
      </c>
      <c r="AD37" s="37">
        <f t="shared" ref="AD37" si="721">(+AC37-+AC36)*48</f>
        <v>5904</v>
      </c>
      <c r="AE37" s="77">
        <v>579661</v>
      </c>
      <c r="AF37" s="37">
        <f t="shared" ref="AF37" si="722">(+AE37-+AE36)*48</f>
        <v>6528</v>
      </c>
      <c r="AG37" s="77">
        <v>49800</v>
      </c>
      <c r="AH37" s="37">
        <f t="shared" ref="AH37" si="723">(+AG37-+AG36)*48</f>
        <v>0</v>
      </c>
      <c r="AI37" s="77">
        <v>451740</v>
      </c>
      <c r="AJ37" s="37">
        <f t="shared" ref="AJ37" si="724">(+AI37-+AI36)*48</f>
        <v>4848</v>
      </c>
      <c r="AK37" s="77">
        <v>102770</v>
      </c>
      <c r="AL37" s="37">
        <f t="shared" ref="AL37" si="725">(+AK37-+AK36)*48</f>
        <v>0</v>
      </c>
      <c r="AM37" s="77">
        <v>616210</v>
      </c>
      <c r="AN37" s="37">
        <f t="shared" ref="AN37" si="726">(+AM37-+AM36)*48</f>
        <v>6816</v>
      </c>
      <c r="AO37" s="77">
        <v>5066</v>
      </c>
      <c r="AP37" s="37">
        <f t="shared" ref="AP37" si="727">(+AO37-+AO36)*48</f>
        <v>5424</v>
      </c>
      <c r="AQ37" s="77">
        <v>92355</v>
      </c>
      <c r="AR37" s="37">
        <f t="shared" ref="AR37" si="728">(+AQ37-+AQ36)*48</f>
        <v>0</v>
      </c>
      <c r="AS37" s="77">
        <v>2461</v>
      </c>
      <c r="AT37" s="37">
        <f t="shared" ref="AT37" si="729">(+AS37-+AS36)*48</f>
        <v>0</v>
      </c>
      <c r="AU37" s="77">
        <v>939</v>
      </c>
      <c r="AV37" s="37">
        <f t="shared" ref="AV37" si="730">(+AU37-+AU36)*48</f>
        <v>0</v>
      </c>
      <c r="AW37" s="77">
        <v>3110</v>
      </c>
      <c r="AX37" s="37">
        <f t="shared" ref="AX37" si="731">(+AW37-+AW36)*48</f>
        <v>0</v>
      </c>
      <c r="AY37" s="77">
        <v>353966</v>
      </c>
      <c r="AZ37" s="37">
        <f t="shared" ref="AZ37" si="732">(+AY37-+AY36)*48</f>
        <v>4080</v>
      </c>
      <c r="BA37" s="76">
        <v>161101</v>
      </c>
      <c r="BB37" s="37">
        <f t="shared" ref="BB37" si="733">(+BA37-+BA36)*48</f>
        <v>0</v>
      </c>
      <c r="BC37" s="77">
        <v>239183</v>
      </c>
      <c r="BD37" s="37">
        <f t="shared" ref="BD37" si="734">(+BC37-+BC36)*48</f>
        <v>2592</v>
      </c>
      <c r="BE37" s="77">
        <v>5350</v>
      </c>
      <c r="BF37" s="37">
        <f t="shared" ref="BF37" si="735">(+BE37-+BE36)*48</f>
        <v>0</v>
      </c>
      <c r="BH37" s="105">
        <f t="shared" si="0"/>
        <v>111696</v>
      </c>
      <c r="BI37" s="105">
        <f t="shared" si="1"/>
        <v>61728</v>
      </c>
    </row>
    <row r="38" spans="1:61" s="35" customFormat="1" ht="39.950000000000003" customHeight="1">
      <c r="A38" s="192">
        <f t="shared" si="33"/>
        <v>44772</v>
      </c>
      <c r="B38" s="34"/>
      <c r="C38" s="77">
        <v>7060476</v>
      </c>
      <c r="D38" s="37">
        <f t="shared" si="2"/>
        <v>125232</v>
      </c>
      <c r="E38" s="104">
        <f t="shared" si="3"/>
        <v>75139.199999999997</v>
      </c>
      <c r="F38" s="37">
        <f t="shared" si="4"/>
        <v>50092.800000000003</v>
      </c>
      <c r="G38" s="77">
        <v>297807</v>
      </c>
      <c r="H38" s="37">
        <f t="shared" ref="H38" si="736">(+G38-+G37)*48</f>
        <v>2160</v>
      </c>
      <c r="I38" s="77">
        <v>198196</v>
      </c>
      <c r="J38" s="37">
        <f t="shared" ref="J38" si="737">(+I38-+I37)*48</f>
        <v>8208</v>
      </c>
      <c r="K38" s="77">
        <v>271321</v>
      </c>
      <c r="L38" s="37">
        <f t="shared" ref="L38" si="738">(+K38-+K37)*48</f>
        <v>1920</v>
      </c>
      <c r="M38" s="77">
        <v>25419</v>
      </c>
      <c r="N38" s="37">
        <f t="shared" ref="N38" si="739">(+M38-+M37)*48</f>
        <v>0</v>
      </c>
      <c r="O38" s="77">
        <v>343648</v>
      </c>
      <c r="P38" s="37">
        <f t="shared" ref="P38" si="740">(+O38-+O37)*48</f>
        <v>9120</v>
      </c>
      <c r="Q38" s="77">
        <v>482827</v>
      </c>
      <c r="R38" s="37">
        <f t="shared" ref="R38" si="741">(+Q38-+Q37)*48</f>
        <v>3648</v>
      </c>
      <c r="S38" s="77">
        <v>773171</v>
      </c>
      <c r="T38" s="37">
        <f t="shared" ref="T38" si="742">(+S38-+S37)*48</f>
        <v>5616</v>
      </c>
      <c r="U38" s="82">
        <v>6234</v>
      </c>
      <c r="V38" s="37">
        <f t="shared" ref="V38" si="743">(+U38-+U37)*48</f>
        <v>816</v>
      </c>
      <c r="W38" s="77">
        <v>85851</v>
      </c>
      <c r="X38" s="37">
        <f t="shared" ref="X38" si="744">(+W38-+W37)*48</f>
        <v>576</v>
      </c>
      <c r="Y38" s="77">
        <v>1523027</v>
      </c>
      <c r="Z38" s="37">
        <f t="shared" ref="Z38" si="745">(+Y38-+Y37)*48</f>
        <v>0</v>
      </c>
      <c r="AA38" s="77">
        <v>13886</v>
      </c>
      <c r="AB38" s="37">
        <f t="shared" ref="AB38" si="746">(+AA38-+AA37)*48</f>
        <v>0</v>
      </c>
      <c r="AC38" s="77">
        <v>510202</v>
      </c>
      <c r="AD38" s="37">
        <f t="shared" ref="AD38" si="747">(+AC38-+AC37)*48</f>
        <v>6048</v>
      </c>
      <c r="AE38" s="77">
        <v>579798</v>
      </c>
      <c r="AF38" s="37">
        <f t="shared" ref="AF38" si="748">(+AE38-+AE37)*48</f>
        <v>6576</v>
      </c>
      <c r="AG38" s="77">
        <v>49800</v>
      </c>
      <c r="AH38" s="37">
        <f t="shared" ref="AH38" si="749">(+AG38-+AG37)*48</f>
        <v>0</v>
      </c>
      <c r="AI38" s="77">
        <v>451853</v>
      </c>
      <c r="AJ38" s="37">
        <f t="shared" ref="AJ38" si="750">(+AI38-+AI37)*48</f>
        <v>5424</v>
      </c>
      <c r="AK38" s="77">
        <v>102770</v>
      </c>
      <c r="AL38" s="37">
        <f t="shared" ref="AL38" si="751">(+AK38-+AK37)*48</f>
        <v>0</v>
      </c>
      <c r="AM38" s="77">
        <v>616353</v>
      </c>
      <c r="AN38" s="37">
        <f t="shared" ref="AN38" si="752">(+AM38-+AM37)*48</f>
        <v>6864</v>
      </c>
      <c r="AO38" s="77">
        <v>5179</v>
      </c>
      <c r="AP38" s="37">
        <f t="shared" ref="AP38" si="753">(+AO38-+AO37)*48</f>
        <v>5424</v>
      </c>
      <c r="AQ38" s="77">
        <v>92355</v>
      </c>
      <c r="AR38" s="37">
        <f t="shared" ref="AR38" si="754">(+AQ38-+AQ37)*48</f>
        <v>0</v>
      </c>
      <c r="AS38" s="77">
        <v>2461</v>
      </c>
      <c r="AT38" s="37">
        <f t="shared" ref="AT38" si="755">(+AS38-+AS37)*48</f>
        <v>0</v>
      </c>
      <c r="AU38" s="77">
        <v>939</v>
      </c>
      <c r="AV38" s="37">
        <f t="shared" ref="AV38" si="756">(+AU38-+AU37)*48</f>
        <v>0</v>
      </c>
      <c r="AW38" s="77">
        <v>3110</v>
      </c>
      <c r="AX38" s="37">
        <f t="shared" ref="AX38" si="757">(+AW38-+AW37)*48</f>
        <v>0</v>
      </c>
      <c r="AY38" s="77">
        <v>354050</v>
      </c>
      <c r="AZ38" s="37">
        <f t="shared" ref="AZ38" si="758">(+AY38-+AY37)*48</f>
        <v>4032</v>
      </c>
      <c r="BA38" s="76">
        <v>161101</v>
      </c>
      <c r="BB38" s="37">
        <f t="shared" ref="BB38" si="759">(+BA38-+BA37)*48</f>
        <v>0</v>
      </c>
      <c r="BC38" s="77">
        <v>239239</v>
      </c>
      <c r="BD38" s="37">
        <f t="shared" ref="BD38" si="760">(+BC38-+BC37)*48</f>
        <v>2688</v>
      </c>
      <c r="BE38" s="77">
        <v>5350</v>
      </c>
      <c r="BF38" s="37">
        <f t="shared" ref="BF38" si="761">(+BE38-+BE37)*48</f>
        <v>0</v>
      </c>
      <c r="BH38" s="105">
        <f t="shared" si="0"/>
        <v>125251.2</v>
      </c>
      <c r="BI38" s="105">
        <f t="shared" si="1"/>
        <v>69100.800000000003</v>
      </c>
    </row>
    <row r="39" spans="1:61" s="35" customFormat="1" ht="39.950000000000003" customHeight="1">
      <c r="A39" s="192">
        <f t="shared" si="33"/>
        <v>44773</v>
      </c>
      <c r="B39" s="34"/>
      <c r="C39" s="77">
        <v>7062821</v>
      </c>
      <c r="D39" s="37">
        <f t="shared" si="2"/>
        <v>112560</v>
      </c>
      <c r="E39" s="104">
        <f t="shared" si="3"/>
        <v>67536</v>
      </c>
      <c r="F39" s="37">
        <f t="shared" si="4"/>
        <v>45024</v>
      </c>
      <c r="G39" s="77">
        <v>297870</v>
      </c>
      <c r="H39" s="37">
        <f t="shared" ref="H39" si="762">(+G39-+G38)*48</f>
        <v>3024</v>
      </c>
      <c r="I39" s="77">
        <v>198366</v>
      </c>
      <c r="J39" s="37">
        <f t="shared" ref="J39" si="763">(+I39-+I38)*48</f>
        <v>8160</v>
      </c>
      <c r="K39" s="77">
        <v>271407</v>
      </c>
      <c r="L39" s="37">
        <f t="shared" ref="L39" si="764">(+K39-+K38)*48</f>
        <v>4128</v>
      </c>
      <c r="M39" s="77">
        <v>25427</v>
      </c>
      <c r="N39" s="37">
        <f t="shared" ref="N39" si="765">(+M39-+M38)*48</f>
        <v>384</v>
      </c>
      <c r="O39" s="77">
        <v>343856</v>
      </c>
      <c r="P39" s="37">
        <f t="shared" ref="P39" si="766">(+O39-+O38)*48</f>
        <v>9984</v>
      </c>
      <c r="Q39" s="77">
        <v>482905</v>
      </c>
      <c r="R39" s="37">
        <f t="shared" ref="R39" si="767">(+Q39-+Q38)*48</f>
        <v>3744</v>
      </c>
      <c r="S39" s="77">
        <v>773292</v>
      </c>
      <c r="T39" s="37">
        <f t="shared" ref="T39" si="768">(+S39-+S38)*48</f>
        <v>5808</v>
      </c>
      <c r="U39" s="77">
        <v>6251</v>
      </c>
      <c r="V39" s="37">
        <f t="shared" ref="V39" si="769">(+U39-+U38)*48</f>
        <v>816</v>
      </c>
      <c r="W39" s="77">
        <v>85873</v>
      </c>
      <c r="X39" s="37">
        <f t="shared" ref="X39" si="770">(+W39-+W38)*48</f>
        <v>1056</v>
      </c>
      <c r="Y39" s="77">
        <v>1523027</v>
      </c>
      <c r="Z39" s="37">
        <f t="shared" ref="Z39" si="771">(+Y39-+Y38)*48</f>
        <v>0</v>
      </c>
      <c r="AA39" s="77">
        <v>13886</v>
      </c>
      <c r="AB39" s="37">
        <f t="shared" ref="AB39" si="772">(+AA39-+AA38)*48</f>
        <v>0</v>
      </c>
      <c r="AC39" s="77">
        <v>510322</v>
      </c>
      <c r="AD39" s="37">
        <f t="shared" ref="AD39" si="773">(+AC39-+AC38)*48</f>
        <v>5760</v>
      </c>
      <c r="AE39" s="77">
        <v>579928</v>
      </c>
      <c r="AF39" s="37">
        <f t="shared" ref="AF39" si="774">(+AE39-+AE38)*48</f>
        <v>6240</v>
      </c>
      <c r="AG39" s="77">
        <v>49800</v>
      </c>
      <c r="AH39" s="37">
        <f t="shared" ref="AH39" si="775">(+AG39-+AG38)*48</f>
        <v>0</v>
      </c>
      <c r="AI39" s="77">
        <v>451897</v>
      </c>
      <c r="AJ39" s="37">
        <f t="shared" ref="AJ39" si="776">(+AI39-+AI38)*48</f>
        <v>2112</v>
      </c>
      <c r="AK39" s="77">
        <v>102770</v>
      </c>
      <c r="AL39" s="37">
        <f t="shared" ref="AL39" si="777">(+AK39-+AK38)*48</f>
        <v>0</v>
      </c>
      <c r="AM39" s="77">
        <v>616498</v>
      </c>
      <c r="AN39" s="37">
        <f t="shared" ref="AN39" si="778">(+AM39-+AM38)*48</f>
        <v>6960</v>
      </c>
      <c r="AO39" s="77">
        <v>5294</v>
      </c>
      <c r="AP39" s="37">
        <f t="shared" ref="AP39" si="779">(+AO39-+AO38)*48</f>
        <v>5520</v>
      </c>
      <c r="AQ39" s="77">
        <v>92355</v>
      </c>
      <c r="AR39" s="37">
        <f t="shared" ref="AR39" si="780">(+AQ39-+AQ38)*48</f>
        <v>0</v>
      </c>
      <c r="AS39" s="77">
        <v>2461</v>
      </c>
      <c r="AT39" s="37">
        <f t="shared" ref="AT39" si="781">(+AS39-+AS38)*48</f>
        <v>0</v>
      </c>
      <c r="AU39" s="77">
        <v>939</v>
      </c>
      <c r="AV39" s="37">
        <f t="shared" ref="AV39" si="782">(+AU39-+AU38)*48</f>
        <v>0</v>
      </c>
      <c r="AW39" s="77">
        <v>3110</v>
      </c>
      <c r="AX39" s="37">
        <f t="shared" ref="AX39" si="783">(+AW39-+AW38)*48</f>
        <v>0</v>
      </c>
      <c r="AY39" s="77">
        <v>354139</v>
      </c>
      <c r="AZ39" s="37">
        <f t="shared" ref="AZ39" si="784">(+AY39-+AY38)*48</f>
        <v>4272</v>
      </c>
      <c r="BA39" s="76">
        <v>161101</v>
      </c>
      <c r="BB39" s="37">
        <f t="shared" ref="BB39" si="785">(+BA39-+BA38)*48</f>
        <v>0</v>
      </c>
      <c r="BC39" s="77">
        <v>239288</v>
      </c>
      <c r="BD39" s="37">
        <f t="shared" ref="BD39" si="786">(+BC39-+BC38)*48</f>
        <v>2352</v>
      </c>
      <c r="BE39" s="77">
        <v>5350</v>
      </c>
      <c r="BF39" s="37">
        <f t="shared" ref="BF39" si="787">(+BE39-+BE38)*48</f>
        <v>0</v>
      </c>
      <c r="BH39" s="105">
        <f t="shared" si="0"/>
        <v>118752</v>
      </c>
      <c r="BI39" s="105">
        <f t="shared" si="1"/>
        <v>64128</v>
      </c>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70" t="s">
        <v>197</v>
      </c>
      <c r="C1" s="270"/>
      <c r="D1" s="270" t="s">
        <v>197</v>
      </c>
      <c r="E1" s="270"/>
      <c r="F1" s="270" t="s">
        <v>197</v>
      </c>
      <c r="G1" s="270"/>
      <c r="H1" s="270" t="s">
        <v>198</v>
      </c>
      <c r="I1" s="270"/>
      <c r="J1" s="267"/>
      <c r="K1" s="267"/>
      <c r="L1" s="270" t="s">
        <v>199</v>
      </c>
      <c r="M1" s="270"/>
      <c r="N1" s="270" t="s">
        <v>199</v>
      </c>
      <c r="O1" s="270"/>
      <c r="P1" s="270" t="s">
        <v>199</v>
      </c>
      <c r="Q1" s="270"/>
      <c r="R1" s="270" t="s">
        <v>199</v>
      </c>
      <c r="S1" s="270"/>
      <c r="T1" s="270" t="s">
        <v>200</v>
      </c>
      <c r="U1" s="270"/>
      <c r="V1" s="278" t="s">
        <v>200</v>
      </c>
      <c r="W1" s="278"/>
      <c r="X1" s="270" t="s">
        <v>200</v>
      </c>
      <c r="Y1" s="270"/>
      <c r="Z1" s="270" t="s">
        <v>200</v>
      </c>
      <c r="AA1" s="270"/>
      <c r="AB1" s="267"/>
      <c r="AC1" s="267"/>
      <c r="AD1" s="270" t="s">
        <v>200</v>
      </c>
      <c r="AE1" s="270"/>
      <c r="AF1" s="270" t="s">
        <v>200</v>
      </c>
      <c r="AG1" s="270"/>
      <c r="AH1" s="270" t="s">
        <v>201</v>
      </c>
      <c r="AI1" s="270"/>
      <c r="AJ1" s="270" t="s">
        <v>201</v>
      </c>
      <c r="AK1" s="270"/>
      <c r="AL1" s="279" t="s">
        <v>201</v>
      </c>
      <c r="AM1" s="279"/>
      <c r="AN1" s="270" t="s">
        <v>201</v>
      </c>
      <c r="AO1" s="270"/>
      <c r="AP1" s="267" t="s">
        <v>201</v>
      </c>
      <c r="AQ1" s="267"/>
      <c r="AR1" s="279" t="s">
        <v>201</v>
      </c>
      <c r="AS1" s="279"/>
      <c r="AT1" s="270" t="s">
        <v>201</v>
      </c>
      <c r="AU1" s="270"/>
      <c r="AV1" s="267"/>
      <c r="AW1" s="267"/>
      <c r="AX1" s="270" t="s">
        <v>201</v>
      </c>
      <c r="AY1" s="270"/>
      <c r="AZ1" s="270" t="s">
        <v>201</v>
      </c>
      <c r="BA1" s="270"/>
      <c r="BB1" s="270" t="s">
        <v>201</v>
      </c>
      <c r="BC1" s="270"/>
      <c r="BD1" s="270" t="s">
        <v>202</v>
      </c>
      <c r="BE1" s="270"/>
      <c r="BF1" s="270" t="s">
        <v>202</v>
      </c>
      <c r="BG1" s="270"/>
      <c r="BH1" s="270" t="s">
        <v>202</v>
      </c>
      <c r="BI1" s="270"/>
      <c r="BJ1" s="270" t="s">
        <v>202</v>
      </c>
      <c r="BK1" s="270"/>
      <c r="BL1" s="270" t="s">
        <v>202</v>
      </c>
      <c r="BM1" s="270"/>
      <c r="BN1" s="270" t="s">
        <v>202</v>
      </c>
      <c r="BO1" s="270"/>
      <c r="BP1" s="270" t="s">
        <v>202</v>
      </c>
      <c r="BQ1" s="270"/>
      <c r="BR1" s="270" t="s">
        <v>202</v>
      </c>
      <c r="BS1" s="270"/>
      <c r="BT1" s="270" t="s">
        <v>202</v>
      </c>
      <c r="BU1" s="270"/>
      <c r="BV1" s="270" t="s">
        <v>202</v>
      </c>
      <c r="BW1" s="270"/>
      <c r="BX1" s="270" t="s">
        <v>202</v>
      </c>
      <c r="BY1" s="270"/>
      <c r="BZ1" s="270" t="s">
        <v>203</v>
      </c>
      <c r="CA1" s="270"/>
      <c r="CB1" s="278" t="s">
        <v>203</v>
      </c>
      <c r="CC1" s="278"/>
      <c r="CD1" s="270" t="s">
        <v>203</v>
      </c>
      <c r="CE1" s="270"/>
      <c r="CF1" s="270" t="s">
        <v>203</v>
      </c>
      <c r="CG1" s="270"/>
      <c r="CH1" s="270" t="s">
        <v>204</v>
      </c>
      <c r="CI1" s="270"/>
      <c r="CJ1" s="270" t="s">
        <v>204</v>
      </c>
      <c r="CK1" s="270"/>
      <c r="CL1" s="270" t="s">
        <v>204</v>
      </c>
      <c r="CM1" s="270"/>
      <c r="CN1" s="270" t="s">
        <v>205</v>
      </c>
      <c r="CO1" s="270"/>
      <c r="CP1" s="270" t="s">
        <v>205</v>
      </c>
      <c r="CQ1" s="270"/>
      <c r="CR1" s="278" t="s">
        <v>205</v>
      </c>
      <c r="CS1" s="278"/>
      <c r="CT1" s="270" t="s">
        <v>205</v>
      </c>
      <c r="CU1" s="270"/>
      <c r="CV1" s="270" t="s">
        <v>205</v>
      </c>
      <c r="CW1" s="270"/>
      <c r="CX1" s="270" t="s">
        <v>205</v>
      </c>
      <c r="CY1" s="270"/>
      <c r="CZ1" s="270" t="s">
        <v>205</v>
      </c>
      <c r="DA1" s="270"/>
      <c r="DB1" s="270" t="s">
        <v>205</v>
      </c>
      <c r="DC1" s="270"/>
      <c r="DD1" s="270" t="s">
        <v>205</v>
      </c>
      <c r="DE1" s="270"/>
      <c r="DF1" s="270" t="s">
        <v>205</v>
      </c>
      <c r="DG1" s="270"/>
      <c r="DH1" s="270" t="s">
        <v>205</v>
      </c>
      <c r="DI1" s="270"/>
      <c r="DJ1" s="267" t="s">
        <v>205</v>
      </c>
      <c r="DK1" s="267"/>
      <c r="DL1" s="270" t="s">
        <v>206</v>
      </c>
      <c r="DM1" s="270"/>
      <c r="DN1" s="270" t="s">
        <v>206</v>
      </c>
      <c r="DO1" s="270"/>
      <c r="DP1" s="270" t="s">
        <v>206</v>
      </c>
      <c r="DQ1" s="270"/>
      <c r="DR1" s="270" t="s">
        <v>206</v>
      </c>
      <c r="DS1" s="270"/>
      <c r="DT1" s="270" t="s">
        <v>206</v>
      </c>
      <c r="DU1" s="270"/>
      <c r="DV1" s="270" t="s">
        <v>206</v>
      </c>
      <c r="DW1" s="270"/>
      <c r="DX1" s="270" t="s">
        <v>207</v>
      </c>
      <c r="DY1" s="270"/>
      <c r="DZ1" s="270" t="s">
        <v>207</v>
      </c>
      <c r="EA1" s="270"/>
      <c r="EB1" s="270" t="s">
        <v>207</v>
      </c>
      <c r="EC1" s="270"/>
      <c r="ED1" s="270" t="s">
        <v>207</v>
      </c>
      <c r="EE1" s="270"/>
      <c r="EF1" s="270" t="s">
        <v>207</v>
      </c>
      <c r="EG1" s="270"/>
      <c r="EH1" s="270" t="s">
        <v>207</v>
      </c>
      <c r="EI1" s="270"/>
      <c r="EJ1" s="270" t="s">
        <v>207</v>
      </c>
      <c r="EK1" s="270"/>
      <c r="EL1" s="270" t="s">
        <v>208</v>
      </c>
      <c r="EM1" s="270"/>
      <c r="EN1" s="270" t="s">
        <v>208</v>
      </c>
      <c r="EO1" s="270"/>
      <c r="EP1" s="270" t="s">
        <v>208</v>
      </c>
      <c r="EQ1" s="270"/>
      <c r="ER1" s="270" t="s">
        <v>209</v>
      </c>
      <c r="ES1" s="270"/>
      <c r="ET1" s="270" t="s">
        <v>209</v>
      </c>
      <c r="EU1" s="270"/>
      <c r="EV1" s="270" t="s">
        <v>209</v>
      </c>
      <c r="EW1" s="270"/>
      <c r="EX1" s="270" t="s">
        <v>210</v>
      </c>
      <c r="EY1" s="270"/>
      <c r="EZ1" s="270" t="s">
        <v>211</v>
      </c>
      <c r="FA1" s="270"/>
      <c r="FB1" s="270" t="s">
        <v>211</v>
      </c>
      <c r="FC1" s="270"/>
      <c r="FD1" s="270" t="s">
        <v>211</v>
      </c>
      <c r="FE1" s="270"/>
      <c r="FF1" s="270" t="s">
        <v>212</v>
      </c>
      <c r="FG1" s="270"/>
      <c r="FH1" s="270" t="s">
        <v>212</v>
      </c>
      <c r="FI1" s="270"/>
      <c r="FJ1" s="270" t="s">
        <v>212</v>
      </c>
      <c r="FK1" s="270"/>
      <c r="FL1" s="267" t="s">
        <v>212</v>
      </c>
      <c r="FM1" s="267"/>
    </row>
    <row r="2" spans="1:169" s="23" customFormat="1" ht="49.5" customHeight="1">
      <c r="B2" s="270" t="s">
        <v>213</v>
      </c>
      <c r="C2" s="270"/>
      <c r="D2" s="270" t="s">
        <v>214</v>
      </c>
      <c r="E2" s="270"/>
      <c r="F2" s="270" t="s">
        <v>213</v>
      </c>
      <c r="G2" s="270"/>
      <c r="H2" s="270" t="s">
        <v>214</v>
      </c>
      <c r="I2" s="270"/>
      <c r="J2" s="270" t="s">
        <v>214</v>
      </c>
      <c r="K2" s="270"/>
      <c r="L2" s="270" t="s">
        <v>213</v>
      </c>
      <c r="M2" s="270"/>
      <c r="N2" s="270" t="s">
        <v>213</v>
      </c>
      <c r="O2" s="270"/>
      <c r="P2" s="270" t="s">
        <v>214</v>
      </c>
      <c r="Q2" s="270"/>
      <c r="R2" s="270" t="s">
        <v>214</v>
      </c>
      <c r="S2" s="270"/>
      <c r="T2" s="270" t="s">
        <v>213</v>
      </c>
      <c r="U2" s="270"/>
      <c r="V2" s="270" t="s">
        <v>214</v>
      </c>
      <c r="W2" s="270"/>
      <c r="X2" s="270" t="s">
        <v>214</v>
      </c>
      <c r="Y2" s="270"/>
      <c r="Z2" s="270" t="s">
        <v>214</v>
      </c>
      <c r="AA2" s="270"/>
      <c r="AB2" s="267" t="s">
        <v>214</v>
      </c>
      <c r="AC2" s="267"/>
      <c r="AD2" s="270" t="s">
        <v>213</v>
      </c>
      <c r="AE2" s="270"/>
      <c r="AF2" s="270" t="s">
        <v>214</v>
      </c>
      <c r="AG2" s="270"/>
      <c r="AH2" s="270" t="s">
        <v>214</v>
      </c>
      <c r="AI2" s="270"/>
      <c r="AJ2" s="270" t="s">
        <v>214</v>
      </c>
      <c r="AK2" s="270"/>
      <c r="AL2" s="270" t="s">
        <v>214</v>
      </c>
      <c r="AM2" s="270"/>
      <c r="AN2" s="270" t="s">
        <v>214</v>
      </c>
      <c r="AO2" s="270"/>
      <c r="AP2" s="267" t="s">
        <v>214</v>
      </c>
      <c r="AQ2" s="267"/>
      <c r="AR2" s="270" t="s">
        <v>214</v>
      </c>
      <c r="AS2" s="270"/>
      <c r="AT2" s="270" t="s">
        <v>214</v>
      </c>
      <c r="AU2" s="270"/>
      <c r="AV2" s="267" t="s">
        <v>214</v>
      </c>
      <c r="AW2" s="267"/>
      <c r="AX2" s="270" t="s">
        <v>214</v>
      </c>
      <c r="AY2" s="270"/>
      <c r="AZ2" s="270" t="s">
        <v>214</v>
      </c>
      <c r="BA2" s="270"/>
      <c r="BB2" s="270" t="s">
        <v>214</v>
      </c>
      <c r="BC2" s="270"/>
      <c r="BD2" s="270" t="s">
        <v>213</v>
      </c>
      <c r="BE2" s="270"/>
      <c r="BF2" s="270" t="s">
        <v>215</v>
      </c>
      <c r="BG2" s="270"/>
      <c r="BH2" s="270" t="s">
        <v>214</v>
      </c>
      <c r="BI2" s="270"/>
      <c r="BJ2" s="270" t="s">
        <v>214</v>
      </c>
      <c r="BK2" s="270"/>
      <c r="BL2" s="270" t="s">
        <v>214</v>
      </c>
      <c r="BM2" s="270"/>
      <c r="BN2" s="270" t="s">
        <v>214</v>
      </c>
      <c r="BO2" s="270"/>
      <c r="BP2" s="270" t="s">
        <v>214</v>
      </c>
      <c r="BQ2" s="270"/>
      <c r="BR2" s="270" t="s">
        <v>214</v>
      </c>
      <c r="BS2" s="270"/>
      <c r="BT2" s="270" t="s">
        <v>214</v>
      </c>
      <c r="BU2" s="270"/>
      <c r="BV2" s="270" t="s">
        <v>214</v>
      </c>
      <c r="BW2" s="270"/>
      <c r="BX2" s="270" t="s">
        <v>214</v>
      </c>
      <c r="BY2" s="270"/>
      <c r="BZ2" s="270" t="s">
        <v>213</v>
      </c>
      <c r="CA2" s="270"/>
      <c r="CB2" s="270" t="s">
        <v>213</v>
      </c>
      <c r="CC2" s="270"/>
      <c r="CD2" s="270" t="s">
        <v>213</v>
      </c>
      <c r="CE2" s="270"/>
      <c r="CF2" s="270" t="s">
        <v>213</v>
      </c>
      <c r="CG2" s="270"/>
      <c r="CH2" s="270" t="s">
        <v>214</v>
      </c>
      <c r="CI2" s="270"/>
      <c r="CJ2" s="270" t="s">
        <v>214</v>
      </c>
      <c r="CK2" s="270"/>
      <c r="CL2" s="270" t="s">
        <v>214</v>
      </c>
      <c r="CM2" s="270"/>
      <c r="CN2" s="270" t="s">
        <v>213</v>
      </c>
      <c r="CO2" s="270"/>
      <c r="CP2" s="270" t="s">
        <v>214</v>
      </c>
      <c r="CQ2" s="270"/>
      <c r="CR2" s="270" t="s">
        <v>214</v>
      </c>
      <c r="CS2" s="270"/>
      <c r="CT2" s="270" t="s">
        <v>214</v>
      </c>
      <c r="CU2" s="270"/>
      <c r="CV2" s="270" t="s">
        <v>214</v>
      </c>
      <c r="CW2" s="270"/>
      <c r="CX2" s="270" t="s">
        <v>214</v>
      </c>
      <c r="CY2" s="270"/>
      <c r="CZ2" s="270" t="s">
        <v>214</v>
      </c>
      <c r="DA2" s="270"/>
      <c r="DB2" s="270" t="s">
        <v>213</v>
      </c>
      <c r="DC2" s="270"/>
      <c r="DD2" s="270" t="s">
        <v>214</v>
      </c>
      <c r="DE2" s="270"/>
      <c r="DF2" s="270" t="s">
        <v>214</v>
      </c>
      <c r="DG2" s="270"/>
      <c r="DH2" s="270" t="s">
        <v>214</v>
      </c>
      <c r="DI2" s="270"/>
      <c r="DJ2" s="267" t="s">
        <v>214</v>
      </c>
      <c r="DK2" s="267"/>
      <c r="DL2" s="270" t="s">
        <v>214</v>
      </c>
      <c r="DM2" s="270"/>
      <c r="DN2" s="270" t="s">
        <v>214</v>
      </c>
      <c r="DO2" s="270"/>
      <c r="DP2" s="270" t="s">
        <v>214</v>
      </c>
      <c r="DQ2" s="270"/>
      <c r="DR2" s="270" t="s">
        <v>214</v>
      </c>
      <c r="DS2" s="270"/>
      <c r="DT2" s="270" t="s">
        <v>214</v>
      </c>
      <c r="DU2" s="270"/>
      <c r="DV2" s="270" t="s">
        <v>214</v>
      </c>
      <c r="DW2" s="270"/>
      <c r="DX2" s="270" t="s">
        <v>214</v>
      </c>
      <c r="DY2" s="270"/>
      <c r="DZ2" s="270" t="s">
        <v>214</v>
      </c>
      <c r="EA2" s="270"/>
      <c r="EB2" s="270" t="s">
        <v>214</v>
      </c>
      <c r="EC2" s="270"/>
      <c r="ED2" s="270" t="s">
        <v>214</v>
      </c>
      <c r="EE2" s="270"/>
      <c r="EF2" s="270" t="s">
        <v>214</v>
      </c>
      <c r="EG2" s="270"/>
      <c r="EH2" s="270" t="s">
        <v>214</v>
      </c>
      <c r="EI2" s="270"/>
      <c r="EJ2" s="270" t="s">
        <v>214</v>
      </c>
      <c r="EK2" s="270"/>
      <c r="EL2" s="270" t="s">
        <v>214</v>
      </c>
      <c r="EM2" s="270"/>
      <c r="EN2" s="270" t="s">
        <v>214</v>
      </c>
      <c r="EO2" s="270"/>
      <c r="EP2" s="270" t="s">
        <v>214</v>
      </c>
      <c r="EQ2" s="270"/>
      <c r="ER2" s="270" t="s">
        <v>214</v>
      </c>
      <c r="ES2" s="270"/>
      <c r="ET2" s="270" t="s">
        <v>214</v>
      </c>
      <c r="EU2" s="270"/>
      <c r="EV2" s="270" t="s">
        <v>214</v>
      </c>
      <c r="EW2" s="270"/>
      <c r="EX2" s="270" t="s">
        <v>214</v>
      </c>
      <c r="EY2" s="270"/>
      <c r="EZ2" s="270" t="s">
        <v>214</v>
      </c>
      <c r="FA2" s="270"/>
      <c r="FB2" s="270" t="s">
        <v>214</v>
      </c>
      <c r="FC2" s="270"/>
      <c r="FD2" s="270" t="s">
        <v>214</v>
      </c>
      <c r="FE2" s="270"/>
      <c r="FF2" s="270" t="s">
        <v>214</v>
      </c>
      <c r="FG2" s="270"/>
      <c r="FH2" s="270" t="s">
        <v>214</v>
      </c>
      <c r="FI2" s="270"/>
      <c r="FJ2" s="270" t="s">
        <v>214</v>
      </c>
      <c r="FK2" s="270"/>
      <c r="FL2" s="267" t="s">
        <v>214</v>
      </c>
      <c r="FM2" s="267"/>
    </row>
    <row r="3" spans="1:169" s="23" customFormat="1" ht="49.5" customHeight="1">
      <c r="B3" s="219" t="s">
        <v>67</v>
      </c>
      <c r="C3" s="220"/>
      <c r="D3" s="219" t="s">
        <v>216</v>
      </c>
      <c r="E3" s="220"/>
      <c r="F3" s="219"/>
      <c r="G3" s="220"/>
      <c r="H3" s="219" t="s">
        <v>216</v>
      </c>
      <c r="I3" s="220"/>
      <c r="J3" s="219" t="s">
        <v>216</v>
      </c>
      <c r="K3" s="220"/>
      <c r="L3" s="219"/>
      <c r="M3" s="220"/>
      <c r="N3" s="219"/>
      <c r="O3" s="220"/>
      <c r="P3" s="219" t="s">
        <v>216</v>
      </c>
      <c r="Q3" s="220"/>
      <c r="R3" s="219" t="s">
        <v>216</v>
      </c>
      <c r="S3" s="220"/>
      <c r="T3" s="219"/>
      <c r="U3" s="220"/>
      <c r="V3" s="219" t="s">
        <v>217</v>
      </c>
      <c r="W3" s="220"/>
      <c r="X3" s="219" t="s">
        <v>217</v>
      </c>
      <c r="Y3" s="220"/>
      <c r="Z3" s="219" t="s">
        <v>217</v>
      </c>
      <c r="AA3" s="220"/>
      <c r="AB3" s="276" t="s">
        <v>217</v>
      </c>
      <c r="AC3" s="277"/>
      <c r="AD3" s="219"/>
      <c r="AE3" s="220"/>
      <c r="AF3" s="219" t="s">
        <v>217</v>
      </c>
      <c r="AG3" s="220"/>
      <c r="AH3" s="219" t="s">
        <v>216</v>
      </c>
      <c r="AI3" s="220"/>
      <c r="AJ3" s="219" t="s">
        <v>216</v>
      </c>
      <c r="AK3" s="220"/>
      <c r="AL3" s="219" t="s">
        <v>216</v>
      </c>
      <c r="AM3" s="220"/>
      <c r="AN3" s="219" t="s">
        <v>216</v>
      </c>
      <c r="AO3" s="220"/>
      <c r="AP3" s="276" t="s">
        <v>216</v>
      </c>
      <c r="AQ3" s="277"/>
      <c r="AR3" s="219" t="s">
        <v>216</v>
      </c>
      <c r="AS3" s="220"/>
      <c r="AT3" s="219" t="s">
        <v>216</v>
      </c>
      <c r="AU3" s="220"/>
      <c r="AV3" s="276" t="s">
        <v>216</v>
      </c>
      <c r="AW3" s="277"/>
      <c r="AX3" s="219" t="s">
        <v>216</v>
      </c>
      <c r="AY3" s="220"/>
      <c r="AZ3" s="219" t="s">
        <v>216</v>
      </c>
      <c r="BA3" s="220"/>
      <c r="BB3" s="219" t="s">
        <v>216</v>
      </c>
      <c r="BC3" s="220"/>
      <c r="BD3" s="219"/>
      <c r="BE3" s="220"/>
      <c r="BF3" s="219"/>
      <c r="BG3" s="220"/>
      <c r="BH3" s="219" t="s">
        <v>216</v>
      </c>
      <c r="BI3" s="220"/>
      <c r="BJ3" s="219" t="s">
        <v>216</v>
      </c>
      <c r="BK3" s="220"/>
      <c r="BL3" s="219" t="s">
        <v>216</v>
      </c>
      <c r="BM3" s="220"/>
      <c r="BN3" s="219" t="s">
        <v>216</v>
      </c>
      <c r="BO3" s="220"/>
      <c r="BP3" s="219" t="s">
        <v>216</v>
      </c>
      <c r="BQ3" s="220"/>
      <c r="BR3" s="219" t="s">
        <v>216</v>
      </c>
      <c r="BS3" s="220"/>
      <c r="BT3" s="219" t="s">
        <v>216</v>
      </c>
      <c r="BU3" s="220"/>
      <c r="BV3" s="219" t="s">
        <v>216</v>
      </c>
      <c r="BW3" s="220"/>
      <c r="BX3" s="219" t="s">
        <v>216</v>
      </c>
      <c r="BY3" s="220"/>
      <c r="BZ3" s="219" t="s">
        <v>66</v>
      </c>
      <c r="CA3" s="220"/>
      <c r="CB3" s="219" t="s">
        <v>66</v>
      </c>
      <c r="CC3" s="220"/>
      <c r="CD3" s="219" t="s">
        <v>66</v>
      </c>
      <c r="CE3" s="220"/>
      <c r="CF3" s="111"/>
      <c r="CG3" s="111"/>
      <c r="CH3" s="219" t="s">
        <v>67</v>
      </c>
      <c r="CI3" s="220"/>
      <c r="CJ3" s="219" t="s">
        <v>67</v>
      </c>
      <c r="CK3" s="220"/>
      <c r="CL3" s="219" t="s">
        <v>216</v>
      </c>
      <c r="CM3" s="220"/>
      <c r="CN3" s="219"/>
      <c r="CO3" s="220"/>
      <c r="CP3" s="219" t="s">
        <v>216</v>
      </c>
      <c r="CQ3" s="220"/>
      <c r="CR3" s="219" t="s">
        <v>216</v>
      </c>
      <c r="CS3" s="220"/>
      <c r="CT3" s="219" t="s">
        <v>216</v>
      </c>
      <c r="CU3" s="220"/>
      <c r="CV3" s="219" t="s">
        <v>216</v>
      </c>
      <c r="CW3" s="220"/>
      <c r="CX3" s="219" t="s">
        <v>216</v>
      </c>
      <c r="CY3" s="220"/>
      <c r="CZ3" s="219" t="s">
        <v>216</v>
      </c>
      <c r="DA3" s="220"/>
      <c r="DB3" s="219" t="s">
        <v>216</v>
      </c>
      <c r="DC3" s="220"/>
      <c r="DD3" s="219" t="s">
        <v>216</v>
      </c>
      <c r="DE3" s="220"/>
      <c r="DF3" s="219" t="s">
        <v>216</v>
      </c>
      <c r="DG3" s="220"/>
      <c r="DH3" s="219" t="s">
        <v>216</v>
      </c>
      <c r="DI3" s="220"/>
      <c r="DJ3" s="276" t="s">
        <v>216</v>
      </c>
      <c r="DK3" s="277"/>
      <c r="DL3" s="219" t="s">
        <v>65</v>
      </c>
      <c r="DM3" s="220"/>
      <c r="DN3" s="219" t="s">
        <v>65</v>
      </c>
      <c r="DO3" s="220"/>
      <c r="DP3" s="219" t="s">
        <v>65</v>
      </c>
      <c r="DQ3" s="220"/>
      <c r="DR3" s="219" t="s">
        <v>65</v>
      </c>
      <c r="DS3" s="220"/>
      <c r="DT3" s="219" t="s">
        <v>65</v>
      </c>
      <c r="DU3" s="220"/>
      <c r="DV3" s="219" t="s">
        <v>218</v>
      </c>
      <c r="DW3" s="220"/>
      <c r="DX3" s="219" t="s">
        <v>65</v>
      </c>
      <c r="DY3" s="220"/>
      <c r="DZ3" s="219" t="s">
        <v>217</v>
      </c>
      <c r="EA3" s="220"/>
      <c r="EB3" s="219" t="s">
        <v>65</v>
      </c>
      <c r="EC3" s="220"/>
      <c r="ED3" s="219" t="s">
        <v>65</v>
      </c>
      <c r="EE3" s="220"/>
      <c r="EF3" s="219" t="s">
        <v>65</v>
      </c>
      <c r="EG3" s="220"/>
      <c r="EH3" s="219" t="s">
        <v>65</v>
      </c>
      <c r="EI3" s="220"/>
      <c r="EJ3" s="219" t="s">
        <v>65</v>
      </c>
      <c r="EK3" s="220"/>
      <c r="EL3" s="219" t="s">
        <v>67</v>
      </c>
      <c r="EM3" s="220"/>
      <c r="EN3" s="219" t="s">
        <v>67</v>
      </c>
      <c r="EO3" s="220"/>
      <c r="EP3" s="219" t="s">
        <v>67</v>
      </c>
      <c r="EQ3" s="220"/>
      <c r="ER3" s="219" t="s">
        <v>67</v>
      </c>
      <c r="ES3" s="220"/>
      <c r="ET3" s="219" t="s">
        <v>67</v>
      </c>
      <c r="EU3" s="220"/>
      <c r="EV3" s="219" t="s">
        <v>67</v>
      </c>
      <c r="EW3" s="220"/>
      <c r="EX3" s="219" t="s">
        <v>67</v>
      </c>
      <c r="EY3" s="220"/>
      <c r="EZ3" s="219" t="s">
        <v>67</v>
      </c>
      <c r="FA3" s="220"/>
      <c r="FB3" s="219" t="s">
        <v>67</v>
      </c>
      <c r="FC3" s="220"/>
      <c r="FD3" s="219" t="s">
        <v>67</v>
      </c>
      <c r="FE3" s="220"/>
      <c r="FF3" s="219" t="s">
        <v>67</v>
      </c>
      <c r="FG3" s="220"/>
      <c r="FH3" s="219" t="s">
        <v>67</v>
      </c>
      <c r="FI3" s="220"/>
      <c r="FJ3" s="219" t="s">
        <v>67</v>
      </c>
      <c r="FK3" s="220"/>
      <c r="FL3" s="276" t="s">
        <v>216</v>
      </c>
      <c r="FM3" s="277"/>
    </row>
    <row r="4" spans="1:169" s="23" customFormat="1" ht="30" customHeight="1">
      <c r="B4" s="219" t="s">
        <v>219</v>
      </c>
      <c r="C4" s="220"/>
      <c r="D4" s="219" t="s">
        <v>219</v>
      </c>
      <c r="E4" s="220"/>
      <c r="F4" s="109"/>
      <c r="G4" s="110"/>
      <c r="H4" s="219" t="s">
        <v>219</v>
      </c>
      <c r="I4" s="220"/>
      <c r="J4" s="219" t="s">
        <v>220</v>
      </c>
      <c r="K4" s="220"/>
      <c r="L4" s="109"/>
      <c r="M4" s="110"/>
      <c r="N4" s="219"/>
      <c r="O4" s="220"/>
      <c r="P4" s="219" t="s">
        <v>221</v>
      </c>
      <c r="Q4" s="220"/>
      <c r="R4" s="219" t="s">
        <v>221</v>
      </c>
      <c r="S4" s="220"/>
      <c r="T4" s="109"/>
      <c r="U4" s="110"/>
      <c r="V4" s="219" t="s">
        <v>221</v>
      </c>
      <c r="W4" s="220"/>
      <c r="X4" s="219" t="s">
        <v>221</v>
      </c>
      <c r="Y4" s="220"/>
      <c r="Z4" s="219" t="s">
        <v>221</v>
      </c>
      <c r="AA4" s="220"/>
      <c r="AB4" s="276" t="s">
        <v>221</v>
      </c>
      <c r="AC4" s="277"/>
      <c r="AD4" s="109"/>
      <c r="AE4" s="110"/>
      <c r="AF4" s="219" t="s">
        <v>221</v>
      </c>
      <c r="AG4" s="220"/>
      <c r="AH4" s="219" t="s">
        <v>221</v>
      </c>
      <c r="AI4" s="220"/>
      <c r="AJ4" s="219" t="s">
        <v>219</v>
      </c>
      <c r="AK4" s="220"/>
      <c r="AL4" s="219" t="s">
        <v>219</v>
      </c>
      <c r="AM4" s="220"/>
      <c r="AN4" s="219" t="s">
        <v>219</v>
      </c>
      <c r="AO4" s="220"/>
      <c r="AP4" s="276" t="s">
        <v>220</v>
      </c>
      <c r="AQ4" s="277"/>
      <c r="AR4" s="219" t="s">
        <v>219</v>
      </c>
      <c r="AS4" s="220"/>
      <c r="AT4" s="219" t="s">
        <v>219</v>
      </c>
      <c r="AU4" s="220"/>
      <c r="AV4" s="276" t="s">
        <v>219</v>
      </c>
      <c r="AW4" s="277"/>
      <c r="AX4" s="219" t="s">
        <v>221</v>
      </c>
      <c r="AY4" s="220"/>
      <c r="AZ4" s="219" t="s">
        <v>219</v>
      </c>
      <c r="BA4" s="220"/>
      <c r="BB4" s="219" t="s">
        <v>219</v>
      </c>
      <c r="BC4" s="220"/>
      <c r="BD4" s="109"/>
      <c r="BE4" s="110"/>
      <c r="BF4" s="109"/>
      <c r="BG4" s="110"/>
      <c r="BH4" s="219" t="s">
        <v>220</v>
      </c>
      <c r="BI4" s="220"/>
      <c r="BJ4" s="219" t="s">
        <v>221</v>
      </c>
      <c r="BK4" s="220"/>
      <c r="BL4" s="219" t="s">
        <v>219</v>
      </c>
      <c r="BM4" s="220"/>
      <c r="BN4" s="219" t="s">
        <v>219</v>
      </c>
      <c r="BO4" s="220"/>
      <c r="BP4" s="219" t="s">
        <v>219</v>
      </c>
      <c r="BQ4" s="220"/>
      <c r="BR4" s="219" t="s">
        <v>219</v>
      </c>
      <c r="BS4" s="220"/>
      <c r="BT4" s="219" t="s">
        <v>219</v>
      </c>
      <c r="BU4" s="220"/>
      <c r="BV4" s="219" t="s">
        <v>219</v>
      </c>
      <c r="BW4" s="220"/>
      <c r="BX4" s="219" t="s">
        <v>219</v>
      </c>
      <c r="BY4" s="220"/>
      <c r="BZ4" s="219" t="s">
        <v>221</v>
      </c>
      <c r="CA4" s="220"/>
      <c r="CB4" s="219" t="s">
        <v>221</v>
      </c>
      <c r="CC4" s="220"/>
      <c r="CD4" s="219" t="s">
        <v>221</v>
      </c>
      <c r="CE4" s="220"/>
      <c r="CF4" s="219" t="s">
        <v>219</v>
      </c>
      <c r="CG4" s="220"/>
      <c r="CH4" s="219" t="s">
        <v>219</v>
      </c>
      <c r="CI4" s="220"/>
      <c r="CJ4" s="219" t="s">
        <v>219</v>
      </c>
      <c r="CK4" s="220"/>
      <c r="CL4" s="219" t="s">
        <v>219</v>
      </c>
      <c r="CM4" s="220"/>
      <c r="CN4" s="109"/>
      <c r="CO4" s="110"/>
      <c r="CP4" s="219" t="s">
        <v>220</v>
      </c>
      <c r="CQ4" s="220"/>
      <c r="CR4" s="219" t="s">
        <v>222</v>
      </c>
      <c r="CS4" s="220"/>
      <c r="CT4" s="219" t="s">
        <v>220</v>
      </c>
      <c r="CU4" s="220"/>
      <c r="CV4" s="219" t="s">
        <v>221</v>
      </c>
      <c r="CW4" s="220"/>
      <c r="CX4" s="219" t="s">
        <v>219</v>
      </c>
      <c r="CY4" s="220"/>
      <c r="CZ4" s="219" t="s">
        <v>219</v>
      </c>
      <c r="DA4" s="220"/>
      <c r="DB4" s="109"/>
      <c r="DC4" s="110"/>
      <c r="DD4" s="219" t="s">
        <v>220</v>
      </c>
      <c r="DE4" s="220"/>
      <c r="DF4" s="219" t="s">
        <v>221</v>
      </c>
      <c r="DG4" s="220"/>
      <c r="DH4" s="219" t="s">
        <v>221</v>
      </c>
      <c r="DI4" s="220"/>
      <c r="DJ4" s="276" t="s">
        <v>220</v>
      </c>
      <c r="DK4" s="277"/>
      <c r="DL4" s="219" t="s">
        <v>219</v>
      </c>
      <c r="DM4" s="220"/>
      <c r="DN4" s="219" t="s">
        <v>219</v>
      </c>
      <c r="DO4" s="220"/>
      <c r="DP4" s="219" t="s">
        <v>219</v>
      </c>
      <c r="DQ4" s="220"/>
      <c r="DR4" s="219" t="s">
        <v>219</v>
      </c>
      <c r="DS4" s="220"/>
      <c r="DT4" s="219" t="s">
        <v>221</v>
      </c>
      <c r="DU4" s="220"/>
      <c r="DV4" s="219" t="s">
        <v>221</v>
      </c>
      <c r="DW4" s="220"/>
      <c r="DX4" s="219" t="s">
        <v>223</v>
      </c>
      <c r="DY4" s="220"/>
      <c r="DZ4" s="219" t="s">
        <v>224</v>
      </c>
      <c r="EA4" s="220"/>
      <c r="EB4" s="219" t="s">
        <v>223</v>
      </c>
      <c r="EC4" s="220"/>
      <c r="ED4" s="219" t="s">
        <v>219</v>
      </c>
      <c r="EE4" s="220"/>
      <c r="EF4" s="219" t="s">
        <v>219</v>
      </c>
      <c r="EG4" s="220"/>
      <c r="EH4" s="219" t="s">
        <v>221</v>
      </c>
      <c r="EI4" s="220"/>
      <c r="EJ4" s="219" t="s">
        <v>221</v>
      </c>
      <c r="EK4" s="220"/>
      <c r="EL4" s="219" t="s">
        <v>219</v>
      </c>
      <c r="EM4" s="220"/>
      <c r="EN4" s="219" t="s">
        <v>219</v>
      </c>
      <c r="EO4" s="220"/>
      <c r="EP4" s="219" t="s">
        <v>219</v>
      </c>
      <c r="EQ4" s="220"/>
      <c r="ER4" s="219" t="s">
        <v>219</v>
      </c>
      <c r="ES4" s="220"/>
      <c r="ET4" s="219" t="s">
        <v>219</v>
      </c>
      <c r="EU4" s="220"/>
      <c r="EV4" s="219" t="s">
        <v>219</v>
      </c>
      <c r="EW4" s="220"/>
      <c r="EX4" s="219" t="s">
        <v>219</v>
      </c>
      <c r="EY4" s="220"/>
      <c r="EZ4" s="219" t="s">
        <v>221</v>
      </c>
      <c r="FA4" s="220"/>
      <c r="FB4" s="219" t="s">
        <v>219</v>
      </c>
      <c r="FC4" s="220"/>
      <c r="FD4" s="219" t="s">
        <v>219</v>
      </c>
      <c r="FE4" s="220"/>
      <c r="FF4" s="219" t="s">
        <v>223</v>
      </c>
      <c r="FG4" s="220"/>
      <c r="FH4" s="219" t="s">
        <v>219</v>
      </c>
      <c r="FI4" s="220"/>
      <c r="FJ4" s="219" t="s">
        <v>223</v>
      </c>
      <c r="FK4" s="220"/>
      <c r="FL4" s="276" t="s">
        <v>219</v>
      </c>
      <c r="FM4" s="277"/>
    </row>
    <row r="5" spans="1:169" s="84" customFormat="1" ht="138.75" customHeight="1">
      <c r="B5" s="273" t="s">
        <v>78</v>
      </c>
      <c r="C5" s="273"/>
      <c r="D5" s="273" t="s">
        <v>225</v>
      </c>
      <c r="E5" s="273"/>
      <c r="F5" s="273" t="s">
        <v>79</v>
      </c>
      <c r="G5" s="273"/>
      <c r="H5" s="273" t="s">
        <v>226</v>
      </c>
      <c r="I5" s="273"/>
      <c r="J5" s="273" t="s">
        <v>227</v>
      </c>
      <c r="K5" s="273"/>
      <c r="L5" s="273" t="s">
        <v>78</v>
      </c>
      <c r="M5" s="273"/>
      <c r="N5" s="273" t="s">
        <v>80</v>
      </c>
      <c r="O5" s="273"/>
      <c r="P5" s="273" t="s">
        <v>228</v>
      </c>
      <c r="Q5" s="273"/>
      <c r="R5" s="273" t="s">
        <v>228</v>
      </c>
      <c r="S5" s="273"/>
      <c r="T5" s="273" t="s">
        <v>68</v>
      </c>
      <c r="U5" s="273"/>
      <c r="V5" s="273" t="s">
        <v>229</v>
      </c>
      <c r="W5" s="273"/>
      <c r="X5" s="273" t="s">
        <v>230</v>
      </c>
      <c r="Y5" s="273"/>
      <c r="Z5" s="273" t="s">
        <v>231</v>
      </c>
      <c r="AA5" s="273"/>
      <c r="AB5" s="274" t="s">
        <v>228</v>
      </c>
      <c r="AC5" s="274"/>
      <c r="AD5" s="273" t="s">
        <v>69</v>
      </c>
      <c r="AE5" s="273"/>
      <c r="AF5" s="273" t="s">
        <v>232</v>
      </c>
      <c r="AG5" s="273"/>
      <c r="AH5" s="273" t="s">
        <v>233</v>
      </c>
      <c r="AI5" s="273"/>
      <c r="AJ5" s="273" t="s">
        <v>234</v>
      </c>
      <c r="AK5" s="273"/>
      <c r="AL5" s="273" t="s">
        <v>226</v>
      </c>
      <c r="AM5" s="273"/>
      <c r="AN5" s="273" t="s">
        <v>235</v>
      </c>
      <c r="AO5" s="273"/>
      <c r="AP5" s="274" t="s">
        <v>236</v>
      </c>
      <c r="AQ5" s="274"/>
      <c r="AR5" s="273" t="s">
        <v>237</v>
      </c>
      <c r="AS5" s="273"/>
      <c r="AT5" s="273" t="s">
        <v>238</v>
      </c>
      <c r="AU5" s="273"/>
      <c r="AV5" s="274" t="s">
        <v>239</v>
      </c>
      <c r="AW5" s="274"/>
      <c r="AX5" s="273" t="s">
        <v>228</v>
      </c>
      <c r="AY5" s="273"/>
      <c r="AZ5" s="273" t="s">
        <v>226</v>
      </c>
      <c r="BA5" s="273"/>
      <c r="BB5" s="273" t="s">
        <v>240</v>
      </c>
      <c r="BC5" s="273"/>
      <c r="BD5" s="273" t="s">
        <v>71</v>
      </c>
      <c r="BE5" s="273"/>
      <c r="BF5" s="273" t="s">
        <v>72</v>
      </c>
      <c r="BG5" s="273"/>
      <c r="BH5" s="273" t="s">
        <v>241</v>
      </c>
      <c r="BI5" s="273"/>
      <c r="BJ5" s="273" t="s">
        <v>242</v>
      </c>
      <c r="BK5" s="273"/>
      <c r="BL5" s="273" t="s">
        <v>243</v>
      </c>
      <c r="BM5" s="273"/>
      <c r="BN5" s="273" t="s">
        <v>244</v>
      </c>
      <c r="BO5" s="273"/>
      <c r="BP5" s="273" t="s">
        <v>245</v>
      </c>
      <c r="BQ5" s="273"/>
      <c r="BR5" s="273" t="s">
        <v>246</v>
      </c>
      <c r="BS5" s="273"/>
      <c r="BT5" s="273" t="s">
        <v>247</v>
      </c>
      <c r="BU5" s="273"/>
      <c r="BV5" s="273" t="s">
        <v>248</v>
      </c>
      <c r="BW5" s="273"/>
      <c r="BX5" s="273" t="s">
        <v>246</v>
      </c>
      <c r="BY5" s="273"/>
      <c r="BZ5" s="273" t="s">
        <v>74</v>
      </c>
      <c r="CA5" s="273"/>
      <c r="CB5" s="273" t="s">
        <v>75</v>
      </c>
      <c r="CC5" s="273"/>
      <c r="CD5" s="273" t="s">
        <v>76</v>
      </c>
      <c r="CE5" s="273"/>
      <c r="CF5" s="273" t="s">
        <v>77</v>
      </c>
      <c r="CG5" s="273"/>
      <c r="CH5" s="273" t="s">
        <v>249</v>
      </c>
      <c r="CI5" s="273"/>
      <c r="CJ5" s="273" t="s">
        <v>249</v>
      </c>
      <c r="CK5" s="273"/>
      <c r="CL5" s="273" t="s">
        <v>250</v>
      </c>
      <c r="CM5" s="273"/>
      <c r="CN5" s="273" t="s">
        <v>70</v>
      </c>
      <c r="CO5" s="273"/>
      <c r="CP5" s="275" t="s">
        <v>251</v>
      </c>
      <c r="CQ5" s="275"/>
      <c r="CR5" s="275" t="s">
        <v>222</v>
      </c>
      <c r="CS5" s="275"/>
      <c r="CT5" s="275" t="s">
        <v>252</v>
      </c>
      <c r="CU5" s="275"/>
      <c r="CV5" s="275" t="s">
        <v>253</v>
      </c>
      <c r="CW5" s="275"/>
      <c r="CX5" s="275" t="s">
        <v>254</v>
      </c>
      <c r="CY5" s="275"/>
      <c r="CZ5" s="275" t="s">
        <v>255</v>
      </c>
      <c r="DA5" s="275"/>
      <c r="DB5" s="273" t="s">
        <v>73</v>
      </c>
      <c r="DC5" s="273"/>
      <c r="DD5" s="273" t="s">
        <v>256</v>
      </c>
      <c r="DE5" s="273"/>
      <c r="DF5" s="273" t="s">
        <v>257</v>
      </c>
      <c r="DG5" s="273"/>
      <c r="DH5" s="273" t="s">
        <v>258</v>
      </c>
      <c r="DI5" s="273"/>
      <c r="DJ5" s="274" t="s">
        <v>256</v>
      </c>
      <c r="DK5" s="274"/>
      <c r="DL5" s="273" t="s">
        <v>259</v>
      </c>
      <c r="DM5" s="273"/>
      <c r="DN5" s="273" t="s">
        <v>259</v>
      </c>
      <c r="DO5" s="273"/>
      <c r="DP5" s="273" t="s">
        <v>260</v>
      </c>
      <c r="DQ5" s="273"/>
      <c r="DR5" s="273" t="s">
        <v>260</v>
      </c>
      <c r="DS5" s="273"/>
      <c r="DT5" s="273" t="s">
        <v>232</v>
      </c>
      <c r="DU5" s="273"/>
      <c r="DV5" s="273" t="s">
        <v>261</v>
      </c>
      <c r="DW5" s="273"/>
      <c r="DX5" s="275" t="s">
        <v>262</v>
      </c>
      <c r="DY5" s="275"/>
      <c r="DZ5" s="273" t="s">
        <v>226</v>
      </c>
      <c r="EA5" s="273"/>
      <c r="EB5" s="275" t="s">
        <v>263</v>
      </c>
      <c r="EC5" s="275"/>
      <c r="ED5" s="275" t="s">
        <v>264</v>
      </c>
      <c r="EE5" s="275"/>
      <c r="EF5" s="275" t="s">
        <v>265</v>
      </c>
      <c r="EG5" s="275"/>
      <c r="EH5" s="275" t="s">
        <v>228</v>
      </c>
      <c r="EI5" s="275"/>
      <c r="EJ5" s="275" t="s">
        <v>266</v>
      </c>
      <c r="EK5" s="275"/>
      <c r="EL5" s="273" t="s">
        <v>267</v>
      </c>
      <c r="EM5" s="273"/>
      <c r="EN5" s="273" t="s">
        <v>268</v>
      </c>
      <c r="EO5" s="273"/>
      <c r="EP5" s="273" t="s">
        <v>269</v>
      </c>
      <c r="EQ5" s="273"/>
      <c r="ER5" s="273" t="s">
        <v>270</v>
      </c>
      <c r="ES5" s="273"/>
      <c r="ET5" s="273" t="s">
        <v>268</v>
      </c>
      <c r="EU5" s="273"/>
      <c r="EV5" s="273" t="s">
        <v>269</v>
      </c>
      <c r="EW5" s="273"/>
      <c r="EX5" s="273" t="s">
        <v>271</v>
      </c>
      <c r="EY5" s="273"/>
      <c r="EZ5" s="273" t="s">
        <v>266</v>
      </c>
      <c r="FA5" s="273"/>
      <c r="FB5" s="273" t="s">
        <v>272</v>
      </c>
      <c r="FC5" s="273"/>
      <c r="FD5" s="273" t="s">
        <v>273</v>
      </c>
      <c r="FE5" s="273"/>
      <c r="FF5" s="273" t="s">
        <v>274</v>
      </c>
      <c r="FG5" s="273"/>
      <c r="FH5" s="273" t="s">
        <v>275</v>
      </c>
      <c r="FI5" s="273"/>
      <c r="FJ5" s="273" t="s">
        <v>276</v>
      </c>
      <c r="FK5" s="273"/>
      <c r="FL5" s="274" t="s">
        <v>277</v>
      </c>
      <c r="FM5" s="274"/>
    </row>
    <row r="6" spans="1:169" s="23" customFormat="1" ht="30" customHeight="1">
      <c r="B6" s="270">
        <v>5065544</v>
      </c>
      <c r="C6" s="270"/>
      <c r="D6" s="219"/>
      <c r="E6" s="220"/>
      <c r="F6" s="270">
        <v>5065541</v>
      </c>
      <c r="G6" s="270"/>
      <c r="H6" s="219"/>
      <c r="I6" s="220"/>
      <c r="J6" s="219"/>
      <c r="K6" s="220"/>
      <c r="L6" s="270">
        <v>5065542</v>
      </c>
      <c r="M6" s="270"/>
      <c r="N6" s="270">
        <v>5065540</v>
      </c>
      <c r="O6" s="270"/>
      <c r="P6" s="219"/>
      <c r="Q6" s="220"/>
      <c r="R6" s="219"/>
      <c r="S6" s="220"/>
      <c r="T6" s="270">
        <v>5065546</v>
      </c>
      <c r="U6" s="270"/>
      <c r="V6" s="219"/>
      <c r="W6" s="220"/>
      <c r="X6" s="219"/>
      <c r="Y6" s="220"/>
      <c r="Z6" s="219"/>
      <c r="AA6" s="220"/>
      <c r="AB6" s="219"/>
      <c r="AC6" s="220"/>
      <c r="AD6" s="270">
        <v>5065547</v>
      </c>
      <c r="AE6" s="270"/>
      <c r="AF6" s="219"/>
      <c r="AG6" s="220"/>
      <c r="AH6" s="271"/>
      <c r="AI6" s="272"/>
      <c r="AJ6" s="271"/>
      <c r="AK6" s="272"/>
      <c r="AL6" s="271"/>
      <c r="AM6" s="272"/>
      <c r="AN6" s="271"/>
      <c r="AO6" s="272"/>
      <c r="AP6" s="271"/>
      <c r="AQ6" s="272"/>
      <c r="AR6" s="271"/>
      <c r="AS6" s="272"/>
      <c r="AT6" s="271"/>
      <c r="AU6" s="272"/>
      <c r="AV6" s="271"/>
      <c r="AW6" s="272"/>
      <c r="AX6" s="271"/>
      <c r="AY6" s="272"/>
      <c r="AZ6" s="271"/>
      <c r="BA6" s="272"/>
      <c r="BB6" s="271"/>
      <c r="BC6" s="272"/>
      <c r="BD6" s="270">
        <v>5065548</v>
      </c>
      <c r="BE6" s="270"/>
      <c r="BF6" s="270">
        <v>5465545</v>
      </c>
      <c r="BG6" s="270"/>
      <c r="BH6" s="219"/>
      <c r="BI6" s="220"/>
      <c r="BJ6" s="219"/>
      <c r="BK6" s="220"/>
      <c r="BL6" s="219"/>
      <c r="BM6" s="220"/>
      <c r="BN6" s="219"/>
      <c r="BO6" s="220"/>
      <c r="BP6" s="219"/>
      <c r="BQ6" s="220"/>
      <c r="BR6" s="219"/>
      <c r="BS6" s="220"/>
      <c r="BT6" s="219"/>
      <c r="BU6" s="220"/>
      <c r="BV6" s="219"/>
      <c r="BW6" s="220"/>
      <c r="BX6" s="219"/>
      <c r="BY6" s="220"/>
      <c r="BZ6" s="270">
        <v>5018351</v>
      </c>
      <c r="CA6" s="270"/>
      <c r="CB6" s="270">
        <v>5018354</v>
      </c>
      <c r="CC6" s="270"/>
      <c r="CD6" s="270">
        <v>5018350</v>
      </c>
      <c r="CE6" s="270"/>
      <c r="CF6" s="270">
        <v>5065543</v>
      </c>
      <c r="CG6" s="270"/>
      <c r="CH6" s="219"/>
      <c r="CI6" s="220"/>
      <c r="CJ6" s="219"/>
      <c r="CK6" s="220"/>
      <c r="CL6" s="219"/>
      <c r="CM6" s="220"/>
      <c r="CN6" s="270">
        <v>5008272</v>
      </c>
      <c r="CO6" s="270"/>
      <c r="CP6" s="219"/>
      <c r="CQ6" s="220"/>
      <c r="CR6" s="219"/>
      <c r="CS6" s="220"/>
      <c r="CT6" s="219"/>
      <c r="CU6" s="220"/>
      <c r="CV6" s="219"/>
      <c r="CW6" s="220"/>
      <c r="CX6" s="219"/>
      <c r="CY6" s="220"/>
      <c r="CZ6" s="219"/>
      <c r="DA6" s="220"/>
      <c r="DB6" s="270">
        <v>5008273</v>
      </c>
      <c r="DC6" s="270"/>
      <c r="DD6" s="219"/>
      <c r="DE6" s="220"/>
      <c r="DF6" s="219"/>
      <c r="DG6" s="220"/>
      <c r="DH6" s="219"/>
      <c r="DI6" s="220"/>
      <c r="DJ6" s="219"/>
      <c r="DK6" s="220"/>
      <c r="DL6" s="219"/>
      <c r="DM6" s="220"/>
      <c r="DN6" s="219"/>
      <c r="DO6" s="220"/>
      <c r="DP6" s="219"/>
      <c r="DQ6" s="220"/>
      <c r="DR6" s="219"/>
      <c r="DS6" s="220"/>
      <c r="DT6" s="219"/>
      <c r="DU6" s="220"/>
      <c r="DV6" s="219"/>
      <c r="DW6" s="220"/>
      <c r="DX6" s="219"/>
      <c r="DY6" s="220"/>
      <c r="DZ6" s="219"/>
      <c r="EA6" s="220"/>
      <c r="EB6" s="219"/>
      <c r="EC6" s="220"/>
      <c r="ED6" s="219"/>
      <c r="EE6" s="220"/>
      <c r="EF6" s="219"/>
      <c r="EG6" s="220"/>
      <c r="EH6" s="219"/>
      <c r="EI6" s="220"/>
      <c r="EJ6" s="219"/>
      <c r="EK6" s="220"/>
      <c r="EL6" s="219"/>
      <c r="EM6" s="220"/>
      <c r="EN6" s="219"/>
      <c r="EO6" s="220"/>
      <c r="EP6" s="219"/>
      <c r="EQ6" s="220"/>
      <c r="ER6" s="219"/>
      <c r="ES6" s="220"/>
      <c r="ET6" s="219"/>
      <c r="EU6" s="220"/>
      <c r="EV6" s="219"/>
      <c r="EW6" s="220"/>
      <c r="EX6" s="219"/>
      <c r="EY6" s="220"/>
      <c r="EZ6" s="219"/>
      <c r="FA6" s="220"/>
      <c r="FB6" s="219"/>
      <c r="FC6" s="220"/>
      <c r="FD6" s="219"/>
      <c r="FE6" s="220"/>
      <c r="FF6" s="219"/>
      <c r="FG6" s="220"/>
      <c r="FH6" s="219"/>
      <c r="FI6" s="220"/>
      <c r="FJ6" s="219"/>
      <c r="FK6" s="220"/>
      <c r="FL6" s="219"/>
      <c r="FM6" s="220"/>
    </row>
    <row r="7" spans="1:169" s="23" customFormat="1" ht="30" customHeight="1">
      <c r="B7" s="258" t="s">
        <v>92</v>
      </c>
      <c r="C7" s="258"/>
      <c r="D7" s="258" t="s">
        <v>92</v>
      </c>
      <c r="E7" s="258"/>
      <c r="F7" s="256" t="s">
        <v>93</v>
      </c>
      <c r="G7" s="256"/>
      <c r="H7" s="257" t="s">
        <v>94</v>
      </c>
      <c r="I7" s="257"/>
      <c r="J7" s="257" t="s">
        <v>94</v>
      </c>
      <c r="K7" s="257"/>
      <c r="L7" s="257" t="s">
        <v>94</v>
      </c>
      <c r="M7" s="257"/>
      <c r="N7" s="259" t="s">
        <v>95</v>
      </c>
      <c r="O7" s="259"/>
      <c r="P7" s="259" t="s">
        <v>95</v>
      </c>
      <c r="Q7" s="259"/>
      <c r="R7" s="259" t="s">
        <v>95</v>
      </c>
      <c r="S7" s="259"/>
      <c r="T7" s="260" t="s">
        <v>82</v>
      </c>
      <c r="U7" s="260"/>
      <c r="V7" s="260" t="s">
        <v>82</v>
      </c>
      <c r="W7" s="260"/>
      <c r="X7" s="260" t="s">
        <v>82</v>
      </c>
      <c r="Y7" s="260"/>
      <c r="Z7" s="260" t="s">
        <v>82</v>
      </c>
      <c r="AA7" s="260"/>
      <c r="AB7" s="260" t="s">
        <v>82</v>
      </c>
      <c r="AC7" s="260"/>
      <c r="AD7" s="262" t="s">
        <v>83</v>
      </c>
      <c r="AE7" s="262"/>
      <c r="AF7" s="262" t="s">
        <v>83</v>
      </c>
      <c r="AG7" s="262"/>
      <c r="AH7" s="269" t="s">
        <v>85</v>
      </c>
      <c r="AI7" s="269"/>
      <c r="AJ7" s="269" t="s">
        <v>85</v>
      </c>
      <c r="AK7" s="269"/>
      <c r="AL7" s="269" t="s">
        <v>85</v>
      </c>
      <c r="AM7" s="269"/>
      <c r="AN7" s="269" t="s">
        <v>85</v>
      </c>
      <c r="AO7" s="269"/>
      <c r="AP7" s="269" t="s">
        <v>85</v>
      </c>
      <c r="AQ7" s="269"/>
      <c r="AR7" s="269" t="s">
        <v>85</v>
      </c>
      <c r="AS7" s="269"/>
      <c r="AT7" s="269" t="s">
        <v>85</v>
      </c>
      <c r="AU7" s="269"/>
      <c r="AV7" s="269" t="s">
        <v>85</v>
      </c>
      <c r="AW7" s="269"/>
      <c r="AX7" s="269" t="s">
        <v>85</v>
      </c>
      <c r="AY7" s="269"/>
      <c r="AZ7" s="269" t="s">
        <v>85</v>
      </c>
      <c r="BA7" s="269"/>
      <c r="BB7" s="269" t="s">
        <v>85</v>
      </c>
      <c r="BC7" s="269"/>
      <c r="BD7" s="269" t="s">
        <v>85</v>
      </c>
      <c r="BE7" s="269"/>
      <c r="BF7" s="264" t="s">
        <v>86</v>
      </c>
      <c r="BG7" s="264"/>
      <c r="BH7" s="264" t="s">
        <v>86</v>
      </c>
      <c r="BI7" s="264"/>
      <c r="BJ7" s="264" t="s">
        <v>86</v>
      </c>
      <c r="BK7" s="264"/>
      <c r="BL7" s="264" t="s">
        <v>86</v>
      </c>
      <c r="BM7" s="264"/>
      <c r="BN7" s="264" t="s">
        <v>86</v>
      </c>
      <c r="BO7" s="264"/>
      <c r="BP7" s="264" t="s">
        <v>86</v>
      </c>
      <c r="BQ7" s="264"/>
      <c r="BR7" s="264" t="s">
        <v>86</v>
      </c>
      <c r="BS7" s="264"/>
      <c r="BT7" s="264" t="s">
        <v>86</v>
      </c>
      <c r="BU7" s="264"/>
      <c r="BV7" s="264" t="s">
        <v>86</v>
      </c>
      <c r="BW7" s="264"/>
      <c r="BX7" s="264" t="s">
        <v>86</v>
      </c>
      <c r="BY7" s="264"/>
      <c r="BZ7" s="265" t="s">
        <v>88</v>
      </c>
      <c r="CA7" s="265"/>
      <c r="CB7" s="266" t="s">
        <v>89</v>
      </c>
      <c r="CC7" s="266"/>
      <c r="CD7" s="267" t="s">
        <v>90</v>
      </c>
      <c r="CE7" s="267"/>
      <c r="CF7" s="268" t="s">
        <v>91</v>
      </c>
      <c r="CG7" s="268"/>
      <c r="CH7" s="268" t="s">
        <v>91</v>
      </c>
      <c r="CI7" s="268"/>
      <c r="CJ7" s="268" t="s">
        <v>91</v>
      </c>
      <c r="CK7" s="268"/>
      <c r="CL7" s="268" t="s">
        <v>91</v>
      </c>
      <c r="CM7" s="268"/>
      <c r="CN7" s="263" t="s">
        <v>84</v>
      </c>
      <c r="CO7" s="263"/>
      <c r="CP7" s="263" t="s">
        <v>84</v>
      </c>
      <c r="CQ7" s="263"/>
      <c r="CR7" s="263" t="s">
        <v>84</v>
      </c>
      <c r="CS7" s="263"/>
      <c r="CT7" s="263" t="s">
        <v>84</v>
      </c>
      <c r="CU7" s="263"/>
      <c r="CV7" s="263" t="s">
        <v>84</v>
      </c>
      <c r="CW7" s="263"/>
      <c r="CX7" s="263" t="s">
        <v>84</v>
      </c>
      <c r="CY7" s="263"/>
      <c r="CZ7" s="263" t="s">
        <v>84</v>
      </c>
      <c r="DA7" s="263"/>
      <c r="DB7" s="261" t="s">
        <v>87</v>
      </c>
      <c r="DC7" s="261"/>
      <c r="DD7" s="261" t="s">
        <v>87</v>
      </c>
      <c r="DE7" s="261"/>
      <c r="DF7" s="261" t="s">
        <v>87</v>
      </c>
      <c r="DG7" s="261"/>
      <c r="DH7" s="261" t="s">
        <v>87</v>
      </c>
      <c r="DI7" s="261"/>
      <c r="DJ7" s="261" t="s">
        <v>87</v>
      </c>
      <c r="DK7" s="261"/>
      <c r="DL7" s="262" t="s">
        <v>83</v>
      </c>
      <c r="DM7" s="262"/>
      <c r="DN7" s="262" t="s">
        <v>83</v>
      </c>
      <c r="DO7" s="262"/>
      <c r="DP7" s="262" t="s">
        <v>83</v>
      </c>
      <c r="DQ7" s="262"/>
      <c r="DR7" s="262" t="s">
        <v>83</v>
      </c>
      <c r="DS7" s="262"/>
      <c r="DT7" s="262" t="s">
        <v>83</v>
      </c>
      <c r="DU7" s="262"/>
      <c r="DV7" s="262" t="s">
        <v>83</v>
      </c>
      <c r="DW7" s="262"/>
      <c r="DX7" s="260" t="s">
        <v>82</v>
      </c>
      <c r="DY7" s="260"/>
      <c r="DZ7" s="260" t="s">
        <v>82</v>
      </c>
      <c r="EA7" s="260"/>
      <c r="EB7" s="260" t="s">
        <v>82</v>
      </c>
      <c r="EC7" s="260"/>
      <c r="ED7" s="260" t="s">
        <v>82</v>
      </c>
      <c r="EE7" s="260"/>
      <c r="EF7" s="260" t="s">
        <v>82</v>
      </c>
      <c r="EG7" s="260"/>
      <c r="EH7" s="260" t="s">
        <v>82</v>
      </c>
      <c r="EI7" s="260"/>
      <c r="EJ7" s="260" t="s">
        <v>82</v>
      </c>
      <c r="EK7" s="260"/>
      <c r="EL7" s="257" t="s">
        <v>94</v>
      </c>
      <c r="EM7" s="257"/>
      <c r="EN7" s="257" t="s">
        <v>94</v>
      </c>
      <c r="EO7" s="257"/>
      <c r="EP7" s="257" t="s">
        <v>94</v>
      </c>
      <c r="EQ7" s="257"/>
      <c r="ER7" s="258" t="s">
        <v>92</v>
      </c>
      <c r="ES7" s="258"/>
      <c r="ET7" s="258" t="s">
        <v>92</v>
      </c>
      <c r="EU7" s="258"/>
      <c r="EV7" s="258" t="s">
        <v>92</v>
      </c>
      <c r="EW7" s="258"/>
      <c r="EX7" s="256" t="s">
        <v>93</v>
      </c>
      <c r="EY7" s="256"/>
      <c r="EZ7" s="259" t="s">
        <v>95</v>
      </c>
      <c r="FA7" s="259"/>
      <c r="FB7" s="259" t="s">
        <v>95</v>
      </c>
      <c r="FC7" s="259"/>
      <c r="FD7" s="259" t="s">
        <v>95</v>
      </c>
      <c r="FE7" s="259"/>
      <c r="FF7" s="256" t="s">
        <v>93</v>
      </c>
      <c r="FG7" s="256"/>
      <c r="FH7" s="256" t="s">
        <v>93</v>
      </c>
      <c r="FI7" s="256"/>
      <c r="FJ7" s="256" t="s">
        <v>93</v>
      </c>
      <c r="FK7" s="256"/>
      <c r="FL7" s="256" t="s">
        <v>93</v>
      </c>
      <c r="FM7" s="256"/>
    </row>
    <row r="8" spans="1:169" s="23" customFormat="1" ht="30" customHeight="1">
      <c r="B8" s="255"/>
      <c r="C8" s="255"/>
      <c r="D8" s="253" t="s">
        <v>278</v>
      </c>
      <c r="E8" s="254"/>
      <c r="F8" s="255"/>
      <c r="G8" s="255"/>
      <c r="H8" s="253" t="s">
        <v>279</v>
      </c>
      <c r="I8" s="254"/>
      <c r="J8" s="253" t="s">
        <v>280</v>
      </c>
      <c r="K8" s="254"/>
      <c r="L8" s="255"/>
      <c r="M8" s="255"/>
      <c r="N8" s="255"/>
      <c r="O8" s="255"/>
      <c r="P8" s="253" t="s">
        <v>281</v>
      </c>
      <c r="Q8" s="254"/>
      <c r="R8" s="253" t="s">
        <v>282</v>
      </c>
      <c r="S8" s="254"/>
      <c r="T8" s="255"/>
      <c r="U8" s="255"/>
      <c r="V8" s="253" t="s">
        <v>283</v>
      </c>
      <c r="W8" s="254"/>
      <c r="X8" s="253" t="s">
        <v>284</v>
      </c>
      <c r="Y8" s="254"/>
      <c r="Z8" s="253" t="s">
        <v>285</v>
      </c>
      <c r="AA8" s="254"/>
      <c r="AB8" s="253" t="s">
        <v>286</v>
      </c>
      <c r="AC8" s="254"/>
      <c r="AD8" s="255"/>
      <c r="AE8" s="255"/>
      <c r="AF8" s="253" t="s">
        <v>287</v>
      </c>
      <c r="AG8" s="254"/>
      <c r="AH8" s="253" t="s">
        <v>288</v>
      </c>
      <c r="AI8" s="254"/>
      <c r="AJ8" s="253" t="s">
        <v>289</v>
      </c>
      <c r="AK8" s="254"/>
      <c r="AL8" s="253" t="s">
        <v>290</v>
      </c>
      <c r="AM8" s="254"/>
      <c r="AN8" s="253" t="s">
        <v>291</v>
      </c>
      <c r="AO8" s="254"/>
      <c r="AP8" s="253" t="s">
        <v>292</v>
      </c>
      <c r="AQ8" s="254"/>
      <c r="AR8" s="253" t="s">
        <v>293</v>
      </c>
      <c r="AS8" s="254"/>
      <c r="AT8" s="253" t="s">
        <v>294</v>
      </c>
      <c r="AU8" s="254"/>
      <c r="AV8" s="253" t="s">
        <v>295</v>
      </c>
      <c r="AW8" s="254"/>
      <c r="AX8" s="253" t="s">
        <v>296</v>
      </c>
      <c r="AY8" s="254"/>
      <c r="AZ8" s="253" t="s">
        <v>297</v>
      </c>
      <c r="BA8" s="254"/>
      <c r="BB8" s="253" t="s">
        <v>298</v>
      </c>
      <c r="BC8" s="254"/>
      <c r="BD8" s="253"/>
      <c r="BE8" s="254"/>
      <c r="BF8" s="255"/>
      <c r="BG8" s="255"/>
      <c r="BH8" s="253" t="s">
        <v>299</v>
      </c>
      <c r="BI8" s="254"/>
      <c r="BJ8" s="253" t="s">
        <v>300</v>
      </c>
      <c r="BK8" s="254"/>
      <c r="BL8" s="253" t="s">
        <v>301</v>
      </c>
      <c r="BM8" s="254"/>
      <c r="BN8" s="253" t="s">
        <v>302</v>
      </c>
      <c r="BO8" s="254"/>
      <c r="BP8" s="253" t="s">
        <v>303</v>
      </c>
      <c r="BQ8" s="254"/>
      <c r="BR8" s="253" t="s">
        <v>304</v>
      </c>
      <c r="BS8" s="254"/>
      <c r="BT8" s="253" t="s">
        <v>305</v>
      </c>
      <c r="BU8" s="254"/>
      <c r="BV8" s="253" t="s">
        <v>306</v>
      </c>
      <c r="BW8" s="254"/>
      <c r="BX8" s="253" t="s">
        <v>307</v>
      </c>
      <c r="BY8" s="254"/>
      <c r="BZ8" s="255"/>
      <c r="CA8" s="255"/>
      <c r="CB8" s="255"/>
      <c r="CC8" s="255"/>
      <c r="CD8" s="255"/>
      <c r="CE8" s="255"/>
      <c r="CF8" s="255"/>
      <c r="CG8" s="255"/>
      <c r="CH8" s="253" t="s">
        <v>308</v>
      </c>
      <c r="CI8" s="254"/>
      <c r="CJ8" s="253" t="s">
        <v>309</v>
      </c>
      <c r="CK8" s="254"/>
      <c r="CL8" s="253" t="s">
        <v>310</v>
      </c>
      <c r="CM8" s="254"/>
      <c r="CN8" s="255"/>
      <c r="CO8" s="255"/>
      <c r="CP8" s="253" t="s">
        <v>311</v>
      </c>
      <c r="CQ8" s="254"/>
      <c r="CR8" s="253" t="s">
        <v>312</v>
      </c>
      <c r="CS8" s="254"/>
      <c r="CT8" s="253" t="s">
        <v>313</v>
      </c>
      <c r="CU8" s="254"/>
      <c r="CV8" s="253" t="s">
        <v>314</v>
      </c>
      <c r="CW8" s="254"/>
      <c r="CX8" s="253" t="s">
        <v>315</v>
      </c>
      <c r="CY8" s="254"/>
      <c r="CZ8" s="253" t="s">
        <v>316</v>
      </c>
      <c r="DA8" s="254"/>
      <c r="DB8" s="255"/>
      <c r="DC8" s="255"/>
      <c r="DD8" s="253" t="s">
        <v>317</v>
      </c>
      <c r="DE8" s="254"/>
      <c r="DF8" s="253" t="s">
        <v>318</v>
      </c>
      <c r="DG8" s="254"/>
      <c r="DH8" s="253" t="s">
        <v>319</v>
      </c>
      <c r="DI8" s="254"/>
      <c r="DJ8" s="253" t="s">
        <v>320</v>
      </c>
      <c r="DK8" s="254"/>
      <c r="DL8" s="253" t="s">
        <v>321</v>
      </c>
      <c r="DM8" s="254"/>
      <c r="DN8" s="253" t="s">
        <v>322</v>
      </c>
      <c r="DO8" s="254"/>
      <c r="DP8" s="253" t="s">
        <v>323</v>
      </c>
      <c r="DQ8" s="254"/>
      <c r="DR8" s="253" t="s">
        <v>324</v>
      </c>
      <c r="DS8" s="254"/>
      <c r="DT8" s="253" t="s">
        <v>325</v>
      </c>
      <c r="DU8" s="254"/>
      <c r="DV8" s="253" t="s">
        <v>326</v>
      </c>
      <c r="DW8" s="254"/>
      <c r="DX8" s="253" t="s">
        <v>327</v>
      </c>
      <c r="DY8" s="254"/>
      <c r="DZ8" s="253" t="s">
        <v>328</v>
      </c>
      <c r="EA8" s="254"/>
      <c r="EB8" s="253" t="s">
        <v>329</v>
      </c>
      <c r="EC8" s="254"/>
      <c r="ED8" s="253" t="s">
        <v>330</v>
      </c>
      <c r="EE8" s="254"/>
      <c r="EF8" s="253" t="s">
        <v>331</v>
      </c>
      <c r="EG8" s="254"/>
      <c r="EH8" s="253" t="s">
        <v>332</v>
      </c>
      <c r="EI8" s="254"/>
      <c r="EJ8" s="253" t="s">
        <v>333</v>
      </c>
      <c r="EK8" s="254"/>
      <c r="EL8" s="253" t="s">
        <v>334</v>
      </c>
      <c r="EM8" s="254"/>
      <c r="EN8" s="253" t="s">
        <v>335</v>
      </c>
      <c r="EO8" s="254"/>
      <c r="EP8" s="253" t="s">
        <v>336</v>
      </c>
      <c r="EQ8" s="254"/>
      <c r="ER8" s="253" t="s">
        <v>337</v>
      </c>
      <c r="ES8" s="254"/>
      <c r="ET8" s="253" t="s">
        <v>338</v>
      </c>
      <c r="EU8" s="254"/>
      <c r="EV8" s="253" t="s">
        <v>339</v>
      </c>
      <c r="EW8" s="254"/>
      <c r="EX8" s="253" t="s">
        <v>340</v>
      </c>
      <c r="EY8" s="254"/>
      <c r="EZ8" s="253" t="s">
        <v>341</v>
      </c>
      <c r="FA8" s="254"/>
      <c r="FB8" s="253" t="s">
        <v>342</v>
      </c>
      <c r="FC8" s="254"/>
      <c r="FD8" s="253" t="s">
        <v>343</v>
      </c>
      <c r="FE8" s="254"/>
      <c r="FF8" s="253" t="s">
        <v>344</v>
      </c>
      <c r="FG8" s="254"/>
      <c r="FH8" s="253" t="s">
        <v>345</v>
      </c>
      <c r="FI8" s="254"/>
      <c r="FJ8" s="253" t="s">
        <v>346</v>
      </c>
      <c r="FK8" s="254"/>
      <c r="FL8" s="253" t="s">
        <v>347</v>
      </c>
      <c r="FM8" s="254"/>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1" t="s">
        <v>348</v>
      </c>
      <c r="D2" s="281"/>
      <c r="E2" s="281" t="s">
        <v>349</v>
      </c>
      <c r="F2" s="281"/>
      <c r="G2" s="281" t="s">
        <v>350</v>
      </c>
      <c r="H2" s="281"/>
      <c r="I2" s="281" t="s">
        <v>351</v>
      </c>
      <c r="J2" s="281"/>
      <c r="K2" s="281" t="s">
        <v>352</v>
      </c>
      <c r="L2" s="281"/>
      <c r="M2" s="281" t="s">
        <v>353</v>
      </c>
      <c r="N2" s="281"/>
      <c r="O2" s="281" t="s">
        <v>354</v>
      </c>
      <c r="P2" s="281"/>
      <c r="Q2" s="281" t="s">
        <v>355</v>
      </c>
      <c r="R2" s="281"/>
      <c r="S2" s="281" t="s">
        <v>356</v>
      </c>
      <c r="T2" s="281"/>
      <c r="V2" s="281" t="s">
        <v>357</v>
      </c>
      <c r="W2" s="281"/>
      <c r="X2" s="281" t="s">
        <v>358</v>
      </c>
      <c r="Y2" s="281"/>
      <c r="Z2" s="281" t="s">
        <v>359</v>
      </c>
      <c r="AA2" s="281"/>
      <c r="AB2" s="281" t="s">
        <v>360</v>
      </c>
      <c r="AC2" s="281"/>
      <c r="AD2" s="281" t="s">
        <v>361</v>
      </c>
      <c r="AE2" s="281"/>
      <c r="AF2" s="281" t="s">
        <v>362</v>
      </c>
      <c r="AG2" s="281"/>
      <c r="AH2" s="281" t="s">
        <v>363</v>
      </c>
      <c r="AI2" s="281"/>
      <c r="AJ2" s="281" t="s">
        <v>364</v>
      </c>
      <c r="AK2" s="281"/>
      <c r="AL2" s="281" t="s">
        <v>365</v>
      </c>
      <c r="AM2" s="281"/>
      <c r="AO2" s="281" t="s">
        <v>366</v>
      </c>
      <c r="AP2" s="281"/>
      <c r="AQ2" s="281" t="s">
        <v>367</v>
      </c>
      <c r="AR2" s="281"/>
      <c r="AS2" s="281" t="s">
        <v>368</v>
      </c>
      <c r="AT2" s="281"/>
      <c r="AU2" s="281" t="s">
        <v>369</v>
      </c>
      <c r="AV2" s="281"/>
      <c r="AW2" s="281" t="s">
        <v>370</v>
      </c>
      <c r="AX2" s="281"/>
      <c r="AY2" s="281" t="s">
        <v>371</v>
      </c>
      <c r="AZ2" s="281"/>
      <c r="BA2" s="281" t="s">
        <v>372</v>
      </c>
      <c r="BB2" s="281"/>
      <c r="BC2" s="281" t="s">
        <v>373</v>
      </c>
      <c r="BD2" s="281"/>
      <c r="BE2" s="281" t="s">
        <v>374</v>
      </c>
      <c r="BF2" s="281"/>
      <c r="BH2" s="281" t="s">
        <v>104</v>
      </c>
      <c r="BI2" s="281"/>
      <c r="BJ2" s="281" t="s">
        <v>375</v>
      </c>
      <c r="BK2" s="281"/>
      <c r="BL2" s="281" t="s">
        <v>376</v>
      </c>
      <c r="BM2" s="281"/>
      <c r="BN2" s="281" t="s">
        <v>377</v>
      </c>
      <c r="BO2" s="281"/>
      <c r="BP2" s="281" t="s">
        <v>378</v>
      </c>
      <c r="BQ2" s="281"/>
      <c r="BR2" s="281" t="s">
        <v>379</v>
      </c>
      <c r="BS2" s="281"/>
      <c r="BT2" s="281" t="s">
        <v>380</v>
      </c>
      <c r="BU2" s="281"/>
      <c r="BV2" s="281" t="s">
        <v>381</v>
      </c>
      <c r="BW2" s="281"/>
      <c r="BX2" s="281" t="s">
        <v>382</v>
      </c>
      <c r="BY2" s="281"/>
      <c r="BZ2" s="281" t="s">
        <v>383</v>
      </c>
      <c r="CA2" s="281"/>
      <c r="CB2" s="281" t="s">
        <v>384</v>
      </c>
      <c r="CC2" s="281"/>
      <c r="CD2" s="281" t="s">
        <v>385</v>
      </c>
      <c r="CE2" s="281"/>
      <c r="CF2" s="281" t="s">
        <v>386</v>
      </c>
      <c r="CG2" s="281"/>
      <c r="CH2" s="281" t="s">
        <v>387</v>
      </c>
      <c r="CI2" s="281"/>
      <c r="CJ2" s="281" t="s">
        <v>388</v>
      </c>
      <c r="CK2" s="281"/>
      <c r="CL2" s="281" t="s">
        <v>389</v>
      </c>
      <c r="CM2" s="281"/>
      <c r="CN2" s="281" t="s">
        <v>390</v>
      </c>
      <c r="CO2" s="281"/>
      <c r="CP2" s="281" t="s">
        <v>391</v>
      </c>
      <c r="CQ2" s="281"/>
      <c r="CR2" s="281" t="s">
        <v>392</v>
      </c>
      <c r="CS2" s="281"/>
    </row>
    <row r="3" spans="1:97" s="54" customFormat="1" ht="49.5" customHeight="1">
      <c r="A3" s="113"/>
      <c r="B3" s="68"/>
      <c r="C3" s="280"/>
      <c r="D3" s="280"/>
      <c r="E3" s="283" t="s">
        <v>111</v>
      </c>
      <c r="F3" s="283"/>
      <c r="G3" s="280"/>
      <c r="H3" s="280"/>
      <c r="I3" s="284" t="s">
        <v>113</v>
      </c>
      <c r="J3" s="284"/>
      <c r="K3" s="280"/>
      <c r="L3" s="280"/>
      <c r="M3" s="280"/>
      <c r="N3" s="280"/>
      <c r="O3" s="280"/>
      <c r="P3" s="280"/>
      <c r="Q3" s="282" t="s">
        <v>114</v>
      </c>
      <c r="R3" s="282"/>
      <c r="S3" s="280"/>
      <c r="T3" s="280"/>
      <c r="U3" s="53"/>
      <c r="V3" s="282" t="s">
        <v>109</v>
      </c>
      <c r="W3" s="282"/>
      <c r="X3" s="280"/>
      <c r="Y3" s="280"/>
      <c r="Z3" s="280"/>
      <c r="AA3" s="280"/>
      <c r="AB3" s="280"/>
      <c r="AC3" s="280"/>
      <c r="AD3" s="280"/>
      <c r="AE3" s="280"/>
      <c r="AF3" s="280"/>
      <c r="AG3" s="280"/>
      <c r="AH3" s="280"/>
      <c r="AI3" s="280"/>
      <c r="AJ3" s="280"/>
      <c r="AK3" s="280"/>
      <c r="AL3" s="280"/>
      <c r="AM3" s="280"/>
      <c r="AN3" s="53"/>
      <c r="AO3" s="283" t="s">
        <v>112</v>
      </c>
      <c r="AP3" s="283"/>
      <c r="AQ3" s="280"/>
      <c r="AR3" s="280"/>
      <c r="AS3" s="280"/>
      <c r="AT3" s="280"/>
      <c r="AU3" s="280"/>
      <c r="AV3" s="280"/>
      <c r="AW3" s="280"/>
      <c r="AX3" s="280"/>
      <c r="AY3" s="280"/>
      <c r="AZ3" s="280"/>
      <c r="BA3" s="280"/>
      <c r="BB3" s="280"/>
      <c r="BC3" s="280"/>
      <c r="BD3" s="280"/>
      <c r="BE3" s="280"/>
      <c r="BF3" s="280"/>
      <c r="BG3" s="53"/>
      <c r="BH3" s="283" t="s">
        <v>110</v>
      </c>
      <c r="BI3" s="283"/>
      <c r="BJ3" s="280"/>
      <c r="BK3" s="280"/>
      <c r="BL3" s="280"/>
      <c r="BM3" s="280"/>
      <c r="BN3" s="280"/>
      <c r="BO3" s="280"/>
      <c r="BP3" s="280"/>
      <c r="BQ3" s="280"/>
      <c r="BR3" s="280"/>
      <c r="BS3" s="280"/>
      <c r="BT3" s="280"/>
      <c r="BU3" s="280"/>
      <c r="BV3" s="280"/>
      <c r="BW3" s="280"/>
      <c r="BX3" s="280"/>
      <c r="BY3" s="280"/>
      <c r="BZ3" s="280"/>
      <c r="CA3" s="280"/>
      <c r="CB3" s="280"/>
      <c r="CC3" s="280"/>
      <c r="CD3" s="280"/>
      <c r="CE3" s="280"/>
      <c r="CF3" s="280"/>
      <c r="CG3" s="280"/>
      <c r="CH3" s="280"/>
      <c r="CI3" s="280"/>
      <c r="CJ3" s="280"/>
      <c r="CK3" s="280"/>
      <c r="CL3" s="280"/>
      <c r="CM3" s="280"/>
      <c r="CN3" s="280"/>
      <c r="CO3" s="280"/>
      <c r="CP3" s="280"/>
      <c r="CQ3" s="280"/>
      <c r="CR3" s="280"/>
      <c r="CS3" s="280"/>
    </row>
    <row r="4" spans="1:97" s="57" customFormat="1" ht="50.1" customHeight="1">
      <c r="A4" s="58" t="s">
        <v>99</v>
      </c>
      <c r="B4" s="70"/>
      <c r="C4" s="58" t="s">
        <v>115</v>
      </c>
      <c r="D4" s="58" t="s">
        <v>393</v>
      </c>
      <c r="E4" s="58" t="s">
        <v>115</v>
      </c>
      <c r="F4" s="58" t="s">
        <v>393</v>
      </c>
      <c r="G4" s="58" t="s">
        <v>115</v>
      </c>
      <c r="H4" s="58" t="s">
        <v>393</v>
      </c>
      <c r="I4" s="58" t="s">
        <v>115</v>
      </c>
      <c r="J4" s="58" t="s">
        <v>393</v>
      </c>
      <c r="K4" s="58" t="s">
        <v>115</v>
      </c>
      <c r="L4" s="58" t="s">
        <v>393</v>
      </c>
      <c r="M4" s="58" t="s">
        <v>115</v>
      </c>
      <c r="N4" s="58" t="s">
        <v>393</v>
      </c>
      <c r="O4" s="58" t="s">
        <v>115</v>
      </c>
      <c r="P4" s="58" t="s">
        <v>393</v>
      </c>
      <c r="Q4" s="58" t="s">
        <v>115</v>
      </c>
      <c r="R4" s="58" t="s">
        <v>393</v>
      </c>
      <c r="S4" s="58" t="s">
        <v>115</v>
      </c>
      <c r="T4" s="58" t="s">
        <v>393</v>
      </c>
      <c r="V4" s="58" t="s">
        <v>115</v>
      </c>
      <c r="W4" s="58" t="s">
        <v>393</v>
      </c>
      <c r="X4" s="58" t="s">
        <v>115</v>
      </c>
      <c r="Y4" s="58" t="s">
        <v>393</v>
      </c>
      <c r="Z4" s="58" t="s">
        <v>115</v>
      </c>
      <c r="AA4" s="58" t="s">
        <v>393</v>
      </c>
      <c r="AB4" s="58" t="s">
        <v>115</v>
      </c>
      <c r="AC4" s="58" t="s">
        <v>393</v>
      </c>
      <c r="AD4" s="58" t="s">
        <v>115</v>
      </c>
      <c r="AE4" s="58" t="s">
        <v>393</v>
      </c>
      <c r="AF4" s="58" t="s">
        <v>115</v>
      </c>
      <c r="AG4" s="58" t="s">
        <v>393</v>
      </c>
      <c r="AH4" s="58" t="s">
        <v>115</v>
      </c>
      <c r="AI4" s="58" t="s">
        <v>393</v>
      </c>
      <c r="AJ4" s="58" t="s">
        <v>115</v>
      </c>
      <c r="AK4" s="58" t="s">
        <v>393</v>
      </c>
      <c r="AL4" s="58" t="s">
        <v>115</v>
      </c>
      <c r="AM4" s="58" t="s">
        <v>393</v>
      </c>
      <c r="AO4" s="58" t="s">
        <v>115</v>
      </c>
      <c r="AP4" s="58" t="s">
        <v>393</v>
      </c>
      <c r="AQ4" s="58" t="s">
        <v>115</v>
      </c>
      <c r="AR4" s="58" t="s">
        <v>393</v>
      </c>
      <c r="AS4" s="58" t="s">
        <v>115</v>
      </c>
      <c r="AT4" s="58" t="s">
        <v>393</v>
      </c>
      <c r="AU4" s="58" t="s">
        <v>115</v>
      </c>
      <c r="AV4" s="58" t="s">
        <v>393</v>
      </c>
      <c r="AW4" s="58" t="s">
        <v>115</v>
      </c>
      <c r="AX4" s="58" t="s">
        <v>393</v>
      </c>
      <c r="AY4" s="58" t="s">
        <v>115</v>
      </c>
      <c r="AZ4" s="58" t="s">
        <v>393</v>
      </c>
      <c r="BA4" s="58" t="s">
        <v>115</v>
      </c>
      <c r="BB4" s="58" t="s">
        <v>393</v>
      </c>
      <c r="BC4" s="58" t="s">
        <v>115</v>
      </c>
      <c r="BD4" s="58" t="s">
        <v>393</v>
      </c>
      <c r="BE4" s="58" t="s">
        <v>115</v>
      </c>
      <c r="BF4" s="58" t="s">
        <v>393</v>
      </c>
      <c r="BH4" s="58" t="s">
        <v>115</v>
      </c>
      <c r="BI4" s="58" t="s">
        <v>393</v>
      </c>
      <c r="BJ4" s="58" t="s">
        <v>115</v>
      </c>
      <c r="BK4" s="58" t="s">
        <v>393</v>
      </c>
      <c r="BL4" s="58" t="s">
        <v>115</v>
      </c>
      <c r="BM4" s="58" t="s">
        <v>393</v>
      </c>
      <c r="BN4" s="58" t="s">
        <v>115</v>
      </c>
      <c r="BO4" s="58" t="s">
        <v>393</v>
      </c>
      <c r="BP4" s="58" t="s">
        <v>115</v>
      </c>
      <c r="BQ4" s="58" t="s">
        <v>393</v>
      </c>
      <c r="BR4" s="58" t="s">
        <v>115</v>
      </c>
      <c r="BS4" s="58" t="s">
        <v>393</v>
      </c>
      <c r="BT4" s="58" t="s">
        <v>115</v>
      </c>
      <c r="BU4" s="58" t="s">
        <v>393</v>
      </c>
      <c r="BV4" s="58" t="s">
        <v>115</v>
      </c>
      <c r="BW4" s="58" t="s">
        <v>393</v>
      </c>
      <c r="BX4" s="58" t="s">
        <v>115</v>
      </c>
      <c r="BY4" s="58" t="s">
        <v>393</v>
      </c>
      <c r="BZ4" s="58" t="s">
        <v>115</v>
      </c>
      <c r="CA4" s="58" t="s">
        <v>393</v>
      </c>
      <c r="CB4" s="58" t="s">
        <v>115</v>
      </c>
      <c r="CC4" s="58" t="s">
        <v>393</v>
      </c>
      <c r="CD4" s="58" t="s">
        <v>115</v>
      </c>
      <c r="CE4" s="58" t="s">
        <v>393</v>
      </c>
      <c r="CF4" s="58" t="s">
        <v>115</v>
      </c>
      <c r="CG4" s="58" t="s">
        <v>393</v>
      </c>
      <c r="CH4" s="58" t="s">
        <v>115</v>
      </c>
      <c r="CI4" s="58" t="s">
        <v>393</v>
      </c>
      <c r="CJ4" s="58" t="s">
        <v>115</v>
      </c>
      <c r="CK4" s="58" t="s">
        <v>393</v>
      </c>
      <c r="CL4" s="58" t="s">
        <v>115</v>
      </c>
      <c r="CM4" s="58" t="s">
        <v>393</v>
      </c>
      <c r="CN4" s="58" t="s">
        <v>115</v>
      </c>
      <c r="CO4" s="58" t="s">
        <v>393</v>
      </c>
      <c r="CP4" s="58" t="s">
        <v>115</v>
      </c>
      <c r="CQ4" s="58" t="s">
        <v>393</v>
      </c>
      <c r="CR4" s="58" t="s">
        <v>115</v>
      </c>
      <c r="CS4" s="58" t="s">
        <v>393</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2022-09-24T05:28:08Z</dcterms:modified>
  <cp:category/>
  <cp:contentStatus/>
</cp:coreProperties>
</file>