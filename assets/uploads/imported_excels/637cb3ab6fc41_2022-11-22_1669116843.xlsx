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17"/>
  <workbookPr/>
  <mc:AlternateContent xmlns:mc="http://schemas.openxmlformats.org/markup-compatibility/2006">
    <mc:Choice Requires="x15">
      <x15ac:absPath xmlns:x15ac="http://schemas.microsoft.com/office/spreadsheetml/2010/11/ac" url="C:\Users\AITel\OneDrive\Bureau\"/>
    </mc:Choice>
  </mc:AlternateContent>
  <xr:revisionPtr revIDLastSave="64" documentId="13_ncr:1_{69EB6846-922B-4322-8764-4AD6347DFF2F}" xr6:coauthVersionLast="47" xr6:coauthVersionMax="47" xr10:uidLastSave="{CC548595-1D9D-4551-AF25-3D8408A8BC94}"/>
  <bookViews>
    <workbookView xWindow="-120" yWindow="-120" windowWidth="20730" windowHeight="11160" xr2:uid="{00000000-000D-0000-FFFF-FFFF00000000}"/>
  </bookViews>
  <sheets>
    <sheet name="Info" sheetId="3" r:id="rId1"/>
    <sheet name="PRP" sheetId="2" r:id="rId2"/>
    <sheet name="Rain shower Heaad" sheetId="4" r:id="rId3"/>
    <sheet name="détail" sheetId="5" r:id="rId4"/>
    <sheet name="livraison annuel GAZ" sheetId="11" r:id="rId5"/>
    <sheet name="Consommation mensuel énergie" sheetId="7" r:id="rId6"/>
    <sheet name="Suvi Gaz" sheetId="9" r:id="rId7"/>
    <sheet name="Suivi EAU-ELEC" sheetId="8" r:id="rId8"/>
    <sheet name="cons annuel électr" sheetId="10" r:id="rId9"/>
  </sheets>
  <externalReferences>
    <externalReference r:id="rId10"/>
  </externalReferences>
  <definedNames>
    <definedName name="_xlnm.Print_Area" localSheetId="5">'Consommation mensuel énergie'!$A$1:$Y$50</definedName>
    <definedName name="_xlnm.Print_Area" localSheetId="7">'Suivi EAU-ELEC'!$A$1:$K$40</definedName>
    <definedName name="_xlnm.Print_Area" localSheetId="6">'Suvi Gaz'!$A$1:$AC$48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xlnp="http://schemas.microsoft.com/office/spreadsheetml/2019/extlinksprops" uri="{FCE6A71B-6B00-49CD-AB44-F6B1AE7CDE65}">
      <xxlnp:externalLinksPr autoRefresh="1"/>
    </ext>
  </extLst>
</workbook>
</file>

<file path=xl/calcChain.xml><?xml version="1.0" encoding="utf-8"?>
<calcChain xmlns="http://schemas.openxmlformats.org/spreadsheetml/2006/main">
  <c r="K32" i="8" l="1"/>
  <c r="I32" i="8"/>
  <c r="G32" i="8"/>
  <c r="E32" i="8"/>
  <c r="K31" i="8"/>
  <c r="I31" i="8"/>
  <c r="G31" i="8"/>
  <c r="E31" i="8"/>
  <c r="C31" i="8"/>
  <c r="K27" i="3"/>
  <c r="K30" i="8"/>
  <c r="I30" i="8"/>
  <c r="G30" i="8"/>
  <c r="E30" i="8"/>
  <c r="C29" i="8"/>
  <c r="C30" i="8"/>
  <c r="L31" i="7"/>
  <c r="F31" i="7"/>
  <c r="K29" i="8"/>
  <c r="G29" i="8"/>
  <c r="I29" i="8"/>
  <c r="E29" i="8"/>
  <c r="C28" i="8"/>
  <c r="J37" i="3"/>
  <c r="H37" i="3"/>
  <c r="I37" i="3"/>
  <c r="F32" i="7"/>
  <c r="F33" i="7"/>
  <c r="F34" i="7"/>
  <c r="F35" i="7"/>
  <c r="F36" i="7"/>
  <c r="F37" i="7"/>
  <c r="F38" i="7"/>
  <c r="F39" i="7"/>
  <c r="F40" i="7"/>
  <c r="M31" i="7"/>
  <c r="N31" i="7"/>
  <c r="L32" i="7"/>
  <c r="M32" i="7"/>
  <c r="N32" i="7"/>
  <c r="L33" i="7"/>
  <c r="M33" i="7"/>
  <c r="N33" i="7"/>
  <c r="L34" i="7"/>
  <c r="M34" i="7"/>
  <c r="N34" i="7"/>
  <c r="L35" i="7"/>
  <c r="M35" i="7"/>
  <c r="N35" i="7"/>
  <c r="L36" i="7"/>
  <c r="M36" i="7"/>
  <c r="N36" i="7"/>
  <c r="L37" i="7"/>
  <c r="M37" i="7"/>
  <c r="N37" i="7"/>
  <c r="L38" i="7"/>
  <c r="M38" i="7"/>
  <c r="N38" i="7"/>
  <c r="L39" i="7"/>
  <c r="M39" i="7"/>
  <c r="N39" i="7"/>
  <c r="L40" i="7"/>
  <c r="M40" i="7"/>
  <c r="N40" i="7"/>
  <c r="F30" i="7"/>
  <c r="L30" i="7"/>
  <c r="M30" i="7"/>
  <c r="N30" i="7"/>
  <c r="O39" i="7"/>
  <c r="O40" i="7"/>
  <c r="O35" i="7"/>
  <c r="O31" i="7"/>
  <c r="O30" i="7"/>
  <c r="O36" i="7"/>
  <c r="O32" i="7"/>
  <c r="O37" i="7"/>
  <c r="O33" i="7"/>
  <c r="O38" i="7"/>
  <c r="O34" i="7"/>
  <c r="N29" i="7"/>
  <c r="L29" i="7"/>
  <c r="E28" i="8"/>
  <c r="F29" i="7"/>
  <c r="E27" i="8"/>
  <c r="G28" i="8"/>
  <c r="I28" i="8"/>
  <c r="M29" i="7"/>
  <c r="K28" i="8"/>
  <c r="O29" i="7"/>
  <c r="F27" i="3"/>
  <c r="G27" i="8"/>
  <c r="N28" i="7"/>
  <c r="M28" i="7"/>
  <c r="L28" i="7"/>
  <c r="J29" i="3"/>
  <c r="J33" i="3"/>
  <c r="N12" i="7"/>
  <c r="Z43" i="9"/>
  <c r="W43" i="9"/>
  <c r="T43" i="9"/>
  <c r="Q43" i="9"/>
  <c r="AE42" i="9"/>
  <c r="AD42" i="9"/>
  <c r="AC42" i="9"/>
  <c r="M42" i="9"/>
  <c r="L42" i="9"/>
  <c r="N42" i="9"/>
  <c r="O42" i="9"/>
  <c r="P42" i="9"/>
  <c r="J42" i="9"/>
  <c r="K42" i="9"/>
  <c r="L41" i="9"/>
  <c r="N41" i="9"/>
  <c r="O41" i="9"/>
  <c r="P41" i="9"/>
  <c r="I42" i="9"/>
  <c r="G42" i="9"/>
  <c r="AE41" i="9"/>
  <c r="AD41" i="9"/>
  <c r="AC41" i="9"/>
  <c r="M41" i="9"/>
  <c r="J41" i="9"/>
  <c r="K41" i="9"/>
  <c r="I41" i="9"/>
  <c r="G41" i="9"/>
  <c r="E41" i="9"/>
  <c r="C41" i="9"/>
  <c r="AE40" i="9"/>
  <c r="AD40" i="9"/>
  <c r="AC40" i="9"/>
  <c r="M40" i="9"/>
  <c r="J40" i="9"/>
  <c r="K40" i="9"/>
  <c r="I40" i="9"/>
  <c r="G40" i="9"/>
  <c r="AE39" i="9"/>
  <c r="AD39" i="9"/>
  <c r="AC39" i="9"/>
  <c r="I39" i="9"/>
  <c r="M39" i="9"/>
  <c r="J39" i="9"/>
  <c r="K39" i="9"/>
  <c r="G39" i="9"/>
  <c r="C39" i="9"/>
  <c r="AE38" i="9"/>
  <c r="AD38" i="9"/>
  <c r="AC38" i="9"/>
  <c r="M38" i="9"/>
  <c r="J38" i="9"/>
  <c r="K38" i="9"/>
  <c r="I38" i="9"/>
  <c r="AE37" i="9"/>
  <c r="AD37" i="9"/>
  <c r="AC37" i="9"/>
  <c r="M37" i="9"/>
  <c r="J37" i="9"/>
  <c r="K37" i="9"/>
  <c r="I37" i="9"/>
  <c r="G37" i="9"/>
  <c r="E37" i="9"/>
  <c r="C37" i="9"/>
  <c r="AE36" i="9"/>
  <c r="AD36" i="9"/>
  <c r="AC36" i="9"/>
  <c r="M36" i="9"/>
  <c r="J36" i="9"/>
  <c r="K36" i="9"/>
  <c r="AE35" i="9"/>
  <c r="AD35" i="9"/>
  <c r="AC35" i="9"/>
  <c r="E35" i="9"/>
  <c r="M35" i="9"/>
  <c r="J35" i="9"/>
  <c r="K35" i="9"/>
  <c r="L34" i="9"/>
  <c r="G35" i="9"/>
  <c r="AE34" i="9"/>
  <c r="AD34" i="9"/>
  <c r="AC34" i="9"/>
  <c r="M34" i="9"/>
  <c r="J34" i="9"/>
  <c r="K34" i="9"/>
  <c r="I34" i="9"/>
  <c r="G34" i="9"/>
  <c r="AE33" i="9"/>
  <c r="AD33" i="9"/>
  <c r="AC33" i="9"/>
  <c r="I33" i="9"/>
  <c r="M33" i="9"/>
  <c r="J33" i="9"/>
  <c r="K33" i="9"/>
  <c r="L32" i="9"/>
  <c r="N32" i="9"/>
  <c r="O32" i="9"/>
  <c r="C33" i="9"/>
  <c r="AE32" i="9"/>
  <c r="AD32" i="9"/>
  <c r="AC32" i="9"/>
  <c r="E32" i="9"/>
  <c r="M32" i="9"/>
  <c r="J32" i="9"/>
  <c r="K32" i="9"/>
  <c r="AE31" i="9"/>
  <c r="AD31" i="9"/>
  <c r="AC31" i="9"/>
  <c r="M31" i="9"/>
  <c r="J31" i="9"/>
  <c r="K31" i="9"/>
  <c r="I31" i="9"/>
  <c r="G31" i="9"/>
  <c r="E31" i="9"/>
  <c r="C31" i="9"/>
  <c r="AE30" i="9"/>
  <c r="AD30" i="9"/>
  <c r="AC30" i="9"/>
  <c r="E30" i="9"/>
  <c r="M30" i="9"/>
  <c r="J30" i="9"/>
  <c r="K30" i="9"/>
  <c r="C30" i="9"/>
  <c r="AE29" i="9"/>
  <c r="AD29" i="9"/>
  <c r="AC29" i="9"/>
  <c r="C29" i="9"/>
  <c r="M29" i="9"/>
  <c r="L29" i="9"/>
  <c r="N29" i="9"/>
  <c r="O29" i="9"/>
  <c r="J29" i="9"/>
  <c r="K29" i="9"/>
  <c r="I29" i="9"/>
  <c r="G29" i="9"/>
  <c r="E29" i="9"/>
  <c r="AE28" i="9"/>
  <c r="AD28" i="9"/>
  <c r="AC28" i="9"/>
  <c r="E28" i="9"/>
  <c r="M28" i="9"/>
  <c r="J28" i="9"/>
  <c r="K28" i="9"/>
  <c r="AE27" i="9"/>
  <c r="AD27" i="9"/>
  <c r="AC27" i="9"/>
  <c r="E27" i="9"/>
  <c r="M27" i="9"/>
  <c r="J27" i="9"/>
  <c r="K27" i="9"/>
  <c r="L26" i="9"/>
  <c r="AE26" i="9"/>
  <c r="AD26" i="9"/>
  <c r="AC26" i="9"/>
  <c r="E26" i="9"/>
  <c r="M26" i="9"/>
  <c r="J26" i="9"/>
  <c r="K26" i="9"/>
  <c r="I26" i="9"/>
  <c r="C26" i="9"/>
  <c r="AE25" i="9"/>
  <c r="AD25" i="9"/>
  <c r="AC25" i="9"/>
  <c r="E25" i="9"/>
  <c r="M25" i="9"/>
  <c r="J25" i="9"/>
  <c r="K25" i="9"/>
  <c r="L24" i="9"/>
  <c r="AE24" i="9"/>
  <c r="AD24" i="9"/>
  <c r="AC24" i="9"/>
  <c r="E24" i="9"/>
  <c r="M24" i="9"/>
  <c r="J24" i="9"/>
  <c r="K24" i="9"/>
  <c r="C24" i="9"/>
  <c r="AE23" i="9"/>
  <c r="AD23" i="9"/>
  <c r="AC23" i="9"/>
  <c r="C23" i="9"/>
  <c r="M23" i="9"/>
  <c r="J23" i="9"/>
  <c r="K23" i="9"/>
  <c r="I23" i="9"/>
  <c r="G23" i="9"/>
  <c r="E23" i="9"/>
  <c r="AE22" i="9"/>
  <c r="AD22" i="9"/>
  <c r="AC22" i="9"/>
  <c r="E22" i="9"/>
  <c r="M22" i="9"/>
  <c r="J22" i="9"/>
  <c r="K22" i="9"/>
  <c r="AE21" i="9"/>
  <c r="AD21" i="9"/>
  <c r="AC21" i="9"/>
  <c r="I21" i="9"/>
  <c r="M21" i="9"/>
  <c r="J21" i="9"/>
  <c r="K21" i="9"/>
  <c r="G21" i="9"/>
  <c r="C21" i="9"/>
  <c r="AE20" i="9"/>
  <c r="AD20" i="9"/>
  <c r="AC20" i="9"/>
  <c r="E20" i="9"/>
  <c r="M20" i="9"/>
  <c r="J20" i="9"/>
  <c r="K20" i="9"/>
  <c r="I20" i="9"/>
  <c r="G20" i="9"/>
  <c r="C20" i="9"/>
  <c r="AE19" i="9"/>
  <c r="AD19" i="9"/>
  <c r="AC19" i="9"/>
  <c r="C19" i="9"/>
  <c r="M19" i="9"/>
  <c r="J19" i="9"/>
  <c r="K19" i="9"/>
  <c r="I19" i="9"/>
  <c r="G19" i="9"/>
  <c r="E19" i="9"/>
  <c r="AE18" i="9"/>
  <c r="AD18" i="9"/>
  <c r="AC18" i="9"/>
  <c r="E18" i="9"/>
  <c r="M18" i="9"/>
  <c r="J18" i="9"/>
  <c r="K18" i="9"/>
  <c r="L17" i="9"/>
  <c r="AE17" i="9"/>
  <c r="AD17" i="9"/>
  <c r="AC17" i="9"/>
  <c r="C17" i="9"/>
  <c r="M17" i="9"/>
  <c r="J17" i="9"/>
  <c r="K17" i="9"/>
  <c r="I17" i="9"/>
  <c r="G17" i="9"/>
  <c r="E17" i="9"/>
  <c r="AE16" i="9"/>
  <c r="AD16" i="9"/>
  <c r="AC16" i="9"/>
  <c r="E16" i="9"/>
  <c r="M16" i="9"/>
  <c r="J16" i="9"/>
  <c r="K16" i="9"/>
  <c r="AE15" i="9"/>
  <c r="AD15" i="9"/>
  <c r="AC15" i="9"/>
  <c r="C15" i="9"/>
  <c r="M15" i="9"/>
  <c r="K15" i="9"/>
  <c r="J15" i="9"/>
  <c r="I15" i="9"/>
  <c r="E15" i="9"/>
  <c r="AE14" i="9"/>
  <c r="AD14" i="9"/>
  <c r="AC14" i="9"/>
  <c r="E14" i="9"/>
  <c r="M14" i="9"/>
  <c r="J14" i="9"/>
  <c r="K14" i="9"/>
  <c r="AE13" i="9"/>
  <c r="AD13" i="9"/>
  <c r="AC13" i="9"/>
  <c r="C13" i="9"/>
  <c r="M13" i="9"/>
  <c r="J13" i="9"/>
  <c r="K13" i="9"/>
  <c r="I13" i="9"/>
  <c r="G13" i="9"/>
  <c r="E13" i="9"/>
  <c r="AE12" i="9"/>
  <c r="AD12" i="9"/>
  <c r="AC12" i="9"/>
  <c r="E12" i="9"/>
  <c r="M12" i="9"/>
  <c r="J12" i="9"/>
  <c r="K12" i="9"/>
  <c r="AE11" i="9"/>
  <c r="AD11" i="9"/>
  <c r="AC11" i="9"/>
  <c r="E11" i="9"/>
  <c r="M11" i="9"/>
  <c r="J11" i="9"/>
  <c r="K11" i="9"/>
  <c r="L10" i="9"/>
  <c r="AE10" i="9"/>
  <c r="AD10" i="9"/>
  <c r="AC10" i="9"/>
  <c r="E10" i="9"/>
  <c r="M10" i="9"/>
  <c r="J10" i="9"/>
  <c r="K10" i="9"/>
  <c r="I10" i="9"/>
  <c r="C10" i="9"/>
  <c r="AE9" i="9"/>
  <c r="AD9" i="9"/>
  <c r="AC9" i="9"/>
  <c r="E9" i="9"/>
  <c r="M9" i="9"/>
  <c r="J9" i="9"/>
  <c r="K9" i="9"/>
  <c r="L8" i="9"/>
  <c r="G9" i="9"/>
  <c r="AE8" i="9"/>
  <c r="AD8" i="9"/>
  <c r="AC8" i="9"/>
  <c r="E8" i="9"/>
  <c r="M8" i="9"/>
  <c r="J8" i="9"/>
  <c r="K8" i="9"/>
  <c r="C8" i="9"/>
  <c r="AE7" i="9"/>
  <c r="AD7" i="9"/>
  <c r="AC7" i="9"/>
  <c r="E7" i="9"/>
  <c r="M7" i="9"/>
  <c r="J7" i="9"/>
  <c r="K7" i="9"/>
  <c r="L6" i="9"/>
  <c r="N6" i="9"/>
  <c r="O6" i="9"/>
  <c r="P6" i="9"/>
  <c r="I7" i="9"/>
  <c r="G7" i="9"/>
  <c r="C7" i="9"/>
  <c r="AE6" i="9"/>
  <c r="AD6" i="9"/>
  <c r="AC6" i="9"/>
  <c r="E6" i="9"/>
  <c r="M6" i="9"/>
  <c r="J6" i="9"/>
  <c r="K6" i="9"/>
  <c r="C6" i="9"/>
  <c r="AE5" i="9"/>
  <c r="AD5" i="9"/>
  <c r="AC5" i="9"/>
  <c r="E5" i="9"/>
  <c r="M5" i="9"/>
  <c r="J5" i="9"/>
  <c r="K5" i="9"/>
  <c r="AE4" i="9"/>
  <c r="AD4" i="9"/>
  <c r="AC4" i="9"/>
  <c r="E4" i="9"/>
  <c r="M4" i="9"/>
  <c r="J4" i="9"/>
  <c r="K4" i="9"/>
  <c r="I4" i="9"/>
  <c r="G4" i="9"/>
  <c r="C4" i="9"/>
  <c r="K27" i="8"/>
  <c r="I27" i="8"/>
  <c r="C27" i="8"/>
  <c r="K26" i="8"/>
  <c r="I26" i="8"/>
  <c r="G26" i="8"/>
  <c r="E26" i="8"/>
  <c r="C26" i="8"/>
  <c r="K25" i="8"/>
  <c r="I25" i="8"/>
  <c r="G25" i="8"/>
  <c r="E25" i="8"/>
  <c r="C25" i="8"/>
  <c r="K24" i="8"/>
  <c r="I24" i="8"/>
  <c r="G24" i="8"/>
  <c r="E24" i="8"/>
  <c r="C24" i="8"/>
  <c r="K23" i="8"/>
  <c r="I23" i="8"/>
  <c r="G23" i="8"/>
  <c r="E23" i="8"/>
  <c r="C23" i="8"/>
  <c r="K22" i="8"/>
  <c r="I22" i="8"/>
  <c r="G22" i="8"/>
  <c r="E22" i="8"/>
  <c r="C22" i="8"/>
  <c r="K21" i="8"/>
  <c r="I21" i="8"/>
  <c r="G21" i="8"/>
  <c r="E21" i="8"/>
  <c r="C21" i="8"/>
  <c r="K20" i="8"/>
  <c r="I20" i="8"/>
  <c r="G20" i="8"/>
  <c r="E20" i="8"/>
  <c r="C20" i="8"/>
  <c r="K19" i="8"/>
  <c r="I19" i="8"/>
  <c r="G19" i="8"/>
  <c r="E19" i="8"/>
  <c r="C19" i="8"/>
  <c r="K18" i="8"/>
  <c r="I18" i="8"/>
  <c r="G18" i="8"/>
  <c r="E18" i="8"/>
  <c r="C18" i="8"/>
  <c r="K17" i="8"/>
  <c r="I17" i="8"/>
  <c r="G17" i="8"/>
  <c r="E17" i="8"/>
  <c r="C17" i="8"/>
  <c r="K16" i="8"/>
  <c r="I16" i="8"/>
  <c r="G16" i="8"/>
  <c r="E16" i="8"/>
  <c r="C16" i="8"/>
  <c r="K15" i="8"/>
  <c r="I15" i="8"/>
  <c r="G15" i="8"/>
  <c r="E15" i="8"/>
  <c r="C15" i="8"/>
  <c r="K14" i="8"/>
  <c r="I14" i="8"/>
  <c r="G14" i="8"/>
  <c r="E14" i="8"/>
  <c r="C14" i="8"/>
  <c r="K13" i="8"/>
  <c r="I13" i="8"/>
  <c r="G13" i="8"/>
  <c r="E13" i="8"/>
  <c r="C13" i="8"/>
  <c r="K12" i="8"/>
  <c r="I12" i="8"/>
  <c r="G12" i="8"/>
  <c r="E12" i="8"/>
  <c r="C12" i="8"/>
  <c r="K11" i="8"/>
  <c r="I11" i="8"/>
  <c r="G11" i="8"/>
  <c r="E11" i="8"/>
  <c r="C11" i="8"/>
  <c r="K10" i="8"/>
  <c r="I10" i="8"/>
  <c r="G10" i="8"/>
  <c r="E10" i="8"/>
  <c r="C10" i="8"/>
  <c r="U41" i="7"/>
  <c r="S41" i="7"/>
  <c r="E41" i="7"/>
  <c r="D41" i="7"/>
  <c r="Q40" i="7"/>
  <c r="H40" i="7"/>
  <c r="Q39" i="7"/>
  <c r="H39" i="7"/>
  <c r="Q38" i="7"/>
  <c r="H38" i="7"/>
  <c r="Q37" i="7"/>
  <c r="H37" i="7"/>
  <c r="Q36" i="7"/>
  <c r="H36" i="7"/>
  <c r="Q35" i="7"/>
  <c r="H35" i="7"/>
  <c r="Q34" i="7"/>
  <c r="H34" i="7"/>
  <c r="Q33" i="7"/>
  <c r="H33" i="7"/>
  <c r="Q32" i="7"/>
  <c r="H32" i="7"/>
  <c r="Q31" i="7"/>
  <c r="H31" i="7"/>
  <c r="Q30" i="7"/>
  <c r="H30" i="7"/>
  <c r="Q29" i="7"/>
  <c r="H29" i="7"/>
  <c r="O28" i="7"/>
  <c r="Q28" i="7"/>
  <c r="F28" i="7"/>
  <c r="H28" i="7"/>
  <c r="V27" i="7"/>
  <c r="X27" i="7"/>
  <c r="N27" i="7"/>
  <c r="M27" i="7"/>
  <c r="L27" i="7"/>
  <c r="F27" i="7"/>
  <c r="H27" i="7"/>
  <c r="V26" i="7"/>
  <c r="X26" i="7"/>
  <c r="N26" i="7"/>
  <c r="M26" i="7"/>
  <c r="L26" i="7"/>
  <c r="F26" i="7"/>
  <c r="H26" i="7"/>
  <c r="V25" i="7"/>
  <c r="X25" i="7"/>
  <c r="N25" i="7"/>
  <c r="M25" i="7"/>
  <c r="L25" i="7"/>
  <c r="F25" i="7"/>
  <c r="H25" i="7"/>
  <c r="V24" i="7"/>
  <c r="X24" i="7"/>
  <c r="N24" i="7"/>
  <c r="M24" i="7"/>
  <c r="L24" i="7"/>
  <c r="F24" i="7"/>
  <c r="H24" i="7"/>
  <c r="V23" i="7"/>
  <c r="X23" i="7"/>
  <c r="N23" i="7"/>
  <c r="M23" i="7"/>
  <c r="L23" i="7"/>
  <c r="F23" i="7"/>
  <c r="H23" i="7"/>
  <c r="V22" i="7"/>
  <c r="X22" i="7"/>
  <c r="N22" i="7"/>
  <c r="M22" i="7"/>
  <c r="L22" i="7"/>
  <c r="F22" i="7"/>
  <c r="H22" i="7"/>
  <c r="V21" i="7"/>
  <c r="X21" i="7"/>
  <c r="N21" i="7"/>
  <c r="M21" i="7"/>
  <c r="L21" i="7"/>
  <c r="F21" i="7"/>
  <c r="H21" i="7"/>
  <c r="V20" i="7"/>
  <c r="X20" i="7"/>
  <c r="N20" i="7"/>
  <c r="M20" i="7"/>
  <c r="L20" i="7"/>
  <c r="F20" i="7"/>
  <c r="H20" i="7"/>
  <c r="V19" i="7"/>
  <c r="X19" i="7"/>
  <c r="N19" i="7"/>
  <c r="M19" i="7"/>
  <c r="L19" i="7"/>
  <c r="F19" i="7"/>
  <c r="H19" i="7"/>
  <c r="V18" i="7"/>
  <c r="X18" i="7"/>
  <c r="N18" i="7"/>
  <c r="M18" i="7"/>
  <c r="L18" i="7"/>
  <c r="F18" i="7"/>
  <c r="H18" i="7"/>
  <c r="V17" i="7"/>
  <c r="X17" i="7"/>
  <c r="N17" i="7"/>
  <c r="M17" i="7"/>
  <c r="L17" i="7"/>
  <c r="F17" i="7"/>
  <c r="H17" i="7"/>
  <c r="V16" i="7"/>
  <c r="X16" i="7"/>
  <c r="N16" i="7"/>
  <c r="M16" i="7"/>
  <c r="L16" i="7"/>
  <c r="F16" i="7"/>
  <c r="H16" i="7"/>
  <c r="V15" i="7"/>
  <c r="X15" i="7"/>
  <c r="N15" i="7"/>
  <c r="M15" i="7"/>
  <c r="L15" i="7"/>
  <c r="F15" i="7"/>
  <c r="H15" i="7"/>
  <c r="V14" i="7"/>
  <c r="X14" i="7"/>
  <c r="N14" i="7"/>
  <c r="M14" i="7"/>
  <c r="L14" i="7"/>
  <c r="F14" i="7"/>
  <c r="H14" i="7"/>
  <c r="V13" i="7"/>
  <c r="X13" i="7"/>
  <c r="N13" i="7"/>
  <c r="M13" i="7"/>
  <c r="L13" i="7"/>
  <c r="F13" i="7"/>
  <c r="H13" i="7"/>
  <c r="V12" i="7"/>
  <c r="X12" i="7"/>
  <c r="M12" i="7"/>
  <c r="L12" i="7"/>
  <c r="F12" i="7"/>
  <c r="H12" i="7"/>
  <c r="V11" i="7"/>
  <c r="X11" i="7"/>
  <c r="N11" i="7"/>
  <c r="M11" i="7"/>
  <c r="L11" i="7"/>
  <c r="F11" i="7"/>
  <c r="H11" i="7"/>
  <c r="V10" i="7"/>
  <c r="N10" i="7"/>
  <c r="M10" i="7"/>
  <c r="L10" i="7"/>
  <c r="F10" i="7"/>
  <c r="G25" i="9"/>
  <c r="G27" i="9"/>
  <c r="G28" i="9"/>
  <c r="I5" i="9"/>
  <c r="L7" i="9"/>
  <c r="N7" i="9"/>
  <c r="O7" i="9"/>
  <c r="P7" i="9"/>
  <c r="I9" i="9"/>
  <c r="L9" i="9"/>
  <c r="N9" i="9"/>
  <c r="O9" i="9"/>
  <c r="P9" i="9"/>
  <c r="I11" i="9"/>
  <c r="I12" i="9"/>
  <c r="G15" i="9"/>
  <c r="C16" i="9"/>
  <c r="I18" i="9"/>
  <c r="E21" i="9"/>
  <c r="C22" i="9"/>
  <c r="L23" i="9"/>
  <c r="N23" i="9"/>
  <c r="O23" i="9"/>
  <c r="I25" i="9"/>
  <c r="L25" i="9"/>
  <c r="N25" i="9"/>
  <c r="O25" i="9"/>
  <c r="I27" i="9"/>
  <c r="I28" i="9"/>
  <c r="E33" i="9"/>
  <c r="L33" i="9"/>
  <c r="N33" i="9"/>
  <c r="O33" i="9"/>
  <c r="I35" i="9"/>
  <c r="E39" i="9"/>
  <c r="G5" i="9"/>
  <c r="G11" i="9"/>
  <c r="G12" i="9"/>
  <c r="C5" i="9"/>
  <c r="C9" i="9"/>
  <c r="N8" i="9"/>
  <c r="O8" i="9"/>
  <c r="P8" i="9"/>
  <c r="C11" i="9"/>
  <c r="N10" i="9"/>
  <c r="O10" i="9"/>
  <c r="P10" i="9"/>
  <c r="L14" i="9"/>
  <c r="N14" i="9"/>
  <c r="O14" i="9"/>
  <c r="P14" i="9"/>
  <c r="L15" i="9"/>
  <c r="N15" i="9"/>
  <c r="O15" i="9"/>
  <c r="P15" i="9"/>
  <c r="N17" i="9"/>
  <c r="O17" i="9"/>
  <c r="P17" i="9"/>
  <c r="C25" i="9"/>
  <c r="N24" i="9"/>
  <c r="O24" i="9"/>
  <c r="P24" i="9"/>
  <c r="C27" i="9"/>
  <c r="N26" i="9"/>
  <c r="O26" i="9"/>
  <c r="L27" i="9"/>
  <c r="N27" i="9"/>
  <c r="O27" i="9"/>
  <c r="C32" i="9"/>
  <c r="G33" i="9"/>
  <c r="C35" i="9"/>
  <c r="N34" i="9"/>
  <c r="O34" i="9"/>
  <c r="AC43" i="9"/>
  <c r="Q44" i="9"/>
  <c r="AC44" i="9"/>
  <c r="K48" i="9"/>
  <c r="L48" i="9"/>
  <c r="M48" i="9"/>
  <c r="C14" i="9"/>
  <c r="C18" i="9"/>
  <c r="P29" i="9"/>
  <c r="V35" i="7"/>
  <c r="X35" i="7"/>
  <c r="P32" i="9"/>
  <c r="V38" i="7"/>
  <c r="X38" i="7"/>
  <c r="C12" i="9"/>
  <c r="L16" i="9"/>
  <c r="N16" i="9"/>
  <c r="O16" i="9"/>
  <c r="P16" i="9"/>
  <c r="L18" i="9"/>
  <c r="N18" i="9"/>
  <c r="O18" i="9"/>
  <c r="P18" i="9"/>
  <c r="L22" i="9"/>
  <c r="N22" i="9"/>
  <c r="O22" i="9"/>
  <c r="C28" i="9"/>
  <c r="L28" i="9"/>
  <c r="N28" i="9"/>
  <c r="O28" i="9"/>
  <c r="L30" i="9"/>
  <c r="N30" i="9"/>
  <c r="O30" i="9"/>
  <c r="L31" i="9"/>
  <c r="N31" i="9"/>
  <c r="O31" i="9"/>
  <c r="L35" i="9"/>
  <c r="N35" i="9"/>
  <c r="O35" i="9"/>
  <c r="P35" i="9"/>
  <c r="L37" i="9"/>
  <c r="N37" i="9"/>
  <c r="O37" i="9"/>
  <c r="P37" i="9"/>
  <c r="L39" i="9"/>
  <c r="N39" i="9"/>
  <c r="O39" i="9"/>
  <c r="P39" i="9"/>
  <c r="P23" i="9"/>
  <c r="V29" i="7"/>
  <c r="X29" i="7"/>
  <c r="P25" i="9"/>
  <c r="V31" i="7"/>
  <c r="X31" i="7"/>
  <c r="Q21" i="7"/>
  <c r="Q25" i="7"/>
  <c r="O20" i="7"/>
  <c r="Q14" i="7"/>
  <c r="Q18" i="7"/>
  <c r="O12" i="7"/>
  <c r="O24" i="7"/>
  <c r="O17" i="7"/>
  <c r="O19" i="7"/>
  <c r="O22" i="7"/>
  <c r="O23" i="7"/>
  <c r="Q11" i="7"/>
  <c r="Q16" i="7"/>
  <c r="O13" i="7"/>
  <c r="O18" i="7"/>
  <c r="Q10" i="7"/>
  <c r="O14" i="7"/>
  <c r="Q17" i="7"/>
  <c r="Q24" i="7"/>
  <c r="O25" i="7"/>
  <c r="Q26" i="7"/>
  <c r="O16" i="7"/>
  <c r="Q20" i="7"/>
  <c r="O21" i="7"/>
  <c r="Q22" i="7"/>
  <c r="O26" i="7"/>
  <c r="O27" i="7"/>
  <c r="Q12" i="7"/>
  <c r="L4" i="9"/>
  <c r="N4" i="9"/>
  <c r="L5" i="9"/>
  <c r="N5" i="9"/>
  <c r="O5" i="9"/>
  <c r="P5" i="9"/>
  <c r="L11" i="9"/>
  <c r="N11" i="9"/>
  <c r="O11" i="9"/>
  <c r="P11" i="9"/>
  <c r="L12" i="9"/>
  <c r="N12" i="9"/>
  <c r="O12" i="9"/>
  <c r="P12" i="9"/>
  <c r="L13" i="9"/>
  <c r="N13" i="9"/>
  <c r="O13" i="9"/>
  <c r="P13" i="9"/>
  <c r="L19" i="9"/>
  <c r="N19" i="9"/>
  <c r="O19" i="9"/>
  <c r="P19" i="9"/>
  <c r="L20" i="9"/>
  <c r="N20" i="9"/>
  <c r="O20" i="9"/>
  <c r="P20" i="9"/>
  <c r="L21" i="9"/>
  <c r="N21" i="9"/>
  <c r="O21" i="9"/>
  <c r="P21" i="9"/>
  <c r="E36" i="9"/>
  <c r="C36" i="9"/>
  <c r="G6" i="9"/>
  <c r="G14" i="9"/>
  <c r="G22" i="9"/>
  <c r="G30" i="9"/>
  <c r="L36" i="9"/>
  <c r="N36" i="9"/>
  <c r="O36" i="9"/>
  <c r="P36" i="9"/>
  <c r="E38" i="9"/>
  <c r="C38" i="9"/>
  <c r="I6" i="9"/>
  <c r="G8" i="9"/>
  <c r="I14" i="9"/>
  <c r="G16" i="9"/>
  <c r="I22" i="9"/>
  <c r="G24" i="9"/>
  <c r="I30" i="9"/>
  <c r="G32" i="9"/>
  <c r="G36" i="9"/>
  <c r="L38" i="9"/>
  <c r="N38" i="9"/>
  <c r="O38" i="9"/>
  <c r="P38" i="9"/>
  <c r="E40" i="9"/>
  <c r="C40" i="9"/>
  <c r="I8" i="9"/>
  <c r="G10" i="9"/>
  <c r="I16" i="9"/>
  <c r="G18" i="9"/>
  <c r="I24" i="9"/>
  <c r="G26" i="9"/>
  <c r="I32" i="9"/>
  <c r="E34" i="9"/>
  <c r="C34" i="9"/>
  <c r="I36" i="9"/>
  <c r="G38" i="9"/>
  <c r="L40" i="9"/>
  <c r="N40" i="9"/>
  <c r="O40" i="9"/>
  <c r="P40" i="9"/>
  <c r="E42" i="9"/>
  <c r="C42" i="9"/>
  <c r="M41" i="7"/>
  <c r="I45" i="7"/>
  <c r="L45" i="7"/>
  <c r="O10" i="7"/>
  <c r="O11" i="7"/>
  <c r="L41" i="7"/>
  <c r="I44" i="7"/>
  <c r="L44" i="7"/>
  <c r="O15" i="7"/>
  <c r="Q15" i="7"/>
  <c r="N41" i="7"/>
  <c r="I46" i="7"/>
  <c r="L46" i="7"/>
  <c r="Q13" i="7"/>
  <c r="F41" i="7"/>
  <c r="I48" i="7"/>
  <c r="L48" i="7"/>
  <c r="N48" i="7"/>
  <c r="X10" i="7"/>
  <c r="Q19" i="7"/>
  <c r="Q23" i="7"/>
  <c r="Q27" i="7"/>
  <c r="H10" i="7"/>
  <c r="H41" i="7"/>
  <c r="V30" i="7"/>
  <c r="X30" i="7"/>
  <c r="P31" i="9"/>
  <c r="V37" i="7"/>
  <c r="X37" i="7"/>
  <c r="P22" i="9"/>
  <c r="V28" i="7"/>
  <c r="X28" i="7"/>
  <c r="P34" i="9"/>
  <c r="V40" i="7"/>
  <c r="X40" i="7"/>
  <c r="P27" i="9"/>
  <c r="V33" i="7"/>
  <c r="X33" i="7"/>
  <c r="P30" i="9"/>
  <c r="V36" i="7"/>
  <c r="X36" i="7"/>
  <c r="P26" i="9"/>
  <c r="V32" i="7"/>
  <c r="X32" i="7"/>
  <c r="P28" i="9"/>
  <c r="V34" i="7"/>
  <c r="X34" i="7"/>
  <c r="P33" i="9"/>
  <c r="V39" i="7"/>
  <c r="X39" i="7"/>
  <c r="Q41" i="7"/>
  <c r="O4" i="9"/>
  <c r="P4" i="9"/>
  <c r="N43" i="9"/>
  <c r="O41" i="7"/>
  <c r="N44" i="7"/>
  <c r="N47" i="7"/>
  <c r="L37" i="3"/>
  <c r="M37" i="3"/>
  <c r="L36" i="3"/>
  <c r="M36" i="3"/>
  <c r="K37" i="3"/>
  <c r="G37" i="3"/>
  <c r="K36" i="3"/>
  <c r="J36" i="3"/>
  <c r="I36" i="3"/>
  <c r="H36" i="3"/>
  <c r="G36" i="3"/>
  <c r="J31" i="3"/>
  <c r="X41" i="7"/>
  <c r="V41" i="7"/>
  <c r="I49" i="7"/>
  <c r="L49" i="7"/>
  <c r="N49" i="7"/>
  <c r="K47" i="9"/>
  <c r="O43" i="9"/>
  <c r="L47" i="9"/>
  <c r="P43" i="9"/>
  <c r="M47" i="9"/>
</calcChain>
</file>

<file path=xl/sharedStrings.xml><?xml version="1.0" encoding="utf-8"?>
<sst xmlns="http://schemas.openxmlformats.org/spreadsheetml/2006/main" count="267" uniqueCount="170">
  <si>
    <t>Electricite</t>
  </si>
  <si>
    <t>Gas</t>
  </si>
  <si>
    <t>Eau</t>
  </si>
  <si>
    <t>Consommation d'énergie</t>
  </si>
  <si>
    <t>* Electricite :</t>
  </si>
  <si>
    <t>Kw</t>
  </si>
  <si>
    <t>* Gaz         :</t>
  </si>
  <si>
    <t>Kg</t>
  </si>
  <si>
    <t>* Eau          :</t>
  </si>
  <si>
    <t>m3</t>
  </si>
  <si>
    <t xml:space="preserve">Tache </t>
  </si>
  <si>
    <t xml:space="preserve">1 er </t>
  </si>
  <si>
    <t xml:space="preserve">2 éme </t>
  </si>
  <si>
    <t>3 éme</t>
  </si>
  <si>
    <t>4 éme</t>
  </si>
  <si>
    <t>5 éme</t>
  </si>
  <si>
    <t>Total</t>
  </si>
  <si>
    <t>Pourcentage</t>
  </si>
  <si>
    <t>PRP</t>
  </si>
  <si>
    <t>Rain shower head ( HK )</t>
  </si>
  <si>
    <t>Chambre</t>
  </si>
  <si>
    <t>Quantite</t>
  </si>
  <si>
    <t>Date</t>
  </si>
  <si>
    <r>
      <t>Chambre</t>
    </r>
    <r>
      <rPr>
        <sz val="11"/>
        <color theme="0"/>
        <rFont val="Tw Cen MT"/>
        <family val="2"/>
        <scheme val="minor"/>
      </rPr>
      <t>.</t>
    </r>
  </si>
  <si>
    <r>
      <t>Quantite</t>
    </r>
    <r>
      <rPr>
        <sz val="11"/>
        <color theme="0"/>
        <rFont val="Tw Cen MT"/>
        <family val="2"/>
        <scheme val="minor"/>
      </rPr>
      <t xml:space="preserve">  ,</t>
    </r>
  </si>
  <si>
    <r>
      <t>Date</t>
    </r>
    <r>
      <rPr>
        <sz val="11"/>
        <color theme="0"/>
        <rFont val="Tw Cen MT"/>
        <family val="2"/>
        <scheme val="minor"/>
      </rPr>
      <t>.</t>
    </r>
  </si>
  <si>
    <r>
      <t>Chambre</t>
    </r>
    <r>
      <rPr>
        <sz val="11"/>
        <color theme="0"/>
        <rFont val="Tw Cen MT"/>
        <family val="2"/>
        <scheme val="minor"/>
      </rPr>
      <t>..</t>
    </r>
  </si>
  <si>
    <r>
      <t>Quantite</t>
    </r>
    <r>
      <rPr>
        <sz val="11"/>
        <color theme="0"/>
        <rFont val="Tw Cen MT"/>
        <family val="2"/>
        <scheme val="minor"/>
      </rPr>
      <t>..</t>
    </r>
  </si>
  <si>
    <r>
      <t>Date</t>
    </r>
    <r>
      <rPr>
        <sz val="11"/>
        <color theme="0"/>
        <rFont val="Tw Cen MT"/>
        <family val="2"/>
        <scheme val="minor"/>
      </rPr>
      <t>,</t>
    </r>
  </si>
  <si>
    <r>
      <t>Chambre</t>
    </r>
    <r>
      <rPr>
        <sz val="11"/>
        <color theme="0"/>
        <rFont val="Tw Cen MT"/>
        <family val="2"/>
        <scheme val="minor"/>
      </rPr>
      <t>,</t>
    </r>
  </si>
  <si>
    <r>
      <t xml:space="preserve">Quantite </t>
    </r>
    <r>
      <rPr>
        <sz val="11"/>
        <color theme="0"/>
        <rFont val="Tw Cen MT"/>
        <family val="2"/>
        <scheme val="minor"/>
      </rPr>
      <t xml:space="preserve"> ,2</t>
    </r>
  </si>
  <si>
    <r>
      <t>Date</t>
    </r>
    <r>
      <rPr>
        <sz val="11"/>
        <color theme="0"/>
        <rFont val="Tw Cen MT"/>
        <family val="2"/>
        <scheme val="minor"/>
      </rPr>
      <t>.,</t>
    </r>
  </si>
  <si>
    <r>
      <t>Chambre</t>
    </r>
    <r>
      <rPr>
        <sz val="11"/>
        <color theme="0"/>
        <rFont val="Tw Cen MT"/>
        <family val="2"/>
        <scheme val="minor"/>
      </rPr>
      <t>,,</t>
    </r>
  </si>
  <si>
    <r>
      <t>Quantite</t>
    </r>
    <r>
      <rPr>
        <sz val="11"/>
        <color theme="0"/>
        <rFont val="Tw Cen MT"/>
        <family val="2"/>
        <scheme val="minor"/>
      </rPr>
      <t>,,</t>
    </r>
  </si>
  <si>
    <r>
      <t>Date</t>
    </r>
    <r>
      <rPr>
        <sz val="11"/>
        <color theme="0"/>
        <rFont val="Tw Cen MT"/>
        <family val="2"/>
        <scheme val="minor"/>
      </rPr>
      <t>,,</t>
    </r>
  </si>
  <si>
    <t>Tache</t>
  </si>
  <si>
    <t>Statut</t>
  </si>
  <si>
    <t>Technicien</t>
  </si>
  <si>
    <t>Description</t>
  </si>
  <si>
    <t>Contrôle servomoteur E G</t>
  </si>
  <si>
    <t>Contrôle servomoteur E C</t>
  </si>
  <si>
    <t>Nettoyage filtre ventilo-convecteur</t>
  </si>
  <si>
    <t>Nettoyage Batterie V C</t>
  </si>
  <si>
    <t>Nettoyage filtre a tamis</t>
  </si>
  <si>
    <t>Nettoyage polinioum</t>
  </si>
  <si>
    <t>Nettoyage bac de V C</t>
  </si>
  <si>
    <t>Serrage Boite de raccordement</t>
  </si>
  <si>
    <t>Serrage armoire Electrique</t>
  </si>
  <si>
    <t>Serrage armoire INNCOM</t>
  </si>
  <si>
    <t>Contrôle les vanne froid et chaud</t>
  </si>
  <si>
    <t>Purge circuit chaude et froid de V C</t>
  </si>
  <si>
    <t>Contrôle des corps de vanne</t>
  </si>
  <si>
    <t>Photo thermographie</t>
  </si>
  <si>
    <t>Masticage SDB</t>
  </si>
  <si>
    <t>Joint marbre terasse</t>
  </si>
  <si>
    <t>Repeindre de la Chambre</t>
  </si>
  <si>
    <t>Repeindre de la Terrasse</t>
  </si>
  <si>
    <t>Contrôle eclairage Salle de bain</t>
  </si>
  <si>
    <t>Contrôle eclairage Chambre</t>
  </si>
  <si>
    <t>Contrôle  Telephone</t>
  </si>
  <si>
    <t>Contrôle TV</t>
  </si>
  <si>
    <t>Contrôle chromecast</t>
  </si>
  <si>
    <t>Contrôle DND</t>
  </si>
  <si>
    <t>Contrôle Makeup room</t>
  </si>
  <si>
    <t>Contrôle dressing en bois</t>
  </si>
  <si>
    <t>Contrôle les tiroire en bois</t>
  </si>
  <si>
    <t>Contrôle Meuble TV en bois</t>
  </si>
  <si>
    <t>Contrôle les Portes</t>
  </si>
  <si>
    <t>Contrôle inverseur de douche</t>
  </si>
  <si>
    <t>Contrôle inverseur baignoire</t>
  </si>
  <si>
    <t>Contrôle mitijeur de douche et baignoire</t>
  </si>
  <si>
    <t>Contrôle siphon douche</t>
  </si>
  <si>
    <t>Contrôle siphon bgainoire</t>
  </si>
  <si>
    <t>Contrôle pression E F</t>
  </si>
  <si>
    <t xml:space="preserve">Contrôle pression E C </t>
  </si>
  <si>
    <t>Contrôle filtre robinet et douchette</t>
  </si>
  <si>
    <t>Temperature de L'eau chaud</t>
  </si>
  <si>
    <r>
      <rPr>
        <b/>
        <sz val="12"/>
        <color theme="1"/>
        <rFont val="Tw Cen MT"/>
        <family val="2"/>
        <scheme val="minor"/>
      </rPr>
      <t>Note</t>
    </r>
    <r>
      <rPr>
        <sz val="11"/>
        <color theme="1"/>
        <rFont val="Tw Cen MT"/>
        <family val="2"/>
        <scheme val="minor"/>
      </rPr>
      <t xml:space="preserve">  :</t>
    </r>
  </si>
  <si>
    <t>Gaz en KG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</si>
  <si>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</si>
  <si>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</si>
  <si>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</si>
  <si>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</si>
  <si>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</si>
  <si>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</si>
  <si>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</si>
  <si>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</si>
  <si>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</si>
  <si>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</si>
  <si>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</si>
  <si>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</si>
  <si>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</si>
  <si>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</si>
  <si>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</si>
  <si>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</si>
  <si>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</si>
  <si>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</si>
  <si>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</si>
  <si>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</si>
  <si>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GAZ en  DH HT</t>
  </si>
  <si>
    <t>Consommation mensuel Eau /électricité/Gaz</t>
  </si>
  <si>
    <t xml:space="preserve"> 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</si>
  <si>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</si>
  <si>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</si>
  <si>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</si>
  <si>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</si>
  <si>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</si>
  <si>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</si>
  <si>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</si>
  <si>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</si>
  <si>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</si>
  <si>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</si>
  <si>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</si>
  <si>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</si>
  <si>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</si>
  <si>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</si>
  <si>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</si>
  <si>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</si>
  <si>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</si>
  <si>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</si>
  <si>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</si>
  <si>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</si>
  <si>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</si>
  <si>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Gaz JAN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</si>
  <si>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</si>
  <si>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</si>
  <si>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</si>
  <si>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</si>
  <si>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</si>
  <si>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</si>
  <si>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</si>
  <si>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</si>
  <si>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</si>
  <si>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</si>
  <si>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</si>
  <si>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</si>
  <si>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</si>
  <si>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</si>
  <si>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</si>
  <si>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</si>
  <si>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</si>
  <si>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</si>
  <si>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</si>
  <si>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</si>
  <si>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</si>
  <si>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</si>
  <si>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</si>
  <si>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</si>
  <si>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</si>
  <si>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DH</t>
  </si>
  <si>
    <t xml:space="preserve">Consommation du mois </t>
  </si>
  <si>
    <t xml:space="preserve">Livraison  du mois </t>
  </si>
  <si>
    <t>Suivi  Compteur  d'Eau- électricité Lydec- JAN 2022</t>
  </si>
  <si>
    <t>Département Engineering 2022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</si>
  <si>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</si>
  <si>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</si>
  <si>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</si>
  <si>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</si>
  <si>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</si>
  <si>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</si>
  <si>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</si>
  <si>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</si>
  <si>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</si>
  <si>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</si>
  <si>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</si>
  <si>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</si>
  <si>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</si>
  <si>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</si>
  <si>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électricité en KW</t>
  </si>
  <si>
    <t>électricité en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</si>
</sst>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\ _€_-;\-* #,##0\ _€_-;_-* &quot;-&quot;\ _€_-;_-@_-"/>
    <numFmt numFmtId="165" formatCode="yyyy\-mm\-dd;@"/>
    <numFmt numFmtId="166" formatCode="[$-40C]d\-mmm;@"/>
  </numFmts>
  <fonts count="42">
    <font>
      <sz val="11"/>
      <color theme="1"/>
      <name val="Tw Cen MT"/>
      <family val="2"/>
      <scheme val="minor"/>
    </font>
    <font>
      <sz val="11"/>
      <color theme="0"/>
      <name val="Tw Cen MT"/>
      <family val="2"/>
      <scheme val="minor"/>
    </font>
    <font>
      <b/>
      <sz val="11"/>
      <color theme="1"/>
      <name val="Adobe Caslon Pro Bold"/>
      <family val="1"/>
    </font>
    <font>
      <b/>
      <sz val="11"/>
      <color theme="1"/>
      <name val="Batang"/>
      <family val="1"/>
    </font>
    <font>
      <b/>
      <sz val="12"/>
      <color theme="1"/>
      <name val="Tw Cen MT"/>
      <family val="2"/>
      <scheme val="minor"/>
    </font>
    <font>
      <sz val="10"/>
      <name val="Arial"/>
      <family val="2"/>
    </font>
    <font>
      <sz val="14"/>
      <name val="Arial"/>
      <family val="2"/>
    </font>
    <font>
      <b/>
      <sz val="36"/>
      <name val="Arial"/>
      <family val="2"/>
    </font>
    <font>
      <b/>
      <sz val="14"/>
      <name val="Arial"/>
      <family val="2"/>
    </font>
    <font>
      <b/>
      <sz val="14"/>
      <color indexed="12"/>
      <name val="Arial"/>
      <family val="2"/>
    </font>
    <font>
      <b/>
      <sz val="14"/>
      <color rgb="FFFF0000"/>
      <name val="Arial"/>
      <family val="2"/>
    </font>
    <font>
      <b/>
      <sz val="12"/>
      <name val="Arial"/>
      <family val="2"/>
    </font>
    <font>
      <b/>
      <sz val="16"/>
      <color rgb="FFFF0000"/>
      <name val="Times New Roman"/>
      <family val="1"/>
    </font>
    <font>
      <b/>
      <sz val="16"/>
      <name val="Times New Roman"/>
      <family val="1"/>
    </font>
    <font>
      <b/>
      <sz val="16"/>
      <name val="Arial"/>
      <family val="2"/>
    </font>
    <font>
      <b/>
      <sz val="16"/>
      <color theme="1"/>
      <name val="Times New Roman"/>
      <family val="1"/>
    </font>
    <font>
      <b/>
      <sz val="14"/>
      <color indexed="52"/>
      <name val="Arial"/>
      <family val="2"/>
    </font>
    <font>
      <b/>
      <sz val="14"/>
      <color indexed="9"/>
      <name val="Arial"/>
      <family val="2"/>
    </font>
    <font>
      <b/>
      <sz val="18"/>
      <color indexed="9"/>
      <name val="Arial"/>
      <family val="2"/>
    </font>
    <font>
      <b/>
      <sz val="18"/>
      <color indexed="10"/>
      <name val="Arial"/>
      <family val="2"/>
    </font>
    <font>
      <b/>
      <sz val="20"/>
      <color indexed="10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b/>
      <sz val="15"/>
      <name val="Arial"/>
      <family val="2"/>
    </font>
    <font>
      <sz val="20"/>
      <color rgb="FFFF0000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4"/>
      <color indexed="8"/>
      <name val="Comic Sans MS"/>
      <family val="4"/>
    </font>
    <font>
      <b/>
      <sz val="12"/>
      <color indexed="8"/>
      <name val="Comic Sans MS"/>
      <family val="4"/>
    </font>
    <font>
      <b/>
      <sz val="12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sz val="11"/>
      <color theme="1"/>
      <name val="Adobe Caslon Pro Bold"/>
      <family val="1"/>
    </font>
    <font>
      <sz val="11"/>
      <color theme="1"/>
      <name val="Tw Cen MT"/>
      <family val="2"/>
      <scheme val="minor"/>
    </font>
    <font>
      <sz val="11"/>
      <name val="Tw Cen MT"/>
      <family val="2"/>
      <scheme val="minor"/>
    </font>
    <font>
      <b/>
      <sz val="16"/>
      <color theme="1"/>
      <name val="Tw Cen MT"/>
      <family val="2"/>
      <scheme val="minor"/>
    </font>
    <font>
      <b/>
      <sz val="20"/>
      <color theme="1"/>
      <name val="Adobe Caslon Pro"/>
      <family val="1"/>
    </font>
    <font>
      <b/>
      <sz val="11"/>
      <color theme="1"/>
      <name val="Andalus"/>
      <family val="1"/>
    </font>
    <font>
      <sz val="12"/>
      <color theme="1"/>
      <name val="Tw Cen MT"/>
      <family val="2"/>
      <scheme val="minor"/>
    </font>
    <font>
      <sz val="18"/>
      <color theme="1"/>
      <name val="Tw Cen MT"/>
      <family val="2"/>
      <scheme val="minor"/>
    </font>
    <font>
      <sz val="18"/>
      <color rgb="FF000000"/>
      <name val="Tw Cen MT"/>
      <family val="2"/>
    </font>
  </fonts>
  <fills count="2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9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9" fontId="34" fillId="0" borderId="0" applyFont="0" applyFill="0" applyBorder="0" applyAlignment="0" applyProtection="0"/>
  </cellStyleXfs>
  <cellXfs count="37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49" fontId="0" fillId="0" borderId="16" xfId="0" applyNumberFormat="1" applyBorder="1" applyAlignment="1">
      <alignment horizontal="center"/>
    </xf>
    <xf numFmtId="49" fontId="0" fillId="0" borderId="17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7" xfId="0" applyBorder="1" applyAlignment="1">
      <alignment horizontal="center" vertical="center"/>
    </xf>
    <xf numFmtId="14" fontId="0" fillId="0" borderId="9" xfId="0" applyNumberFormat="1" applyBorder="1" applyAlignment="1">
      <alignment horizontal="center"/>
    </xf>
    <xf numFmtId="14" fontId="0" fillId="0" borderId="18" xfId="0" applyNumberFormat="1" applyBorder="1" applyAlignment="1">
      <alignment horizontal="center"/>
    </xf>
    <xf numFmtId="49" fontId="0" fillId="0" borderId="19" xfId="0" applyNumberFormat="1" applyBorder="1" applyAlignment="1">
      <alignment horizontal="center"/>
    </xf>
    <xf numFmtId="0" fontId="0" fillId="0" borderId="1" xfId="0" applyBorder="1"/>
    <xf numFmtId="0" fontId="3" fillId="0" borderId="10" xfId="0" applyFont="1" applyBorder="1" applyAlignment="1">
      <alignment horizontal="center"/>
    </xf>
    <xf numFmtId="0" fontId="0" fillId="0" borderId="12" xfId="0" applyBorder="1"/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165" fontId="0" fillId="0" borderId="17" xfId="0" applyNumberFormat="1" applyBorder="1" applyAlignment="1">
      <alignment horizontal="center" vertical="center"/>
    </xf>
    <xf numFmtId="165" fontId="0" fillId="0" borderId="0" xfId="0" applyNumberFormat="1" applyAlignment="1">
      <alignment vertical="center"/>
    </xf>
    <xf numFmtId="165" fontId="0" fillId="0" borderId="19" xfId="0" applyNumberFormat="1" applyBorder="1" applyAlignment="1">
      <alignment horizontal="center" vertical="center"/>
    </xf>
    <xf numFmtId="165" fontId="0" fillId="0" borderId="31" xfId="0" applyNumberFormat="1" applyBorder="1" applyAlignment="1">
      <alignment horizontal="center" vertical="center"/>
    </xf>
    <xf numFmtId="165" fontId="0" fillId="0" borderId="33" xfId="0" applyNumberFormat="1" applyBorder="1" applyAlignment="1">
      <alignment horizontal="center" vertical="center"/>
    </xf>
    <xf numFmtId="165" fontId="0" fillId="0" borderId="36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37" xfId="0" applyNumberFormat="1" applyBorder="1" applyAlignment="1">
      <alignment horizontal="center" vertical="center"/>
    </xf>
    <xf numFmtId="165" fontId="0" fillId="0" borderId="38" xfId="0" applyNumberFormat="1" applyBorder="1" applyAlignment="1">
      <alignment horizontal="center" vertical="center"/>
    </xf>
    <xf numFmtId="165" fontId="0" fillId="0" borderId="25" xfId="0" applyNumberFormat="1" applyBorder="1" applyAlignment="1">
      <alignment horizontal="center" vertical="center"/>
    </xf>
    <xf numFmtId="165" fontId="0" fillId="0" borderId="28" xfId="0" applyNumberFormat="1" applyBorder="1" applyAlignment="1">
      <alignment horizontal="center" vertic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165" fontId="0" fillId="0" borderId="43" xfId="0" applyNumberFormat="1" applyBorder="1" applyAlignment="1">
      <alignment horizontal="center" vertical="center"/>
    </xf>
    <xf numFmtId="165" fontId="0" fillId="0" borderId="44" xfId="0" applyNumberFormat="1" applyBorder="1" applyAlignment="1">
      <alignment horizontal="center" vertical="center"/>
    </xf>
    <xf numFmtId="165" fontId="0" fillId="0" borderId="45" xfId="0" applyNumberFormat="1" applyBorder="1" applyAlignment="1">
      <alignment horizontal="center" vertical="center"/>
    </xf>
    <xf numFmtId="165" fontId="0" fillId="0" borderId="17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43" xfId="0" applyNumberFormat="1" applyBorder="1" applyAlignment="1">
      <alignment horizontal="center"/>
    </xf>
    <xf numFmtId="165" fontId="0" fillId="0" borderId="44" xfId="0" applyNumberFormat="1" applyBorder="1" applyAlignment="1">
      <alignment horizontal="center"/>
    </xf>
    <xf numFmtId="165" fontId="0" fillId="0" borderId="19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165" fontId="0" fillId="0" borderId="0" xfId="0" applyNumberFormat="1"/>
    <xf numFmtId="0" fontId="6" fillId="0" borderId="0" xfId="1" applyFont="1" applyAlignment="1">
      <alignment horizontal="center" vertical="center"/>
    </xf>
    <xf numFmtId="0" fontId="6" fillId="5" borderId="0" xfId="1" applyFont="1" applyFill="1" applyAlignment="1">
      <alignment horizontal="center" vertical="center"/>
    </xf>
    <xf numFmtId="0" fontId="8" fillId="5" borderId="0" xfId="1" applyFont="1" applyFill="1" applyAlignment="1">
      <alignment horizontal="center" vertical="center"/>
    </xf>
    <xf numFmtId="0" fontId="9" fillId="5" borderId="0" xfId="1" applyFont="1" applyFill="1" applyAlignment="1">
      <alignment horizontal="center" vertical="center" wrapText="1"/>
    </xf>
    <xf numFmtId="0" fontId="9" fillId="5" borderId="0" xfId="1" applyFont="1" applyFill="1" applyAlignment="1">
      <alignment horizontal="center" vertical="center"/>
    </xf>
    <xf numFmtId="0" fontId="8" fillId="2" borderId="66" xfId="1" applyFont="1" applyFill="1" applyBorder="1" applyAlignment="1">
      <alignment horizontal="center" vertical="center"/>
    </xf>
    <xf numFmtId="14" fontId="9" fillId="6" borderId="66" xfId="1" applyNumberFormat="1" applyFont="1" applyFill="1" applyBorder="1" applyAlignment="1">
      <alignment horizontal="center" vertical="center"/>
    </xf>
    <xf numFmtId="14" fontId="9" fillId="5" borderId="0" xfId="1" applyNumberFormat="1" applyFont="1" applyFill="1" applyAlignment="1">
      <alignment horizontal="center" vertical="center"/>
    </xf>
    <xf numFmtId="0" fontId="12" fillId="7" borderId="69" xfId="1" applyFont="1" applyFill="1" applyBorder="1" applyAlignment="1">
      <alignment horizontal="center" vertical="center"/>
    </xf>
    <xf numFmtId="0" fontId="13" fillId="8" borderId="69" xfId="1" applyFont="1" applyFill="1" applyBorder="1" applyAlignment="1">
      <alignment horizontal="center" vertical="center"/>
    </xf>
    <xf numFmtId="0" fontId="14" fillId="5" borderId="0" xfId="1" applyFont="1" applyFill="1" applyAlignment="1">
      <alignment horizontal="center" vertical="center"/>
    </xf>
    <xf numFmtId="14" fontId="14" fillId="10" borderId="66" xfId="1" applyNumberFormat="1" applyFont="1" applyFill="1" applyBorder="1" applyAlignment="1">
      <alignment horizontal="center" vertical="center"/>
    </xf>
    <xf numFmtId="164" fontId="14" fillId="2" borderId="58" xfId="1" applyNumberFormat="1" applyFont="1" applyFill="1" applyBorder="1" applyAlignment="1" applyProtection="1">
      <alignment horizontal="center" vertical="center"/>
      <protection hidden="1"/>
    </xf>
    <xf numFmtId="164" fontId="14" fillId="2" borderId="67" xfId="1" applyNumberFormat="1" applyFont="1" applyFill="1" applyBorder="1" applyAlignment="1" applyProtection="1">
      <alignment horizontal="center" vertical="center"/>
      <protection hidden="1"/>
    </xf>
    <xf numFmtId="2" fontId="13" fillId="9" borderId="72" xfId="1" applyNumberFormat="1" applyFont="1" applyFill="1" applyBorder="1" applyAlignment="1">
      <alignment horizontal="center" vertical="center"/>
    </xf>
    <xf numFmtId="1" fontId="13" fillId="12" borderId="72" xfId="1" applyNumberFormat="1" applyFont="1" applyFill="1" applyBorder="1" applyAlignment="1">
      <alignment horizontal="center" vertical="center"/>
    </xf>
    <xf numFmtId="2" fontId="15" fillId="11" borderId="72" xfId="1" applyNumberFormat="1" applyFont="1" applyFill="1" applyBorder="1" applyAlignment="1">
      <alignment horizontal="center" vertical="center"/>
    </xf>
    <xf numFmtId="0" fontId="13" fillId="5" borderId="0" xfId="1" applyFont="1" applyFill="1" applyAlignment="1">
      <alignment horizontal="center" vertical="center"/>
    </xf>
    <xf numFmtId="0" fontId="14" fillId="5" borderId="0" xfId="1" applyFont="1" applyFill="1" applyAlignment="1" applyProtection="1">
      <alignment horizontal="center" vertical="center"/>
      <protection locked="0"/>
    </xf>
    <xf numFmtId="14" fontId="16" fillId="5" borderId="0" xfId="1" applyNumberFormat="1" applyFont="1" applyFill="1" applyAlignment="1">
      <alignment horizontal="center" vertical="center"/>
    </xf>
    <xf numFmtId="0" fontId="17" fillId="13" borderId="66" xfId="1" applyFont="1" applyFill="1" applyBorder="1" applyAlignment="1">
      <alignment horizontal="center" vertical="center"/>
    </xf>
    <xf numFmtId="2" fontId="17" fillId="13" borderId="66" xfId="1" applyNumberFormat="1" applyFont="1" applyFill="1" applyBorder="1" applyAlignment="1">
      <alignment horizontal="center" vertical="center"/>
    </xf>
    <xf numFmtId="0" fontId="17" fillId="5" borderId="0" xfId="1" applyFont="1" applyFill="1" applyAlignment="1">
      <alignment horizontal="center" vertical="center"/>
    </xf>
    <xf numFmtId="164" fontId="17" fillId="13" borderId="66" xfId="1" applyNumberFormat="1" applyFont="1" applyFill="1" applyBorder="1" applyAlignment="1">
      <alignment horizontal="center" vertical="center"/>
    </xf>
    <xf numFmtId="164" fontId="18" fillId="13" borderId="66" xfId="1" applyNumberFormat="1" applyFont="1" applyFill="1" applyBorder="1" applyAlignment="1">
      <alignment horizontal="center" vertical="center"/>
    </xf>
    <xf numFmtId="164" fontId="18" fillId="13" borderId="68" xfId="1" applyNumberFormat="1" applyFont="1" applyFill="1" applyBorder="1" applyAlignment="1">
      <alignment horizontal="center" vertical="center"/>
    </xf>
    <xf numFmtId="0" fontId="18" fillId="5" borderId="0" xfId="1" applyFont="1" applyFill="1" applyAlignment="1">
      <alignment horizontal="center" vertical="center"/>
    </xf>
    <xf numFmtId="2" fontId="18" fillId="13" borderId="66" xfId="1" applyNumberFormat="1" applyFont="1" applyFill="1" applyBorder="1" applyAlignment="1">
      <alignment horizontal="center" vertical="center"/>
    </xf>
    <xf numFmtId="0" fontId="18" fillId="13" borderId="66" xfId="1" applyFont="1" applyFill="1" applyBorder="1" applyAlignment="1">
      <alignment horizontal="center" vertical="center"/>
    </xf>
    <xf numFmtId="14" fontId="8" fillId="5" borderId="0" xfId="1" applyNumberFormat="1" applyFont="1" applyFill="1" applyAlignment="1">
      <alignment horizontal="center" vertical="center"/>
    </xf>
    <xf numFmtId="0" fontId="8" fillId="6" borderId="67" xfId="1" applyFont="1" applyFill="1" applyBorder="1" applyAlignment="1">
      <alignment vertical="center"/>
    </xf>
    <xf numFmtId="0" fontId="8" fillId="6" borderId="66" xfId="1" applyFont="1" applyFill="1" applyBorder="1" applyAlignment="1">
      <alignment horizontal="center" vertical="center"/>
    </xf>
    <xf numFmtId="0" fontId="8" fillId="12" borderId="58" xfId="1" applyFont="1" applyFill="1" applyBorder="1" applyAlignment="1">
      <alignment horizontal="center" vertical="center" wrapText="1"/>
    </xf>
    <xf numFmtId="0" fontId="8" fillId="12" borderId="73" xfId="1" applyFont="1" applyFill="1" applyBorder="1" applyAlignment="1">
      <alignment horizontal="center" vertical="center" wrapText="1"/>
    </xf>
    <xf numFmtId="0" fontId="8" fillId="12" borderId="67" xfId="1" applyFont="1" applyFill="1" applyBorder="1" applyAlignment="1">
      <alignment horizontal="center" vertical="center" wrapText="1"/>
    </xf>
    <xf numFmtId="0" fontId="6" fillId="5" borderId="0" xfId="1" applyFont="1" applyFill="1" applyAlignment="1">
      <alignment horizontal="center" vertical="center" wrapText="1"/>
    </xf>
    <xf numFmtId="0" fontId="8" fillId="12" borderId="65" xfId="1" applyFont="1" applyFill="1" applyBorder="1" applyAlignment="1">
      <alignment horizontal="center" vertical="center" wrapText="1"/>
    </xf>
    <xf numFmtId="0" fontId="8" fillId="12" borderId="66" xfId="1" applyFont="1" applyFill="1" applyBorder="1" applyAlignment="1">
      <alignment horizontal="center" vertical="center" wrapText="1"/>
    </xf>
    <xf numFmtId="0" fontId="8" fillId="12" borderId="61" xfId="1" applyFont="1" applyFill="1" applyBorder="1" applyAlignment="1">
      <alignment horizontal="center" vertical="center" wrapText="1"/>
    </xf>
    <xf numFmtId="0" fontId="8" fillId="12" borderId="68" xfId="1" applyFont="1" applyFill="1" applyBorder="1" applyAlignment="1">
      <alignment horizontal="center" vertical="center" wrapText="1"/>
    </xf>
    <xf numFmtId="0" fontId="8" fillId="12" borderId="59" xfId="1" applyFont="1" applyFill="1" applyBorder="1" applyAlignment="1">
      <alignment horizontal="center" vertical="center" wrapText="1"/>
    </xf>
    <xf numFmtId="0" fontId="8" fillId="12" borderId="0" xfId="1" applyFont="1" applyFill="1" applyAlignment="1">
      <alignment horizontal="center" vertical="center" wrapText="1"/>
    </xf>
    <xf numFmtId="0" fontId="8" fillId="12" borderId="62" xfId="1" applyFont="1" applyFill="1" applyBorder="1" applyAlignment="1">
      <alignment horizontal="center" vertical="center" wrapText="1"/>
    </xf>
    <xf numFmtId="0" fontId="8" fillId="12" borderId="60" xfId="1" applyFont="1" applyFill="1" applyBorder="1" applyAlignment="1">
      <alignment horizontal="center" vertical="center" wrapText="1"/>
    </xf>
    <xf numFmtId="2" fontId="8" fillId="12" borderId="63" xfId="1" applyNumberFormat="1" applyFont="1" applyFill="1" applyBorder="1" applyAlignment="1">
      <alignment horizontal="center" vertical="center" wrapText="1"/>
    </xf>
    <xf numFmtId="2" fontId="8" fillId="12" borderId="65" xfId="1" applyNumberFormat="1" applyFont="1" applyFill="1" applyBorder="1" applyAlignment="1">
      <alignment horizontal="center" vertical="center" wrapText="1"/>
    </xf>
    <xf numFmtId="0" fontId="8" fillId="8" borderId="73" xfId="1" applyFont="1" applyFill="1" applyBorder="1" applyAlignment="1">
      <alignment horizontal="center" vertical="center" wrapText="1"/>
    </xf>
    <xf numFmtId="0" fontId="8" fillId="8" borderId="67" xfId="1" applyFont="1" applyFill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8" fillId="11" borderId="73" xfId="1" applyFont="1" applyFill="1" applyBorder="1" applyAlignment="1">
      <alignment horizontal="center" vertical="center" wrapText="1"/>
    </xf>
    <xf numFmtId="0" fontId="8" fillId="11" borderId="66" xfId="1" applyFont="1" applyFill="1" applyBorder="1" applyAlignment="1">
      <alignment horizontal="center" vertical="center" wrapText="1"/>
    </xf>
    <xf numFmtId="0" fontId="8" fillId="5" borderId="0" xfId="1" applyFont="1" applyFill="1" applyAlignment="1">
      <alignment vertical="center"/>
    </xf>
    <xf numFmtId="0" fontId="5" fillId="0" borderId="59" xfId="1" applyBorder="1"/>
    <xf numFmtId="0" fontId="5" fillId="0" borderId="0" xfId="1"/>
    <xf numFmtId="0" fontId="5" fillId="0" borderId="0" xfId="1" applyAlignment="1">
      <alignment horizontal="center"/>
    </xf>
    <xf numFmtId="0" fontId="6" fillId="0" borderId="0" xfId="1" applyFont="1"/>
    <xf numFmtId="0" fontId="22" fillId="15" borderId="78" xfId="1" applyFont="1" applyFill="1" applyBorder="1" applyAlignment="1">
      <alignment horizontal="center" vertical="center" wrapText="1"/>
    </xf>
    <xf numFmtId="0" fontId="22" fillId="16" borderId="77" xfId="1" applyFont="1" applyFill="1" applyBorder="1" applyAlignment="1">
      <alignment horizontal="center" vertical="center" wrapText="1"/>
    </xf>
    <xf numFmtId="0" fontId="22" fillId="14" borderId="77" xfId="1" applyFont="1" applyFill="1" applyBorder="1" applyAlignment="1">
      <alignment horizontal="center" vertical="center" wrapText="1"/>
    </xf>
    <xf numFmtId="0" fontId="5" fillId="0" borderId="0" xfId="1" applyAlignment="1">
      <alignment horizontal="center" vertical="center" wrapText="1"/>
    </xf>
    <xf numFmtId="14" fontId="23" fillId="14" borderId="77" xfId="1" applyNumberFormat="1" applyFont="1" applyFill="1" applyBorder="1" applyAlignment="1">
      <alignment horizontal="center"/>
    </xf>
    <xf numFmtId="0" fontId="23" fillId="15" borderId="78" xfId="1" applyFont="1" applyFill="1" applyBorder="1" applyAlignment="1">
      <alignment horizontal="center" vertical="center" wrapText="1"/>
    </xf>
    <xf numFmtId="1" fontId="23" fillId="0" borderId="77" xfId="1" applyNumberFormat="1" applyFont="1" applyBorder="1" applyAlignment="1">
      <alignment horizontal="center"/>
    </xf>
    <xf numFmtId="0" fontId="23" fillId="16" borderId="77" xfId="1" applyFont="1" applyFill="1" applyBorder="1" applyAlignment="1">
      <alignment horizontal="center" vertical="center" wrapText="1"/>
    </xf>
    <xf numFmtId="0" fontId="23" fillId="0" borderId="77" xfId="1" applyFont="1" applyBorder="1" applyAlignment="1">
      <alignment horizontal="center" vertical="center" wrapText="1"/>
    </xf>
    <xf numFmtId="0" fontId="23" fillId="11" borderId="77" xfId="1" applyFont="1" applyFill="1" applyBorder="1" applyAlignment="1">
      <alignment horizontal="center" vertical="center" wrapText="1"/>
    </xf>
    <xf numFmtId="0" fontId="24" fillId="0" borderId="0" xfId="1" applyFont="1"/>
    <xf numFmtId="14" fontId="23" fillId="0" borderId="0" xfId="1" applyNumberFormat="1" applyFont="1" applyAlignment="1">
      <alignment horizontal="center"/>
    </xf>
    <xf numFmtId="14" fontId="5" fillId="0" borderId="0" xfId="1" applyNumberFormat="1" applyAlignment="1">
      <alignment horizontal="center"/>
    </xf>
    <xf numFmtId="14" fontId="25" fillId="0" borderId="0" xfId="1" applyNumberFormat="1" applyFont="1" applyAlignment="1">
      <alignment horizontal="center" vertical="center"/>
    </xf>
    <xf numFmtId="0" fontId="25" fillId="0" borderId="0" xfId="1" applyFont="1"/>
    <xf numFmtId="0" fontId="25" fillId="0" borderId="0" xfId="1" applyFont="1" applyAlignment="1">
      <alignment horizontal="center" vertical="center"/>
    </xf>
    <xf numFmtId="14" fontId="25" fillId="0" borderId="0" xfId="1" applyNumberFormat="1" applyFont="1" applyAlignment="1">
      <alignment horizontal="center" vertical="center" wrapText="1"/>
    </xf>
    <xf numFmtId="0" fontId="27" fillId="17" borderId="81" xfId="1" applyFont="1" applyFill="1" applyBorder="1" applyAlignment="1">
      <alignment horizontal="center" vertical="center" wrapText="1"/>
    </xf>
    <xf numFmtId="0" fontId="27" fillId="17" borderId="82" xfId="1" applyFont="1" applyFill="1" applyBorder="1" applyAlignment="1">
      <alignment horizontal="center" vertical="center" wrapText="1"/>
    </xf>
    <xf numFmtId="0" fontId="27" fillId="17" borderId="67" xfId="1" applyFont="1" applyFill="1" applyBorder="1" applyAlignment="1">
      <alignment horizontal="center" vertical="center" wrapText="1"/>
    </xf>
    <xf numFmtId="0" fontId="27" fillId="17" borderId="56" xfId="1" applyFont="1" applyFill="1" applyBorder="1" applyAlignment="1">
      <alignment horizontal="center" vertical="center" wrapText="1"/>
    </xf>
    <xf numFmtId="0" fontId="27" fillId="17" borderId="51" xfId="1" applyFont="1" applyFill="1" applyBorder="1" applyAlignment="1">
      <alignment horizontal="center" vertical="center" wrapText="1"/>
    </xf>
    <xf numFmtId="0" fontId="27" fillId="17" borderId="10" xfId="1" applyFont="1" applyFill="1" applyBorder="1" applyAlignment="1">
      <alignment horizontal="center" vertical="center" wrapText="1"/>
    </xf>
    <xf numFmtId="0" fontId="28" fillId="17" borderId="10" xfId="1" applyFont="1" applyFill="1" applyBorder="1" applyAlignment="1">
      <alignment horizontal="center" vertical="center" wrapText="1"/>
    </xf>
    <xf numFmtId="0" fontId="27" fillId="17" borderId="4" xfId="1" applyFont="1" applyFill="1" applyBorder="1" applyAlignment="1">
      <alignment horizontal="center" vertical="center" wrapText="1"/>
    </xf>
    <xf numFmtId="0" fontId="27" fillId="18" borderId="0" xfId="1" applyFont="1" applyFill="1" applyAlignment="1">
      <alignment horizontal="center" vertical="center" wrapText="1"/>
    </xf>
    <xf numFmtId="0" fontId="25" fillId="17" borderId="0" xfId="1" applyFont="1" applyFill="1" applyAlignment="1">
      <alignment horizontal="center" vertical="center" wrapText="1"/>
    </xf>
    <xf numFmtId="0" fontId="25" fillId="0" borderId="0" xfId="1" applyFont="1" applyAlignment="1">
      <alignment wrapText="1"/>
    </xf>
    <xf numFmtId="166" fontId="29" fillId="0" borderId="1" xfId="1" applyNumberFormat="1" applyFont="1" applyBorder="1" applyAlignment="1">
      <alignment horizontal="center" vertical="center"/>
    </xf>
    <xf numFmtId="0" fontId="29" fillId="19" borderId="1" xfId="1" applyFont="1" applyFill="1" applyBorder="1" applyAlignment="1">
      <alignment horizontal="center" vertical="center"/>
    </xf>
    <xf numFmtId="0" fontId="29" fillId="0" borderId="1" xfId="1" applyFont="1" applyBorder="1" applyAlignment="1">
      <alignment horizontal="center" vertical="center"/>
    </xf>
    <xf numFmtId="0" fontId="30" fillId="0" borderId="1" xfId="1" applyFont="1" applyBorder="1" applyAlignment="1">
      <alignment horizontal="center" vertical="center"/>
    </xf>
    <xf numFmtId="0" fontId="29" fillId="9" borderId="1" xfId="1" applyFont="1" applyFill="1" applyBorder="1" applyAlignment="1">
      <alignment horizontal="center" vertical="center"/>
    </xf>
    <xf numFmtId="0" fontId="25" fillId="0" borderId="0" xfId="1" applyFont="1" applyAlignment="1">
      <alignment horizontal="center"/>
    </xf>
    <xf numFmtId="0" fontId="29" fillId="7" borderId="1" xfId="1" applyFont="1" applyFill="1" applyBorder="1" applyAlignment="1">
      <alignment horizontal="center" vertical="center"/>
    </xf>
    <xf numFmtId="0" fontId="29" fillId="0" borderId="84" xfId="1" applyFont="1" applyBorder="1" applyAlignment="1">
      <alignment horizontal="center" vertical="center"/>
    </xf>
    <xf numFmtId="0" fontId="29" fillId="0" borderId="85" xfId="1" applyFont="1" applyBorder="1" applyAlignment="1">
      <alignment horizontal="center" vertical="center"/>
    </xf>
    <xf numFmtId="0" fontId="29" fillId="0" borderId="81" xfId="1" applyFont="1" applyBorder="1" applyAlignment="1">
      <alignment horizontal="center" vertical="center"/>
    </xf>
    <xf numFmtId="0" fontId="29" fillId="0" borderId="82" xfId="1" applyFont="1" applyBorder="1" applyAlignment="1">
      <alignment horizontal="center" vertical="center"/>
    </xf>
    <xf numFmtId="0" fontId="22" fillId="0" borderId="1" xfId="1" applyFont="1" applyBorder="1" applyAlignment="1">
      <alignment horizontal="center" vertical="center"/>
    </xf>
    <xf numFmtId="0" fontId="31" fillId="21" borderId="1" xfId="1" applyFont="1" applyFill="1" applyBorder="1" applyAlignment="1">
      <alignment horizontal="center" vertical="center"/>
    </xf>
    <xf numFmtId="0" fontId="31" fillId="22" borderId="1" xfId="1" applyFont="1" applyFill="1" applyBorder="1" applyAlignment="1">
      <alignment horizontal="center" vertical="center"/>
    </xf>
    <xf numFmtId="0" fontId="31" fillId="23" borderId="1" xfId="1" applyFont="1" applyFill="1" applyBorder="1" applyAlignment="1">
      <alignment horizontal="center" vertical="center"/>
    </xf>
    <xf numFmtId="0" fontId="31" fillId="2" borderId="1" xfId="1" applyFont="1" applyFill="1" applyBorder="1" applyAlignment="1">
      <alignment horizontal="center" vertical="center"/>
    </xf>
    <xf numFmtId="0" fontId="31" fillId="24" borderId="1" xfId="1" applyFont="1" applyFill="1" applyBorder="1" applyAlignment="1">
      <alignment horizontal="center" vertical="center"/>
    </xf>
    <xf numFmtId="0" fontId="31" fillId="25" borderId="1" xfId="1" applyFont="1" applyFill="1" applyBorder="1" applyAlignment="1">
      <alignment horizontal="center" vertical="center"/>
    </xf>
    <xf numFmtId="0" fontId="31" fillId="26" borderId="1" xfId="1" applyFont="1" applyFill="1" applyBorder="1" applyAlignment="1">
      <alignment horizontal="center" vertical="center"/>
    </xf>
    <xf numFmtId="0" fontId="31" fillId="16" borderId="1" xfId="1" applyFont="1" applyFill="1" applyBorder="1" applyAlignment="1">
      <alignment horizontal="center" vertical="center"/>
    </xf>
    <xf numFmtId="14" fontId="31" fillId="28" borderId="86" xfId="1" applyNumberFormat="1" applyFont="1" applyFill="1" applyBorder="1" applyAlignment="1">
      <alignment horizontal="center" vertical="center"/>
    </xf>
    <xf numFmtId="2" fontId="22" fillId="0" borderId="1" xfId="1" applyNumberFormat="1" applyFont="1" applyBorder="1" applyAlignment="1">
      <alignment horizontal="center" vertical="center"/>
    </xf>
    <xf numFmtId="0" fontId="0" fillId="0" borderId="87" xfId="0" applyBorder="1" applyAlignment="1">
      <alignment horizontal="center"/>
    </xf>
    <xf numFmtId="0" fontId="33" fillId="0" borderId="0" xfId="0" applyFont="1" applyAlignment="1">
      <alignment horizontal="left"/>
    </xf>
    <xf numFmtId="0" fontId="0" fillId="0" borderId="88" xfId="0" applyBorder="1" applyAlignment="1">
      <alignment horizontal="center"/>
    </xf>
    <xf numFmtId="0" fontId="33" fillId="0" borderId="87" xfId="0" applyFont="1" applyBorder="1" applyAlignment="1">
      <alignment horizontal="center"/>
    </xf>
    <xf numFmtId="0" fontId="33" fillId="0" borderId="88" xfId="0" applyFont="1" applyBorder="1" applyAlignment="1">
      <alignment horizontal="center"/>
    </xf>
    <xf numFmtId="0" fontId="40" fillId="0" borderId="51" xfId="0" applyFont="1" applyBorder="1" applyAlignment="1">
      <alignment horizontal="center" vertical="center"/>
    </xf>
    <xf numFmtId="0" fontId="40" fillId="0" borderId="52" xfId="0" applyFont="1" applyBorder="1" applyAlignment="1">
      <alignment horizontal="center" vertical="center"/>
    </xf>
    <xf numFmtId="0" fontId="40" fillId="0" borderId="35" xfId="0" applyFont="1" applyBorder="1" applyAlignment="1">
      <alignment horizontal="center" vertical="center"/>
    </xf>
    <xf numFmtId="0" fontId="40" fillId="0" borderId="54" xfId="0" applyFont="1" applyBorder="1" applyAlignment="1">
      <alignment horizontal="center" vertical="center"/>
    </xf>
    <xf numFmtId="0" fontId="36" fillId="0" borderId="49" xfId="0" applyFont="1" applyBorder="1" applyAlignment="1">
      <alignment horizontal="center" vertical="center"/>
    </xf>
    <xf numFmtId="0" fontId="36" fillId="0" borderId="50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0" fillId="0" borderId="63" xfId="0" applyBorder="1" applyAlignment="1">
      <alignment vertical="center"/>
    </xf>
    <xf numFmtId="0" fontId="0" fillId="0" borderId="79" xfId="0" applyBorder="1" applyAlignment="1">
      <alignment vertical="center"/>
    </xf>
    <xf numFmtId="2" fontId="0" fillId="0" borderId="80" xfId="0" applyNumberFormat="1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9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93" xfId="0" applyBorder="1" applyAlignment="1">
      <alignment horizontal="center"/>
    </xf>
    <xf numFmtId="165" fontId="0" fillId="0" borderId="69" xfId="0" applyNumberFormat="1" applyBorder="1" applyAlignment="1">
      <alignment horizontal="center"/>
    </xf>
    <xf numFmtId="0" fontId="0" fillId="0" borderId="69" xfId="0" applyBorder="1" applyAlignment="1">
      <alignment horizontal="center"/>
    </xf>
    <xf numFmtId="165" fontId="0" fillId="0" borderId="94" xfId="0" applyNumberFormat="1" applyBorder="1" applyAlignment="1">
      <alignment horizontal="center"/>
    </xf>
    <xf numFmtId="0" fontId="4" fillId="4" borderId="34" xfId="0" applyFont="1" applyFill="1" applyBorder="1" applyAlignment="1">
      <alignment horizontal="center" vertical="center"/>
    </xf>
    <xf numFmtId="0" fontId="4" fillId="4" borderId="35" xfId="0" applyFont="1" applyFill="1" applyBorder="1" applyAlignment="1">
      <alignment horizontal="center" vertical="center"/>
    </xf>
    <xf numFmtId="0" fontId="36" fillId="0" borderId="46" xfId="0" applyFont="1" applyBorder="1" applyAlignment="1">
      <alignment horizontal="center" vertical="center"/>
    </xf>
    <xf numFmtId="0" fontId="36" fillId="0" borderId="47" xfId="0" applyFont="1" applyBorder="1" applyAlignment="1">
      <alignment horizontal="center" vertical="center"/>
    </xf>
    <xf numFmtId="14" fontId="39" fillId="3" borderId="63" xfId="0" applyNumberFormat="1" applyFont="1" applyFill="1" applyBorder="1" applyAlignment="1">
      <alignment horizontal="center" vertical="center"/>
    </xf>
    <xf numFmtId="14" fontId="39" fillId="3" borderId="65" xfId="0" applyNumberFormat="1" applyFont="1" applyFill="1" applyBorder="1" applyAlignment="1">
      <alignment horizontal="center" vertical="center"/>
    </xf>
    <xf numFmtId="0" fontId="38" fillId="0" borderId="63" xfId="0" applyFont="1" applyBorder="1" applyAlignment="1">
      <alignment horizontal="center" vertical="center"/>
    </xf>
    <xf numFmtId="0" fontId="38" fillId="0" borderId="64" xfId="0" applyFont="1" applyBorder="1" applyAlignment="1">
      <alignment horizontal="center" vertical="center"/>
    </xf>
    <xf numFmtId="0" fontId="38" fillId="0" borderId="65" xfId="0" applyFont="1" applyBorder="1" applyAlignment="1">
      <alignment horizontal="center" vertical="center"/>
    </xf>
    <xf numFmtId="0" fontId="33" fillId="0" borderId="89" xfId="0" applyFont="1" applyBorder="1" applyAlignment="1">
      <alignment horizontal="center" vertical="center"/>
    </xf>
    <xf numFmtId="0" fontId="33" fillId="0" borderId="65" xfId="0" applyFont="1" applyBorder="1" applyAlignment="1">
      <alignment horizontal="center" vertical="center"/>
    </xf>
    <xf numFmtId="10" fontId="40" fillId="0" borderId="37" xfId="2" applyNumberFormat="1" applyFont="1" applyBorder="1" applyAlignment="1">
      <alignment horizontal="center" vertical="center"/>
    </xf>
    <xf numFmtId="10" fontId="40" fillId="0" borderId="90" xfId="2" applyNumberFormat="1" applyFont="1" applyBorder="1" applyAlignment="1">
      <alignment horizontal="center" vertical="center"/>
    </xf>
    <xf numFmtId="10" fontId="41" fillId="0" borderId="39" xfId="2" quotePrefix="1" applyNumberFormat="1" applyFont="1" applyBorder="1" applyAlignment="1">
      <alignment horizontal="center" vertical="center"/>
    </xf>
    <xf numFmtId="10" fontId="41" fillId="0" borderId="91" xfId="2" quotePrefix="1" applyNumberFormat="1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4" fillId="3" borderId="53" xfId="0" applyFont="1" applyFill="1" applyBorder="1" applyAlignment="1">
      <alignment horizontal="center" vertical="center"/>
    </xf>
    <xf numFmtId="0" fontId="4" fillId="3" borderId="51" xfId="0" applyFont="1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2" fillId="2" borderId="63" xfId="1" applyFont="1" applyFill="1" applyBorder="1" applyAlignment="1">
      <alignment horizontal="center"/>
    </xf>
    <xf numFmtId="0" fontId="5" fillId="2" borderId="64" xfId="1" applyFill="1" applyBorder="1" applyAlignment="1">
      <alignment horizontal="center"/>
    </xf>
    <xf numFmtId="0" fontId="5" fillId="2" borderId="65" xfId="1" applyFill="1" applyBorder="1" applyAlignment="1">
      <alignment horizontal="center"/>
    </xf>
    <xf numFmtId="0" fontId="5" fillId="27" borderId="9" xfId="1" applyFill="1" applyBorder="1" applyAlignment="1">
      <alignment horizontal="center"/>
    </xf>
    <xf numFmtId="0" fontId="5" fillId="27" borderId="20" xfId="1" applyFill="1" applyBorder="1" applyAlignment="1">
      <alignment horizontal="center"/>
    </xf>
    <xf numFmtId="0" fontId="5" fillId="27" borderId="2" xfId="1" applyFill="1" applyBorder="1" applyAlignment="1">
      <alignment horizontal="center"/>
    </xf>
    <xf numFmtId="0" fontId="32" fillId="2" borderId="62" xfId="1" applyFont="1" applyFill="1" applyBorder="1" applyAlignment="1">
      <alignment horizontal="center"/>
    </xf>
    <xf numFmtId="0" fontId="5" fillId="2" borderId="60" xfId="1" applyFill="1" applyBorder="1" applyAlignment="1">
      <alignment horizontal="center"/>
    </xf>
    <xf numFmtId="0" fontId="5" fillId="2" borderId="61" xfId="1" applyFill="1" applyBorder="1" applyAlignment="1">
      <alignment horizontal="center"/>
    </xf>
    <xf numFmtId="0" fontId="6" fillId="0" borderId="0" xfId="1" applyFont="1" applyAlignment="1">
      <alignment horizontal="center" vertical="center"/>
    </xf>
    <xf numFmtId="2" fontId="20" fillId="12" borderId="63" xfId="1" applyNumberFormat="1" applyFont="1" applyFill="1" applyBorder="1" applyAlignment="1">
      <alignment horizontal="center" vertical="center" wrapText="1"/>
    </xf>
    <xf numFmtId="2" fontId="20" fillId="12" borderId="64" xfId="1" applyNumberFormat="1" applyFont="1" applyFill="1" applyBorder="1" applyAlignment="1">
      <alignment horizontal="center" vertical="center" wrapText="1"/>
    </xf>
    <xf numFmtId="2" fontId="20" fillId="12" borderId="65" xfId="1" applyNumberFormat="1" applyFont="1" applyFill="1" applyBorder="1" applyAlignment="1">
      <alignment horizontal="center" vertical="center" wrapText="1"/>
    </xf>
    <xf numFmtId="0" fontId="8" fillId="8" borderId="63" xfId="1" applyFont="1" applyFill="1" applyBorder="1" applyAlignment="1">
      <alignment horizontal="center" vertical="center" wrapText="1"/>
    </xf>
    <xf numFmtId="0" fontId="8" fillId="8" borderId="64" xfId="1" applyFont="1" applyFill="1" applyBorder="1" applyAlignment="1">
      <alignment horizontal="center" vertical="center" wrapText="1"/>
    </xf>
    <xf numFmtId="0" fontId="8" fillId="8" borderId="65" xfId="1" applyFont="1" applyFill="1" applyBorder="1" applyAlignment="1">
      <alignment horizontal="center" vertical="center" wrapText="1"/>
    </xf>
    <xf numFmtId="2" fontId="8" fillId="8" borderId="63" xfId="1" applyNumberFormat="1" applyFont="1" applyFill="1" applyBorder="1" applyAlignment="1">
      <alignment horizontal="center" vertical="center" wrapText="1"/>
    </xf>
    <xf numFmtId="2" fontId="8" fillId="8" borderId="65" xfId="1" applyNumberFormat="1" applyFont="1" applyFill="1" applyBorder="1" applyAlignment="1">
      <alignment horizontal="center" vertical="center" wrapText="1"/>
    </xf>
    <xf numFmtId="2" fontId="20" fillId="8" borderId="63" xfId="1" applyNumberFormat="1" applyFont="1" applyFill="1" applyBorder="1" applyAlignment="1">
      <alignment horizontal="center" vertical="center" wrapText="1"/>
    </xf>
    <xf numFmtId="2" fontId="20" fillId="8" borderId="64" xfId="1" applyNumberFormat="1" applyFont="1" applyFill="1" applyBorder="1" applyAlignment="1">
      <alignment horizontal="center" vertical="center" wrapText="1"/>
    </xf>
    <xf numFmtId="2" fontId="20" fillId="8" borderId="65" xfId="1" applyNumberFormat="1" applyFont="1" applyFill="1" applyBorder="1" applyAlignment="1">
      <alignment horizontal="center" vertical="center" wrapText="1"/>
    </xf>
    <xf numFmtId="0" fontId="8" fillId="11" borderId="63" xfId="1" applyFont="1" applyFill="1" applyBorder="1" applyAlignment="1">
      <alignment horizontal="center" vertical="center" wrapText="1"/>
    </xf>
    <xf numFmtId="0" fontId="8" fillId="11" borderId="64" xfId="1" applyFont="1" applyFill="1" applyBorder="1" applyAlignment="1">
      <alignment horizontal="center" vertical="center" wrapText="1"/>
    </xf>
    <xf numFmtId="0" fontId="8" fillId="11" borderId="65" xfId="1" applyFont="1" applyFill="1" applyBorder="1" applyAlignment="1">
      <alignment horizontal="center" vertical="center" wrapText="1"/>
    </xf>
    <xf numFmtId="2" fontId="8" fillId="11" borderId="63" xfId="1" applyNumberFormat="1" applyFont="1" applyFill="1" applyBorder="1" applyAlignment="1">
      <alignment horizontal="center" vertical="center" wrapText="1"/>
    </xf>
    <xf numFmtId="2" fontId="8" fillId="11" borderId="64" xfId="1" applyNumberFormat="1" applyFont="1" applyFill="1" applyBorder="1" applyAlignment="1">
      <alignment horizontal="center" vertical="center" wrapText="1"/>
    </xf>
    <xf numFmtId="2" fontId="8" fillId="11" borderId="65" xfId="1" applyNumberFormat="1" applyFont="1" applyFill="1" applyBorder="1" applyAlignment="1">
      <alignment horizontal="center" vertical="center" wrapText="1"/>
    </xf>
    <xf numFmtId="2" fontId="21" fillId="11" borderId="63" xfId="1" applyNumberFormat="1" applyFont="1" applyFill="1" applyBorder="1" applyAlignment="1">
      <alignment horizontal="center" vertical="center" wrapText="1"/>
    </xf>
    <xf numFmtId="2" fontId="21" fillId="11" borderId="64" xfId="1" applyNumberFormat="1" applyFont="1" applyFill="1" applyBorder="1" applyAlignment="1">
      <alignment horizontal="center" vertical="center" wrapText="1"/>
    </xf>
    <xf numFmtId="2" fontId="21" fillId="11" borderId="65" xfId="1" applyNumberFormat="1" applyFont="1" applyFill="1" applyBorder="1" applyAlignment="1">
      <alignment horizontal="center" vertical="center" wrapText="1"/>
    </xf>
    <xf numFmtId="0" fontId="8" fillId="6" borderId="56" xfId="1" applyFont="1" applyFill="1" applyBorder="1" applyAlignment="1">
      <alignment horizontal="center" vertical="center"/>
    </xf>
    <xf numFmtId="0" fontId="8" fillId="6" borderId="58" xfId="1" applyFont="1" applyFill="1" applyBorder="1" applyAlignment="1">
      <alignment horizontal="center" vertical="center"/>
    </xf>
    <xf numFmtId="0" fontId="8" fillId="6" borderId="63" xfId="1" applyFont="1" applyFill="1" applyBorder="1" applyAlignment="1">
      <alignment horizontal="center" vertical="center"/>
    </xf>
    <xf numFmtId="0" fontId="8" fillId="6" borderId="64" xfId="1" applyFont="1" applyFill="1" applyBorder="1" applyAlignment="1">
      <alignment horizontal="center" vertical="center"/>
    </xf>
    <xf numFmtId="0" fontId="8" fillId="6" borderId="65" xfId="1" applyFont="1" applyFill="1" applyBorder="1" applyAlignment="1">
      <alignment horizontal="center" vertical="center"/>
    </xf>
    <xf numFmtId="0" fontId="8" fillId="12" borderId="56" xfId="1" applyFont="1" applyFill="1" applyBorder="1" applyAlignment="1">
      <alignment horizontal="center" vertical="center" wrapText="1"/>
    </xf>
    <xf numFmtId="0" fontId="8" fillId="12" borderId="57" xfId="1" applyFont="1" applyFill="1" applyBorder="1" applyAlignment="1">
      <alignment horizontal="center" vertical="center" wrapText="1"/>
    </xf>
    <xf numFmtId="0" fontId="8" fillId="12" borderId="58" xfId="1" applyFont="1" applyFill="1" applyBorder="1" applyAlignment="1">
      <alignment horizontal="center" vertical="center" wrapText="1"/>
    </xf>
    <xf numFmtId="0" fontId="8" fillId="12" borderId="59" xfId="1" applyFont="1" applyFill="1" applyBorder="1" applyAlignment="1">
      <alignment horizontal="center" vertical="center" wrapText="1"/>
    </xf>
    <xf numFmtId="0" fontId="8" fillId="12" borderId="0" xfId="1" applyFont="1" applyFill="1" applyAlignment="1">
      <alignment horizontal="center" vertical="center" wrapText="1"/>
    </xf>
    <xf numFmtId="0" fontId="8" fillId="12" borderId="55" xfId="1" applyFont="1" applyFill="1" applyBorder="1" applyAlignment="1">
      <alignment horizontal="center" vertical="center" wrapText="1"/>
    </xf>
    <xf numFmtId="0" fontId="8" fillId="12" borderId="63" xfId="1" applyFont="1" applyFill="1" applyBorder="1" applyAlignment="1">
      <alignment horizontal="center" vertical="center" wrapText="1"/>
    </xf>
    <xf numFmtId="0" fontId="8" fillId="12" borderId="64" xfId="1" applyFont="1" applyFill="1" applyBorder="1" applyAlignment="1">
      <alignment horizontal="center" vertical="center" wrapText="1"/>
    </xf>
    <xf numFmtId="0" fontId="8" fillId="12" borderId="65" xfId="1" applyFont="1" applyFill="1" applyBorder="1" applyAlignment="1">
      <alignment horizontal="center" vertical="center" wrapText="1"/>
    </xf>
    <xf numFmtId="2" fontId="8" fillId="12" borderId="63" xfId="1" applyNumberFormat="1" applyFont="1" applyFill="1" applyBorder="1" applyAlignment="1">
      <alignment horizontal="center" vertical="center" wrapText="1"/>
    </xf>
    <xf numFmtId="2" fontId="8" fillId="12" borderId="65" xfId="1" applyNumberFormat="1" applyFont="1" applyFill="1" applyBorder="1" applyAlignment="1">
      <alignment horizontal="center" vertical="center" wrapText="1"/>
    </xf>
    <xf numFmtId="2" fontId="19" fillId="12" borderId="56" xfId="1" applyNumberFormat="1" applyFont="1" applyFill="1" applyBorder="1" applyAlignment="1">
      <alignment horizontal="center" vertical="center" wrapText="1"/>
    </xf>
    <xf numFmtId="2" fontId="19" fillId="12" borderId="57" xfId="1" applyNumberFormat="1" applyFont="1" applyFill="1" applyBorder="1" applyAlignment="1">
      <alignment horizontal="center" vertical="center" wrapText="1"/>
    </xf>
    <xf numFmtId="2" fontId="19" fillId="12" borderId="58" xfId="1" applyNumberFormat="1" applyFont="1" applyFill="1" applyBorder="1" applyAlignment="1">
      <alignment horizontal="center" vertical="center" wrapText="1"/>
    </xf>
    <xf numFmtId="2" fontId="19" fillId="12" borderId="59" xfId="1" applyNumberFormat="1" applyFont="1" applyFill="1" applyBorder="1" applyAlignment="1">
      <alignment horizontal="center" vertical="center" wrapText="1"/>
    </xf>
    <xf numFmtId="2" fontId="19" fillId="12" borderId="0" xfId="1" applyNumberFormat="1" applyFont="1" applyFill="1" applyAlignment="1">
      <alignment horizontal="center" vertical="center" wrapText="1"/>
    </xf>
    <xf numFmtId="2" fontId="19" fillId="12" borderId="55" xfId="1" applyNumberFormat="1" applyFont="1" applyFill="1" applyBorder="1" applyAlignment="1">
      <alignment horizontal="center" vertical="center" wrapText="1"/>
    </xf>
    <xf numFmtId="2" fontId="19" fillId="12" borderId="62" xfId="1" applyNumberFormat="1" applyFont="1" applyFill="1" applyBorder="1" applyAlignment="1">
      <alignment horizontal="center" vertical="center" wrapText="1"/>
    </xf>
    <xf numFmtId="2" fontId="19" fillId="12" borderId="60" xfId="1" applyNumberFormat="1" applyFont="1" applyFill="1" applyBorder="1" applyAlignment="1">
      <alignment horizontal="center" vertical="center" wrapText="1"/>
    </xf>
    <xf numFmtId="2" fontId="19" fillId="12" borderId="61" xfId="1" applyNumberFormat="1" applyFont="1" applyFill="1" applyBorder="1" applyAlignment="1">
      <alignment horizontal="center" vertical="center" wrapText="1"/>
    </xf>
    <xf numFmtId="0" fontId="8" fillId="12" borderId="62" xfId="1" applyFont="1" applyFill="1" applyBorder="1" applyAlignment="1">
      <alignment horizontal="center" vertical="center" wrapText="1"/>
    </xf>
    <xf numFmtId="0" fontId="8" fillId="12" borderId="60" xfId="1" applyFont="1" applyFill="1" applyBorder="1" applyAlignment="1">
      <alignment horizontal="center" vertical="center" wrapText="1"/>
    </xf>
    <xf numFmtId="0" fontId="8" fillId="12" borderId="61" xfId="1" applyFont="1" applyFill="1" applyBorder="1" applyAlignment="1">
      <alignment horizontal="center" vertical="center" wrapText="1"/>
    </xf>
    <xf numFmtId="0" fontId="8" fillId="6" borderId="63" xfId="1" applyFont="1" applyFill="1" applyBorder="1" applyAlignment="1">
      <alignment horizontal="center" vertical="center" wrapText="1"/>
    </xf>
    <xf numFmtId="0" fontId="8" fillId="6" borderId="64" xfId="1" applyFont="1" applyFill="1" applyBorder="1" applyAlignment="1">
      <alignment horizontal="center" vertical="center" wrapText="1"/>
    </xf>
    <xf numFmtId="0" fontId="8" fillId="6" borderId="65" xfId="1" applyFont="1" applyFill="1" applyBorder="1" applyAlignment="1">
      <alignment horizontal="center" vertical="center" wrapText="1"/>
    </xf>
    <xf numFmtId="2" fontId="13" fillId="9" borderId="70" xfId="1" applyNumberFormat="1" applyFont="1" applyFill="1" applyBorder="1" applyAlignment="1">
      <alignment horizontal="center" vertical="center"/>
    </xf>
    <xf numFmtId="2" fontId="13" fillId="9" borderId="71" xfId="1" applyNumberFormat="1" applyFont="1" applyFill="1" applyBorder="1" applyAlignment="1">
      <alignment horizontal="center" vertical="center"/>
    </xf>
    <xf numFmtId="2" fontId="17" fillId="13" borderId="63" xfId="1" applyNumberFormat="1" applyFont="1" applyFill="1" applyBorder="1" applyAlignment="1">
      <alignment horizontal="center" vertical="center"/>
    </xf>
    <xf numFmtId="2" fontId="17" fillId="13" borderId="64" xfId="1" applyNumberFormat="1" applyFont="1" applyFill="1" applyBorder="1" applyAlignment="1">
      <alignment horizontal="center" vertical="center"/>
    </xf>
    <xf numFmtId="2" fontId="17" fillId="13" borderId="65" xfId="1" applyNumberFormat="1" applyFont="1" applyFill="1" applyBorder="1" applyAlignment="1">
      <alignment horizontal="center" vertical="center"/>
    </xf>
    <xf numFmtId="0" fontId="8" fillId="9" borderId="67" xfId="1" applyFont="1" applyFill="1" applyBorder="1" applyAlignment="1">
      <alignment horizontal="center" vertical="center" wrapText="1"/>
    </xf>
    <xf numFmtId="0" fontId="6" fillId="9" borderId="68" xfId="1" applyFont="1" applyFill="1" applyBorder="1" applyAlignment="1">
      <alignment horizontal="center" vertical="center" wrapText="1"/>
    </xf>
    <xf numFmtId="0" fontId="8" fillId="11" borderId="66" xfId="1" applyFont="1" applyFill="1" applyBorder="1" applyAlignment="1">
      <alignment horizontal="center" vertical="center"/>
    </xf>
    <xf numFmtId="0" fontId="6" fillId="11" borderId="66" xfId="1" applyFont="1" applyFill="1" applyBorder="1" applyAlignment="1">
      <alignment horizontal="center" vertical="center"/>
    </xf>
    <xf numFmtId="0" fontId="11" fillId="9" borderId="56" xfId="1" applyFont="1" applyFill="1" applyBorder="1" applyAlignment="1">
      <alignment horizontal="center" vertical="center" wrapText="1"/>
    </xf>
    <xf numFmtId="0" fontId="11" fillId="9" borderId="57" xfId="1" applyFont="1" applyFill="1" applyBorder="1" applyAlignment="1">
      <alignment horizontal="center" vertical="center" wrapText="1"/>
    </xf>
    <xf numFmtId="0" fontId="11" fillId="9" borderId="58" xfId="1" applyFont="1" applyFill="1" applyBorder="1" applyAlignment="1">
      <alignment horizontal="center" vertical="center" wrapText="1"/>
    </xf>
    <xf numFmtId="0" fontId="11" fillId="9" borderId="62" xfId="1" applyFont="1" applyFill="1" applyBorder="1" applyAlignment="1">
      <alignment horizontal="center" vertical="center" wrapText="1"/>
    </xf>
    <xf numFmtId="0" fontId="11" fillId="9" borderId="60" xfId="1" applyFont="1" applyFill="1" applyBorder="1" applyAlignment="1">
      <alignment horizontal="center" vertical="center" wrapText="1"/>
    </xf>
    <xf numFmtId="0" fontId="11" fillId="9" borderId="61" xfId="1" applyFont="1" applyFill="1" applyBorder="1" applyAlignment="1">
      <alignment horizontal="center" vertical="center" wrapText="1"/>
    </xf>
    <xf numFmtId="0" fontId="8" fillId="10" borderId="67" xfId="1" applyFont="1" applyFill="1" applyBorder="1" applyAlignment="1">
      <alignment horizontal="center" vertical="center"/>
    </xf>
    <xf numFmtId="0" fontId="8" fillId="10" borderId="68" xfId="1" applyFont="1" applyFill="1" applyBorder="1" applyAlignment="1">
      <alignment horizontal="center" vertical="center"/>
    </xf>
    <xf numFmtId="0" fontId="8" fillId="2" borderId="66" xfId="1" applyFont="1" applyFill="1" applyBorder="1" applyAlignment="1">
      <alignment horizontal="center" vertical="center"/>
    </xf>
    <xf numFmtId="0" fontId="8" fillId="2" borderId="67" xfId="1" applyFont="1" applyFill="1" applyBorder="1" applyAlignment="1">
      <alignment horizontal="center" vertical="center"/>
    </xf>
    <xf numFmtId="0" fontId="6" fillId="0" borderId="63" xfId="1" applyFont="1" applyBorder="1" applyAlignment="1">
      <alignment horizontal="center" vertical="center"/>
    </xf>
    <xf numFmtId="0" fontId="6" fillId="0" borderId="64" xfId="1" applyFont="1" applyBorder="1" applyAlignment="1">
      <alignment horizontal="center" vertical="center"/>
    </xf>
    <xf numFmtId="0" fontId="6" fillId="0" borderId="65" xfId="1" applyFont="1" applyBorder="1" applyAlignment="1">
      <alignment horizontal="center" vertical="center"/>
    </xf>
    <xf numFmtId="0" fontId="7" fillId="4" borderId="63" xfId="1" applyFont="1" applyFill="1" applyBorder="1" applyAlignment="1">
      <alignment horizontal="center" vertical="center"/>
    </xf>
    <xf numFmtId="0" fontId="7" fillId="4" borderId="64" xfId="1" applyFont="1" applyFill="1" applyBorder="1" applyAlignment="1">
      <alignment horizontal="center" vertical="center"/>
    </xf>
    <xf numFmtId="0" fontId="8" fillId="0" borderId="0" xfId="1" applyFont="1" applyAlignment="1">
      <alignment horizontal="center" vertical="center" wrapText="1"/>
    </xf>
    <xf numFmtId="0" fontId="6" fillId="5" borderId="0" xfId="1" applyFont="1" applyFill="1" applyAlignment="1">
      <alignment horizontal="center" vertical="center"/>
    </xf>
    <xf numFmtId="0" fontId="6" fillId="5" borderId="60" xfId="1" applyFont="1" applyFill="1" applyBorder="1" applyAlignment="1">
      <alignment horizontal="center" vertical="center"/>
    </xf>
    <xf numFmtId="0" fontId="9" fillId="6" borderId="66" xfId="1" applyFont="1" applyFill="1" applyBorder="1" applyAlignment="1">
      <alignment horizontal="center" vertical="center"/>
    </xf>
    <xf numFmtId="0" fontId="10" fillId="7" borderId="67" xfId="1" applyFont="1" applyFill="1" applyBorder="1" applyAlignment="1">
      <alignment horizontal="center" vertical="center" wrapText="1"/>
    </xf>
    <xf numFmtId="0" fontId="10" fillId="7" borderId="68" xfId="1" applyFont="1" applyFill="1" applyBorder="1" applyAlignment="1">
      <alignment horizontal="center" vertical="center" wrapText="1"/>
    </xf>
    <xf numFmtId="0" fontId="11" fillId="8" borderId="67" xfId="1" applyFont="1" applyFill="1" applyBorder="1" applyAlignment="1">
      <alignment horizontal="center" vertical="center" wrapText="1"/>
    </xf>
    <xf numFmtId="0" fontId="11" fillId="8" borderId="68" xfId="1" applyFont="1" applyFill="1" applyBorder="1" applyAlignment="1">
      <alignment horizontal="center" vertical="center" wrapText="1"/>
    </xf>
    <xf numFmtId="0" fontId="25" fillId="0" borderId="9" xfId="1" applyFont="1" applyBorder="1" applyAlignment="1">
      <alignment horizontal="center" vertical="center"/>
    </xf>
    <xf numFmtId="0" fontId="25" fillId="0" borderId="20" xfId="1" applyFont="1" applyBorder="1" applyAlignment="1">
      <alignment horizontal="center" vertical="center"/>
    </xf>
    <xf numFmtId="0" fontId="25" fillId="0" borderId="2" xfId="1" applyFont="1" applyBorder="1" applyAlignment="1">
      <alignment horizontal="center" vertical="center"/>
    </xf>
    <xf numFmtId="0" fontId="27" fillId="0" borderId="63" xfId="1" applyFont="1" applyBorder="1" applyAlignment="1">
      <alignment horizontal="center" vertical="center"/>
    </xf>
    <xf numFmtId="0" fontId="27" fillId="0" borderId="64" xfId="1" applyFont="1" applyBorder="1" applyAlignment="1">
      <alignment horizontal="center" vertical="center"/>
    </xf>
    <xf numFmtId="0" fontId="27" fillId="0" borderId="65" xfId="1" applyFont="1" applyBorder="1" applyAlignment="1">
      <alignment horizontal="center" vertical="center"/>
    </xf>
    <xf numFmtId="0" fontId="29" fillId="0" borderId="63" xfId="1" applyFont="1" applyBorder="1" applyAlignment="1">
      <alignment horizontal="center" vertical="center"/>
    </xf>
    <xf numFmtId="0" fontId="29" fillId="0" borderId="64" xfId="1" applyFont="1" applyBorder="1" applyAlignment="1">
      <alignment horizontal="center" vertical="center"/>
    </xf>
    <xf numFmtId="0" fontId="29" fillId="0" borderId="65" xfId="1" applyFont="1" applyBorder="1" applyAlignment="1">
      <alignment horizontal="center" vertical="center"/>
    </xf>
    <xf numFmtId="0" fontId="26" fillId="0" borderId="0" xfId="1" applyFont="1" applyAlignment="1">
      <alignment horizontal="center" vertical="center"/>
    </xf>
    <xf numFmtId="0" fontId="27" fillId="0" borderId="63" xfId="1" applyFont="1" applyBorder="1" applyAlignment="1">
      <alignment horizontal="center"/>
    </xf>
    <xf numFmtId="0" fontId="27" fillId="0" borderId="64" xfId="1" applyFont="1" applyBorder="1" applyAlignment="1">
      <alignment horizontal="center"/>
    </xf>
    <xf numFmtId="0" fontId="27" fillId="0" borderId="79" xfId="1" applyFont="1" applyBorder="1" applyAlignment="1">
      <alignment horizontal="center"/>
    </xf>
    <xf numFmtId="0" fontId="27" fillId="0" borderId="80" xfId="1" applyFont="1" applyBorder="1" applyAlignment="1">
      <alignment horizontal="center"/>
    </xf>
    <xf numFmtId="0" fontId="27" fillId="0" borderId="65" xfId="1" applyFont="1" applyBorder="1" applyAlignment="1">
      <alignment horizontal="center"/>
    </xf>
    <xf numFmtId="0" fontId="27" fillId="20" borderId="18" xfId="1" applyFont="1" applyFill="1" applyBorder="1" applyAlignment="1">
      <alignment horizontal="center" vertical="center"/>
    </xf>
    <xf numFmtId="0" fontId="27" fillId="20" borderId="21" xfId="1" applyFont="1" applyFill="1" applyBorder="1" applyAlignment="1">
      <alignment horizontal="center" vertical="center"/>
    </xf>
    <xf numFmtId="0" fontId="27" fillId="20" borderId="15" xfId="1" applyFont="1" applyFill="1" applyBorder="1" applyAlignment="1">
      <alignment horizontal="center" vertical="center"/>
    </xf>
    <xf numFmtId="0" fontId="27" fillId="20" borderId="83" xfId="1" applyFont="1" applyFill="1" applyBorder="1" applyAlignment="1">
      <alignment horizontal="center" vertical="center"/>
    </xf>
    <xf numFmtId="0" fontId="5" fillId="0" borderId="56" xfId="1" applyBorder="1" applyAlignment="1">
      <alignment horizontal="center"/>
    </xf>
    <xf numFmtId="0" fontId="5" fillId="0" borderId="57" xfId="1" applyBorder="1" applyAlignment="1">
      <alignment horizontal="center"/>
    </xf>
    <xf numFmtId="0" fontId="5" fillId="0" borderId="58" xfId="1" applyBorder="1" applyAlignment="1">
      <alignment horizontal="center"/>
    </xf>
    <xf numFmtId="0" fontId="5" fillId="0" borderId="59" xfId="1" applyBorder="1" applyAlignment="1">
      <alignment horizontal="center"/>
    </xf>
    <xf numFmtId="0" fontId="5" fillId="0" borderId="0" xfId="1" applyAlignment="1">
      <alignment horizontal="center"/>
    </xf>
    <xf numFmtId="0" fontId="5" fillId="0" borderId="55" xfId="1" applyBorder="1" applyAlignment="1">
      <alignment horizontal="center"/>
    </xf>
    <xf numFmtId="0" fontId="5" fillId="0" borderId="62" xfId="1" applyBorder="1" applyAlignment="1">
      <alignment horizontal="center"/>
    </xf>
    <xf numFmtId="0" fontId="5" fillId="0" borderId="60" xfId="1" applyBorder="1" applyAlignment="1">
      <alignment horizontal="center"/>
    </xf>
    <xf numFmtId="0" fontId="5" fillId="0" borderId="61" xfId="1" applyBorder="1" applyAlignment="1">
      <alignment horizontal="center"/>
    </xf>
    <xf numFmtId="0" fontId="8" fillId="6" borderId="56" xfId="1" applyFont="1" applyFill="1" applyBorder="1" applyAlignment="1">
      <alignment horizontal="center" vertical="center" wrapText="1"/>
    </xf>
    <xf numFmtId="0" fontId="8" fillId="6" borderId="57" xfId="1" applyFont="1" applyFill="1" applyBorder="1" applyAlignment="1">
      <alignment horizontal="center" vertical="center" wrapText="1"/>
    </xf>
    <xf numFmtId="0" fontId="8" fillId="6" borderId="58" xfId="1" applyFont="1" applyFill="1" applyBorder="1" applyAlignment="1">
      <alignment horizontal="center" vertical="center" wrapText="1"/>
    </xf>
    <xf numFmtId="0" fontId="8" fillId="6" borderId="59" xfId="1" applyFont="1" applyFill="1" applyBorder="1" applyAlignment="1">
      <alignment horizontal="center" vertical="center" wrapText="1"/>
    </xf>
    <xf numFmtId="0" fontId="8" fillId="6" borderId="0" xfId="1" applyFont="1" applyFill="1" applyAlignment="1">
      <alignment horizontal="center" vertical="center" wrapText="1"/>
    </xf>
    <xf numFmtId="0" fontId="8" fillId="6" borderId="55" xfId="1" applyFont="1" applyFill="1" applyBorder="1" applyAlignment="1">
      <alignment horizontal="center" vertical="center" wrapText="1"/>
    </xf>
    <xf numFmtId="0" fontId="8" fillId="6" borderId="62" xfId="1" applyFont="1" applyFill="1" applyBorder="1" applyAlignment="1">
      <alignment horizontal="center" vertical="center" wrapText="1"/>
    </xf>
    <xf numFmtId="0" fontId="8" fillId="6" borderId="60" xfId="1" applyFont="1" applyFill="1" applyBorder="1" applyAlignment="1">
      <alignment horizontal="center" vertical="center" wrapText="1"/>
    </xf>
    <xf numFmtId="0" fontId="8" fillId="6" borderId="61" xfId="1" applyFont="1" applyFill="1" applyBorder="1" applyAlignment="1">
      <alignment horizontal="center" vertical="center" wrapText="1"/>
    </xf>
    <xf numFmtId="0" fontId="8" fillId="0" borderId="57" xfId="1" applyFont="1" applyBorder="1" applyAlignment="1">
      <alignment horizontal="center" vertical="center" wrapText="1" readingOrder="1"/>
    </xf>
    <xf numFmtId="0" fontId="8" fillId="0" borderId="58" xfId="1" applyFont="1" applyBorder="1" applyAlignment="1">
      <alignment horizontal="center" vertical="center" wrapText="1" readingOrder="1"/>
    </xf>
    <xf numFmtId="0" fontId="8" fillId="0" borderId="0" xfId="1" applyFont="1" applyAlignment="1">
      <alignment horizontal="center" vertical="center" wrapText="1" readingOrder="1"/>
    </xf>
    <xf numFmtId="0" fontId="8" fillId="0" borderId="55" xfId="1" applyFont="1" applyBorder="1" applyAlignment="1">
      <alignment horizontal="center" vertical="center" wrapText="1" readingOrder="1"/>
    </xf>
    <xf numFmtId="0" fontId="8" fillId="0" borderId="60" xfId="1" applyFont="1" applyBorder="1" applyAlignment="1">
      <alignment horizontal="center" vertical="center" wrapText="1" readingOrder="1"/>
    </xf>
    <xf numFmtId="0" fontId="8" fillId="0" borderId="61" xfId="1" applyFont="1" applyBorder="1" applyAlignment="1">
      <alignment horizontal="center" vertical="center" wrapText="1" readingOrder="1"/>
    </xf>
    <xf numFmtId="0" fontId="22" fillId="14" borderId="74" xfId="1" applyFont="1" applyFill="1" applyBorder="1" applyAlignment="1">
      <alignment horizontal="center" vertical="center" wrapText="1"/>
    </xf>
    <xf numFmtId="0" fontId="22" fillId="14" borderId="78" xfId="1" applyFont="1" applyFill="1" applyBorder="1" applyAlignment="1">
      <alignment horizontal="center" vertical="center" wrapText="1"/>
    </xf>
    <xf numFmtId="0" fontId="22" fillId="15" borderId="75" xfId="1" applyFont="1" applyFill="1" applyBorder="1" applyAlignment="1">
      <alignment horizontal="center" vertical="center" wrapText="1"/>
    </xf>
    <xf numFmtId="0" fontId="22" fillId="15" borderId="76" xfId="1" applyFont="1" applyFill="1" applyBorder="1" applyAlignment="1">
      <alignment horizontal="center" vertical="center" wrapText="1"/>
    </xf>
    <xf numFmtId="0" fontId="22" fillId="16" borderId="77" xfId="1" applyFont="1" applyFill="1" applyBorder="1" applyAlignment="1">
      <alignment horizontal="center"/>
    </xf>
    <xf numFmtId="0" fontId="22" fillId="14" borderId="77" xfId="1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Pourcentage" xfId="2" builtinId="5"/>
  </cellStyles>
  <dxfs count="54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numFmt numFmtId="165" formatCode="yyyy\-mm\-dd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yyyy\-mm\-dd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5" formatCode="yyyy\-mm\-dd;@"/>
      <alignment horizontal="center" vertical="center" textRotation="0" wrapText="0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5" formatCode="yyyy\-mm\-dd;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w Cen MT"/>
        <scheme val="minor"/>
      </font>
      <numFmt numFmtId="30" formatCode="@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5" formatCode="yyyy\-mm\-dd;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w Cen MT"/>
        <scheme val="minor"/>
      </font>
      <numFmt numFmtId="30" formatCode="@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rgb="FF92D050"/>
        </patternFill>
      </fill>
    </dxf>
    <dxf>
      <fill>
        <patternFill>
          <bgColor theme="4"/>
        </patternFill>
      </fill>
    </dxf>
  </dxfs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09393534397158"/>
          <c:y val="0.14271616047994001"/>
          <c:w val="0.85623460087182768"/>
          <c:h val="0.63025385593944416"/>
        </c:manualLayout>
      </c:layout>
      <c:lineChart>
        <c:grouping val="standard"/>
        <c:varyColors val="0"/>
        <c:ser>
          <c:idx val="0"/>
          <c:order val="0"/>
          <c:tx>
            <c:v>17-janv. 18-janv. 19-janv. 20-janv. 21-janv. 22-janv. 23-janv. 24-janv.</c:v>
          </c:tx>
          <c:spPr>
            <a:ln w="22225" cap="rnd">
              <a:gradFill>
                <a:gsLst>
                  <a:gs pos="0">
                    <a:srgbClr val="FFFF00"/>
                  </a:gs>
                  <a:gs pos="100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Pt>
            <c:idx val="3"/>
            <c:bubble3D val="0"/>
            <c:spPr>
              <a:ln w="22225" cap="rnd">
                <a:gradFill>
                  <a:gsLst>
                    <a:gs pos="70000">
                      <a:srgbClr val="F1F839"/>
                    </a:gs>
                    <a:gs pos="85000">
                      <a:srgbClr val="E9F457"/>
                    </a:gs>
                    <a:gs pos="0">
                      <a:srgbClr val="FFFF00"/>
                    </a:gs>
                    <a:gs pos="100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effectLst>
                <a:glow rad="139700">
                  <a:schemeClr val="accent1"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2-F673-4476-9EF0-772A7628BEA0}"/>
              </c:ext>
            </c:extLst>
          </c:dPt>
          <c:dLbls>
            <c:dLbl>
              <c:idx val="3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3-4476-9EF0-772A7628BEA0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eparator>.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'Suvi Gaz'!$A$20:$A$26</c15:sqref>
                  </c15:fullRef>
                </c:ext>
              </c:extLst>
              <c:f>'Suvi Gaz'!$A$20:$A$25</c:f>
              <c:numCache>
                <c:formatCode>[$-40C]d\-mmm;@</c:formatCode>
                <c:ptCount val="6"/>
                <c:pt idx="0">
                  <c:v>44578</c:v>
                </c:pt>
                <c:pt idx="1">
                  <c:v>44579</c:v>
                </c:pt>
                <c:pt idx="2">
                  <c:v>44580</c:v>
                </c:pt>
                <c:pt idx="3">
                  <c:v>44581</c:v>
                </c:pt>
                <c:pt idx="4">
                  <c:v>44582</c:v>
                </c:pt>
                <c:pt idx="5">
                  <c:v>44583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'Suvi Gaz'!$O$20:$O$26</c15:sqref>
                  </c15:fullRef>
                </c:ext>
              </c:extLst>
              <c:f>'Suvi Gaz'!$O$20:$O$25</c:f>
              <c:numCache>
                <c:formatCode>General</c:formatCode>
                <c:ptCount val="6"/>
                <c:pt idx="0">
                  <c:v>159.99605</c:v>
                </c:pt>
                <c:pt idx="1">
                  <c:v>191.99526</c:v>
                </c:pt>
                <c:pt idx="2">
                  <c:v>287.99288999999999</c:v>
                </c:pt>
                <c:pt idx="3">
                  <c:v>127.99684000000001</c:v>
                </c:pt>
                <c:pt idx="4">
                  <c:v>223.99447000000001</c:v>
                </c:pt>
                <c:pt idx="5">
                  <c:v>319.99209999999999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C15-4215-8B5D-1EF79919FDD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79686320"/>
        <c:axId val="279686880"/>
      </c:lineChart>
      <c:dateAx>
        <c:axId val="279686320"/>
        <c:scaling>
          <c:orientation val="minMax"/>
          <c:max val="44587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[$-40C]d\-mmm;@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686880"/>
        <c:crosses val="autoZero"/>
        <c:auto val="1"/>
        <c:lblOffset val="100"/>
        <c:baseTimeUnit val="days"/>
      </c:dateAx>
      <c:valAx>
        <c:axId val="2796868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</c:title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686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" l="0" r="0" t="1.3385826771653544" header="0.51181102362204722" footer="0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09393534397158"/>
          <c:y val="0.14271616047994001"/>
          <c:w val="0.85623460087182768"/>
          <c:h val="0.63025385593944416"/>
        </c:manualLayout>
      </c:layout>
      <c:lineChart>
        <c:grouping val="standard"/>
        <c:varyColors val="0"/>
        <c:ser>
          <c:idx val="0"/>
          <c:order val="0"/>
          <c:tx>
            <c:v>1/17/2022 1/18/2022 1/19/2022 1/20/2022 1/21/2022 1/22/2022 1/23/2022 </c:v>
          </c:tx>
          <c:spPr>
            <a:ln w="22225" cap="rnd">
              <a:gradFill>
                <a:gsLst>
                  <a:gs pos="89000">
                    <a:srgbClr val="E97557"/>
                  </a:gs>
                  <a:gs pos="0">
                    <a:srgbClr val="FF0000"/>
                  </a:gs>
                  <a:gs pos="100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'Suvi Gaz'!$A$20:$A$26</c:f>
              <c:numCache>
                <c:formatCode>[$-40C]d\-mmm;@</c:formatCode>
                <c:ptCount val="7"/>
                <c:pt idx="0">
                  <c:v>44578</c:v>
                </c:pt>
                <c:pt idx="1">
                  <c:v>44579</c:v>
                </c:pt>
                <c:pt idx="2">
                  <c:v>44580</c:v>
                </c:pt>
                <c:pt idx="3">
                  <c:v>44581</c:v>
                </c:pt>
                <c:pt idx="4">
                  <c:v>44582</c:v>
                </c:pt>
                <c:pt idx="5">
                  <c:v>44583</c:v>
                </c:pt>
                <c:pt idx="6">
                  <c:v>44584</c:v>
                </c:pt>
              </c:numCache>
            </c:numRef>
          </c:cat>
          <c:val>
            <c:numRef>
              <c:f>'Consommation mensuel énergie'!$O$26:$O$32</c:f>
              <c:numCache>
                <c:formatCode>_-* #,##0\ _€_-;\-* #,##0\ _€_-;_-* "-"\ _€_-;_-@_-</c:formatCode>
                <c:ptCount val="7"/>
                <c:pt idx="0">
                  <c:v>6152</c:v>
                </c:pt>
                <c:pt idx="1">
                  <c:v>6184</c:v>
                </c:pt>
                <c:pt idx="2">
                  <c:v>5859</c:v>
                </c:pt>
                <c:pt idx="3">
                  <c:v>6041</c:v>
                </c:pt>
                <c:pt idx="4">
                  <c:v>5715</c:v>
                </c:pt>
                <c:pt idx="5">
                  <c:v>6036</c:v>
                </c:pt>
                <c:pt idx="6">
                  <c:v>5938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162-45CF-91C6-956E4AF9632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79689680"/>
        <c:axId val="279690240"/>
      </c:lineChart>
      <c:dateAx>
        <c:axId val="27968968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[$-40C]d\-mmm;@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690240"/>
        <c:crosses val="autoZero"/>
        <c:auto val="1"/>
        <c:lblOffset val="100"/>
        <c:baseTimeUnit val="days"/>
      </c:dateAx>
      <c:valAx>
        <c:axId val="27969024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689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09393534397158"/>
          <c:y val="0.14271616047994001"/>
          <c:w val="0.85623460087182768"/>
          <c:h val="0.63025385593944416"/>
        </c:manualLayout>
      </c:layout>
      <c:lineChart>
        <c:grouping val="standard"/>
        <c:varyColors val="0"/>
        <c:ser>
          <c:idx val="0"/>
          <c:order val="0"/>
          <c:tx>
            <c:v>1/17/2022 1/18/2022 1/19/2022 1/20/2022 1/21/2022 1/22/2022 1/23/2022 1/24/2022</c:v>
          </c:tx>
          <c:spPr>
            <a:ln w="22225" cap="rnd">
              <a:gradFill>
                <a:gsLst>
                  <a:gs pos="0">
                    <a:schemeClr val="tx2">
                      <a:lumMod val="40000"/>
                      <a:lumOff val="60000"/>
                    </a:schemeClr>
                  </a:gs>
                  <a:gs pos="100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22225" cap="rnd">
                <a:gradFill flip="none" rotWithShape="1">
                  <a:gsLst>
                    <a:gs pos="0">
                      <a:schemeClr val="accent5">
                        <a:lumMod val="67000"/>
                      </a:schemeClr>
                    </a:gs>
                    <a:gs pos="79000">
                      <a:schemeClr val="accent5">
                        <a:lumMod val="97000"/>
                        <a:lumOff val="3000"/>
                      </a:schemeClr>
                    </a:gs>
                    <a:gs pos="100000">
                      <a:schemeClr val="accent5">
                        <a:lumMod val="60000"/>
                        <a:lumOff val="40000"/>
                      </a:schemeClr>
                    </a:gs>
                  </a:gsLst>
                  <a:lin ang="16200000" scaled="1"/>
                  <a:tileRect/>
                </a:gradFill>
              </a:ln>
              <a:effectLst>
                <a:glow rad="139700">
                  <a:schemeClr val="accent1"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2-522A-43C6-8698-E3549B819773}"/>
              </c:ext>
            </c:extLst>
          </c:dPt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'Suvi Gaz'!$A$20:$A$26</c:f>
              <c:numCache>
                <c:formatCode>[$-40C]d\-mmm;@</c:formatCode>
                <c:ptCount val="7"/>
                <c:pt idx="0">
                  <c:v>44578</c:v>
                </c:pt>
                <c:pt idx="1">
                  <c:v>44579</c:v>
                </c:pt>
                <c:pt idx="2">
                  <c:v>44580</c:v>
                </c:pt>
                <c:pt idx="3">
                  <c:v>44581</c:v>
                </c:pt>
                <c:pt idx="4">
                  <c:v>44582</c:v>
                </c:pt>
                <c:pt idx="5">
                  <c:v>44583</c:v>
                </c:pt>
                <c:pt idx="6">
                  <c:v>44584</c:v>
                </c:pt>
              </c:numCache>
            </c:numRef>
          </c:cat>
          <c:val>
            <c:numRef>
              <c:f>'Consommation mensuel énergie'!$F$26:$F$32</c:f>
              <c:numCache>
                <c:formatCode>General</c:formatCode>
                <c:ptCount val="7"/>
                <c:pt idx="0">
                  <c:v>36</c:v>
                </c:pt>
                <c:pt idx="1">
                  <c:v>33.100000000005821</c:v>
                </c:pt>
                <c:pt idx="2">
                  <c:v>48.5</c:v>
                </c:pt>
                <c:pt idx="3">
                  <c:v>43.399999999994179</c:v>
                </c:pt>
                <c:pt idx="4">
                  <c:v>34</c:v>
                </c:pt>
                <c:pt idx="5">
                  <c:v>53</c:v>
                </c:pt>
                <c:pt idx="6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1F7-45FD-9C6D-CDACFBF7F09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79692480"/>
        <c:axId val="279693040"/>
      </c:lineChart>
      <c:dateAx>
        <c:axId val="279692480"/>
        <c:scaling>
          <c:orientation val="minMax"/>
          <c:max val="44586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[$-40C]d\-mmm;@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693040"/>
        <c:crosses val="autoZero"/>
        <c:auto val="1"/>
        <c:lblOffset val="100"/>
        <c:baseTimeUnit val="days"/>
      </c:dateAx>
      <c:valAx>
        <c:axId val="27969304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692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" l="0" r="0" t="1.3385826771653544" header="0.51181102362204722" footer="0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GAZ'!$C$15:$N$15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267072"/>
        <c:axId val="315267632"/>
      </c:lineChart>
      <c:catAx>
        <c:axId val="3152670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15267632"/>
        <c:crosses val="autoZero"/>
        <c:auto val="1"/>
        <c:lblAlgn val="ctr"/>
        <c:lblOffset val="100"/>
        <c:noMultiLvlLbl val="0"/>
      </c:catAx>
      <c:valAx>
        <c:axId val="31526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1526707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6014448"/>
        <c:axId val="316015008"/>
      </c:lineChart>
      <c:catAx>
        <c:axId val="3160144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16015008"/>
        <c:crosses val="autoZero"/>
        <c:auto val="1"/>
        <c:lblAlgn val="ctr"/>
        <c:lblOffset val="100"/>
        <c:noMultiLvlLbl val="0"/>
      </c:catAx>
      <c:valAx>
        <c:axId val="31601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1601444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2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EAU-ELEC'!$A$9:$A$40</c:f>
              <c:numCache>
                <c:formatCode>m/d/yyyy</c:formatCode>
                <c:ptCount val="32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  <c:pt idx="31">
                  <c:v>44593</c:v>
                </c:pt>
              </c:numCache>
            </c:numRef>
          </c:cat>
          <c:val>
            <c:numRef>
              <c:f>'Suivi EAU-ELEC'!$E$9:$E$40</c:f>
              <c:numCache>
                <c:formatCode>General</c:formatCode>
                <c:ptCount val="32"/>
                <c:pt idx="0">
                  <c:v>8.7999999999883585</c:v>
                </c:pt>
                <c:pt idx="1">
                  <c:v>35</c:v>
                </c:pt>
                <c:pt idx="2">
                  <c:v>53</c:v>
                </c:pt>
                <c:pt idx="3">
                  <c:v>42.899999999994179</c:v>
                </c:pt>
                <c:pt idx="4">
                  <c:v>48.399999999994179</c:v>
                </c:pt>
                <c:pt idx="5">
                  <c:v>49.900000000023283</c:v>
                </c:pt>
                <c:pt idx="6">
                  <c:v>39.799999999988358</c:v>
                </c:pt>
                <c:pt idx="7">
                  <c:v>41</c:v>
                </c:pt>
                <c:pt idx="8">
                  <c:v>49</c:v>
                </c:pt>
                <c:pt idx="9">
                  <c:v>43</c:v>
                </c:pt>
                <c:pt idx="10">
                  <c:v>45.299999999988358</c:v>
                </c:pt>
                <c:pt idx="11">
                  <c:v>39.600000000005821</c:v>
                </c:pt>
                <c:pt idx="12">
                  <c:v>43.5</c:v>
                </c:pt>
                <c:pt idx="13">
                  <c:v>42.200000000011642</c:v>
                </c:pt>
                <c:pt idx="14">
                  <c:v>46.899999999994179</c:v>
                </c:pt>
                <c:pt idx="15">
                  <c:v>49.5</c:v>
                </c:pt>
                <c:pt idx="16">
                  <c:v>36</c:v>
                </c:pt>
                <c:pt idx="17">
                  <c:v>33.100000000005821</c:v>
                </c:pt>
                <c:pt idx="18">
                  <c:v>48.5</c:v>
                </c:pt>
                <c:pt idx="19">
                  <c:v>43.399999999994179</c:v>
                </c:pt>
                <c:pt idx="20">
                  <c:v>34</c:v>
                </c:pt>
                <c:pt idx="21">
                  <c:v>53</c:v>
                </c:pt>
                <c:pt idx="22">
                  <c:v>39</c:v>
                </c:pt>
                <c:pt idx="23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6017808"/>
        <c:axId val="316018368"/>
      </c:barChart>
      <c:dateAx>
        <c:axId val="316017808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16018368"/>
        <c:crosses val="autoZero"/>
        <c:auto val="1"/>
        <c:lblOffset val="100"/>
        <c:baseTimeUnit val="days"/>
      </c:dateAx>
      <c:valAx>
        <c:axId val="3160183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16017808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  <c:pt idx="31">
                  <c:v>44593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2484</c:v>
                </c:pt>
                <c:pt idx="1">
                  <c:v>2452</c:v>
                </c:pt>
                <c:pt idx="2">
                  <c:v>2448</c:v>
                </c:pt>
                <c:pt idx="3">
                  <c:v>2417</c:v>
                </c:pt>
                <c:pt idx="4">
                  <c:v>2492</c:v>
                </c:pt>
                <c:pt idx="5">
                  <c:v>2531</c:v>
                </c:pt>
                <c:pt idx="6">
                  <c:v>2418</c:v>
                </c:pt>
                <c:pt idx="7">
                  <c:v>2490</c:v>
                </c:pt>
                <c:pt idx="8">
                  <c:v>2321</c:v>
                </c:pt>
                <c:pt idx="9">
                  <c:v>2371</c:v>
                </c:pt>
                <c:pt idx="10">
                  <c:v>2166</c:v>
                </c:pt>
                <c:pt idx="11">
                  <c:v>2319</c:v>
                </c:pt>
                <c:pt idx="12">
                  <c:v>2428</c:v>
                </c:pt>
                <c:pt idx="13">
                  <c:v>2101</c:v>
                </c:pt>
                <c:pt idx="14">
                  <c:v>2318</c:v>
                </c:pt>
                <c:pt idx="15">
                  <c:v>2113</c:v>
                </c:pt>
                <c:pt idx="16">
                  <c:v>2139</c:v>
                </c:pt>
                <c:pt idx="17">
                  <c:v>2159</c:v>
                </c:pt>
                <c:pt idx="18">
                  <c:v>1993</c:v>
                </c:pt>
                <c:pt idx="19">
                  <c:v>2253</c:v>
                </c:pt>
                <c:pt idx="20">
                  <c:v>2039</c:v>
                </c:pt>
                <c:pt idx="21">
                  <c:v>2172</c:v>
                </c:pt>
                <c:pt idx="22">
                  <c:v>2103</c:v>
                </c:pt>
                <c:pt idx="23">
                  <c:v>2198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EAU-ELEC'!$A$9:$A$40</c:f>
              <c:numCache>
                <c:formatCode>m/d/yyyy</c:formatCode>
                <c:ptCount val="32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  <c:pt idx="31">
                  <c:v>44593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3362</c:v>
                </c:pt>
                <c:pt idx="1">
                  <c:v>3357</c:v>
                </c:pt>
                <c:pt idx="2">
                  <c:v>3259</c:v>
                </c:pt>
                <c:pt idx="3">
                  <c:v>3239</c:v>
                </c:pt>
                <c:pt idx="4">
                  <c:v>3356</c:v>
                </c:pt>
                <c:pt idx="5">
                  <c:v>3310</c:v>
                </c:pt>
                <c:pt idx="6">
                  <c:v>3206</c:v>
                </c:pt>
                <c:pt idx="7">
                  <c:v>3204</c:v>
                </c:pt>
                <c:pt idx="8">
                  <c:v>3066</c:v>
                </c:pt>
                <c:pt idx="9">
                  <c:v>3040</c:v>
                </c:pt>
                <c:pt idx="10">
                  <c:v>2940</c:v>
                </c:pt>
                <c:pt idx="11">
                  <c:v>2916</c:v>
                </c:pt>
                <c:pt idx="12">
                  <c:v>3035</c:v>
                </c:pt>
                <c:pt idx="13">
                  <c:v>3085</c:v>
                </c:pt>
                <c:pt idx="14">
                  <c:v>2909</c:v>
                </c:pt>
                <c:pt idx="15">
                  <c:v>2753</c:v>
                </c:pt>
                <c:pt idx="16">
                  <c:v>2720</c:v>
                </c:pt>
                <c:pt idx="17">
                  <c:v>2788</c:v>
                </c:pt>
                <c:pt idx="18">
                  <c:v>2606</c:v>
                </c:pt>
                <c:pt idx="19">
                  <c:v>2560</c:v>
                </c:pt>
                <c:pt idx="20">
                  <c:v>2506</c:v>
                </c:pt>
                <c:pt idx="21">
                  <c:v>2617</c:v>
                </c:pt>
                <c:pt idx="22">
                  <c:v>2572</c:v>
                </c:pt>
                <c:pt idx="23">
                  <c:v>2616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  <c:pt idx="31">
                  <c:v>44593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1521</c:v>
                </c:pt>
                <c:pt idx="1">
                  <c:v>1493</c:v>
                </c:pt>
                <c:pt idx="2">
                  <c:v>1482</c:v>
                </c:pt>
                <c:pt idx="3">
                  <c:v>503</c:v>
                </c:pt>
                <c:pt idx="4">
                  <c:v>2529</c:v>
                </c:pt>
                <c:pt idx="5">
                  <c:v>1454</c:v>
                </c:pt>
                <c:pt idx="6">
                  <c:v>1462</c:v>
                </c:pt>
                <c:pt idx="7">
                  <c:v>1522</c:v>
                </c:pt>
                <c:pt idx="8">
                  <c:v>1463</c:v>
                </c:pt>
                <c:pt idx="9">
                  <c:v>1420</c:v>
                </c:pt>
                <c:pt idx="10">
                  <c:v>1415</c:v>
                </c:pt>
                <c:pt idx="11">
                  <c:v>1376</c:v>
                </c:pt>
                <c:pt idx="12">
                  <c:v>1442</c:v>
                </c:pt>
                <c:pt idx="13">
                  <c:v>1391</c:v>
                </c:pt>
                <c:pt idx="14">
                  <c:v>1386</c:v>
                </c:pt>
                <c:pt idx="15">
                  <c:v>1337</c:v>
                </c:pt>
                <c:pt idx="16">
                  <c:v>1293</c:v>
                </c:pt>
                <c:pt idx="17">
                  <c:v>1237</c:v>
                </c:pt>
                <c:pt idx="18">
                  <c:v>1260</c:v>
                </c:pt>
                <c:pt idx="19">
                  <c:v>1228</c:v>
                </c:pt>
                <c:pt idx="20">
                  <c:v>1170</c:v>
                </c:pt>
                <c:pt idx="21">
                  <c:v>1247</c:v>
                </c:pt>
                <c:pt idx="22">
                  <c:v>1263</c:v>
                </c:pt>
                <c:pt idx="23">
                  <c:v>1256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623216"/>
        <c:axId val="315623776"/>
      </c:lineChart>
      <c:dateAx>
        <c:axId val="315623216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15623776"/>
        <c:crosses val="autoZero"/>
        <c:auto val="1"/>
        <c:lblOffset val="100"/>
        <c:baseTimeUnit val="days"/>
      </c:dateAx>
      <c:valAx>
        <c:axId val="31562377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15623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'[1]Suvi Gaz'!$A$4:$A$34</c:f>
              <c:strCache>
                <c:ptCount val="31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</c:strCache>
            </c:strRef>
          </c:cat>
          <c:val>
            <c:numRef>
              <c:f>'[1]Suvi Gaz'!$O$4:$O$33</c:f>
              <c:numCache>
                <c:formatCode>General</c:formatCode>
                <c:ptCount val="30"/>
                <c:pt idx="0">
                  <c:v>191.99526</c:v>
                </c:pt>
                <c:pt idx="1">
                  <c:v>191.99526</c:v>
                </c:pt>
                <c:pt idx="2">
                  <c:v>351.99131</c:v>
                </c:pt>
                <c:pt idx="3">
                  <c:v>384.71640000000002</c:v>
                </c:pt>
                <c:pt idx="4">
                  <c:v>287.99288999999999</c:v>
                </c:pt>
                <c:pt idx="5">
                  <c:v>127.99684000000001</c:v>
                </c:pt>
                <c:pt idx="6">
                  <c:v>191.99526</c:v>
                </c:pt>
                <c:pt idx="7">
                  <c:v>287.99288999999999</c:v>
                </c:pt>
                <c:pt idx="8">
                  <c:v>383.99052</c:v>
                </c:pt>
                <c:pt idx="9">
                  <c:v>159.99605</c:v>
                </c:pt>
                <c:pt idx="10">
                  <c:v>127.99684000000001</c:v>
                </c:pt>
                <c:pt idx="11">
                  <c:v>159.99605</c:v>
                </c:pt>
                <c:pt idx="12">
                  <c:v>127.99684000000001</c:v>
                </c:pt>
                <c:pt idx="13">
                  <c:v>255.99368000000001</c:v>
                </c:pt>
                <c:pt idx="14">
                  <c:v>319.99209999999999</c:v>
                </c:pt>
                <c:pt idx="15">
                  <c:v>191.99526</c:v>
                </c:pt>
                <c:pt idx="16">
                  <c:v>159.99605</c:v>
                </c:pt>
                <c:pt idx="17">
                  <c:v>191.99526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5626576"/>
        <c:axId val="315627136"/>
      </c:barChart>
      <c:catAx>
        <c:axId val="315626576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15627136"/>
        <c:crosses val="autoZero"/>
        <c:auto val="1"/>
        <c:lblAlgn val="ctr"/>
        <c:lblOffset val="100"/>
        <c:noMultiLvlLbl val="0"/>
      </c:catAx>
      <c:valAx>
        <c:axId val="315627136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15626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électr'!$C$15:$N$15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7395568"/>
        <c:axId val="317396128"/>
      </c:lineChart>
      <c:catAx>
        <c:axId val="3173955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17396128"/>
        <c:crosses val="autoZero"/>
        <c:auto val="1"/>
        <c:lblAlgn val="ctr"/>
        <c:lblOffset val="100"/>
        <c:noMultiLvlLbl val="0"/>
      </c:catAx>
      <c:valAx>
        <c:axId val="31739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1739556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électr'!$C$26:$N$26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7690560"/>
        <c:axId val="317691120"/>
      </c:lineChart>
      <c:catAx>
        <c:axId val="3176905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17691120"/>
        <c:crosses val="autoZero"/>
        <c:auto val="1"/>
        <c:lblAlgn val="ctr"/>
        <c:lblOffset val="100"/>
        <c:noMultiLvlLbl val="0"/>
      </c:catAx>
      <c:valAx>
        <c:axId val="31769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1769056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656774</xdr:colOff>
      <xdr:row>7</xdr:row>
      <xdr:rowOff>36285</xdr:rowOff>
    </xdr:from>
    <xdr:to>
      <xdr:col>11</xdr:col>
      <xdr:colOff>552450</xdr:colOff>
      <xdr:row>21</xdr:row>
      <xdr:rowOff>19049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51105</xdr:colOff>
      <xdr:row>6</xdr:row>
      <xdr:rowOff>284799</xdr:rowOff>
    </xdr:from>
    <xdr:to>
      <xdr:col>5</xdr:col>
      <xdr:colOff>478960</xdr:colOff>
      <xdr:row>20</xdr:row>
      <xdr:rowOff>147205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  <a:ext uri="{147F2762-F138-4A5C-976F-8EAC2B608ADB}">
              <a16:predDERef xmlns:a16="http://schemas.microsoft.com/office/drawing/2014/main" pre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500754</xdr:colOff>
      <xdr:row>6</xdr:row>
      <xdr:rowOff>285597</xdr:rowOff>
    </xdr:from>
    <xdr:to>
      <xdr:col>18</xdr:col>
      <xdr:colOff>1</xdr:colOff>
      <xdr:row>21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000-00000C000000}"/>
            </a:ext>
            <a:ext uri="{147F2762-F138-4A5C-976F-8EAC2B608ADB}">
              <a16:predDERef xmlns:a16="http://schemas.microsoft.com/office/drawing/2014/main" pre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28</xdr:row>
      <xdr:rowOff>28575</xdr:rowOff>
    </xdr:from>
    <xdr:to>
      <xdr:col>13</xdr:col>
      <xdr:colOff>1114425</xdr:colOff>
      <xdr:row>52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28</xdr:row>
      <xdr:rowOff>9525</xdr:rowOff>
    </xdr:from>
    <xdr:to>
      <xdr:col>7</xdr:col>
      <xdr:colOff>66675</xdr:colOff>
      <xdr:row>52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22720" y="1038225"/>
          <a:ext cx="10147934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3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894070" y="323850"/>
          <a:ext cx="6751281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595993</xdr:colOff>
      <xdr:row>2</xdr:row>
      <xdr:rowOff>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27</xdr:row>
      <xdr:rowOff>28575</xdr:rowOff>
    </xdr:from>
    <xdr:to>
      <xdr:col>13</xdr:col>
      <xdr:colOff>447675</xdr:colOff>
      <xdr:row>48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27</xdr:row>
      <xdr:rowOff>47625</xdr:rowOff>
    </xdr:from>
    <xdr:to>
      <xdr:col>6</xdr:col>
      <xdr:colOff>638175</xdr:colOff>
      <xdr:row>48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S\Desktop\anomalie%20fs\Casabblanca-HEP%20-%20JAN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Consommation mensuel énergie"/>
      <sheetName val="Suivi EAU-ELEC"/>
      <sheetName val="Suvi Gaz"/>
      <sheetName val="facture électricité"/>
      <sheetName val="Facture journalier D'élect"/>
      <sheetName val="facture d'eau"/>
      <sheetName val="Facture journalier d'eau"/>
      <sheetName val="facture incendie"/>
      <sheetName val="cons annuel électr"/>
      <sheetName val="cons annuel EAU  "/>
      <sheetName val="livraison annuel GAZ"/>
      <sheetName val="Feuil1"/>
    </sheetNames>
    <sheetDataSet>
      <sheetData sheetId="0"/>
      <sheetData sheetId="1"/>
      <sheetData sheetId="2"/>
      <sheetData sheetId="3">
        <row r="9">
          <cell r="E9">
            <v>8.7999999999883585</v>
          </cell>
          <cell r="G9">
            <v>2484</v>
          </cell>
          <cell r="I9">
            <v>3362</v>
          </cell>
          <cell r="K9">
            <v>1521</v>
          </cell>
        </row>
        <row r="10">
          <cell r="E10">
            <v>35</v>
          </cell>
          <cell r="G10">
            <v>2452</v>
          </cell>
          <cell r="I10">
            <v>3357</v>
          </cell>
          <cell r="K10">
            <v>1493</v>
          </cell>
        </row>
        <row r="11">
          <cell r="E11">
            <v>53</v>
          </cell>
          <cell r="G11">
            <v>2448</v>
          </cell>
          <cell r="I11">
            <v>3259</v>
          </cell>
          <cell r="K11">
            <v>1482</v>
          </cell>
        </row>
        <row r="12">
          <cell r="E12">
            <v>42.899999999994179</v>
          </cell>
          <cell r="G12">
            <v>2417</v>
          </cell>
          <cell r="I12">
            <v>3239</v>
          </cell>
          <cell r="K12">
            <v>503</v>
          </cell>
        </row>
        <row r="13">
          <cell r="E13">
            <v>48.399999999994179</v>
          </cell>
          <cell r="G13">
            <v>2492</v>
          </cell>
          <cell r="I13">
            <v>3356</v>
          </cell>
          <cell r="K13">
            <v>2529</v>
          </cell>
        </row>
        <row r="14">
          <cell r="E14">
            <v>49.900000000023283</v>
          </cell>
          <cell r="G14">
            <v>2531</v>
          </cell>
          <cell r="I14">
            <v>3310</v>
          </cell>
          <cell r="K14">
            <v>1454</v>
          </cell>
        </row>
        <row r="15">
          <cell r="E15">
            <v>39.799999999988358</v>
          </cell>
          <cell r="G15">
            <v>2418</v>
          </cell>
          <cell r="I15">
            <v>3206</v>
          </cell>
          <cell r="K15">
            <v>1462</v>
          </cell>
        </row>
        <row r="16">
          <cell r="E16">
            <v>41</v>
          </cell>
          <cell r="G16">
            <v>2490</v>
          </cell>
          <cell r="I16">
            <v>3204</v>
          </cell>
          <cell r="K16">
            <v>1522</v>
          </cell>
        </row>
        <row r="17">
          <cell r="E17">
            <v>49</v>
          </cell>
          <cell r="G17">
            <v>2321</v>
          </cell>
          <cell r="I17">
            <v>3066</v>
          </cell>
          <cell r="K17">
            <v>1463</v>
          </cell>
        </row>
        <row r="18">
          <cell r="E18">
            <v>43</v>
          </cell>
          <cell r="G18">
            <v>2371</v>
          </cell>
          <cell r="I18">
            <v>3040</v>
          </cell>
          <cell r="K18">
            <v>1420</v>
          </cell>
        </row>
        <row r="19">
          <cell r="E19">
            <v>45.299999999988358</v>
          </cell>
          <cell r="G19">
            <v>2166</v>
          </cell>
          <cell r="I19">
            <v>2940</v>
          </cell>
          <cell r="K19">
            <v>1415</v>
          </cell>
        </row>
        <row r="20">
          <cell r="E20">
            <v>39.600000000005821</v>
          </cell>
          <cell r="G20">
            <v>2319</v>
          </cell>
          <cell r="I20">
            <v>2916</v>
          </cell>
          <cell r="K20">
            <v>1376</v>
          </cell>
        </row>
        <row r="21">
          <cell r="E21">
            <v>43.5</v>
          </cell>
          <cell r="G21">
            <v>2428</v>
          </cell>
          <cell r="I21">
            <v>3035</v>
          </cell>
          <cell r="K21">
            <v>1442</v>
          </cell>
        </row>
        <row r="22">
          <cell r="E22">
            <v>42.200000000011642</v>
          </cell>
          <cell r="G22">
            <v>2101</v>
          </cell>
          <cell r="I22">
            <v>3085</v>
          </cell>
          <cell r="K22">
            <v>1391</v>
          </cell>
        </row>
        <row r="23">
          <cell r="E23">
            <v>46.899999999994179</v>
          </cell>
          <cell r="G23">
            <v>2318</v>
          </cell>
          <cell r="I23">
            <v>2909</v>
          </cell>
          <cell r="K23">
            <v>1386</v>
          </cell>
        </row>
        <row r="24">
          <cell r="E24">
            <v>49.5</v>
          </cell>
          <cell r="G24">
            <v>2113</v>
          </cell>
          <cell r="I24">
            <v>2753</v>
          </cell>
          <cell r="K24">
            <v>1337</v>
          </cell>
        </row>
        <row r="25">
          <cell r="E25">
            <v>36</v>
          </cell>
          <cell r="G25">
            <v>2139</v>
          </cell>
          <cell r="I25">
            <v>2720</v>
          </cell>
          <cell r="K25">
            <v>1293</v>
          </cell>
        </row>
        <row r="26">
          <cell r="E26">
            <v>33.100000000005821</v>
          </cell>
          <cell r="G26">
            <v>2159</v>
          </cell>
          <cell r="I26">
            <v>2788</v>
          </cell>
          <cell r="K26">
            <v>1237</v>
          </cell>
        </row>
        <row r="27">
          <cell r="E27">
            <v>48.5</v>
          </cell>
          <cell r="G27">
            <v>1993</v>
          </cell>
          <cell r="I27">
            <v>2606</v>
          </cell>
          <cell r="K27">
            <v>1260</v>
          </cell>
        </row>
      </sheetData>
      <sheetData sheetId="4">
        <row r="4">
          <cell r="A4">
            <v>44562</v>
          </cell>
          <cell r="O4">
            <v>191.99526</v>
          </cell>
        </row>
        <row r="5">
          <cell r="A5">
            <v>44563</v>
          </cell>
          <cell r="O5">
            <v>191.99526</v>
          </cell>
        </row>
        <row r="6">
          <cell r="A6">
            <v>44564</v>
          </cell>
          <cell r="O6">
            <v>351.99131</v>
          </cell>
        </row>
        <row r="7">
          <cell r="A7">
            <v>44565</v>
          </cell>
          <cell r="O7">
            <v>384.71640000000002</v>
          </cell>
        </row>
        <row r="8">
          <cell r="A8">
            <v>44566</v>
          </cell>
          <cell r="O8">
            <v>287.99288999999999</v>
          </cell>
        </row>
        <row r="9">
          <cell r="A9">
            <v>44567</v>
          </cell>
          <cell r="O9">
            <v>127.99684000000001</v>
          </cell>
        </row>
        <row r="10">
          <cell r="A10">
            <v>44568</v>
          </cell>
          <cell r="O10">
            <v>191.99526</v>
          </cell>
        </row>
        <row r="11">
          <cell r="A11">
            <v>44569</v>
          </cell>
          <cell r="O11">
            <v>287.99288999999999</v>
          </cell>
        </row>
        <row r="12">
          <cell r="A12">
            <v>44570</v>
          </cell>
          <cell r="O12">
            <v>383.99052</v>
          </cell>
        </row>
        <row r="13">
          <cell r="A13">
            <v>44571</v>
          </cell>
          <cell r="O13">
            <v>159.99605</v>
          </cell>
        </row>
        <row r="14">
          <cell r="A14">
            <v>44572</v>
          </cell>
          <cell r="O14">
            <v>127.99684000000001</v>
          </cell>
        </row>
        <row r="15">
          <cell r="A15">
            <v>44573</v>
          </cell>
          <cell r="O15">
            <v>159.99605</v>
          </cell>
        </row>
        <row r="16">
          <cell r="A16">
            <v>44574</v>
          </cell>
          <cell r="O16">
            <v>127.99684000000001</v>
          </cell>
        </row>
        <row r="17">
          <cell r="A17">
            <v>44575</v>
          </cell>
          <cell r="O17">
            <v>255.99368000000001</v>
          </cell>
        </row>
        <row r="18">
          <cell r="A18">
            <v>44576</v>
          </cell>
          <cell r="O18">
            <v>319.99209999999999</v>
          </cell>
        </row>
        <row r="19">
          <cell r="A19">
            <v>44577</v>
          </cell>
          <cell r="O19">
            <v>191.99526</v>
          </cell>
        </row>
        <row r="20">
          <cell r="A20">
            <v>44578</v>
          </cell>
          <cell r="O20">
            <v>159.99605</v>
          </cell>
        </row>
        <row r="21">
          <cell r="A21">
            <v>44579</v>
          </cell>
          <cell r="O21">
            <v>191.99526</v>
          </cell>
        </row>
        <row r="22">
          <cell r="A22">
            <v>44580</v>
          </cell>
          <cell r="O22">
            <v>0</v>
          </cell>
        </row>
        <row r="23">
          <cell r="A23">
            <v>44581</v>
          </cell>
          <cell r="O23">
            <v>0</v>
          </cell>
        </row>
        <row r="24">
          <cell r="A24">
            <v>44582</v>
          </cell>
          <cell r="O24">
            <v>0</v>
          </cell>
        </row>
        <row r="25">
          <cell r="A25">
            <v>44583</v>
          </cell>
          <cell r="O25">
            <v>0</v>
          </cell>
        </row>
        <row r="26">
          <cell r="A26">
            <v>44584</v>
          </cell>
          <cell r="O26">
            <v>0</v>
          </cell>
        </row>
        <row r="27">
          <cell r="A27">
            <v>44585</v>
          </cell>
          <cell r="O27">
            <v>0</v>
          </cell>
        </row>
        <row r="28">
          <cell r="A28">
            <v>44586</v>
          </cell>
          <cell r="O28">
            <v>0</v>
          </cell>
        </row>
        <row r="29">
          <cell r="A29">
            <v>44587</v>
          </cell>
          <cell r="O29">
            <v>0</v>
          </cell>
        </row>
        <row r="30">
          <cell r="A30">
            <v>44588</v>
          </cell>
          <cell r="O30">
            <v>0</v>
          </cell>
        </row>
        <row r="31">
          <cell r="A31">
            <v>44589</v>
          </cell>
          <cell r="O31">
            <v>0</v>
          </cell>
        </row>
        <row r="32">
          <cell r="A32">
            <v>44590</v>
          </cell>
          <cell r="O32">
            <v>0</v>
          </cell>
        </row>
        <row r="33">
          <cell r="A33">
            <v>44591</v>
          </cell>
          <cell r="O33">
            <v>0</v>
          </cell>
        </row>
        <row r="34">
          <cell r="A34">
            <v>44592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115A404B-ADB3-4B62-8B80-8BBC2B49CAFC}">
    <nsvFilter filterId="{00000000-0009-0000-0100-000001000000}" ref="A1:O50" tableId="1">
      <sortRules>
        <sortRule colId="0" id="{00000000-0010-0000-0000-000001000000}">
          <sortCondition ref="A1:A50"/>
        </sortRule>
      </sortRules>
    </nsvFilter>
  </namedSheetView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O50" totalsRowShown="0" headerRowDxfId="48" dataDxfId="47" headerRowBorderDxfId="45" tableBorderDxfId="46" totalsRowBorderDxfId="44">
  <autoFilter ref="A1:O50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sortState xmlns:xlrd2="http://schemas.microsoft.com/office/spreadsheetml/2017/richdata2" ref="A2:K192">
    <sortCondition ref="A1:A192"/>
  </sortState>
  <tableColumns count="15">
    <tableColumn id="1" xr3:uid="{00000000-0010-0000-0000-000001000000}" name="Chambre" dataDxfId="43"/>
    <tableColumn id="10" xr3:uid="{00000000-0010-0000-0000-00000A000000}" name="Quantite" dataDxfId="42"/>
    <tableColumn id="4" xr3:uid="{00000000-0010-0000-0000-000004000000}" name="Date" dataDxfId="41"/>
    <tableColumn id="5" xr3:uid="{00000000-0010-0000-0000-000005000000}" name="Chambre." dataDxfId="40"/>
    <tableColumn id="12" xr3:uid="{00000000-0010-0000-0000-00000C000000}" name="Quantite  ," dataDxfId="39"/>
    <tableColumn id="3" xr3:uid="{00000000-0010-0000-0000-000003000000}" name="Date." dataDxfId="38"/>
    <tableColumn id="8" xr3:uid="{00000000-0010-0000-0000-000008000000}" name="Chambre.." dataDxfId="37"/>
    <tableColumn id="2" xr3:uid="{00000000-0010-0000-0000-000002000000}" name="Quantite.." dataDxfId="36"/>
    <tableColumn id="6" xr3:uid="{00000000-0010-0000-0000-000006000000}" name="Date," dataDxfId="35"/>
    <tableColumn id="7" xr3:uid="{00000000-0010-0000-0000-000007000000}" name="Chambre," dataDxfId="34"/>
    <tableColumn id="9" xr3:uid="{00000000-0010-0000-0000-000009000000}" name="Quantite  ,2" dataDxfId="33"/>
    <tableColumn id="11" xr3:uid="{00000000-0010-0000-0000-00000B000000}" name="Date.," dataDxfId="32"/>
    <tableColumn id="13" xr3:uid="{00000000-0010-0000-0000-00000D000000}" name="Chambre,," dataDxfId="31"/>
    <tableColumn id="14" xr3:uid="{00000000-0010-0000-0000-00000E000000}" name="Quantite,," dataDxfId="30"/>
    <tableColumn id="15" xr3:uid="{00000000-0010-0000-0000-00000F000000}" name="Date,," dataDxfId="29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3" displayName="Table13" ref="A1:O50" totalsRowShown="0" headerRowDxfId="28" dataDxfId="27" headerRowBorderDxfId="25" tableBorderDxfId="26" totalsRowBorderDxfId="24">
  <autoFilter ref="A1:O50" xr:uid="{00000000-0009-0000-0100-000002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sortState xmlns:xlrd2="http://schemas.microsoft.com/office/spreadsheetml/2017/richdata2" ref="A2:K192">
    <sortCondition ref="A1:A192"/>
  </sortState>
  <tableColumns count="15">
    <tableColumn id="1" xr3:uid="{00000000-0010-0000-0100-000001000000}" name="Chambre" dataDxfId="23"/>
    <tableColumn id="10" xr3:uid="{00000000-0010-0000-0100-00000A000000}" name="Quantite" dataDxfId="22"/>
    <tableColumn id="4" xr3:uid="{00000000-0010-0000-0100-000004000000}" name="Date" dataDxfId="21"/>
    <tableColumn id="5" xr3:uid="{00000000-0010-0000-0100-000005000000}" name="Chambre." dataDxfId="20"/>
    <tableColumn id="12" xr3:uid="{00000000-0010-0000-0100-00000C000000}" name="Quantite  ," dataDxfId="19"/>
    <tableColumn id="3" xr3:uid="{00000000-0010-0000-0100-000003000000}" name="Date." dataDxfId="18"/>
    <tableColumn id="8" xr3:uid="{00000000-0010-0000-0100-000008000000}" name="Chambre.." dataDxfId="17"/>
    <tableColumn id="2" xr3:uid="{00000000-0010-0000-0100-000002000000}" name="Quantite.." dataDxfId="16"/>
    <tableColumn id="6" xr3:uid="{00000000-0010-0000-0100-000006000000}" name="Date," dataDxfId="15"/>
    <tableColumn id="7" xr3:uid="{00000000-0010-0000-0100-000007000000}" name="Chambre," dataDxfId="14"/>
    <tableColumn id="9" xr3:uid="{00000000-0010-0000-0100-000009000000}" name="Quantite  ,2" dataDxfId="13"/>
    <tableColumn id="11" xr3:uid="{00000000-0010-0000-0100-00000B000000}" name="Date.," dataDxfId="12"/>
    <tableColumn id="13" xr3:uid="{00000000-0010-0000-0100-00000D000000}" name="Chambre,," dataDxfId="11"/>
    <tableColumn id="14" xr3:uid="{00000000-0010-0000-0100-00000E000000}" name="Quantite,," dataDxfId="10"/>
    <tableColumn id="15" xr3:uid="{00000000-0010-0000-0100-00000F000000}" name="Date,," dataDxfId="9"/>
  </tableColumns>
  <tableStyleInfo name="TableStyleLight1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Circuit">
  <a:themeElements>
    <a:clrScheme name="Circuit">
      <a:dk1>
        <a:sysClr val="windowText" lastClr="000000"/>
      </a:dk1>
      <a:lt1>
        <a:sysClr val="window" lastClr="FFFFFF"/>
      </a:lt1>
      <a:dk2>
        <a:srgbClr val="134770"/>
      </a:dk2>
      <a:lt2>
        <a:srgbClr val="82FFFF"/>
      </a:lt2>
      <a:accent1>
        <a:srgbClr val="9ACD4C"/>
      </a:accent1>
      <a:accent2>
        <a:srgbClr val="FAA93A"/>
      </a:accent2>
      <a:accent3>
        <a:srgbClr val="D35940"/>
      </a:accent3>
      <a:accent4>
        <a:srgbClr val="B258D3"/>
      </a:accent4>
      <a:accent5>
        <a:srgbClr val="63A0CC"/>
      </a:accent5>
      <a:accent6>
        <a:srgbClr val="8AC4A7"/>
      </a:accent6>
      <a:hlink>
        <a:srgbClr val="B8FA56"/>
      </a:hlink>
      <a:folHlink>
        <a:srgbClr val="7AF8CC"/>
      </a:folHlink>
    </a:clrScheme>
    <a:fontScheme name="Circuit">
      <a:maj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Circuit">
      <a:fillStyleLst>
        <a:solidFill>
          <a:schemeClr val="phClr"/>
        </a:solidFill>
        <a:gradFill rotWithShape="1">
          <a:gsLst>
            <a:gs pos="0">
              <a:schemeClr val="phClr">
                <a:tint val="58000"/>
                <a:satMod val="108000"/>
                <a:lumMod val="110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040000" scaled="0"/>
        </a:gradFill>
        <a:gradFill rotWithShape="1">
          <a:gsLst>
            <a:gs pos="0">
              <a:schemeClr val="phClr">
                <a:tint val="94000"/>
                <a:satMod val="105000"/>
                <a:lumMod val="102000"/>
              </a:schemeClr>
            </a:gs>
            <a:gs pos="100000">
              <a:schemeClr val="phClr">
                <a:shade val="74000"/>
                <a:satMod val="128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8000"/>
                <a:hueMod val="94000"/>
                <a:satMod val="148000"/>
                <a:lumMod val="150000"/>
              </a:schemeClr>
            </a:gs>
            <a:gs pos="100000">
              <a:schemeClr val="phClr">
                <a:shade val="92000"/>
                <a:hueMod val="104000"/>
                <a:satMod val="140000"/>
                <a:lumMod val="68000"/>
              </a:schemeClr>
            </a:gs>
          </a:gsLst>
          <a:lin ang="5040000" scaled="0"/>
        </a:gradFill>
        <a:blipFill>
          <a:blip xmlns:r="http://schemas.openxmlformats.org/officeDocument/2006/relationships" r:embed="rId1">
            <a:duotone>
              <a:schemeClr val="phClr">
                <a:shade val="88000"/>
                <a:hueMod val="106000"/>
                <a:satMod val="140000"/>
                <a:lumMod val="54000"/>
              </a:schemeClr>
              <a:schemeClr val="phClr">
                <a:tint val="98000"/>
                <a:hueMod val="90000"/>
                <a:satMod val="150000"/>
                <a:lumMod val="160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Circuit" id="{0AC2F7E7-15F5-431C-B2A2-456FE929F56C}" vid="{0911B802-464C-4241-8DD9-B60FF88E379F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2:S68"/>
  <sheetViews>
    <sheetView showRowColHeaders="0" tabSelected="1" showRuler="0" view="pageLayout" zoomScale="90" zoomScaleNormal="100" zoomScalePageLayoutView="90" workbookViewId="0">
      <selection activeCell="Q29" sqref="Q29"/>
    </sheetView>
  </sheetViews>
  <sheetFormatPr defaultRowHeight="14.25"/>
  <cols>
    <col min="1" max="1" width="1.125" customWidth="1"/>
    <col min="2" max="2" width="2.75" customWidth="1"/>
    <col min="3" max="3" width="19.25" style="1" customWidth="1"/>
    <col min="4" max="4" width="12.5" style="1" customWidth="1"/>
    <col min="5" max="5" width="10.875" style="1" bestFit="1" customWidth="1"/>
    <col min="6" max="6" width="11.125" style="1" customWidth="1"/>
    <col min="7" max="7" width="10" style="1" customWidth="1"/>
    <col min="8" max="8" width="10.875" style="1" bestFit="1" customWidth="1"/>
    <col min="9" max="9" width="9" style="1"/>
    <col min="10" max="10" width="9" style="1" customWidth="1"/>
    <col min="11" max="11" width="10.25" bestFit="1" customWidth="1"/>
    <col min="12" max="12" width="12.625" customWidth="1"/>
  </cols>
  <sheetData>
    <row r="2" spans="3:19">
      <c r="C2" s="184"/>
    </row>
    <row r="3" spans="3:19" ht="2.25" customHeight="1"/>
    <row r="4" spans="3:19" hidden="1"/>
    <row r="5" spans="3:19" hidden="1"/>
    <row r="6" spans="3:19" ht="24.75" customHeight="1">
      <c r="C6" s="211" t="s">
        <v>0</v>
      </c>
      <c r="D6" s="211"/>
      <c r="E6" s="211"/>
      <c r="F6" s="211"/>
      <c r="H6" s="211" t="s">
        <v>1</v>
      </c>
      <c r="I6" s="211"/>
      <c r="J6" s="211"/>
      <c r="K6" s="211"/>
      <c r="L6" s="211"/>
      <c r="N6" s="211" t="s">
        <v>2</v>
      </c>
      <c r="O6" s="211"/>
      <c r="P6" s="211"/>
      <c r="Q6" s="211"/>
      <c r="R6" s="211"/>
      <c r="S6" s="211"/>
    </row>
    <row r="7" spans="3:19" ht="22.5" customHeight="1">
      <c r="C7" s="211"/>
      <c r="D7" s="211"/>
      <c r="E7" s="211"/>
      <c r="F7" s="211"/>
      <c r="H7" s="211"/>
      <c r="I7" s="211"/>
      <c r="J7" s="211"/>
      <c r="K7" s="211"/>
      <c r="L7" s="211"/>
      <c r="N7" s="211"/>
      <c r="O7" s="211"/>
      <c r="P7" s="211"/>
      <c r="Q7" s="211"/>
      <c r="R7" s="211"/>
      <c r="S7" s="211"/>
    </row>
    <row r="8" spans="3:19" ht="28.5" customHeight="1"/>
    <row r="13" spans="3:19" hidden="1"/>
    <row r="15" spans="3:19" hidden="1"/>
    <row r="17" spans="4:13" ht="15.75">
      <c r="D17"/>
      <c r="G17" s="174"/>
    </row>
    <row r="18" spans="4:13" ht="15.75">
      <c r="D18"/>
      <c r="G18" s="174"/>
    </row>
    <row r="19" spans="4:13">
      <c r="D19"/>
    </row>
    <row r="22" spans="4:13" ht="11.25" customHeight="1"/>
    <row r="23" spans="4:13" hidden="1"/>
    <row r="24" spans="4:13" hidden="1">
      <c r="E24"/>
      <c r="F24"/>
    </row>
    <row r="25" spans="4:13">
      <c r="E25"/>
    </row>
    <row r="26" spans="4:13" ht="7.5" customHeight="1" thickBot="1">
      <c r="E26"/>
      <c r="K26" s="1"/>
      <c r="L26" s="1"/>
      <c r="M26" s="1"/>
    </row>
    <row r="27" spans="4:13" ht="22.5" customHeight="1" thickBot="1">
      <c r="E27"/>
      <c r="F27" s="185">
        <f ca="1">K27-1</f>
        <v>44886</v>
      </c>
      <c r="H27" s="202" t="s">
        <v>3</v>
      </c>
      <c r="I27" s="203"/>
      <c r="J27" s="204"/>
      <c r="K27" s="200">
        <f ca="1">TODAY()</f>
        <v>44887</v>
      </c>
      <c r="L27" s="201"/>
      <c r="M27" s="1"/>
    </row>
    <row r="28" spans="4:13" ht="15" thickBot="1">
      <c r="E28"/>
      <c r="H28"/>
      <c r="K28" s="1"/>
      <c r="L28" s="1"/>
      <c r="M28" s="1"/>
    </row>
    <row r="29" spans="4:13" ht="16.5" thickBot="1">
      <c r="E29"/>
      <c r="H29" s="186" t="s">
        <v>4</v>
      </c>
      <c r="I29" s="187"/>
      <c r="J29" s="188" t="e">
        <f ca="1">VLOOKUP($K$27,'Consommation mensuel énergie'!B10:X40,14,FALSE)</f>
        <v>#N/A</v>
      </c>
      <c r="K29" s="205" t="s">
        <v>5</v>
      </c>
      <c r="L29" s="206"/>
      <c r="M29" s="1"/>
    </row>
    <row r="30" spans="4:13" ht="16.5" thickBot="1">
      <c r="E30"/>
      <c r="H30"/>
      <c r="I30" s="175"/>
      <c r="J30" s="175"/>
      <c r="K30" s="177"/>
      <c r="L30" s="173"/>
      <c r="M30" s="1"/>
    </row>
    <row r="31" spans="4:13" ht="16.5" thickBot="1">
      <c r="E31"/>
      <c r="H31" s="186" t="s">
        <v>6</v>
      </c>
      <c r="I31" s="187"/>
      <c r="J31" s="188" t="e">
        <f ca="1">VLOOKUP(F27,'Consommation mensuel énergie'!B10:X40,21,FALSE)</f>
        <v>#N/A</v>
      </c>
      <c r="K31" s="205" t="s">
        <v>7</v>
      </c>
      <c r="L31" s="206"/>
      <c r="M31" s="1"/>
    </row>
    <row r="32" spans="4:13" ht="16.5" thickBot="1">
      <c r="E32"/>
      <c r="H32"/>
      <c r="I32" s="175"/>
      <c r="J32" s="175"/>
      <c r="K32" s="176"/>
      <c r="L32" s="173"/>
      <c r="M32" s="1"/>
    </row>
    <row r="33" spans="5:16" ht="16.5" thickBot="1">
      <c r="H33" s="186" t="s">
        <v>8</v>
      </c>
      <c r="I33" s="187"/>
      <c r="J33" s="189" t="e">
        <f ca="1">VLOOKUP($K$27,'Consommation mensuel énergie'!B10:X40,5,FALSE)</f>
        <v>#N/A</v>
      </c>
      <c r="K33" s="205" t="s">
        <v>9</v>
      </c>
      <c r="L33" s="206"/>
      <c r="M33" s="1"/>
    </row>
    <row r="34" spans="5:16" ht="15" thickBot="1"/>
    <row r="35" spans="5:16" ht="34.5" customHeight="1" thickBot="1">
      <c r="E35" s="212" t="s">
        <v>10</v>
      </c>
      <c r="F35" s="213"/>
      <c r="G35" s="182" t="s">
        <v>11</v>
      </c>
      <c r="H35" s="182" t="s">
        <v>12</v>
      </c>
      <c r="I35" s="182" t="s">
        <v>13</v>
      </c>
      <c r="J35" s="182" t="s">
        <v>14</v>
      </c>
      <c r="K35" s="182" t="s">
        <v>15</v>
      </c>
      <c r="L35" s="183" t="s">
        <v>16</v>
      </c>
      <c r="M35" s="198" t="s">
        <v>17</v>
      </c>
      <c r="N35" s="199"/>
    </row>
    <row r="36" spans="5:16" ht="31.5" customHeight="1">
      <c r="E36" s="214" t="s">
        <v>18</v>
      </c>
      <c r="F36" s="215"/>
      <c r="G36" s="178">
        <f>COUNTA(PRP!C2:C21)</f>
        <v>0</v>
      </c>
      <c r="H36" s="178">
        <f>COUNTA(PRP!F2:F47)</f>
        <v>0</v>
      </c>
      <c r="I36" s="178">
        <f>COUNTA(PRP!I2:I50)</f>
        <v>0</v>
      </c>
      <c r="J36" s="178">
        <f>COUNTA(PRP!L2:L50)</f>
        <v>0</v>
      </c>
      <c r="K36" s="178">
        <f>COUNTA(PRP!O2:O23)</f>
        <v>11</v>
      </c>
      <c r="L36" s="179">
        <f>COUNTA(PRP!O2:O23,PRP!L2:L50,PRP!I2:I50,PRP!F2:F47,PRP!C2:C21)</f>
        <v>11</v>
      </c>
      <c r="M36" s="207">
        <f>L36/186</f>
        <v>5.9139784946236562E-2</v>
      </c>
      <c r="N36" s="208"/>
    </row>
    <row r="37" spans="5:16" ht="30" customHeight="1" thickBot="1">
      <c r="E37" s="196" t="s">
        <v>19</v>
      </c>
      <c r="F37" s="197"/>
      <c r="G37" s="180">
        <f>COUNTA('Rain shower Heaad'!C2:C21)</f>
        <v>18</v>
      </c>
      <c r="H37" s="180">
        <f>COUNTA('Rain shower Heaad'!F2:F47)</f>
        <v>46</v>
      </c>
      <c r="I37" s="180">
        <f>COUNTA('Rain shower Heaad'!I2:I50)</f>
        <v>49</v>
      </c>
      <c r="J37" s="180">
        <f>COUNTA('Rain shower Heaad'!L2:L50)</f>
        <v>32</v>
      </c>
      <c r="K37" s="180">
        <f>COUNTA('Rain shower Heaad'!O2:O23)</f>
        <v>19</v>
      </c>
      <c r="L37" s="181">
        <f>COUNTA('Rain shower Heaad'!O2:O23,'Rain shower Heaad'!L2:L50,'Rain shower Heaad'!I2:I50,'Rain shower Heaad'!F2:F47,'Rain shower Heaad'!C2:C21)</f>
        <v>164</v>
      </c>
      <c r="M37" s="209">
        <f>L37/186</f>
        <v>0.88172043010752688</v>
      </c>
      <c r="N37" s="210"/>
    </row>
    <row r="45" spans="5:16">
      <c r="K45" s="1"/>
      <c r="L45" s="1"/>
      <c r="M45" s="1"/>
      <c r="N45" s="1"/>
      <c r="O45" s="1"/>
      <c r="P45" s="1"/>
    </row>
    <row r="60" spans="11:12">
      <c r="K60" s="1"/>
      <c r="L60" s="1"/>
    </row>
    <row r="61" spans="11:12">
      <c r="L61" s="1"/>
    </row>
    <row r="62" spans="11:12">
      <c r="L62" s="1"/>
    </row>
    <row r="63" spans="11:12">
      <c r="L63" s="1"/>
    </row>
    <row r="64" spans="11:12">
      <c r="L64" s="1"/>
    </row>
    <row r="65" spans="12:12">
      <c r="L65" s="1"/>
    </row>
    <row r="66" spans="12:12">
      <c r="L66" s="1"/>
    </row>
    <row r="67" spans="12:12">
      <c r="L67" s="1"/>
    </row>
    <row r="68" spans="12:12">
      <c r="L68" s="1"/>
    </row>
  </sheetData>
  <mergeCells count="14">
    <mergeCell ref="C6:F7"/>
    <mergeCell ref="H6:L7"/>
    <mergeCell ref="N6:S7"/>
    <mergeCell ref="E35:F35"/>
    <mergeCell ref="E36:F36"/>
    <mergeCell ref="E37:F37"/>
    <mergeCell ref="M35:N35"/>
    <mergeCell ref="K27:L27"/>
    <mergeCell ref="H27:J27"/>
    <mergeCell ref="K29:L29"/>
    <mergeCell ref="K31:L31"/>
    <mergeCell ref="K33:L33"/>
    <mergeCell ref="M36:N36"/>
    <mergeCell ref="M37:N37"/>
  </mergeCells>
  <conditionalFormatting sqref="I37">
    <cfRule type="cellIs" dxfId="53" priority="5" operator="equal">
      <formula>49</formula>
    </cfRule>
  </conditionalFormatting>
  <conditionalFormatting sqref="H37">
    <cfRule type="cellIs" dxfId="52" priority="4" operator="equal">
      <formula>46</formula>
    </cfRule>
  </conditionalFormatting>
  <conditionalFormatting sqref="J37">
    <cfRule type="cellIs" dxfId="51" priority="3" operator="equal">
      <formula>49</formula>
    </cfRule>
  </conditionalFormatting>
  <conditionalFormatting sqref="K37">
    <cfRule type="cellIs" dxfId="50" priority="2" operator="equal">
      <formula>22</formula>
    </cfRule>
  </conditionalFormatting>
  <conditionalFormatting sqref="G37">
    <cfRule type="cellIs" dxfId="49" priority="1" operator="equal">
      <formula>20</formula>
    </cfRule>
  </conditionalFormatting>
  <pageMargins left="0.11811023622047245" right="0.11811023622047245" top="1.5354330708661419" bottom="0" header="0" footer="0"/>
  <pageSetup paperSize="9" scale="73" orientation="landscape" r:id="rId1"/>
  <headerFooter>
    <oddHeader>&amp;L&amp;G&amp;C&amp;"Adobe Garamond Pro Bold,Regular"&amp;18
Suivi la consommation d'énergie</oddHead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50"/>
  <sheetViews>
    <sheetView showGridLines="0" view="pageLayout" topLeftCell="E13" zoomScaleNormal="100" workbookViewId="0">
      <selection activeCell="O21" sqref="O21"/>
    </sheetView>
  </sheetViews>
  <sheetFormatPr defaultRowHeight="14.25"/>
  <cols>
    <col min="1" max="1" width="15.25" style="1" customWidth="1"/>
    <col min="2" max="2" width="7.875" style="1" hidden="1" customWidth="1"/>
    <col min="3" max="3" width="20.125" style="1" customWidth="1"/>
    <col min="4" max="4" width="15.25" style="1" customWidth="1"/>
    <col min="5" max="5" width="0.125" style="1" customWidth="1"/>
    <col min="6" max="6" width="20.125" style="1" customWidth="1"/>
    <col min="7" max="7" width="15.25" customWidth="1"/>
    <col min="8" max="8" width="0" hidden="1" customWidth="1"/>
    <col min="9" max="9" width="20.125" customWidth="1"/>
    <col min="10" max="10" width="15.25" customWidth="1"/>
    <col min="11" max="11" width="0" hidden="1" customWidth="1"/>
    <col min="12" max="12" width="20.125" customWidth="1"/>
    <col min="13" max="13" width="15.25" customWidth="1"/>
    <col min="14" max="14" width="0" hidden="1" customWidth="1"/>
    <col min="15" max="15" width="20.125" style="66" customWidth="1"/>
  </cols>
  <sheetData>
    <row r="1" spans="1:15" ht="15" thickBot="1">
      <c r="A1" s="13" t="s">
        <v>20</v>
      </c>
      <c r="B1" s="14" t="s">
        <v>21</v>
      </c>
      <c r="C1" s="14" t="s">
        <v>22</v>
      </c>
      <c r="D1" s="13" t="s">
        <v>23</v>
      </c>
      <c r="E1" s="21" t="s">
        <v>24</v>
      </c>
      <c r="F1" s="14" t="s">
        <v>25</v>
      </c>
      <c r="G1" s="24" t="s">
        <v>26</v>
      </c>
      <c r="H1" s="14" t="s">
        <v>27</v>
      </c>
      <c r="I1" s="14" t="s">
        <v>28</v>
      </c>
      <c r="J1" s="14" t="s">
        <v>29</v>
      </c>
      <c r="K1" s="14" t="s">
        <v>30</v>
      </c>
      <c r="L1" s="14" t="s">
        <v>31</v>
      </c>
      <c r="M1" s="14" t="s">
        <v>32</v>
      </c>
      <c r="N1" s="14" t="s">
        <v>33</v>
      </c>
      <c r="O1" s="62" t="s">
        <v>34</v>
      </c>
    </row>
    <row r="2" spans="1:15">
      <c r="A2" s="7">
        <v>101</v>
      </c>
      <c r="B2" s="15"/>
      <c r="C2" s="19"/>
      <c r="D2" s="7">
        <v>201</v>
      </c>
      <c r="E2" s="15"/>
      <c r="F2" s="19"/>
      <c r="G2" s="7">
        <v>301</v>
      </c>
      <c r="H2" s="15"/>
      <c r="I2" s="16"/>
      <c r="J2" s="7">
        <v>401</v>
      </c>
      <c r="K2" s="15"/>
      <c r="L2" s="16"/>
      <c r="M2" s="7">
        <v>501</v>
      </c>
      <c r="N2" s="15"/>
      <c r="O2" s="63"/>
    </row>
    <row r="3" spans="1:15">
      <c r="A3" s="3">
        <v>102</v>
      </c>
      <c r="B3" s="2"/>
      <c r="C3" s="6"/>
      <c r="D3" s="3">
        <v>202</v>
      </c>
      <c r="E3" s="2"/>
      <c r="F3" s="6"/>
      <c r="G3" s="3">
        <v>302</v>
      </c>
      <c r="H3" s="2"/>
      <c r="I3" s="4"/>
      <c r="J3" s="3">
        <v>402</v>
      </c>
      <c r="K3" s="2"/>
      <c r="L3" s="4"/>
      <c r="M3" s="3">
        <v>502</v>
      </c>
      <c r="N3" s="2"/>
      <c r="O3" s="64">
        <v>44564</v>
      </c>
    </row>
    <row r="4" spans="1:15">
      <c r="A4" s="3">
        <v>104</v>
      </c>
      <c r="B4" s="2"/>
      <c r="C4" s="6"/>
      <c r="D4" s="3">
        <v>203</v>
      </c>
      <c r="E4" s="2"/>
      <c r="F4" s="6"/>
      <c r="G4" s="3">
        <v>303</v>
      </c>
      <c r="H4" s="2"/>
      <c r="I4" s="4"/>
      <c r="J4" s="3">
        <v>403</v>
      </c>
      <c r="K4" s="2"/>
      <c r="L4" s="4"/>
      <c r="M4" s="3">
        <v>504</v>
      </c>
      <c r="N4" s="2"/>
      <c r="O4" s="64">
        <v>44567</v>
      </c>
    </row>
    <row r="5" spans="1:15">
      <c r="A5" s="3">
        <v>106</v>
      </c>
      <c r="B5" s="2"/>
      <c r="C5" s="6"/>
      <c r="D5" s="3">
        <v>204</v>
      </c>
      <c r="E5" s="2"/>
      <c r="F5" s="6"/>
      <c r="G5" s="3">
        <v>304</v>
      </c>
      <c r="H5" s="2"/>
      <c r="I5" s="4"/>
      <c r="J5" s="3">
        <v>404</v>
      </c>
      <c r="K5" s="2"/>
      <c r="L5" s="4"/>
      <c r="M5" s="3">
        <v>505</v>
      </c>
      <c r="N5" s="2"/>
      <c r="O5" s="64">
        <v>44565</v>
      </c>
    </row>
    <row r="6" spans="1:15">
      <c r="A6" s="3">
        <v>108</v>
      </c>
      <c r="B6" s="2"/>
      <c r="C6" s="6"/>
      <c r="D6" s="3">
        <v>205</v>
      </c>
      <c r="E6" s="2"/>
      <c r="F6" s="6"/>
      <c r="G6" s="3">
        <v>305</v>
      </c>
      <c r="H6" s="2"/>
      <c r="I6" s="4"/>
      <c r="J6" s="3">
        <v>405</v>
      </c>
      <c r="K6" s="2"/>
      <c r="L6" s="4"/>
      <c r="M6" s="3">
        <v>506</v>
      </c>
      <c r="N6" s="2"/>
      <c r="O6" s="64">
        <v>44566</v>
      </c>
    </row>
    <row r="7" spans="1:15">
      <c r="A7" s="3">
        <v>110</v>
      </c>
      <c r="B7" s="2"/>
      <c r="C7" s="6"/>
      <c r="D7" s="3">
        <v>206</v>
      </c>
      <c r="E7" s="2"/>
      <c r="F7" s="6"/>
      <c r="G7" s="3">
        <v>306</v>
      </c>
      <c r="H7" s="2"/>
      <c r="I7" s="4"/>
      <c r="J7" s="3">
        <v>406</v>
      </c>
      <c r="K7" s="2"/>
      <c r="L7" s="4"/>
      <c r="M7" s="3">
        <v>507</v>
      </c>
      <c r="N7" s="2"/>
      <c r="O7" s="64">
        <v>44568</v>
      </c>
    </row>
    <row r="8" spans="1:15">
      <c r="A8" s="3">
        <v>112</v>
      </c>
      <c r="B8" s="2"/>
      <c r="C8" s="6"/>
      <c r="D8" s="3">
        <v>207</v>
      </c>
      <c r="E8" s="2"/>
      <c r="F8" s="6"/>
      <c r="G8" s="3">
        <v>307</v>
      </c>
      <c r="H8" s="2"/>
      <c r="I8" s="4"/>
      <c r="J8" s="3">
        <v>407</v>
      </c>
      <c r="K8" s="2"/>
      <c r="L8" s="4"/>
      <c r="M8" s="3">
        <v>508</v>
      </c>
      <c r="N8" s="2"/>
      <c r="O8" s="64">
        <v>44573</v>
      </c>
    </row>
    <row r="9" spans="1:15">
      <c r="A9" s="3">
        <v>114</v>
      </c>
      <c r="B9" s="2"/>
      <c r="C9" s="6"/>
      <c r="D9" s="3">
        <v>208</v>
      </c>
      <c r="E9" s="2"/>
      <c r="F9" s="6"/>
      <c r="G9" s="3">
        <v>308</v>
      </c>
      <c r="H9" s="2"/>
      <c r="I9" s="4"/>
      <c r="J9" s="3">
        <v>408</v>
      </c>
      <c r="K9" s="2"/>
      <c r="L9" s="4"/>
      <c r="M9" s="3">
        <v>509</v>
      </c>
      <c r="N9" s="2"/>
      <c r="O9" s="64">
        <v>44569</v>
      </c>
    </row>
    <row r="10" spans="1:15">
      <c r="A10" s="3">
        <v>116</v>
      </c>
      <c r="B10" s="2"/>
      <c r="C10" s="6"/>
      <c r="D10" s="3">
        <v>209</v>
      </c>
      <c r="E10" s="2"/>
      <c r="F10" s="6"/>
      <c r="G10" s="3">
        <v>309</v>
      </c>
      <c r="H10" s="2"/>
      <c r="I10" s="4"/>
      <c r="J10" s="3">
        <v>409</v>
      </c>
      <c r="K10" s="2"/>
      <c r="L10" s="4"/>
      <c r="M10" s="3">
        <v>510</v>
      </c>
      <c r="N10" s="2"/>
      <c r="O10" s="64">
        <v>44571</v>
      </c>
    </row>
    <row r="11" spans="1:15">
      <c r="A11" s="3">
        <v>118</v>
      </c>
      <c r="B11" s="2"/>
      <c r="C11" s="6"/>
      <c r="D11" s="3">
        <v>210</v>
      </c>
      <c r="E11" s="2"/>
      <c r="F11" s="6"/>
      <c r="G11" s="3">
        <v>310</v>
      </c>
      <c r="H11" s="2"/>
      <c r="I11" s="4"/>
      <c r="J11" s="3">
        <v>410</v>
      </c>
      <c r="K11" s="2"/>
      <c r="L11" s="4"/>
      <c r="M11" s="3">
        <v>511</v>
      </c>
      <c r="N11" s="2"/>
      <c r="O11" s="64"/>
    </row>
    <row r="12" spans="1:15">
      <c r="A12" s="3">
        <v>132</v>
      </c>
      <c r="B12" s="2"/>
      <c r="C12" s="6"/>
      <c r="D12" s="3">
        <v>211</v>
      </c>
      <c r="E12" s="2"/>
      <c r="F12" s="6"/>
      <c r="G12" s="3">
        <v>311</v>
      </c>
      <c r="H12" s="2"/>
      <c r="I12" s="4"/>
      <c r="J12" s="3">
        <v>411</v>
      </c>
      <c r="K12" s="2"/>
      <c r="L12" s="4"/>
      <c r="M12" s="3">
        <v>512</v>
      </c>
      <c r="N12" s="2"/>
      <c r="O12" s="64">
        <v>44572</v>
      </c>
    </row>
    <row r="13" spans="1:15">
      <c r="A13" s="3">
        <v>134</v>
      </c>
      <c r="B13" s="2"/>
      <c r="C13" s="6"/>
      <c r="D13" s="3">
        <v>212</v>
      </c>
      <c r="E13" s="2"/>
      <c r="F13" s="6"/>
      <c r="G13" s="3">
        <v>312</v>
      </c>
      <c r="H13" s="2"/>
      <c r="I13" s="4"/>
      <c r="J13" s="3">
        <v>412</v>
      </c>
      <c r="K13" s="2"/>
      <c r="L13" s="4"/>
      <c r="M13" s="3">
        <v>514</v>
      </c>
      <c r="N13" s="2"/>
      <c r="O13" s="64"/>
    </row>
    <row r="14" spans="1:15">
      <c r="A14" s="3">
        <v>138</v>
      </c>
      <c r="B14" s="2"/>
      <c r="C14" s="6"/>
      <c r="D14" s="3">
        <v>214</v>
      </c>
      <c r="E14" s="2"/>
      <c r="F14" s="6"/>
      <c r="G14" s="3">
        <v>314</v>
      </c>
      <c r="H14" s="2"/>
      <c r="I14" s="4"/>
      <c r="J14" s="3">
        <v>414</v>
      </c>
      <c r="K14" s="2"/>
      <c r="L14" s="4"/>
      <c r="M14" s="3">
        <v>515</v>
      </c>
      <c r="N14" s="2"/>
      <c r="O14" s="64">
        <v>44574</v>
      </c>
    </row>
    <row r="15" spans="1:15">
      <c r="A15" s="3">
        <v>146</v>
      </c>
      <c r="B15" s="2"/>
      <c r="C15" s="6"/>
      <c r="D15" s="3">
        <v>215</v>
      </c>
      <c r="E15" s="2"/>
      <c r="F15" s="22"/>
      <c r="G15" s="3">
        <v>315</v>
      </c>
      <c r="H15" s="2"/>
      <c r="I15" s="4"/>
      <c r="J15" s="3">
        <v>415</v>
      </c>
      <c r="K15" s="2"/>
      <c r="L15" s="4"/>
      <c r="M15" s="3">
        <v>516</v>
      </c>
      <c r="N15" s="2"/>
      <c r="O15" s="64">
        <v>44575</v>
      </c>
    </row>
    <row r="16" spans="1:15">
      <c r="A16" s="3">
        <v>148</v>
      </c>
      <c r="B16" s="2"/>
      <c r="C16" s="6"/>
      <c r="D16" s="3">
        <v>216</v>
      </c>
      <c r="E16" s="2"/>
      <c r="F16" s="6"/>
      <c r="G16" s="3">
        <v>316</v>
      </c>
      <c r="H16" s="2"/>
      <c r="I16" s="4"/>
      <c r="J16" s="3">
        <v>416</v>
      </c>
      <c r="K16" s="2"/>
      <c r="L16" s="4"/>
      <c r="M16" s="3">
        <v>518</v>
      </c>
      <c r="N16" s="2"/>
      <c r="O16" s="64"/>
    </row>
    <row r="17" spans="1:15">
      <c r="A17" s="3">
        <v>150</v>
      </c>
      <c r="B17" s="2"/>
      <c r="C17" s="6"/>
      <c r="D17" s="3">
        <v>217</v>
      </c>
      <c r="E17" s="2"/>
      <c r="F17" s="22"/>
      <c r="G17" s="3">
        <v>317</v>
      </c>
      <c r="H17" s="2"/>
      <c r="I17" s="4"/>
      <c r="J17" s="3">
        <v>417</v>
      </c>
      <c r="K17" s="2"/>
      <c r="L17" s="4"/>
      <c r="M17" s="3">
        <v>519</v>
      </c>
      <c r="N17" s="2"/>
      <c r="O17" s="64"/>
    </row>
    <row r="18" spans="1:15">
      <c r="A18" s="3">
        <v>152</v>
      </c>
      <c r="B18" s="2"/>
      <c r="C18" s="6"/>
      <c r="D18" s="3">
        <v>218</v>
      </c>
      <c r="E18" s="2"/>
      <c r="F18" s="6"/>
      <c r="G18" s="3">
        <v>318</v>
      </c>
      <c r="H18" s="2"/>
      <c r="I18" s="4"/>
      <c r="J18" s="3">
        <v>418</v>
      </c>
      <c r="K18" s="2"/>
      <c r="L18" s="4"/>
      <c r="M18" s="3">
        <v>521</v>
      </c>
      <c r="N18" s="2"/>
      <c r="O18" s="64"/>
    </row>
    <row r="19" spans="1:15">
      <c r="A19" s="3">
        <v>154</v>
      </c>
      <c r="B19" s="2"/>
      <c r="C19" s="6"/>
      <c r="D19" s="3">
        <v>219</v>
      </c>
      <c r="E19" s="2"/>
      <c r="F19" s="6"/>
      <c r="G19" s="3">
        <v>319</v>
      </c>
      <c r="H19" s="2"/>
      <c r="I19" s="4"/>
      <c r="J19" s="3">
        <v>419</v>
      </c>
      <c r="K19" s="2"/>
      <c r="L19" s="4"/>
      <c r="M19" s="3">
        <v>523</v>
      </c>
      <c r="N19" s="2"/>
      <c r="O19" s="64"/>
    </row>
    <row r="20" spans="1:15">
      <c r="A20" s="3">
        <v>156</v>
      </c>
      <c r="B20" s="2"/>
      <c r="C20" s="6"/>
      <c r="D20" s="3">
        <v>221</v>
      </c>
      <c r="E20" s="2"/>
      <c r="F20" s="6"/>
      <c r="G20" s="3">
        <v>321</v>
      </c>
      <c r="H20" s="2"/>
      <c r="I20" s="4"/>
      <c r="J20" s="3">
        <v>421</v>
      </c>
      <c r="K20" s="2"/>
      <c r="L20" s="4"/>
      <c r="M20" s="3">
        <v>525</v>
      </c>
      <c r="N20" s="2"/>
      <c r="O20" s="64"/>
    </row>
    <row r="21" spans="1:15" ht="15" thickBot="1">
      <c r="A21" s="5">
        <v>158</v>
      </c>
      <c r="B21" s="17"/>
      <c r="C21" s="20"/>
      <c r="D21" s="3">
        <v>223</v>
      </c>
      <c r="E21" s="2"/>
      <c r="F21" s="6"/>
      <c r="G21" s="3">
        <v>323</v>
      </c>
      <c r="H21" s="2"/>
      <c r="I21" s="4"/>
      <c r="J21" s="3">
        <v>423</v>
      </c>
      <c r="K21" s="2"/>
      <c r="L21" s="4"/>
      <c r="M21" s="3">
        <v>527</v>
      </c>
      <c r="N21" s="2"/>
      <c r="O21" s="64"/>
    </row>
    <row r="22" spans="1:15">
      <c r="D22" s="3">
        <v>225</v>
      </c>
      <c r="E22" s="2"/>
      <c r="F22" s="6"/>
      <c r="G22" s="3">
        <v>325</v>
      </c>
      <c r="H22" s="2"/>
      <c r="I22" s="4"/>
      <c r="J22" s="3">
        <v>425</v>
      </c>
      <c r="K22" s="2"/>
      <c r="L22" s="4"/>
      <c r="M22" s="3">
        <v>529</v>
      </c>
      <c r="N22" s="2"/>
      <c r="O22" s="64"/>
    </row>
    <row r="23" spans="1:15" ht="15" thickBot="1">
      <c r="D23" s="3">
        <v>227</v>
      </c>
      <c r="E23" s="2"/>
      <c r="F23" s="6"/>
      <c r="G23" s="3">
        <v>327</v>
      </c>
      <c r="H23" s="2"/>
      <c r="I23" s="4"/>
      <c r="J23" s="3">
        <v>427</v>
      </c>
      <c r="K23" s="2"/>
      <c r="L23" s="4"/>
      <c r="M23" s="5">
        <v>531</v>
      </c>
      <c r="N23" s="17"/>
      <c r="O23" s="65"/>
    </row>
    <row r="24" spans="1:15">
      <c r="D24" s="3">
        <v>229</v>
      </c>
      <c r="E24" s="2"/>
      <c r="F24" s="6"/>
      <c r="G24" s="3">
        <v>329</v>
      </c>
      <c r="H24" s="2"/>
      <c r="I24" s="4"/>
      <c r="J24" s="3">
        <v>429</v>
      </c>
      <c r="K24" s="2"/>
      <c r="L24" s="4"/>
      <c r="M24" s="1"/>
      <c r="N24" s="1"/>
      <c r="O24" s="59"/>
    </row>
    <row r="25" spans="1:15">
      <c r="D25" s="3">
        <v>231</v>
      </c>
      <c r="E25" s="2"/>
      <c r="F25" s="6"/>
      <c r="G25" s="3">
        <v>331</v>
      </c>
      <c r="H25" s="2"/>
      <c r="I25" s="4"/>
      <c r="J25" s="3">
        <v>431</v>
      </c>
      <c r="K25" s="2"/>
      <c r="L25" s="4"/>
      <c r="M25" s="1"/>
      <c r="N25" s="1"/>
      <c r="O25" s="59"/>
    </row>
    <row r="26" spans="1:15">
      <c r="D26" s="3">
        <v>232</v>
      </c>
      <c r="E26" s="2"/>
      <c r="F26" s="6"/>
      <c r="G26" s="3">
        <v>332</v>
      </c>
      <c r="H26" s="2"/>
      <c r="I26" s="4"/>
      <c r="J26" s="3">
        <v>432</v>
      </c>
      <c r="K26" s="2"/>
      <c r="L26" s="4"/>
      <c r="M26" s="1"/>
      <c r="N26" s="1"/>
      <c r="O26" s="59"/>
    </row>
    <row r="27" spans="1:15">
      <c r="D27" s="3">
        <v>234</v>
      </c>
      <c r="E27" s="2"/>
      <c r="F27" s="6"/>
      <c r="G27" s="3">
        <v>334</v>
      </c>
      <c r="H27" s="2"/>
      <c r="I27" s="4"/>
      <c r="J27" s="3">
        <v>434</v>
      </c>
      <c r="K27" s="2"/>
      <c r="L27" s="4"/>
      <c r="M27" s="1"/>
      <c r="N27" s="1"/>
      <c r="O27" s="59"/>
    </row>
    <row r="28" spans="1:15">
      <c r="D28" s="3">
        <v>238</v>
      </c>
      <c r="E28" s="2"/>
      <c r="F28" s="6"/>
      <c r="G28" s="3">
        <v>336</v>
      </c>
      <c r="H28" s="2"/>
      <c r="I28" s="4"/>
      <c r="J28" s="3">
        <v>436</v>
      </c>
      <c r="K28" s="2"/>
      <c r="L28" s="4"/>
      <c r="M28" s="1"/>
      <c r="N28" s="1"/>
      <c r="O28" s="59"/>
    </row>
    <row r="29" spans="1:15">
      <c r="D29" s="3">
        <v>243</v>
      </c>
      <c r="E29" s="2"/>
      <c r="F29" s="6"/>
      <c r="G29" s="3">
        <v>338</v>
      </c>
      <c r="H29" s="2"/>
      <c r="I29" s="4"/>
      <c r="J29" s="3">
        <v>438</v>
      </c>
      <c r="K29" s="2"/>
      <c r="L29" s="4"/>
      <c r="M29" s="1"/>
      <c r="N29" s="1"/>
      <c r="O29" s="59"/>
    </row>
    <row r="30" spans="1:15">
      <c r="B30" s="8"/>
      <c r="D30" s="3">
        <v>244</v>
      </c>
      <c r="E30" s="2"/>
      <c r="F30" s="6"/>
      <c r="G30" s="3">
        <v>339</v>
      </c>
      <c r="H30" s="2"/>
      <c r="I30" s="4"/>
      <c r="J30" s="3">
        <v>439</v>
      </c>
      <c r="K30" s="2"/>
      <c r="L30" s="4"/>
      <c r="M30" s="1"/>
      <c r="N30" s="1"/>
      <c r="O30" s="59"/>
    </row>
    <row r="31" spans="1:15" ht="15" thickBot="1">
      <c r="D31" s="3">
        <v>245</v>
      </c>
      <c r="E31" s="2"/>
      <c r="F31" s="22"/>
      <c r="G31" s="3">
        <v>341</v>
      </c>
      <c r="H31" s="2"/>
      <c r="I31" s="4"/>
      <c r="J31" s="3">
        <v>441</v>
      </c>
      <c r="K31" s="2"/>
      <c r="L31" s="4"/>
      <c r="M31" s="1"/>
      <c r="N31" s="1"/>
      <c r="O31" s="59"/>
    </row>
    <row r="32" spans="1:15">
      <c r="B32" s="9"/>
      <c r="D32" s="3">
        <v>246</v>
      </c>
      <c r="E32" s="2"/>
      <c r="F32" s="22"/>
      <c r="G32" s="3">
        <v>343</v>
      </c>
      <c r="H32" s="2"/>
      <c r="I32" s="4"/>
      <c r="J32" s="3">
        <v>443</v>
      </c>
      <c r="K32" s="2"/>
      <c r="L32" s="4"/>
      <c r="M32" s="1"/>
      <c r="N32" s="1"/>
      <c r="O32" s="59"/>
    </row>
    <row r="33" spans="2:15">
      <c r="B33" s="10"/>
      <c r="D33" s="3">
        <v>247</v>
      </c>
      <c r="E33" s="2"/>
      <c r="F33" s="22"/>
      <c r="G33" s="3">
        <v>344</v>
      </c>
      <c r="H33" s="2"/>
      <c r="I33" s="4"/>
      <c r="J33" s="3">
        <v>444</v>
      </c>
      <c r="K33" s="2"/>
      <c r="L33" s="4"/>
      <c r="M33" s="1"/>
      <c r="N33" s="1"/>
      <c r="O33" s="59"/>
    </row>
    <row r="34" spans="2:15">
      <c r="B34" s="11"/>
      <c r="D34" s="3">
        <v>248</v>
      </c>
      <c r="E34" s="2"/>
      <c r="F34" s="22"/>
      <c r="G34" s="3">
        <v>345</v>
      </c>
      <c r="H34" s="2"/>
      <c r="I34" s="4"/>
      <c r="J34" s="3">
        <v>445</v>
      </c>
      <c r="K34" s="2"/>
      <c r="L34" s="4"/>
      <c r="M34" s="1"/>
      <c r="N34" s="1"/>
      <c r="O34" s="59"/>
    </row>
    <row r="35" spans="2:15">
      <c r="B35" s="10"/>
      <c r="D35" s="3">
        <v>249</v>
      </c>
      <c r="E35" s="2"/>
      <c r="F35" s="22"/>
      <c r="G35" s="3">
        <v>346</v>
      </c>
      <c r="H35" s="2"/>
      <c r="I35" s="4"/>
      <c r="J35" s="3">
        <v>446</v>
      </c>
      <c r="K35" s="2"/>
      <c r="L35" s="4"/>
      <c r="M35" s="1"/>
      <c r="N35" s="1"/>
      <c r="O35" s="59"/>
    </row>
    <row r="36" spans="2:15">
      <c r="B36" s="11"/>
      <c r="D36" s="3">
        <v>250</v>
      </c>
      <c r="E36" s="2"/>
      <c r="F36" s="22"/>
      <c r="G36" s="3">
        <v>347</v>
      </c>
      <c r="H36" s="2"/>
      <c r="I36" s="4"/>
      <c r="J36" s="3">
        <v>447</v>
      </c>
      <c r="K36" s="2"/>
      <c r="L36" s="4"/>
      <c r="M36" s="1"/>
      <c r="N36" s="1"/>
      <c r="O36" s="59"/>
    </row>
    <row r="37" spans="2:15">
      <c r="B37" s="10"/>
      <c r="D37" s="3">
        <v>251</v>
      </c>
      <c r="E37" s="2"/>
      <c r="F37" s="6"/>
      <c r="G37" s="3">
        <v>348</v>
      </c>
      <c r="H37" s="2"/>
      <c r="I37" s="4"/>
      <c r="J37" s="3">
        <v>448</v>
      </c>
      <c r="K37" s="2"/>
      <c r="L37" s="4"/>
      <c r="M37" s="1"/>
      <c r="N37" s="1"/>
      <c r="O37" s="59"/>
    </row>
    <row r="38" spans="2:15">
      <c r="B38" s="11"/>
      <c r="D38" s="3">
        <v>252</v>
      </c>
      <c r="E38" s="2"/>
      <c r="F38" s="22"/>
      <c r="G38" s="3">
        <v>349</v>
      </c>
      <c r="H38" s="2"/>
      <c r="I38" s="4"/>
      <c r="J38" s="3">
        <v>449</v>
      </c>
      <c r="K38" s="2"/>
      <c r="L38" s="4"/>
      <c r="M38" s="1"/>
      <c r="N38" s="1"/>
      <c r="O38" s="59"/>
    </row>
    <row r="39" spans="2:15">
      <c r="B39" s="10"/>
      <c r="D39" s="3">
        <v>253</v>
      </c>
      <c r="E39" s="2"/>
      <c r="F39" s="6"/>
      <c r="G39" s="3">
        <v>350</v>
      </c>
      <c r="H39" s="2"/>
      <c r="I39" s="4"/>
      <c r="J39" s="3">
        <v>450</v>
      </c>
      <c r="K39" s="2"/>
      <c r="L39" s="4"/>
      <c r="M39" s="1"/>
      <c r="N39" s="1"/>
      <c r="O39" s="59"/>
    </row>
    <row r="40" spans="2:15" ht="15" thickBot="1">
      <c r="B40" s="12"/>
      <c r="D40" s="3">
        <v>254</v>
      </c>
      <c r="E40" s="2"/>
      <c r="F40" s="22"/>
      <c r="G40" s="3">
        <v>351</v>
      </c>
      <c r="H40" s="2"/>
      <c r="I40" s="4"/>
      <c r="J40" s="3">
        <v>451</v>
      </c>
      <c r="K40" s="2"/>
      <c r="L40" s="4"/>
      <c r="M40" s="1"/>
      <c r="N40" s="1"/>
      <c r="O40" s="59"/>
    </row>
    <row r="41" spans="2:15">
      <c r="D41" s="3">
        <v>255</v>
      </c>
      <c r="E41" s="2"/>
      <c r="F41" s="22"/>
      <c r="G41" s="3">
        <v>352</v>
      </c>
      <c r="H41" s="2"/>
      <c r="I41" s="4"/>
      <c r="J41" s="3">
        <v>452</v>
      </c>
      <c r="K41" s="2"/>
      <c r="L41" s="4"/>
      <c r="M41" s="1"/>
      <c r="N41" s="1"/>
      <c r="O41" s="59"/>
    </row>
    <row r="42" spans="2:15">
      <c r="D42" s="3">
        <v>256</v>
      </c>
      <c r="E42" s="2"/>
      <c r="F42" s="6"/>
      <c r="G42" s="3">
        <v>353</v>
      </c>
      <c r="H42" s="2"/>
      <c r="I42" s="4"/>
      <c r="J42" s="3">
        <v>453</v>
      </c>
      <c r="K42" s="2"/>
      <c r="L42" s="4"/>
      <c r="M42" s="1"/>
      <c r="N42" s="1"/>
      <c r="O42" s="59"/>
    </row>
    <row r="43" spans="2:15">
      <c r="D43" s="3">
        <v>257</v>
      </c>
      <c r="E43" s="2"/>
      <c r="F43" s="22"/>
      <c r="G43" s="3">
        <v>354</v>
      </c>
      <c r="H43" s="2"/>
      <c r="I43" s="4"/>
      <c r="J43" s="3">
        <v>454</v>
      </c>
      <c r="K43" s="2"/>
      <c r="L43" s="4"/>
      <c r="M43" s="1"/>
      <c r="N43" s="1"/>
      <c r="O43" s="59"/>
    </row>
    <row r="44" spans="2:15">
      <c r="D44" s="3">
        <v>258</v>
      </c>
      <c r="E44" s="2"/>
      <c r="F44" s="6"/>
      <c r="G44" s="3">
        <v>355</v>
      </c>
      <c r="H44" s="2"/>
      <c r="I44" s="4"/>
      <c r="J44" s="3">
        <v>455</v>
      </c>
      <c r="K44" s="2"/>
      <c r="L44" s="4"/>
      <c r="M44" s="1"/>
      <c r="N44" s="1"/>
      <c r="O44" s="59"/>
    </row>
    <row r="45" spans="2:15">
      <c r="D45" s="3">
        <v>259</v>
      </c>
      <c r="E45" s="2"/>
      <c r="F45" s="22"/>
      <c r="G45" s="3">
        <v>356</v>
      </c>
      <c r="H45" s="2"/>
      <c r="I45" s="4"/>
      <c r="J45" s="3">
        <v>456</v>
      </c>
      <c r="K45" s="2"/>
      <c r="L45" s="4"/>
      <c r="M45" s="1"/>
      <c r="N45" s="1"/>
      <c r="O45" s="59"/>
    </row>
    <row r="46" spans="2:15" ht="16.5" customHeight="1">
      <c r="D46" s="3">
        <v>260</v>
      </c>
      <c r="E46" s="2"/>
      <c r="F46" s="6"/>
      <c r="G46" s="3">
        <v>357</v>
      </c>
      <c r="H46" s="2"/>
      <c r="I46" s="4"/>
      <c r="J46" s="3">
        <v>457</v>
      </c>
      <c r="K46" s="2"/>
      <c r="L46" s="4"/>
      <c r="M46" s="1"/>
      <c r="N46" s="1"/>
      <c r="O46" s="59"/>
    </row>
    <row r="47" spans="2:15" ht="15" thickBot="1">
      <c r="D47" s="5">
        <v>261</v>
      </c>
      <c r="E47" s="17"/>
      <c r="F47" s="23"/>
      <c r="G47" s="3">
        <v>358</v>
      </c>
      <c r="H47" s="2"/>
      <c r="I47" s="4"/>
      <c r="J47" s="3">
        <v>458</v>
      </c>
      <c r="K47" s="2"/>
      <c r="L47" s="4"/>
      <c r="M47" s="1"/>
      <c r="N47" s="1"/>
      <c r="O47" s="59"/>
    </row>
    <row r="48" spans="2:15">
      <c r="G48" s="3">
        <v>359</v>
      </c>
      <c r="H48" s="2"/>
      <c r="I48" s="4"/>
      <c r="J48" s="3">
        <v>459</v>
      </c>
      <c r="K48" s="2"/>
      <c r="L48" s="4"/>
      <c r="M48" s="1"/>
      <c r="N48" s="1"/>
      <c r="O48" s="59"/>
    </row>
    <row r="49" spans="7:15">
      <c r="G49" s="3">
        <v>360</v>
      </c>
      <c r="H49" s="2"/>
      <c r="I49" s="4"/>
      <c r="J49" s="3">
        <v>460</v>
      </c>
      <c r="K49" s="2"/>
      <c r="L49" s="4"/>
      <c r="M49" s="1"/>
      <c r="N49" s="1"/>
      <c r="O49" s="59"/>
    </row>
    <row r="50" spans="7:15" ht="15" thickBot="1">
      <c r="G50" s="5">
        <v>361</v>
      </c>
      <c r="H50" s="17"/>
      <c r="I50" s="18"/>
      <c r="J50" s="5">
        <v>461</v>
      </c>
      <c r="K50" s="17"/>
      <c r="L50" s="18"/>
      <c r="M50" s="1"/>
      <c r="N50" s="1"/>
      <c r="O50" s="59"/>
    </row>
  </sheetData>
  <pageMargins left="0.15748031496062992" right="0" top="0.9055118110236221" bottom="0" header="0" footer="0.31496062992125984"/>
  <pageSetup paperSize="9" scale="75" orientation="landscape" r:id="rId1"/>
  <headerFooter>
    <oddHeader>&amp;L&amp;G&amp;C&amp;"Andalus,Bold"&amp;20Suivi PRP 2022&amp;R&amp;G    .</oddHeader>
  </headerFooter>
  <legacyDrawingHF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O50"/>
  <sheetViews>
    <sheetView showGridLines="0" view="pageLayout" zoomScale="80" zoomScaleNormal="100" zoomScalePageLayoutView="80" workbookViewId="0">
      <selection activeCell="F13" sqref="F13"/>
    </sheetView>
  </sheetViews>
  <sheetFormatPr defaultRowHeight="14.25"/>
  <cols>
    <col min="1" max="1" width="15.25" style="1" customWidth="1"/>
    <col min="2" max="2" width="7.875" style="1" hidden="1" customWidth="1"/>
    <col min="3" max="3" width="20.125" style="1" customWidth="1"/>
    <col min="4" max="4" width="15.25" style="1" customWidth="1"/>
    <col min="5" max="5" width="0.125" style="1" customWidth="1"/>
    <col min="6" max="6" width="20.125" style="59" customWidth="1"/>
    <col min="7" max="7" width="15.25" customWidth="1"/>
    <col min="8" max="8" width="0" hidden="1" customWidth="1"/>
    <col min="9" max="9" width="20.125" style="39" customWidth="1"/>
    <col min="10" max="10" width="15.25" customWidth="1"/>
    <col min="11" max="11" width="0" hidden="1" customWidth="1"/>
    <col min="12" max="12" width="20.125" style="39" customWidth="1"/>
    <col min="13" max="13" width="15.25" customWidth="1"/>
    <col min="14" max="14" width="0" hidden="1" customWidth="1"/>
    <col min="15" max="15" width="20.125" style="39" customWidth="1"/>
  </cols>
  <sheetData>
    <row r="1" spans="1:15" ht="15" thickBot="1">
      <c r="A1" s="13" t="s">
        <v>20</v>
      </c>
      <c r="B1" s="14" t="s">
        <v>21</v>
      </c>
      <c r="C1" s="14" t="s">
        <v>22</v>
      </c>
      <c r="D1" s="13" t="s">
        <v>23</v>
      </c>
      <c r="E1" s="21" t="s">
        <v>24</v>
      </c>
      <c r="F1" s="58" t="s">
        <v>25</v>
      </c>
      <c r="G1" s="24" t="s">
        <v>26</v>
      </c>
      <c r="H1" s="14" t="s">
        <v>27</v>
      </c>
      <c r="I1" s="38" t="s">
        <v>28</v>
      </c>
      <c r="J1" s="14" t="s">
        <v>29</v>
      </c>
      <c r="K1" s="14" t="s">
        <v>30</v>
      </c>
      <c r="L1" s="38" t="s">
        <v>31</v>
      </c>
      <c r="M1" s="14" t="s">
        <v>32</v>
      </c>
      <c r="N1" s="14" t="s">
        <v>33</v>
      </c>
      <c r="O1" s="40" t="s">
        <v>34</v>
      </c>
    </row>
    <row r="2" spans="1:15">
      <c r="A2" s="7">
        <v>101</v>
      </c>
      <c r="B2" s="19"/>
      <c r="C2" s="192"/>
      <c r="D2" s="190">
        <v>201</v>
      </c>
      <c r="E2" s="19"/>
      <c r="F2" s="60">
        <v>44578</v>
      </c>
      <c r="G2" s="52">
        <v>301</v>
      </c>
      <c r="H2" s="49"/>
      <c r="I2" s="55">
        <v>44576</v>
      </c>
      <c r="J2" s="52">
        <v>401</v>
      </c>
      <c r="K2" s="29"/>
      <c r="L2" s="45">
        <v>44571</v>
      </c>
      <c r="M2" s="33">
        <v>501</v>
      </c>
      <c r="N2" s="34"/>
      <c r="O2" s="41"/>
    </row>
    <row r="3" spans="1:15">
      <c r="A3" s="3">
        <v>102</v>
      </c>
      <c r="B3" s="6"/>
      <c r="C3" s="193">
        <v>44583</v>
      </c>
      <c r="D3" s="191">
        <v>202</v>
      </c>
      <c r="E3" s="6"/>
      <c r="F3" s="61">
        <v>44578</v>
      </c>
      <c r="G3" s="53">
        <v>302</v>
      </c>
      <c r="H3" s="50"/>
      <c r="I3" s="56">
        <v>44576</v>
      </c>
      <c r="J3" s="53">
        <v>402</v>
      </c>
      <c r="K3" s="28"/>
      <c r="L3" s="46">
        <v>44571</v>
      </c>
      <c r="M3" s="35">
        <v>502</v>
      </c>
      <c r="N3" s="2"/>
      <c r="O3" s="42">
        <v>44566</v>
      </c>
    </row>
    <row r="4" spans="1:15">
      <c r="A4" s="3">
        <v>104</v>
      </c>
      <c r="B4" s="6"/>
      <c r="C4" s="193">
        <v>44583</v>
      </c>
      <c r="D4" s="191">
        <v>203</v>
      </c>
      <c r="E4" s="6"/>
      <c r="F4" s="61">
        <v>44578</v>
      </c>
      <c r="G4" s="53">
        <v>303</v>
      </c>
      <c r="H4" s="50"/>
      <c r="I4" s="56">
        <v>44576</v>
      </c>
      <c r="J4" s="53">
        <v>403</v>
      </c>
      <c r="K4" s="28"/>
      <c r="L4" s="46">
        <v>44568</v>
      </c>
      <c r="M4" s="35">
        <v>504</v>
      </c>
      <c r="N4" s="2"/>
      <c r="O4" s="42">
        <v>44570</v>
      </c>
    </row>
    <row r="5" spans="1:15">
      <c r="A5" s="3">
        <v>106</v>
      </c>
      <c r="B5" s="6"/>
      <c r="C5" s="193">
        <v>44583</v>
      </c>
      <c r="D5" s="191">
        <v>204</v>
      </c>
      <c r="E5" s="6"/>
      <c r="F5" s="61">
        <v>44578</v>
      </c>
      <c r="G5" s="53">
        <v>304</v>
      </c>
      <c r="H5" s="50"/>
      <c r="I5" s="56">
        <v>44576</v>
      </c>
      <c r="J5" s="53">
        <v>404</v>
      </c>
      <c r="K5" s="28"/>
      <c r="L5" s="46">
        <v>44568</v>
      </c>
      <c r="M5" s="35">
        <v>505</v>
      </c>
      <c r="N5" s="2"/>
      <c r="O5" s="42">
        <v>44566</v>
      </c>
    </row>
    <row r="6" spans="1:15">
      <c r="A6" s="3">
        <v>108</v>
      </c>
      <c r="B6" s="6"/>
      <c r="C6" s="193">
        <v>44583</v>
      </c>
      <c r="D6" s="191">
        <v>205</v>
      </c>
      <c r="E6" s="6"/>
      <c r="F6" s="61">
        <v>44578</v>
      </c>
      <c r="G6" s="53">
        <v>305</v>
      </c>
      <c r="H6" s="50"/>
      <c r="I6" s="56">
        <v>44576</v>
      </c>
      <c r="J6" s="53">
        <v>405</v>
      </c>
      <c r="K6" s="28"/>
      <c r="L6" s="46">
        <v>44568</v>
      </c>
      <c r="M6" s="35">
        <v>506</v>
      </c>
      <c r="N6" s="2"/>
      <c r="O6" s="42">
        <v>44566</v>
      </c>
    </row>
    <row r="7" spans="1:15">
      <c r="A7" s="3">
        <v>110</v>
      </c>
      <c r="B7" s="6"/>
      <c r="C7" s="193">
        <v>44583</v>
      </c>
      <c r="D7" s="191">
        <v>206</v>
      </c>
      <c r="E7" s="6"/>
      <c r="F7" s="61">
        <v>44578</v>
      </c>
      <c r="G7" s="53">
        <v>306</v>
      </c>
      <c r="H7" s="50"/>
      <c r="I7" s="56">
        <v>44576</v>
      </c>
      <c r="J7" s="53">
        <v>406</v>
      </c>
      <c r="K7" s="28"/>
      <c r="L7" s="46">
        <v>44569</v>
      </c>
      <c r="M7" s="35">
        <v>507</v>
      </c>
      <c r="N7" s="2"/>
      <c r="O7" s="42">
        <v>44566</v>
      </c>
    </row>
    <row r="8" spans="1:15">
      <c r="A8" s="3">
        <v>112</v>
      </c>
      <c r="B8" s="6"/>
      <c r="C8" s="193">
        <v>44583</v>
      </c>
      <c r="D8" s="191">
        <v>207</v>
      </c>
      <c r="E8" s="6"/>
      <c r="F8" s="61">
        <v>44578</v>
      </c>
      <c r="G8" s="53">
        <v>307</v>
      </c>
      <c r="H8" s="50"/>
      <c r="I8" s="56">
        <v>44576</v>
      </c>
      <c r="J8" s="53">
        <v>407</v>
      </c>
      <c r="K8" s="28"/>
      <c r="L8" s="46">
        <v>44568</v>
      </c>
      <c r="M8" s="35">
        <v>508</v>
      </c>
      <c r="N8" s="2"/>
      <c r="O8" s="42">
        <v>44566</v>
      </c>
    </row>
    <row r="9" spans="1:15">
      <c r="A9" s="3">
        <v>114</v>
      </c>
      <c r="B9" s="6"/>
      <c r="C9" s="193">
        <v>44583</v>
      </c>
      <c r="D9" s="191">
        <v>208</v>
      </c>
      <c r="E9" s="6"/>
      <c r="F9" s="61">
        <v>44578</v>
      </c>
      <c r="G9" s="53">
        <v>308</v>
      </c>
      <c r="H9" s="50"/>
      <c r="I9" s="56">
        <v>44576</v>
      </c>
      <c r="J9" s="53">
        <v>408</v>
      </c>
      <c r="K9" s="28"/>
      <c r="L9" s="46">
        <v>44568</v>
      </c>
      <c r="M9" s="35">
        <v>509</v>
      </c>
      <c r="N9" s="2"/>
      <c r="O9" s="42">
        <v>44566</v>
      </c>
    </row>
    <row r="10" spans="1:15">
      <c r="A10" s="3">
        <v>116</v>
      </c>
      <c r="B10" s="6"/>
      <c r="C10" s="193">
        <v>44583</v>
      </c>
      <c r="D10" s="191">
        <v>209</v>
      </c>
      <c r="E10" s="6"/>
      <c r="F10" s="61">
        <v>44580</v>
      </c>
      <c r="G10" s="53">
        <v>309</v>
      </c>
      <c r="H10" s="50"/>
      <c r="I10" s="56">
        <v>44576</v>
      </c>
      <c r="J10" s="53">
        <v>409</v>
      </c>
      <c r="K10" s="28"/>
      <c r="L10" s="46">
        <v>44569</v>
      </c>
      <c r="M10" s="35">
        <v>510</v>
      </c>
      <c r="N10" s="2"/>
      <c r="O10" s="42">
        <v>44570</v>
      </c>
    </row>
    <row r="11" spans="1:15">
      <c r="A11" s="3">
        <v>118</v>
      </c>
      <c r="B11" s="6"/>
      <c r="C11" s="193">
        <v>44583</v>
      </c>
      <c r="D11" s="191">
        <v>210</v>
      </c>
      <c r="E11" s="6"/>
      <c r="F11" s="61">
        <v>44580</v>
      </c>
      <c r="G11" s="53">
        <v>310</v>
      </c>
      <c r="H11" s="50"/>
      <c r="I11" s="56">
        <v>44575</v>
      </c>
      <c r="J11" s="53">
        <v>410</v>
      </c>
      <c r="K11" s="28"/>
      <c r="L11" s="46">
        <v>44569</v>
      </c>
      <c r="M11" s="35">
        <v>511</v>
      </c>
      <c r="N11" s="2"/>
      <c r="O11" s="42">
        <v>44566</v>
      </c>
    </row>
    <row r="12" spans="1:15">
      <c r="A12" s="3">
        <v>132</v>
      </c>
      <c r="B12" s="6"/>
      <c r="C12" s="193">
        <v>44583</v>
      </c>
      <c r="D12" s="191">
        <v>211</v>
      </c>
      <c r="E12" s="6"/>
      <c r="F12" s="61">
        <v>44580</v>
      </c>
      <c r="G12" s="53">
        <v>311</v>
      </c>
      <c r="H12" s="50"/>
      <c r="I12" s="56">
        <v>44575</v>
      </c>
      <c r="J12" s="53">
        <v>411</v>
      </c>
      <c r="K12" s="28"/>
      <c r="L12" s="46">
        <v>44569</v>
      </c>
      <c r="M12" s="35">
        <v>512</v>
      </c>
      <c r="N12" s="2"/>
      <c r="O12" s="42">
        <v>44570</v>
      </c>
    </row>
    <row r="13" spans="1:15">
      <c r="A13" s="3">
        <v>134</v>
      </c>
      <c r="B13" s="6"/>
      <c r="C13" s="194"/>
      <c r="D13" s="191">
        <v>212</v>
      </c>
      <c r="E13" s="6"/>
      <c r="F13" s="61">
        <v>44580</v>
      </c>
      <c r="G13" s="53">
        <v>312</v>
      </c>
      <c r="H13" s="50"/>
      <c r="I13" s="56">
        <v>44575</v>
      </c>
      <c r="J13" s="53">
        <v>412</v>
      </c>
      <c r="K13" s="28"/>
      <c r="L13" s="46"/>
      <c r="M13" s="35">
        <v>514</v>
      </c>
      <c r="N13" s="2"/>
      <c r="O13" s="42"/>
    </row>
    <row r="14" spans="1:15">
      <c r="A14" s="3">
        <v>138</v>
      </c>
      <c r="B14" s="6"/>
      <c r="C14" s="193">
        <v>44583</v>
      </c>
      <c r="D14" s="191">
        <v>214</v>
      </c>
      <c r="E14" s="6"/>
      <c r="F14" s="61">
        <v>44580</v>
      </c>
      <c r="G14" s="53">
        <v>314</v>
      </c>
      <c r="H14" s="50"/>
      <c r="I14" s="56">
        <v>44575</v>
      </c>
      <c r="J14" s="53">
        <v>414</v>
      </c>
      <c r="K14" s="28"/>
      <c r="L14" s="46"/>
      <c r="M14" s="35">
        <v>515</v>
      </c>
      <c r="N14" s="2"/>
      <c r="O14" s="42">
        <v>44566</v>
      </c>
    </row>
    <row r="15" spans="1:15">
      <c r="A15" s="3">
        <v>146</v>
      </c>
      <c r="B15" s="6"/>
      <c r="C15" s="193">
        <v>44583</v>
      </c>
      <c r="D15" s="191">
        <v>215</v>
      </c>
      <c r="E15" s="6"/>
      <c r="F15" s="61">
        <v>44580</v>
      </c>
      <c r="G15" s="53">
        <v>315</v>
      </c>
      <c r="H15" s="50"/>
      <c r="I15" s="56">
        <v>44575</v>
      </c>
      <c r="J15" s="53">
        <v>415</v>
      </c>
      <c r="K15" s="28"/>
      <c r="L15" s="46">
        <v>44569</v>
      </c>
      <c r="M15" s="35">
        <v>516</v>
      </c>
      <c r="N15" s="2"/>
      <c r="O15" s="42">
        <v>44566</v>
      </c>
    </row>
    <row r="16" spans="1:15">
      <c r="A16" s="3">
        <v>148</v>
      </c>
      <c r="B16" s="6"/>
      <c r="C16" s="193">
        <v>44583</v>
      </c>
      <c r="D16" s="191">
        <v>216</v>
      </c>
      <c r="E16" s="6"/>
      <c r="F16" s="61">
        <v>44580</v>
      </c>
      <c r="G16" s="53">
        <v>316</v>
      </c>
      <c r="H16" s="50"/>
      <c r="I16" s="56">
        <v>44575</v>
      </c>
      <c r="J16" s="53">
        <v>416</v>
      </c>
      <c r="K16" s="28"/>
      <c r="L16" s="46"/>
      <c r="M16" s="35">
        <v>518</v>
      </c>
      <c r="N16" s="2"/>
      <c r="O16" s="42">
        <v>44568</v>
      </c>
    </row>
    <row r="17" spans="1:15">
      <c r="A17" s="3">
        <v>150</v>
      </c>
      <c r="B17" s="6"/>
      <c r="C17" s="193">
        <v>44583</v>
      </c>
      <c r="D17" s="191">
        <v>217</v>
      </c>
      <c r="E17" s="6"/>
      <c r="F17" s="61">
        <v>44580</v>
      </c>
      <c r="G17" s="53">
        <v>317</v>
      </c>
      <c r="H17" s="50"/>
      <c r="I17" s="56">
        <v>44575</v>
      </c>
      <c r="J17" s="53">
        <v>417</v>
      </c>
      <c r="K17" s="28"/>
      <c r="L17" s="46">
        <v>44569</v>
      </c>
      <c r="M17" s="35">
        <v>519</v>
      </c>
      <c r="N17" s="2"/>
      <c r="O17" s="42"/>
    </row>
    <row r="18" spans="1:15">
      <c r="A18" s="3">
        <v>152</v>
      </c>
      <c r="B18" s="6"/>
      <c r="C18" s="193">
        <v>44583</v>
      </c>
      <c r="D18" s="191">
        <v>218</v>
      </c>
      <c r="E18" s="6"/>
      <c r="F18" s="61">
        <v>44580</v>
      </c>
      <c r="G18" s="53">
        <v>318</v>
      </c>
      <c r="H18" s="50"/>
      <c r="I18" s="56">
        <v>44575</v>
      </c>
      <c r="J18" s="53">
        <v>418</v>
      </c>
      <c r="K18" s="28"/>
      <c r="L18" s="46">
        <v>44573</v>
      </c>
      <c r="M18" s="35">
        <v>521</v>
      </c>
      <c r="N18" s="2"/>
      <c r="O18" s="42">
        <v>44566</v>
      </c>
    </row>
    <row r="19" spans="1:15">
      <c r="A19" s="3">
        <v>154</v>
      </c>
      <c r="B19" s="6"/>
      <c r="C19" s="193">
        <v>44583</v>
      </c>
      <c r="D19" s="191">
        <v>219</v>
      </c>
      <c r="E19" s="6"/>
      <c r="F19" s="61">
        <v>44580</v>
      </c>
      <c r="G19" s="53">
        <v>319</v>
      </c>
      <c r="H19" s="50"/>
      <c r="I19" s="56">
        <v>44575</v>
      </c>
      <c r="J19" s="53">
        <v>419</v>
      </c>
      <c r="K19" s="28"/>
      <c r="L19" s="46">
        <v>44569</v>
      </c>
      <c r="M19" s="35">
        <v>523</v>
      </c>
      <c r="N19" s="2"/>
      <c r="O19" s="42">
        <v>44566</v>
      </c>
    </row>
    <row r="20" spans="1:15">
      <c r="A20" s="3">
        <v>156</v>
      </c>
      <c r="B20" s="6"/>
      <c r="C20" s="193">
        <v>44583</v>
      </c>
      <c r="D20" s="191">
        <v>221</v>
      </c>
      <c r="E20" s="6"/>
      <c r="F20" s="61">
        <v>44581</v>
      </c>
      <c r="G20" s="53">
        <v>321</v>
      </c>
      <c r="H20" s="50"/>
      <c r="I20" s="56">
        <v>44575</v>
      </c>
      <c r="J20" s="53">
        <v>421</v>
      </c>
      <c r="K20" s="28"/>
      <c r="L20" s="46">
        <v>44569</v>
      </c>
      <c r="M20" s="35">
        <v>525</v>
      </c>
      <c r="N20" s="2"/>
      <c r="O20" s="42">
        <v>44566</v>
      </c>
    </row>
    <row r="21" spans="1:15" ht="15" thickBot="1">
      <c r="A21" s="5">
        <v>158</v>
      </c>
      <c r="B21" s="20"/>
      <c r="C21" s="195">
        <v>44583</v>
      </c>
      <c r="D21" s="191">
        <v>223</v>
      </c>
      <c r="E21" s="6"/>
      <c r="F21" s="61">
        <v>44581</v>
      </c>
      <c r="G21" s="53">
        <v>323</v>
      </c>
      <c r="H21" s="50"/>
      <c r="I21" s="56">
        <v>44575</v>
      </c>
      <c r="J21" s="53">
        <v>423</v>
      </c>
      <c r="K21" s="28"/>
      <c r="L21" s="46">
        <v>44578</v>
      </c>
      <c r="M21" s="35">
        <v>527</v>
      </c>
      <c r="N21" s="2"/>
      <c r="O21" s="42">
        <v>44566</v>
      </c>
    </row>
    <row r="22" spans="1:15">
      <c r="D22" s="3">
        <v>225</v>
      </c>
      <c r="E22" s="6"/>
      <c r="F22" s="61">
        <v>44581</v>
      </c>
      <c r="G22" s="53">
        <v>325</v>
      </c>
      <c r="H22" s="50"/>
      <c r="I22" s="56">
        <v>44575</v>
      </c>
      <c r="J22" s="53">
        <v>425</v>
      </c>
      <c r="K22" s="28"/>
      <c r="L22" s="46">
        <v>44578</v>
      </c>
      <c r="M22" s="35">
        <v>529</v>
      </c>
      <c r="N22" s="2"/>
      <c r="O22" s="42">
        <v>44566</v>
      </c>
    </row>
    <row r="23" spans="1:15">
      <c r="D23" s="3">
        <v>227</v>
      </c>
      <c r="E23" s="6"/>
      <c r="F23" s="61">
        <v>44581</v>
      </c>
      <c r="G23" s="53">
        <v>327</v>
      </c>
      <c r="H23" s="50"/>
      <c r="I23" s="56">
        <v>44575</v>
      </c>
      <c r="J23" s="53">
        <v>427</v>
      </c>
      <c r="K23" s="28"/>
      <c r="L23" s="46"/>
      <c r="M23" s="36">
        <v>531</v>
      </c>
      <c r="N23" s="37"/>
      <c r="O23" s="43">
        <v>44566</v>
      </c>
    </row>
    <row r="24" spans="1:15">
      <c r="D24" s="3">
        <v>229</v>
      </c>
      <c r="E24" s="6"/>
      <c r="F24" s="61">
        <v>44581</v>
      </c>
      <c r="G24" s="53">
        <v>329</v>
      </c>
      <c r="H24" s="50"/>
      <c r="I24" s="56">
        <v>44575</v>
      </c>
      <c r="J24" s="53">
        <v>429</v>
      </c>
      <c r="K24" s="28"/>
      <c r="L24" s="47">
        <v>44573</v>
      </c>
      <c r="M24" s="1"/>
      <c r="N24" s="1"/>
      <c r="O24" s="44"/>
    </row>
    <row r="25" spans="1:15">
      <c r="D25" s="3">
        <v>231</v>
      </c>
      <c r="E25" s="6"/>
      <c r="F25" s="61">
        <v>44581</v>
      </c>
      <c r="G25" s="53">
        <v>331</v>
      </c>
      <c r="H25" s="50"/>
      <c r="I25" s="56">
        <v>44575</v>
      </c>
      <c r="J25" s="53">
        <v>431</v>
      </c>
      <c r="K25" s="28"/>
      <c r="L25" s="47">
        <v>44573</v>
      </c>
      <c r="M25" s="1"/>
      <c r="N25" s="1"/>
      <c r="O25" s="44"/>
    </row>
    <row r="26" spans="1:15">
      <c r="D26" s="3">
        <v>232</v>
      </c>
      <c r="E26" s="6"/>
      <c r="F26" s="61">
        <v>44581</v>
      </c>
      <c r="G26" s="53">
        <v>332</v>
      </c>
      <c r="H26" s="50"/>
      <c r="I26" s="56">
        <v>44575</v>
      </c>
      <c r="J26" s="53">
        <v>432</v>
      </c>
      <c r="K26" s="28"/>
      <c r="L26" s="47"/>
      <c r="M26" s="1"/>
      <c r="N26" s="1"/>
      <c r="O26" s="44"/>
    </row>
    <row r="27" spans="1:15">
      <c r="D27" s="3">
        <v>234</v>
      </c>
      <c r="E27" s="6"/>
      <c r="F27" s="61">
        <v>44581</v>
      </c>
      <c r="G27" s="53">
        <v>334</v>
      </c>
      <c r="H27" s="50"/>
      <c r="I27" s="56">
        <v>44574</v>
      </c>
      <c r="J27" s="53">
        <v>434</v>
      </c>
      <c r="K27" s="28"/>
      <c r="L27" s="47"/>
      <c r="M27" s="1"/>
      <c r="N27" s="1"/>
      <c r="O27" s="44"/>
    </row>
    <row r="28" spans="1:15">
      <c r="D28" s="3">
        <v>238</v>
      </c>
      <c r="E28" s="6"/>
      <c r="F28" s="61">
        <v>44581</v>
      </c>
      <c r="G28" s="53">
        <v>336</v>
      </c>
      <c r="H28" s="50"/>
      <c r="I28" s="56">
        <v>44574</v>
      </c>
      <c r="J28" s="53">
        <v>436</v>
      </c>
      <c r="K28" s="28"/>
      <c r="L28" s="47">
        <v>44571</v>
      </c>
      <c r="M28" s="1"/>
      <c r="N28" s="1"/>
      <c r="O28" s="44"/>
    </row>
    <row r="29" spans="1:15">
      <c r="D29" s="3">
        <v>243</v>
      </c>
      <c r="E29" s="6"/>
      <c r="F29" s="61">
        <v>44581</v>
      </c>
      <c r="G29" s="53">
        <v>338</v>
      </c>
      <c r="H29" s="50"/>
      <c r="I29" s="56">
        <v>44574</v>
      </c>
      <c r="J29" s="53">
        <v>438</v>
      </c>
      <c r="K29" s="28"/>
      <c r="L29" s="47"/>
      <c r="M29" s="1"/>
      <c r="N29" s="1"/>
      <c r="O29" s="44"/>
    </row>
    <row r="30" spans="1:15">
      <c r="B30" s="8"/>
      <c r="D30" s="3">
        <v>244</v>
      </c>
      <c r="E30" s="6"/>
      <c r="F30" s="61">
        <v>44581</v>
      </c>
      <c r="G30" s="53">
        <v>339</v>
      </c>
      <c r="H30" s="50"/>
      <c r="I30" s="56">
        <v>44574</v>
      </c>
      <c r="J30" s="53">
        <v>439</v>
      </c>
      <c r="K30" s="28"/>
      <c r="L30" s="47"/>
      <c r="M30" s="1"/>
      <c r="N30" s="1"/>
      <c r="O30" s="44"/>
    </row>
    <row r="31" spans="1:15">
      <c r="D31" s="3">
        <v>245</v>
      </c>
      <c r="E31" s="6"/>
      <c r="F31" s="61">
        <v>44581</v>
      </c>
      <c r="G31" s="53">
        <v>341</v>
      </c>
      <c r="H31" s="50"/>
      <c r="I31" s="56">
        <v>44574</v>
      </c>
      <c r="J31" s="53">
        <v>441</v>
      </c>
      <c r="K31" s="28"/>
      <c r="L31" s="47"/>
      <c r="M31" s="1"/>
      <c r="N31" s="1"/>
      <c r="O31" s="44"/>
    </row>
    <row r="32" spans="1:15">
      <c r="B32" s="9"/>
      <c r="D32" s="3">
        <v>246</v>
      </c>
      <c r="E32" s="6"/>
      <c r="F32" s="61">
        <v>44581</v>
      </c>
      <c r="G32" s="53">
        <v>343</v>
      </c>
      <c r="H32" s="50"/>
      <c r="I32" s="56">
        <v>44574</v>
      </c>
      <c r="J32" s="53">
        <v>443</v>
      </c>
      <c r="K32" s="28"/>
      <c r="L32" s="47"/>
      <c r="M32" s="1"/>
      <c r="N32" s="1"/>
      <c r="O32" s="44"/>
    </row>
    <row r="33" spans="2:15">
      <c r="B33" s="10"/>
      <c r="D33" s="3">
        <v>247</v>
      </c>
      <c r="E33" s="6"/>
      <c r="F33" s="61">
        <v>44581</v>
      </c>
      <c r="G33" s="53">
        <v>344</v>
      </c>
      <c r="H33" s="50"/>
      <c r="I33" s="56">
        <v>44572</v>
      </c>
      <c r="J33" s="53">
        <v>444</v>
      </c>
      <c r="K33" s="28"/>
      <c r="L33" s="47">
        <v>44570</v>
      </c>
      <c r="M33" s="1"/>
      <c r="N33" s="1"/>
      <c r="O33" s="44"/>
    </row>
    <row r="34" spans="2:15">
      <c r="B34" s="11"/>
      <c r="D34" s="3">
        <v>248</v>
      </c>
      <c r="E34" s="6"/>
      <c r="F34" s="61">
        <v>44581</v>
      </c>
      <c r="G34" s="53">
        <v>345</v>
      </c>
      <c r="H34" s="50"/>
      <c r="I34" s="56">
        <v>44572</v>
      </c>
      <c r="J34" s="53">
        <v>445</v>
      </c>
      <c r="K34" s="28"/>
      <c r="L34" s="47"/>
      <c r="M34" s="1"/>
      <c r="N34" s="1"/>
      <c r="O34" s="44"/>
    </row>
    <row r="35" spans="2:15">
      <c r="B35" s="10"/>
      <c r="D35" s="3">
        <v>249</v>
      </c>
      <c r="E35" s="6"/>
      <c r="F35" s="61">
        <v>44581</v>
      </c>
      <c r="G35" s="53">
        <v>346</v>
      </c>
      <c r="H35" s="50"/>
      <c r="I35" s="56">
        <v>44572</v>
      </c>
      <c r="J35" s="53">
        <v>446</v>
      </c>
      <c r="K35" s="28"/>
      <c r="L35" s="47">
        <v>44570</v>
      </c>
      <c r="M35" s="1"/>
      <c r="N35" s="1"/>
      <c r="O35" s="44"/>
    </row>
    <row r="36" spans="2:15">
      <c r="B36" s="11"/>
      <c r="D36" s="3">
        <v>250</v>
      </c>
      <c r="E36" s="6"/>
      <c r="F36" s="61">
        <v>44581</v>
      </c>
      <c r="G36" s="53">
        <v>347</v>
      </c>
      <c r="H36" s="50"/>
      <c r="I36" s="56">
        <v>44572</v>
      </c>
      <c r="J36" s="53">
        <v>447</v>
      </c>
      <c r="K36" s="28"/>
      <c r="L36" s="47">
        <v>44570</v>
      </c>
      <c r="M36" s="1"/>
      <c r="N36" s="1"/>
      <c r="O36" s="44"/>
    </row>
    <row r="37" spans="2:15">
      <c r="B37" s="10"/>
      <c r="D37" s="3">
        <v>251</v>
      </c>
      <c r="E37" s="6"/>
      <c r="F37" s="61">
        <v>44581</v>
      </c>
      <c r="G37" s="53">
        <v>348</v>
      </c>
      <c r="H37" s="50"/>
      <c r="I37" s="56">
        <v>44572</v>
      </c>
      <c r="J37" s="53">
        <v>448</v>
      </c>
      <c r="K37" s="28"/>
      <c r="L37" s="47">
        <v>44570</v>
      </c>
      <c r="M37" s="1"/>
      <c r="N37" s="1"/>
      <c r="O37" s="44"/>
    </row>
    <row r="38" spans="2:15">
      <c r="B38" s="11"/>
      <c r="D38" s="3">
        <v>252</v>
      </c>
      <c r="E38" s="6"/>
      <c r="F38" s="61">
        <v>44581</v>
      </c>
      <c r="G38" s="53">
        <v>349</v>
      </c>
      <c r="H38" s="50"/>
      <c r="I38" s="56">
        <v>44574</v>
      </c>
      <c r="J38" s="53">
        <v>449</v>
      </c>
      <c r="K38" s="28"/>
      <c r="L38" s="47"/>
      <c r="M38" s="1"/>
      <c r="N38" s="1"/>
      <c r="O38" s="44"/>
    </row>
    <row r="39" spans="2:15">
      <c r="B39" s="10"/>
      <c r="D39" s="3">
        <v>253</v>
      </c>
      <c r="E39" s="6"/>
      <c r="F39" s="61">
        <v>44581</v>
      </c>
      <c r="G39" s="53">
        <v>350</v>
      </c>
      <c r="H39" s="50"/>
      <c r="I39" s="56">
        <v>44573</v>
      </c>
      <c r="J39" s="53">
        <v>450</v>
      </c>
      <c r="K39" s="28"/>
      <c r="L39" s="47"/>
      <c r="M39" s="1"/>
      <c r="N39" s="1"/>
      <c r="O39" s="44"/>
    </row>
    <row r="40" spans="2:15">
      <c r="B40" s="12"/>
      <c r="D40" s="3">
        <v>254</v>
      </c>
      <c r="E40" s="6"/>
      <c r="F40" s="61">
        <v>44581</v>
      </c>
      <c r="G40" s="53">
        <v>351</v>
      </c>
      <c r="H40" s="50"/>
      <c r="I40" s="56">
        <v>44573</v>
      </c>
      <c r="J40" s="53">
        <v>451</v>
      </c>
      <c r="K40" s="28"/>
      <c r="L40" s="47"/>
      <c r="M40" s="1"/>
      <c r="N40" s="1"/>
      <c r="O40" s="44"/>
    </row>
    <row r="41" spans="2:15">
      <c r="D41" s="3">
        <v>255</v>
      </c>
      <c r="E41" s="6"/>
      <c r="F41" s="61">
        <v>44581</v>
      </c>
      <c r="G41" s="53">
        <v>352</v>
      </c>
      <c r="H41" s="50"/>
      <c r="I41" s="56">
        <v>44573</v>
      </c>
      <c r="J41" s="53">
        <v>452</v>
      </c>
      <c r="K41" s="28"/>
      <c r="L41" s="47"/>
      <c r="M41" s="1"/>
      <c r="N41" s="1"/>
      <c r="O41" s="44"/>
    </row>
    <row r="42" spans="2:15">
      <c r="D42" s="3">
        <v>256</v>
      </c>
      <c r="E42" s="6"/>
      <c r="F42" s="61">
        <v>44581</v>
      </c>
      <c r="G42" s="53">
        <v>353</v>
      </c>
      <c r="H42" s="50"/>
      <c r="I42" s="56">
        <v>44573</v>
      </c>
      <c r="J42" s="53">
        <v>453</v>
      </c>
      <c r="K42" s="28"/>
      <c r="L42" s="47"/>
      <c r="M42" s="1"/>
      <c r="N42" s="1"/>
      <c r="O42" s="44"/>
    </row>
    <row r="43" spans="2:15">
      <c r="D43" s="3">
        <v>257</v>
      </c>
      <c r="E43" s="6"/>
      <c r="F43" s="61">
        <v>44581</v>
      </c>
      <c r="G43" s="53">
        <v>354</v>
      </c>
      <c r="H43" s="50"/>
      <c r="I43" s="56">
        <v>44573</v>
      </c>
      <c r="J43" s="53">
        <v>454</v>
      </c>
      <c r="K43" s="28"/>
      <c r="L43" s="47">
        <v>44569</v>
      </c>
      <c r="M43" s="1"/>
      <c r="N43" s="1"/>
      <c r="O43" s="44"/>
    </row>
    <row r="44" spans="2:15">
      <c r="D44" s="3">
        <v>258</v>
      </c>
      <c r="E44" s="6"/>
      <c r="F44" s="61">
        <v>44581</v>
      </c>
      <c r="G44" s="53">
        <v>355</v>
      </c>
      <c r="H44" s="50"/>
      <c r="I44" s="56">
        <v>44573</v>
      </c>
      <c r="J44" s="53">
        <v>455</v>
      </c>
      <c r="K44" s="28"/>
      <c r="L44" s="47">
        <v>44569</v>
      </c>
      <c r="M44" s="1"/>
      <c r="N44" s="1"/>
      <c r="O44" s="44"/>
    </row>
    <row r="45" spans="2:15">
      <c r="D45" s="3">
        <v>259</v>
      </c>
      <c r="E45" s="6"/>
      <c r="F45" s="61">
        <v>44581</v>
      </c>
      <c r="G45" s="53">
        <v>356</v>
      </c>
      <c r="H45" s="50"/>
      <c r="I45" s="56">
        <v>44571</v>
      </c>
      <c r="J45" s="53">
        <v>456</v>
      </c>
      <c r="K45" s="28"/>
      <c r="L45" s="47">
        <v>44571</v>
      </c>
      <c r="M45" s="1"/>
      <c r="N45" s="1"/>
      <c r="O45" s="44"/>
    </row>
    <row r="46" spans="2:15" ht="16.5" customHeight="1">
      <c r="D46" s="3">
        <v>260</v>
      </c>
      <c r="E46" s="6"/>
      <c r="F46" s="61">
        <v>44581</v>
      </c>
      <c r="G46" s="53">
        <v>357</v>
      </c>
      <c r="H46" s="50"/>
      <c r="I46" s="56">
        <v>44571</v>
      </c>
      <c r="J46" s="53">
        <v>457</v>
      </c>
      <c r="K46" s="28"/>
      <c r="L46" s="47">
        <v>44569</v>
      </c>
      <c r="M46" s="1"/>
      <c r="N46" s="1"/>
      <c r="O46" s="44"/>
    </row>
    <row r="47" spans="2:15">
      <c r="D47" s="5">
        <v>261</v>
      </c>
      <c r="E47" s="20"/>
      <c r="F47" s="61">
        <v>44581</v>
      </c>
      <c r="G47" s="53">
        <v>358</v>
      </c>
      <c r="H47" s="50"/>
      <c r="I47" s="56">
        <v>44571</v>
      </c>
      <c r="J47" s="53">
        <v>458</v>
      </c>
      <c r="K47" s="28"/>
      <c r="L47" s="47"/>
      <c r="M47" s="1"/>
      <c r="N47" s="1"/>
      <c r="O47" s="44"/>
    </row>
    <row r="48" spans="2:15">
      <c r="G48" s="30">
        <v>359</v>
      </c>
      <c r="H48" s="50"/>
      <c r="I48" s="56">
        <v>44571</v>
      </c>
      <c r="J48" s="53">
        <v>459</v>
      </c>
      <c r="K48" s="28"/>
      <c r="L48" s="47">
        <v>44569</v>
      </c>
      <c r="M48" s="1"/>
      <c r="N48" s="1"/>
      <c r="O48" s="44"/>
    </row>
    <row r="49" spans="7:15">
      <c r="G49" s="30">
        <v>360</v>
      </c>
      <c r="H49" s="50"/>
      <c r="I49" s="56">
        <v>44571</v>
      </c>
      <c r="J49" s="53">
        <v>460</v>
      </c>
      <c r="K49" s="28"/>
      <c r="L49" s="47">
        <v>44573</v>
      </c>
      <c r="M49" s="1"/>
      <c r="N49" s="1"/>
      <c r="O49" s="44"/>
    </row>
    <row r="50" spans="7:15">
      <c r="G50" s="31">
        <v>361</v>
      </c>
      <c r="H50" s="51"/>
      <c r="I50" s="57">
        <v>44571</v>
      </c>
      <c r="J50" s="54">
        <v>461</v>
      </c>
      <c r="K50" s="32"/>
      <c r="L50" s="48">
        <v>44569</v>
      </c>
      <c r="M50" s="1"/>
      <c r="N50" s="1"/>
      <c r="O50" s="44"/>
    </row>
  </sheetData>
  <pageMargins left="0.15748031496062992" right="0" top="0.9055118110236221" bottom="0" header="0" footer="0.31496062992125984"/>
  <pageSetup paperSize="9" scale="75" orientation="landscape" r:id="rId1"/>
  <headerFooter>
    <oddHeader>&amp;L&amp;G&amp;C&amp;"Andalus,Bold"&amp;20Rain shower head 2022&amp;R&amp;G    .</oddHeader>
  </headerFooter>
  <legacyDrawingHF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50"/>
  <sheetViews>
    <sheetView view="pageLayout" zoomScaleNormal="100" workbookViewId="0">
      <selection activeCell="E36" sqref="E36"/>
    </sheetView>
  </sheetViews>
  <sheetFormatPr defaultRowHeight="14.25"/>
  <cols>
    <col min="3" max="3" width="12.5" customWidth="1"/>
    <col min="4" max="4" width="10.125" customWidth="1"/>
    <col min="5" max="5" width="21.375" customWidth="1"/>
    <col min="8" max="8" width="16.25" customWidth="1"/>
  </cols>
  <sheetData>
    <row r="1" spans="1:8" ht="15" thickBot="1"/>
    <row r="2" spans="1:8" ht="17.25" customHeight="1">
      <c r="A2" s="228" t="s">
        <v>35</v>
      </c>
      <c r="B2" s="229"/>
      <c r="C2" s="229"/>
      <c r="D2" s="26" t="s">
        <v>36</v>
      </c>
      <c r="E2" s="26" t="s">
        <v>37</v>
      </c>
      <c r="F2" s="229" t="s">
        <v>38</v>
      </c>
      <c r="G2" s="229"/>
      <c r="H2" s="230"/>
    </row>
    <row r="3" spans="1:8">
      <c r="A3" s="225" t="s">
        <v>39</v>
      </c>
      <c r="B3" s="226"/>
      <c r="C3" s="226"/>
      <c r="D3" s="2"/>
      <c r="E3" s="2"/>
      <c r="F3" s="226"/>
      <c r="G3" s="226"/>
      <c r="H3" s="227"/>
    </row>
    <row r="4" spans="1:8">
      <c r="A4" s="225" t="s">
        <v>40</v>
      </c>
      <c r="B4" s="226"/>
      <c r="C4" s="226"/>
      <c r="D4" s="2"/>
      <c r="E4" s="2"/>
      <c r="F4" s="226"/>
      <c r="G4" s="226"/>
      <c r="H4" s="227"/>
    </row>
    <row r="5" spans="1:8">
      <c r="A5" s="225" t="s">
        <v>41</v>
      </c>
      <c r="B5" s="226"/>
      <c r="C5" s="226"/>
      <c r="D5" s="2"/>
      <c r="E5" s="2"/>
      <c r="F5" s="226"/>
      <c r="G5" s="226"/>
      <c r="H5" s="227"/>
    </row>
    <row r="6" spans="1:8">
      <c r="A6" s="225" t="s">
        <v>42</v>
      </c>
      <c r="B6" s="226"/>
      <c r="C6" s="226"/>
      <c r="D6" s="2"/>
      <c r="E6" s="2"/>
      <c r="F6" s="226"/>
      <c r="G6" s="226"/>
      <c r="H6" s="227"/>
    </row>
    <row r="7" spans="1:8">
      <c r="A7" s="225" t="s">
        <v>43</v>
      </c>
      <c r="B7" s="226"/>
      <c r="C7" s="226"/>
      <c r="D7" s="2"/>
      <c r="E7" s="2"/>
      <c r="F7" s="226"/>
      <c r="G7" s="226"/>
      <c r="H7" s="227"/>
    </row>
    <row r="8" spans="1:8">
      <c r="A8" s="225" t="s">
        <v>44</v>
      </c>
      <c r="B8" s="226"/>
      <c r="C8" s="226"/>
      <c r="D8" s="2"/>
      <c r="E8" s="2"/>
      <c r="F8" s="226"/>
      <c r="G8" s="226"/>
      <c r="H8" s="227"/>
    </row>
    <row r="9" spans="1:8">
      <c r="A9" s="225" t="s">
        <v>45</v>
      </c>
      <c r="B9" s="226"/>
      <c r="C9" s="226"/>
      <c r="D9" s="2"/>
      <c r="E9" s="2"/>
      <c r="F9" s="226"/>
      <c r="G9" s="226"/>
      <c r="H9" s="227"/>
    </row>
    <row r="10" spans="1:8">
      <c r="A10" s="225" t="s">
        <v>46</v>
      </c>
      <c r="B10" s="226"/>
      <c r="C10" s="226"/>
      <c r="D10" s="2"/>
      <c r="E10" s="2"/>
      <c r="F10" s="226"/>
      <c r="G10" s="226"/>
      <c r="H10" s="227"/>
    </row>
    <row r="11" spans="1:8">
      <c r="A11" s="225" t="s">
        <v>47</v>
      </c>
      <c r="B11" s="226"/>
      <c r="C11" s="226"/>
      <c r="D11" s="2"/>
      <c r="E11" s="2"/>
      <c r="F11" s="226"/>
      <c r="G11" s="226"/>
      <c r="H11" s="227"/>
    </row>
    <row r="12" spans="1:8">
      <c r="A12" s="225" t="s">
        <v>48</v>
      </c>
      <c r="B12" s="226"/>
      <c r="C12" s="226"/>
      <c r="D12" s="2"/>
      <c r="E12" s="2"/>
      <c r="F12" s="226"/>
      <c r="G12" s="226"/>
      <c r="H12" s="227"/>
    </row>
    <row r="13" spans="1:8">
      <c r="A13" s="225" t="s">
        <v>49</v>
      </c>
      <c r="B13" s="226"/>
      <c r="C13" s="226"/>
      <c r="D13" s="2"/>
      <c r="E13" s="2"/>
      <c r="F13" s="226"/>
      <c r="G13" s="226"/>
      <c r="H13" s="227"/>
    </row>
    <row r="14" spans="1:8">
      <c r="A14" s="225" t="s">
        <v>50</v>
      </c>
      <c r="B14" s="226"/>
      <c r="C14" s="226"/>
      <c r="D14" s="2"/>
      <c r="E14" s="2"/>
      <c r="F14" s="226"/>
      <c r="G14" s="226"/>
      <c r="H14" s="227"/>
    </row>
    <row r="15" spans="1:8">
      <c r="A15" s="225" t="s">
        <v>51</v>
      </c>
      <c r="B15" s="226"/>
      <c r="C15" s="226"/>
      <c r="D15" s="2"/>
      <c r="E15" s="2"/>
      <c r="F15" s="226"/>
      <c r="G15" s="226"/>
      <c r="H15" s="227"/>
    </row>
    <row r="16" spans="1:8">
      <c r="A16" s="225" t="s">
        <v>52</v>
      </c>
      <c r="B16" s="226"/>
      <c r="C16" s="226"/>
      <c r="D16" s="2"/>
      <c r="E16" s="2"/>
      <c r="F16" s="226"/>
      <c r="G16" s="226"/>
      <c r="H16" s="227"/>
    </row>
    <row r="17" spans="1:8">
      <c r="A17" s="225" t="s">
        <v>53</v>
      </c>
      <c r="B17" s="226"/>
      <c r="C17" s="226"/>
      <c r="D17" s="2"/>
      <c r="E17" s="2"/>
      <c r="F17" s="226"/>
      <c r="G17" s="226"/>
      <c r="H17" s="227"/>
    </row>
    <row r="18" spans="1:8">
      <c r="A18" s="225" t="s">
        <v>54</v>
      </c>
      <c r="B18" s="226"/>
      <c r="C18" s="226"/>
      <c r="D18" s="2"/>
      <c r="E18" s="2"/>
      <c r="F18" s="226"/>
      <c r="G18" s="226"/>
      <c r="H18" s="227"/>
    </row>
    <row r="19" spans="1:8">
      <c r="A19" s="225" t="s">
        <v>55</v>
      </c>
      <c r="B19" s="226"/>
      <c r="C19" s="226"/>
      <c r="D19" s="2"/>
      <c r="E19" s="2"/>
      <c r="F19" s="226"/>
      <c r="G19" s="226"/>
      <c r="H19" s="227"/>
    </row>
    <row r="20" spans="1:8">
      <c r="A20" s="225" t="s">
        <v>56</v>
      </c>
      <c r="B20" s="226"/>
      <c r="C20" s="226"/>
      <c r="D20" s="2"/>
      <c r="E20" s="2"/>
      <c r="F20" s="226"/>
      <c r="G20" s="226"/>
      <c r="H20" s="227"/>
    </row>
    <row r="21" spans="1:8">
      <c r="A21" s="225" t="s">
        <v>57</v>
      </c>
      <c r="B21" s="226"/>
      <c r="C21" s="226"/>
      <c r="D21" s="2"/>
      <c r="E21" s="2"/>
      <c r="F21" s="226"/>
      <c r="G21" s="226"/>
      <c r="H21" s="227"/>
    </row>
    <row r="22" spans="1:8">
      <c r="A22" s="225" t="s">
        <v>58</v>
      </c>
      <c r="B22" s="226"/>
      <c r="C22" s="226"/>
      <c r="D22" s="2"/>
      <c r="E22" s="2"/>
      <c r="F22" s="226"/>
      <c r="G22" s="226"/>
      <c r="H22" s="227"/>
    </row>
    <row r="23" spans="1:8">
      <c r="A23" s="225" t="s">
        <v>59</v>
      </c>
      <c r="B23" s="226"/>
      <c r="C23" s="226"/>
      <c r="D23" s="2"/>
      <c r="E23" s="2"/>
      <c r="F23" s="226"/>
      <c r="G23" s="226"/>
      <c r="H23" s="227"/>
    </row>
    <row r="24" spans="1:8">
      <c r="A24" s="225" t="s">
        <v>60</v>
      </c>
      <c r="B24" s="226"/>
      <c r="C24" s="226"/>
      <c r="D24" s="2"/>
      <c r="E24" s="2"/>
      <c r="F24" s="226"/>
      <c r="G24" s="226"/>
      <c r="H24" s="227"/>
    </row>
    <row r="25" spans="1:8">
      <c r="A25" s="225" t="s">
        <v>61</v>
      </c>
      <c r="B25" s="226"/>
      <c r="C25" s="226"/>
      <c r="D25" s="2"/>
      <c r="E25" s="2"/>
      <c r="F25" s="226"/>
      <c r="G25" s="226"/>
      <c r="H25" s="227"/>
    </row>
    <row r="26" spans="1:8">
      <c r="A26" s="225" t="s">
        <v>62</v>
      </c>
      <c r="B26" s="226"/>
      <c r="C26" s="226"/>
      <c r="D26" s="2"/>
      <c r="E26" s="2"/>
      <c r="F26" s="216"/>
      <c r="G26" s="217"/>
      <c r="H26" s="218"/>
    </row>
    <row r="27" spans="1:8">
      <c r="A27" s="225" t="s">
        <v>63</v>
      </c>
      <c r="B27" s="226"/>
      <c r="C27" s="226"/>
      <c r="D27" s="2"/>
      <c r="E27" s="2"/>
      <c r="F27" s="216"/>
      <c r="G27" s="217"/>
      <c r="H27" s="218"/>
    </row>
    <row r="28" spans="1:8">
      <c r="A28" s="225" t="s">
        <v>64</v>
      </c>
      <c r="B28" s="226"/>
      <c r="C28" s="226"/>
      <c r="D28" s="2"/>
      <c r="E28" s="2"/>
      <c r="F28" s="216"/>
      <c r="G28" s="217"/>
      <c r="H28" s="218"/>
    </row>
    <row r="29" spans="1:8">
      <c r="A29" s="225" t="s">
        <v>65</v>
      </c>
      <c r="B29" s="226"/>
      <c r="C29" s="226"/>
      <c r="D29" s="2"/>
      <c r="E29" s="2"/>
      <c r="F29" s="216"/>
      <c r="G29" s="217"/>
      <c r="H29" s="218"/>
    </row>
    <row r="30" spans="1:8">
      <c r="A30" s="225" t="s">
        <v>66</v>
      </c>
      <c r="B30" s="226"/>
      <c r="C30" s="226"/>
      <c r="D30" s="2"/>
      <c r="E30" s="2"/>
      <c r="F30" s="216"/>
      <c r="G30" s="217"/>
      <c r="H30" s="218"/>
    </row>
    <row r="31" spans="1:8">
      <c r="A31" s="225" t="s">
        <v>67</v>
      </c>
      <c r="B31" s="226"/>
      <c r="C31" s="226"/>
      <c r="D31" s="2"/>
      <c r="E31" s="2"/>
      <c r="F31" s="216"/>
      <c r="G31" s="217"/>
      <c r="H31" s="218"/>
    </row>
    <row r="32" spans="1:8">
      <c r="A32" s="225" t="s">
        <v>68</v>
      </c>
      <c r="B32" s="226"/>
      <c r="C32" s="226"/>
      <c r="D32" s="2"/>
      <c r="E32" s="2"/>
      <c r="F32" s="216"/>
      <c r="G32" s="217"/>
      <c r="H32" s="218"/>
    </row>
    <row r="33" spans="1:8">
      <c r="A33" s="225" t="s">
        <v>69</v>
      </c>
      <c r="B33" s="226"/>
      <c r="C33" s="226"/>
      <c r="D33" s="2"/>
      <c r="E33" s="2"/>
      <c r="F33" s="216"/>
      <c r="G33" s="217"/>
      <c r="H33" s="218"/>
    </row>
    <row r="34" spans="1:8">
      <c r="A34" s="225" t="s">
        <v>70</v>
      </c>
      <c r="B34" s="226"/>
      <c r="C34" s="226"/>
      <c r="D34" s="2"/>
      <c r="E34" s="2"/>
      <c r="F34" s="216"/>
      <c r="G34" s="217"/>
      <c r="H34" s="218"/>
    </row>
    <row r="35" spans="1:8">
      <c r="A35" s="225" t="s">
        <v>71</v>
      </c>
      <c r="B35" s="226"/>
      <c r="C35" s="226"/>
      <c r="D35" s="2"/>
      <c r="E35" s="2"/>
      <c r="F35" s="216"/>
      <c r="G35" s="217"/>
      <c r="H35" s="218"/>
    </row>
    <row r="36" spans="1:8">
      <c r="A36" s="225" t="s">
        <v>72</v>
      </c>
      <c r="B36" s="226"/>
      <c r="C36" s="226"/>
      <c r="D36" s="2"/>
      <c r="E36" s="2"/>
      <c r="F36" s="216"/>
      <c r="G36" s="217"/>
      <c r="H36" s="218"/>
    </row>
    <row r="37" spans="1:8">
      <c r="A37" s="225" t="s">
        <v>73</v>
      </c>
      <c r="B37" s="226"/>
      <c r="C37" s="226"/>
      <c r="D37" s="2"/>
      <c r="E37" s="2"/>
      <c r="F37" s="216"/>
      <c r="G37" s="217"/>
      <c r="H37" s="218"/>
    </row>
    <row r="38" spans="1:8">
      <c r="A38" s="225" t="s">
        <v>74</v>
      </c>
      <c r="B38" s="226"/>
      <c r="C38" s="226"/>
      <c r="D38" s="2"/>
      <c r="E38" s="2"/>
      <c r="F38" s="216"/>
      <c r="G38" s="217"/>
      <c r="H38" s="218"/>
    </row>
    <row r="39" spans="1:8">
      <c r="A39" s="225" t="s">
        <v>75</v>
      </c>
      <c r="B39" s="226"/>
      <c r="C39" s="226"/>
      <c r="D39" s="25"/>
      <c r="E39" s="25"/>
      <c r="F39" s="216"/>
      <c r="G39" s="217"/>
      <c r="H39" s="218"/>
    </row>
    <row r="40" spans="1:8" ht="15" thickBot="1">
      <c r="A40" s="223" t="s">
        <v>76</v>
      </c>
      <c r="B40" s="224"/>
      <c r="C40" s="224"/>
      <c r="D40" s="27"/>
      <c r="E40" s="27"/>
      <c r="F40" s="219"/>
      <c r="G40" s="220"/>
      <c r="H40" s="221"/>
    </row>
    <row r="42" spans="1:8">
      <c r="A42" s="222" t="s">
        <v>77</v>
      </c>
      <c r="B42" s="222"/>
      <c r="C42" s="222"/>
      <c r="D42" s="222"/>
      <c r="E42" s="222"/>
      <c r="F42" s="222"/>
      <c r="G42" s="222"/>
      <c r="H42" s="222"/>
    </row>
    <row r="43" spans="1:8">
      <c r="A43" s="222"/>
      <c r="B43" s="222"/>
      <c r="C43" s="222"/>
      <c r="D43" s="222"/>
      <c r="E43" s="222"/>
      <c r="F43" s="222"/>
      <c r="G43" s="222"/>
      <c r="H43" s="222"/>
    </row>
    <row r="44" spans="1:8">
      <c r="A44" s="222"/>
      <c r="B44" s="222"/>
      <c r="C44" s="222"/>
      <c r="D44" s="222"/>
      <c r="E44" s="222"/>
      <c r="F44" s="222"/>
      <c r="G44" s="222"/>
      <c r="H44" s="222"/>
    </row>
    <row r="45" spans="1:8">
      <c r="A45" s="222"/>
      <c r="B45" s="222"/>
      <c r="C45" s="222"/>
      <c r="D45" s="222"/>
      <c r="E45" s="222"/>
      <c r="F45" s="222"/>
      <c r="G45" s="222"/>
      <c r="H45" s="222"/>
    </row>
    <row r="46" spans="1:8">
      <c r="A46" s="222"/>
      <c r="B46" s="222"/>
      <c r="C46" s="222"/>
      <c r="D46" s="222"/>
      <c r="E46" s="222"/>
      <c r="F46" s="222"/>
      <c r="G46" s="222"/>
      <c r="H46" s="222"/>
    </row>
    <row r="47" spans="1:8">
      <c r="A47" s="222"/>
      <c r="B47" s="222"/>
      <c r="C47" s="222"/>
      <c r="D47" s="222"/>
      <c r="E47" s="222"/>
      <c r="F47" s="222"/>
      <c r="G47" s="222"/>
      <c r="H47" s="222"/>
    </row>
    <row r="48" spans="1:8">
      <c r="A48" s="222"/>
      <c r="B48" s="222"/>
      <c r="C48" s="222"/>
      <c r="D48" s="222"/>
      <c r="E48" s="222"/>
      <c r="F48" s="222"/>
      <c r="G48" s="222"/>
      <c r="H48" s="222"/>
    </row>
    <row r="49" spans="1:8">
      <c r="A49" s="222"/>
      <c r="B49" s="222"/>
      <c r="C49" s="222"/>
      <c r="D49" s="222"/>
      <c r="E49" s="222"/>
      <c r="F49" s="222"/>
      <c r="G49" s="222"/>
      <c r="H49" s="222"/>
    </row>
    <row r="50" spans="1:8">
      <c r="A50" s="222"/>
      <c r="B50" s="222"/>
      <c r="C50" s="222"/>
      <c r="D50" s="222"/>
      <c r="E50" s="222"/>
      <c r="F50" s="222"/>
      <c r="G50" s="222"/>
      <c r="H50" s="222"/>
    </row>
  </sheetData>
  <mergeCells count="79">
    <mergeCell ref="A2:C2"/>
    <mergeCell ref="F2:H2"/>
    <mergeCell ref="A3:C3"/>
    <mergeCell ref="F3:H3"/>
    <mergeCell ref="A4:C4"/>
    <mergeCell ref="F4:H4"/>
    <mergeCell ref="A5:C5"/>
    <mergeCell ref="F5:H5"/>
    <mergeCell ref="A6:C6"/>
    <mergeCell ref="F6:H6"/>
    <mergeCell ref="A7:C7"/>
    <mergeCell ref="F7:H7"/>
    <mergeCell ref="A8:C8"/>
    <mergeCell ref="F8:H8"/>
    <mergeCell ref="A9:C9"/>
    <mergeCell ref="F9:H9"/>
    <mergeCell ref="A10:C10"/>
    <mergeCell ref="F10:H10"/>
    <mergeCell ref="A11:C11"/>
    <mergeCell ref="F11:H11"/>
    <mergeCell ref="A12:C12"/>
    <mergeCell ref="F12:H12"/>
    <mergeCell ref="A13:C13"/>
    <mergeCell ref="F13:H13"/>
    <mergeCell ref="A14:C14"/>
    <mergeCell ref="F14:H14"/>
    <mergeCell ref="A15:C15"/>
    <mergeCell ref="F15:H15"/>
    <mergeCell ref="A37:C37"/>
    <mergeCell ref="F16:H16"/>
    <mergeCell ref="A16:C16"/>
    <mergeCell ref="F34:H34"/>
    <mergeCell ref="F35:H35"/>
    <mergeCell ref="F36:H36"/>
    <mergeCell ref="A36:C36"/>
    <mergeCell ref="F20:H20"/>
    <mergeCell ref="A17:C17"/>
    <mergeCell ref="F21:H21"/>
    <mergeCell ref="F22:H22"/>
    <mergeCell ref="F23:H23"/>
    <mergeCell ref="A18:C18"/>
    <mergeCell ref="A21:C21"/>
    <mergeCell ref="A22:C22"/>
    <mergeCell ref="A25:C25"/>
    <mergeCell ref="F17:H17"/>
    <mergeCell ref="F18:H18"/>
    <mergeCell ref="F19:H19"/>
    <mergeCell ref="A24:C24"/>
    <mergeCell ref="A19:C19"/>
    <mergeCell ref="A20:C20"/>
    <mergeCell ref="A23:C23"/>
    <mergeCell ref="A31:C31"/>
    <mergeCell ref="A27:C27"/>
    <mergeCell ref="A28:C28"/>
    <mergeCell ref="A29:C29"/>
    <mergeCell ref="A30:C30"/>
    <mergeCell ref="F37:H37"/>
    <mergeCell ref="A32:C32"/>
    <mergeCell ref="F24:H24"/>
    <mergeCell ref="F25:H25"/>
    <mergeCell ref="A35:C35"/>
    <mergeCell ref="F26:H26"/>
    <mergeCell ref="F27:H27"/>
    <mergeCell ref="F28:H28"/>
    <mergeCell ref="F29:H29"/>
    <mergeCell ref="A33:C33"/>
    <mergeCell ref="A34:C34"/>
    <mergeCell ref="F33:H33"/>
    <mergeCell ref="A26:C26"/>
    <mergeCell ref="F30:H30"/>
    <mergeCell ref="F31:H31"/>
    <mergeCell ref="F32:H32"/>
    <mergeCell ref="F38:H38"/>
    <mergeCell ref="F39:H39"/>
    <mergeCell ref="F40:H40"/>
    <mergeCell ref="A42:H50"/>
    <mergeCell ref="A40:C40"/>
    <mergeCell ref="A38:C38"/>
    <mergeCell ref="A39:C39"/>
  </mergeCells>
  <pageMargins left="0" right="0" top="1.3385826771653544" bottom="0.74803149606299213" header="0.31496062992125984" footer="0.31496062992125984"/>
  <pageSetup paperSize="9" scale="97" orientation="portrait" r:id="rId1"/>
  <headerFooter>
    <oddHeader xml:space="preserve">&amp;L&amp;G&amp;C&amp;"Adobe Garamond Pro Bold,Regular"&amp;22PRP&amp;RChambre N° :                                      .
     Date :                                      .   </oddHead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4:N32"/>
  <sheetViews>
    <sheetView topLeftCell="A16" zoomScaleNormal="100" workbookViewId="0">
      <selection activeCell="E60" sqref="E60"/>
    </sheetView>
  </sheetViews>
  <sheetFormatPr defaultColWidth="12.375" defaultRowHeight="12.75"/>
  <cols>
    <col min="1" max="1" width="7" style="120" customWidth="1"/>
    <col min="2" max="2" width="17.75" style="120" customWidth="1"/>
    <col min="3" max="16384" width="12.375" style="120"/>
  </cols>
  <sheetData>
    <row r="4" spans="2:14" ht="13.5" thickBot="1"/>
    <row r="5" spans="2:14" ht="21" thickBot="1">
      <c r="C5" s="231" t="s">
        <v>78</v>
      </c>
      <c r="D5" s="232"/>
      <c r="E5" s="232"/>
      <c r="F5" s="232"/>
      <c r="G5" s="232"/>
      <c r="H5" s="232"/>
      <c r="I5" s="232"/>
      <c r="J5" s="232"/>
      <c r="K5" s="232"/>
      <c r="L5" s="232"/>
      <c r="M5" s="232"/>
      <c r="N5" s="233"/>
    </row>
    <row r="6" spans="2:14" ht="23.25" customHeight="1"/>
    <row r="7" spans="2:14">
      <c r="C7" s="171" t="s">
        <v>79</v>
      </c>
      <c r="D7" s="171" t="s">
        <v>80</v>
      </c>
      <c r="E7" s="171" t="s">
        <v>81</v>
      </c>
      <c r="F7" s="171" t="s">
        <v>82</v>
      </c>
      <c r="G7" s="171" t="s">
        <v>83</v>
      </c>
      <c r="H7" s="171" t="s">
        <v>84</v>
      </c>
      <c r="I7" s="171" t="s">
        <v>85</v>
      </c>
      <c r="J7" s="171" t="s">
        <v>86</v>
      </c>
      <c r="K7" s="171" t="s">
        <v>87</v>
      </c>
      <c r="L7" s="171" t="s">
        <v>88</v>
      </c>
      <c r="M7" s="171" t="s">
        <v>89</v>
      </c>
      <c r="N7" s="171" t="s">
        <v>90</v>
      </c>
    </row>
    <row r="8" spans="2:14" ht="33.75" customHeight="1">
      <c r="B8" s="170" t="s">
        <v>91</v>
      </c>
      <c r="C8" s="234"/>
      <c r="D8" s="235"/>
      <c r="E8" s="235"/>
      <c r="F8" s="235"/>
      <c r="G8" s="235"/>
      <c r="H8" s="235"/>
      <c r="I8" s="235"/>
      <c r="J8" s="235"/>
      <c r="K8" s="236"/>
      <c r="L8" s="162">
        <v>19365</v>
      </c>
      <c r="M8" s="162">
        <v>21235</v>
      </c>
      <c r="N8" s="162">
        <v>34053</v>
      </c>
    </row>
    <row r="9" spans="2:14" ht="35.25" customHeight="1">
      <c r="B9" s="169" t="s">
        <v>92</v>
      </c>
      <c r="C9" s="162">
        <v>23598</v>
      </c>
      <c r="D9" s="162">
        <v>28302</v>
      </c>
      <c r="E9" s="162">
        <v>23000</v>
      </c>
      <c r="F9" s="162">
        <v>28601</v>
      </c>
      <c r="G9" s="162">
        <v>24612</v>
      </c>
      <c r="H9" s="162">
        <v>16695</v>
      </c>
      <c r="I9" s="162">
        <v>10756</v>
      </c>
      <c r="J9" s="162">
        <v>14749</v>
      </c>
      <c r="K9" s="162">
        <v>18297</v>
      </c>
      <c r="L9" s="162">
        <v>20801</v>
      </c>
      <c r="M9" s="162">
        <v>22927</v>
      </c>
      <c r="N9" s="162">
        <v>38265</v>
      </c>
    </row>
    <row r="10" spans="2:14" ht="32.25" customHeight="1">
      <c r="B10" s="168" t="s">
        <v>93</v>
      </c>
      <c r="C10" s="162">
        <v>39843</v>
      </c>
      <c r="D10" s="162">
        <v>27644</v>
      </c>
      <c r="E10" s="162">
        <v>31207</v>
      </c>
      <c r="F10" s="162">
        <v>34231</v>
      </c>
      <c r="G10" s="162">
        <v>21149.420000000002</v>
      </c>
      <c r="H10" s="162">
        <v>19502</v>
      </c>
      <c r="I10" s="162">
        <v>22293</v>
      </c>
      <c r="J10" s="162">
        <v>21244</v>
      </c>
      <c r="K10" s="162">
        <v>20201</v>
      </c>
      <c r="L10" s="162">
        <v>21000</v>
      </c>
      <c r="M10" s="162">
        <v>30135</v>
      </c>
      <c r="N10" s="162">
        <v>28841</v>
      </c>
    </row>
    <row r="11" spans="2:14" ht="34.5" customHeight="1">
      <c r="B11" s="167" t="s">
        <v>94</v>
      </c>
      <c r="C11" s="162">
        <v>33210.620000000003</v>
      </c>
      <c r="D11" s="162">
        <v>27328.669000000002</v>
      </c>
      <c r="E11" s="162">
        <v>22296.292000000001</v>
      </c>
      <c r="F11" s="162">
        <v>18205.006000000001</v>
      </c>
      <c r="G11" s="162">
        <v>16641.811000000002</v>
      </c>
      <c r="H11" s="162">
        <v>17087.758000000002</v>
      </c>
      <c r="I11" s="162">
        <v>13220.239000000001</v>
      </c>
      <c r="J11" s="162">
        <v>15457.909000000001</v>
      </c>
      <c r="K11" s="162">
        <v>10651.944000000001</v>
      </c>
      <c r="L11" s="162">
        <v>13951.846000000001</v>
      </c>
      <c r="M11" s="162">
        <v>24676.263000000003</v>
      </c>
      <c r="N11" s="162">
        <v>21781.575000000001</v>
      </c>
    </row>
    <row r="12" spans="2:14" ht="36.75" customHeight="1">
      <c r="B12" s="166" t="s">
        <v>95</v>
      </c>
      <c r="C12" s="162">
        <v>26669.535</v>
      </c>
      <c r="D12" s="162">
        <v>26601.294000000002</v>
      </c>
      <c r="E12" s="162">
        <v>23114.126</v>
      </c>
      <c r="F12" s="162">
        <v>20873.811000000002</v>
      </c>
      <c r="G12" s="162">
        <v>14596.168000000001</v>
      </c>
      <c r="H12" s="162">
        <v>10659.35</v>
      </c>
      <c r="I12" s="162">
        <v>18584.299000000003</v>
      </c>
      <c r="J12" s="162">
        <v>10559.897999999999</v>
      </c>
      <c r="K12" s="162">
        <v>8546.5240000000013</v>
      </c>
      <c r="L12" s="162">
        <v>17517.306</v>
      </c>
      <c r="M12" s="162">
        <v>20452.198</v>
      </c>
      <c r="N12" s="162">
        <v>27341.365000000002</v>
      </c>
    </row>
    <row r="13" spans="2:14" ht="36.75" customHeight="1">
      <c r="B13" s="165" t="s">
        <v>96</v>
      </c>
      <c r="C13" s="162">
        <v>30735.958000000002</v>
      </c>
      <c r="D13" s="162">
        <v>21724.442999999999</v>
      </c>
      <c r="E13" s="162">
        <v>11128.573</v>
      </c>
      <c r="F13" s="162">
        <v>4506.0219999999999</v>
      </c>
      <c r="G13" s="162">
        <v>0</v>
      </c>
      <c r="H13" s="162">
        <v>2998.3720000000003</v>
      </c>
      <c r="I13" s="162">
        <v>8663.5590000000011</v>
      </c>
      <c r="J13" s="162">
        <v>4731.9050000000007</v>
      </c>
      <c r="K13" s="162">
        <v>4832.415</v>
      </c>
      <c r="L13" s="162">
        <v>13092.221000000001</v>
      </c>
      <c r="M13" s="162">
        <v>17284.017</v>
      </c>
      <c r="N13" s="162">
        <v>16432.856</v>
      </c>
    </row>
    <row r="14" spans="2:14" ht="36.75" customHeight="1">
      <c r="B14" s="164" t="s">
        <v>97</v>
      </c>
      <c r="C14" s="162">
        <v>16222.314</v>
      </c>
      <c r="D14" s="162">
        <v>13578.901</v>
      </c>
      <c r="E14" s="162">
        <v>18500.717000000001</v>
      </c>
      <c r="F14" s="162">
        <v>11555.476000000001</v>
      </c>
      <c r="G14" s="162">
        <v>10801.651</v>
      </c>
      <c r="H14" s="162">
        <v>13800.552000000001</v>
      </c>
      <c r="I14" s="162">
        <v>9448.469000000001</v>
      </c>
      <c r="J14" s="162">
        <v>8828.4809999999998</v>
      </c>
      <c r="K14" s="162">
        <v>11498.344000000001</v>
      </c>
      <c r="L14" s="162">
        <v>11280.396000000001</v>
      </c>
      <c r="M14" s="162">
        <v>20677.552</v>
      </c>
      <c r="N14" s="162">
        <v>12106.165000000001</v>
      </c>
    </row>
    <row r="15" spans="2:14" ht="36.75" customHeight="1">
      <c r="B15" s="163" t="s">
        <v>98</v>
      </c>
      <c r="C15" s="162"/>
      <c r="D15" s="162"/>
      <c r="E15" s="162"/>
      <c r="F15" s="162"/>
      <c r="G15" s="162"/>
      <c r="H15" s="162"/>
      <c r="I15" s="162"/>
      <c r="J15" s="162"/>
      <c r="K15" s="162"/>
      <c r="L15" s="162"/>
      <c r="M15" s="162"/>
      <c r="N15" s="162"/>
    </row>
    <row r="16" spans="2:14" ht="21" thickBot="1">
      <c r="C16" s="237" t="s">
        <v>99</v>
      </c>
      <c r="D16" s="238"/>
      <c r="E16" s="238"/>
      <c r="F16" s="238"/>
      <c r="G16" s="238"/>
      <c r="H16" s="238"/>
      <c r="I16" s="238"/>
      <c r="J16" s="238"/>
      <c r="K16" s="238"/>
      <c r="L16" s="238"/>
      <c r="M16" s="238"/>
      <c r="N16" s="239"/>
    </row>
    <row r="18" spans="2:14" ht="17.25" customHeight="1">
      <c r="C18" s="171" t="s">
        <v>79</v>
      </c>
      <c r="D18" s="171" t="s">
        <v>80</v>
      </c>
      <c r="E18" s="171" t="s">
        <v>81</v>
      </c>
      <c r="F18" s="171" t="s">
        <v>82</v>
      </c>
      <c r="G18" s="171" t="s">
        <v>83</v>
      </c>
      <c r="H18" s="171" t="s">
        <v>84</v>
      </c>
      <c r="I18" s="171" t="s">
        <v>85</v>
      </c>
      <c r="J18" s="171" t="s">
        <v>86</v>
      </c>
      <c r="K18" s="171" t="s">
        <v>87</v>
      </c>
      <c r="L18" s="171" t="s">
        <v>88</v>
      </c>
      <c r="M18" s="171" t="s">
        <v>89</v>
      </c>
      <c r="N18" s="171" t="s">
        <v>90</v>
      </c>
    </row>
    <row r="19" spans="2:14" ht="30" customHeight="1">
      <c r="B19" s="170" t="s">
        <v>91</v>
      </c>
      <c r="C19" s="234"/>
      <c r="D19" s="235"/>
      <c r="E19" s="235"/>
      <c r="F19" s="235"/>
      <c r="G19" s="235"/>
      <c r="H19" s="235"/>
      <c r="I19" s="235"/>
      <c r="J19" s="235"/>
      <c r="K19" s="236"/>
      <c r="L19" s="162">
        <v>222503.85</v>
      </c>
      <c r="M19" s="162">
        <v>248385.8</v>
      </c>
      <c r="N19" s="162">
        <v>412790.47</v>
      </c>
    </row>
    <row r="20" spans="2:14" ht="30" customHeight="1">
      <c r="B20" s="169" t="s">
        <v>92</v>
      </c>
      <c r="C20" s="162">
        <v>281335.36</v>
      </c>
      <c r="D20" s="162">
        <v>329491.88</v>
      </c>
      <c r="E20" s="172">
        <v>263166</v>
      </c>
      <c r="F20" s="162">
        <v>334402.89</v>
      </c>
      <c r="G20" s="162">
        <v>287763.5</v>
      </c>
      <c r="H20" s="162">
        <v>200206.44</v>
      </c>
      <c r="I20" s="162">
        <v>128985.95</v>
      </c>
      <c r="J20" s="162">
        <v>174687.16</v>
      </c>
      <c r="K20" s="162">
        <v>221708.41</v>
      </c>
      <c r="L20" s="162">
        <v>257125.33</v>
      </c>
      <c r="M20" s="162">
        <v>290283.33</v>
      </c>
      <c r="N20" s="162">
        <v>491751.17</v>
      </c>
    </row>
    <row r="21" spans="2:14" ht="38.25" customHeight="1">
      <c r="B21" s="168" t="s">
        <v>93</v>
      </c>
      <c r="C21" s="162">
        <v>534222.91</v>
      </c>
      <c r="D21" s="162">
        <v>397841.39</v>
      </c>
      <c r="E21" s="172">
        <v>463317.85</v>
      </c>
      <c r="F21" s="162">
        <v>473982.96</v>
      </c>
      <c r="G21" s="162">
        <v>288617.67497200001</v>
      </c>
      <c r="H21" s="162">
        <v>262138.08</v>
      </c>
      <c r="I21" s="162">
        <v>290959.32</v>
      </c>
      <c r="J21" s="162">
        <v>277268.19</v>
      </c>
      <c r="K21" s="162">
        <v>269109.64</v>
      </c>
      <c r="L21" s="162">
        <v>279753.59999999998</v>
      </c>
      <c r="M21" s="162">
        <v>411233.26</v>
      </c>
      <c r="N21" s="162">
        <v>393575.4632766</v>
      </c>
    </row>
    <row r="22" spans="2:14" ht="36" customHeight="1">
      <c r="B22" s="167" t="s">
        <v>94</v>
      </c>
      <c r="C22" s="162">
        <v>433913.35561000003</v>
      </c>
      <c r="D22" s="162">
        <v>365261.32551950007</v>
      </c>
      <c r="E22" s="162">
        <v>291312.20312600001</v>
      </c>
      <c r="F22" s="162">
        <v>213834.17997540004</v>
      </c>
      <c r="G22" s="162">
        <v>197886.11041990001</v>
      </c>
      <c r="H22" s="162">
        <v>143537.16720000003</v>
      </c>
      <c r="I22" s="162">
        <v>111050.00760000001</v>
      </c>
      <c r="J22" s="162">
        <v>129846.43560000001</v>
      </c>
      <c r="K22" s="162">
        <v>97997.8848</v>
      </c>
      <c r="L22" s="162">
        <v>117195.50640000001</v>
      </c>
      <c r="M22" s="162">
        <v>207280.60920000004</v>
      </c>
      <c r="N22" s="162">
        <v>182965.23</v>
      </c>
    </row>
    <row r="23" spans="2:14" ht="36.75" customHeight="1">
      <c r="B23" s="166" t="s">
        <v>95</v>
      </c>
      <c r="C23" s="162">
        <v>224024.09400000001</v>
      </c>
      <c r="D23" s="162">
        <v>223450.86960000003</v>
      </c>
      <c r="E23" s="162">
        <v>209182.84030000001</v>
      </c>
      <c r="F23" s="162">
        <v>188907.98955000003</v>
      </c>
      <c r="G23" s="162">
        <v>129176.0868</v>
      </c>
      <c r="H23" s="162">
        <v>94335.247499999998</v>
      </c>
      <c r="I23" s="162">
        <v>144957.53220000002</v>
      </c>
      <c r="J23" s="162">
        <v>77405.108330000003</v>
      </c>
      <c r="K23" s="162">
        <v>62646.875572400008</v>
      </c>
      <c r="L23" s="162">
        <v>128403.6047106</v>
      </c>
      <c r="M23" s="162">
        <v>149916.6565598</v>
      </c>
      <c r="N23" s="162">
        <v>217831.38909150002</v>
      </c>
    </row>
    <row r="24" spans="2:14" ht="36.75" customHeight="1">
      <c r="B24" s="165" t="s">
        <v>96</v>
      </c>
      <c r="C24" s="162">
        <v>244876.45098180004</v>
      </c>
      <c r="D24" s="162">
        <v>193260.64492800002</v>
      </c>
      <c r="E24" s="162">
        <v>87871.212408000007</v>
      </c>
      <c r="F24" s="162">
        <v>35579.549712</v>
      </c>
      <c r="G24" s="162">
        <v>0</v>
      </c>
      <c r="H24" s="162">
        <v>23675.145312000001</v>
      </c>
      <c r="I24" s="162">
        <v>72782.559159000011</v>
      </c>
      <c r="J24" s="162">
        <v>40462.519659999998</v>
      </c>
      <c r="K24" s="162">
        <v>41321.980665000003</v>
      </c>
      <c r="L24" s="162">
        <v>111951.58177100001</v>
      </c>
      <c r="M24" s="162">
        <v>151252.43276699999</v>
      </c>
      <c r="N24" s="162">
        <v>147090.494056</v>
      </c>
    </row>
    <row r="25" spans="2:14" ht="36.75" customHeight="1">
      <c r="B25" s="164" t="s">
        <v>97</v>
      </c>
      <c r="C25" s="162">
        <v>175249.65814200003</v>
      </c>
      <c r="D25" s="162">
        <v>133357.0288309</v>
      </c>
      <c r="E25" s="162">
        <v>160956.23789999998</v>
      </c>
      <c r="F25" s="162">
        <v>100532.6412</v>
      </c>
      <c r="G25" s="162">
        <v>93974.363699999987</v>
      </c>
      <c r="H25" s="162">
        <v>120064.8024</v>
      </c>
      <c r="I25" s="162">
        <v>79461.624290000007</v>
      </c>
      <c r="J25" s="162">
        <v>84841.702409999998</v>
      </c>
      <c r="K25" s="162">
        <v>114580.99796000001</v>
      </c>
      <c r="L25" s="162">
        <v>126919.11951480001</v>
      </c>
      <c r="M25" s="162">
        <v>216928.19803199999</v>
      </c>
      <c r="N25" s="162">
        <v>127005.777015</v>
      </c>
    </row>
    <row r="26" spans="2:14" ht="36.75" customHeight="1">
      <c r="B26" s="163" t="s">
        <v>98</v>
      </c>
      <c r="C26" s="162"/>
      <c r="D26" s="162"/>
      <c r="E26" s="162"/>
      <c r="F26" s="162"/>
      <c r="G26" s="162"/>
      <c r="H26" s="162"/>
      <c r="I26" s="162"/>
      <c r="J26" s="162"/>
      <c r="K26" s="162"/>
      <c r="L26" s="162"/>
      <c r="M26" s="162"/>
      <c r="N26" s="162"/>
    </row>
    <row r="31" spans="2:14" ht="16.5" customHeight="1"/>
    <row r="32" spans="2:14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X55"/>
  <sheetViews>
    <sheetView zoomScale="70" zoomScaleNormal="70" workbookViewId="0">
      <pane xSplit="3" ySplit="9" topLeftCell="D21" activePane="bottomRight" state="frozen"/>
      <selection pane="bottomRight" activeCell="A21" sqref="A21"/>
      <selection pane="bottomLeft" activeCell="A21" sqref="A21:IV21"/>
      <selection pane="topRight" activeCell="A21" sqref="A21:IV21"/>
    </sheetView>
  </sheetViews>
  <sheetFormatPr defaultColWidth="10" defaultRowHeight="18"/>
  <cols>
    <col min="1" max="1" width="7.875" style="67" customWidth="1"/>
    <col min="2" max="2" width="21.75" style="67" customWidth="1"/>
    <col min="3" max="3" width="1.375" style="67" customWidth="1"/>
    <col min="4" max="6" width="21.625" style="67" customWidth="1"/>
    <col min="7" max="7" width="1.5" style="67" customWidth="1"/>
    <col min="8" max="8" width="14.75" style="67" customWidth="1"/>
    <col min="9" max="9" width="1.5" style="67" customWidth="1"/>
    <col min="10" max="10" width="10.25" style="67" customWidth="1"/>
    <col min="11" max="11" width="0.125" style="67" customWidth="1"/>
    <col min="12" max="12" width="21.375" style="67" customWidth="1"/>
    <col min="13" max="13" width="23.375" style="67" customWidth="1"/>
    <col min="14" max="14" width="19.625" style="67" customWidth="1"/>
    <col min="15" max="15" width="21.75" style="67" customWidth="1"/>
    <col min="16" max="16" width="1.625" style="67" customWidth="1"/>
    <col min="17" max="17" width="23.25" style="67" customWidth="1"/>
    <col min="18" max="18" width="1.375" style="67" customWidth="1"/>
    <col min="19" max="19" width="0.25" style="67" hidden="1" customWidth="1"/>
    <col min="20" max="20" width="0.5" style="67" hidden="1" customWidth="1"/>
    <col min="21" max="21" width="0.375" style="67" customWidth="1"/>
    <col min="22" max="22" width="24" style="67" customWidth="1"/>
    <col min="23" max="23" width="1.125" style="67" customWidth="1"/>
    <col min="24" max="24" width="22" style="67" customWidth="1"/>
    <col min="25" max="16384" width="10" style="67"/>
  </cols>
  <sheetData>
    <row r="1" spans="1:24" ht="18.75" thickBot="1"/>
    <row r="2" spans="1:24" ht="100.5" customHeight="1" thickBot="1">
      <c r="A2" s="311"/>
      <c r="B2" s="312"/>
      <c r="C2" s="312"/>
      <c r="D2" s="312"/>
      <c r="E2" s="312"/>
      <c r="F2" s="312"/>
      <c r="G2" s="312"/>
      <c r="H2" s="313"/>
      <c r="I2" s="314" t="s">
        <v>100</v>
      </c>
      <c r="J2" s="315"/>
      <c r="K2" s="315"/>
      <c r="L2" s="315"/>
      <c r="M2" s="315"/>
      <c r="N2" s="315"/>
      <c r="O2" s="315"/>
      <c r="P2" s="315"/>
      <c r="Q2" s="315"/>
      <c r="R2" s="315"/>
      <c r="S2" s="315"/>
      <c r="T2" s="315"/>
      <c r="U2" s="315"/>
      <c r="V2" s="315"/>
      <c r="W2" s="315"/>
      <c r="X2" s="315"/>
    </row>
    <row r="3" spans="1:24" ht="15" hidden="1" customHeight="1" thickBot="1"/>
    <row r="4" spans="1:24" ht="39" hidden="1" customHeight="1" thickBot="1">
      <c r="A4" s="316"/>
      <c r="B4" s="316"/>
      <c r="C4" s="316"/>
      <c r="D4" s="68"/>
      <c r="E4" s="68"/>
      <c r="F4" s="68"/>
      <c r="G4" s="68"/>
      <c r="H4" s="68"/>
      <c r="I4" s="68"/>
      <c r="J4" s="68"/>
      <c r="K4" s="68"/>
      <c r="L4" s="68"/>
      <c r="M4" s="69" t="s">
        <v>101</v>
      </c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</row>
    <row r="5" spans="1:24" ht="37.5" hidden="1" customHeight="1" thickBot="1">
      <c r="A5" s="316"/>
      <c r="B5" s="316"/>
      <c r="C5" s="316"/>
      <c r="D5" s="68"/>
      <c r="E5" s="68"/>
      <c r="F5" s="68"/>
      <c r="G5" s="68"/>
      <c r="H5" s="68"/>
      <c r="I5" s="68"/>
      <c r="J5" s="68"/>
      <c r="K5" s="68"/>
      <c r="L5" s="68"/>
      <c r="M5" s="317"/>
      <c r="N5" s="317"/>
      <c r="O5" s="317"/>
      <c r="P5" s="317"/>
      <c r="Q5" s="317"/>
      <c r="R5" s="317"/>
      <c r="S5" s="317"/>
      <c r="T5" s="317"/>
      <c r="U5" s="317"/>
      <c r="V5" s="317"/>
      <c r="W5" s="317"/>
      <c r="X5" s="317"/>
    </row>
    <row r="6" spans="1:24" s="68" customFormat="1" ht="44.25" hidden="1" customHeight="1" thickBot="1">
      <c r="A6" s="70"/>
      <c r="B6" s="70"/>
      <c r="C6" s="70"/>
      <c r="M6" s="317"/>
      <c r="N6" s="317"/>
      <c r="O6" s="317"/>
      <c r="P6" s="317"/>
      <c r="Q6" s="317"/>
      <c r="R6" s="317"/>
      <c r="S6" s="317"/>
      <c r="T6" s="317"/>
      <c r="U6" s="317"/>
      <c r="V6" s="317"/>
      <c r="W6" s="317"/>
      <c r="X6" s="317"/>
    </row>
    <row r="7" spans="1:24" s="68" customFormat="1" ht="18.75" hidden="1" customHeight="1" thickBot="1">
      <c r="F7" s="317"/>
      <c r="G7" s="317"/>
      <c r="H7" s="317"/>
      <c r="I7" s="317"/>
      <c r="J7" s="317"/>
      <c r="K7" s="317"/>
      <c r="L7" s="317"/>
      <c r="M7" s="317"/>
      <c r="N7" s="318"/>
      <c r="O7" s="318"/>
      <c r="P7" s="317"/>
      <c r="Q7" s="317"/>
      <c r="R7" s="317"/>
      <c r="S7" s="317"/>
      <c r="T7" s="317"/>
      <c r="U7" s="317"/>
      <c r="V7" s="317"/>
      <c r="W7" s="317"/>
      <c r="X7" s="317"/>
    </row>
    <row r="8" spans="1:24" ht="18.75" customHeight="1" thickBot="1">
      <c r="A8" s="317"/>
      <c r="B8" s="319" t="s">
        <v>22</v>
      </c>
      <c r="C8" s="71"/>
      <c r="D8" s="320" t="s">
        <v>102</v>
      </c>
      <c r="E8" s="320" t="s">
        <v>103</v>
      </c>
      <c r="F8" s="322" t="s">
        <v>104</v>
      </c>
      <c r="G8" s="69"/>
      <c r="H8" s="301" t="s">
        <v>105</v>
      </c>
      <c r="I8" s="302"/>
      <c r="J8" s="303"/>
      <c r="K8" s="307" t="s">
        <v>106</v>
      </c>
      <c r="L8" s="309" t="s">
        <v>107</v>
      </c>
      <c r="M8" s="309"/>
      <c r="N8" s="309"/>
      <c r="O8" s="309" t="s">
        <v>108</v>
      </c>
      <c r="P8" s="69"/>
      <c r="Q8" s="297" t="s">
        <v>105</v>
      </c>
      <c r="R8" s="69"/>
      <c r="S8" s="297" t="s">
        <v>109</v>
      </c>
      <c r="T8" s="69"/>
      <c r="U8" s="297" t="s">
        <v>110</v>
      </c>
      <c r="V8" s="299" t="s">
        <v>111</v>
      </c>
      <c r="W8" s="69"/>
      <c r="X8" s="297" t="s">
        <v>105</v>
      </c>
    </row>
    <row r="9" spans="1:24" ht="59.25" customHeight="1" thickBot="1">
      <c r="A9" s="317"/>
      <c r="B9" s="319"/>
      <c r="C9" s="71"/>
      <c r="D9" s="321"/>
      <c r="E9" s="321"/>
      <c r="F9" s="323"/>
      <c r="G9" s="69"/>
      <c r="H9" s="304"/>
      <c r="I9" s="305"/>
      <c r="J9" s="306"/>
      <c r="K9" s="308"/>
      <c r="L9" s="72" t="s">
        <v>112</v>
      </c>
      <c r="M9" s="72" t="s">
        <v>113</v>
      </c>
      <c r="N9" s="72" t="s">
        <v>114</v>
      </c>
      <c r="O9" s="310"/>
      <c r="P9" s="69"/>
      <c r="Q9" s="298"/>
      <c r="R9" s="69"/>
      <c r="S9" s="298"/>
      <c r="T9" s="69"/>
      <c r="U9" s="298"/>
      <c r="V9" s="300"/>
      <c r="W9" s="69"/>
      <c r="X9" s="298"/>
    </row>
    <row r="10" spans="1:24" ht="32.25" customHeight="1" thickBot="1">
      <c r="A10" s="69"/>
      <c r="B10" s="73">
        <v>44562</v>
      </c>
      <c r="C10" s="74"/>
      <c r="D10" s="75">
        <v>21</v>
      </c>
      <c r="E10" s="75">
        <v>40</v>
      </c>
      <c r="F10" s="76">
        <f>'[1]Suivi EAU-ELEC'!E9</f>
        <v>8.7999999999883585</v>
      </c>
      <c r="G10" s="77"/>
      <c r="H10" s="292">
        <f>F10*8.79</f>
        <v>77.351999999897657</v>
      </c>
      <c r="I10" s="293"/>
      <c r="J10" s="293"/>
      <c r="K10" s="78">
        <v>42278</v>
      </c>
      <c r="L10" s="79">
        <f>'[1]Suivi EAU-ELEC'!G9</f>
        <v>2484</v>
      </c>
      <c r="M10" s="80">
        <f>'[1]Suivi EAU-ELEC'!I9</f>
        <v>3362</v>
      </c>
      <c r="N10" s="80">
        <f>'[1]Suivi EAU-ELEC'!K9</f>
        <v>1521</v>
      </c>
      <c r="O10" s="80">
        <f>L10+M10+N10</f>
        <v>7367</v>
      </c>
      <c r="P10" s="77"/>
      <c r="Q10" s="81">
        <f>L10*0.6985+M10*0.9514+N10*1.3304</f>
        <v>6957.2192000000005</v>
      </c>
      <c r="R10" s="77"/>
      <c r="S10" s="82"/>
      <c r="T10" s="77"/>
      <c r="U10" s="82"/>
      <c r="V10" s="83">
        <f>'[1]Suvi Gaz'!O4</f>
        <v>191.99526</v>
      </c>
      <c r="W10" s="77"/>
      <c r="X10" s="81">
        <f>V10*11.565</f>
        <v>2220.4251819000001</v>
      </c>
    </row>
    <row r="11" spans="1:24" ht="32.25" customHeight="1" thickBot="1">
      <c r="A11" s="69"/>
      <c r="B11" s="73">
        <v>44563</v>
      </c>
      <c r="C11" s="74"/>
      <c r="D11" s="75">
        <v>16</v>
      </c>
      <c r="E11" s="75">
        <v>36</v>
      </c>
      <c r="F11" s="76">
        <f>'[1]Suivi EAU-ELEC'!E10</f>
        <v>35</v>
      </c>
      <c r="G11" s="77"/>
      <c r="H11" s="292">
        <f t="shared" ref="H11:H35" si="0">F11*8.79</f>
        <v>307.64999999999998</v>
      </c>
      <c r="I11" s="293"/>
      <c r="J11" s="293"/>
      <c r="K11" s="78">
        <v>42279</v>
      </c>
      <c r="L11" s="79">
        <f>'[1]Suivi EAU-ELEC'!G10</f>
        <v>2452</v>
      </c>
      <c r="M11" s="80">
        <f>'[1]Suivi EAU-ELEC'!I10</f>
        <v>3357</v>
      </c>
      <c r="N11" s="80">
        <f>'[1]Suivi EAU-ELEC'!K10</f>
        <v>1493</v>
      </c>
      <c r="O11" s="80">
        <f>L11+M11+N11</f>
        <v>7302</v>
      </c>
      <c r="P11" s="77"/>
      <c r="Q11" s="81">
        <f>L11*0.6985+M11*0.9514+N14*1.3304</f>
        <v>8271.1533999999992</v>
      </c>
      <c r="R11" s="77"/>
      <c r="S11" s="82"/>
      <c r="T11" s="77"/>
      <c r="U11" s="82"/>
      <c r="V11" s="83">
        <f>'[1]Suvi Gaz'!O5</f>
        <v>191.99526</v>
      </c>
      <c r="W11" s="77"/>
      <c r="X11" s="81">
        <f t="shared" ref="X11:X40" si="1">V11*11.565</f>
        <v>2220.4251819000001</v>
      </c>
    </row>
    <row r="12" spans="1:24" ht="32.25" customHeight="1" thickBot="1">
      <c r="A12" s="69"/>
      <c r="B12" s="73">
        <v>44564</v>
      </c>
      <c r="C12" s="74"/>
      <c r="D12" s="75">
        <v>10</v>
      </c>
      <c r="E12" s="75">
        <v>19</v>
      </c>
      <c r="F12" s="76">
        <f>'[1]Suivi EAU-ELEC'!E11</f>
        <v>53</v>
      </c>
      <c r="G12" s="77"/>
      <c r="H12" s="292">
        <f t="shared" si="0"/>
        <v>465.86999999999995</v>
      </c>
      <c r="I12" s="293"/>
      <c r="J12" s="293"/>
      <c r="K12" s="78">
        <v>42280</v>
      </c>
      <c r="L12" s="79">
        <f>'[1]Suivi EAU-ELEC'!G11</f>
        <v>2448</v>
      </c>
      <c r="M12" s="80">
        <f>'[1]Suivi EAU-ELEC'!I11</f>
        <v>3259</v>
      </c>
      <c r="N12" s="80">
        <f>'[1]Suivi EAU-ELEC'!K11</f>
        <v>1482</v>
      </c>
      <c r="O12" s="80">
        <f>L12+M12+N12</f>
        <v>7189</v>
      </c>
      <c r="P12" s="77"/>
      <c r="Q12" s="81">
        <f>L12*0.6985+M12*0.9514+N12*1.3304</f>
        <v>6782.1934000000001</v>
      </c>
      <c r="R12" s="77"/>
      <c r="S12" s="82"/>
      <c r="T12" s="77"/>
      <c r="U12" s="82"/>
      <c r="V12" s="83">
        <f>'[1]Suvi Gaz'!O6</f>
        <v>351.99131</v>
      </c>
      <c r="W12" s="77"/>
      <c r="X12" s="81">
        <f t="shared" si="1"/>
        <v>4070.7795001499999</v>
      </c>
    </row>
    <row r="13" spans="1:24" ht="32.25" customHeight="1" thickBot="1">
      <c r="A13" s="69"/>
      <c r="B13" s="73">
        <v>44565</v>
      </c>
      <c r="C13" s="74"/>
      <c r="D13" s="75">
        <v>10</v>
      </c>
      <c r="E13" s="75">
        <v>15</v>
      </c>
      <c r="F13" s="76">
        <f>'[1]Suivi EAU-ELEC'!E12</f>
        <v>42.899999999994179</v>
      </c>
      <c r="G13" s="77"/>
      <c r="H13" s="292">
        <f t="shared" si="0"/>
        <v>377.09099999994879</v>
      </c>
      <c r="I13" s="293"/>
      <c r="J13" s="293"/>
      <c r="K13" s="78">
        <v>42281</v>
      </c>
      <c r="L13" s="79">
        <f>'[1]Suivi EAU-ELEC'!G12</f>
        <v>2417</v>
      </c>
      <c r="M13" s="80">
        <f>'[1]Suivi EAU-ELEC'!I12</f>
        <v>3239</v>
      </c>
      <c r="N13" s="80">
        <f>'[1]Suivi EAU-ELEC'!K12</f>
        <v>503</v>
      </c>
      <c r="O13" s="80">
        <f t="shared" ref="O13:O28" si="2">L13+M13+N13</f>
        <v>6159</v>
      </c>
      <c r="P13" s="77"/>
      <c r="Q13" s="81">
        <f t="shared" ref="Q13:Q40" si="3">L13*0.6985+M13*0.9514+N13*1.3304</f>
        <v>5439.0502999999999</v>
      </c>
      <c r="R13" s="77"/>
      <c r="S13" s="82"/>
      <c r="T13" s="77"/>
      <c r="U13" s="82"/>
      <c r="V13" s="83">
        <f>'[1]Suvi Gaz'!O7</f>
        <v>384.71640000000002</v>
      </c>
      <c r="W13" s="77"/>
      <c r="X13" s="81">
        <f t="shared" si="1"/>
        <v>4449.2451659999997</v>
      </c>
    </row>
    <row r="14" spans="1:24" ht="32.25" customHeight="1" thickBot="1">
      <c r="A14" s="69"/>
      <c r="B14" s="73">
        <v>44566</v>
      </c>
      <c r="C14" s="74"/>
      <c r="D14" s="75">
        <v>10</v>
      </c>
      <c r="E14" s="75">
        <v>15</v>
      </c>
      <c r="F14" s="76">
        <f>'[1]Suivi EAU-ELEC'!E13</f>
        <v>48.399999999994179</v>
      </c>
      <c r="G14" s="84"/>
      <c r="H14" s="292">
        <f t="shared" si="0"/>
        <v>425.43599999994882</v>
      </c>
      <c r="I14" s="293"/>
      <c r="J14" s="293"/>
      <c r="K14" s="78">
        <v>42282</v>
      </c>
      <c r="L14" s="79">
        <f>'[1]Suivi EAU-ELEC'!G13</f>
        <v>2492</v>
      </c>
      <c r="M14" s="80">
        <f>'[1]Suivi EAU-ELEC'!I13</f>
        <v>3356</v>
      </c>
      <c r="N14" s="80">
        <f>'[1]Suivi EAU-ELEC'!K13</f>
        <v>2529</v>
      </c>
      <c r="O14" s="80">
        <f t="shared" si="2"/>
        <v>8377</v>
      </c>
      <c r="P14" s="84"/>
      <c r="Q14" s="81">
        <f t="shared" si="3"/>
        <v>8298.1419999999998</v>
      </c>
      <c r="R14" s="84"/>
      <c r="S14" s="82"/>
      <c r="T14" s="84"/>
      <c r="U14" s="82"/>
      <c r="V14" s="83">
        <f>'[1]Suvi Gaz'!O8</f>
        <v>287.99288999999999</v>
      </c>
      <c r="W14" s="77"/>
      <c r="X14" s="81">
        <f t="shared" si="1"/>
        <v>3330.6377728499997</v>
      </c>
    </row>
    <row r="15" spans="1:24" ht="32.25" customHeight="1" thickBot="1">
      <c r="A15" s="68"/>
      <c r="B15" s="73">
        <v>44567</v>
      </c>
      <c r="C15" s="74"/>
      <c r="D15" s="75">
        <v>9</v>
      </c>
      <c r="E15" s="75">
        <v>15</v>
      </c>
      <c r="F15" s="76">
        <f>'[1]Suivi EAU-ELEC'!E14</f>
        <v>49.900000000023283</v>
      </c>
      <c r="G15" s="77"/>
      <c r="H15" s="292">
        <f t="shared" si="0"/>
        <v>438.62100000020462</v>
      </c>
      <c r="I15" s="293"/>
      <c r="J15" s="293"/>
      <c r="K15" s="78">
        <v>42283</v>
      </c>
      <c r="L15" s="79">
        <f>'[1]Suivi EAU-ELEC'!G14</f>
        <v>2531</v>
      </c>
      <c r="M15" s="80">
        <f>'[1]Suivi EAU-ELEC'!I14</f>
        <v>3310</v>
      </c>
      <c r="N15" s="80">
        <f>'[1]Suivi EAU-ELEC'!K14</f>
        <v>1454</v>
      </c>
      <c r="O15" s="80">
        <f t="shared" si="2"/>
        <v>7295</v>
      </c>
      <c r="P15" s="84"/>
      <c r="Q15" s="81">
        <f>L15*0.6985+M15*0.9514+N15*1.3304</f>
        <v>6851.4391000000005</v>
      </c>
      <c r="R15" s="84"/>
      <c r="S15" s="82"/>
      <c r="T15" s="84"/>
      <c r="U15" s="82"/>
      <c r="V15" s="83">
        <f>'[1]Suvi Gaz'!O9</f>
        <v>127.99684000000001</v>
      </c>
      <c r="W15" s="77"/>
      <c r="X15" s="81">
        <f t="shared" si="1"/>
        <v>1480.2834545999999</v>
      </c>
    </row>
    <row r="16" spans="1:24" ht="32.25" customHeight="1" thickBot="1">
      <c r="A16" s="68"/>
      <c r="B16" s="73">
        <v>44568</v>
      </c>
      <c r="C16" s="74"/>
      <c r="D16" s="75">
        <v>15</v>
      </c>
      <c r="E16" s="75">
        <v>30</v>
      </c>
      <c r="F16" s="76">
        <f>'[1]Suivi EAU-ELEC'!E15</f>
        <v>39.799999999988358</v>
      </c>
      <c r="G16" s="77"/>
      <c r="H16" s="292">
        <f t="shared" si="0"/>
        <v>349.84199999989761</v>
      </c>
      <c r="I16" s="293"/>
      <c r="J16" s="293"/>
      <c r="K16" s="78">
        <v>42284</v>
      </c>
      <c r="L16" s="79">
        <f>'[1]Suivi EAU-ELEC'!G15</f>
        <v>2418</v>
      </c>
      <c r="M16" s="80">
        <f>'[1]Suivi EAU-ELEC'!I15</f>
        <v>3206</v>
      </c>
      <c r="N16" s="80">
        <f>'[1]Suivi EAU-ELEC'!K15</f>
        <v>1462</v>
      </c>
      <c r="O16" s="80">
        <f t="shared" si="2"/>
        <v>7086</v>
      </c>
      <c r="P16" s="77"/>
      <c r="Q16" s="81">
        <f t="shared" si="3"/>
        <v>6684.2062000000005</v>
      </c>
      <c r="R16" s="77"/>
      <c r="S16" s="82"/>
      <c r="T16" s="77"/>
      <c r="U16" s="82"/>
      <c r="V16" s="83">
        <f>'[1]Suvi Gaz'!O10</f>
        <v>191.99526</v>
      </c>
      <c r="W16" s="77"/>
      <c r="X16" s="81">
        <f t="shared" si="1"/>
        <v>2220.4251819000001</v>
      </c>
    </row>
    <row r="17" spans="1:24" s="68" customFormat="1" ht="32.25" customHeight="1" thickBot="1">
      <c r="A17" s="69"/>
      <c r="B17" s="73">
        <v>44569</v>
      </c>
      <c r="C17" s="74"/>
      <c r="D17" s="75">
        <v>18</v>
      </c>
      <c r="E17" s="75">
        <v>28</v>
      </c>
      <c r="F17" s="76">
        <f>'[1]Suivi EAU-ELEC'!E16</f>
        <v>41</v>
      </c>
      <c r="G17" s="77"/>
      <c r="H17" s="292">
        <f t="shared" si="0"/>
        <v>360.39</v>
      </c>
      <c r="I17" s="293"/>
      <c r="J17" s="293"/>
      <c r="K17" s="78">
        <v>42285</v>
      </c>
      <c r="L17" s="79">
        <f>'[1]Suivi EAU-ELEC'!G16</f>
        <v>2490</v>
      </c>
      <c r="M17" s="80">
        <f>'[1]Suivi EAU-ELEC'!I16</f>
        <v>3204</v>
      </c>
      <c r="N17" s="80">
        <f>'[1]Suivi EAU-ELEC'!K16</f>
        <v>1522</v>
      </c>
      <c r="O17" s="80">
        <f t="shared" si="2"/>
        <v>7216</v>
      </c>
      <c r="P17" s="84"/>
      <c r="Q17" s="81">
        <f t="shared" si="3"/>
        <v>6812.4194000000007</v>
      </c>
      <c r="R17" s="84"/>
      <c r="S17" s="82"/>
      <c r="T17" s="84"/>
      <c r="U17" s="82"/>
      <c r="V17" s="83">
        <f>'[1]Suvi Gaz'!O11</f>
        <v>287.99288999999999</v>
      </c>
      <c r="W17" s="77"/>
      <c r="X17" s="81">
        <f t="shared" si="1"/>
        <v>3330.6377728499997</v>
      </c>
    </row>
    <row r="18" spans="1:24" ht="32.25" customHeight="1" thickBot="1">
      <c r="A18" s="69"/>
      <c r="B18" s="73">
        <v>44570</v>
      </c>
      <c r="C18" s="74"/>
      <c r="D18" s="75">
        <v>13</v>
      </c>
      <c r="E18" s="75">
        <v>22</v>
      </c>
      <c r="F18" s="76">
        <f>'[1]Suivi EAU-ELEC'!E17</f>
        <v>49</v>
      </c>
      <c r="G18" s="77"/>
      <c r="H18" s="292">
        <f t="shared" si="0"/>
        <v>430.71</v>
      </c>
      <c r="I18" s="293"/>
      <c r="J18" s="293"/>
      <c r="K18" s="78">
        <v>42286</v>
      </c>
      <c r="L18" s="79">
        <f>'[1]Suivi EAU-ELEC'!G17</f>
        <v>2321</v>
      </c>
      <c r="M18" s="80">
        <f>'[1]Suivi EAU-ELEC'!I17</f>
        <v>3066</v>
      </c>
      <c r="N18" s="80">
        <f>'[1]Suivi EAU-ELEC'!K17</f>
        <v>1463</v>
      </c>
      <c r="O18" s="80">
        <f t="shared" si="2"/>
        <v>6850</v>
      </c>
      <c r="P18" s="84"/>
      <c r="Q18" s="81">
        <f t="shared" si="3"/>
        <v>6484.5861000000004</v>
      </c>
      <c r="R18" s="84"/>
      <c r="S18" s="82"/>
      <c r="T18" s="84"/>
      <c r="U18" s="82"/>
      <c r="V18" s="83">
        <f>'[1]Suvi Gaz'!O12</f>
        <v>383.99052</v>
      </c>
      <c r="W18" s="77"/>
      <c r="X18" s="81">
        <f t="shared" si="1"/>
        <v>4440.8503638000002</v>
      </c>
    </row>
    <row r="19" spans="1:24" ht="32.25" customHeight="1" thickBot="1">
      <c r="A19" s="69"/>
      <c r="B19" s="73">
        <v>44571</v>
      </c>
      <c r="C19" s="74"/>
      <c r="D19" s="75">
        <v>13</v>
      </c>
      <c r="E19" s="75">
        <v>21</v>
      </c>
      <c r="F19" s="76">
        <f>'[1]Suivi EAU-ELEC'!E18</f>
        <v>43</v>
      </c>
      <c r="G19" s="84"/>
      <c r="H19" s="292">
        <f t="shared" si="0"/>
        <v>377.96999999999997</v>
      </c>
      <c r="I19" s="293"/>
      <c r="J19" s="293"/>
      <c r="K19" s="78">
        <v>42287</v>
      </c>
      <c r="L19" s="79">
        <f>'[1]Suivi EAU-ELEC'!G18</f>
        <v>2371</v>
      </c>
      <c r="M19" s="80">
        <f>'[1]Suivi EAU-ELEC'!I18</f>
        <v>3040</v>
      </c>
      <c r="N19" s="80">
        <f>'[1]Suivi EAU-ELEC'!K18</f>
        <v>1420</v>
      </c>
      <c r="O19" s="80">
        <f t="shared" si="2"/>
        <v>6831</v>
      </c>
      <c r="P19" s="84"/>
      <c r="Q19" s="81">
        <f t="shared" si="3"/>
        <v>6437.5674999999992</v>
      </c>
      <c r="R19" s="84"/>
      <c r="S19" s="82"/>
      <c r="T19" s="84"/>
      <c r="U19" s="82"/>
      <c r="V19" s="83">
        <f>'[1]Suvi Gaz'!O13</f>
        <v>159.99605</v>
      </c>
      <c r="W19" s="77"/>
      <c r="X19" s="81">
        <f t="shared" si="1"/>
        <v>1850.3543182499998</v>
      </c>
    </row>
    <row r="20" spans="1:24" ht="32.25" customHeight="1" thickBot="1">
      <c r="A20" s="69"/>
      <c r="B20" s="73">
        <v>44572</v>
      </c>
      <c r="C20" s="74"/>
      <c r="D20" s="75">
        <v>13</v>
      </c>
      <c r="E20" s="75">
        <v>19</v>
      </c>
      <c r="F20" s="76">
        <f>'[1]Suivi EAU-ELEC'!E19</f>
        <v>45.299999999988358</v>
      </c>
      <c r="G20" s="84"/>
      <c r="H20" s="292">
        <f t="shared" si="0"/>
        <v>398.18699999989764</v>
      </c>
      <c r="I20" s="293"/>
      <c r="J20" s="293"/>
      <c r="K20" s="78">
        <v>42288</v>
      </c>
      <c r="L20" s="79">
        <f>'[1]Suivi EAU-ELEC'!G19</f>
        <v>2166</v>
      </c>
      <c r="M20" s="80">
        <f>'[1]Suivi EAU-ELEC'!I19</f>
        <v>2940</v>
      </c>
      <c r="N20" s="80">
        <f>'[1]Suivi EAU-ELEC'!K19</f>
        <v>1415</v>
      </c>
      <c r="O20" s="80">
        <f t="shared" si="2"/>
        <v>6521</v>
      </c>
      <c r="P20" s="84"/>
      <c r="Q20" s="81">
        <f t="shared" si="3"/>
        <v>6192.5830000000005</v>
      </c>
      <c r="R20" s="84"/>
      <c r="S20" s="82"/>
      <c r="T20" s="84"/>
      <c r="U20" s="82"/>
      <c r="V20" s="83">
        <f>'[1]Suvi Gaz'!O14</f>
        <v>127.99684000000001</v>
      </c>
      <c r="W20" s="77"/>
      <c r="X20" s="81">
        <f t="shared" si="1"/>
        <v>1480.2834545999999</v>
      </c>
    </row>
    <row r="21" spans="1:24" ht="32.25" customHeight="1" thickBot="1">
      <c r="A21" s="69"/>
      <c r="B21" s="73">
        <v>44573</v>
      </c>
      <c r="C21" s="74"/>
      <c r="D21" s="75">
        <v>13</v>
      </c>
      <c r="E21" s="75">
        <v>17</v>
      </c>
      <c r="F21" s="76">
        <f>'[1]Suivi EAU-ELEC'!E20</f>
        <v>39.600000000005821</v>
      </c>
      <c r="G21" s="84"/>
      <c r="H21" s="292">
        <f t="shared" si="0"/>
        <v>348.08400000005111</v>
      </c>
      <c r="I21" s="293"/>
      <c r="J21" s="293"/>
      <c r="K21" s="78">
        <v>42289</v>
      </c>
      <c r="L21" s="79">
        <f>'[1]Suivi EAU-ELEC'!G20</f>
        <v>2319</v>
      </c>
      <c r="M21" s="80">
        <f>'[1]Suivi EAU-ELEC'!I20</f>
        <v>2916</v>
      </c>
      <c r="N21" s="80">
        <f>'[1]Suivi EAU-ELEC'!K20</f>
        <v>1376</v>
      </c>
      <c r="O21" s="80">
        <f>L21+M21+N21</f>
        <v>6611</v>
      </c>
      <c r="P21" s="84"/>
      <c r="Q21" s="81">
        <f t="shared" si="3"/>
        <v>6224.7343000000001</v>
      </c>
      <c r="R21" s="84"/>
      <c r="S21" s="82"/>
      <c r="T21" s="84"/>
      <c r="U21" s="82"/>
      <c r="V21" s="83">
        <f>'[1]Suvi Gaz'!O15</f>
        <v>159.99605</v>
      </c>
      <c r="W21" s="77"/>
      <c r="X21" s="81">
        <f t="shared" si="1"/>
        <v>1850.3543182499998</v>
      </c>
    </row>
    <row r="22" spans="1:24" ht="32.25" customHeight="1" thickBot="1">
      <c r="A22" s="69"/>
      <c r="B22" s="73">
        <v>44574</v>
      </c>
      <c r="C22" s="74"/>
      <c r="D22" s="75">
        <v>11</v>
      </c>
      <c r="E22" s="75">
        <v>16</v>
      </c>
      <c r="F22" s="76">
        <f>'[1]Suivi EAU-ELEC'!E21</f>
        <v>43.5</v>
      </c>
      <c r="G22" s="84"/>
      <c r="H22" s="292">
        <f t="shared" si="0"/>
        <v>382.36499999999995</v>
      </c>
      <c r="I22" s="293"/>
      <c r="J22" s="293"/>
      <c r="K22" s="78">
        <v>42290</v>
      </c>
      <c r="L22" s="79">
        <f>'[1]Suivi EAU-ELEC'!G21</f>
        <v>2428</v>
      </c>
      <c r="M22" s="80">
        <f>'[1]Suivi EAU-ELEC'!I21</f>
        <v>3035</v>
      </c>
      <c r="N22" s="80">
        <f>'[1]Suivi EAU-ELEC'!K21</f>
        <v>1442</v>
      </c>
      <c r="O22" s="80">
        <f t="shared" si="2"/>
        <v>6905</v>
      </c>
      <c r="P22" s="84"/>
      <c r="Q22" s="81">
        <f t="shared" si="3"/>
        <v>6501.8937999999998</v>
      </c>
      <c r="R22" s="84"/>
      <c r="S22" s="82"/>
      <c r="T22" s="84"/>
      <c r="U22" s="82"/>
      <c r="V22" s="83">
        <f>'[1]Suvi Gaz'!O16</f>
        <v>127.99684000000001</v>
      </c>
      <c r="W22" s="77"/>
      <c r="X22" s="81">
        <f t="shared" si="1"/>
        <v>1480.2834545999999</v>
      </c>
    </row>
    <row r="23" spans="1:24" ht="32.25" customHeight="1" thickBot="1">
      <c r="A23" s="69"/>
      <c r="B23" s="73">
        <v>44575</v>
      </c>
      <c r="C23" s="74"/>
      <c r="D23" s="75">
        <v>18</v>
      </c>
      <c r="E23" s="75">
        <v>26</v>
      </c>
      <c r="F23" s="76">
        <f>'[1]Suivi EAU-ELEC'!E22</f>
        <v>42.200000000011642</v>
      </c>
      <c r="G23" s="85"/>
      <c r="H23" s="292">
        <f t="shared" si="0"/>
        <v>370.93800000010231</v>
      </c>
      <c r="I23" s="293"/>
      <c r="J23" s="293"/>
      <c r="K23" s="78">
        <v>42291</v>
      </c>
      <c r="L23" s="79">
        <f>'[1]Suivi EAU-ELEC'!G22</f>
        <v>2101</v>
      </c>
      <c r="M23" s="80">
        <f>'[1]Suivi EAU-ELEC'!I22</f>
        <v>3085</v>
      </c>
      <c r="N23" s="80">
        <f>'[1]Suivi EAU-ELEC'!K22</f>
        <v>1391</v>
      </c>
      <c r="O23" s="80">
        <f>L23+M23+N23</f>
        <v>6577</v>
      </c>
      <c r="P23" s="84"/>
      <c r="Q23" s="81">
        <f>L23*0.6985+M23*0.9514+N23*1.3304</f>
        <v>6253.2039000000004</v>
      </c>
      <c r="R23" s="84"/>
      <c r="S23" s="82"/>
      <c r="T23" s="85"/>
      <c r="U23" s="82"/>
      <c r="V23" s="83">
        <f>'[1]Suvi Gaz'!O17</f>
        <v>255.99368000000001</v>
      </c>
      <c r="W23" s="77"/>
      <c r="X23" s="81">
        <f t="shared" si="1"/>
        <v>2960.5669091999998</v>
      </c>
    </row>
    <row r="24" spans="1:24" ht="32.25" customHeight="1" thickBot="1">
      <c r="A24" s="69"/>
      <c r="B24" s="73">
        <v>44576</v>
      </c>
      <c r="C24" s="74"/>
      <c r="D24" s="75">
        <v>20</v>
      </c>
      <c r="E24" s="75">
        <v>27</v>
      </c>
      <c r="F24" s="76">
        <f>'[1]Suivi EAU-ELEC'!E23</f>
        <v>46.899999999994179</v>
      </c>
      <c r="G24" s="85"/>
      <c r="H24" s="292">
        <f t="shared" si="0"/>
        <v>412.25099999994882</v>
      </c>
      <c r="I24" s="293"/>
      <c r="J24" s="293"/>
      <c r="K24" s="78">
        <v>42292</v>
      </c>
      <c r="L24" s="79">
        <f>'[1]Suivi EAU-ELEC'!G23</f>
        <v>2318</v>
      </c>
      <c r="M24" s="80">
        <f>'[1]Suivi EAU-ELEC'!I23</f>
        <v>2909</v>
      </c>
      <c r="N24" s="80">
        <f>'[1]Suivi EAU-ELEC'!K23</f>
        <v>1386</v>
      </c>
      <c r="O24" s="80">
        <f>L24+M24+N24</f>
        <v>6613</v>
      </c>
      <c r="P24" s="84"/>
      <c r="Q24" s="81">
        <f>L24*0.6985+M24*0.9514+N24*1.3304</f>
        <v>6230.68</v>
      </c>
      <c r="R24" s="84"/>
      <c r="S24" s="82"/>
      <c r="T24" s="85"/>
      <c r="U24" s="82"/>
      <c r="V24" s="83">
        <f>'[1]Suvi Gaz'!O18</f>
        <v>319.99209999999999</v>
      </c>
      <c r="W24" s="77"/>
      <c r="X24" s="81">
        <f t="shared" si="1"/>
        <v>3700.7086364999996</v>
      </c>
    </row>
    <row r="25" spans="1:24" ht="32.25" customHeight="1" thickBot="1">
      <c r="A25" s="69"/>
      <c r="B25" s="73">
        <v>44577</v>
      </c>
      <c r="C25" s="74"/>
      <c r="D25" s="75">
        <v>13</v>
      </c>
      <c r="E25" s="75">
        <v>18</v>
      </c>
      <c r="F25" s="76">
        <f>'[1]Suivi EAU-ELEC'!E24</f>
        <v>49.5</v>
      </c>
      <c r="G25" s="85"/>
      <c r="H25" s="292">
        <f t="shared" si="0"/>
        <v>435.10499999999996</v>
      </c>
      <c r="I25" s="293"/>
      <c r="J25" s="293"/>
      <c r="K25" s="78">
        <v>42293</v>
      </c>
      <c r="L25" s="79">
        <f>'[1]Suivi EAU-ELEC'!G24</f>
        <v>2113</v>
      </c>
      <c r="M25" s="80">
        <f>'[1]Suivi EAU-ELEC'!I24</f>
        <v>2753</v>
      </c>
      <c r="N25" s="80">
        <f>'[1]Suivi EAU-ELEC'!K24</f>
        <v>1337</v>
      </c>
      <c r="O25" s="80">
        <f>L25+M25+N25</f>
        <v>6203</v>
      </c>
      <c r="P25" s="84"/>
      <c r="Q25" s="81">
        <f>L25*0.6985+M25*0.9514+N25*1.3304</f>
        <v>5873.8795</v>
      </c>
      <c r="R25" s="84"/>
      <c r="S25" s="82"/>
      <c r="T25" s="85"/>
      <c r="U25" s="82"/>
      <c r="V25" s="83">
        <f>'[1]Suvi Gaz'!O19</f>
        <v>191.99526</v>
      </c>
      <c r="W25" s="77"/>
      <c r="X25" s="81">
        <f t="shared" si="1"/>
        <v>2220.4251819000001</v>
      </c>
    </row>
    <row r="26" spans="1:24" ht="32.25" customHeight="1" thickBot="1">
      <c r="A26" s="69"/>
      <c r="B26" s="73">
        <v>44578</v>
      </c>
      <c r="C26" s="74"/>
      <c r="D26" s="75">
        <v>10</v>
      </c>
      <c r="E26" s="75">
        <v>13</v>
      </c>
      <c r="F26" s="76">
        <f>'[1]Suivi EAU-ELEC'!E25</f>
        <v>36</v>
      </c>
      <c r="G26" s="85"/>
      <c r="H26" s="292">
        <f t="shared" si="0"/>
        <v>316.43999999999994</v>
      </c>
      <c r="I26" s="293"/>
      <c r="J26" s="293"/>
      <c r="K26" s="78">
        <v>42294</v>
      </c>
      <c r="L26" s="79">
        <f>'[1]Suivi EAU-ELEC'!G25</f>
        <v>2139</v>
      </c>
      <c r="M26" s="80">
        <f>'[1]Suivi EAU-ELEC'!I25</f>
        <v>2720</v>
      </c>
      <c r="N26" s="80">
        <f>'[1]Suivi EAU-ELEC'!K25</f>
        <v>1293</v>
      </c>
      <c r="O26" s="80">
        <f>L26+M26+N26</f>
        <v>6152</v>
      </c>
      <c r="P26" s="85"/>
      <c r="Q26" s="81">
        <f>L26*0.6985+M26*0.9514+N26*1.3304</f>
        <v>5802.1067000000003</v>
      </c>
      <c r="R26" s="85"/>
      <c r="S26" s="82"/>
      <c r="T26" s="85"/>
      <c r="U26" s="82"/>
      <c r="V26" s="83">
        <f>'[1]Suvi Gaz'!O20</f>
        <v>159.99605</v>
      </c>
      <c r="W26" s="77"/>
      <c r="X26" s="81">
        <f t="shared" si="1"/>
        <v>1850.3543182499998</v>
      </c>
    </row>
    <row r="27" spans="1:24" ht="32.25" customHeight="1" thickBot="1">
      <c r="A27" s="69"/>
      <c r="B27" s="73">
        <v>44579</v>
      </c>
      <c r="C27" s="74"/>
      <c r="D27" s="75">
        <v>4</v>
      </c>
      <c r="E27" s="75">
        <v>6</v>
      </c>
      <c r="F27" s="76">
        <f>'[1]Suivi EAU-ELEC'!E26</f>
        <v>33.100000000005821</v>
      </c>
      <c r="G27" s="85"/>
      <c r="H27" s="292">
        <f t="shared" si="0"/>
        <v>290.94900000005111</v>
      </c>
      <c r="I27" s="293"/>
      <c r="J27" s="293"/>
      <c r="K27" s="78">
        <v>42295</v>
      </c>
      <c r="L27" s="79">
        <f>'[1]Suivi EAU-ELEC'!G26</f>
        <v>2159</v>
      </c>
      <c r="M27" s="80">
        <f>'[1]Suivi EAU-ELEC'!I26</f>
        <v>2788</v>
      </c>
      <c r="N27" s="80">
        <f>'[1]Suivi EAU-ELEC'!K26</f>
        <v>1237</v>
      </c>
      <c r="O27" s="80">
        <f t="shared" si="2"/>
        <v>6184</v>
      </c>
      <c r="P27" s="85"/>
      <c r="Q27" s="81">
        <f t="shared" si="3"/>
        <v>5806.2695000000003</v>
      </c>
      <c r="R27" s="85"/>
      <c r="S27" s="82"/>
      <c r="T27" s="85"/>
      <c r="U27" s="82"/>
      <c r="V27" s="83">
        <f>'[1]Suvi Gaz'!O21</f>
        <v>191.99526</v>
      </c>
      <c r="W27" s="77"/>
      <c r="X27" s="81">
        <f t="shared" si="1"/>
        <v>2220.4251819000001</v>
      </c>
    </row>
    <row r="28" spans="1:24" ht="32.25" customHeight="1" thickBot="1">
      <c r="A28" s="69"/>
      <c r="B28" s="73">
        <v>44580</v>
      </c>
      <c r="C28" s="74"/>
      <c r="D28" s="75"/>
      <c r="E28" s="75"/>
      <c r="F28" s="76">
        <f>'[1]Suivi EAU-ELEC'!E27</f>
        <v>48.5</v>
      </c>
      <c r="G28" s="77"/>
      <c r="H28" s="292">
        <f t="shared" si="0"/>
        <v>426.31499999999994</v>
      </c>
      <c r="I28" s="293"/>
      <c r="J28" s="293"/>
      <c r="K28" s="78">
        <v>42296</v>
      </c>
      <c r="L28" s="79">
        <f>'[1]Suivi EAU-ELEC'!G27</f>
        <v>1993</v>
      </c>
      <c r="M28" s="80">
        <f>'[1]Suivi EAU-ELEC'!I27</f>
        <v>2606</v>
      </c>
      <c r="N28" s="80">
        <f>'[1]Suivi EAU-ELEC'!K27</f>
        <v>1260</v>
      </c>
      <c r="O28" s="80">
        <f t="shared" si="2"/>
        <v>5859</v>
      </c>
      <c r="P28" s="77"/>
      <c r="Q28" s="81">
        <f>L28*0.6985+M28*0.9514+N28*1.3304</f>
        <v>5547.7628999999997</v>
      </c>
      <c r="R28" s="77"/>
      <c r="S28" s="82"/>
      <c r="T28" s="77"/>
      <c r="U28" s="82"/>
      <c r="V28" s="83">
        <f>VLOOKUP('Suvi Gaz'!A22,'Suvi Gaz'!A17:P42,15,FALSE)</f>
        <v>287.99288999999999</v>
      </c>
      <c r="W28" s="77"/>
      <c r="X28" s="81">
        <f t="shared" si="1"/>
        <v>3330.6377728499997</v>
      </c>
    </row>
    <row r="29" spans="1:24" ht="32.25" customHeight="1" thickBot="1">
      <c r="A29" s="69"/>
      <c r="B29" s="73">
        <v>44581</v>
      </c>
      <c r="C29" s="74"/>
      <c r="D29" s="75"/>
      <c r="E29" s="75"/>
      <c r="F29" s="76">
        <f>VLOOKUP(B29,'Suivi EAU-ELEC'!A21:K40,5,FALSE)</f>
        <v>43.399999999994179</v>
      </c>
      <c r="G29" s="77"/>
      <c r="H29" s="292">
        <f t="shared" si="0"/>
        <v>381.48599999994877</v>
      </c>
      <c r="I29" s="293"/>
      <c r="J29" s="293"/>
      <c r="K29" s="78">
        <v>42297</v>
      </c>
      <c r="L29" s="79">
        <f>VLOOKUP(B29,'Suivi EAU-ELEC'!A20:K40,7,FALSE)</f>
        <v>2253</v>
      </c>
      <c r="M29" s="79">
        <f>VLOOKUP(B29,'Suivi EAU-ELEC'!A20:K40,9,FALSE)</f>
        <v>2560</v>
      </c>
      <c r="N29" s="80">
        <f>VLOOKUP(B29,'Suivi EAU-ELEC'!A20:K40,11,FALSE)</f>
        <v>1228</v>
      </c>
      <c r="O29" s="80">
        <f>L29+M29+N29</f>
        <v>6041</v>
      </c>
      <c r="P29" s="77"/>
      <c r="Q29" s="81">
        <f t="shared" si="3"/>
        <v>5643.0357000000004</v>
      </c>
      <c r="R29" s="77"/>
      <c r="S29" s="82"/>
      <c r="T29" s="77"/>
      <c r="U29" s="82"/>
      <c r="V29" s="83">
        <f>VLOOKUP('Suvi Gaz'!A23,'Suvi Gaz'!A18:P43,15,FALSE)</f>
        <v>127.99684000000001</v>
      </c>
      <c r="W29" s="77"/>
      <c r="X29" s="81">
        <f t="shared" si="1"/>
        <v>1480.2834545999999</v>
      </c>
    </row>
    <row r="30" spans="1:24" ht="32.25" customHeight="1" thickBot="1">
      <c r="A30" s="69"/>
      <c r="B30" s="73">
        <v>44582</v>
      </c>
      <c r="C30" s="74"/>
      <c r="D30" s="75"/>
      <c r="E30" s="75"/>
      <c r="F30" s="76">
        <f>VLOOKUP(B30,'Suivi EAU-ELEC'!A22:K41,5,FALSE)</f>
        <v>34</v>
      </c>
      <c r="G30" s="77"/>
      <c r="H30" s="292">
        <f t="shared" si="0"/>
        <v>298.85999999999996</v>
      </c>
      <c r="I30" s="293"/>
      <c r="J30" s="293"/>
      <c r="K30" s="78">
        <v>42298</v>
      </c>
      <c r="L30" s="79">
        <f>VLOOKUP(B30,'Suivi EAU-ELEC'!A21:K41,7,FALSE)</f>
        <v>2039</v>
      </c>
      <c r="M30" s="79">
        <f>VLOOKUP(B30,'Suivi EAU-ELEC'!A21:K41,9,FALSE)</f>
        <v>2506</v>
      </c>
      <c r="N30" s="80">
        <f>VLOOKUP(B30,'Suivi EAU-ELEC'!A21:K41,11,FALSE)</f>
        <v>1170</v>
      </c>
      <c r="O30" s="80">
        <f>L30+M30+N30</f>
        <v>5715</v>
      </c>
      <c r="P30" s="77"/>
      <c r="Q30" s="81">
        <f>L30*0.6985+M30*0.9514+N30*1.3304</f>
        <v>5365.0178999999998</v>
      </c>
      <c r="R30" s="77"/>
      <c r="S30" s="82"/>
      <c r="T30" s="77"/>
      <c r="U30" s="82"/>
      <c r="V30" s="83">
        <f>VLOOKUP('Suvi Gaz'!A24,'Suvi Gaz'!A19:P44,15,FALSE)</f>
        <v>223.99447000000001</v>
      </c>
      <c r="W30" s="77"/>
      <c r="X30" s="81">
        <f t="shared" si="1"/>
        <v>2590.49604555</v>
      </c>
    </row>
    <row r="31" spans="1:24" ht="27.75" customHeight="1" thickBot="1">
      <c r="A31" s="69"/>
      <c r="B31" s="73">
        <v>44583</v>
      </c>
      <c r="C31" s="74"/>
      <c r="D31" s="75"/>
      <c r="E31" s="75"/>
      <c r="F31" s="76">
        <f>VLOOKUP(B31,'Suivi EAU-ELEC'!A23:K42,5,FALSE)</f>
        <v>53</v>
      </c>
      <c r="G31" s="77"/>
      <c r="H31" s="292">
        <f t="shared" si="0"/>
        <v>465.86999999999995</v>
      </c>
      <c r="I31" s="293"/>
      <c r="J31" s="293"/>
      <c r="K31" s="78">
        <v>42299</v>
      </c>
      <c r="L31" s="79">
        <f>VLOOKUP(B31,'Suivi EAU-ELEC'!A22:K42,7,FALSE)</f>
        <v>2172</v>
      </c>
      <c r="M31" s="79">
        <f>VLOOKUP(B31,'Suivi EAU-ELEC'!A22:K42,9,FALSE)</f>
        <v>2617</v>
      </c>
      <c r="N31" s="80">
        <f>VLOOKUP(B31,'Suivi EAU-ELEC'!A22:K42,11,FALSE)</f>
        <v>1247</v>
      </c>
      <c r="O31" s="80">
        <f t="shared" ref="O31:O40" si="4">L31+M31+N31</f>
        <v>6036</v>
      </c>
      <c r="P31" s="77"/>
      <c r="Q31" s="81">
        <f>L31*0.6985+M31*0.9514+N31*1.3304</f>
        <v>5665.9645999999993</v>
      </c>
      <c r="R31" s="77"/>
      <c r="S31" s="82"/>
      <c r="T31" s="77"/>
      <c r="U31" s="82"/>
      <c r="V31" s="83">
        <f>VLOOKUP('Suvi Gaz'!A25,'Suvi Gaz'!A20:P45,15,FALSE)</f>
        <v>319.99209999999999</v>
      </c>
      <c r="W31" s="77"/>
      <c r="X31" s="81">
        <f t="shared" si="1"/>
        <v>3700.7086364999996</v>
      </c>
    </row>
    <row r="32" spans="1:24" ht="37.5" customHeight="1" thickBot="1">
      <c r="A32" s="69"/>
      <c r="B32" s="73">
        <v>44584</v>
      </c>
      <c r="C32" s="74"/>
      <c r="D32" s="75"/>
      <c r="E32" s="75"/>
      <c r="F32" s="76">
        <f>VLOOKUP(B32,'Suivi EAU-ELEC'!A24:K43,5,FALSE)</f>
        <v>39</v>
      </c>
      <c r="G32" s="77"/>
      <c r="H32" s="292">
        <f t="shared" si="0"/>
        <v>342.80999999999995</v>
      </c>
      <c r="I32" s="293"/>
      <c r="J32" s="293"/>
      <c r="K32" s="78">
        <v>42300</v>
      </c>
      <c r="L32" s="79">
        <f>VLOOKUP(B32,'Suivi EAU-ELEC'!A23:K43,7,FALSE)</f>
        <v>2103</v>
      </c>
      <c r="M32" s="79">
        <f>VLOOKUP(B32,'Suivi EAU-ELEC'!A23:K43,9,FALSE)</f>
        <v>2572</v>
      </c>
      <c r="N32" s="80">
        <f>VLOOKUP(B32,'Suivi EAU-ELEC'!A23:K43,11,FALSE)</f>
        <v>1263</v>
      </c>
      <c r="O32" s="80">
        <f t="shared" si="4"/>
        <v>5938</v>
      </c>
      <c r="P32" s="77"/>
      <c r="Q32" s="81">
        <f t="shared" si="3"/>
        <v>5596.2415000000001</v>
      </c>
      <c r="R32" s="77"/>
      <c r="S32" s="82"/>
      <c r="T32" s="77"/>
      <c r="U32" s="82"/>
      <c r="V32" s="83">
        <f>VLOOKUP('Suvi Gaz'!A26,'Suvi Gaz'!A21:P46,15,FALSE)</f>
        <v>159.99605</v>
      </c>
      <c r="W32" s="77"/>
      <c r="X32" s="81">
        <f t="shared" si="1"/>
        <v>1850.3543182499998</v>
      </c>
    </row>
    <row r="33" spans="1:24" ht="37.5" customHeight="1" thickBot="1">
      <c r="A33" s="69"/>
      <c r="B33" s="73">
        <v>44585</v>
      </c>
      <c r="C33" s="74"/>
      <c r="D33" s="75"/>
      <c r="E33" s="75"/>
      <c r="F33" s="76">
        <f>VLOOKUP(B33,'Suivi EAU-ELEC'!A25:K44,5,FALSE)</f>
        <v>38</v>
      </c>
      <c r="G33" s="77"/>
      <c r="H33" s="292">
        <f t="shared" si="0"/>
        <v>334.02</v>
      </c>
      <c r="I33" s="293"/>
      <c r="J33" s="293"/>
      <c r="K33" s="78">
        <v>42301</v>
      </c>
      <c r="L33" s="79">
        <f>VLOOKUP(B33,'Suivi EAU-ELEC'!A24:K44,7,FALSE)</f>
        <v>2198</v>
      </c>
      <c r="M33" s="79">
        <f>VLOOKUP(B33,'Suivi EAU-ELEC'!A24:K44,9,FALSE)</f>
        <v>2616</v>
      </c>
      <c r="N33" s="80">
        <f>VLOOKUP(B33,'Suivi EAU-ELEC'!A24:K44,11,FALSE)</f>
        <v>1256</v>
      </c>
      <c r="O33" s="80">
        <f t="shared" si="4"/>
        <v>6070</v>
      </c>
      <c r="P33" s="77"/>
      <c r="Q33" s="81">
        <f t="shared" si="3"/>
        <v>5695.1477999999997</v>
      </c>
      <c r="R33" s="77"/>
      <c r="S33" s="82"/>
      <c r="T33" s="77"/>
      <c r="U33" s="82"/>
      <c r="V33" s="83">
        <f>VLOOKUP('Suvi Gaz'!A27,'Suvi Gaz'!A22:P47,15,FALSE)</f>
        <v>0</v>
      </c>
      <c r="W33" s="77"/>
      <c r="X33" s="81">
        <f t="shared" si="1"/>
        <v>0</v>
      </c>
    </row>
    <row r="34" spans="1:24" ht="37.5" customHeight="1" thickBot="1">
      <c r="A34" s="69"/>
      <c r="B34" s="73">
        <v>44586</v>
      </c>
      <c r="C34" s="74"/>
      <c r="D34" s="75"/>
      <c r="E34" s="75"/>
      <c r="F34" s="76">
        <f>VLOOKUP(B34,'Suivi EAU-ELEC'!A26:K45,5,FALSE)</f>
        <v>0</v>
      </c>
      <c r="G34" s="77"/>
      <c r="H34" s="292">
        <f t="shared" si="0"/>
        <v>0</v>
      </c>
      <c r="I34" s="293"/>
      <c r="J34" s="293"/>
      <c r="K34" s="78">
        <v>42302</v>
      </c>
      <c r="L34" s="79">
        <f>VLOOKUP(B34,'Suivi EAU-ELEC'!A25:K45,7,FALSE)</f>
        <v>0</v>
      </c>
      <c r="M34" s="79">
        <f>VLOOKUP(B34,'Suivi EAU-ELEC'!A25:K45,9,FALSE)</f>
        <v>0</v>
      </c>
      <c r="N34" s="80">
        <f>VLOOKUP(B34,'Suivi EAU-ELEC'!A25:K45,11,FALSE)</f>
        <v>0</v>
      </c>
      <c r="O34" s="80">
        <f t="shared" si="4"/>
        <v>0</v>
      </c>
      <c r="P34" s="77"/>
      <c r="Q34" s="81">
        <f t="shared" si="3"/>
        <v>0</v>
      </c>
      <c r="R34" s="77"/>
      <c r="S34" s="82"/>
      <c r="T34" s="77"/>
      <c r="U34" s="82"/>
      <c r="V34" s="83">
        <f>VLOOKUP('Suvi Gaz'!A28,'Suvi Gaz'!A23:P48,15,FALSE)</f>
        <v>0</v>
      </c>
      <c r="W34" s="77"/>
      <c r="X34" s="81">
        <f t="shared" si="1"/>
        <v>0</v>
      </c>
    </row>
    <row r="35" spans="1:24" ht="33.75" customHeight="1" thickBot="1">
      <c r="A35" s="69"/>
      <c r="B35" s="73">
        <v>44587</v>
      </c>
      <c r="C35" s="74"/>
      <c r="D35" s="75"/>
      <c r="E35" s="75"/>
      <c r="F35" s="76">
        <f>VLOOKUP(B35,'Suivi EAU-ELEC'!A27:K46,5,FALSE)</f>
        <v>0</v>
      </c>
      <c r="G35" s="77"/>
      <c r="H35" s="292">
        <f t="shared" si="0"/>
        <v>0</v>
      </c>
      <c r="I35" s="293"/>
      <c r="J35" s="293"/>
      <c r="K35" s="78">
        <v>42303</v>
      </c>
      <c r="L35" s="79">
        <f>VLOOKUP(B35,'Suivi EAU-ELEC'!A26:K46,7,FALSE)</f>
        <v>0</v>
      </c>
      <c r="M35" s="79">
        <f>VLOOKUP(B35,'Suivi EAU-ELEC'!A26:K46,9,FALSE)</f>
        <v>0</v>
      </c>
      <c r="N35" s="80">
        <f>VLOOKUP(B35,'Suivi EAU-ELEC'!A26:K46,11,FALSE)</f>
        <v>0</v>
      </c>
      <c r="O35" s="80">
        <f t="shared" si="4"/>
        <v>0</v>
      </c>
      <c r="P35" s="77"/>
      <c r="Q35" s="81">
        <f t="shared" si="3"/>
        <v>0</v>
      </c>
      <c r="R35" s="77"/>
      <c r="S35" s="82"/>
      <c r="T35" s="77"/>
      <c r="U35" s="82"/>
      <c r="V35" s="83">
        <f>VLOOKUP('Suvi Gaz'!A29,'Suvi Gaz'!A24:P49,15,FALSE)</f>
        <v>0</v>
      </c>
      <c r="W35" s="77"/>
      <c r="X35" s="81">
        <f t="shared" si="1"/>
        <v>0</v>
      </c>
    </row>
    <row r="36" spans="1:24" ht="33.75" customHeight="1" thickBot="1">
      <c r="A36" s="69"/>
      <c r="B36" s="73">
        <v>44588</v>
      </c>
      <c r="C36" s="74"/>
      <c r="D36" s="75"/>
      <c r="E36" s="75"/>
      <c r="F36" s="76">
        <f>VLOOKUP(B36,'Suivi EAU-ELEC'!A28:K47,5,FALSE)</f>
        <v>0</v>
      </c>
      <c r="G36" s="77"/>
      <c r="H36" s="292">
        <f>F36*8.79</f>
        <v>0</v>
      </c>
      <c r="I36" s="293"/>
      <c r="J36" s="293"/>
      <c r="K36" s="78">
        <v>42304</v>
      </c>
      <c r="L36" s="79">
        <f>VLOOKUP(B36,'Suivi EAU-ELEC'!A27:K47,7,FALSE)</f>
        <v>0</v>
      </c>
      <c r="M36" s="79">
        <f>VLOOKUP(B36,'Suivi EAU-ELEC'!A27:K47,9,FALSE)</f>
        <v>0</v>
      </c>
      <c r="N36" s="80">
        <f>VLOOKUP(B36,'Suivi EAU-ELEC'!A27:K47,11,FALSE)</f>
        <v>0</v>
      </c>
      <c r="O36" s="80">
        <f t="shared" si="4"/>
        <v>0</v>
      </c>
      <c r="P36" s="77"/>
      <c r="Q36" s="81">
        <f t="shared" si="3"/>
        <v>0</v>
      </c>
      <c r="R36" s="77"/>
      <c r="S36" s="82"/>
      <c r="T36" s="77"/>
      <c r="U36" s="82"/>
      <c r="V36" s="83">
        <f>VLOOKUP('Suvi Gaz'!A30,'Suvi Gaz'!A25:P50,15,FALSE)</f>
        <v>0</v>
      </c>
      <c r="W36" s="77"/>
      <c r="X36" s="81">
        <f t="shared" si="1"/>
        <v>0</v>
      </c>
    </row>
    <row r="37" spans="1:24" ht="33.75" customHeight="1" thickBot="1">
      <c r="A37" s="69"/>
      <c r="B37" s="73">
        <v>44589</v>
      </c>
      <c r="C37" s="74"/>
      <c r="D37" s="75"/>
      <c r="E37" s="75"/>
      <c r="F37" s="76">
        <f>VLOOKUP(B37,'Suivi EAU-ELEC'!A29:K48,5,FALSE)</f>
        <v>0</v>
      </c>
      <c r="G37" s="77"/>
      <c r="H37" s="292">
        <f t="shared" ref="H37:H40" si="5">F37*8.79</f>
        <v>0</v>
      </c>
      <c r="I37" s="293"/>
      <c r="J37" s="293"/>
      <c r="K37" s="78"/>
      <c r="L37" s="79">
        <f>VLOOKUP(B37,'Suivi EAU-ELEC'!A28:K48,7,FALSE)</f>
        <v>0</v>
      </c>
      <c r="M37" s="79">
        <f>VLOOKUP(B37,'Suivi EAU-ELEC'!A28:K48,9,FALSE)</f>
        <v>0</v>
      </c>
      <c r="N37" s="80">
        <f>VLOOKUP(B37,'Suivi EAU-ELEC'!A28:K48,11,FALSE)</f>
        <v>0</v>
      </c>
      <c r="O37" s="80">
        <f t="shared" si="4"/>
        <v>0</v>
      </c>
      <c r="P37" s="77"/>
      <c r="Q37" s="81">
        <f t="shared" si="3"/>
        <v>0</v>
      </c>
      <c r="R37" s="77"/>
      <c r="S37" s="82"/>
      <c r="T37" s="77"/>
      <c r="U37" s="82"/>
      <c r="V37" s="83">
        <f>VLOOKUP('Suvi Gaz'!A31,'Suvi Gaz'!A26:P51,15,FALSE)</f>
        <v>0</v>
      </c>
      <c r="W37" s="77"/>
      <c r="X37" s="81">
        <f t="shared" si="1"/>
        <v>0</v>
      </c>
    </row>
    <row r="38" spans="1:24" ht="33.75" customHeight="1" thickBot="1">
      <c r="A38" s="69"/>
      <c r="B38" s="73">
        <v>44590</v>
      </c>
      <c r="C38" s="74"/>
      <c r="D38" s="75"/>
      <c r="E38" s="75"/>
      <c r="F38" s="76">
        <f>VLOOKUP(B38,'Suivi EAU-ELEC'!A30:K49,5,FALSE)</f>
        <v>0</v>
      </c>
      <c r="G38" s="77"/>
      <c r="H38" s="292">
        <f t="shared" si="5"/>
        <v>0</v>
      </c>
      <c r="I38" s="293"/>
      <c r="J38" s="293"/>
      <c r="K38" s="78"/>
      <c r="L38" s="79">
        <f>VLOOKUP(B38,'Suivi EAU-ELEC'!A29:K49,7,FALSE)</f>
        <v>0</v>
      </c>
      <c r="M38" s="79">
        <f>VLOOKUP(B38,'Suivi EAU-ELEC'!A29:K49,9,FALSE)</f>
        <v>0</v>
      </c>
      <c r="N38" s="80">
        <f>VLOOKUP(B38,'Suivi EAU-ELEC'!A29:K49,11,FALSE)</f>
        <v>0</v>
      </c>
      <c r="O38" s="80">
        <f t="shared" si="4"/>
        <v>0</v>
      </c>
      <c r="P38" s="77"/>
      <c r="Q38" s="81">
        <f t="shared" si="3"/>
        <v>0</v>
      </c>
      <c r="R38" s="77"/>
      <c r="S38" s="82"/>
      <c r="T38" s="77"/>
      <c r="U38" s="82"/>
      <c r="V38" s="83">
        <f>VLOOKUP('Suvi Gaz'!A32,'Suvi Gaz'!A27:P52,15,FALSE)</f>
        <v>0</v>
      </c>
      <c r="W38" s="77"/>
      <c r="X38" s="81">
        <f t="shared" si="1"/>
        <v>0</v>
      </c>
    </row>
    <row r="39" spans="1:24" ht="33.75" customHeight="1" thickBot="1">
      <c r="A39" s="69"/>
      <c r="B39" s="73">
        <v>44591</v>
      </c>
      <c r="C39" s="74"/>
      <c r="D39" s="75"/>
      <c r="E39" s="75"/>
      <c r="F39" s="76">
        <f>VLOOKUP(B39,'Suivi EAU-ELEC'!A31:K50,5,FALSE)</f>
        <v>0</v>
      </c>
      <c r="G39" s="77"/>
      <c r="H39" s="292">
        <f t="shared" si="5"/>
        <v>0</v>
      </c>
      <c r="I39" s="293"/>
      <c r="J39" s="293"/>
      <c r="K39" s="78"/>
      <c r="L39" s="79">
        <f>VLOOKUP(B39,'Suivi EAU-ELEC'!A30:K50,7,FALSE)</f>
        <v>0</v>
      </c>
      <c r="M39" s="79">
        <f>VLOOKUP(B39,'Suivi EAU-ELEC'!A30:K50,9,FALSE)</f>
        <v>0</v>
      </c>
      <c r="N39" s="80">
        <f>VLOOKUP(B39,'Suivi EAU-ELEC'!A30:K50,11,FALSE)</f>
        <v>0</v>
      </c>
      <c r="O39" s="80">
        <f t="shared" si="4"/>
        <v>0</v>
      </c>
      <c r="P39" s="77"/>
      <c r="Q39" s="81">
        <f t="shared" si="3"/>
        <v>0</v>
      </c>
      <c r="R39" s="77"/>
      <c r="S39" s="82"/>
      <c r="T39" s="77"/>
      <c r="U39" s="82"/>
      <c r="V39" s="83">
        <f>VLOOKUP('Suvi Gaz'!A33,'Suvi Gaz'!A28:P53,15,FALSE)</f>
        <v>0</v>
      </c>
      <c r="W39" s="77"/>
      <c r="X39" s="81">
        <f t="shared" si="1"/>
        <v>0</v>
      </c>
    </row>
    <row r="40" spans="1:24" ht="33.75" customHeight="1" thickBot="1">
      <c r="A40" s="69"/>
      <c r="B40" s="73">
        <v>44592</v>
      </c>
      <c r="C40" s="74"/>
      <c r="D40" s="75"/>
      <c r="E40" s="75"/>
      <c r="F40" s="76">
        <f>VLOOKUP(B40,'Suivi EAU-ELEC'!A32:K51,5,FALSE)</f>
        <v>0</v>
      </c>
      <c r="G40" s="77"/>
      <c r="H40" s="292">
        <f t="shared" si="5"/>
        <v>0</v>
      </c>
      <c r="I40" s="293"/>
      <c r="J40" s="293"/>
      <c r="K40" s="78"/>
      <c r="L40" s="79">
        <f>VLOOKUP(B40,'Suivi EAU-ELEC'!A31:K51,7,FALSE)</f>
        <v>0</v>
      </c>
      <c r="M40" s="79">
        <f>VLOOKUP(B40,'Suivi EAU-ELEC'!A31:K51,9,FALSE)</f>
        <v>0</v>
      </c>
      <c r="N40" s="80">
        <f>VLOOKUP(B40,'Suivi EAU-ELEC'!A31:K51,11,FALSE)</f>
        <v>0</v>
      </c>
      <c r="O40" s="80">
        <f t="shared" si="4"/>
        <v>0</v>
      </c>
      <c r="P40" s="77"/>
      <c r="Q40" s="81">
        <f t="shared" si="3"/>
        <v>0</v>
      </c>
      <c r="R40" s="77"/>
      <c r="S40" s="82"/>
      <c r="T40" s="77"/>
      <c r="U40" s="82"/>
      <c r="V40" s="83">
        <f>VLOOKUP('Suvi Gaz'!A34,'Suvi Gaz'!A29:P54,15,FALSE)</f>
        <v>0</v>
      </c>
      <c r="W40" s="77"/>
      <c r="X40" s="81">
        <f t="shared" si="1"/>
        <v>0</v>
      </c>
    </row>
    <row r="41" spans="1:24" ht="42.75" customHeight="1" thickBot="1">
      <c r="A41" s="69"/>
      <c r="B41" s="86"/>
      <c r="C41" s="86"/>
      <c r="D41" s="87">
        <f>SUM(D10:D40)</f>
        <v>237</v>
      </c>
      <c r="E41" s="87">
        <f>SUM(E10:E40)</f>
        <v>383</v>
      </c>
      <c r="F41" s="88">
        <f>SUM(F10:F40)</f>
        <v>1002.7999999999884</v>
      </c>
      <c r="G41" s="89"/>
      <c r="H41" s="294">
        <f>SUM(H10:H40)</f>
        <v>8814.6119999998955</v>
      </c>
      <c r="I41" s="295"/>
      <c r="J41" s="296"/>
      <c r="K41" s="89"/>
      <c r="L41" s="90">
        <f>SUM(L10:L40)</f>
        <v>54925</v>
      </c>
      <c r="M41" s="90">
        <f>SUM(M10:M40)</f>
        <v>71022</v>
      </c>
      <c r="N41" s="91">
        <f>SUM(N10:N40)</f>
        <v>33150</v>
      </c>
      <c r="O41" s="92">
        <f>SUM(O10:O40)</f>
        <v>159097</v>
      </c>
      <c r="P41" s="93"/>
      <c r="Q41" s="94">
        <f>SUM(Q10:Q40)</f>
        <v>151416.49770000001</v>
      </c>
      <c r="R41" s="93"/>
      <c r="S41" s="95">
        <f>SUM(S10:S40)</f>
        <v>0</v>
      </c>
      <c r="T41" s="93"/>
      <c r="U41" s="95">
        <f>SUM(U10:U40)</f>
        <v>0</v>
      </c>
      <c r="V41" s="94">
        <f>SUM(V10:V40)</f>
        <v>5216.5971099999997</v>
      </c>
      <c r="W41" s="93"/>
      <c r="X41" s="94">
        <f>SUM(X10:X40)</f>
        <v>60329.94557715</v>
      </c>
    </row>
    <row r="42" spans="1:24" s="68" customFormat="1" ht="12.75" customHeight="1" thickBot="1">
      <c r="A42" s="69"/>
      <c r="B42" s="69"/>
      <c r="C42" s="69"/>
      <c r="D42" s="69"/>
      <c r="E42" s="69"/>
      <c r="F42" s="69"/>
      <c r="G42" s="69"/>
      <c r="H42" s="96"/>
      <c r="I42" s="69"/>
      <c r="J42" s="96"/>
      <c r="K42" s="69"/>
      <c r="O42" s="89"/>
      <c r="P42" s="89"/>
      <c r="Q42" s="69"/>
      <c r="R42" s="89"/>
      <c r="S42" s="69"/>
      <c r="T42" s="89"/>
      <c r="U42" s="69"/>
      <c r="V42" s="69"/>
      <c r="W42" s="89"/>
      <c r="X42" s="69"/>
    </row>
    <row r="43" spans="1:24" s="68" customFormat="1" ht="32.25" customHeight="1" thickBot="1">
      <c r="A43" s="263" t="s">
        <v>115</v>
      </c>
      <c r="B43" s="264"/>
      <c r="C43" s="264"/>
      <c r="D43" s="264"/>
      <c r="E43" s="264"/>
      <c r="F43" s="265"/>
      <c r="G43" s="97"/>
      <c r="H43" s="98" t="s">
        <v>116</v>
      </c>
      <c r="I43" s="289" t="s">
        <v>117</v>
      </c>
      <c r="J43" s="290"/>
      <c r="K43" s="291"/>
      <c r="L43" s="261" t="s">
        <v>118</v>
      </c>
      <c r="M43" s="262"/>
      <c r="N43" s="263" t="s">
        <v>119</v>
      </c>
      <c r="O43" s="264"/>
      <c r="P43" s="264"/>
      <c r="Q43" s="264"/>
      <c r="R43" s="264"/>
      <c r="S43" s="264"/>
      <c r="T43" s="264"/>
      <c r="U43" s="264"/>
      <c r="V43" s="264"/>
      <c r="W43" s="264"/>
      <c r="X43" s="265"/>
    </row>
    <row r="44" spans="1:24" s="102" customFormat="1" ht="29.25" customHeight="1" thickBot="1">
      <c r="A44" s="266" t="s">
        <v>120</v>
      </c>
      <c r="B44" s="267"/>
      <c r="C44" s="268"/>
      <c r="D44" s="99" t="s">
        <v>112</v>
      </c>
      <c r="E44" s="99" t="s">
        <v>112</v>
      </c>
      <c r="F44" s="99" t="s">
        <v>112</v>
      </c>
      <c r="G44" s="100"/>
      <c r="H44" s="101">
        <v>0.69850000000000001</v>
      </c>
      <c r="I44" s="272">
        <f>L41</f>
        <v>54925</v>
      </c>
      <c r="J44" s="273"/>
      <c r="K44" s="274"/>
      <c r="L44" s="275">
        <f>I44*H44</f>
        <v>38365.112500000003</v>
      </c>
      <c r="M44" s="276"/>
      <c r="N44" s="277">
        <f>L44+L45+L46</f>
        <v>150038.20329999999</v>
      </c>
      <c r="O44" s="278"/>
      <c r="P44" s="278"/>
      <c r="Q44" s="278"/>
      <c r="R44" s="278"/>
      <c r="S44" s="278"/>
      <c r="T44" s="278"/>
      <c r="U44" s="278"/>
      <c r="V44" s="278"/>
      <c r="W44" s="278"/>
      <c r="X44" s="279"/>
    </row>
    <row r="45" spans="1:24" s="102" customFormat="1" ht="29.25" customHeight="1" thickBot="1">
      <c r="A45" s="269"/>
      <c r="B45" s="270"/>
      <c r="C45" s="271"/>
      <c r="D45" s="103" t="s">
        <v>113</v>
      </c>
      <c r="E45" s="103" t="s">
        <v>113</v>
      </c>
      <c r="F45" s="103" t="s">
        <v>113</v>
      </c>
      <c r="G45" s="100"/>
      <c r="H45" s="104">
        <v>0.95140000000000002</v>
      </c>
      <c r="I45" s="272">
        <f>M41</f>
        <v>71022</v>
      </c>
      <c r="J45" s="273"/>
      <c r="K45" s="274"/>
      <c r="L45" s="275">
        <f>I45*H45</f>
        <v>67570.330799999996</v>
      </c>
      <c r="M45" s="276"/>
      <c r="N45" s="280"/>
      <c r="O45" s="281"/>
      <c r="P45" s="281"/>
      <c r="Q45" s="281"/>
      <c r="R45" s="281"/>
      <c r="S45" s="281"/>
      <c r="T45" s="281"/>
      <c r="U45" s="281"/>
      <c r="V45" s="281"/>
      <c r="W45" s="281"/>
      <c r="X45" s="282"/>
    </row>
    <row r="46" spans="1:24" s="102" customFormat="1" ht="24.75" customHeight="1" thickBot="1">
      <c r="A46" s="269"/>
      <c r="B46" s="270"/>
      <c r="C46" s="271"/>
      <c r="D46" s="105" t="s">
        <v>114</v>
      </c>
      <c r="E46" s="105" t="s">
        <v>114</v>
      </c>
      <c r="F46" s="105" t="s">
        <v>114</v>
      </c>
      <c r="G46" s="106"/>
      <c r="H46" s="106">
        <v>1.3304</v>
      </c>
      <c r="I46" s="286">
        <f>N41</f>
        <v>33150</v>
      </c>
      <c r="J46" s="287"/>
      <c r="K46" s="288"/>
      <c r="L46" s="275">
        <f>I46*H46</f>
        <v>44102.76</v>
      </c>
      <c r="M46" s="276"/>
      <c r="N46" s="283"/>
      <c r="O46" s="284"/>
      <c r="P46" s="284"/>
      <c r="Q46" s="284"/>
      <c r="R46" s="284"/>
      <c r="S46" s="284"/>
      <c r="T46" s="284"/>
      <c r="U46" s="284"/>
      <c r="V46" s="284"/>
      <c r="W46" s="284"/>
      <c r="X46" s="285"/>
    </row>
    <row r="47" spans="1:24" s="102" customFormat="1" ht="43.5" customHeight="1" thickBot="1">
      <c r="A47" s="107"/>
      <c r="B47" s="108"/>
      <c r="C47" s="108"/>
      <c r="D47" s="105"/>
      <c r="E47" s="105"/>
      <c r="F47" s="105"/>
      <c r="G47" s="100"/>
      <c r="H47" s="100"/>
      <c r="I47" s="109"/>
      <c r="J47" s="110"/>
      <c r="K47" s="105"/>
      <c r="L47" s="111"/>
      <c r="M47" s="112"/>
      <c r="N47" s="241">
        <f>N44*1.3</f>
        <v>195049.66428999999</v>
      </c>
      <c r="O47" s="242"/>
      <c r="P47" s="242"/>
      <c r="Q47" s="242"/>
      <c r="R47" s="242"/>
      <c r="S47" s="242"/>
      <c r="T47" s="242"/>
      <c r="U47" s="242"/>
      <c r="V47" s="242"/>
      <c r="W47" s="242"/>
      <c r="X47" s="243"/>
    </row>
    <row r="48" spans="1:24" s="115" customFormat="1" ht="32.25" customHeight="1" thickBot="1">
      <c r="A48" s="244" t="s">
        <v>121</v>
      </c>
      <c r="B48" s="245"/>
      <c r="C48" s="245"/>
      <c r="D48" s="245"/>
      <c r="E48" s="245"/>
      <c r="F48" s="246"/>
      <c r="G48" s="113"/>
      <c r="H48" s="114">
        <v>8.7899999999999991</v>
      </c>
      <c r="I48" s="244">
        <f>F41</f>
        <v>1002.7999999999884</v>
      </c>
      <c r="J48" s="245"/>
      <c r="K48" s="246"/>
      <c r="L48" s="247">
        <f>I48*H48</f>
        <v>8814.6119999998973</v>
      </c>
      <c r="M48" s="248"/>
      <c r="N48" s="249">
        <f>L48</f>
        <v>8814.6119999998973</v>
      </c>
      <c r="O48" s="250"/>
      <c r="P48" s="250"/>
      <c r="Q48" s="250"/>
      <c r="R48" s="250"/>
      <c r="S48" s="250"/>
      <c r="T48" s="250"/>
      <c r="U48" s="250"/>
      <c r="V48" s="250"/>
      <c r="W48" s="250"/>
      <c r="X48" s="251"/>
    </row>
    <row r="49" spans="1:24" s="115" customFormat="1" ht="36.75" customHeight="1" thickBot="1">
      <c r="A49" s="252" t="s">
        <v>122</v>
      </c>
      <c r="B49" s="253"/>
      <c r="C49" s="253"/>
      <c r="D49" s="253"/>
      <c r="E49" s="253"/>
      <c r="F49" s="254"/>
      <c r="G49" s="116"/>
      <c r="H49" s="117">
        <v>11.565</v>
      </c>
      <c r="I49" s="255">
        <f>V41</f>
        <v>5216.5971099999997</v>
      </c>
      <c r="J49" s="256"/>
      <c r="K49" s="257"/>
      <c r="L49" s="255">
        <f>I49*H49</f>
        <v>60329.945577149992</v>
      </c>
      <c r="M49" s="257"/>
      <c r="N49" s="258">
        <f>L49</f>
        <v>60329.945577149992</v>
      </c>
      <c r="O49" s="259"/>
      <c r="P49" s="259"/>
      <c r="Q49" s="259"/>
      <c r="R49" s="259"/>
      <c r="S49" s="259"/>
      <c r="T49" s="259"/>
      <c r="U49" s="259"/>
      <c r="V49" s="259"/>
      <c r="W49" s="259"/>
      <c r="X49" s="260"/>
    </row>
    <row r="50" spans="1:24" ht="27" customHeight="1">
      <c r="A50" s="69"/>
      <c r="B50" s="69"/>
      <c r="C50" s="69"/>
      <c r="D50" s="69"/>
      <c r="E50" s="69"/>
      <c r="F50" s="69"/>
      <c r="G50" s="118"/>
      <c r="H50" s="118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118"/>
      <c r="U50" s="118"/>
      <c r="V50" s="118"/>
      <c r="W50" s="118"/>
      <c r="X50" s="118"/>
    </row>
    <row r="51" spans="1:24" ht="18.75" customHeight="1"/>
    <row r="55" spans="1:24" ht="39" customHeight="1">
      <c r="B55" s="240"/>
      <c r="C55" s="240"/>
      <c r="D55" s="240"/>
      <c r="E55" s="240"/>
      <c r="F55" s="240"/>
      <c r="G55" s="240"/>
      <c r="H55" s="240"/>
      <c r="I55" s="240"/>
      <c r="J55" s="240"/>
      <c r="K55" s="240"/>
      <c r="L55" s="240"/>
      <c r="M55" s="240"/>
      <c r="N55" s="240"/>
      <c r="O55" s="240"/>
      <c r="P55" s="240"/>
      <c r="Q55" s="240"/>
      <c r="R55" s="240"/>
      <c r="S55" s="240"/>
      <c r="T55" s="240"/>
      <c r="U55" s="240"/>
      <c r="V55" s="240"/>
      <c r="W55" s="240"/>
      <c r="X55" s="240"/>
    </row>
  </sheetData>
  <mergeCells count="73">
    <mergeCell ref="A8:A9"/>
    <mergeCell ref="B8:B9"/>
    <mergeCell ref="D8:D9"/>
    <mergeCell ref="E8:E9"/>
    <mergeCell ref="F8:F9"/>
    <mergeCell ref="A2:H2"/>
    <mergeCell ref="I2:X2"/>
    <mergeCell ref="A4:C5"/>
    <mergeCell ref="M5:X7"/>
    <mergeCell ref="F7:L7"/>
    <mergeCell ref="H12:J12"/>
    <mergeCell ref="H8:J9"/>
    <mergeCell ref="K8:K9"/>
    <mergeCell ref="L8:N8"/>
    <mergeCell ref="O8:O9"/>
    <mergeCell ref="U8:U9"/>
    <mergeCell ref="V8:V9"/>
    <mergeCell ref="X8:X9"/>
    <mergeCell ref="H10:J10"/>
    <mergeCell ref="H11:J11"/>
    <mergeCell ref="Q8:Q9"/>
    <mergeCell ref="S8:S9"/>
    <mergeCell ref="H24:J24"/>
    <mergeCell ref="H13:J13"/>
    <mergeCell ref="H14:J14"/>
    <mergeCell ref="H15:J15"/>
    <mergeCell ref="H16:J16"/>
    <mergeCell ref="H17:J17"/>
    <mergeCell ref="H18:J18"/>
    <mergeCell ref="H19:J19"/>
    <mergeCell ref="H20:J20"/>
    <mergeCell ref="H21:J21"/>
    <mergeCell ref="H22:J22"/>
    <mergeCell ref="H23:J23"/>
    <mergeCell ref="H36:J36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7:J37"/>
    <mergeCell ref="H38:J38"/>
    <mergeCell ref="H39:J39"/>
    <mergeCell ref="H40:J40"/>
    <mergeCell ref="H41:J41"/>
    <mergeCell ref="L43:M43"/>
    <mergeCell ref="N43:X43"/>
    <mergeCell ref="A44:C46"/>
    <mergeCell ref="I44:K44"/>
    <mergeCell ref="L44:M44"/>
    <mergeCell ref="N44:X46"/>
    <mergeCell ref="I45:K45"/>
    <mergeCell ref="L45:M45"/>
    <mergeCell ref="I46:K46"/>
    <mergeCell ref="L46:M46"/>
    <mergeCell ref="A43:F43"/>
    <mergeCell ref="I43:K43"/>
    <mergeCell ref="B55:X55"/>
    <mergeCell ref="N47:X47"/>
    <mergeCell ref="A48:F48"/>
    <mergeCell ref="I48:K48"/>
    <mergeCell ref="L48:M48"/>
    <mergeCell ref="N48:X48"/>
    <mergeCell ref="A49:F49"/>
    <mergeCell ref="I49:K49"/>
    <mergeCell ref="L49:M49"/>
    <mergeCell ref="N49:X49"/>
  </mergeCells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E48"/>
  <sheetViews>
    <sheetView showGridLines="0" zoomScale="80" zoomScaleNormal="80" workbookViewId="0">
      <pane xSplit="1" ySplit="3" topLeftCell="B4" activePane="bottomRight" state="frozen"/>
      <selection pane="bottomRight" activeCell="B1" sqref="B1"/>
      <selection pane="bottomLeft" activeCell="A4" sqref="A4"/>
      <selection pane="topRight" activeCell="B1" sqref="B1"/>
    </sheetView>
  </sheetViews>
  <sheetFormatPr defaultColWidth="10" defaultRowHeight="15.75"/>
  <cols>
    <col min="1" max="1" width="16.25" style="136" customWidth="1"/>
    <col min="2" max="3" width="8.375" style="137" customWidth="1"/>
    <col min="4" max="4" width="8.625" style="137" customWidth="1"/>
    <col min="5" max="5" width="7.75" style="137" customWidth="1"/>
    <col min="6" max="6" width="10" style="137" customWidth="1"/>
    <col min="7" max="7" width="7.75" style="137" customWidth="1"/>
    <col min="8" max="8" width="8.625" style="137" customWidth="1"/>
    <col min="9" max="9" width="10.625" style="137" customWidth="1"/>
    <col min="10" max="10" width="14.125" style="137" customWidth="1"/>
    <col min="11" max="11" width="15.125" style="137" customWidth="1"/>
    <col min="12" max="12" width="12.5" style="137" customWidth="1"/>
    <col min="13" max="13" width="14.25" style="137" customWidth="1"/>
    <col min="14" max="14" width="12.375" style="137" customWidth="1"/>
    <col min="15" max="15" width="12.625" style="137" customWidth="1"/>
    <col min="16" max="16" width="13.875" style="137" customWidth="1"/>
    <col min="17" max="17" width="10.375" style="137" customWidth="1"/>
    <col min="18" max="18" width="7.375" style="137" customWidth="1"/>
    <col min="19" max="19" width="8.625" style="137" customWidth="1"/>
    <col min="20" max="20" width="9.875" style="137" customWidth="1"/>
    <col min="21" max="21" width="7.375" style="137" customWidth="1"/>
    <col min="22" max="22" width="8.625" style="137" customWidth="1"/>
    <col min="23" max="23" width="9.875" style="137" customWidth="1"/>
    <col min="24" max="24" width="7.375" style="137" customWidth="1"/>
    <col min="25" max="25" width="8.625" style="137" customWidth="1"/>
    <col min="26" max="26" width="9.875" style="137" customWidth="1"/>
    <col min="27" max="27" width="7.375" style="137" customWidth="1"/>
    <col min="28" max="28" width="8.625" style="137" customWidth="1"/>
    <col min="29" max="29" width="13.375" style="138" customWidth="1"/>
    <col min="30" max="30" width="17.625" style="137" customWidth="1"/>
    <col min="31" max="31" width="21.5" style="137" customWidth="1"/>
    <col min="32" max="16384" width="10" style="137"/>
  </cols>
  <sheetData>
    <row r="1" spans="1:31" ht="62.25" customHeight="1" thickBot="1">
      <c r="F1" s="333" t="s">
        <v>123</v>
      </c>
      <c r="G1" s="333"/>
      <c r="H1" s="333"/>
      <c r="I1" s="333"/>
      <c r="J1" s="333"/>
      <c r="K1" s="333"/>
      <c r="L1" s="333"/>
      <c r="M1" s="333"/>
      <c r="N1" s="333"/>
      <c r="O1" s="333"/>
      <c r="P1" s="333"/>
      <c r="Q1" s="333"/>
      <c r="R1" s="333"/>
      <c r="S1" s="333"/>
      <c r="T1" s="333"/>
      <c r="U1" s="333"/>
      <c r="V1" s="333"/>
      <c r="W1" s="333"/>
      <c r="X1" s="333"/>
      <c r="Y1" s="333"/>
      <c r="Z1" s="333"/>
    </row>
    <row r="2" spans="1:31" ht="41.25" customHeight="1" thickBot="1">
      <c r="Q2" s="334">
        <v>803</v>
      </c>
      <c r="R2" s="335"/>
      <c r="S2" s="336"/>
      <c r="T2" s="337">
        <v>519</v>
      </c>
      <c r="U2" s="335"/>
      <c r="V2" s="336"/>
      <c r="W2" s="337">
        <v>800</v>
      </c>
      <c r="X2" s="335"/>
      <c r="Y2" s="336"/>
      <c r="Z2" s="337">
        <v>802</v>
      </c>
      <c r="AA2" s="335"/>
      <c r="AB2" s="338"/>
      <c r="AC2" s="137"/>
    </row>
    <row r="3" spans="1:31" s="150" customFormat="1" ht="50.25" customHeight="1">
      <c r="A3" s="139"/>
      <c r="B3" s="140" t="s">
        <v>124</v>
      </c>
      <c r="C3" s="141" t="s">
        <v>125</v>
      </c>
      <c r="D3" s="140" t="s">
        <v>126</v>
      </c>
      <c r="E3" s="141" t="s">
        <v>127</v>
      </c>
      <c r="F3" s="140" t="s">
        <v>128</v>
      </c>
      <c r="G3" s="141" t="s">
        <v>129</v>
      </c>
      <c r="H3" s="140" t="s">
        <v>130</v>
      </c>
      <c r="I3" s="141" t="s">
        <v>131</v>
      </c>
      <c r="J3" s="142" t="s">
        <v>132</v>
      </c>
      <c r="K3" s="142" t="s">
        <v>133</v>
      </c>
      <c r="L3" s="142" t="s">
        <v>134</v>
      </c>
      <c r="M3" s="142" t="s">
        <v>135</v>
      </c>
      <c r="N3" s="142" t="s">
        <v>136</v>
      </c>
      <c r="O3" s="143" t="s">
        <v>137</v>
      </c>
      <c r="P3" s="143" t="s">
        <v>138</v>
      </c>
      <c r="Q3" s="144" t="s">
        <v>139</v>
      </c>
      <c r="R3" s="144" t="s">
        <v>140</v>
      </c>
      <c r="S3" s="144" t="s">
        <v>141</v>
      </c>
      <c r="T3" s="145" t="s">
        <v>142</v>
      </c>
      <c r="U3" s="146" t="s">
        <v>140</v>
      </c>
      <c r="V3" s="145" t="s">
        <v>141</v>
      </c>
      <c r="W3" s="145" t="s">
        <v>143</v>
      </c>
      <c r="X3" s="145" t="s">
        <v>140</v>
      </c>
      <c r="Y3" s="145" t="s">
        <v>141</v>
      </c>
      <c r="Z3" s="145" t="s">
        <v>144</v>
      </c>
      <c r="AA3" s="145" t="s">
        <v>140</v>
      </c>
      <c r="AB3" s="147" t="s">
        <v>141</v>
      </c>
      <c r="AC3" s="148" t="s">
        <v>145</v>
      </c>
      <c r="AD3" s="149" t="s">
        <v>146</v>
      </c>
      <c r="AE3" s="149" t="s">
        <v>147</v>
      </c>
    </row>
    <row r="4" spans="1:31" ht="32.25" customHeight="1">
      <c r="A4" s="151">
        <v>44562</v>
      </c>
      <c r="B4" s="152">
        <v>71</v>
      </c>
      <c r="C4" s="153">
        <f t="shared" ref="C4:C35" si="0">IF(AC4&gt;0,((B4-R4)+(S4-B5)),IF(B5=0, ,(B4-B5)))</f>
        <v>1</v>
      </c>
      <c r="D4" s="152">
        <v>72</v>
      </c>
      <c r="E4" s="153">
        <f t="shared" ref="E4:E36" si="1">IF(AC4&gt;0,((D4-U4)+(V4-D5)),IF(D5=0, ,(D4-D5)))</f>
        <v>2</v>
      </c>
      <c r="F4" s="152">
        <v>75</v>
      </c>
      <c r="G4" s="153">
        <f t="shared" ref="G4:G42" si="2">IF(AC4&gt;0,((F4-X4)+(Y4-F5)),IF(F5=0, ,(F4-F5)))</f>
        <v>1</v>
      </c>
      <c r="H4" s="152">
        <v>73</v>
      </c>
      <c r="I4" s="153">
        <f>IF(AC4&gt;0,((H4-AA4)+(AB4-H5)),IF(H5=0, ,(H4-H5)))</f>
        <v>2</v>
      </c>
      <c r="J4" s="153">
        <f>B4+D4+F4+H4</f>
        <v>291</v>
      </c>
      <c r="K4" s="153">
        <f>J4/4</f>
        <v>72.75</v>
      </c>
      <c r="L4" s="153">
        <f>IF(AC4&gt;0,((K4-AD4)+(AE4-K5)),IF(K5=0, ,(K4-K5)))</f>
        <v>1.5</v>
      </c>
      <c r="M4" s="154">
        <f t="shared" ref="M4:M7" si="3">6049*4</f>
        <v>24196</v>
      </c>
      <c r="N4" s="153">
        <f>L4*M4/100</f>
        <v>362.94</v>
      </c>
      <c r="O4" s="153">
        <f>N4*0.529</f>
        <v>191.99526</v>
      </c>
      <c r="P4" s="155">
        <f>O4*11.565</f>
        <v>2220.4251819000001</v>
      </c>
      <c r="Q4" s="153"/>
      <c r="R4" s="153"/>
      <c r="S4" s="153"/>
      <c r="T4" s="153"/>
      <c r="U4" s="153"/>
      <c r="V4" s="153"/>
      <c r="W4" s="153"/>
      <c r="X4" s="153"/>
      <c r="Y4" s="153"/>
      <c r="Z4" s="153"/>
      <c r="AA4" s="153"/>
      <c r="AB4" s="153"/>
      <c r="AC4" s="153">
        <f t="shared" ref="AC4:AC43" si="4">Q4+T4+W4+Z4</f>
        <v>0</v>
      </c>
      <c r="AD4" s="156">
        <f t="shared" ref="AD4:AE24" si="5">(R4+U4+X4+AA4)/4</f>
        <v>0</v>
      </c>
      <c r="AE4" s="156">
        <f t="shared" si="5"/>
        <v>0</v>
      </c>
    </row>
    <row r="5" spans="1:31" ht="32.25" customHeight="1">
      <c r="A5" s="151">
        <v>44563</v>
      </c>
      <c r="B5" s="152">
        <v>70</v>
      </c>
      <c r="C5" s="153">
        <f t="shared" si="0"/>
        <v>1</v>
      </c>
      <c r="D5" s="152">
        <v>70</v>
      </c>
      <c r="E5" s="153">
        <f t="shared" si="1"/>
        <v>2</v>
      </c>
      <c r="F5" s="152">
        <v>74</v>
      </c>
      <c r="G5" s="153">
        <f t="shared" si="2"/>
        <v>1</v>
      </c>
      <c r="H5" s="152">
        <v>71</v>
      </c>
      <c r="I5" s="153">
        <f>IF(AC5&gt;0,((H5-AA5)+(AB5-H6)),IF(H6=0, ,(H5-H6)))</f>
        <v>2</v>
      </c>
      <c r="J5" s="153">
        <f>B5+D5+F5+H5</f>
        <v>285</v>
      </c>
      <c r="K5" s="153">
        <f>J5/4</f>
        <v>71.25</v>
      </c>
      <c r="L5" s="153">
        <f>IF(AC5&gt;0,((K5-AD5)+(AE5-K6)),IF(K6=0, ,(K5-K6)))</f>
        <v>1.5</v>
      </c>
      <c r="M5" s="154">
        <f t="shared" si="3"/>
        <v>24196</v>
      </c>
      <c r="N5" s="153">
        <f>L5*M5/100</f>
        <v>362.94</v>
      </c>
      <c r="O5" s="153">
        <f>N5*0.529</f>
        <v>191.99526</v>
      </c>
      <c r="P5" s="155">
        <f t="shared" ref="P5:P38" si="6">O5*11.565</f>
        <v>2220.4251819000001</v>
      </c>
      <c r="Q5" s="153"/>
      <c r="R5" s="153"/>
      <c r="S5" s="153"/>
      <c r="T5" s="153"/>
      <c r="U5" s="153"/>
      <c r="V5" s="153"/>
      <c r="W5" s="153"/>
      <c r="X5" s="153"/>
      <c r="Y5" s="153"/>
      <c r="Z5" s="153"/>
      <c r="AA5" s="153"/>
      <c r="AB5" s="153"/>
      <c r="AC5" s="153">
        <f t="shared" si="4"/>
        <v>0</v>
      </c>
      <c r="AD5" s="156">
        <f t="shared" si="5"/>
        <v>0</v>
      </c>
      <c r="AE5" s="156">
        <f t="shared" si="5"/>
        <v>0</v>
      </c>
    </row>
    <row r="6" spans="1:31" ht="32.25" customHeight="1">
      <c r="A6" s="151">
        <v>44564</v>
      </c>
      <c r="B6" s="152">
        <v>69</v>
      </c>
      <c r="C6" s="153">
        <f t="shared" si="0"/>
        <v>4</v>
      </c>
      <c r="D6" s="152">
        <v>68</v>
      </c>
      <c r="E6" s="153">
        <f t="shared" si="1"/>
        <v>3</v>
      </c>
      <c r="F6" s="152">
        <v>73</v>
      </c>
      <c r="G6" s="153">
        <f t="shared" si="2"/>
        <v>3</v>
      </c>
      <c r="H6" s="152">
        <v>69</v>
      </c>
      <c r="I6" s="153">
        <f t="shared" ref="I6:I42" si="7">IF(AC6&gt;0,((H6-AA6)+(AB6-H7)),IF(H7=0, ,(H6-H7)))</f>
        <v>1</v>
      </c>
      <c r="J6" s="153">
        <f t="shared" ref="J6:J42" si="8">B6+D6+F6+H6</f>
        <v>279</v>
      </c>
      <c r="K6" s="153">
        <f t="shared" ref="K6:K42" si="9">J6/4</f>
        <v>69.75</v>
      </c>
      <c r="L6" s="153">
        <f t="shared" ref="L6:L42" si="10">IF(AC6&gt;0,((K6-AD6)+(AE6-K7)),IF(K7=0, ,(K6-K7)))</f>
        <v>2.75</v>
      </c>
      <c r="M6" s="154">
        <f t="shared" si="3"/>
        <v>24196</v>
      </c>
      <c r="N6" s="153">
        <f t="shared" ref="N6:N42" si="11">L6*M6/100</f>
        <v>665.39</v>
      </c>
      <c r="O6" s="153">
        <f>N6*0.529</f>
        <v>351.99131</v>
      </c>
      <c r="P6" s="155">
        <f t="shared" si="6"/>
        <v>4070.7795001499999</v>
      </c>
      <c r="Q6" s="153"/>
      <c r="R6" s="153"/>
      <c r="S6" s="153"/>
      <c r="T6" s="153"/>
      <c r="U6" s="153"/>
      <c r="V6" s="153"/>
      <c r="W6" s="153"/>
      <c r="X6" s="153"/>
      <c r="Y6" s="153"/>
      <c r="Z6" s="153"/>
      <c r="AA6" s="153"/>
      <c r="AB6" s="153"/>
      <c r="AC6" s="153">
        <f t="shared" si="4"/>
        <v>0</v>
      </c>
      <c r="AD6" s="156">
        <f t="shared" si="5"/>
        <v>0</v>
      </c>
      <c r="AE6" s="156">
        <f t="shared" si="5"/>
        <v>0</v>
      </c>
    </row>
    <row r="7" spans="1:31" ht="32.25" customHeight="1">
      <c r="A7" s="151">
        <v>44565</v>
      </c>
      <c r="B7" s="152">
        <v>65</v>
      </c>
      <c r="C7" s="153">
        <f t="shared" si="0"/>
        <v>3</v>
      </c>
      <c r="D7" s="152">
        <v>65</v>
      </c>
      <c r="E7" s="153">
        <f t="shared" si="1"/>
        <v>1</v>
      </c>
      <c r="F7" s="152">
        <v>70</v>
      </c>
      <c r="G7" s="153">
        <f t="shared" si="2"/>
        <v>6</v>
      </c>
      <c r="H7" s="152">
        <v>68</v>
      </c>
      <c r="I7" s="153">
        <f t="shared" si="7"/>
        <v>2</v>
      </c>
      <c r="J7" s="153">
        <f t="shared" si="8"/>
        <v>268</v>
      </c>
      <c r="K7" s="153">
        <f t="shared" si="9"/>
        <v>67</v>
      </c>
      <c r="L7" s="153">
        <f t="shared" si="10"/>
        <v>3</v>
      </c>
      <c r="M7" s="154">
        <f t="shared" si="3"/>
        <v>24196</v>
      </c>
      <c r="N7" s="153">
        <f t="shared" si="11"/>
        <v>725.88</v>
      </c>
      <c r="O7" s="153">
        <f>N7*0.53</f>
        <v>384.71640000000002</v>
      </c>
      <c r="P7" s="155">
        <f t="shared" si="6"/>
        <v>4449.2451659999997</v>
      </c>
      <c r="Q7" s="153"/>
      <c r="R7" s="153"/>
      <c r="S7" s="153"/>
      <c r="T7" s="153"/>
      <c r="U7" s="153"/>
      <c r="V7" s="153"/>
      <c r="W7" s="153"/>
      <c r="X7" s="153"/>
      <c r="Y7" s="153"/>
      <c r="Z7" s="153"/>
      <c r="AA7" s="153"/>
      <c r="AB7" s="153"/>
      <c r="AC7" s="153">
        <f t="shared" si="4"/>
        <v>0</v>
      </c>
      <c r="AD7" s="156">
        <f t="shared" si="5"/>
        <v>0</v>
      </c>
      <c r="AE7" s="156">
        <f t="shared" si="5"/>
        <v>0</v>
      </c>
    </row>
    <row r="8" spans="1:31" ht="32.25" customHeight="1">
      <c r="A8" s="151">
        <v>44566</v>
      </c>
      <c r="B8" s="152">
        <v>62</v>
      </c>
      <c r="C8" s="153">
        <f t="shared" si="0"/>
        <v>2</v>
      </c>
      <c r="D8" s="152">
        <v>64</v>
      </c>
      <c r="E8" s="153">
        <f t="shared" si="1"/>
        <v>4</v>
      </c>
      <c r="F8" s="152">
        <v>64</v>
      </c>
      <c r="G8" s="153">
        <f t="shared" si="2"/>
        <v>2</v>
      </c>
      <c r="H8" s="152">
        <v>66</v>
      </c>
      <c r="I8" s="153">
        <f t="shared" si="7"/>
        <v>1</v>
      </c>
      <c r="J8" s="153">
        <f t="shared" si="8"/>
        <v>256</v>
      </c>
      <c r="K8" s="153">
        <f t="shared" si="9"/>
        <v>64</v>
      </c>
      <c r="L8" s="153">
        <f t="shared" si="10"/>
        <v>2.25</v>
      </c>
      <c r="M8" s="154">
        <f>6049*4</f>
        <v>24196</v>
      </c>
      <c r="N8" s="153">
        <f t="shared" si="11"/>
        <v>544.41</v>
      </c>
      <c r="O8" s="157">
        <f t="shared" ref="O8:O37" si="12">N8*0.529</f>
        <v>287.99288999999999</v>
      </c>
      <c r="P8" s="155">
        <f t="shared" si="6"/>
        <v>3330.6377728499997</v>
      </c>
      <c r="Q8" s="153"/>
      <c r="R8" s="153"/>
      <c r="S8" s="153"/>
      <c r="T8" s="153"/>
      <c r="U8" s="153"/>
      <c r="V8" s="153"/>
      <c r="W8" s="153"/>
      <c r="X8" s="153"/>
      <c r="Y8" s="153"/>
      <c r="Z8" s="153"/>
      <c r="AA8" s="153"/>
      <c r="AB8" s="153"/>
      <c r="AC8" s="153">
        <f t="shared" si="4"/>
        <v>0</v>
      </c>
      <c r="AD8" s="156">
        <f t="shared" si="5"/>
        <v>0</v>
      </c>
      <c r="AE8" s="156">
        <f t="shared" si="5"/>
        <v>0</v>
      </c>
    </row>
    <row r="9" spans="1:31" ht="32.25" customHeight="1">
      <c r="A9" s="151">
        <v>44567</v>
      </c>
      <c r="B9" s="152">
        <v>60</v>
      </c>
      <c r="C9" s="153">
        <f t="shared" si="0"/>
        <v>0</v>
      </c>
      <c r="D9" s="152">
        <v>60</v>
      </c>
      <c r="E9" s="153">
        <f t="shared" si="1"/>
        <v>1</v>
      </c>
      <c r="F9" s="152">
        <v>62</v>
      </c>
      <c r="G9" s="153">
        <f t="shared" si="2"/>
        <v>2</v>
      </c>
      <c r="H9" s="152">
        <v>65</v>
      </c>
      <c r="I9" s="153">
        <f t="shared" si="7"/>
        <v>1</v>
      </c>
      <c r="J9" s="153">
        <f t="shared" si="8"/>
        <v>247</v>
      </c>
      <c r="K9" s="153">
        <f t="shared" si="9"/>
        <v>61.75</v>
      </c>
      <c r="L9" s="153">
        <f t="shared" si="10"/>
        <v>1</v>
      </c>
      <c r="M9" s="154">
        <f t="shared" ref="M9:M42" si="13">6049*4</f>
        <v>24196</v>
      </c>
      <c r="N9" s="153">
        <f t="shared" si="11"/>
        <v>241.96</v>
      </c>
      <c r="O9" s="153">
        <f t="shared" si="12"/>
        <v>127.99684000000001</v>
      </c>
      <c r="P9" s="155">
        <f t="shared" si="6"/>
        <v>1480.2834545999999</v>
      </c>
      <c r="Q9" s="153"/>
      <c r="R9" s="153"/>
      <c r="S9" s="153"/>
      <c r="T9" s="153"/>
      <c r="U9" s="153"/>
      <c r="V9" s="153"/>
      <c r="W9" s="153"/>
      <c r="X9" s="153"/>
      <c r="Y9" s="153"/>
      <c r="Z9" s="153"/>
      <c r="AA9" s="153"/>
      <c r="AB9" s="153"/>
      <c r="AC9" s="153">
        <f t="shared" si="4"/>
        <v>0</v>
      </c>
      <c r="AD9" s="156">
        <f t="shared" si="5"/>
        <v>0</v>
      </c>
      <c r="AE9" s="156">
        <f t="shared" si="5"/>
        <v>0</v>
      </c>
    </row>
    <row r="10" spans="1:31" ht="32.25" customHeight="1">
      <c r="A10" s="151">
        <v>44568</v>
      </c>
      <c r="B10" s="152">
        <v>60</v>
      </c>
      <c r="C10" s="153">
        <f t="shared" si="0"/>
        <v>1</v>
      </c>
      <c r="D10" s="152">
        <v>59</v>
      </c>
      <c r="E10" s="153">
        <f t="shared" si="1"/>
        <v>1</v>
      </c>
      <c r="F10" s="152">
        <v>60</v>
      </c>
      <c r="G10" s="153">
        <f t="shared" si="2"/>
        <v>2</v>
      </c>
      <c r="H10" s="152">
        <v>64</v>
      </c>
      <c r="I10" s="153">
        <f t="shared" si="7"/>
        <v>2</v>
      </c>
      <c r="J10" s="153">
        <f t="shared" si="8"/>
        <v>243</v>
      </c>
      <c r="K10" s="153">
        <f t="shared" si="9"/>
        <v>60.75</v>
      </c>
      <c r="L10" s="153">
        <f t="shared" si="10"/>
        <v>1.5</v>
      </c>
      <c r="M10" s="154">
        <f t="shared" si="13"/>
        <v>24196</v>
      </c>
      <c r="N10" s="153">
        <f t="shared" si="11"/>
        <v>362.94</v>
      </c>
      <c r="O10" s="157">
        <f t="shared" si="12"/>
        <v>191.99526</v>
      </c>
      <c r="P10" s="155">
        <f t="shared" si="6"/>
        <v>2220.4251819000001</v>
      </c>
      <c r="Q10" s="153"/>
      <c r="R10" s="153"/>
      <c r="S10" s="153"/>
      <c r="T10" s="153"/>
      <c r="U10" s="153"/>
      <c r="V10" s="153"/>
      <c r="W10" s="153"/>
      <c r="X10" s="153"/>
      <c r="Y10" s="153"/>
      <c r="Z10" s="153"/>
      <c r="AA10" s="153"/>
      <c r="AB10" s="153"/>
      <c r="AC10" s="153">
        <f t="shared" si="4"/>
        <v>0</v>
      </c>
      <c r="AD10" s="156">
        <f t="shared" si="5"/>
        <v>0</v>
      </c>
      <c r="AE10" s="156">
        <f t="shared" si="5"/>
        <v>0</v>
      </c>
    </row>
    <row r="11" spans="1:31" ht="32.25" customHeight="1">
      <c r="A11" s="151">
        <v>44569</v>
      </c>
      <c r="B11" s="152">
        <v>59</v>
      </c>
      <c r="C11" s="153">
        <f t="shared" si="0"/>
        <v>4</v>
      </c>
      <c r="D11" s="152">
        <v>58</v>
      </c>
      <c r="E11" s="153">
        <f t="shared" si="1"/>
        <v>3</v>
      </c>
      <c r="F11" s="152">
        <v>58</v>
      </c>
      <c r="G11" s="153">
        <f t="shared" si="2"/>
        <v>0</v>
      </c>
      <c r="H11" s="152">
        <v>62</v>
      </c>
      <c r="I11" s="153">
        <f t="shared" si="7"/>
        <v>2</v>
      </c>
      <c r="J11" s="153">
        <f t="shared" si="8"/>
        <v>237</v>
      </c>
      <c r="K11" s="153">
        <f t="shared" si="9"/>
        <v>59.25</v>
      </c>
      <c r="L11" s="153">
        <f t="shared" si="10"/>
        <v>2.25</v>
      </c>
      <c r="M11" s="154">
        <f t="shared" si="13"/>
        <v>24196</v>
      </c>
      <c r="N11" s="153">
        <f t="shared" si="11"/>
        <v>544.41</v>
      </c>
      <c r="O11" s="153">
        <f t="shared" si="12"/>
        <v>287.99288999999999</v>
      </c>
      <c r="P11" s="155">
        <f t="shared" si="6"/>
        <v>3330.6377728499997</v>
      </c>
      <c r="Q11" s="153"/>
      <c r="R11" s="153"/>
      <c r="S11" s="153"/>
      <c r="T11" s="153"/>
      <c r="U11" s="153"/>
      <c r="V11" s="153"/>
      <c r="W11" s="153"/>
      <c r="X11" s="153"/>
      <c r="Y11" s="153"/>
      <c r="Z11" s="153"/>
      <c r="AA11" s="153"/>
      <c r="AB11" s="153"/>
      <c r="AC11" s="153">
        <f t="shared" si="4"/>
        <v>0</v>
      </c>
      <c r="AD11" s="156">
        <f t="shared" si="5"/>
        <v>0</v>
      </c>
      <c r="AE11" s="156">
        <f t="shared" si="5"/>
        <v>0</v>
      </c>
    </row>
    <row r="12" spans="1:31" ht="32.25" customHeight="1">
      <c r="A12" s="151">
        <v>44570</v>
      </c>
      <c r="B12" s="152">
        <v>55</v>
      </c>
      <c r="C12" s="153">
        <f t="shared" si="0"/>
        <v>3</v>
      </c>
      <c r="D12" s="152">
        <v>55</v>
      </c>
      <c r="E12" s="153">
        <f t="shared" si="1"/>
        <v>4</v>
      </c>
      <c r="F12" s="152">
        <v>58</v>
      </c>
      <c r="G12" s="153">
        <f t="shared" si="2"/>
        <v>2</v>
      </c>
      <c r="H12" s="152">
        <v>60</v>
      </c>
      <c r="I12" s="153">
        <f t="shared" si="7"/>
        <v>3</v>
      </c>
      <c r="J12" s="153">
        <f t="shared" si="8"/>
        <v>228</v>
      </c>
      <c r="K12" s="153">
        <f t="shared" si="9"/>
        <v>57</v>
      </c>
      <c r="L12" s="153">
        <f t="shared" si="10"/>
        <v>3</v>
      </c>
      <c r="M12" s="154">
        <f t="shared" si="13"/>
        <v>24196</v>
      </c>
      <c r="N12" s="153">
        <f t="shared" si="11"/>
        <v>725.88</v>
      </c>
      <c r="O12" s="153">
        <f t="shared" si="12"/>
        <v>383.99052</v>
      </c>
      <c r="P12" s="155">
        <f t="shared" si="6"/>
        <v>4440.8503638000002</v>
      </c>
      <c r="Q12" s="153"/>
      <c r="R12" s="153"/>
      <c r="S12" s="153"/>
      <c r="T12" s="153"/>
      <c r="U12" s="153"/>
      <c r="V12" s="153"/>
      <c r="W12" s="153"/>
      <c r="X12" s="153"/>
      <c r="Y12" s="153"/>
      <c r="Z12" s="153"/>
      <c r="AA12" s="153"/>
      <c r="AB12" s="153"/>
      <c r="AC12" s="153">
        <f t="shared" si="4"/>
        <v>0</v>
      </c>
      <c r="AD12" s="156">
        <f t="shared" si="5"/>
        <v>0</v>
      </c>
      <c r="AE12" s="156">
        <f t="shared" si="5"/>
        <v>0</v>
      </c>
    </row>
    <row r="13" spans="1:31" ht="32.25" customHeight="1">
      <c r="A13" s="151">
        <v>44571</v>
      </c>
      <c r="B13" s="152">
        <v>52</v>
      </c>
      <c r="C13" s="153">
        <f t="shared" si="0"/>
        <v>3</v>
      </c>
      <c r="D13" s="152">
        <v>51</v>
      </c>
      <c r="E13" s="153">
        <f t="shared" si="1"/>
        <v>2</v>
      </c>
      <c r="F13" s="152">
        <v>56</v>
      </c>
      <c r="G13" s="153">
        <f t="shared" si="2"/>
        <v>0</v>
      </c>
      <c r="H13" s="152">
        <v>57</v>
      </c>
      <c r="I13" s="153">
        <f t="shared" si="7"/>
        <v>0</v>
      </c>
      <c r="J13" s="153">
        <f t="shared" si="8"/>
        <v>216</v>
      </c>
      <c r="K13" s="153">
        <f t="shared" si="9"/>
        <v>54</v>
      </c>
      <c r="L13" s="153">
        <f t="shared" si="10"/>
        <v>1.25</v>
      </c>
      <c r="M13" s="154">
        <f t="shared" si="13"/>
        <v>24196</v>
      </c>
      <c r="N13" s="153">
        <f t="shared" si="11"/>
        <v>302.45</v>
      </c>
      <c r="O13" s="153">
        <f t="shared" si="12"/>
        <v>159.99605</v>
      </c>
      <c r="P13" s="155">
        <f t="shared" si="6"/>
        <v>1850.3543182499998</v>
      </c>
      <c r="Q13" s="153">
        <v>2432</v>
      </c>
      <c r="R13" s="153">
        <v>50</v>
      </c>
      <c r="S13" s="153">
        <v>85</v>
      </c>
      <c r="T13" s="153">
        <v>2458</v>
      </c>
      <c r="U13" s="153">
        <v>50</v>
      </c>
      <c r="V13" s="153">
        <v>85</v>
      </c>
      <c r="W13" s="153">
        <v>2186</v>
      </c>
      <c r="X13" s="153">
        <v>56</v>
      </c>
      <c r="Y13" s="153">
        <v>85</v>
      </c>
      <c r="Z13" s="153">
        <v>2111</v>
      </c>
      <c r="AA13" s="153">
        <v>57</v>
      </c>
      <c r="AB13" s="153">
        <v>85</v>
      </c>
      <c r="AC13" s="153">
        <f t="shared" si="4"/>
        <v>9187</v>
      </c>
      <c r="AD13" s="156">
        <f t="shared" si="5"/>
        <v>53.25</v>
      </c>
      <c r="AE13" s="156">
        <f t="shared" si="5"/>
        <v>85</v>
      </c>
    </row>
    <row r="14" spans="1:31" ht="32.25" customHeight="1">
      <c r="A14" s="151">
        <v>44572</v>
      </c>
      <c r="B14" s="152">
        <v>84</v>
      </c>
      <c r="C14" s="153">
        <f t="shared" si="0"/>
        <v>1</v>
      </c>
      <c r="D14" s="152">
        <v>84</v>
      </c>
      <c r="E14" s="153">
        <f t="shared" si="1"/>
        <v>1</v>
      </c>
      <c r="F14" s="152">
        <v>85</v>
      </c>
      <c r="G14" s="153">
        <f t="shared" si="2"/>
        <v>1</v>
      </c>
      <c r="H14" s="152">
        <v>85</v>
      </c>
      <c r="I14" s="153">
        <f>IF(AC14&gt;0,((H14-AA14)+(AB14-H15)),IF(H15=0, ,(H14-H15)))</f>
        <v>1</v>
      </c>
      <c r="J14" s="153">
        <f t="shared" si="8"/>
        <v>338</v>
      </c>
      <c r="K14" s="153">
        <f t="shared" si="9"/>
        <v>84.5</v>
      </c>
      <c r="L14" s="153">
        <f t="shared" si="10"/>
        <v>1</v>
      </c>
      <c r="M14" s="154">
        <f t="shared" si="13"/>
        <v>24196</v>
      </c>
      <c r="N14" s="153">
        <f t="shared" si="11"/>
        <v>241.96</v>
      </c>
      <c r="O14" s="153">
        <f t="shared" si="12"/>
        <v>127.99684000000001</v>
      </c>
      <c r="P14" s="155">
        <f t="shared" si="6"/>
        <v>1480.2834545999999</v>
      </c>
      <c r="Q14" s="153"/>
      <c r="R14" s="153"/>
      <c r="S14" s="153"/>
      <c r="T14" s="153"/>
      <c r="U14" s="153"/>
      <c r="V14" s="153"/>
      <c r="W14" s="153"/>
      <c r="X14" s="153"/>
      <c r="Y14" s="153"/>
      <c r="Z14" s="153"/>
      <c r="AA14" s="153"/>
      <c r="AB14" s="153"/>
      <c r="AC14" s="153">
        <f>Q14+T14+W14+Z14</f>
        <v>0</v>
      </c>
      <c r="AD14" s="156">
        <f>(R14+U14+X14+AA14)/4</f>
        <v>0</v>
      </c>
      <c r="AE14" s="156">
        <f>(S14+V14+Y14+AB14)/4</f>
        <v>0</v>
      </c>
    </row>
    <row r="15" spans="1:31" ht="32.25" customHeight="1">
      <c r="A15" s="151">
        <v>44573</v>
      </c>
      <c r="B15" s="152">
        <v>83</v>
      </c>
      <c r="C15" s="153">
        <f t="shared" si="0"/>
        <v>0</v>
      </c>
      <c r="D15" s="152">
        <v>83</v>
      </c>
      <c r="E15" s="153">
        <f t="shared" si="1"/>
        <v>0</v>
      </c>
      <c r="F15" s="152">
        <v>84</v>
      </c>
      <c r="G15" s="153">
        <f t="shared" si="2"/>
        <v>2</v>
      </c>
      <c r="H15" s="152">
        <v>84</v>
      </c>
      <c r="I15" s="153">
        <f>IF(AC15&gt;0,((H15-AA15)+(AB15-H16)),IF(H16=0, ,(H15-H16)))</f>
        <v>3</v>
      </c>
      <c r="J15" s="153">
        <f t="shared" si="8"/>
        <v>334</v>
      </c>
      <c r="K15" s="153">
        <f t="shared" si="9"/>
        <v>83.5</v>
      </c>
      <c r="L15" s="153">
        <f t="shared" si="10"/>
        <v>1.25</v>
      </c>
      <c r="M15" s="154">
        <f t="shared" si="13"/>
        <v>24196</v>
      </c>
      <c r="N15" s="153">
        <f t="shared" si="11"/>
        <v>302.45</v>
      </c>
      <c r="O15" s="153">
        <f t="shared" si="12"/>
        <v>159.99605</v>
      </c>
      <c r="P15" s="155">
        <f t="shared" si="6"/>
        <v>1850.3543182499998</v>
      </c>
      <c r="Q15" s="153"/>
      <c r="R15" s="153"/>
      <c r="S15" s="153"/>
      <c r="T15" s="153"/>
      <c r="U15" s="153"/>
      <c r="V15" s="153"/>
      <c r="W15" s="153"/>
      <c r="X15" s="153"/>
      <c r="Y15" s="153"/>
      <c r="Z15" s="153"/>
      <c r="AA15" s="153"/>
      <c r="AB15" s="153"/>
      <c r="AC15" s="153">
        <f>Q15+T15+W15+Z15</f>
        <v>0</v>
      </c>
      <c r="AD15" s="156">
        <f>(R15+U15+X15+AA15)/4</f>
        <v>0</v>
      </c>
      <c r="AE15" s="156">
        <f>(S15+V15+Y15+AB15)/4</f>
        <v>0</v>
      </c>
    </row>
    <row r="16" spans="1:31" ht="32.25" customHeight="1">
      <c r="A16" s="151">
        <v>44574</v>
      </c>
      <c r="B16" s="152">
        <v>83</v>
      </c>
      <c r="C16" s="153">
        <f t="shared" si="0"/>
        <v>1</v>
      </c>
      <c r="D16" s="152">
        <v>83</v>
      </c>
      <c r="E16" s="153">
        <f t="shared" si="1"/>
        <v>0</v>
      </c>
      <c r="F16" s="152">
        <v>82</v>
      </c>
      <c r="G16" s="153">
        <f t="shared" si="2"/>
        <v>2</v>
      </c>
      <c r="H16" s="152">
        <v>81</v>
      </c>
      <c r="I16" s="153">
        <f t="shared" si="7"/>
        <v>1</v>
      </c>
      <c r="J16" s="153">
        <f t="shared" si="8"/>
        <v>329</v>
      </c>
      <c r="K16" s="153">
        <f t="shared" si="9"/>
        <v>82.25</v>
      </c>
      <c r="L16" s="153">
        <f t="shared" si="10"/>
        <v>1</v>
      </c>
      <c r="M16" s="154">
        <f t="shared" si="13"/>
        <v>24196</v>
      </c>
      <c r="N16" s="153">
        <f t="shared" si="11"/>
        <v>241.96</v>
      </c>
      <c r="O16" s="153">
        <f t="shared" si="12"/>
        <v>127.99684000000001</v>
      </c>
      <c r="P16" s="155">
        <f t="shared" si="6"/>
        <v>1480.2834545999999</v>
      </c>
      <c r="Q16" s="153"/>
      <c r="R16" s="153"/>
      <c r="S16" s="153"/>
      <c r="T16" s="153"/>
      <c r="U16" s="153"/>
      <c r="V16" s="153"/>
      <c r="W16" s="153"/>
      <c r="X16" s="153"/>
      <c r="Y16" s="153"/>
      <c r="Z16" s="153"/>
      <c r="AA16" s="153"/>
      <c r="AB16" s="153"/>
      <c r="AC16" s="153">
        <f t="shared" si="4"/>
        <v>0</v>
      </c>
      <c r="AD16" s="156">
        <f t="shared" si="5"/>
        <v>0</v>
      </c>
      <c r="AE16" s="156">
        <f t="shared" si="5"/>
        <v>0</v>
      </c>
    </row>
    <row r="17" spans="1:31" ht="32.25" customHeight="1">
      <c r="A17" s="151">
        <v>44575</v>
      </c>
      <c r="B17" s="152">
        <v>82</v>
      </c>
      <c r="C17" s="153">
        <f t="shared" si="0"/>
        <v>4</v>
      </c>
      <c r="D17" s="152">
        <v>83</v>
      </c>
      <c r="E17" s="153">
        <f t="shared" si="1"/>
        <v>4</v>
      </c>
      <c r="F17" s="152">
        <v>80</v>
      </c>
      <c r="G17" s="153">
        <f t="shared" si="2"/>
        <v>0</v>
      </c>
      <c r="H17" s="152">
        <v>80</v>
      </c>
      <c r="I17" s="153">
        <f t="shared" si="7"/>
        <v>0</v>
      </c>
      <c r="J17" s="153">
        <f t="shared" si="8"/>
        <v>325</v>
      </c>
      <c r="K17" s="153">
        <f t="shared" si="9"/>
        <v>81.25</v>
      </c>
      <c r="L17" s="153">
        <f t="shared" si="10"/>
        <v>2</v>
      </c>
      <c r="M17" s="154">
        <f t="shared" si="13"/>
        <v>24196</v>
      </c>
      <c r="N17" s="153">
        <f t="shared" si="11"/>
        <v>483.92</v>
      </c>
      <c r="O17" s="153">
        <f t="shared" si="12"/>
        <v>255.99368000000001</v>
      </c>
      <c r="P17" s="155">
        <f t="shared" si="6"/>
        <v>2960.5669091999998</v>
      </c>
      <c r="Q17" s="153"/>
      <c r="R17" s="153"/>
      <c r="S17" s="153"/>
      <c r="T17" s="153"/>
      <c r="U17" s="153"/>
      <c r="V17" s="153"/>
      <c r="W17" s="153"/>
      <c r="X17" s="153"/>
      <c r="Y17" s="153"/>
      <c r="Z17" s="153"/>
      <c r="AA17" s="153"/>
      <c r="AB17" s="153"/>
      <c r="AC17" s="153">
        <f t="shared" si="4"/>
        <v>0</v>
      </c>
      <c r="AD17" s="156">
        <f t="shared" si="5"/>
        <v>0</v>
      </c>
      <c r="AE17" s="156">
        <f t="shared" si="5"/>
        <v>0</v>
      </c>
    </row>
    <row r="18" spans="1:31" ht="32.25" customHeight="1">
      <c r="A18" s="151">
        <v>44576</v>
      </c>
      <c r="B18" s="152">
        <v>78</v>
      </c>
      <c r="C18" s="153">
        <f t="shared" si="0"/>
        <v>2</v>
      </c>
      <c r="D18" s="152">
        <v>79</v>
      </c>
      <c r="E18" s="153">
        <f t="shared" si="1"/>
        <v>3</v>
      </c>
      <c r="F18" s="152">
        <v>80</v>
      </c>
      <c r="G18" s="153">
        <f t="shared" si="2"/>
        <v>2</v>
      </c>
      <c r="H18" s="152">
        <v>80</v>
      </c>
      <c r="I18" s="153">
        <f t="shared" si="7"/>
        <v>3</v>
      </c>
      <c r="J18" s="153">
        <f t="shared" si="8"/>
        <v>317</v>
      </c>
      <c r="K18" s="153">
        <f t="shared" si="9"/>
        <v>79.25</v>
      </c>
      <c r="L18" s="153">
        <f t="shared" si="10"/>
        <v>2.5</v>
      </c>
      <c r="M18" s="154">
        <f t="shared" si="13"/>
        <v>24196</v>
      </c>
      <c r="N18" s="153">
        <f t="shared" si="11"/>
        <v>604.9</v>
      </c>
      <c r="O18" s="153">
        <f t="shared" si="12"/>
        <v>319.99209999999999</v>
      </c>
      <c r="P18" s="155">
        <f t="shared" si="6"/>
        <v>3700.7086364999996</v>
      </c>
      <c r="Q18" s="153"/>
      <c r="R18" s="153"/>
      <c r="S18" s="153"/>
      <c r="T18" s="153"/>
      <c r="U18" s="153"/>
      <c r="V18" s="153"/>
      <c r="W18" s="153"/>
      <c r="X18" s="153"/>
      <c r="Y18" s="153"/>
      <c r="Z18" s="153"/>
      <c r="AA18" s="153"/>
      <c r="AB18" s="153"/>
      <c r="AC18" s="153">
        <f t="shared" si="4"/>
        <v>0</v>
      </c>
      <c r="AD18" s="156">
        <f t="shared" si="5"/>
        <v>0</v>
      </c>
      <c r="AE18" s="156">
        <f t="shared" si="5"/>
        <v>0</v>
      </c>
    </row>
    <row r="19" spans="1:31" ht="32.25" customHeight="1">
      <c r="A19" s="151">
        <v>44577</v>
      </c>
      <c r="B19" s="152">
        <v>76</v>
      </c>
      <c r="C19" s="153">
        <f t="shared" si="0"/>
        <v>1</v>
      </c>
      <c r="D19" s="152">
        <v>76</v>
      </c>
      <c r="E19" s="153">
        <f t="shared" si="1"/>
        <v>1</v>
      </c>
      <c r="F19" s="152">
        <v>78</v>
      </c>
      <c r="G19" s="153">
        <f t="shared" si="2"/>
        <v>2</v>
      </c>
      <c r="H19" s="152">
        <v>77</v>
      </c>
      <c r="I19" s="153">
        <f t="shared" si="7"/>
        <v>2</v>
      </c>
      <c r="J19" s="153">
        <f t="shared" si="8"/>
        <v>307</v>
      </c>
      <c r="K19" s="153">
        <f t="shared" si="9"/>
        <v>76.75</v>
      </c>
      <c r="L19" s="153">
        <f t="shared" si="10"/>
        <v>1.5</v>
      </c>
      <c r="M19" s="154">
        <f t="shared" si="13"/>
        <v>24196</v>
      </c>
      <c r="N19" s="153">
        <f t="shared" si="11"/>
        <v>362.94</v>
      </c>
      <c r="O19" s="153">
        <f t="shared" si="12"/>
        <v>191.99526</v>
      </c>
      <c r="P19" s="155">
        <f t="shared" si="6"/>
        <v>2220.4251819000001</v>
      </c>
      <c r="Q19" s="153"/>
      <c r="R19" s="153"/>
      <c r="S19" s="153"/>
      <c r="T19" s="153"/>
      <c r="U19" s="153"/>
      <c r="V19" s="153"/>
      <c r="W19" s="153"/>
      <c r="X19" s="153"/>
      <c r="Y19" s="153"/>
      <c r="Z19" s="153"/>
      <c r="AA19" s="153"/>
      <c r="AB19" s="153"/>
      <c r="AC19" s="153">
        <f t="shared" si="4"/>
        <v>0</v>
      </c>
      <c r="AD19" s="156">
        <f t="shared" si="5"/>
        <v>0</v>
      </c>
      <c r="AE19" s="156">
        <f t="shared" si="5"/>
        <v>0</v>
      </c>
    </row>
    <row r="20" spans="1:31" ht="32.25" customHeight="1">
      <c r="A20" s="151">
        <v>44578</v>
      </c>
      <c r="B20" s="152">
        <v>75</v>
      </c>
      <c r="C20" s="153">
        <f t="shared" si="0"/>
        <v>1</v>
      </c>
      <c r="D20" s="152">
        <v>75</v>
      </c>
      <c r="E20" s="153">
        <f t="shared" si="1"/>
        <v>1</v>
      </c>
      <c r="F20" s="152">
        <v>76</v>
      </c>
      <c r="G20" s="153">
        <f t="shared" si="2"/>
        <v>2</v>
      </c>
      <c r="H20" s="152">
        <v>75</v>
      </c>
      <c r="I20" s="153">
        <f t="shared" si="7"/>
        <v>1</v>
      </c>
      <c r="J20" s="153">
        <f t="shared" si="8"/>
        <v>301</v>
      </c>
      <c r="K20" s="153">
        <f t="shared" si="9"/>
        <v>75.25</v>
      </c>
      <c r="L20" s="153">
        <f t="shared" si="10"/>
        <v>1.25</v>
      </c>
      <c r="M20" s="154">
        <f t="shared" si="13"/>
        <v>24196</v>
      </c>
      <c r="N20" s="153">
        <f t="shared" si="11"/>
        <v>302.45</v>
      </c>
      <c r="O20" s="153">
        <f t="shared" si="12"/>
        <v>159.99605</v>
      </c>
      <c r="P20" s="155">
        <f t="shared" si="6"/>
        <v>1850.3543182499998</v>
      </c>
      <c r="Q20" s="153"/>
      <c r="R20" s="153"/>
      <c r="S20" s="153"/>
      <c r="T20" s="153"/>
      <c r="U20" s="153"/>
      <c r="V20" s="153"/>
      <c r="W20" s="153"/>
      <c r="X20" s="153"/>
      <c r="Y20" s="153"/>
      <c r="Z20" s="153"/>
      <c r="AA20" s="153"/>
      <c r="AB20" s="153"/>
      <c r="AC20" s="153">
        <f t="shared" si="4"/>
        <v>0</v>
      </c>
      <c r="AD20" s="156">
        <f t="shared" si="5"/>
        <v>0</v>
      </c>
      <c r="AE20" s="156">
        <f t="shared" si="5"/>
        <v>0</v>
      </c>
    </row>
    <row r="21" spans="1:31" ht="32.25" customHeight="1">
      <c r="A21" s="151">
        <v>44579</v>
      </c>
      <c r="B21" s="152">
        <v>74</v>
      </c>
      <c r="C21" s="153">
        <f t="shared" si="0"/>
        <v>1</v>
      </c>
      <c r="D21" s="152">
        <v>74</v>
      </c>
      <c r="E21" s="153">
        <f t="shared" si="1"/>
        <v>2</v>
      </c>
      <c r="F21" s="152">
        <v>74</v>
      </c>
      <c r="G21" s="153">
        <f t="shared" si="2"/>
        <v>2</v>
      </c>
      <c r="H21" s="152">
        <v>74</v>
      </c>
      <c r="I21" s="153">
        <f t="shared" si="7"/>
        <v>1</v>
      </c>
      <c r="J21" s="153">
        <f t="shared" si="8"/>
        <v>296</v>
      </c>
      <c r="K21" s="153">
        <f t="shared" si="9"/>
        <v>74</v>
      </c>
      <c r="L21" s="153">
        <f>IF(AC21&gt;0,((K21-AD21)+(AE21-K22)),IF(K22=0, ,(K21-K22)))</f>
        <v>1.5</v>
      </c>
      <c r="M21" s="154">
        <f t="shared" si="13"/>
        <v>24196</v>
      </c>
      <c r="N21" s="153">
        <f t="shared" si="11"/>
        <v>362.94</v>
      </c>
      <c r="O21" s="153">
        <f t="shared" si="12"/>
        <v>191.99526</v>
      </c>
      <c r="P21" s="155">
        <f t="shared" si="6"/>
        <v>2220.4251819000001</v>
      </c>
      <c r="Q21" s="153"/>
      <c r="R21" s="153"/>
      <c r="S21" s="153"/>
      <c r="T21" s="153"/>
      <c r="U21" s="153"/>
      <c r="V21" s="153"/>
      <c r="W21" s="153"/>
      <c r="X21" s="153"/>
      <c r="Y21" s="153"/>
      <c r="Z21" s="153"/>
      <c r="AA21" s="153"/>
      <c r="AB21" s="153"/>
      <c r="AC21" s="153">
        <f t="shared" si="4"/>
        <v>0</v>
      </c>
      <c r="AD21" s="156">
        <f t="shared" si="5"/>
        <v>0</v>
      </c>
      <c r="AE21" s="156">
        <f t="shared" si="5"/>
        <v>0</v>
      </c>
    </row>
    <row r="22" spans="1:31" ht="32.25" customHeight="1">
      <c r="A22" s="151">
        <v>44580</v>
      </c>
      <c r="B22" s="152">
        <v>73</v>
      </c>
      <c r="C22" s="153">
        <f t="shared" si="0"/>
        <v>3</v>
      </c>
      <c r="D22" s="152">
        <v>72</v>
      </c>
      <c r="E22" s="153">
        <f t="shared" si="1"/>
        <v>2</v>
      </c>
      <c r="F22" s="152">
        <v>72</v>
      </c>
      <c r="G22" s="153">
        <f t="shared" si="2"/>
        <v>1</v>
      </c>
      <c r="H22" s="152">
        <v>73</v>
      </c>
      <c r="I22" s="153">
        <f t="shared" si="7"/>
        <v>3</v>
      </c>
      <c r="J22" s="153">
        <f t="shared" si="8"/>
        <v>290</v>
      </c>
      <c r="K22" s="153">
        <f t="shared" si="9"/>
        <v>72.5</v>
      </c>
      <c r="L22" s="153">
        <f>IF(AC22&gt;0,((K22-AD22)+(AE22-K23)),IF(K23=0, ,(K22-K23)))</f>
        <v>2.25</v>
      </c>
      <c r="M22" s="154">
        <f t="shared" si="13"/>
        <v>24196</v>
      </c>
      <c r="N22" s="153">
        <f t="shared" si="11"/>
        <v>544.41</v>
      </c>
      <c r="O22" s="153">
        <f t="shared" si="12"/>
        <v>287.99288999999999</v>
      </c>
      <c r="P22" s="155">
        <f t="shared" si="6"/>
        <v>3330.6377728499997</v>
      </c>
      <c r="Q22" s="153"/>
      <c r="R22" s="153"/>
      <c r="S22" s="153"/>
      <c r="T22" s="153"/>
      <c r="U22" s="153"/>
      <c r="V22" s="153"/>
      <c r="W22" s="153"/>
      <c r="X22" s="153"/>
      <c r="Y22" s="153"/>
      <c r="Z22" s="153"/>
      <c r="AA22" s="153"/>
      <c r="AB22" s="153"/>
      <c r="AC22" s="153">
        <f>Q22+T22+W22+Z22</f>
        <v>0</v>
      </c>
      <c r="AD22" s="156">
        <f t="shared" si="5"/>
        <v>0</v>
      </c>
      <c r="AE22" s="156">
        <f t="shared" si="5"/>
        <v>0</v>
      </c>
    </row>
    <row r="23" spans="1:31" ht="32.25" customHeight="1">
      <c r="A23" s="151">
        <v>44581</v>
      </c>
      <c r="B23" s="152">
        <v>70</v>
      </c>
      <c r="C23" s="153">
        <f t="shared" si="0"/>
        <v>1</v>
      </c>
      <c r="D23" s="152">
        <v>70</v>
      </c>
      <c r="E23" s="153">
        <f t="shared" si="1"/>
        <v>2</v>
      </c>
      <c r="F23" s="152">
        <v>71</v>
      </c>
      <c r="G23" s="153">
        <f t="shared" si="2"/>
        <v>1</v>
      </c>
      <c r="H23" s="152">
        <v>70</v>
      </c>
      <c r="I23" s="153">
        <f t="shared" si="7"/>
        <v>0</v>
      </c>
      <c r="J23" s="153">
        <f t="shared" si="8"/>
        <v>281</v>
      </c>
      <c r="K23" s="153">
        <f t="shared" si="9"/>
        <v>70.25</v>
      </c>
      <c r="L23" s="153">
        <f t="shared" si="10"/>
        <v>1</v>
      </c>
      <c r="M23" s="154">
        <f t="shared" si="13"/>
        <v>24196</v>
      </c>
      <c r="N23" s="153">
        <f t="shared" si="11"/>
        <v>241.96</v>
      </c>
      <c r="O23" s="153">
        <f t="shared" si="12"/>
        <v>127.99684000000001</v>
      </c>
      <c r="P23" s="155">
        <f t="shared" si="6"/>
        <v>1480.2834545999999</v>
      </c>
      <c r="Q23" s="153"/>
      <c r="R23" s="153"/>
      <c r="S23" s="153"/>
      <c r="T23" s="153"/>
      <c r="U23" s="153"/>
      <c r="V23" s="153"/>
      <c r="W23" s="153"/>
      <c r="X23" s="153"/>
      <c r="Y23" s="153"/>
      <c r="Z23" s="153"/>
      <c r="AA23" s="153"/>
      <c r="AB23" s="153"/>
      <c r="AC23" s="153">
        <f t="shared" si="4"/>
        <v>0</v>
      </c>
      <c r="AD23" s="156">
        <f t="shared" si="5"/>
        <v>0</v>
      </c>
      <c r="AE23" s="156">
        <f t="shared" si="5"/>
        <v>0</v>
      </c>
    </row>
    <row r="24" spans="1:31" ht="32.25" customHeight="1">
      <c r="A24" s="151">
        <v>44582</v>
      </c>
      <c r="B24" s="152">
        <v>69</v>
      </c>
      <c r="C24" s="153">
        <f t="shared" si="0"/>
        <v>1</v>
      </c>
      <c r="D24" s="152">
        <v>68</v>
      </c>
      <c r="E24" s="153">
        <f t="shared" si="1"/>
        <v>2</v>
      </c>
      <c r="F24" s="152">
        <v>70</v>
      </c>
      <c r="G24" s="153">
        <f t="shared" si="2"/>
        <v>3</v>
      </c>
      <c r="H24" s="152">
        <v>70</v>
      </c>
      <c r="I24" s="153">
        <f t="shared" si="7"/>
        <v>1</v>
      </c>
      <c r="J24" s="153">
        <f t="shared" si="8"/>
        <v>277</v>
      </c>
      <c r="K24" s="153">
        <f t="shared" si="9"/>
        <v>69.25</v>
      </c>
      <c r="L24" s="153">
        <f t="shared" si="10"/>
        <v>1.75</v>
      </c>
      <c r="M24" s="154">
        <f t="shared" si="13"/>
        <v>24196</v>
      </c>
      <c r="N24" s="153">
        <f t="shared" si="11"/>
        <v>423.43</v>
      </c>
      <c r="O24" s="153">
        <f t="shared" si="12"/>
        <v>223.99447000000001</v>
      </c>
      <c r="P24" s="155">
        <f t="shared" si="6"/>
        <v>2590.49604555</v>
      </c>
      <c r="Q24" s="153"/>
      <c r="R24" s="153"/>
      <c r="S24" s="153"/>
      <c r="T24" s="153"/>
      <c r="U24" s="153"/>
      <c r="V24" s="153"/>
      <c r="W24" s="153"/>
      <c r="X24" s="153"/>
      <c r="Y24" s="153"/>
      <c r="Z24" s="153"/>
      <c r="AA24" s="153"/>
      <c r="AB24" s="153"/>
      <c r="AC24" s="153">
        <f t="shared" si="4"/>
        <v>0</v>
      </c>
      <c r="AD24" s="156">
        <f t="shared" si="5"/>
        <v>0</v>
      </c>
      <c r="AE24" s="156">
        <f t="shared" si="5"/>
        <v>0</v>
      </c>
    </row>
    <row r="25" spans="1:31" ht="32.25" customHeight="1">
      <c r="A25" s="151">
        <v>44583</v>
      </c>
      <c r="B25" s="152">
        <v>68</v>
      </c>
      <c r="C25" s="153">
        <f t="shared" si="0"/>
        <v>3</v>
      </c>
      <c r="D25" s="152">
        <v>66</v>
      </c>
      <c r="E25" s="153">
        <f t="shared" si="1"/>
        <v>4</v>
      </c>
      <c r="F25" s="152">
        <v>67</v>
      </c>
      <c r="G25" s="153">
        <f t="shared" si="2"/>
        <v>0</v>
      </c>
      <c r="H25" s="152">
        <v>69</v>
      </c>
      <c r="I25" s="153">
        <f t="shared" si="7"/>
        <v>3</v>
      </c>
      <c r="J25" s="153">
        <f t="shared" si="8"/>
        <v>270</v>
      </c>
      <c r="K25" s="153">
        <f t="shared" si="9"/>
        <v>67.5</v>
      </c>
      <c r="L25" s="153">
        <f t="shared" si="10"/>
        <v>2.5</v>
      </c>
      <c r="M25" s="154">
        <f t="shared" si="13"/>
        <v>24196</v>
      </c>
      <c r="N25" s="153">
        <f t="shared" si="11"/>
        <v>604.9</v>
      </c>
      <c r="O25" s="153">
        <f t="shared" si="12"/>
        <v>319.99209999999999</v>
      </c>
      <c r="P25" s="155">
        <f t="shared" si="6"/>
        <v>3700.7086364999996</v>
      </c>
      <c r="Q25" s="153"/>
      <c r="R25" s="153"/>
      <c r="S25" s="153"/>
      <c r="T25" s="153"/>
      <c r="U25" s="153"/>
      <c r="V25" s="153"/>
      <c r="W25" s="153"/>
      <c r="X25" s="153"/>
      <c r="Y25" s="153"/>
      <c r="Z25" s="153"/>
      <c r="AA25" s="153"/>
      <c r="AB25" s="153"/>
      <c r="AC25" s="153">
        <f t="shared" si="4"/>
        <v>0</v>
      </c>
      <c r="AD25" s="156">
        <f t="shared" ref="AD25:AE42" si="14">(R25+U25+X25+AA25)/4</f>
        <v>0</v>
      </c>
      <c r="AE25" s="156">
        <f>(S25+V25+Y25+AB25)/4</f>
        <v>0</v>
      </c>
    </row>
    <row r="26" spans="1:31" ht="32.25" customHeight="1">
      <c r="A26" s="151">
        <v>44584</v>
      </c>
      <c r="B26" s="152">
        <v>65</v>
      </c>
      <c r="C26" s="153">
        <f t="shared" si="0"/>
        <v>1</v>
      </c>
      <c r="D26" s="152">
        <v>62</v>
      </c>
      <c r="E26" s="153">
        <f t="shared" si="1"/>
        <v>2</v>
      </c>
      <c r="F26" s="152">
        <v>67</v>
      </c>
      <c r="G26" s="153">
        <f t="shared" si="2"/>
        <v>1</v>
      </c>
      <c r="H26" s="152">
        <v>66</v>
      </c>
      <c r="I26" s="153">
        <f t="shared" si="7"/>
        <v>1</v>
      </c>
      <c r="J26" s="153">
        <f t="shared" si="8"/>
        <v>260</v>
      </c>
      <c r="K26" s="153">
        <f t="shared" si="9"/>
        <v>65</v>
      </c>
      <c r="L26" s="153">
        <f t="shared" si="10"/>
        <v>1.25</v>
      </c>
      <c r="M26" s="154">
        <f t="shared" si="13"/>
        <v>24196</v>
      </c>
      <c r="N26" s="153">
        <f t="shared" si="11"/>
        <v>302.45</v>
      </c>
      <c r="O26" s="153">
        <f t="shared" si="12"/>
        <v>159.99605</v>
      </c>
      <c r="P26" s="155">
        <f t="shared" si="6"/>
        <v>1850.3543182499998</v>
      </c>
      <c r="Q26" s="153"/>
      <c r="R26" s="153"/>
      <c r="S26" s="153"/>
      <c r="T26" s="153"/>
      <c r="U26" s="153"/>
      <c r="V26" s="153"/>
      <c r="W26" s="153"/>
      <c r="X26" s="153"/>
      <c r="Y26" s="153"/>
      <c r="Z26" s="153"/>
      <c r="AA26" s="153"/>
      <c r="AB26" s="153"/>
      <c r="AC26" s="153">
        <f t="shared" si="4"/>
        <v>0</v>
      </c>
      <c r="AD26" s="156">
        <f t="shared" si="14"/>
        <v>0</v>
      </c>
      <c r="AE26" s="156">
        <f>(S26+V26+Y26+AB26)/4</f>
        <v>0</v>
      </c>
    </row>
    <row r="27" spans="1:31" ht="32.25" customHeight="1">
      <c r="A27" s="151">
        <v>44585</v>
      </c>
      <c r="B27" s="152">
        <v>64</v>
      </c>
      <c r="C27" s="153">
        <f t="shared" si="0"/>
        <v>0</v>
      </c>
      <c r="D27" s="152">
        <v>60</v>
      </c>
      <c r="E27" s="153">
        <f t="shared" si="1"/>
        <v>0</v>
      </c>
      <c r="F27" s="152">
        <v>66</v>
      </c>
      <c r="G27" s="153">
        <f t="shared" si="2"/>
        <v>0</v>
      </c>
      <c r="H27" s="152">
        <v>65</v>
      </c>
      <c r="I27" s="153">
        <f t="shared" si="7"/>
        <v>0</v>
      </c>
      <c r="J27" s="153">
        <f t="shared" si="8"/>
        <v>255</v>
      </c>
      <c r="K27" s="153">
        <f t="shared" si="9"/>
        <v>63.75</v>
      </c>
      <c r="L27" s="153">
        <f t="shared" si="10"/>
        <v>0</v>
      </c>
      <c r="M27" s="154">
        <f t="shared" si="13"/>
        <v>24196</v>
      </c>
      <c r="N27" s="153">
        <f t="shared" si="11"/>
        <v>0</v>
      </c>
      <c r="O27" s="153">
        <f t="shared" si="12"/>
        <v>0</v>
      </c>
      <c r="P27" s="155">
        <f t="shared" si="6"/>
        <v>0</v>
      </c>
      <c r="Q27" s="153"/>
      <c r="R27" s="153"/>
      <c r="S27" s="153"/>
      <c r="T27" s="153"/>
      <c r="U27" s="153"/>
      <c r="V27" s="153"/>
      <c r="W27" s="153"/>
      <c r="X27" s="153"/>
      <c r="Y27" s="153"/>
      <c r="Z27" s="153"/>
      <c r="AA27" s="153"/>
      <c r="AB27" s="153"/>
      <c r="AC27" s="153">
        <f t="shared" si="4"/>
        <v>0</v>
      </c>
      <c r="AD27" s="156">
        <f t="shared" si="14"/>
        <v>0</v>
      </c>
      <c r="AE27" s="156">
        <f>(S27+V27+Y27+AB27)/4</f>
        <v>0</v>
      </c>
    </row>
    <row r="28" spans="1:31" ht="32.25" customHeight="1">
      <c r="A28" s="151">
        <v>44586</v>
      </c>
      <c r="B28" s="152"/>
      <c r="C28" s="153">
        <f t="shared" si="0"/>
        <v>0</v>
      </c>
      <c r="D28" s="152"/>
      <c r="E28" s="153">
        <f t="shared" si="1"/>
        <v>0</v>
      </c>
      <c r="F28" s="152"/>
      <c r="G28" s="153">
        <f t="shared" si="2"/>
        <v>0</v>
      </c>
      <c r="H28" s="152"/>
      <c r="I28" s="153">
        <f>IF(AC28&gt;0,((H28-AA28)+(AB28-H29)),IF(H29=0, ,(H28-H29)))</f>
        <v>0</v>
      </c>
      <c r="J28" s="153">
        <f t="shared" si="8"/>
        <v>0</v>
      </c>
      <c r="K28" s="153">
        <f t="shared" si="9"/>
        <v>0</v>
      </c>
      <c r="L28" s="153">
        <f t="shared" si="10"/>
        <v>0</v>
      </c>
      <c r="M28" s="154">
        <f t="shared" si="13"/>
        <v>24196</v>
      </c>
      <c r="N28" s="153">
        <f t="shared" si="11"/>
        <v>0</v>
      </c>
      <c r="O28" s="153">
        <f t="shared" si="12"/>
        <v>0</v>
      </c>
      <c r="P28" s="155">
        <f t="shared" si="6"/>
        <v>0</v>
      </c>
      <c r="Q28" s="153"/>
      <c r="R28" s="153"/>
      <c r="S28" s="153"/>
      <c r="T28" s="153"/>
      <c r="U28" s="153"/>
      <c r="V28" s="153"/>
      <c r="W28" s="153"/>
      <c r="X28" s="153"/>
      <c r="Y28" s="153"/>
      <c r="Z28" s="153"/>
      <c r="AA28" s="153"/>
      <c r="AB28" s="153"/>
      <c r="AC28" s="153">
        <f t="shared" si="4"/>
        <v>0</v>
      </c>
      <c r="AD28" s="156">
        <f t="shared" si="14"/>
        <v>0</v>
      </c>
      <c r="AE28" s="156">
        <f>(S28+V28+Y28+AB28)/4</f>
        <v>0</v>
      </c>
    </row>
    <row r="29" spans="1:31" ht="32.25" customHeight="1">
      <c r="A29" s="151">
        <v>44587</v>
      </c>
      <c r="B29" s="152"/>
      <c r="C29" s="153">
        <f t="shared" si="0"/>
        <v>0</v>
      </c>
      <c r="D29" s="152"/>
      <c r="E29" s="153">
        <f t="shared" si="1"/>
        <v>0</v>
      </c>
      <c r="F29" s="152"/>
      <c r="G29" s="153">
        <f t="shared" si="2"/>
        <v>0</v>
      </c>
      <c r="H29" s="152"/>
      <c r="I29" s="153">
        <f t="shared" si="7"/>
        <v>0</v>
      </c>
      <c r="J29" s="153">
        <f t="shared" si="8"/>
        <v>0</v>
      </c>
      <c r="K29" s="153">
        <f t="shared" si="9"/>
        <v>0</v>
      </c>
      <c r="L29" s="153">
        <f t="shared" si="10"/>
        <v>0</v>
      </c>
      <c r="M29" s="154">
        <f t="shared" si="13"/>
        <v>24196</v>
      </c>
      <c r="N29" s="153">
        <f t="shared" si="11"/>
        <v>0</v>
      </c>
      <c r="O29" s="153">
        <f t="shared" si="12"/>
        <v>0</v>
      </c>
      <c r="P29" s="155">
        <f t="shared" si="6"/>
        <v>0</v>
      </c>
      <c r="Q29" s="153"/>
      <c r="R29" s="153"/>
      <c r="S29" s="153"/>
      <c r="T29" s="153"/>
      <c r="U29" s="153"/>
      <c r="V29" s="153"/>
      <c r="W29" s="153"/>
      <c r="X29" s="153"/>
      <c r="Y29" s="153"/>
      <c r="Z29" s="153"/>
      <c r="AA29" s="153"/>
      <c r="AB29" s="153"/>
      <c r="AC29" s="153">
        <f>Q29+T29+W29+Z29</f>
        <v>0</v>
      </c>
      <c r="AD29" s="156">
        <f t="shared" si="14"/>
        <v>0</v>
      </c>
      <c r="AE29" s="156">
        <f>(S29+V29+Y29+AB29)/4</f>
        <v>0</v>
      </c>
    </row>
    <row r="30" spans="1:31" ht="32.25" customHeight="1">
      <c r="A30" s="151">
        <v>44588</v>
      </c>
      <c r="B30" s="152"/>
      <c r="C30" s="153">
        <f t="shared" si="0"/>
        <v>0</v>
      </c>
      <c r="D30" s="152"/>
      <c r="E30" s="153">
        <f t="shared" si="1"/>
        <v>0</v>
      </c>
      <c r="F30" s="152"/>
      <c r="G30" s="153">
        <f t="shared" si="2"/>
        <v>0</v>
      </c>
      <c r="H30" s="152"/>
      <c r="I30" s="153">
        <f t="shared" si="7"/>
        <v>0</v>
      </c>
      <c r="J30" s="153">
        <f t="shared" si="8"/>
        <v>0</v>
      </c>
      <c r="K30" s="153">
        <f t="shared" si="9"/>
        <v>0</v>
      </c>
      <c r="L30" s="153">
        <f t="shared" si="10"/>
        <v>0</v>
      </c>
      <c r="M30" s="154">
        <f t="shared" si="13"/>
        <v>24196</v>
      </c>
      <c r="N30" s="153">
        <f t="shared" si="11"/>
        <v>0</v>
      </c>
      <c r="O30" s="153">
        <f t="shared" si="12"/>
        <v>0</v>
      </c>
      <c r="P30" s="155">
        <f t="shared" si="6"/>
        <v>0</v>
      </c>
      <c r="Q30" s="153"/>
      <c r="R30" s="153"/>
      <c r="S30" s="153"/>
      <c r="T30" s="153"/>
      <c r="U30" s="153"/>
      <c r="V30" s="153"/>
      <c r="W30" s="153"/>
      <c r="X30" s="153"/>
      <c r="Y30" s="153"/>
      <c r="Z30" s="153"/>
      <c r="AA30" s="153"/>
      <c r="AB30" s="153"/>
      <c r="AC30" s="153">
        <f t="shared" si="4"/>
        <v>0</v>
      </c>
      <c r="AD30" s="156">
        <f t="shared" si="14"/>
        <v>0</v>
      </c>
      <c r="AE30" s="156">
        <f t="shared" si="14"/>
        <v>0</v>
      </c>
    </row>
    <row r="31" spans="1:31" ht="32.25" customHeight="1">
      <c r="A31" s="151">
        <v>44589</v>
      </c>
      <c r="B31" s="152"/>
      <c r="C31" s="153">
        <f t="shared" si="0"/>
        <v>0</v>
      </c>
      <c r="D31" s="152"/>
      <c r="E31" s="153">
        <f t="shared" si="1"/>
        <v>0</v>
      </c>
      <c r="F31" s="152"/>
      <c r="G31" s="153">
        <f t="shared" si="2"/>
        <v>0</v>
      </c>
      <c r="H31" s="152"/>
      <c r="I31" s="153">
        <f t="shared" si="7"/>
        <v>0</v>
      </c>
      <c r="J31" s="153">
        <f t="shared" si="8"/>
        <v>0</v>
      </c>
      <c r="K31" s="153">
        <f t="shared" si="9"/>
        <v>0</v>
      </c>
      <c r="L31" s="153">
        <f t="shared" si="10"/>
        <v>0</v>
      </c>
      <c r="M31" s="154">
        <f t="shared" si="13"/>
        <v>24196</v>
      </c>
      <c r="N31" s="153">
        <f t="shared" si="11"/>
        <v>0</v>
      </c>
      <c r="O31" s="153">
        <f t="shared" si="12"/>
        <v>0</v>
      </c>
      <c r="P31" s="155">
        <f t="shared" si="6"/>
        <v>0</v>
      </c>
      <c r="Q31" s="153"/>
      <c r="R31" s="153"/>
      <c r="S31" s="153"/>
      <c r="T31" s="153"/>
      <c r="U31" s="153"/>
      <c r="V31" s="153"/>
      <c r="W31" s="153"/>
      <c r="X31" s="153"/>
      <c r="Y31" s="153"/>
      <c r="Z31" s="153"/>
      <c r="AA31" s="153"/>
      <c r="AB31" s="153"/>
      <c r="AC31" s="153">
        <f t="shared" si="4"/>
        <v>0</v>
      </c>
      <c r="AD31" s="156">
        <f t="shared" si="14"/>
        <v>0</v>
      </c>
      <c r="AE31" s="156">
        <f t="shared" si="14"/>
        <v>0</v>
      </c>
    </row>
    <row r="32" spans="1:31" ht="32.25" customHeight="1">
      <c r="A32" s="151">
        <v>44590</v>
      </c>
      <c r="B32" s="152"/>
      <c r="C32" s="153">
        <f t="shared" si="0"/>
        <v>0</v>
      </c>
      <c r="D32" s="152"/>
      <c r="E32" s="153">
        <f t="shared" si="1"/>
        <v>0</v>
      </c>
      <c r="F32" s="152"/>
      <c r="G32" s="153">
        <f t="shared" si="2"/>
        <v>0</v>
      </c>
      <c r="H32" s="152"/>
      <c r="I32" s="153">
        <f t="shared" si="7"/>
        <v>0</v>
      </c>
      <c r="J32" s="153">
        <f t="shared" si="8"/>
        <v>0</v>
      </c>
      <c r="K32" s="153">
        <f t="shared" si="9"/>
        <v>0</v>
      </c>
      <c r="L32" s="153">
        <f t="shared" si="10"/>
        <v>0</v>
      </c>
      <c r="M32" s="154">
        <f t="shared" si="13"/>
        <v>24196</v>
      </c>
      <c r="N32" s="153">
        <f t="shared" si="11"/>
        <v>0</v>
      </c>
      <c r="O32" s="154">
        <f t="shared" si="12"/>
        <v>0</v>
      </c>
      <c r="P32" s="155">
        <f t="shared" si="6"/>
        <v>0</v>
      </c>
      <c r="Q32" s="153"/>
      <c r="R32" s="153"/>
      <c r="S32" s="153"/>
      <c r="T32" s="153"/>
      <c r="U32" s="153"/>
      <c r="V32" s="153"/>
      <c r="W32" s="153"/>
      <c r="X32" s="153"/>
      <c r="Y32" s="153"/>
      <c r="Z32" s="153"/>
      <c r="AA32" s="153"/>
      <c r="AB32" s="153"/>
      <c r="AC32" s="153">
        <f>Q32+T32+W32+Z32</f>
        <v>0</v>
      </c>
      <c r="AD32" s="156">
        <f t="shared" si="14"/>
        <v>0</v>
      </c>
      <c r="AE32" s="156">
        <f t="shared" si="14"/>
        <v>0</v>
      </c>
    </row>
    <row r="33" spans="1:31" ht="32.25" customHeight="1">
      <c r="A33" s="151">
        <v>44591</v>
      </c>
      <c r="B33" s="152"/>
      <c r="C33" s="153">
        <f t="shared" si="0"/>
        <v>0</v>
      </c>
      <c r="D33" s="152"/>
      <c r="E33" s="153">
        <f t="shared" si="1"/>
        <v>0</v>
      </c>
      <c r="F33" s="152"/>
      <c r="G33" s="153">
        <f t="shared" si="2"/>
        <v>0</v>
      </c>
      <c r="H33" s="152"/>
      <c r="I33" s="153">
        <f t="shared" si="7"/>
        <v>0</v>
      </c>
      <c r="J33" s="153">
        <f t="shared" si="8"/>
        <v>0</v>
      </c>
      <c r="K33" s="153">
        <f t="shared" si="9"/>
        <v>0</v>
      </c>
      <c r="L33" s="153">
        <f t="shared" si="10"/>
        <v>0</v>
      </c>
      <c r="M33" s="154">
        <f t="shared" si="13"/>
        <v>24196</v>
      </c>
      <c r="N33" s="153">
        <f t="shared" si="11"/>
        <v>0</v>
      </c>
      <c r="O33" s="153">
        <f t="shared" si="12"/>
        <v>0</v>
      </c>
      <c r="P33" s="155">
        <f t="shared" si="6"/>
        <v>0</v>
      </c>
      <c r="Q33" s="153"/>
      <c r="R33" s="153"/>
      <c r="S33" s="153"/>
      <c r="T33" s="153"/>
      <c r="U33" s="153"/>
      <c r="V33" s="153"/>
      <c r="W33" s="153"/>
      <c r="X33" s="153"/>
      <c r="Y33" s="153"/>
      <c r="Z33" s="153"/>
      <c r="AA33" s="153"/>
      <c r="AB33" s="153"/>
      <c r="AC33" s="153">
        <f>Q33+T33+W33+Z33</f>
        <v>0</v>
      </c>
      <c r="AD33" s="156">
        <f t="shared" si="14"/>
        <v>0</v>
      </c>
      <c r="AE33" s="156">
        <f t="shared" si="14"/>
        <v>0</v>
      </c>
    </row>
    <row r="34" spans="1:31" ht="32.25" customHeight="1">
      <c r="A34" s="151">
        <v>44592</v>
      </c>
      <c r="B34" s="152"/>
      <c r="C34" s="153">
        <f t="shared" si="0"/>
        <v>0</v>
      </c>
      <c r="D34" s="152"/>
      <c r="E34" s="153">
        <f t="shared" si="1"/>
        <v>0</v>
      </c>
      <c r="F34" s="152"/>
      <c r="G34" s="153">
        <f t="shared" si="2"/>
        <v>0</v>
      </c>
      <c r="H34" s="152"/>
      <c r="I34" s="153">
        <f t="shared" si="7"/>
        <v>0</v>
      </c>
      <c r="J34" s="153">
        <f>B34+D34+F34+H34</f>
        <v>0</v>
      </c>
      <c r="K34" s="153">
        <f>J34/4</f>
        <v>0</v>
      </c>
      <c r="L34" s="153">
        <f>IF(AC34&gt;0,((K34-AD34)+(AE34-K35)),IF(K35=0, ,(K34-K35)))</f>
        <v>0</v>
      </c>
      <c r="M34" s="154">
        <f t="shared" si="13"/>
        <v>24196</v>
      </c>
      <c r="N34" s="153">
        <f>L34*M34/100</f>
        <v>0</v>
      </c>
      <c r="O34" s="153">
        <f>N34*0.529</f>
        <v>0</v>
      </c>
      <c r="P34" s="155">
        <f t="shared" si="6"/>
        <v>0</v>
      </c>
      <c r="Q34" s="153"/>
      <c r="R34" s="153"/>
      <c r="S34" s="153"/>
      <c r="T34" s="153"/>
      <c r="U34" s="153"/>
      <c r="V34" s="153"/>
      <c r="W34" s="153"/>
      <c r="X34" s="153"/>
      <c r="Y34" s="153"/>
      <c r="Z34" s="153"/>
      <c r="AA34" s="153"/>
      <c r="AB34" s="153"/>
      <c r="AC34" s="153">
        <f t="shared" si="4"/>
        <v>0</v>
      </c>
      <c r="AD34" s="156">
        <f t="shared" si="14"/>
        <v>0</v>
      </c>
      <c r="AE34" s="156">
        <f t="shared" si="14"/>
        <v>0</v>
      </c>
    </row>
    <row r="35" spans="1:31" ht="32.25" customHeight="1">
      <c r="A35" s="151">
        <v>44593</v>
      </c>
      <c r="B35" s="152"/>
      <c r="C35" s="153">
        <f t="shared" si="0"/>
        <v>0</v>
      </c>
      <c r="D35" s="152"/>
      <c r="E35" s="153">
        <f t="shared" si="1"/>
        <v>0</v>
      </c>
      <c r="F35" s="152"/>
      <c r="G35" s="153">
        <f t="shared" si="2"/>
        <v>0</v>
      </c>
      <c r="H35" s="152"/>
      <c r="I35" s="153">
        <f t="shared" si="7"/>
        <v>0</v>
      </c>
      <c r="J35" s="153">
        <f>B35+D35+F35+H35</f>
        <v>0</v>
      </c>
      <c r="K35" s="153">
        <f>J35/4</f>
        <v>0</v>
      </c>
      <c r="L35" s="153">
        <f t="shared" si="10"/>
        <v>0</v>
      </c>
      <c r="M35" s="154">
        <f t="shared" si="13"/>
        <v>24196</v>
      </c>
      <c r="N35" s="153">
        <f t="shared" si="11"/>
        <v>0</v>
      </c>
      <c r="O35" s="153">
        <f t="shared" si="12"/>
        <v>0</v>
      </c>
      <c r="P35" s="155">
        <f t="shared" si="6"/>
        <v>0</v>
      </c>
      <c r="Q35" s="153"/>
      <c r="R35" s="153"/>
      <c r="S35" s="153"/>
      <c r="T35" s="153"/>
      <c r="U35" s="153"/>
      <c r="V35" s="153"/>
      <c r="W35" s="153"/>
      <c r="X35" s="153"/>
      <c r="Y35" s="153"/>
      <c r="Z35" s="153"/>
      <c r="AA35" s="153"/>
      <c r="AB35" s="153"/>
      <c r="AC35" s="153">
        <f t="shared" si="4"/>
        <v>0</v>
      </c>
      <c r="AD35" s="156">
        <f t="shared" si="14"/>
        <v>0</v>
      </c>
      <c r="AE35" s="156">
        <f t="shared" si="14"/>
        <v>0</v>
      </c>
    </row>
    <row r="36" spans="1:31" ht="32.25" customHeight="1">
      <c r="A36" s="151"/>
      <c r="B36" s="152"/>
      <c r="C36" s="153">
        <f>IF(AC36&gt;0,((B36-R36)+(S36-B37)),IF(B37=0, ,(B36-B37)))</f>
        <v>0</v>
      </c>
      <c r="D36" s="152"/>
      <c r="E36" s="153">
        <f t="shared" si="1"/>
        <v>0</v>
      </c>
      <c r="F36" s="152"/>
      <c r="G36" s="153">
        <f t="shared" si="2"/>
        <v>0</v>
      </c>
      <c r="H36" s="152"/>
      <c r="I36" s="153">
        <f t="shared" si="7"/>
        <v>0</v>
      </c>
      <c r="J36" s="153">
        <f t="shared" si="8"/>
        <v>0</v>
      </c>
      <c r="K36" s="153">
        <f t="shared" si="9"/>
        <v>0</v>
      </c>
      <c r="L36" s="153">
        <f t="shared" si="10"/>
        <v>0</v>
      </c>
      <c r="M36" s="154">
        <f t="shared" si="13"/>
        <v>24196</v>
      </c>
      <c r="N36" s="153">
        <f t="shared" si="11"/>
        <v>0</v>
      </c>
      <c r="O36" s="153">
        <f t="shared" si="12"/>
        <v>0</v>
      </c>
      <c r="P36" s="155">
        <f t="shared" si="6"/>
        <v>0</v>
      </c>
      <c r="Q36" s="153"/>
      <c r="R36" s="153"/>
      <c r="S36" s="153"/>
      <c r="T36" s="153"/>
      <c r="U36" s="153"/>
      <c r="V36" s="153"/>
      <c r="W36" s="153"/>
      <c r="X36" s="153"/>
      <c r="Y36" s="153"/>
      <c r="Z36" s="153"/>
      <c r="AA36" s="153"/>
      <c r="AB36" s="153"/>
      <c r="AC36" s="153">
        <f t="shared" si="4"/>
        <v>0</v>
      </c>
      <c r="AD36" s="156">
        <f t="shared" si="14"/>
        <v>0</v>
      </c>
      <c r="AE36" s="156">
        <f t="shared" si="14"/>
        <v>0</v>
      </c>
    </row>
    <row r="37" spans="1:31" ht="32.25" customHeight="1">
      <c r="A37" s="151"/>
      <c r="B37" s="152"/>
      <c r="C37" s="153">
        <f t="shared" ref="C37:C42" si="15">IF(AC37&gt;0,((B37-R37)+(S37-B38)),IF(B38=0, ,(B37-B38)))</f>
        <v>0</v>
      </c>
      <c r="D37" s="152"/>
      <c r="E37" s="153">
        <f>IF(AC37:AC60&gt;0,((D37-U37)+(V37-D38)),IF(D38=0, ,(D37-D38)))</f>
        <v>0</v>
      </c>
      <c r="F37" s="152"/>
      <c r="G37" s="153">
        <f t="shared" si="2"/>
        <v>0</v>
      </c>
      <c r="H37" s="152"/>
      <c r="I37" s="153">
        <f t="shared" si="7"/>
        <v>0</v>
      </c>
      <c r="J37" s="153">
        <f t="shared" si="8"/>
        <v>0</v>
      </c>
      <c r="K37" s="153">
        <f t="shared" si="9"/>
        <v>0</v>
      </c>
      <c r="L37" s="153">
        <f t="shared" si="10"/>
        <v>0</v>
      </c>
      <c r="M37" s="154">
        <f t="shared" si="13"/>
        <v>24196</v>
      </c>
      <c r="N37" s="153">
        <f t="shared" si="11"/>
        <v>0</v>
      </c>
      <c r="O37" s="153">
        <f t="shared" si="12"/>
        <v>0</v>
      </c>
      <c r="P37" s="155">
        <f t="shared" si="6"/>
        <v>0</v>
      </c>
      <c r="Q37" s="153"/>
      <c r="R37" s="153"/>
      <c r="S37" s="153"/>
      <c r="T37" s="153"/>
      <c r="U37" s="153"/>
      <c r="V37" s="153"/>
      <c r="W37" s="153"/>
      <c r="X37" s="153"/>
      <c r="Y37" s="153"/>
      <c r="Z37" s="153"/>
      <c r="AA37" s="153"/>
      <c r="AB37" s="153"/>
      <c r="AC37" s="153">
        <f t="shared" si="4"/>
        <v>0</v>
      </c>
      <c r="AD37" s="156">
        <f t="shared" si="14"/>
        <v>0</v>
      </c>
      <c r="AE37" s="156">
        <f t="shared" si="14"/>
        <v>0</v>
      </c>
    </row>
    <row r="38" spans="1:31" ht="32.25" customHeight="1">
      <c r="A38" s="151"/>
      <c r="B38" s="152"/>
      <c r="C38" s="153">
        <f t="shared" si="15"/>
        <v>0</v>
      </c>
      <c r="D38" s="152"/>
      <c r="E38" s="153">
        <f>IF(AC38:AC61&gt;0,((D38-U38)+(V38-D39)),IF(D39=0, ,(D38-D39)))</f>
        <v>0</v>
      </c>
      <c r="F38" s="152"/>
      <c r="G38" s="153">
        <f t="shared" si="2"/>
        <v>0</v>
      </c>
      <c r="H38" s="152"/>
      <c r="I38" s="153">
        <f t="shared" si="7"/>
        <v>0</v>
      </c>
      <c r="J38" s="153">
        <f t="shared" si="8"/>
        <v>0</v>
      </c>
      <c r="K38" s="153">
        <f t="shared" si="9"/>
        <v>0</v>
      </c>
      <c r="L38" s="153">
        <f t="shared" si="10"/>
        <v>0</v>
      </c>
      <c r="M38" s="154">
        <f t="shared" si="13"/>
        <v>24196</v>
      </c>
      <c r="N38" s="153">
        <f t="shared" si="11"/>
        <v>0</v>
      </c>
      <c r="O38" s="153">
        <f>N38*0.53</f>
        <v>0</v>
      </c>
      <c r="P38" s="155">
        <f t="shared" si="6"/>
        <v>0</v>
      </c>
      <c r="Q38" s="153"/>
      <c r="R38" s="153"/>
      <c r="S38" s="153"/>
      <c r="T38" s="153"/>
      <c r="U38" s="153"/>
      <c r="V38" s="153"/>
      <c r="W38" s="153"/>
      <c r="X38" s="153"/>
      <c r="Y38" s="153"/>
      <c r="Z38" s="153"/>
      <c r="AA38" s="153"/>
      <c r="AB38" s="153"/>
      <c r="AC38" s="153">
        <f t="shared" si="4"/>
        <v>0</v>
      </c>
      <c r="AD38" s="156">
        <f t="shared" si="14"/>
        <v>0</v>
      </c>
      <c r="AE38" s="156">
        <f t="shared" si="14"/>
        <v>0</v>
      </c>
    </row>
    <row r="39" spans="1:31" ht="32.25" customHeight="1">
      <c r="A39" s="151"/>
      <c r="B39" s="152"/>
      <c r="C39" s="153">
        <f t="shared" si="15"/>
        <v>0</v>
      </c>
      <c r="D39" s="152"/>
      <c r="E39" s="153">
        <f>IF(AC39&gt;0,((D39-U39)+(V39-D40)),IF(D40=0, ,(D39-D40)))</f>
        <v>0</v>
      </c>
      <c r="F39" s="152"/>
      <c r="G39" s="153">
        <f t="shared" si="2"/>
        <v>0</v>
      </c>
      <c r="H39" s="152"/>
      <c r="I39" s="153">
        <f t="shared" si="7"/>
        <v>0</v>
      </c>
      <c r="J39" s="153">
        <f t="shared" si="8"/>
        <v>0</v>
      </c>
      <c r="K39" s="153">
        <f t="shared" si="9"/>
        <v>0</v>
      </c>
      <c r="L39" s="153">
        <f t="shared" si="10"/>
        <v>0</v>
      </c>
      <c r="M39" s="154">
        <f t="shared" si="13"/>
        <v>24196</v>
      </c>
      <c r="N39" s="153">
        <f t="shared" si="11"/>
        <v>0</v>
      </c>
      <c r="O39" s="153">
        <f>N39*0.53</f>
        <v>0</v>
      </c>
      <c r="P39" s="155">
        <f t="shared" ref="P39" si="16">O39*11.2513</f>
        <v>0</v>
      </c>
      <c r="Q39" s="153"/>
      <c r="R39" s="153"/>
      <c r="S39" s="153"/>
      <c r="T39" s="153"/>
      <c r="U39" s="153"/>
      <c r="V39" s="153"/>
      <c r="W39" s="153"/>
      <c r="X39" s="153"/>
      <c r="Y39" s="153"/>
      <c r="Z39" s="153"/>
      <c r="AA39" s="153"/>
      <c r="AB39" s="153"/>
      <c r="AC39" s="153">
        <f t="shared" si="4"/>
        <v>0</v>
      </c>
      <c r="AD39" s="156">
        <f t="shared" si="14"/>
        <v>0</v>
      </c>
      <c r="AE39" s="156">
        <f t="shared" si="14"/>
        <v>0</v>
      </c>
    </row>
    <row r="40" spans="1:31" ht="32.25" customHeight="1">
      <c r="A40" s="151"/>
      <c r="B40" s="152"/>
      <c r="C40" s="153">
        <f t="shared" si="15"/>
        <v>0</v>
      </c>
      <c r="D40" s="152"/>
      <c r="E40" s="153">
        <f>IF(AC40&gt;0,((D40-U40)+(V40-D41)),IF(D41=0, ,(D40-D41)))</f>
        <v>0</v>
      </c>
      <c r="F40" s="152"/>
      <c r="G40" s="153">
        <f t="shared" si="2"/>
        <v>0</v>
      </c>
      <c r="H40" s="152"/>
      <c r="I40" s="153">
        <f t="shared" si="7"/>
        <v>0</v>
      </c>
      <c r="J40" s="153">
        <f t="shared" si="8"/>
        <v>0</v>
      </c>
      <c r="K40" s="153">
        <f t="shared" si="9"/>
        <v>0</v>
      </c>
      <c r="L40" s="153">
        <f t="shared" si="10"/>
        <v>0</v>
      </c>
      <c r="M40" s="154">
        <f t="shared" si="13"/>
        <v>24196</v>
      </c>
      <c r="N40" s="153">
        <f t="shared" si="11"/>
        <v>0</v>
      </c>
      <c r="O40" s="153">
        <f>N40*0.53</f>
        <v>0</v>
      </c>
      <c r="P40" s="155">
        <f t="shared" ref="P40:P42" si="17">O40*9.965</f>
        <v>0</v>
      </c>
      <c r="Q40" s="153"/>
      <c r="R40" s="153"/>
      <c r="S40" s="153"/>
      <c r="T40" s="153"/>
      <c r="U40" s="153"/>
      <c r="V40" s="153"/>
      <c r="W40" s="153"/>
      <c r="X40" s="153"/>
      <c r="Y40" s="153"/>
      <c r="Z40" s="153"/>
      <c r="AA40" s="153"/>
      <c r="AB40" s="153"/>
      <c r="AC40" s="153">
        <f t="shared" si="4"/>
        <v>0</v>
      </c>
      <c r="AD40" s="156">
        <f t="shared" si="14"/>
        <v>0</v>
      </c>
      <c r="AE40" s="156">
        <f t="shared" si="14"/>
        <v>0</v>
      </c>
    </row>
    <row r="41" spans="1:31" ht="32.25" customHeight="1">
      <c r="A41" s="151"/>
      <c r="B41" s="152"/>
      <c r="C41" s="153">
        <f t="shared" si="15"/>
        <v>0</v>
      </c>
      <c r="D41" s="152"/>
      <c r="E41" s="153">
        <f>IF(AC41&gt;0,((D41-U41)+(V41-D42)),IF(D42=0, ,(D41-D42)))</f>
        <v>0</v>
      </c>
      <c r="F41" s="152"/>
      <c r="G41" s="153">
        <f t="shared" si="2"/>
        <v>0</v>
      </c>
      <c r="H41" s="152"/>
      <c r="I41" s="153">
        <f t="shared" si="7"/>
        <v>0</v>
      </c>
      <c r="J41" s="153">
        <f t="shared" si="8"/>
        <v>0</v>
      </c>
      <c r="K41" s="153">
        <f t="shared" si="9"/>
        <v>0</v>
      </c>
      <c r="L41" s="153">
        <f t="shared" si="10"/>
        <v>0</v>
      </c>
      <c r="M41" s="154">
        <f t="shared" si="13"/>
        <v>24196</v>
      </c>
      <c r="N41" s="153">
        <f t="shared" si="11"/>
        <v>0</v>
      </c>
      <c r="O41" s="153">
        <f>N41*0.53</f>
        <v>0</v>
      </c>
      <c r="P41" s="155">
        <f t="shared" si="17"/>
        <v>0</v>
      </c>
      <c r="Q41" s="153"/>
      <c r="R41" s="153"/>
      <c r="S41" s="153"/>
      <c r="T41" s="153"/>
      <c r="U41" s="153"/>
      <c r="V41" s="153"/>
      <c r="W41" s="153"/>
      <c r="X41" s="153"/>
      <c r="Y41" s="153"/>
      <c r="Z41" s="153"/>
      <c r="AA41" s="153"/>
      <c r="AB41" s="153"/>
      <c r="AC41" s="153">
        <f t="shared" si="4"/>
        <v>0</v>
      </c>
      <c r="AD41" s="156">
        <f t="shared" si="14"/>
        <v>0</v>
      </c>
      <c r="AE41" s="156">
        <f t="shared" si="14"/>
        <v>0</v>
      </c>
    </row>
    <row r="42" spans="1:31" ht="32.25" customHeight="1">
      <c r="A42" s="151"/>
      <c r="B42" s="152"/>
      <c r="C42" s="153">
        <f t="shared" si="15"/>
        <v>0</v>
      </c>
      <c r="D42" s="152"/>
      <c r="E42" s="153">
        <f>IF(AC42&gt;0,((D42-U42)+(V42-D43)),IF(D43=0, ,(D42-D43)))</f>
        <v>0</v>
      </c>
      <c r="F42" s="152"/>
      <c r="G42" s="153">
        <f t="shared" si="2"/>
        <v>0</v>
      </c>
      <c r="H42" s="152"/>
      <c r="I42" s="153">
        <f t="shared" si="7"/>
        <v>0</v>
      </c>
      <c r="J42" s="153">
        <f t="shared" si="8"/>
        <v>0</v>
      </c>
      <c r="K42" s="153">
        <f t="shared" si="9"/>
        <v>0</v>
      </c>
      <c r="L42" s="153">
        <f t="shared" si="10"/>
        <v>0</v>
      </c>
      <c r="M42" s="154">
        <f t="shared" si="13"/>
        <v>24196</v>
      </c>
      <c r="N42" s="153">
        <f t="shared" si="11"/>
        <v>0</v>
      </c>
      <c r="O42" s="153">
        <f>N42*0.53</f>
        <v>0</v>
      </c>
      <c r="P42" s="155">
        <f t="shared" si="17"/>
        <v>0</v>
      </c>
      <c r="Q42" s="153"/>
      <c r="R42" s="153"/>
      <c r="S42" s="153"/>
      <c r="T42" s="153"/>
      <c r="U42" s="153"/>
      <c r="V42" s="153"/>
      <c r="W42" s="153"/>
      <c r="X42" s="153"/>
      <c r="Y42" s="153"/>
      <c r="Z42" s="153"/>
      <c r="AA42" s="153"/>
      <c r="AB42" s="153"/>
      <c r="AC42" s="153">
        <f t="shared" si="4"/>
        <v>0</v>
      </c>
      <c r="AD42" s="156">
        <f t="shared" si="14"/>
        <v>0</v>
      </c>
      <c r="AE42" s="156">
        <f t="shared" si="14"/>
        <v>0</v>
      </c>
    </row>
    <row r="43" spans="1:31" ht="32.25" customHeight="1" thickBot="1"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53">
        <f>SUM(N4:N42)</f>
        <v>9859.869999999999</v>
      </c>
      <c r="O43" s="153">
        <f>N43*0.529</f>
        <v>5215.8712299999997</v>
      </c>
      <c r="P43" s="155">
        <f>O43*11.565</f>
        <v>60321.550774949996</v>
      </c>
      <c r="Q43" s="339">
        <f>SUM(Q4:Q42)</f>
        <v>2432</v>
      </c>
      <c r="R43" s="340"/>
      <c r="S43" s="341"/>
      <c r="T43" s="342">
        <f>SUM(T4:T42)</f>
        <v>2458</v>
      </c>
      <c r="U43" s="340"/>
      <c r="V43" s="341"/>
      <c r="W43" s="342">
        <f>SUM(W4:W42)</f>
        <v>2186</v>
      </c>
      <c r="X43" s="340"/>
      <c r="Y43" s="341"/>
      <c r="Z43" s="342">
        <f>SUM(Z4:Z42)</f>
        <v>2111</v>
      </c>
      <c r="AA43" s="340"/>
      <c r="AB43" s="341"/>
      <c r="AC43" s="153">
        <f t="shared" si="4"/>
        <v>9187</v>
      </c>
    </row>
    <row r="44" spans="1:31" ht="35.25" customHeight="1" thickBot="1">
      <c r="B44" s="324"/>
      <c r="C44" s="325"/>
      <c r="D44" s="325"/>
      <c r="E44" s="325"/>
      <c r="F44" s="325"/>
      <c r="G44" s="325"/>
      <c r="H44" s="325"/>
      <c r="I44" s="326"/>
      <c r="J44" s="138"/>
      <c r="K44" s="138"/>
      <c r="L44" s="138"/>
      <c r="M44" s="138"/>
      <c r="N44" s="138"/>
      <c r="O44" s="138"/>
      <c r="P44" s="138"/>
      <c r="Q44" s="327">
        <f>Q43+T43+W43+Z43</f>
        <v>9187</v>
      </c>
      <c r="R44" s="328"/>
      <c r="S44" s="328"/>
      <c r="T44" s="328"/>
      <c r="U44" s="328"/>
      <c r="V44" s="328"/>
      <c r="W44" s="328"/>
      <c r="X44" s="328"/>
      <c r="Y44" s="328"/>
      <c r="Z44" s="328"/>
      <c r="AA44" s="328"/>
      <c r="AB44" s="329"/>
      <c r="AC44" s="153">
        <f>Q44+T44+W44+Z44</f>
        <v>9187</v>
      </c>
    </row>
    <row r="45" spans="1:31" ht="7.5" customHeight="1" thickBot="1">
      <c r="D45" s="137" t="s">
        <v>101</v>
      </c>
    </row>
    <row r="46" spans="1:31" ht="51" customHeight="1" thickBot="1">
      <c r="H46" s="138"/>
      <c r="I46" s="138"/>
      <c r="J46" s="138"/>
      <c r="K46" s="158" t="s">
        <v>148</v>
      </c>
      <c r="L46" s="159" t="s">
        <v>7</v>
      </c>
      <c r="M46" s="159" t="s">
        <v>149</v>
      </c>
    </row>
    <row r="47" spans="1:31" ht="48" customHeight="1" thickBot="1">
      <c r="H47" s="330" t="s">
        <v>150</v>
      </c>
      <c r="I47" s="331"/>
      <c r="J47" s="332"/>
      <c r="K47" s="160">
        <f>N43</f>
        <v>9859.869999999999</v>
      </c>
      <c r="L47" s="161">
        <f>O43</f>
        <v>5215.8712299999997</v>
      </c>
      <c r="M47" s="161">
        <f>P43</f>
        <v>60321.550774949996</v>
      </c>
    </row>
    <row r="48" spans="1:31" ht="54.75" customHeight="1" thickBot="1">
      <c r="H48" s="330" t="s">
        <v>151</v>
      </c>
      <c r="I48" s="331"/>
      <c r="J48" s="332"/>
      <c r="K48" s="158">
        <f>AC44</f>
        <v>9187</v>
      </c>
      <c r="L48" s="159">
        <f>K48*0.529</f>
        <v>4859.9230000000007</v>
      </c>
      <c r="M48" s="159">
        <f>L48*11.565</f>
        <v>56205.009495000006</v>
      </c>
    </row>
  </sheetData>
  <mergeCells count="13">
    <mergeCell ref="B44:I44"/>
    <mergeCell ref="Q44:AB44"/>
    <mergeCell ref="H47:J47"/>
    <mergeCell ref="H48:J48"/>
    <mergeCell ref="F1:Z1"/>
    <mergeCell ref="Q2:S2"/>
    <mergeCell ref="T2:V2"/>
    <mergeCell ref="W2:Y2"/>
    <mergeCell ref="Z2:AB2"/>
    <mergeCell ref="Q43:S43"/>
    <mergeCell ref="T43:V43"/>
    <mergeCell ref="W43:Y43"/>
    <mergeCell ref="Z43:AB43"/>
  </mergeCells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43"/>
  <sheetViews>
    <sheetView showGridLines="0" zoomScale="70" zoomScaleNormal="70" workbookViewId="0">
      <pane xSplit="1" ySplit="8" topLeftCell="B21" activePane="bottomRight" state="frozen"/>
      <selection pane="bottomRight" activeCell="B1" sqref="B1"/>
      <selection pane="bottomLeft" activeCell="A9" sqref="A9"/>
      <selection pane="topRight" activeCell="B1" sqref="B1"/>
    </sheetView>
  </sheetViews>
  <sheetFormatPr defaultColWidth="10" defaultRowHeight="18"/>
  <cols>
    <col min="1" max="1" width="16.25" style="121" customWidth="1"/>
    <col min="2" max="3" width="16.75" style="121" customWidth="1"/>
    <col min="4" max="4" width="14.625" style="120" customWidth="1"/>
    <col min="5" max="5" width="17.125" style="122" customWidth="1"/>
    <col min="6" max="11" width="14.625" style="120" customWidth="1"/>
    <col min="12" max="12" width="21.25" style="120" customWidth="1"/>
    <col min="13" max="16384" width="10" style="120"/>
  </cols>
  <sheetData>
    <row r="1" spans="1:12" ht="12.75" customHeight="1">
      <c r="A1" s="343"/>
      <c r="B1" s="344"/>
      <c r="C1" s="344"/>
      <c r="D1" s="345"/>
      <c r="E1" s="352" t="s">
        <v>152</v>
      </c>
      <c r="F1" s="353"/>
      <c r="G1" s="353"/>
      <c r="H1" s="353"/>
      <c r="I1" s="354"/>
      <c r="J1" s="361" t="s">
        <v>153</v>
      </c>
      <c r="K1" s="362"/>
      <c r="L1" s="119"/>
    </row>
    <row r="2" spans="1:12" ht="16.5" customHeight="1">
      <c r="A2" s="346"/>
      <c r="B2" s="347"/>
      <c r="C2" s="347"/>
      <c r="D2" s="348"/>
      <c r="E2" s="355"/>
      <c r="F2" s="356"/>
      <c r="G2" s="356"/>
      <c r="H2" s="356"/>
      <c r="I2" s="357"/>
      <c r="J2" s="363"/>
      <c r="K2" s="364"/>
      <c r="L2" s="119"/>
    </row>
    <row r="3" spans="1:12" ht="48" customHeight="1" thickBot="1">
      <c r="A3" s="349"/>
      <c r="B3" s="350"/>
      <c r="C3" s="350"/>
      <c r="D3" s="351"/>
      <c r="E3" s="358"/>
      <c r="F3" s="359"/>
      <c r="G3" s="359"/>
      <c r="H3" s="359"/>
      <c r="I3" s="360"/>
      <c r="J3" s="365"/>
      <c r="K3" s="366"/>
      <c r="L3" s="119"/>
    </row>
    <row r="6" spans="1:12" ht="10.5" customHeight="1" thickBot="1"/>
    <row r="7" spans="1:12" ht="16.5" customHeight="1" thickTop="1" thickBot="1">
      <c r="A7" s="367" t="s">
        <v>154</v>
      </c>
      <c r="B7" s="369" t="s">
        <v>155</v>
      </c>
      <c r="C7" s="370"/>
      <c r="D7" s="371" t="s">
        <v>156</v>
      </c>
      <c r="E7" s="371"/>
      <c r="F7" s="372" t="s">
        <v>157</v>
      </c>
      <c r="G7" s="372"/>
      <c r="H7" s="372"/>
      <c r="I7" s="372"/>
      <c r="J7" s="372"/>
      <c r="K7" s="372"/>
    </row>
    <row r="8" spans="1:12" s="126" customFormat="1" ht="28.5" customHeight="1" thickTop="1" thickBot="1">
      <c r="A8" s="368"/>
      <c r="B8" s="123" t="s">
        <v>158</v>
      </c>
      <c r="C8" s="123" t="s">
        <v>159</v>
      </c>
      <c r="D8" s="124" t="s">
        <v>158</v>
      </c>
      <c r="E8" s="124" t="s">
        <v>160</v>
      </c>
      <c r="F8" s="125" t="s">
        <v>161</v>
      </c>
      <c r="G8" s="125" t="s">
        <v>162</v>
      </c>
      <c r="H8" s="125" t="s">
        <v>163</v>
      </c>
      <c r="I8" s="125" t="s">
        <v>164</v>
      </c>
      <c r="J8" s="125" t="s">
        <v>165</v>
      </c>
      <c r="K8" s="125" t="s">
        <v>166</v>
      </c>
    </row>
    <row r="9" spans="1:12" ht="20.25" thickTop="1" thickBot="1">
      <c r="A9" s="127">
        <v>44562</v>
      </c>
      <c r="B9" s="128">
        <v>2560</v>
      </c>
      <c r="C9" s="129">
        <v>0</v>
      </c>
      <c r="D9" s="130">
        <v>132699</v>
      </c>
      <c r="E9" s="131">
        <v>8.7999999999883585</v>
      </c>
      <c r="F9" s="132">
        <v>11364390</v>
      </c>
      <c r="G9" s="131">
        <v>2484</v>
      </c>
      <c r="H9" s="132">
        <v>19320037</v>
      </c>
      <c r="I9" s="131">
        <v>3362</v>
      </c>
      <c r="J9" s="132">
        <v>8481098</v>
      </c>
      <c r="K9" s="131">
        <v>1521</v>
      </c>
    </row>
    <row r="10" spans="1:12" ht="20.25" thickTop="1" thickBot="1">
      <c r="A10" s="127">
        <v>44563</v>
      </c>
      <c r="B10" s="128">
        <v>2560</v>
      </c>
      <c r="C10" s="129">
        <f t="shared" ref="C10:C31" si="0">B10-B9</f>
        <v>0</v>
      </c>
      <c r="D10" s="130">
        <v>132734</v>
      </c>
      <c r="E10" s="131">
        <f t="shared" ref="E10:E26" si="1">D10-D9</f>
        <v>35</v>
      </c>
      <c r="F10" s="132">
        <v>11366842</v>
      </c>
      <c r="G10" s="131">
        <f t="shared" ref="G10:G26" si="2">F10-F9</f>
        <v>2452</v>
      </c>
      <c r="H10" s="132">
        <v>19323394</v>
      </c>
      <c r="I10" s="131">
        <f t="shared" ref="I10:I28" si="3">H10-H9</f>
        <v>3357</v>
      </c>
      <c r="J10" s="132">
        <v>8482591</v>
      </c>
      <c r="K10" s="131">
        <f t="shared" ref="K10:K27" si="4">J10-J9</f>
        <v>1493</v>
      </c>
    </row>
    <row r="11" spans="1:12" ht="20.25" thickTop="1" thickBot="1">
      <c r="A11" s="127">
        <v>44564</v>
      </c>
      <c r="B11" s="128">
        <v>2560</v>
      </c>
      <c r="C11" s="129">
        <f t="shared" si="0"/>
        <v>0</v>
      </c>
      <c r="D11" s="130">
        <v>132787</v>
      </c>
      <c r="E11" s="131">
        <f t="shared" si="1"/>
        <v>53</v>
      </c>
      <c r="F11" s="132">
        <v>11369290</v>
      </c>
      <c r="G11" s="131">
        <f t="shared" si="2"/>
        <v>2448</v>
      </c>
      <c r="H11" s="132">
        <v>19326653</v>
      </c>
      <c r="I11" s="131">
        <f t="shared" si="3"/>
        <v>3259</v>
      </c>
      <c r="J11" s="132">
        <v>8484073</v>
      </c>
      <c r="K11" s="131">
        <f t="shared" si="4"/>
        <v>1482</v>
      </c>
    </row>
    <row r="12" spans="1:12" ht="20.25" thickTop="1" thickBot="1">
      <c r="A12" s="127">
        <v>44565</v>
      </c>
      <c r="B12" s="128">
        <v>2560</v>
      </c>
      <c r="C12" s="129">
        <f t="shared" si="0"/>
        <v>0</v>
      </c>
      <c r="D12" s="130">
        <v>132829.9</v>
      </c>
      <c r="E12" s="131">
        <f t="shared" si="1"/>
        <v>42.899999999994179</v>
      </c>
      <c r="F12" s="132">
        <v>11371707</v>
      </c>
      <c r="G12" s="131">
        <f t="shared" si="2"/>
        <v>2417</v>
      </c>
      <c r="H12" s="132">
        <v>19329892</v>
      </c>
      <c r="I12" s="131">
        <f t="shared" si="3"/>
        <v>3239</v>
      </c>
      <c r="J12" s="132">
        <v>8484576</v>
      </c>
      <c r="K12" s="131">
        <f t="shared" si="4"/>
        <v>503</v>
      </c>
    </row>
    <row r="13" spans="1:12" ht="20.25" thickTop="1" thickBot="1">
      <c r="A13" s="127">
        <v>44566</v>
      </c>
      <c r="B13" s="128">
        <v>2560</v>
      </c>
      <c r="C13" s="129">
        <f t="shared" si="0"/>
        <v>0</v>
      </c>
      <c r="D13" s="130">
        <v>132878.29999999999</v>
      </c>
      <c r="E13" s="131">
        <f t="shared" si="1"/>
        <v>48.399999999994179</v>
      </c>
      <c r="F13" s="132">
        <v>11374199</v>
      </c>
      <c r="G13" s="131">
        <f t="shared" si="2"/>
        <v>2492</v>
      </c>
      <c r="H13" s="132">
        <v>19333248</v>
      </c>
      <c r="I13" s="131">
        <f t="shared" si="3"/>
        <v>3356</v>
      </c>
      <c r="J13" s="132">
        <v>8487105</v>
      </c>
      <c r="K13" s="131">
        <f t="shared" si="4"/>
        <v>2529</v>
      </c>
    </row>
    <row r="14" spans="1:12" ht="20.25" thickTop="1" thickBot="1">
      <c r="A14" s="127">
        <v>44567</v>
      </c>
      <c r="B14" s="128">
        <v>2560</v>
      </c>
      <c r="C14" s="129">
        <f t="shared" si="0"/>
        <v>0</v>
      </c>
      <c r="D14" s="130">
        <v>132928.20000000001</v>
      </c>
      <c r="E14" s="131">
        <f t="shared" si="1"/>
        <v>49.900000000023283</v>
      </c>
      <c r="F14" s="132">
        <v>11376730</v>
      </c>
      <c r="G14" s="131">
        <f t="shared" si="2"/>
        <v>2531</v>
      </c>
      <c r="H14" s="132">
        <v>19336558</v>
      </c>
      <c r="I14" s="131">
        <f t="shared" si="3"/>
        <v>3310</v>
      </c>
      <c r="J14" s="132">
        <v>8488559</v>
      </c>
      <c r="K14" s="131">
        <f t="shared" si="4"/>
        <v>1454</v>
      </c>
    </row>
    <row r="15" spans="1:12" ht="20.25" thickTop="1" thickBot="1">
      <c r="A15" s="127">
        <v>44568</v>
      </c>
      <c r="B15" s="128">
        <v>2560</v>
      </c>
      <c r="C15" s="129">
        <f t="shared" si="0"/>
        <v>0</v>
      </c>
      <c r="D15" s="130">
        <v>132968</v>
      </c>
      <c r="E15" s="131">
        <f t="shared" si="1"/>
        <v>39.799999999988358</v>
      </c>
      <c r="F15" s="132">
        <v>11379148</v>
      </c>
      <c r="G15" s="131">
        <f t="shared" si="2"/>
        <v>2418</v>
      </c>
      <c r="H15" s="132">
        <v>19339764</v>
      </c>
      <c r="I15" s="131">
        <f t="shared" si="3"/>
        <v>3206</v>
      </c>
      <c r="J15" s="132">
        <v>8490021</v>
      </c>
      <c r="K15" s="131">
        <f t="shared" si="4"/>
        <v>1462</v>
      </c>
    </row>
    <row r="16" spans="1:12" ht="20.25" thickTop="1" thickBot="1">
      <c r="A16" s="127">
        <v>44569</v>
      </c>
      <c r="B16" s="128">
        <v>2560</v>
      </c>
      <c r="C16" s="129">
        <f t="shared" si="0"/>
        <v>0</v>
      </c>
      <c r="D16" s="130">
        <v>133009</v>
      </c>
      <c r="E16" s="131">
        <f t="shared" si="1"/>
        <v>41</v>
      </c>
      <c r="F16" s="132">
        <v>11381638</v>
      </c>
      <c r="G16" s="131">
        <f t="shared" si="2"/>
        <v>2490</v>
      </c>
      <c r="H16" s="132">
        <v>19342968</v>
      </c>
      <c r="I16" s="131">
        <f t="shared" si="3"/>
        <v>3204</v>
      </c>
      <c r="J16" s="132">
        <v>8491543</v>
      </c>
      <c r="K16" s="131">
        <f t="shared" si="4"/>
        <v>1522</v>
      </c>
    </row>
    <row r="17" spans="1:29" ht="20.25" thickTop="1" thickBot="1">
      <c r="A17" s="127">
        <v>44570</v>
      </c>
      <c r="B17" s="128">
        <v>2560</v>
      </c>
      <c r="C17" s="129">
        <f t="shared" si="0"/>
        <v>0</v>
      </c>
      <c r="D17" s="130">
        <v>133058</v>
      </c>
      <c r="E17" s="131">
        <f t="shared" si="1"/>
        <v>49</v>
      </c>
      <c r="F17" s="132">
        <v>11383959</v>
      </c>
      <c r="G17" s="131">
        <f t="shared" si="2"/>
        <v>2321</v>
      </c>
      <c r="H17" s="132">
        <v>19346034</v>
      </c>
      <c r="I17" s="131">
        <f t="shared" si="3"/>
        <v>3066</v>
      </c>
      <c r="J17" s="132">
        <v>8493006</v>
      </c>
      <c r="K17" s="131">
        <f t="shared" si="4"/>
        <v>1463</v>
      </c>
    </row>
    <row r="18" spans="1:29" ht="20.25" thickTop="1" thickBot="1">
      <c r="A18" s="127">
        <v>44571</v>
      </c>
      <c r="B18" s="128">
        <v>2560</v>
      </c>
      <c r="C18" s="129">
        <f t="shared" si="0"/>
        <v>0</v>
      </c>
      <c r="D18" s="130">
        <v>133101</v>
      </c>
      <c r="E18" s="131">
        <f t="shared" si="1"/>
        <v>43</v>
      </c>
      <c r="F18" s="132">
        <v>11386330</v>
      </c>
      <c r="G18" s="131">
        <f t="shared" si="2"/>
        <v>2371</v>
      </c>
      <c r="H18" s="132">
        <v>19349074</v>
      </c>
      <c r="I18" s="131">
        <f t="shared" si="3"/>
        <v>3040</v>
      </c>
      <c r="J18" s="132">
        <v>8494426</v>
      </c>
      <c r="K18" s="131">
        <f t="shared" si="4"/>
        <v>1420</v>
      </c>
    </row>
    <row r="19" spans="1:29" ht="20.25" thickTop="1" thickBot="1">
      <c r="A19" s="127">
        <v>44572</v>
      </c>
      <c r="B19" s="128">
        <v>2560</v>
      </c>
      <c r="C19" s="129">
        <f t="shared" si="0"/>
        <v>0</v>
      </c>
      <c r="D19" s="130">
        <v>133146.29999999999</v>
      </c>
      <c r="E19" s="131">
        <f t="shared" si="1"/>
        <v>45.299999999988358</v>
      </c>
      <c r="F19" s="132">
        <v>11388496</v>
      </c>
      <c r="G19" s="131">
        <f t="shared" si="2"/>
        <v>2166</v>
      </c>
      <c r="H19" s="132">
        <v>19352014</v>
      </c>
      <c r="I19" s="131">
        <f t="shared" si="3"/>
        <v>2940</v>
      </c>
      <c r="J19" s="132">
        <v>8495841</v>
      </c>
      <c r="K19" s="131">
        <f t="shared" si="4"/>
        <v>1415</v>
      </c>
    </row>
    <row r="20" spans="1:29" ht="27" thickTop="1" thickBot="1">
      <c r="A20" s="127">
        <v>44573</v>
      </c>
      <c r="B20" s="128">
        <v>2560</v>
      </c>
      <c r="C20" s="129">
        <f t="shared" si="0"/>
        <v>0</v>
      </c>
      <c r="D20" s="130">
        <v>133185.9</v>
      </c>
      <c r="E20" s="131">
        <f t="shared" si="1"/>
        <v>39.600000000005821</v>
      </c>
      <c r="F20" s="132">
        <v>11390815</v>
      </c>
      <c r="G20" s="131">
        <f t="shared" si="2"/>
        <v>2319</v>
      </c>
      <c r="H20" s="132">
        <v>19354930</v>
      </c>
      <c r="I20" s="131">
        <f t="shared" si="3"/>
        <v>2916</v>
      </c>
      <c r="J20" s="132">
        <v>8497217</v>
      </c>
      <c r="K20" s="131">
        <f t="shared" si="4"/>
        <v>1376</v>
      </c>
      <c r="L20" s="133" t="s">
        <v>101</v>
      </c>
      <c r="AC20" s="120" t="s">
        <v>167</v>
      </c>
    </row>
    <row r="21" spans="1:29" ht="20.25" thickTop="1" thickBot="1">
      <c r="A21" s="127">
        <v>44574</v>
      </c>
      <c r="B21" s="128">
        <v>2560</v>
      </c>
      <c r="C21" s="129">
        <f t="shared" si="0"/>
        <v>0</v>
      </c>
      <c r="D21" s="130">
        <v>133229.4</v>
      </c>
      <c r="E21" s="131">
        <f t="shared" si="1"/>
        <v>43.5</v>
      </c>
      <c r="F21" s="132">
        <v>11393243</v>
      </c>
      <c r="G21" s="131">
        <f t="shared" si="2"/>
        <v>2428</v>
      </c>
      <c r="H21" s="132">
        <v>19357965</v>
      </c>
      <c r="I21" s="131">
        <f t="shared" si="3"/>
        <v>3035</v>
      </c>
      <c r="J21" s="132">
        <v>8498659</v>
      </c>
      <c r="K21" s="131">
        <f t="shared" si="4"/>
        <v>1442</v>
      </c>
    </row>
    <row r="22" spans="1:29" ht="20.25" thickTop="1" thickBot="1">
      <c r="A22" s="127">
        <v>44575</v>
      </c>
      <c r="B22" s="128">
        <v>2560</v>
      </c>
      <c r="C22" s="129">
        <f t="shared" si="0"/>
        <v>0</v>
      </c>
      <c r="D22" s="130">
        <v>133271.6</v>
      </c>
      <c r="E22" s="131">
        <f t="shared" si="1"/>
        <v>42.200000000011642</v>
      </c>
      <c r="F22" s="132">
        <v>11395344</v>
      </c>
      <c r="G22" s="131">
        <f t="shared" si="2"/>
        <v>2101</v>
      </c>
      <c r="H22" s="132">
        <v>19361050</v>
      </c>
      <c r="I22" s="131">
        <f t="shared" si="3"/>
        <v>3085</v>
      </c>
      <c r="J22" s="132">
        <v>8500050</v>
      </c>
      <c r="K22" s="131">
        <f t="shared" si="4"/>
        <v>1391</v>
      </c>
    </row>
    <row r="23" spans="1:29" ht="20.25" thickTop="1" thickBot="1">
      <c r="A23" s="127">
        <v>44576</v>
      </c>
      <c r="B23" s="128">
        <v>2560</v>
      </c>
      <c r="C23" s="129">
        <f t="shared" si="0"/>
        <v>0</v>
      </c>
      <c r="D23" s="130">
        <v>133318.5</v>
      </c>
      <c r="E23" s="131">
        <f t="shared" si="1"/>
        <v>46.899999999994179</v>
      </c>
      <c r="F23" s="132">
        <v>11397662</v>
      </c>
      <c r="G23" s="131">
        <f t="shared" si="2"/>
        <v>2318</v>
      </c>
      <c r="H23" s="132">
        <v>19363959</v>
      </c>
      <c r="I23" s="131">
        <f t="shared" si="3"/>
        <v>2909</v>
      </c>
      <c r="J23" s="132">
        <v>8501436</v>
      </c>
      <c r="K23" s="131">
        <f t="shared" si="4"/>
        <v>1386</v>
      </c>
    </row>
    <row r="24" spans="1:29" ht="20.25" thickTop="1" thickBot="1">
      <c r="A24" s="127">
        <v>44577</v>
      </c>
      <c r="B24" s="128">
        <v>2560</v>
      </c>
      <c r="C24" s="129">
        <f t="shared" si="0"/>
        <v>0</v>
      </c>
      <c r="D24" s="130">
        <v>133368</v>
      </c>
      <c r="E24" s="131">
        <f t="shared" si="1"/>
        <v>49.5</v>
      </c>
      <c r="F24" s="132">
        <v>11399775</v>
      </c>
      <c r="G24" s="131">
        <f t="shared" si="2"/>
        <v>2113</v>
      </c>
      <c r="H24" s="132">
        <v>19366712</v>
      </c>
      <c r="I24" s="131">
        <f t="shared" si="3"/>
        <v>2753</v>
      </c>
      <c r="J24" s="132">
        <v>8502773</v>
      </c>
      <c r="K24" s="131">
        <f t="shared" si="4"/>
        <v>1337</v>
      </c>
    </row>
    <row r="25" spans="1:29" ht="20.25" thickTop="1" thickBot="1">
      <c r="A25" s="127">
        <v>44578</v>
      </c>
      <c r="B25" s="128">
        <v>2560</v>
      </c>
      <c r="C25" s="129">
        <f t="shared" si="0"/>
        <v>0</v>
      </c>
      <c r="D25" s="130">
        <v>133404</v>
      </c>
      <c r="E25" s="131">
        <f t="shared" si="1"/>
        <v>36</v>
      </c>
      <c r="F25" s="132">
        <v>11401914</v>
      </c>
      <c r="G25" s="131">
        <f t="shared" si="2"/>
        <v>2139</v>
      </c>
      <c r="H25" s="132">
        <v>19369432</v>
      </c>
      <c r="I25" s="131">
        <f t="shared" si="3"/>
        <v>2720</v>
      </c>
      <c r="J25" s="132">
        <v>8504066</v>
      </c>
      <c r="K25" s="131">
        <f t="shared" si="4"/>
        <v>1293</v>
      </c>
    </row>
    <row r="26" spans="1:29" ht="20.25" thickTop="1" thickBot="1">
      <c r="A26" s="127">
        <v>44579</v>
      </c>
      <c r="B26" s="128">
        <v>2560</v>
      </c>
      <c r="C26" s="129">
        <f t="shared" si="0"/>
        <v>0</v>
      </c>
      <c r="D26" s="130">
        <v>133437.1</v>
      </c>
      <c r="E26" s="131">
        <f t="shared" si="1"/>
        <v>33.100000000005821</v>
      </c>
      <c r="F26" s="132">
        <v>11404073</v>
      </c>
      <c r="G26" s="131">
        <f t="shared" si="2"/>
        <v>2159</v>
      </c>
      <c r="H26" s="132">
        <v>19372220</v>
      </c>
      <c r="I26" s="131">
        <f t="shared" si="3"/>
        <v>2788</v>
      </c>
      <c r="J26" s="132">
        <v>8505303</v>
      </c>
      <c r="K26" s="131">
        <f t="shared" si="4"/>
        <v>1237</v>
      </c>
    </row>
    <row r="27" spans="1:29" ht="20.25" thickTop="1" thickBot="1">
      <c r="A27" s="127">
        <v>44580</v>
      </c>
      <c r="B27" s="128">
        <v>2560</v>
      </c>
      <c r="C27" s="129">
        <f t="shared" si="0"/>
        <v>0</v>
      </c>
      <c r="D27" s="130">
        <v>133485.6</v>
      </c>
      <c r="E27" s="131">
        <f>D27-D26</f>
        <v>48.5</v>
      </c>
      <c r="F27" s="132">
        <v>11406066</v>
      </c>
      <c r="G27" s="131">
        <f>F27-F26</f>
        <v>1993</v>
      </c>
      <c r="H27" s="132">
        <v>19374826</v>
      </c>
      <c r="I27" s="131">
        <f t="shared" si="3"/>
        <v>2606</v>
      </c>
      <c r="J27" s="132">
        <v>8506563</v>
      </c>
      <c r="K27" s="131">
        <f t="shared" si="4"/>
        <v>1260</v>
      </c>
    </row>
    <row r="28" spans="1:29" ht="20.25" thickTop="1" thickBot="1">
      <c r="A28" s="127">
        <v>44581</v>
      </c>
      <c r="B28" s="128">
        <v>2560</v>
      </c>
      <c r="C28" s="129">
        <f t="shared" si="0"/>
        <v>0</v>
      </c>
      <c r="D28" s="130">
        <v>133529</v>
      </c>
      <c r="E28" s="131">
        <f>D28-D27</f>
        <v>43.399999999994179</v>
      </c>
      <c r="F28" s="132">
        <v>11408319</v>
      </c>
      <c r="G28" s="131">
        <f>F28-F27</f>
        <v>2253</v>
      </c>
      <c r="H28" s="132">
        <v>19377386</v>
      </c>
      <c r="I28" s="131">
        <f t="shared" si="3"/>
        <v>2560</v>
      </c>
      <c r="J28" s="132">
        <v>8507791</v>
      </c>
      <c r="K28" s="131">
        <f>J28-J27</f>
        <v>1228</v>
      </c>
    </row>
    <row r="29" spans="1:29" ht="20.25" thickTop="1" thickBot="1">
      <c r="A29" s="127">
        <v>44582</v>
      </c>
      <c r="B29" s="128">
        <v>2560</v>
      </c>
      <c r="C29" s="129">
        <f t="shared" si="0"/>
        <v>0</v>
      </c>
      <c r="D29" s="130">
        <v>133563</v>
      </c>
      <c r="E29" s="131">
        <f>D29-D28</f>
        <v>34</v>
      </c>
      <c r="F29" s="132">
        <v>11410358</v>
      </c>
      <c r="G29" s="131">
        <f>F29-F28</f>
        <v>2039</v>
      </c>
      <c r="H29" s="132">
        <v>19379892</v>
      </c>
      <c r="I29" s="131">
        <f>H29-H28</f>
        <v>2506</v>
      </c>
      <c r="J29" s="132">
        <v>8508961</v>
      </c>
      <c r="K29" s="131">
        <f>J29-J28</f>
        <v>1170</v>
      </c>
    </row>
    <row r="30" spans="1:29" ht="20.25" thickTop="1" thickBot="1">
      <c r="A30" s="127">
        <v>44583</v>
      </c>
      <c r="B30" s="128">
        <v>2560</v>
      </c>
      <c r="C30" s="129">
        <f t="shared" si="0"/>
        <v>0</v>
      </c>
      <c r="D30" s="130">
        <v>133616</v>
      </c>
      <c r="E30" s="131">
        <f>D30-D29</f>
        <v>53</v>
      </c>
      <c r="F30" s="132">
        <v>11412530</v>
      </c>
      <c r="G30" s="131">
        <f>F30-F29</f>
        <v>2172</v>
      </c>
      <c r="H30" s="132">
        <v>19382509</v>
      </c>
      <c r="I30" s="131">
        <f>H30-H29</f>
        <v>2617</v>
      </c>
      <c r="J30" s="132">
        <v>8510208</v>
      </c>
      <c r="K30" s="131">
        <f>J30-J29</f>
        <v>1247</v>
      </c>
    </row>
    <row r="31" spans="1:29" ht="20.25" thickTop="1" thickBot="1">
      <c r="A31" s="127">
        <v>44584</v>
      </c>
      <c r="B31" s="128">
        <v>2560</v>
      </c>
      <c r="C31" s="129">
        <f t="shared" si="0"/>
        <v>0</v>
      </c>
      <c r="D31" s="130">
        <v>133655</v>
      </c>
      <c r="E31" s="131">
        <f>D31-D30</f>
        <v>39</v>
      </c>
      <c r="F31" s="132">
        <v>11414633</v>
      </c>
      <c r="G31" s="131">
        <f>F31-F30</f>
        <v>2103</v>
      </c>
      <c r="H31" s="132">
        <v>19385081</v>
      </c>
      <c r="I31" s="131">
        <f>H31-H30</f>
        <v>2572</v>
      </c>
      <c r="J31" s="132">
        <v>8511471</v>
      </c>
      <c r="K31" s="131">
        <f>J31-J30</f>
        <v>1263</v>
      </c>
    </row>
    <row r="32" spans="1:29" ht="18.75">
      <c r="A32" s="127">
        <v>44585</v>
      </c>
      <c r="B32" s="128">
        <v>2560</v>
      </c>
      <c r="C32" s="129"/>
      <c r="D32" s="130">
        <v>133693</v>
      </c>
      <c r="E32" s="131">
        <f>D32-D31</f>
        <v>38</v>
      </c>
      <c r="F32" s="132">
        <v>11416831</v>
      </c>
      <c r="G32" s="131">
        <f>F32-F31</f>
        <v>2198</v>
      </c>
      <c r="H32" s="132">
        <v>19387697</v>
      </c>
      <c r="I32" s="131">
        <f>H32-H31</f>
        <v>2616</v>
      </c>
      <c r="J32" s="132">
        <v>8512727</v>
      </c>
      <c r="K32" s="131">
        <f>J32-J31</f>
        <v>1256</v>
      </c>
    </row>
    <row r="33" spans="1:11" ht="20.25" thickTop="1" thickBot="1">
      <c r="A33" s="127">
        <v>44586</v>
      </c>
      <c r="B33" s="128"/>
      <c r="C33" s="129"/>
      <c r="D33" s="130"/>
      <c r="E33" s="131"/>
      <c r="F33" s="132"/>
      <c r="G33" s="131"/>
      <c r="H33" s="132"/>
      <c r="I33" s="131"/>
      <c r="J33" s="132"/>
      <c r="K33" s="131"/>
    </row>
    <row r="34" spans="1:11" ht="20.25" thickTop="1" thickBot="1">
      <c r="A34" s="127">
        <v>44587</v>
      </c>
      <c r="B34" s="128"/>
      <c r="C34" s="129"/>
      <c r="D34" s="130"/>
      <c r="E34" s="131"/>
      <c r="F34" s="132"/>
      <c r="G34" s="131"/>
      <c r="H34" s="132"/>
      <c r="I34" s="131"/>
      <c r="J34" s="132"/>
      <c r="K34" s="131"/>
    </row>
    <row r="35" spans="1:11" ht="20.25" thickTop="1" thickBot="1">
      <c r="A35" s="127">
        <v>44588</v>
      </c>
      <c r="B35" s="128"/>
      <c r="C35" s="129"/>
      <c r="D35" s="130"/>
      <c r="E35" s="131"/>
      <c r="F35" s="132"/>
      <c r="G35" s="131"/>
      <c r="H35" s="132"/>
      <c r="I35" s="131"/>
      <c r="J35" s="132"/>
      <c r="K35" s="131"/>
    </row>
    <row r="36" spans="1:11" ht="20.25" thickTop="1" thickBot="1">
      <c r="A36" s="127">
        <v>44589</v>
      </c>
      <c r="B36" s="128"/>
      <c r="C36" s="129"/>
      <c r="D36" s="130"/>
      <c r="E36" s="131"/>
      <c r="F36" s="132"/>
      <c r="G36" s="131"/>
      <c r="H36" s="132"/>
      <c r="I36" s="131"/>
      <c r="J36" s="132"/>
      <c r="K36" s="131"/>
    </row>
    <row r="37" spans="1:11" ht="20.25" thickTop="1" thickBot="1">
      <c r="A37" s="127">
        <v>44590</v>
      </c>
      <c r="B37" s="128"/>
      <c r="C37" s="129"/>
      <c r="D37" s="130"/>
      <c r="E37" s="131"/>
      <c r="F37" s="132"/>
      <c r="G37" s="131"/>
      <c r="H37" s="132"/>
      <c r="I37" s="131"/>
      <c r="J37" s="132"/>
      <c r="K37" s="131"/>
    </row>
    <row r="38" spans="1:11" ht="20.25" thickTop="1" thickBot="1">
      <c r="A38" s="127">
        <v>44591</v>
      </c>
      <c r="B38" s="128"/>
      <c r="C38" s="129"/>
      <c r="D38" s="130"/>
      <c r="E38" s="131"/>
      <c r="F38" s="132"/>
      <c r="G38" s="131"/>
      <c r="H38" s="132"/>
      <c r="I38" s="131"/>
      <c r="J38" s="132"/>
      <c r="K38" s="131"/>
    </row>
    <row r="39" spans="1:11" ht="20.25" thickTop="1" thickBot="1">
      <c r="A39" s="127">
        <v>44592</v>
      </c>
      <c r="B39" s="128"/>
      <c r="C39" s="129"/>
      <c r="D39" s="130"/>
      <c r="E39" s="131"/>
      <c r="F39" s="132"/>
      <c r="G39" s="131"/>
      <c r="H39" s="132"/>
      <c r="I39" s="131"/>
      <c r="J39" s="132"/>
      <c r="K39" s="131"/>
    </row>
    <row r="40" spans="1:11" ht="20.25" thickTop="1" thickBot="1">
      <c r="A40" s="127">
        <v>44593</v>
      </c>
      <c r="B40" s="128"/>
      <c r="C40" s="129"/>
      <c r="D40" s="130"/>
      <c r="E40" s="131"/>
      <c r="F40" s="132"/>
      <c r="G40" s="131"/>
      <c r="H40" s="132"/>
      <c r="I40" s="131"/>
      <c r="J40" s="132"/>
      <c r="K40" s="131"/>
    </row>
    <row r="41" spans="1:11" ht="24" customHeight="1" thickTop="1">
      <c r="A41" s="134"/>
      <c r="B41" s="134"/>
      <c r="C41" s="134"/>
    </row>
    <row r="42" spans="1:11">
      <c r="A42" s="135"/>
      <c r="B42" s="135"/>
      <c r="C42" s="135"/>
    </row>
    <row r="43" spans="1:11">
      <c r="A43" s="135"/>
      <c r="B43" s="135"/>
      <c r="C43" s="135"/>
    </row>
  </sheetData>
  <mergeCells count="7">
    <mergeCell ref="A1:D3"/>
    <mergeCell ref="E1:I3"/>
    <mergeCell ref="J1:K3"/>
    <mergeCell ref="A7:A8"/>
    <mergeCell ref="B7:C7"/>
    <mergeCell ref="D7:E7"/>
    <mergeCell ref="F7:K7"/>
  </mergeCells>
  <conditionalFormatting sqref="E1 E4:E8 E41:E65533">
    <cfRule type="cellIs" dxfId="8" priority="9" stopIfTrue="1" operator="lessThanOrEqual">
      <formula>0</formula>
    </cfRule>
  </conditionalFormatting>
  <conditionalFormatting sqref="E10:E25">
    <cfRule type="cellIs" dxfId="7" priority="8" stopIfTrue="1" operator="lessThanOrEqual">
      <formula>0</formula>
    </cfRule>
  </conditionalFormatting>
  <conditionalFormatting sqref="E10:E25">
    <cfRule type="cellIs" dxfId="6" priority="7" stopIfTrue="1" operator="lessThanOrEqual">
      <formula>0</formula>
    </cfRule>
  </conditionalFormatting>
  <conditionalFormatting sqref="E9">
    <cfRule type="cellIs" dxfId="5" priority="6" stopIfTrue="1" operator="lessThanOrEqual">
      <formula>0</formula>
    </cfRule>
  </conditionalFormatting>
  <conditionalFormatting sqref="E9">
    <cfRule type="cellIs" dxfId="4" priority="5" stopIfTrue="1" operator="lessThanOrEqual">
      <formula>0</formula>
    </cfRule>
  </conditionalFormatting>
  <conditionalFormatting sqref="E33:E40">
    <cfRule type="cellIs" dxfId="3" priority="4" stopIfTrue="1" operator="lessThanOrEqual">
      <formula>0</formula>
    </cfRule>
  </conditionalFormatting>
  <conditionalFormatting sqref="E33:E40">
    <cfRule type="cellIs" dxfId="2" priority="3" stopIfTrue="1" operator="lessThanOrEqual">
      <formula>0</formula>
    </cfRule>
  </conditionalFormatting>
  <conditionalFormatting sqref="E26:E32">
    <cfRule type="cellIs" dxfId="1" priority="2" stopIfTrue="1" operator="lessThanOrEqual">
      <formula>0</formula>
    </cfRule>
  </conditionalFormatting>
  <conditionalFormatting sqref="E26:E32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4:N33"/>
  <sheetViews>
    <sheetView zoomScaleNormal="100" workbookViewId="0">
      <selection activeCell="D15" sqref="D15"/>
    </sheetView>
  </sheetViews>
  <sheetFormatPr defaultColWidth="12.375" defaultRowHeight="12.75"/>
  <cols>
    <col min="1" max="1" width="7" style="120" customWidth="1"/>
    <col min="2" max="2" width="20.75" style="120" customWidth="1"/>
    <col min="3" max="3" width="12.375" style="120"/>
    <col min="4" max="4" width="13.625" style="120" customWidth="1"/>
    <col min="5" max="5" width="12.375" style="120"/>
    <col min="6" max="6" width="14.25" style="120" customWidth="1"/>
    <col min="7" max="7" width="13.625" style="120" customWidth="1"/>
    <col min="8" max="8" width="15.125" style="120" customWidth="1"/>
    <col min="9" max="9" width="12.375" style="120"/>
    <col min="10" max="11" width="14" style="120" customWidth="1"/>
    <col min="12" max="13" width="13.875" style="120" customWidth="1"/>
    <col min="14" max="14" width="14.25" style="120" customWidth="1"/>
    <col min="15" max="16384" width="12.375" style="120"/>
  </cols>
  <sheetData>
    <row r="4" spans="2:14" ht="13.5" thickBot="1"/>
    <row r="5" spans="2:14" ht="21" thickBot="1">
      <c r="C5" s="231" t="s">
        <v>168</v>
      </c>
      <c r="D5" s="232"/>
      <c r="E5" s="232"/>
      <c r="F5" s="232"/>
      <c r="G5" s="232"/>
      <c r="H5" s="232"/>
      <c r="I5" s="232"/>
      <c r="J5" s="232"/>
      <c r="K5" s="232"/>
      <c r="L5" s="232"/>
      <c r="M5" s="232"/>
      <c r="N5" s="233"/>
    </row>
    <row r="7" spans="2:14">
      <c r="C7" s="171" t="s">
        <v>79</v>
      </c>
      <c r="D7" s="171" t="s">
        <v>80</v>
      </c>
      <c r="E7" s="171" t="s">
        <v>81</v>
      </c>
      <c r="F7" s="171" t="s">
        <v>82</v>
      </c>
      <c r="G7" s="171" t="s">
        <v>83</v>
      </c>
      <c r="H7" s="171" t="s">
        <v>84</v>
      </c>
      <c r="I7" s="171" t="s">
        <v>85</v>
      </c>
      <c r="J7" s="171" t="s">
        <v>86</v>
      </c>
      <c r="K7" s="171" t="s">
        <v>87</v>
      </c>
      <c r="L7" s="171" t="s">
        <v>88</v>
      </c>
      <c r="M7" s="171" t="s">
        <v>89</v>
      </c>
      <c r="N7" s="171" t="s">
        <v>90</v>
      </c>
    </row>
    <row r="8" spans="2:14" ht="32.25" customHeight="1">
      <c r="B8" s="170" t="s">
        <v>91</v>
      </c>
      <c r="C8" s="234"/>
      <c r="D8" s="235"/>
      <c r="E8" s="235"/>
      <c r="F8" s="235"/>
      <c r="G8" s="235"/>
      <c r="H8" s="235"/>
      <c r="I8" s="235"/>
      <c r="J8" s="235"/>
      <c r="K8" s="236"/>
      <c r="L8" s="162">
        <v>544520</v>
      </c>
      <c r="M8" s="162">
        <v>561765</v>
      </c>
      <c r="N8" s="162">
        <v>546771</v>
      </c>
    </row>
    <row r="9" spans="2:14" ht="33" customHeight="1">
      <c r="B9" s="169" t="s">
        <v>92</v>
      </c>
      <c r="C9" s="162">
        <v>564170</v>
      </c>
      <c r="D9" s="162">
        <v>532072</v>
      </c>
      <c r="E9" s="162">
        <v>405239</v>
      </c>
      <c r="F9" s="162">
        <v>469130</v>
      </c>
      <c r="G9" s="162">
        <v>543877</v>
      </c>
      <c r="H9" s="162">
        <v>605744</v>
      </c>
      <c r="I9" s="162">
        <v>722083</v>
      </c>
      <c r="J9" s="162">
        <v>802210</v>
      </c>
      <c r="K9" s="162">
        <v>762933</v>
      </c>
      <c r="L9" s="162">
        <v>670848</v>
      </c>
      <c r="M9" s="162">
        <v>626451</v>
      </c>
      <c r="N9" s="162">
        <v>557392</v>
      </c>
    </row>
    <row r="10" spans="2:14" ht="33" customHeight="1">
      <c r="B10" s="168" t="s">
        <v>93</v>
      </c>
      <c r="C10" s="162">
        <v>520977</v>
      </c>
      <c r="D10" s="162">
        <v>541271</v>
      </c>
      <c r="E10" s="162">
        <v>508392</v>
      </c>
      <c r="F10" s="162">
        <v>659200</v>
      </c>
      <c r="G10" s="162">
        <v>705703</v>
      </c>
      <c r="H10" s="162">
        <v>784214</v>
      </c>
      <c r="I10" s="162">
        <v>823726</v>
      </c>
      <c r="J10" s="162">
        <v>913736</v>
      </c>
      <c r="K10" s="162">
        <v>831734</v>
      </c>
      <c r="L10" s="162">
        <v>794243</v>
      </c>
      <c r="M10" s="162">
        <v>688127</v>
      </c>
      <c r="N10" s="162">
        <v>577067</v>
      </c>
    </row>
    <row r="11" spans="2:14" ht="29.25" customHeight="1">
      <c r="B11" s="167" t="s">
        <v>94</v>
      </c>
      <c r="C11" s="162">
        <v>586355</v>
      </c>
      <c r="D11" s="162">
        <v>563735</v>
      </c>
      <c r="E11" s="162">
        <v>512313</v>
      </c>
      <c r="F11" s="162">
        <v>573440</v>
      </c>
      <c r="G11" s="162">
        <v>535115</v>
      </c>
      <c r="H11" s="162">
        <v>570139</v>
      </c>
      <c r="I11" s="162">
        <v>669302</v>
      </c>
      <c r="J11" s="162">
        <v>704714</v>
      </c>
      <c r="K11" s="162">
        <v>682717</v>
      </c>
      <c r="L11" s="162">
        <v>581239</v>
      </c>
      <c r="M11" s="162">
        <v>438561</v>
      </c>
      <c r="N11" s="162">
        <v>400672</v>
      </c>
    </row>
    <row r="12" spans="2:14" ht="33.75" customHeight="1">
      <c r="B12" s="166" t="s">
        <v>95</v>
      </c>
      <c r="C12" s="162">
        <v>388363</v>
      </c>
      <c r="D12" s="162">
        <v>407737</v>
      </c>
      <c r="E12" s="162">
        <v>392102</v>
      </c>
      <c r="F12" s="162">
        <v>454554</v>
      </c>
      <c r="G12" s="162">
        <v>448580</v>
      </c>
      <c r="H12" s="162">
        <v>535391</v>
      </c>
      <c r="I12" s="162">
        <v>549301</v>
      </c>
      <c r="J12" s="162">
        <v>576078</v>
      </c>
      <c r="K12" s="162">
        <v>612675</v>
      </c>
      <c r="L12" s="162">
        <v>542640</v>
      </c>
      <c r="M12" s="162">
        <v>507495</v>
      </c>
      <c r="N12" s="162">
        <v>444826</v>
      </c>
    </row>
    <row r="13" spans="2:14" ht="33.75" customHeight="1">
      <c r="B13" s="165" t="s">
        <v>96</v>
      </c>
      <c r="C13" s="162">
        <v>417018</v>
      </c>
      <c r="D13" s="162">
        <v>434912</v>
      </c>
      <c r="E13" s="162">
        <v>278008</v>
      </c>
      <c r="F13" s="162">
        <v>90895</v>
      </c>
      <c r="G13" s="162">
        <v>70143</v>
      </c>
      <c r="H13" s="162">
        <v>76577</v>
      </c>
      <c r="I13" s="162">
        <v>238549</v>
      </c>
      <c r="J13" s="162">
        <v>371235</v>
      </c>
      <c r="K13" s="162">
        <v>295161</v>
      </c>
      <c r="L13" s="162">
        <v>318184</v>
      </c>
      <c r="M13" s="162">
        <v>297355</v>
      </c>
      <c r="N13" s="162">
        <v>260661</v>
      </c>
    </row>
    <row r="14" spans="2:14" ht="33.75" customHeight="1">
      <c r="B14" s="164" t="s">
        <v>97</v>
      </c>
      <c r="C14" s="162">
        <v>239911</v>
      </c>
      <c r="D14" s="162">
        <v>247692</v>
      </c>
      <c r="E14" s="162">
        <v>242350</v>
      </c>
      <c r="F14" s="162">
        <v>282564</v>
      </c>
      <c r="G14" s="162">
        <v>272836</v>
      </c>
      <c r="H14" s="162">
        <v>362809</v>
      </c>
      <c r="I14" s="162">
        <v>454598</v>
      </c>
      <c r="J14" s="162">
        <v>470109</v>
      </c>
      <c r="K14" s="162">
        <v>458455</v>
      </c>
      <c r="L14" s="162">
        <v>444199</v>
      </c>
      <c r="M14" s="162">
        <v>374528</v>
      </c>
      <c r="N14" s="162">
        <v>256419</v>
      </c>
    </row>
    <row r="15" spans="2:14" ht="33.75" customHeight="1">
      <c r="B15" s="163" t="s">
        <v>98</v>
      </c>
      <c r="C15" s="162"/>
      <c r="D15" s="162"/>
      <c r="E15" s="162"/>
      <c r="F15" s="162"/>
      <c r="G15" s="162"/>
      <c r="H15" s="162"/>
      <c r="I15" s="162"/>
      <c r="J15" s="162"/>
      <c r="K15" s="162"/>
      <c r="L15" s="162"/>
      <c r="M15" s="162"/>
      <c r="N15" s="162"/>
    </row>
    <row r="16" spans="2:14" ht="21" thickBot="1">
      <c r="C16" s="237" t="s">
        <v>169</v>
      </c>
      <c r="D16" s="238"/>
      <c r="E16" s="238"/>
      <c r="F16" s="238"/>
      <c r="G16" s="238"/>
      <c r="H16" s="238"/>
      <c r="I16" s="238"/>
      <c r="J16" s="238"/>
      <c r="K16" s="238"/>
      <c r="L16" s="238"/>
      <c r="M16" s="238"/>
      <c r="N16" s="239"/>
    </row>
    <row r="18" spans="2:14">
      <c r="C18" s="171" t="s">
        <v>79</v>
      </c>
      <c r="D18" s="171" t="s">
        <v>80</v>
      </c>
      <c r="E18" s="171" t="s">
        <v>81</v>
      </c>
      <c r="F18" s="171" t="s">
        <v>82</v>
      </c>
      <c r="G18" s="171" t="s">
        <v>83</v>
      </c>
      <c r="H18" s="171" t="s">
        <v>84</v>
      </c>
      <c r="I18" s="171" t="s">
        <v>85</v>
      </c>
      <c r="J18" s="171" t="s">
        <v>86</v>
      </c>
      <c r="K18" s="171" t="s">
        <v>87</v>
      </c>
      <c r="L18" s="171" t="s">
        <v>88</v>
      </c>
      <c r="M18" s="171" t="s">
        <v>89</v>
      </c>
      <c r="N18" s="171" t="s">
        <v>90</v>
      </c>
    </row>
    <row r="19" spans="2:14" ht="28.5" customHeight="1">
      <c r="B19" s="170" t="s">
        <v>91</v>
      </c>
      <c r="C19" s="234"/>
      <c r="D19" s="235"/>
      <c r="E19" s="235"/>
      <c r="F19" s="235"/>
      <c r="G19" s="235"/>
      <c r="H19" s="235"/>
      <c r="I19" s="235"/>
      <c r="J19" s="235"/>
      <c r="K19" s="236"/>
      <c r="L19" s="162">
        <v>527344.76260000002</v>
      </c>
      <c r="M19" s="162">
        <v>542887.95270000002</v>
      </c>
      <c r="N19" s="162">
        <v>530789.10450000002</v>
      </c>
    </row>
    <row r="20" spans="2:14" ht="26.25" customHeight="1">
      <c r="B20" s="169" t="s">
        <v>92</v>
      </c>
      <c r="C20" s="162">
        <v>577599.26069999998</v>
      </c>
      <c r="D20" s="162">
        <v>549500.304</v>
      </c>
      <c r="E20" s="162">
        <v>437038.73300000001</v>
      </c>
      <c r="F20" s="162">
        <v>498381.28909999994</v>
      </c>
      <c r="G20" s="162">
        <v>567710.58700000006</v>
      </c>
      <c r="H20" s="162">
        <v>626665.41229999997</v>
      </c>
      <c r="I20" s="162">
        <v>732996.54229999997</v>
      </c>
      <c r="J20" s="162">
        <v>807380.11509999994</v>
      </c>
      <c r="K20" s="162">
        <v>765103.69790000003</v>
      </c>
      <c r="L20" s="162">
        <v>674808.60869999998</v>
      </c>
      <c r="M20" s="162">
        <v>636029.23249999993</v>
      </c>
      <c r="N20" s="162">
        <v>575999.90890000004</v>
      </c>
    </row>
    <row r="21" spans="2:14" ht="28.5" customHeight="1">
      <c r="B21" s="168" t="s">
        <v>93</v>
      </c>
      <c r="C21" s="162">
        <v>565777.06310000003</v>
      </c>
      <c r="D21" s="162">
        <v>589465.87030000007</v>
      </c>
      <c r="E21" s="162">
        <v>559348.96649999998</v>
      </c>
      <c r="F21" s="162">
        <v>706566.82740000007</v>
      </c>
      <c r="G21" s="162">
        <v>750048.77370000002</v>
      </c>
      <c r="H21" s="162">
        <v>823657.03619999997</v>
      </c>
      <c r="I21" s="162">
        <v>863911.20730000001</v>
      </c>
      <c r="J21" s="162">
        <v>948371.73810000008</v>
      </c>
      <c r="K21" s="162">
        <v>870086.49040000001</v>
      </c>
      <c r="L21" s="162">
        <v>828237.32940000005</v>
      </c>
      <c r="M21" s="162">
        <v>728226.36450000003</v>
      </c>
      <c r="N21" s="162">
        <v>620794.43210000009</v>
      </c>
    </row>
    <row r="22" spans="2:14" ht="30" customHeight="1">
      <c r="B22" s="167" t="s">
        <v>94</v>
      </c>
      <c r="C22" s="162">
        <v>629018.45440000005</v>
      </c>
      <c r="D22" s="162">
        <v>609232.05440000002</v>
      </c>
      <c r="E22" s="162">
        <v>564099.54039999994</v>
      </c>
      <c r="F22" s="162">
        <v>625412.74040000001</v>
      </c>
      <c r="G22" s="162">
        <v>591310.6496</v>
      </c>
      <c r="H22" s="162">
        <v>627578.14100000006</v>
      </c>
      <c r="I22" s="162">
        <v>723790.51</v>
      </c>
      <c r="J22" s="162">
        <v>756208.25020000001</v>
      </c>
      <c r="K22" s="162">
        <v>734211.55240000004</v>
      </c>
      <c r="L22" s="162">
        <v>634725.01650000003</v>
      </c>
      <c r="M22" s="162">
        <v>492313.53600000002</v>
      </c>
      <c r="N22" s="162">
        <v>430486.08379999996</v>
      </c>
    </row>
    <row r="23" spans="2:14" ht="32.25" customHeight="1">
      <c r="B23" s="166" t="s">
        <v>95</v>
      </c>
      <c r="C23" s="162">
        <v>417767.50199999998</v>
      </c>
      <c r="D23" s="162">
        <v>437511.45040000003</v>
      </c>
      <c r="E23" s="162">
        <v>422948.91399999999</v>
      </c>
      <c r="F23" s="162">
        <v>483026.4265</v>
      </c>
      <c r="G23" s="162">
        <v>494466.65997999994</v>
      </c>
      <c r="H23" s="162">
        <v>589026.66199500009</v>
      </c>
      <c r="I23" s="162">
        <v>597445.77220000012</v>
      </c>
      <c r="J23" s="162">
        <v>624719.21129500004</v>
      </c>
      <c r="K23" s="162">
        <v>662255.2733900001</v>
      </c>
      <c r="L23" s="162">
        <v>572138.68634500005</v>
      </c>
      <c r="M23" s="162">
        <v>536725.71495000005</v>
      </c>
      <c r="N23" s="162">
        <v>473017.45039999997</v>
      </c>
    </row>
    <row r="24" spans="2:14" ht="32.25" customHeight="1">
      <c r="B24" s="165" t="s">
        <v>96</v>
      </c>
      <c r="C24" s="162">
        <v>445089.4596</v>
      </c>
      <c r="D24" s="162">
        <v>464838.33001999994</v>
      </c>
      <c r="E24" s="162">
        <v>310234.47700000001</v>
      </c>
      <c r="F24" s="162">
        <v>132086.1189</v>
      </c>
      <c r="G24" s="162">
        <v>81934.237999999998</v>
      </c>
      <c r="H24" s="162">
        <v>88016.122900000017</v>
      </c>
      <c r="I24" s="162">
        <v>290744.43883500004</v>
      </c>
      <c r="J24" s="162">
        <v>372885.53719999996</v>
      </c>
      <c r="K24" s="162">
        <v>328998.32740000001</v>
      </c>
      <c r="L24" s="162">
        <v>350713.83590000001</v>
      </c>
      <c r="M24" s="162">
        <v>329624.08839999995</v>
      </c>
      <c r="N24" s="162">
        <v>294931.19809999998</v>
      </c>
    </row>
    <row r="25" spans="2:14" ht="32.25" customHeight="1">
      <c r="B25" s="164" t="s">
        <v>97</v>
      </c>
      <c r="C25" s="162">
        <v>274561.56439999997</v>
      </c>
      <c r="D25" s="162">
        <v>283692.47039999999</v>
      </c>
      <c r="E25" s="162">
        <v>278888.13439999998</v>
      </c>
      <c r="F25" s="162">
        <v>318224.91959999996</v>
      </c>
      <c r="G25" s="162">
        <v>309500.67789999995</v>
      </c>
      <c r="H25" s="162">
        <v>396582.05849999998</v>
      </c>
      <c r="I25" s="162">
        <v>498105.10527500004</v>
      </c>
      <c r="J25" s="162">
        <v>506423.32253</v>
      </c>
      <c r="K25" s="162">
        <v>486424.27340000001</v>
      </c>
      <c r="L25" s="162">
        <v>473503.95079999999</v>
      </c>
      <c r="M25" s="162">
        <v>403992.3469</v>
      </c>
      <c r="N25" s="162">
        <v>289205.48600000003</v>
      </c>
    </row>
    <row r="26" spans="2:14" ht="32.25" customHeight="1">
      <c r="B26" s="163" t="s">
        <v>98</v>
      </c>
      <c r="C26" s="162"/>
      <c r="D26" s="162"/>
      <c r="E26" s="162"/>
      <c r="F26" s="162"/>
      <c r="G26" s="162"/>
      <c r="H26" s="162"/>
      <c r="I26" s="162"/>
      <c r="J26" s="162"/>
      <c r="K26" s="162"/>
      <c r="L26" s="162"/>
      <c r="M26" s="162"/>
      <c r="N26" s="162"/>
    </row>
    <row r="32" spans="2:14" ht="16.5" customHeight="1"/>
    <row r="33" ht="15.75" customHeight="1"/>
  </sheetData>
  <mergeCells count="4">
    <mergeCell ref="C5:N5"/>
    <mergeCell ref="C16:N16"/>
    <mergeCell ref="C8:K8"/>
    <mergeCell ref="C19:K19"/>
  </mergeCells>
  <pageMargins left="0.7" right="0.7" top="0.75" bottom="0.75" header="0.3" footer="0.3"/>
  <pageSetup paperSize="9" scale="58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AE8445968FA949BD4E476FDB676160" ma:contentTypeVersion="4" ma:contentTypeDescription="Create a new document." ma:contentTypeScope="" ma:versionID="c850809f9de6368ed846f1258aa9b8a8">
  <xsd:schema xmlns:xsd="http://www.w3.org/2001/XMLSchema" xmlns:xs="http://www.w3.org/2001/XMLSchema" xmlns:p="http://schemas.microsoft.com/office/2006/metadata/properties" xmlns:ns2="d7f91531-3ccc-4dfd-9207-ed214ce7a088" xmlns:ns3="0015c678-6d10-4b08-a12a-5cc736544042" targetNamespace="http://schemas.microsoft.com/office/2006/metadata/properties" ma:root="true" ma:fieldsID="4696b7610b062d633c309e5187e4eb17" ns2:_="" ns3:_="">
    <xsd:import namespace="d7f91531-3ccc-4dfd-9207-ed214ce7a088"/>
    <xsd:import namespace="0015c678-6d10-4b08-a12a-5cc7365440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f91531-3ccc-4dfd-9207-ed214ce7a0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15c678-6d10-4b08-a12a-5cc73654404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847EF73-13E2-45FE-BA73-1AD10D82280F}"/>
</file>

<file path=customXml/itemProps2.xml><?xml version="1.0" encoding="utf-8"?>
<ds:datastoreItem xmlns:ds="http://schemas.openxmlformats.org/officeDocument/2006/customXml" ds:itemID="{9C9C647B-CE73-47B4-A052-84878B0EF9F1}"/>
</file>

<file path=customXml/itemProps3.xml><?xml version="1.0" encoding="utf-8"?>
<ds:datastoreItem xmlns:ds="http://schemas.openxmlformats.org/officeDocument/2006/customXml" ds:itemID="{EE5CE539-789E-443F-9510-1BBCF58F06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FOR ME</dc:creator>
  <cp:keywords/>
  <dc:description/>
  <cp:lastModifiedBy>Zahra Fouidel</cp:lastModifiedBy>
  <cp:revision/>
  <dcterms:created xsi:type="dcterms:W3CDTF">2018-08-03T23:09:36Z</dcterms:created>
  <dcterms:modified xsi:type="dcterms:W3CDTF">2022-11-22T10:52:38Z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0x010100DBAE8445968FA949BD4E476FDB676160</vt:lpwstr>
  </property>
</Properties>
</file>