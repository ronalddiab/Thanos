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0" sheetId="1" r:id="rId3"/>
  </sheets>
  <definedNames>
    <definedName name="_xlnm.Print_Area" localSheetId="2">'12 - 2020'!$A$1:$J$36</definedName>
  </definedNames>
  <calcPr calcId="162913"/>
</workbook>
</file>

<file path=xl/calcChain.xml><?xml version="1.0" encoding="utf-8"?>
<calcChain xmlns="http://schemas.openxmlformats.org/spreadsheetml/2006/main"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J11" i="2" l="1"/>
  <c r="I11" i="2"/>
  <c r="H11" i="2"/>
  <c r="F11" i="2"/>
  <c r="E11" i="2"/>
  <c r="E11" i="3" l="1"/>
  <c r="L10" i="3"/>
  <c r="K10" i="3"/>
  <c r="I10" i="3"/>
  <c r="G10" i="3"/>
  <c r="E10" i="3"/>
  <c r="J10" i="2" l="1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3" i="3" l="1"/>
  <c r="K3" i="3"/>
  <c r="I3" i="3"/>
  <c r="G3" i="3"/>
  <c r="E3" i="3"/>
  <c r="J3" i="2"/>
  <c r="I3" i="2"/>
  <c r="H3" i="2"/>
  <c r="F3" i="2"/>
  <c r="E3" i="2"/>
  <c r="I40" i="1" l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1" i="2" l="1"/>
  <c r="I21" i="2"/>
  <c r="H21" i="2"/>
  <c r="F21" i="2"/>
  <c r="E21" i="2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1" i="3" l="1"/>
  <c r="K11" i="3"/>
  <c r="I11" i="3"/>
  <c r="G11" i="3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32" i="3" l="1"/>
  <c r="J32" i="2"/>
  <c r="I32" i="2"/>
  <c r="F32" i="2"/>
  <c r="K32" i="3" l="1"/>
  <c r="E32" i="2"/>
  <c r="E32" i="3"/>
  <c r="L32" i="3"/>
  <c r="H32" i="2"/>
  <c r="G32" i="3"/>
  <c r="L29" i="3"/>
  <c r="K29" i="3"/>
  <c r="I29" i="3"/>
  <c r="G29" i="3"/>
  <c r="E29" i="3"/>
  <c r="J29" i="2"/>
  <c r="I29" i="2"/>
  <c r="H29" i="2"/>
  <c r="F29" i="2"/>
  <c r="E29" i="2"/>
  <c r="L22" i="3" l="1"/>
  <c r="K22" i="3"/>
  <c r="I22" i="3"/>
  <c r="G22" i="3"/>
  <c r="E22" i="3"/>
  <c r="J22" i="2"/>
  <c r="I22" i="2"/>
  <c r="H22" i="2"/>
  <c r="F22" i="2"/>
  <c r="E22" i="2"/>
  <c r="L2" i="3" l="1"/>
  <c r="K2" i="3"/>
  <c r="I2" i="3"/>
  <c r="G2" i="3"/>
  <c r="E2" i="3"/>
  <c r="J2" i="2"/>
  <c r="I2" i="2"/>
  <c r="H2" i="2"/>
  <c r="F2" i="2"/>
  <c r="E2" i="2"/>
  <c r="J27" i="2" l="1"/>
  <c r="I27" i="2"/>
  <c r="H27" i="2"/>
  <c r="F27" i="2"/>
  <c r="E27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<sst xmlns="http://schemas.openxmlformats.org/spreadsheetml/2006/main" count="107" uniqueCount="38">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</sst>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Q18" sqref="Q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'12 - 2020'!B8-'12 - 2020'!B7+'12 - 2020'!C8-'12 - 2020'!C7</f>
        <v>9869</v>
      </c>
      <c r="F2" s="22">
        <v>0.11799999999999999</v>
      </c>
      <c r="G2" s="24">
        <f>(('12 - 2020'!E8-'12 - 2020'!E7)+('12 - 2020'!F8-'12 - 2020'!F7)+('12 - 2020'!G8-'12 - 2020'!G7))*1.81</f>
        <v>78.716899999999612</v>
      </c>
      <c r="H2" s="22">
        <v>0.99</v>
      </c>
      <c r="I2" s="24">
        <f>'12 - 2020'!J8-'12 - 2020'!J7</f>
        <v>15656</v>
      </c>
      <c r="J2" s="22">
        <v>8.1000000000000003E-2</v>
      </c>
      <c r="K2" s="56">
        <f>'12 - 2020'!H8-'12 - 2020'!H7</f>
        <v>0</v>
      </c>
      <c r="L2" s="24">
        <f>'12 - 2020'!I8-'12 - 2020'!I7</f>
        <v>72</v>
      </c>
      <c r="M2" s="23">
        <v>4.393629424766913</v>
      </c>
      <c r="N2" s="24">
        <v>64</v>
      </c>
    </row>
    <row r="3" spans="1:15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'12 - 2020'!B9-'12 - 2020'!B8+'12 - 2020'!C9-'12 - 2020'!C8</f>
        <v>8842</v>
      </c>
      <c r="F3" s="22">
        <v>0.11799999999999999</v>
      </c>
      <c r="G3" s="24">
        <f>(('12 - 2020'!E9-'12 - 2020'!E8)+('12 - 2020'!F9-'12 - 2020'!F8)+('12 - 2020'!G9-'12 - 2020'!G8))*1.81</f>
        <v>57.738999999998519</v>
      </c>
      <c r="H3" s="22">
        <v>0.99</v>
      </c>
      <c r="I3" s="24">
        <f>'12 - 2020'!J9-'12 - 2020'!J8</f>
        <v>14686</v>
      </c>
      <c r="J3" s="22">
        <v>8.1000000000000003E-2</v>
      </c>
      <c r="K3" s="56">
        <f>'12 - 2020'!H9-'12 - 2020'!H8</f>
        <v>0</v>
      </c>
      <c r="L3" s="24">
        <f>'12 - 2020'!I9-'12 - 2020'!I8</f>
        <v>61</v>
      </c>
      <c r="M3" s="23">
        <v>4.393629424766913</v>
      </c>
      <c r="N3" s="48">
        <v>77</v>
      </c>
    </row>
    <row r="4" spans="1:15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'12 - 2020'!B10-'12 - 2020'!B9+'12 - 2020'!C10-'12 - 2020'!C9</f>
        <v>8957</v>
      </c>
      <c r="F4" s="22">
        <v>0.11799999999999999</v>
      </c>
      <c r="G4" s="24">
        <f>(('12 - 2020'!E10-'12 - 2020'!E9)+('12 - 2020'!F10-'12 - 2020'!F9)+('12 - 2020'!G10-'12 - 2020'!G9))*1.81</f>
        <v>63.150900000003062</v>
      </c>
      <c r="H4" s="22">
        <v>0.99</v>
      </c>
      <c r="I4" s="24">
        <f>'12 - 2020'!J10-'12 - 2020'!J9</f>
        <v>14894</v>
      </c>
      <c r="J4" s="22">
        <v>8.1000000000000003E-2</v>
      </c>
      <c r="K4" s="56">
        <f>'12 - 2020'!H10-'12 - 2020'!H9</f>
        <v>0</v>
      </c>
      <c r="L4" s="24">
        <f>'12 - 2020'!I10-'12 - 2020'!I9</f>
        <v>73</v>
      </c>
      <c r="M4" s="23">
        <v>4.393629424766913</v>
      </c>
      <c r="N4" s="48">
        <v>77</v>
      </c>
    </row>
    <row r="5" spans="1:15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'12 - 2020'!B11-'12 - 2020'!B10+'12 - 2020'!C11-'12 - 2020'!C10</f>
        <v>9383</v>
      </c>
      <c r="F5" s="22">
        <v>0.11799999999999999</v>
      </c>
      <c r="G5" s="24">
        <f>(('12 - 2020'!E11-'12 - 2020'!E10)+('12 - 2020'!F11-'12 - 2020'!F10)+('12 - 2020'!G11-'12 - 2020'!G10))*1.81</f>
        <v>70.843399999998951</v>
      </c>
      <c r="H5" s="22">
        <v>0.99</v>
      </c>
      <c r="I5" s="24">
        <f>'12 - 2020'!J11-'12 - 2020'!J10</f>
        <v>17452</v>
      </c>
      <c r="J5" s="22">
        <v>8.1000000000000003E-2</v>
      </c>
      <c r="K5" s="56">
        <f>'12 - 2020'!H11-'12 - 2020'!H10</f>
        <v>0</v>
      </c>
      <c r="L5" s="24">
        <f>'12 - 2020'!I11-'12 - 2020'!I10</f>
        <v>82</v>
      </c>
      <c r="M5" s="23">
        <v>4.393629424766913</v>
      </c>
      <c r="N5" s="48">
        <v>78</v>
      </c>
    </row>
    <row r="6" spans="1:15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'12 - 2020'!B12-'12 - 2020'!B11+'12 - 2020'!C12-'12 - 2020'!C11</f>
        <v>9440</v>
      </c>
      <c r="F6" s="22">
        <v>0.11799999999999999</v>
      </c>
      <c r="G6" s="24">
        <f>(('12 - 2020'!E12-'12 - 2020'!E11)+('12 - 2020'!F12-'12 - 2020'!F11)+('12 - 2020'!G12-'12 - 2020'!G11))*1.81</f>
        <v>77.83</v>
      </c>
      <c r="H6" s="22">
        <v>0.99</v>
      </c>
      <c r="I6" s="24">
        <f>'12 - 2020'!J12-'12 - 2020'!J11</f>
        <v>20259</v>
      </c>
      <c r="J6" s="22">
        <v>8.1000000000000003E-2</v>
      </c>
      <c r="K6" s="56">
        <f>'12 - 2020'!H12-'12 - 2020'!H11</f>
        <v>0</v>
      </c>
      <c r="L6" s="24">
        <f>'12 - 2020'!I12-'12 - 2020'!I11</f>
        <v>79</v>
      </c>
      <c r="M6" s="23">
        <v>4.393629424766913</v>
      </c>
      <c r="N6" s="48">
        <v>76</v>
      </c>
    </row>
    <row r="7" spans="1:15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'12 - 2020'!B13-'12 - 2020'!B12+'12 - 2020'!C13-'12 - 2020'!C12</f>
        <v>9505</v>
      </c>
      <c r="F7" s="22">
        <v>0.11799999999999999</v>
      </c>
      <c r="G7" s="24">
        <f>(('12 - 2020'!E13-'12 - 2020'!E12)+('12 - 2020'!F13-'12 - 2020'!F12)+('12 - 2020'!G13-'12 - 2020'!G12))*1.81</f>
        <v>70.59</v>
      </c>
      <c r="H7" s="22">
        <v>0.99</v>
      </c>
      <c r="I7" s="24">
        <f>'12 - 2020'!J13-'12 - 2020'!J12</f>
        <v>20395</v>
      </c>
      <c r="J7" s="22">
        <v>8.1000000000000003E-2</v>
      </c>
      <c r="K7" s="56">
        <f>'12 - 2020'!H13-'12 - 2020'!H12</f>
        <v>0</v>
      </c>
      <c r="L7" s="24">
        <f>'12 - 2020'!I13-'12 - 2020'!I12</f>
        <v>103</v>
      </c>
      <c r="M7" s="23">
        <v>4.393629424766913</v>
      </c>
      <c r="N7" s="48">
        <v>81</v>
      </c>
    </row>
    <row r="8" spans="1:15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'12 - 2020'!B14-'12 - 2020'!B13+'12 - 2020'!C14-'12 - 2020'!C13</f>
        <v>9649</v>
      </c>
      <c r="F8" s="22">
        <v>0.11799999999999999</v>
      </c>
      <c r="G8" s="24">
        <f>(('12 - 2020'!E14-'12 - 2020'!E13)+('12 - 2020'!F14-'12 - 2020'!F13)+('12 - 2020'!G14-'12 - 2020'!G13))*1.81</f>
        <v>69.558299999995597</v>
      </c>
      <c r="H8" s="22">
        <v>0.99</v>
      </c>
      <c r="I8" s="24">
        <f>'12 - 2020'!J14-'12 - 2020'!J13</f>
        <v>19942</v>
      </c>
      <c r="J8" s="22">
        <v>8.1000000000000003E-2</v>
      </c>
      <c r="K8" s="56">
        <f>'12 - 2020'!H14-'12 - 2020'!H13</f>
        <v>0</v>
      </c>
      <c r="L8" s="24">
        <f>'12 - 2020'!I14-'12 - 2020'!I13</f>
        <v>77</v>
      </c>
      <c r="M8" s="23">
        <v>4.393629424766913</v>
      </c>
      <c r="N8" s="50">
        <v>93</v>
      </c>
      <c r="O8" s="24"/>
    </row>
    <row r="9" spans="1:15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'12 - 2020'!B15-'12 - 2020'!B14+'12 - 2020'!C15-'12 - 2020'!C14</f>
        <v>9543</v>
      </c>
      <c r="F9" s="22">
        <v>0.11799999999999999</v>
      </c>
      <c r="G9" s="24">
        <f>(('12 - 2020'!E15-'12 - 2020'!E14)+('12 - 2020'!F15-'12 - 2020'!F14)+('12 - 2020'!G15-'12 - 2020'!G14))*1.81</f>
        <v>72.03800000000362</v>
      </c>
      <c r="H9" s="22">
        <v>0.99</v>
      </c>
      <c r="I9" s="24">
        <f>'12 - 2020'!J15-'12 - 2020'!J14</f>
        <v>15972</v>
      </c>
      <c r="J9" s="22">
        <v>8.1000000000000003E-2</v>
      </c>
      <c r="K9" s="56">
        <f>'12 - 2020'!H15-'12 - 2020'!H14</f>
        <v>0</v>
      </c>
      <c r="L9" s="24">
        <f>'12 - 2020'!I15-'12 - 2020'!I14</f>
        <v>88</v>
      </c>
      <c r="M9" s="23">
        <v>4.393629424766913</v>
      </c>
      <c r="N9" s="48">
        <v>90</v>
      </c>
    </row>
    <row r="10" spans="1:15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'12 - 2020'!B16-'12 - 2020'!B15+'12 - 2020'!C16-'12 - 2020'!C15</f>
        <v>9236</v>
      </c>
      <c r="F10" s="22">
        <v>0.11799999999999999</v>
      </c>
      <c r="G10" s="24">
        <f>(('12 - 2020'!E16-'12 - 2020'!E15)+('12 - 2020'!F16-'12 - 2020'!F15)+('12 - 2020'!G16-'12 - 2020'!G15))*1.81</f>
        <v>69.522100000000563</v>
      </c>
      <c r="H10" s="22">
        <v>0.99</v>
      </c>
      <c r="I10" s="24">
        <f>'12 - 2020'!J16-'12 - 2020'!J15</f>
        <v>13080</v>
      </c>
      <c r="J10" s="22">
        <v>8.1000000000000003E-2</v>
      </c>
      <c r="K10" s="56">
        <f>'12 - 2020'!H16-'12 - 2020'!H15</f>
        <v>0</v>
      </c>
      <c r="L10" s="24">
        <f>'12 - 2020'!I16-'12 - 2020'!I15</f>
        <v>117</v>
      </c>
      <c r="M10" s="23">
        <v>4.393629424766913</v>
      </c>
      <c r="N10" s="48">
        <v>96</v>
      </c>
    </row>
    <row r="11" spans="1:15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'12 - 2020'!B17-'12 - 2020'!B16+'12 - 2020'!C17-'12 - 2020'!C16</f>
        <v>9705</v>
      </c>
      <c r="F11" s="22">
        <v>0.11799999999999999</v>
      </c>
      <c r="G11" s="24">
        <f>(('12 - 2020'!E17-'12 - 2020'!E16)+('12 - 2020'!F17-'12 - 2020'!F16)+('12 - 2020'!G17-'12 - 2020'!G16))*1.81</f>
        <v>89.73979999999905</v>
      </c>
      <c r="H11" s="22">
        <v>0.99</v>
      </c>
      <c r="I11" s="24">
        <f>'12 - 2020'!J17-'12 - 2020'!J16</f>
        <v>13927</v>
      </c>
      <c r="J11" s="22">
        <v>8.1000000000000003E-2</v>
      </c>
      <c r="K11" s="56">
        <f>'12 - 2020'!H17-'12 - 2020'!H16</f>
        <v>0</v>
      </c>
      <c r="L11" s="24">
        <f>'12 - 2020'!I17-'12 - 2020'!I16</f>
        <v>60</v>
      </c>
      <c r="M11" s="23">
        <v>4.393629424766913</v>
      </c>
      <c r="N11" s="48">
        <v>96</v>
      </c>
    </row>
    <row r="12" spans="1:15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'12 - 2020'!B18-'12 - 2020'!B17+'12 - 2020'!C18-'12 - 2020'!C17</f>
        <v>9582</v>
      </c>
      <c r="F12" s="22">
        <v>0.11799999999999999</v>
      </c>
      <c r="G12" s="24">
        <f>(('12 - 2020'!E18-'12 - 2020'!E17)+('12 - 2020'!F18-'12 - 2020'!F17)+('12 - 2020'!G18-'12 - 2020'!G17))*1.81</f>
        <v>77.431800000001189</v>
      </c>
      <c r="H12" s="22">
        <v>0.99</v>
      </c>
      <c r="I12" s="24">
        <f>'12 - 2020'!J18-'12 - 2020'!J17</f>
        <v>13533</v>
      </c>
      <c r="J12" s="22">
        <v>8.1000000000000003E-2</v>
      </c>
      <c r="K12" s="56">
        <f>'12 - 2020'!H18-'12 - 2020'!H17</f>
        <v>0</v>
      </c>
      <c r="L12" s="24">
        <f>'12 - 2020'!I18-'12 - 2020'!I17</f>
        <v>80</v>
      </c>
      <c r="M12" s="23">
        <v>4.393629424766913</v>
      </c>
      <c r="N12" s="24">
        <v>88</v>
      </c>
    </row>
    <row r="13" spans="1:15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'12 - 2020'!B19-'12 - 2020'!B18+'12 - 2020'!C19-'12 - 2020'!C18</f>
        <v>8834</v>
      </c>
      <c r="F13" s="22">
        <v>0.11799999999999999</v>
      </c>
      <c r="G13" s="24">
        <f>(('12 - 2020'!E19-'12 - 2020'!E18)+('12 - 2020'!F19-'12 - 2020'!F18)+('12 - 2020'!G19-'12 - 2020'!G18))*1.81</f>
        <v>72.400000000000006</v>
      </c>
      <c r="H13" s="22">
        <v>0.99</v>
      </c>
      <c r="I13" s="24">
        <f>'12 - 2020'!J19-'12 - 2020'!J18</f>
        <v>12183</v>
      </c>
      <c r="J13" s="22">
        <v>8.1000000000000003E-2</v>
      </c>
      <c r="K13" s="56">
        <f>'12 - 2020'!H19-'12 - 2020'!H18</f>
        <v>0</v>
      </c>
      <c r="L13" s="24">
        <f>'12 - 2020'!I19-'12 - 2020'!I18</f>
        <v>125</v>
      </c>
      <c r="M13" s="23">
        <v>4.393629424766913</v>
      </c>
      <c r="N13" s="24">
        <v>85</v>
      </c>
    </row>
    <row r="14" spans="1:15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'12 - 2020'!B20-'12 - 2020'!B19+'12 - 2020'!C20-'12 - 2020'!C19</f>
        <v>9309</v>
      </c>
      <c r="F14" s="22">
        <v>0.11799999999999999</v>
      </c>
      <c r="G14" s="24">
        <f>(('12 - 2020'!E20-'12 - 2020'!E19)+('12 - 2020'!F20-'12 - 2020'!F19)+('12 - 2020'!G20-'12 - 2020'!G19))*1.81</f>
        <v>70.59</v>
      </c>
      <c r="H14" s="22">
        <v>0.99</v>
      </c>
      <c r="I14" s="24">
        <f>'12 - 2020'!J20-'12 - 2020'!J19</f>
        <v>11952</v>
      </c>
      <c r="J14" s="22">
        <v>8.1000000000000003E-2</v>
      </c>
      <c r="K14" s="56">
        <f>'12 - 2020'!H20-'12 - 2020'!H19</f>
        <v>0</v>
      </c>
      <c r="L14" s="24">
        <f>'12 - 2020'!I20-'12 - 2020'!I19</f>
        <v>90</v>
      </c>
      <c r="M14" s="23">
        <v>4.393629424766913</v>
      </c>
      <c r="N14" s="24">
        <v>76</v>
      </c>
      <c r="O14" s="24"/>
    </row>
    <row r="15" spans="1:15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v>0</v>
      </c>
      <c r="F15" s="22">
        <v>0.11799999999999999</v>
      </c>
      <c r="G15" s="24">
        <v>0</v>
      </c>
      <c r="H15" s="22">
        <v>0.99</v>
      </c>
      <c r="I15" s="24">
        <v>0</v>
      </c>
      <c r="J15" s="22">
        <v>8.1000000000000003E-2</v>
      </c>
      <c r="K15" s="56">
        <v>0</v>
      </c>
      <c r="L15" s="24"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'12 - 2020'!B22-'12 - 2020'!B21+'12 - 2020'!C22-'12 - 2020'!C21</f>
        <v>0</v>
      </c>
      <c r="F16" s="22">
        <v>0.11799999999999999</v>
      </c>
      <c r="G16" s="24">
        <f>(('12 - 2020'!E22-'12 - 2020'!E21)+('12 - 2020'!F22-'12 - 2020'!F21)+('12 - 2020'!G22-'12 - 2020'!G21))*1.81</f>
        <v>0</v>
      </c>
      <c r="H16" s="22">
        <v>0.99</v>
      </c>
      <c r="I16" s="24">
        <f>'12 - 2020'!J22-'12 - 2020'!J21</f>
        <v>0</v>
      </c>
      <c r="J16" s="22">
        <v>8.1000000000000003E-2</v>
      </c>
      <c r="K16" s="56">
        <f>'12 - 2020'!H22-'12 - 2020'!H21</f>
        <v>0</v>
      </c>
      <c r="L16" s="24">
        <f>'12 - 2020'!I22-'12 - 2020'!I21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'12 - 2020'!B23-'12 - 2020'!B22+'12 - 2020'!C23-'12 - 2020'!C22</f>
        <v>0</v>
      </c>
      <c r="F17" s="22">
        <v>0.11799999999999999</v>
      </c>
      <c r="G17" s="24">
        <f>(('12 - 2020'!E23-'12 - 2020'!E22)+('12 - 2020'!F23-'12 - 2020'!F22)+('12 - 2020'!G23-'12 - 2020'!G22))*1.81</f>
        <v>0</v>
      </c>
      <c r="H17" s="22">
        <v>0.99</v>
      </c>
      <c r="I17" s="24">
        <f>'12 - 2020'!J23-'12 - 2020'!J22</f>
        <v>0</v>
      </c>
      <c r="J17" s="22">
        <v>8.1000000000000003E-2</v>
      </c>
      <c r="K17" s="56">
        <f>'12 - 2020'!H23-'12 - 2020'!H22</f>
        <v>0</v>
      </c>
      <c r="L17" s="24">
        <f>'12 - 2020'!I23-'12 - 2020'!I22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'12 - 2020'!B24-'12 - 2020'!B23+'12 - 2020'!C24-'12 - 2020'!C23</f>
        <v>0</v>
      </c>
      <c r="F18" s="22">
        <v>0.11799999999999999</v>
      </c>
      <c r="G18" s="24">
        <f>(('12 - 2020'!E24-'12 - 2020'!E23)+('12 - 2020'!F24-'12 - 2020'!F23)+('12 - 2020'!G24-'12 - 2020'!G23))*1.81</f>
        <v>0</v>
      </c>
      <c r="H18" s="22">
        <v>0.99</v>
      </c>
      <c r="I18" s="24">
        <f>'12 - 2020'!J24-'12 - 2020'!J23</f>
        <v>0</v>
      </c>
      <c r="J18" s="22">
        <v>8.1000000000000003E-2</v>
      </c>
      <c r="K18" s="56">
        <f>'12 - 2020'!H24-'12 - 2020'!H23</f>
        <v>0</v>
      </c>
      <c r="L18" s="24">
        <f>'12 - 2020'!I24-'12 - 2020'!I23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'12 - 2020'!B25-'12 - 2020'!B24+'12 - 2020'!C25-'12 - 2020'!C24</f>
        <v>0</v>
      </c>
      <c r="F19" s="22">
        <v>0.11799999999999999</v>
      </c>
      <c r="G19" s="24">
        <f>(('12 - 2020'!E25-'12 - 2020'!E24)+('12 - 2020'!F25-'12 - 2020'!F24)+('12 - 2020'!G25-'12 - 2020'!G24))*1.81</f>
        <v>0</v>
      </c>
      <c r="H19" s="22">
        <v>0.99</v>
      </c>
      <c r="I19" s="24">
        <f>'12 - 2020'!J25-'12 - 2020'!J24</f>
        <v>0</v>
      </c>
      <c r="J19" s="22">
        <v>8.1000000000000003E-2</v>
      </c>
      <c r="K19" s="56">
        <f>'12 - 2020'!H25-'12 - 2020'!H24</f>
        <v>0</v>
      </c>
      <c r="L19" s="24">
        <f>'12 - 2020'!I25-'12 - 2020'!I24</f>
        <v>0</v>
      </c>
      <c r="M19" s="23">
        <v>4.393629424766913</v>
      </c>
      <c r="N19" s="49"/>
    </row>
    <row r="20" spans="1:16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'12 - 2020'!B26-'12 - 2020'!B25+'12 - 2020'!C26-'12 - 2020'!C25</f>
        <v>0</v>
      </c>
      <c r="F20" s="22">
        <v>0.11799999999999999</v>
      </c>
      <c r="G20" s="24">
        <f>(('12 - 2020'!E26-'12 - 2020'!E25)+('12 - 2020'!F26-'12 - 2020'!F25)+('12 - 2020'!G26-'12 - 2020'!G25))*1.81</f>
        <v>0</v>
      </c>
      <c r="H20" s="22">
        <v>0.99</v>
      </c>
      <c r="I20" s="24">
        <f>'12 - 2020'!J26-'12 - 2020'!J25</f>
        <v>0</v>
      </c>
      <c r="J20" s="22">
        <v>8.1000000000000003E-2</v>
      </c>
      <c r="K20" s="56">
        <f>'12 - 2020'!H26-'12 - 2020'!H25</f>
        <v>0</v>
      </c>
      <c r="L20" s="24">
        <f>'12 - 2020'!I26-'12 - 2020'!I25</f>
        <v>0</v>
      </c>
      <c r="M20" s="23">
        <v>4.393629424766913</v>
      </c>
      <c r="N20" s="49"/>
    </row>
    <row r="21" spans="1:16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'12 - 2020'!B27-'12 - 2020'!B26+'12 - 2020'!C27-'12 - 2020'!C26</f>
        <v>0</v>
      </c>
      <c r="F21" s="22">
        <v>0.11799999999999999</v>
      </c>
      <c r="G21" s="24">
        <f>(('12 - 2020'!E27-'12 - 2020'!E26)+('12 - 2020'!F27-'12 - 2020'!F26)+('12 - 2020'!G27-'12 - 2020'!G26))*1.81</f>
        <v>0</v>
      </c>
      <c r="H21" s="22">
        <v>0.99</v>
      </c>
      <c r="I21" s="24">
        <f>'12 - 2020'!J27-'12 - 2020'!J26</f>
        <v>0</v>
      </c>
      <c r="J21" s="22">
        <v>8.1000000000000003E-2</v>
      </c>
      <c r="K21" s="56">
        <f>'12 - 2020'!H27-'12 - 2020'!H26</f>
        <v>0</v>
      </c>
      <c r="L21" s="24">
        <f>'12 - 2020'!I27-'12 - 2020'!I26</f>
        <v>0</v>
      </c>
      <c r="M21" s="23">
        <v>4.393629424766913</v>
      </c>
      <c r="N21" s="49"/>
    </row>
    <row r="22" spans="1:16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'12 - 2020'!B28-'12 - 2020'!B27+'12 - 2020'!C28-'12 - 2020'!C27</f>
        <v>0</v>
      </c>
      <c r="F22" s="22">
        <v>0.11799999999999999</v>
      </c>
      <c r="G22" s="24">
        <f>(('12 - 2020'!E28-'12 - 2020'!E27)+('12 - 2020'!F28-'12 - 2020'!F27)+('12 - 2020'!G28-'12 - 2020'!G27))*1.81</f>
        <v>0</v>
      </c>
      <c r="H22" s="22">
        <v>0.99</v>
      </c>
      <c r="I22" s="24">
        <f>'12 - 2020'!J28-'12 - 2020'!J27</f>
        <v>0</v>
      </c>
      <c r="J22" s="22">
        <v>8.1000000000000003E-2</v>
      </c>
      <c r="K22" s="56">
        <f>'12 - 2020'!H28-'12 - 2020'!H27</f>
        <v>0</v>
      </c>
      <c r="L22" s="24">
        <f>'12 - 2020'!I28-'12 - 2020'!I27</f>
        <v>0</v>
      </c>
      <c r="M22" s="23">
        <v>4.393629424766913</v>
      </c>
      <c r="N22" s="49"/>
    </row>
    <row r="23" spans="1:16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'12 - 2020'!B29-'12 - 2020'!B28+'12 - 2020'!C29-'12 - 2020'!C28</f>
        <v>0</v>
      </c>
      <c r="F23" s="22">
        <v>0.11799999999999999</v>
      </c>
      <c r="G23" s="24">
        <f>(('12 - 2020'!E29-'12 - 2020'!E28)+('12 - 2020'!F29-'12 - 2020'!F28)+('12 - 2020'!G29-'12 - 2020'!G28))*1.81</f>
        <v>0</v>
      </c>
      <c r="H23" s="22">
        <v>0.99</v>
      </c>
      <c r="I23" s="24">
        <f>'12 - 2020'!J29-'12 - 2020'!J28</f>
        <v>0</v>
      </c>
      <c r="J23" s="22">
        <v>8.1000000000000003E-2</v>
      </c>
      <c r="K23" s="56">
        <f>'12 - 2020'!H29-'12 - 2020'!H28</f>
        <v>0</v>
      </c>
      <c r="L23" s="24">
        <f>'12 - 2020'!I29-'12 - 2020'!I28</f>
        <v>0</v>
      </c>
      <c r="M23" s="23">
        <v>4.393629424766913</v>
      </c>
      <c r="N23" s="49"/>
    </row>
    <row r="24" spans="1:16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'12 - 2020'!B30-'12 - 2020'!B29+'12 - 2020'!C30-'12 - 2020'!C29</f>
        <v>0</v>
      </c>
      <c r="F24" s="22">
        <v>0.11799999999999999</v>
      </c>
      <c r="G24" s="24">
        <f>(('12 - 2020'!E30-'12 - 2020'!E29)+('12 - 2020'!F30-'12 - 2020'!F29)+('12 - 2020'!G30-'12 - 2020'!G29))*1.81</f>
        <v>0</v>
      </c>
      <c r="H24" s="22">
        <v>0.99</v>
      </c>
      <c r="I24" s="24">
        <f>'12 - 2020'!J30-'12 - 2020'!J29</f>
        <v>0</v>
      </c>
      <c r="J24" s="22">
        <v>8.1000000000000003E-2</v>
      </c>
      <c r="K24" s="56">
        <f>'12 - 2020'!H30-'12 - 2020'!H29</f>
        <v>0</v>
      </c>
      <c r="L24" s="24">
        <f>'12 - 2020'!I30-'12 - 2020'!I29</f>
        <v>0</v>
      </c>
      <c r="M24" s="23">
        <v>4.393629424766913</v>
      </c>
      <c r="N24" s="49"/>
    </row>
    <row r="25" spans="1:16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'12 - 2020'!B31-'12 - 2020'!B30+'12 - 2020'!C31-'12 - 2020'!C30</f>
        <v>0</v>
      </c>
      <c r="F25" s="22">
        <v>0.11799999999999999</v>
      </c>
      <c r="G25" s="24">
        <f>(('12 - 2020'!E31-'12 - 2020'!E30)+('12 - 2020'!F31-'12 - 2020'!F30)+('12 - 2020'!G31-'12 - 2020'!G30))*1.81</f>
        <v>0</v>
      </c>
      <c r="H25" s="22">
        <v>0.99</v>
      </c>
      <c r="I25" s="24">
        <f>'12 - 2020'!J31-'12 - 2020'!J30</f>
        <v>0</v>
      </c>
      <c r="J25" s="22">
        <v>8.1000000000000003E-2</v>
      </c>
      <c r="K25" s="56">
        <f>'12 - 2020'!H31-'12 - 2020'!H30</f>
        <v>0</v>
      </c>
      <c r="L25" s="24">
        <f>'12 - 2020'!I31-'12 - 2020'!I30</f>
        <v>0</v>
      </c>
      <c r="M25" s="23">
        <v>4.393629424766913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'12 - 2020'!B32-'12 - 2020'!B31+'12 - 2020'!C32-'12 - 2020'!C31</f>
        <v>0</v>
      </c>
      <c r="F26" s="22">
        <v>0.11799999999999999</v>
      </c>
      <c r="G26" s="24">
        <f>(('12 - 2020'!E32-'12 - 2020'!E31)+('12 - 2020'!F32-'12 - 2020'!F31)+('12 - 2020'!G32-'12 - 2020'!G31))*1.81</f>
        <v>0</v>
      </c>
      <c r="H26" s="22">
        <v>0.99</v>
      </c>
      <c r="I26" s="24">
        <f>'12 - 2020'!J32-'12 - 2020'!J31</f>
        <v>0</v>
      </c>
      <c r="J26" s="22">
        <v>8.1000000000000003E-2</v>
      </c>
      <c r="K26" s="56">
        <f>'12 - 2020'!H32-'12 - 2020'!H31</f>
        <v>0</v>
      </c>
      <c r="L26" s="24">
        <f>'12 - 2020'!I32-'12 - 2020'!I31</f>
        <v>0</v>
      </c>
      <c r="M26" s="23">
        <v>4.393629424766913</v>
      </c>
      <c r="N26" s="49"/>
    </row>
    <row r="27" spans="1:16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'12 - 2020'!B33-'12 - 2020'!B32+'12 - 2020'!C33-'12 - 2020'!C32</f>
        <v>0</v>
      </c>
      <c r="F27" s="22">
        <v>0.11799999999999999</v>
      </c>
      <c r="G27" s="24">
        <f>(('12 - 2020'!E33-'12 - 2020'!E32)+('12 - 2020'!F33-'12 - 2020'!F32)+('12 - 2020'!G33-'12 - 2020'!G32))*1.81</f>
        <v>0</v>
      </c>
      <c r="H27" s="22">
        <v>0.99</v>
      </c>
      <c r="I27" s="24">
        <f>'12 - 2020'!J33-'12 - 2020'!J32</f>
        <v>0</v>
      </c>
      <c r="J27" s="22">
        <v>8.1000000000000003E-2</v>
      </c>
      <c r="K27" s="56">
        <f>'12 - 2020'!H33-'12 - 2020'!H32</f>
        <v>0</v>
      </c>
      <c r="L27" s="24">
        <f>'12 - 2020'!I33-'12 - 2020'!I32</f>
        <v>0</v>
      </c>
      <c r="M27" s="23">
        <v>4.393629424766913</v>
      </c>
      <c r="N27" s="49"/>
    </row>
    <row r="28" spans="1:16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'12 - 2020'!B34-'12 - 2020'!B33+'12 - 2020'!C34-'12 - 2020'!C33</f>
        <v>0</v>
      </c>
      <c r="F28" s="22">
        <v>0.11799999999999999</v>
      </c>
      <c r="G28" s="24">
        <f>(('12 - 2020'!E34-'12 - 2020'!E33)+('12 - 2020'!F34-'12 - 2020'!F33)+('12 - 2020'!G34-'12 - 2020'!G33))*1.81</f>
        <v>0</v>
      </c>
      <c r="H28" s="22">
        <v>0.99</v>
      </c>
      <c r="I28" s="24">
        <f>'12 - 2020'!J34-'12 - 2020'!J33</f>
        <v>0</v>
      </c>
      <c r="J28" s="22">
        <v>8.1000000000000003E-2</v>
      </c>
      <c r="K28" s="56">
        <f>'12 - 2020'!H34-'12 - 2020'!H33</f>
        <v>0</v>
      </c>
      <c r="L28" s="24">
        <f>'12 - 2020'!I34-'12 - 2020'!I33</f>
        <v>0</v>
      </c>
      <c r="M28" s="23">
        <v>4.393629424766913</v>
      </c>
      <c r="N28" s="49"/>
    </row>
    <row r="29" spans="1:16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'12 - 2020'!B35-'12 - 2020'!B34+'12 - 2020'!C35-'12 - 2020'!C34</f>
        <v>0</v>
      </c>
      <c r="F29" s="22">
        <v>0.11799999999999999</v>
      </c>
      <c r="G29" s="24">
        <f>(('12 - 2020'!E35-'12 - 2020'!E34)+('12 - 2020'!F35-'12 - 2020'!F34)+('12 - 2020'!G35-'12 - 2020'!G34))*1.81</f>
        <v>0</v>
      </c>
      <c r="H29" s="22">
        <v>0.99</v>
      </c>
      <c r="I29" s="24">
        <f>'12 - 2020'!J35-'12 - 2020'!J34</f>
        <v>0</v>
      </c>
      <c r="J29" s="22">
        <v>8.1000000000000003E-2</v>
      </c>
      <c r="K29" s="56">
        <f>'12 - 2020'!H35-'12 - 2020'!H34</f>
        <v>0</v>
      </c>
      <c r="L29" s="24">
        <f>'12 - 2020'!I35-'12 - 2020'!I34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'12 - 2020'!B36-'12 - 2020'!B35+'12 - 2020'!C36-'12 - 2020'!C35</f>
        <v>0</v>
      </c>
      <c r="F30" s="22">
        <v>0.11799999999999999</v>
      </c>
      <c r="G30" s="24">
        <f>(('12 - 2020'!E36-'12 - 2020'!E35)+('12 - 2020'!F36-'12 - 2020'!F35)+('12 - 2020'!G36-'12 - 2020'!G35))*1.81</f>
        <v>0</v>
      </c>
      <c r="H30" s="22">
        <v>0.99</v>
      </c>
      <c r="I30" s="24">
        <f>'12 - 2020'!J36-'12 - 2020'!J35</f>
        <v>0</v>
      </c>
      <c r="J30" s="22">
        <v>8.1000000000000003E-2</v>
      </c>
      <c r="K30" s="56">
        <f>'12 - 2020'!H36-'12 - 2020'!H35</f>
        <v>0</v>
      </c>
      <c r="L30" s="24">
        <f>'12 - 2020'!I36-'12 - 2020'!I35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12</v>
      </c>
      <c r="D31" s="22">
        <v>2020</v>
      </c>
      <c r="E31" s="24">
        <f>'12 - 2020'!B37-'12 - 2020'!B36+'12 - 2020'!C37-'12 - 2020'!C36</f>
        <v>0</v>
      </c>
      <c r="F31" s="22">
        <v>0.11799999999999999</v>
      </c>
      <c r="G31" s="24">
        <f>(('12 - 2020'!E37-'12 - 2020'!E36)+('12 - 2020'!F37-'12 - 2020'!F36)+('12 - 2020'!G37-'12 - 2020'!G36))*1.81</f>
        <v>0</v>
      </c>
      <c r="H31" s="22">
        <v>0.99</v>
      </c>
      <c r="I31" s="24">
        <f>'12 - 2020'!J37-'12 - 2020'!J36</f>
        <v>0</v>
      </c>
      <c r="J31" s="22">
        <v>8.1000000000000003E-2</v>
      </c>
      <c r="K31" s="56">
        <f>'12 - 2020'!H37-'12 - 2020'!H36</f>
        <v>0</v>
      </c>
      <c r="L31" s="24">
        <f>'12 - 2020'!I37-'12 - 2020'!I36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>
        <v>12</v>
      </c>
      <c r="D32" s="22">
        <v>2020</v>
      </c>
      <c r="E32" s="24">
        <f>'12 - 2020'!B38-'12 - 2020'!B37+'12 - 2020'!C38-'12 - 2020'!C37</f>
        <v>0</v>
      </c>
      <c r="F32" s="22">
        <v>0.11799999999999999</v>
      </c>
      <c r="G32" s="24">
        <f>(('12 - 2020'!E38-'12 - 2020'!E37)+('12 - 2020'!F38-'12 - 2020'!F37)+('12 - 2020'!G38-'12 - 2020'!G37))*1.81</f>
        <v>0</v>
      </c>
      <c r="H32" s="22">
        <v>0.99</v>
      </c>
      <c r="I32" s="24">
        <f>'12 - 2020'!J38-'12 - 2020'!J37</f>
        <v>0</v>
      </c>
      <c r="J32" s="22">
        <v>8.1000000000000003E-2</v>
      </c>
      <c r="K32" s="56">
        <f>'12 - 2020'!H38-'12 - 2020'!H37</f>
        <v>0</v>
      </c>
      <c r="L32" s="24">
        <f>'12 - 2020'!I38-'12 - 2020'!I37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2" sqref="P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</f>
        <v>3771</v>
      </c>
      <c r="F2" s="24">
        <f>'12 - 2020'!C8-'12 - 2020'!C7</f>
        <v>6098</v>
      </c>
      <c r="G2" s="22">
        <v>0.11799999999999999</v>
      </c>
      <c r="H2" s="24">
        <f>'12 - 2020'!E8-'12 - 2020'!E7</f>
        <v>6.2099999999991269</v>
      </c>
      <c r="I2" s="24">
        <f>'12 - 2020'!F8-'12 - 2020'!F7</f>
        <v>4.5799999999999272</v>
      </c>
      <c r="J2" s="24">
        <f>'12 - 2020'!G8-'12 - 2020'!G7</f>
        <v>32.700000000000728</v>
      </c>
      <c r="K2" s="22">
        <v>0.74</v>
      </c>
      <c r="L2" s="24">
        <v>64</v>
      </c>
      <c r="M2" s="12"/>
    </row>
    <row r="3" spans="1:13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</f>
        <v>3402</v>
      </c>
      <c r="F3" s="24">
        <f>'12 - 2020'!C9-'12 - 2020'!C8</f>
        <v>5440</v>
      </c>
      <c r="G3" s="22">
        <v>0.11799999999999999</v>
      </c>
      <c r="H3" s="24">
        <f>'12 - 2020'!E9-'12 - 2020'!E8</f>
        <v>2.1900000000005093</v>
      </c>
      <c r="I3" s="24">
        <f>'12 - 2020'!F9-'12 - 2020'!F8</f>
        <v>4.2699999999999818</v>
      </c>
      <c r="J3" s="24">
        <f>'12 - 2020'!G9-'12 - 2020'!G8</f>
        <v>25.43999999999869</v>
      </c>
      <c r="K3" s="22">
        <v>0.74</v>
      </c>
      <c r="L3" s="48">
        <v>77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</f>
        <v>3339</v>
      </c>
      <c r="F4" s="24">
        <f>'12 - 2020'!C10-'12 - 2020'!C9</f>
        <v>5618</v>
      </c>
      <c r="G4" s="22">
        <v>0.11799999999999999</v>
      </c>
      <c r="H4" s="24">
        <f>'12 - 2020'!E10-'12 - 2020'!E9</f>
        <v>1.7100000000009459</v>
      </c>
      <c r="I4" s="24">
        <f>'12 - 2020'!F10-'12 - 2020'!F9</f>
        <v>3.7300000000000182</v>
      </c>
      <c r="J4" s="24">
        <f>'12 - 2020'!G10-'12 - 2020'!G9</f>
        <v>29.450000000000728</v>
      </c>
      <c r="K4" s="22">
        <v>0.74</v>
      </c>
      <c r="L4" s="48">
        <v>77</v>
      </c>
      <c r="M4" s="12"/>
    </row>
    <row r="5" spans="1:13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</f>
        <v>3492</v>
      </c>
      <c r="F5" s="24">
        <f>'12 - 2020'!C11-'12 - 2020'!C10</f>
        <v>5891</v>
      </c>
      <c r="G5" s="22">
        <v>0.11799999999999999</v>
      </c>
      <c r="H5" s="24">
        <f>'12 - 2020'!E11-'12 - 2020'!E10</f>
        <v>4.1399999999994179</v>
      </c>
      <c r="I5" s="24">
        <f>'12 - 2020'!F11-'12 - 2020'!F10</f>
        <v>4</v>
      </c>
      <c r="J5" s="24">
        <f>'12 - 2020'!G11-'12 - 2020'!G10</f>
        <v>31</v>
      </c>
      <c r="K5" s="22">
        <v>0.74</v>
      </c>
      <c r="L5" s="48">
        <v>78</v>
      </c>
      <c r="M5" s="12"/>
    </row>
    <row r="6" spans="1:13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</f>
        <v>3421</v>
      </c>
      <c r="F6" s="24">
        <f>'12 - 2020'!C12-'12 - 2020'!C11</f>
        <v>6019</v>
      </c>
      <c r="G6" s="22">
        <v>0.11799999999999999</v>
      </c>
      <c r="H6" s="24">
        <f>'12 - 2020'!E12-'12 - 2020'!E11</f>
        <v>4</v>
      </c>
      <c r="I6" s="24">
        <f>'12 - 2020'!F12-'12 - 2020'!F11</f>
        <v>5</v>
      </c>
      <c r="J6" s="24">
        <f>'12 - 2020'!G12-'12 - 2020'!G11</f>
        <v>34</v>
      </c>
      <c r="K6" s="22">
        <v>0.74</v>
      </c>
      <c r="L6" s="48">
        <v>76</v>
      </c>
      <c r="M6" s="13"/>
    </row>
    <row r="7" spans="1:13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</f>
        <v>3496</v>
      </c>
      <c r="F7" s="24">
        <f>'12 - 2020'!C13-'12 - 2020'!C12</f>
        <v>6009</v>
      </c>
      <c r="G7" s="22">
        <v>0.11799999999999999</v>
      </c>
      <c r="H7" s="24">
        <f>'12 - 2020'!E13-'12 - 2020'!E12</f>
        <v>3</v>
      </c>
      <c r="I7" s="24">
        <f>'12 - 2020'!F13-'12 - 2020'!F12</f>
        <v>4</v>
      </c>
      <c r="J7" s="24">
        <f>'12 - 2020'!G13-'12 - 2020'!G12</f>
        <v>32</v>
      </c>
      <c r="K7" s="22">
        <v>0.74</v>
      </c>
      <c r="L7" s="48">
        <v>81</v>
      </c>
      <c r="M7" s="13"/>
    </row>
    <row r="8" spans="1:13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</f>
        <v>3613</v>
      </c>
      <c r="F8" s="24">
        <f>'12 - 2020'!C14-'12 - 2020'!C13</f>
        <v>6036</v>
      </c>
      <c r="G8" s="22">
        <v>0.11799999999999999</v>
      </c>
      <c r="H8" s="24">
        <f>'12 - 2020'!E14-'12 - 2020'!E13</f>
        <v>1.2999999999992724</v>
      </c>
      <c r="I8" s="24">
        <f>'12 - 2020'!F14-'12 - 2020'!F13</f>
        <v>5.2100000000000364</v>
      </c>
      <c r="J8" s="24">
        <f>'12 - 2020'!G14-'12 - 2020'!G13</f>
        <v>31.919999999998254</v>
      </c>
      <c r="K8" s="22">
        <v>0.74</v>
      </c>
      <c r="L8" s="48">
        <v>93</v>
      </c>
      <c r="M8" s="13"/>
    </row>
    <row r="9" spans="1:13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</f>
        <v>3774</v>
      </c>
      <c r="F9" s="24">
        <f>'12 - 2020'!C15-'12 - 2020'!C14</f>
        <v>5769</v>
      </c>
      <c r="G9" s="22">
        <v>0.11799999999999999</v>
      </c>
      <c r="H9" s="24">
        <f>'12 - 2020'!E15-'12 - 2020'!E14</f>
        <v>3.1700000000000728</v>
      </c>
      <c r="I9" s="24">
        <f>'12 - 2020'!F15-'12 - 2020'!F14</f>
        <v>4.5500000000001819</v>
      </c>
      <c r="J9" s="24">
        <f>'12 - 2020'!G15-'12 - 2020'!G14</f>
        <v>32.080000000001746</v>
      </c>
      <c r="K9" s="22">
        <v>0.74</v>
      </c>
      <c r="L9" s="48">
        <v>90</v>
      </c>
      <c r="M9" s="13"/>
    </row>
    <row r="10" spans="1:13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</f>
        <v>3668</v>
      </c>
      <c r="F10" s="24">
        <f>'12 - 2020'!C16-'12 - 2020'!C15</f>
        <v>5568</v>
      </c>
      <c r="G10" s="22">
        <v>0.11799999999999999</v>
      </c>
      <c r="H10" s="24">
        <f>'12 - 2020'!E16-'12 - 2020'!E15</f>
        <v>1.7900000000008731</v>
      </c>
      <c r="I10" s="24">
        <f>'12 - 2020'!F16-'12 - 2020'!F15</f>
        <v>4.3899999999998727</v>
      </c>
      <c r="J10" s="24">
        <f>'12 - 2020'!G16-'12 - 2020'!G15</f>
        <v>32.229999999999563</v>
      </c>
      <c r="K10" s="22">
        <v>0.74</v>
      </c>
      <c r="L10" s="48">
        <v>96</v>
      </c>
      <c r="M10" s="13"/>
    </row>
    <row r="11" spans="1:13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</f>
        <v>3711</v>
      </c>
      <c r="F11" s="24">
        <f>'12 - 2020'!C17-'12 - 2020'!C16</f>
        <v>5994</v>
      </c>
      <c r="G11" s="22">
        <v>0.11799999999999999</v>
      </c>
      <c r="H11" s="24">
        <f>'12 - 2020'!E17-'12 - 2020'!E16</f>
        <v>8.5399999999990541</v>
      </c>
      <c r="I11" s="24">
        <f>'12 - 2020'!F17-'12 - 2020'!F16</f>
        <v>4.5899999999996908</v>
      </c>
      <c r="J11" s="24">
        <f>'12 - 2020'!G17-'12 - 2020'!G16</f>
        <v>36.450000000000728</v>
      </c>
      <c r="K11" s="22">
        <v>0.74</v>
      </c>
      <c r="L11" s="48">
        <v>96</v>
      </c>
      <c r="M11" s="13"/>
    </row>
    <row r="12" spans="1:13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</f>
        <v>3662</v>
      </c>
      <c r="F12" s="24">
        <f>'12 - 2020'!C18-'12 - 2020'!C17</f>
        <v>5920</v>
      </c>
      <c r="G12" s="22">
        <v>0.11799999999999999</v>
      </c>
      <c r="H12" s="24">
        <f>'12 - 2020'!E18-'12 - 2020'!E17</f>
        <v>3.2000000000007276</v>
      </c>
      <c r="I12" s="24">
        <f>'12 - 2020'!F18-'12 - 2020'!F17</f>
        <v>4.2600000000002183</v>
      </c>
      <c r="J12" s="24">
        <f>'12 - 2020'!G18-'12 - 2020'!G17</f>
        <v>35.319999999999709</v>
      </c>
      <c r="K12" s="22">
        <v>0.74</v>
      </c>
      <c r="L12" s="24">
        <v>88</v>
      </c>
      <c r="M12" s="13"/>
    </row>
    <row r="13" spans="1:13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</f>
        <v>3490</v>
      </c>
      <c r="F13" s="24">
        <f>'12 - 2020'!C19-'12 - 2020'!C18</f>
        <v>5344</v>
      </c>
      <c r="G13" s="22">
        <v>0.11799999999999999</v>
      </c>
      <c r="H13" s="24">
        <f>'12 - 2020'!E19-'12 - 2020'!E18</f>
        <v>4</v>
      </c>
      <c r="I13" s="24">
        <f>'12 - 2020'!F19-'12 - 2020'!F18</f>
        <v>4</v>
      </c>
      <c r="J13" s="24">
        <f>'12 - 2020'!G19-'12 - 2020'!G18</f>
        <v>32</v>
      </c>
      <c r="K13" s="22">
        <v>0.74</v>
      </c>
      <c r="L13" s="24">
        <v>85</v>
      </c>
      <c r="M13" s="13"/>
    </row>
    <row r="14" spans="1:13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</f>
        <v>3472</v>
      </c>
      <c r="F14" s="24">
        <f>'12 - 2020'!C20-'12 - 2020'!C19</f>
        <v>5837</v>
      </c>
      <c r="G14" s="22">
        <v>0.11799999999999999</v>
      </c>
      <c r="H14" s="24">
        <f>'12 - 2020'!E20-'12 - 2020'!E19</f>
        <v>3</v>
      </c>
      <c r="I14" s="24">
        <f>'12 - 2020'!F20-'12 - 2020'!F19</f>
        <v>4</v>
      </c>
      <c r="J14" s="24">
        <f>'12 - 2020'!G20-'12 - 2020'!G19</f>
        <v>32</v>
      </c>
      <c r="K14" s="22">
        <v>0.74</v>
      </c>
      <c r="L14" s="24">
        <v>76</v>
      </c>
      <c r="M14" s="13"/>
    </row>
    <row r="15" spans="1:13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v>0</v>
      </c>
      <c r="F15" s="24">
        <v>0</v>
      </c>
      <c r="G15" s="22">
        <v>0.11799999999999999</v>
      </c>
      <c r="H15" s="24">
        <v>0</v>
      </c>
      <c r="I15" s="24">
        <v>0</v>
      </c>
      <c r="J15" s="24"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</f>
        <v>0</v>
      </c>
      <c r="F16" s="24">
        <f>'12 - 2020'!C22-'12 - 2020'!C21</f>
        <v>0</v>
      </c>
      <c r="G16" s="22">
        <v>0.11799999999999999</v>
      </c>
      <c r="H16" s="24">
        <f>'12 - 2020'!E22-'12 - 2020'!E21</f>
        <v>0</v>
      </c>
      <c r="I16" s="24">
        <f>'12 - 2020'!F22-'12 - 2020'!F21</f>
        <v>0</v>
      </c>
      <c r="J16" s="24">
        <f>'12 - 2020'!G22-'12 - 2020'!G21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</f>
        <v>0</v>
      </c>
      <c r="F17" s="24">
        <f>'12 - 2020'!C23-'12 - 2020'!C22</f>
        <v>0</v>
      </c>
      <c r="G17" s="22">
        <v>0.11799999999999999</v>
      </c>
      <c r="H17" s="24">
        <f>'12 - 2020'!E23-'12 - 2020'!E22</f>
        <v>0</v>
      </c>
      <c r="I17" s="24">
        <f>'12 - 2020'!F23-'12 - 2020'!F22</f>
        <v>0</v>
      </c>
      <c r="J17" s="24">
        <f>'12 - 2020'!G23-'12 - 2020'!G22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</f>
        <v>0</v>
      </c>
      <c r="F18" s="24">
        <f>'12 - 2020'!C24-'12 - 2020'!C23</f>
        <v>0</v>
      </c>
      <c r="G18" s="22">
        <v>0.11799999999999999</v>
      </c>
      <c r="H18" s="24">
        <f>'12 - 2020'!E24-'12 - 2020'!E23</f>
        <v>0</v>
      </c>
      <c r="I18" s="24">
        <f>'12 - 2020'!F24-'12 - 2020'!F23</f>
        <v>0</v>
      </c>
      <c r="J18" s="24">
        <f>'12 - 2020'!G24-'12 - 2020'!G23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</f>
        <v>0</v>
      </c>
      <c r="F19" s="24">
        <f>'12 - 2020'!C25-'12 - 2020'!C24</f>
        <v>0</v>
      </c>
      <c r="G19" s="22">
        <v>0.11799999999999999</v>
      </c>
      <c r="H19" s="24">
        <f>'12 - 2020'!E25-'12 - 2020'!E24</f>
        <v>0</v>
      </c>
      <c r="I19" s="24">
        <f>'12 - 2020'!F25-'12 - 2020'!F24</f>
        <v>0</v>
      </c>
      <c r="J19" s="24">
        <f>'12 - 2020'!G25-'12 - 2020'!G24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</f>
        <v>0</v>
      </c>
      <c r="F20" s="24">
        <f>'12 - 2020'!C26-'12 - 2020'!C25</f>
        <v>0</v>
      </c>
      <c r="G20" s="22">
        <v>0.11799999999999999</v>
      </c>
      <c r="H20" s="24">
        <f>'12 - 2020'!E26-'12 - 2020'!E25</f>
        <v>0</v>
      </c>
      <c r="I20" s="24">
        <f>'12 - 2020'!F26-'12 - 2020'!F25</f>
        <v>0</v>
      </c>
      <c r="J20" s="24">
        <f>'12 - 2020'!G26-'12 - 2020'!G25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</f>
        <v>0</v>
      </c>
      <c r="F21" s="24">
        <f>'12 - 2020'!C27-'12 - 2020'!C26</f>
        <v>0</v>
      </c>
      <c r="G21" s="22">
        <v>0.11799999999999999</v>
      </c>
      <c r="H21" s="24">
        <f>'12 - 2020'!E27-'12 - 2020'!E26</f>
        <v>0</v>
      </c>
      <c r="I21" s="24">
        <f>'12 - 2020'!F27-'12 - 2020'!F26</f>
        <v>0</v>
      </c>
      <c r="J21" s="24">
        <f>'12 - 2020'!G27-'12 - 2020'!G26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</f>
        <v>0</v>
      </c>
      <c r="F22" s="24">
        <f>'12 - 2020'!C28-'12 - 2020'!C27</f>
        <v>0</v>
      </c>
      <c r="G22" s="22">
        <v>0.11799999999999999</v>
      </c>
      <c r="H22" s="24">
        <f>'12 - 2020'!E28-'12 - 2020'!E27</f>
        <v>0</v>
      </c>
      <c r="I22" s="24">
        <f>'12 - 2020'!F28-'12 - 2020'!F27</f>
        <v>0</v>
      </c>
      <c r="J22" s="24">
        <f>'12 - 2020'!G28-'12 - 2020'!G27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</f>
        <v>0</v>
      </c>
      <c r="F23" s="24">
        <f>'12 - 2020'!C29-'12 - 2020'!C28</f>
        <v>0</v>
      </c>
      <c r="G23" s="22">
        <v>0.11799999999999999</v>
      </c>
      <c r="H23" s="24">
        <f>'12 - 2020'!E29-'12 - 2020'!E28</f>
        <v>0</v>
      </c>
      <c r="I23" s="24">
        <f>'12 - 2020'!F29-'12 - 2020'!F28</f>
        <v>0</v>
      </c>
      <c r="J23" s="24">
        <f>'12 - 2020'!G29-'12 - 2020'!G28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</f>
        <v>0</v>
      </c>
      <c r="F24" s="24">
        <f>'12 - 2020'!C30-'12 - 2020'!C29</f>
        <v>0</v>
      </c>
      <c r="G24" s="22">
        <v>0.11799999999999999</v>
      </c>
      <c r="H24" s="24">
        <f>'12 - 2020'!E30-'12 - 2020'!E29</f>
        <v>0</v>
      </c>
      <c r="I24" s="24">
        <f>'12 - 2020'!F30-'12 - 2020'!F29</f>
        <v>0</v>
      </c>
      <c r="J24" s="24">
        <f>'12 - 2020'!G30-'12 - 2020'!G29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</f>
        <v>0</v>
      </c>
      <c r="F25" s="24">
        <f>'12 - 2020'!C31-'12 - 2020'!C30</f>
        <v>0</v>
      </c>
      <c r="G25" s="22">
        <v>0.11799999999999999</v>
      </c>
      <c r="H25" s="24">
        <f>'12 - 2020'!E31-'12 - 2020'!E30</f>
        <v>0</v>
      </c>
      <c r="I25" s="24">
        <f>'12 - 2020'!F31-'12 - 2020'!F30</f>
        <v>0</v>
      </c>
      <c r="J25" s="24">
        <f>'12 - 2020'!G31-'12 - 2020'!G30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</f>
        <v>0</v>
      </c>
      <c r="F26" s="24">
        <f>'12 - 2020'!C32-'12 - 2020'!C31</f>
        <v>0</v>
      </c>
      <c r="G26" s="22">
        <v>0.11799999999999999</v>
      </c>
      <c r="H26" s="24">
        <f>'12 - 2020'!E32-'12 - 2020'!E31</f>
        <v>0</v>
      </c>
      <c r="I26" s="24">
        <f>'12 - 2020'!F32-'12 - 2020'!F31</f>
        <v>0</v>
      </c>
      <c r="J26" s="24">
        <f>'12 - 2020'!G32-'12 - 2020'!G31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</f>
        <v>0</v>
      </c>
      <c r="F27" s="24">
        <f>'12 - 2020'!C33-'12 - 2020'!C32</f>
        <v>0</v>
      </c>
      <c r="G27" s="22">
        <v>0.11799999999999999</v>
      </c>
      <c r="H27" s="24">
        <f>'12 - 2020'!E33-'12 - 2020'!E32</f>
        <v>0</v>
      </c>
      <c r="I27" s="24">
        <f>'12 - 2020'!F33-'12 - 2020'!F32</f>
        <v>0</v>
      </c>
      <c r="J27" s="24">
        <f>'12 - 2020'!G33-'12 - 2020'!G32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</f>
        <v>0</v>
      </c>
      <c r="F28" s="24">
        <f>'12 - 2020'!C34-'12 - 2020'!C33</f>
        <v>0</v>
      </c>
      <c r="G28" s="22">
        <v>0.11799999999999999</v>
      </c>
      <c r="H28" s="24">
        <f>'12 - 2020'!E34-'12 - 2020'!E33</f>
        <v>0</v>
      </c>
      <c r="I28" s="24">
        <f>'12 - 2020'!F34-'12 - 2020'!F33</f>
        <v>0</v>
      </c>
      <c r="J28" s="24">
        <f>'12 - 2020'!G34-'12 - 2020'!G33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</f>
        <v>0</v>
      </c>
      <c r="F29" s="24">
        <f>'12 - 2020'!C35-'12 - 2020'!C34</f>
        <v>0</v>
      </c>
      <c r="G29" s="22">
        <v>0.11799999999999999</v>
      </c>
      <c r="H29" s="24">
        <f>'12 - 2020'!E35-'12 - 2020'!E34</f>
        <v>0</v>
      </c>
      <c r="I29" s="24">
        <f>'12 - 2020'!F35-'12 - 2020'!F34</f>
        <v>0</v>
      </c>
      <c r="J29" s="24">
        <f>'12 - 2020'!G35-'12 - 2020'!G34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</f>
        <v>0</v>
      </c>
      <c r="F30" s="24">
        <f>'12 - 2020'!C36-'12 - 2020'!C35</f>
        <v>0</v>
      </c>
      <c r="G30" s="22">
        <v>0.11799999999999999</v>
      </c>
      <c r="H30" s="24">
        <f>'12 - 2020'!E36-'12 - 2020'!E35</f>
        <v>0</v>
      </c>
      <c r="I30" s="24">
        <f>'12 - 2020'!F36-'12 - 2020'!F35</f>
        <v>0</v>
      </c>
      <c r="J30" s="24">
        <f>'12 - 2020'!G36-'12 - 2020'!G35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12</v>
      </c>
      <c r="D31" s="22">
        <v>2020</v>
      </c>
      <c r="E31" s="24">
        <f>'12 - 2020'!B37-'12 - 2020'!B36</f>
        <v>0</v>
      </c>
      <c r="F31" s="24">
        <f>'12 - 2020'!C37-'12 - 2020'!C36</f>
        <v>0</v>
      </c>
      <c r="G31" s="22">
        <v>0.11799999999999999</v>
      </c>
      <c r="H31" s="24">
        <f>'12 - 2020'!E37-'12 - 2020'!E36</f>
        <v>0</v>
      </c>
      <c r="I31" s="24">
        <f>'12 - 2020'!F37-'12 - 2020'!F36</f>
        <v>0</v>
      </c>
      <c r="J31" s="24">
        <f>'12 - 2020'!G37-'12 - 2020'!G36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12</v>
      </c>
      <c r="D32" s="22">
        <v>2020</v>
      </c>
      <c r="E32" s="24">
        <f>'12 - 2020'!B38-'12 - 2020'!B37</f>
        <v>0</v>
      </c>
      <c r="F32" s="24">
        <f>'12 - 2020'!C38-'12 - 2020'!C37</f>
        <v>0</v>
      </c>
      <c r="G32" s="22">
        <v>0.11799999999999999</v>
      </c>
      <c r="H32" s="24">
        <f>'12 - 2020'!E38-'12 - 2020'!E37</f>
        <v>0</v>
      </c>
      <c r="I32" s="24">
        <f>'12 - 2020'!F38-'12 - 2020'!F37</f>
        <v>0</v>
      </c>
      <c r="J32" s="24">
        <f>'12 - 2020'!G38-'12 - 2020'!G37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E26" sqref="E2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A1" s="22"/>
      <c r="B1" s="22"/>
      <c r="C1" s="22"/>
      <c r="D1" s="22"/>
      <c r="E1" s="22"/>
      <c r="F1" s="22"/>
      <c r="G1" s="22"/>
      <c r="H1" s="23"/>
      <c r="I1" s="23"/>
      <c r="J1" s="22"/>
      <c r="K1" s="22"/>
      <c r="L1" s="22"/>
    </row>
    <row r="2" spans="1:15" s="22" customFormat="1" x14ac:dyDescent="0.25"/>
    <row r="3" spans="1:15" ht="18.75" x14ac:dyDescent="0.3">
      <c r="A3" s="73" t="s">
        <v>30</v>
      </c>
      <c r="B3" s="73"/>
      <c r="C3" s="73"/>
      <c r="D3" s="73"/>
      <c r="E3" s="73"/>
      <c r="F3" s="73"/>
      <c r="G3" s="73"/>
      <c r="H3" s="73"/>
      <c r="I3" s="73"/>
      <c r="J3" s="73"/>
      <c r="K3" s="22"/>
      <c r="L3" s="22"/>
      <c r="M3" s="22"/>
    </row>
    <row r="4" spans="1:15" ht="16.5" thickBot="1" x14ac:dyDescent="0.3">
      <c r="A4" s="66" t="s">
        <v>37</v>
      </c>
      <c r="B4" s="66"/>
      <c r="C4" s="66"/>
      <c r="D4" s="66"/>
      <c r="E4" s="66"/>
      <c r="F4" s="66"/>
      <c r="G4" s="66"/>
      <c r="H4" s="66"/>
      <c r="I4" s="66"/>
      <c r="J4" s="66"/>
      <c r="K4" s="22"/>
      <c r="L4" s="22"/>
      <c r="M4" s="22"/>
    </row>
    <row r="5" spans="1:15" ht="16.5" thickBot="1" x14ac:dyDescent="0.3">
      <c r="A5" s="2"/>
      <c r="B5" s="67" t="s">
        <v>36</v>
      </c>
      <c r="C5" s="68"/>
      <c r="D5" s="67" t="s">
        <v>0</v>
      </c>
      <c r="E5" s="69"/>
      <c r="F5" s="69"/>
      <c r="G5" s="70"/>
      <c r="H5" s="71" t="s">
        <v>1</v>
      </c>
      <c r="I5" s="72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44165</v>
      </c>
      <c r="B7" s="15">
        <v>108149</v>
      </c>
      <c r="C7" s="15">
        <v>1792102</v>
      </c>
      <c r="D7" s="16">
        <v>0.6</v>
      </c>
      <c r="E7" s="17">
        <v>13306.75</v>
      </c>
      <c r="F7" s="17">
        <v>2717.42</v>
      </c>
      <c r="G7" s="17">
        <v>23480.41</v>
      </c>
      <c r="H7" s="15">
        <v>14528</v>
      </c>
      <c r="I7" s="15">
        <v>103213</v>
      </c>
      <c r="J7" s="15">
        <v>43424748</v>
      </c>
      <c r="K7" s="52"/>
      <c r="L7" s="53"/>
      <c r="M7" s="46"/>
    </row>
    <row r="8" spans="1:15" ht="12.75" customHeight="1" x14ac:dyDescent="0.25">
      <c r="A8" s="45">
        <f>A7+1</f>
        <v>44166</v>
      </c>
      <c r="B8" s="34">
        <v>111920</v>
      </c>
      <c r="C8" s="35">
        <v>1798200</v>
      </c>
      <c r="D8" s="36">
        <v>0.54</v>
      </c>
      <c r="E8" s="37">
        <v>13312.96</v>
      </c>
      <c r="F8" s="37">
        <v>2722</v>
      </c>
      <c r="G8" s="37">
        <v>23513.11</v>
      </c>
      <c r="H8" s="19">
        <v>14528</v>
      </c>
      <c r="I8" s="38">
        <v>103285</v>
      </c>
      <c r="J8" s="38">
        <v>43440404</v>
      </c>
      <c r="K8" s="39"/>
      <c r="L8" s="40"/>
      <c r="M8" s="46"/>
    </row>
    <row r="9" spans="1:15" ht="12.75" customHeight="1" x14ac:dyDescent="0.25">
      <c r="A9" s="45">
        <f t="shared" ref="A9:A38" si="0">A8+1</f>
        <v>44167</v>
      </c>
      <c r="B9" s="25">
        <v>115322</v>
      </c>
      <c r="C9" s="19">
        <v>1803640</v>
      </c>
      <c r="D9" s="36">
        <v>0.5</v>
      </c>
      <c r="E9" s="21">
        <v>13315.15</v>
      </c>
      <c r="F9" s="21">
        <v>2726.27</v>
      </c>
      <c r="G9" s="21">
        <v>23538.55</v>
      </c>
      <c r="H9" s="14">
        <v>14528</v>
      </c>
      <c r="I9" s="15">
        <v>103346</v>
      </c>
      <c r="J9" s="15">
        <v>43455090</v>
      </c>
      <c r="K9" s="18"/>
      <c r="L9" s="30"/>
      <c r="M9" s="46"/>
    </row>
    <row r="10" spans="1:15" ht="12.75" customHeight="1" x14ac:dyDescent="0.25">
      <c r="A10" s="45">
        <f t="shared" si="0"/>
        <v>44168</v>
      </c>
      <c r="B10" s="15">
        <v>118661</v>
      </c>
      <c r="C10" s="15">
        <v>1809258</v>
      </c>
      <c r="D10" s="16">
        <v>0.45</v>
      </c>
      <c r="E10" s="21">
        <v>13316.86</v>
      </c>
      <c r="F10" s="21">
        <v>2730</v>
      </c>
      <c r="G10" s="21">
        <v>23568</v>
      </c>
      <c r="H10" s="19">
        <v>14528</v>
      </c>
      <c r="I10" s="15">
        <v>103419</v>
      </c>
      <c r="J10" s="61">
        <v>43469984</v>
      </c>
      <c r="K10" s="18"/>
      <c r="L10" s="30"/>
      <c r="M10" s="46"/>
    </row>
    <row r="11" spans="1:15" ht="12.75" customHeight="1" x14ac:dyDescent="0.25">
      <c r="A11" s="45">
        <f t="shared" si="0"/>
        <v>44169</v>
      </c>
      <c r="B11" s="15">
        <v>122153</v>
      </c>
      <c r="C11" s="15">
        <v>1815149</v>
      </c>
      <c r="D11" s="16">
        <v>0.8</v>
      </c>
      <c r="E11" s="21">
        <v>13321</v>
      </c>
      <c r="F11" s="21">
        <v>2734</v>
      </c>
      <c r="G11" s="21">
        <v>23599</v>
      </c>
      <c r="H11" s="19">
        <v>14528</v>
      </c>
      <c r="I11" s="15">
        <v>103501</v>
      </c>
      <c r="J11" s="15">
        <v>43487436</v>
      </c>
      <c r="K11" s="18"/>
      <c r="L11" s="30"/>
      <c r="M11" s="46"/>
    </row>
    <row r="12" spans="1:15" ht="12.75" customHeight="1" x14ac:dyDescent="0.25">
      <c r="A12" s="45">
        <f t="shared" si="0"/>
        <v>44170</v>
      </c>
      <c r="B12" s="63">
        <v>125574</v>
      </c>
      <c r="C12" s="63">
        <v>1821168</v>
      </c>
      <c r="D12" s="16">
        <v>0.75</v>
      </c>
      <c r="E12" s="63">
        <v>13325</v>
      </c>
      <c r="F12" s="63">
        <v>2739</v>
      </c>
      <c r="G12" s="63">
        <v>23633</v>
      </c>
      <c r="H12" s="63">
        <v>14528</v>
      </c>
      <c r="I12" s="63">
        <v>103580</v>
      </c>
      <c r="J12" s="63">
        <v>43507695</v>
      </c>
      <c r="K12" s="18"/>
      <c r="L12" s="30"/>
      <c r="M12" s="46"/>
    </row>
    <row r="13" spans="1:15" ht="12.75" customHeight="1" x14ac:dyDescent="0.25">
      <c r="A13" s="45">
        <f t="shared" si="0"/>
        <v>44171</v>
      </c>
      <c r="B13" s="64">
        <v>129070</v>
      </c>
      <c r="C13" s="17">
        <v>1827177</v>
      </c>
      <c r="D13" s="16">
        <v>0.7</v>
      </c>
      <c r="E13" s="21">
        <v>13328</v>
      </c>
      <c r="F13" s="21">
        <v>2743</v>
      </c>
      <c r="G13" s="21">
        <v>23665</v>
      </c>
      <c r="H13" s="15">
        <v>14528</v>
      </c>
      <c r="I13" s="17">
        <v>103683</v>
      </c>
      <c r="J13" s="17">
        <v>43528090</v>
      </c>
      <c r="K13" s="18"/>
      <c r="L13" s="30"/>
      <c r="M13" s="46"/>
    </row>
    <row r="14" spans="1:15" ht="12.75" customHeight="1" x14ac:dyDescent="0.25">
      <c r="A14" s="45">
        <f t="shared" si="0"/>
        <v>44172</v>
      </c>
      <c r="B14" s="15">
        <v>132683</v>
      </c>
      <c r="C14" s="15">
        <v>1833213</v>
      </c>
      <c r="D14" s="16">
        <v>0.64</v>
      </c>
      <c r="E14" s="21">
        <v>13329.3</v>
      </c>
      <c r="F14" s="21">
        <v>2748.21</v>
      </c>
      <c r="G14" s="17">
        <v>23696.92</v>
      </c>
      <c r="H14" s="15">
        <v>14528</v>
      </c>
      <c r="I14" s="15">
        <v>103760</v>
      </c>
      <c r="J14" s="15">
        <v>43548032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44173</v>
      </c>
      <c r="B15" s="15">
        <v>136457</v>
      </c>
      <c r="C15" s="15">
        <v>1838982</v>
      </c>
      <c r="D15" s="16">
        <v>0.57999999999999996</v>
      </c>
      <c r="E15" s="21">
        <v>13332.47</v>
      </c>
      <c r="F15" s="21">
        <v>2752.76</v>
      </c>
      <c r="G15" s="17">
        <v>23729</v>
      </c>
      <c r="H15" s="15">
        <v>14528</v>
      </c>
      <c r="I15" s="15">
        <v>103848</v>
      </c>
      <c r="J15" s="15">
        <v>43564004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44174</v>
      </c>
      <c r="B16" s="46">
        <v>140125</v>
      </c>
      <c r="C16" s="15">
        <v>1844550</v>
      </c>
      <c r="D16" s="16">
        <v>0.52</v>
      </c>
      <c r="E16" s="21">
        <v>13334.26</v>
      </c>
      <c r="F16" s="21">
        <v>2757.15</v>
      </c>
      <c r="G16" s="17">
        <v>23761.23</v>
      </c>
      <c r="H16" s="15">
        <v>14528</v>
      </c>
      <c r="I16" s="15">
        <v>103965</v>
      </c>
      <c r="J16" s="15">
        <v>43577084</v>
      </c>
      <c r="K16" s="18"/>
      <c r="L16" s="30"/>
      <c r="M16" s="46"/>
    </row>
    <row r="17" spans="1:16" ht="12.75" customHeight="1" x14ac:dyDescent="0.25">
      <c r="A17" s="45">
        <f t="shared" si="0"/>
        <v>44175</v>
      </c>
      <c r="B17" s="17">
        <v>143836</v>
      </c>
      <c r="C17" s="17">
        <v>1850544</v>
      </c>
      <c r="D17" s="26">
        <v>0.46</v>
      </c>
      <c r="E17" s="21">
        <v>13342.8</v>
      </c>
      <c r="F17" s="21">
        <v>2761.74</v>
      </c>
      <c r="G17" s="17">
        <v>23797.68</v>
      </c>
      <c r="H17" s="15">
        <v>14528</v>
      </c>
      <c r="I17" s="17">
        <v>104025</v>
      </c>
      <c r="J17" s="17">
        <v>43591011</v>
      </c>
      <c r="K17" s="18"/>
      <c r="L17" s="30"/>
      <c r="M17" s="46"/>
    </row>
    <row r="18" spans="1:16" ht="12.75" customHeight="1" x14ac:dyDescent="0.25">
      <c r="A18" s="45">
        <f t="shared" si="0"/>
        <v>44176</v>
      </c>
      <c r="B18" s="15">
        <v>147498</v>
      </c>
      <c r="C18" s="15">
        <v>1856464</v>
      </c>
      <c r="D18" s="16">
        <v>0.38</v>
      </c>
      <c r="E18" s="21">
        <v>13346</v>
      </c>
      <c r="F18" s="21">
        <v>2766</v>
      </c>
      <c r="G18" s="17">
        <v>23833</v>
      </c>
      <c r="H18" s="15">
        <v>14528</v>
      </c>
      <c r="I18" s="15">
        <v>104105</v>
      </c>
      <c r="J18" s="15">
        <v>43604544</v>
      </c>
      <c r="K18" s="18"/>
      <c r="L18" s="30"/>
      <c r="M18" s="46"/>
      <c r="P18" s="24"/>
    </row>
    <row r="19" spans="1:16" ht="12.75" customHeight="1" x14ac:dyDescent="0.25">
      <c r="A19" s="45">
        <f t="shared" si="0"/>
        <v>44177</v>
      </c>
      <c r="B19" s="57">
        <v>150988</v>
      </c>
      <c r="C19" s="57">
        <v>1861808</v>
      </c>
      <c r="D19" s="16">
        <v>0.3</v>
      </c>
      <c r="E19" s="58">
        <v>13350</v>
      </c>
      <c r="F19" s="21">
        <v>2770</v>
      </c>
      <c r="G19" s="58">
        <v>23865</v>
      </c>
      <c r="H19" s="15">
        <v>14528</v>
      </c>
      <c r="I19" s="57">
        <v>104230</v>
      </c>
      <c r="J19" s="57">
        <v>43616727</v>
      </c>
      <c r="K19" s="18"/>
      <c r="L19" s="30"/>
      <c r="M19" s="46"/>
      <c r="P19" s="24"/>
    </row>
    <row r="20" spans="1:16" ht="12.75" customHeight="1" x14ac:dyDescent="0.25">
      <c r="A20" s="45">
        <f t="shared" si="0"/>
        <v>44178</v>
      </c>
      <c r="B20" s="57">
        <v>154460</v>
      </c>
      <c r="C20" s="57">
        <v>1867645</v>
      </c>
      <c r="D20" s="16">
        <v>0.8</v>
      </c>
      <c r="E20" s="58">
        <v>13353</v>
      </c>
      <c r="F20" s="21">
        <v>2774</v>
      </c>
      <c r="G20" s="58">
        <v>23897</v>
      </c>
      <c r="H20" s="15">
        <v>14528</v>
      </c>
      <c r="I20" s="57">
        <v>104320</v>
      </c>
      <c r="J20" s="57">
        <v>43628679</v>
      </c>
      <c r="K20" s="18"/>
      <c r="L20" s="30"/>
      <c r="M20" s="46"/>
    </row>
    <row r="21" spans="1:16" ht="12.75" customHeight="1" x14ac:dyDescent="0.25">
      <c r="A21" s="45">
        <f t="shared" si="0"/>
        <v>44179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f t="shared" si="0"/>
        <v>44180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f t="shared" si="0"/>
        <v>44181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f t="shared" si="0"/>
        <v>44182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f t="shared" si="0"/>
        <v>44183</v>
      </c>
      <c r="B25" s="58"/>
      <c r="C25" s="58"/>
      <c r="D25" s="26"/>
      <c r="E25" s="58"/>
      <c r="F25" s="21"/>
      <c r="G25" s="58"/>
      <c r="H25" s="15"/>
      <c r="I25" s="57"/>
      <c r="J25" s="57"/>
      <c r="K25" s="63"/>
      <c r="L25" s="31"/>
      <c r="M25" s="46"/>
    </row>
    <row r="26" spans="1:16" ht="12.75" customHeight="1" x14ac:dyDescent="0.25">
      <c r="A26" s="45">
        <f t="shared" si="0"/>
        <v>44184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f t="shared" si="0"/>
        <v>44185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f t="shared" si="0"/>
        <v>44186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f t="shared" si="0"/>
        <v>44187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f t="shared" si="0"/>
        <v>44188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f t="shared" si="0"/>
        <v>44189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f t="shared" si="0"/>
        <v>44190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44191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44192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44193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44194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44195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f t="shared" si="0"/>
        <v>44196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5"/>
      <c r="M38" s="46"/>
    </row>
    <row r="39" spans="1:16" x14ac:dyDescent="0.25">
      <c r="A39" s="47" t="s">
        <v>35</v>
      </c>
      <c r="B39" s="33">
        <f>B38-B7</f>
        <v>-108149</v>
      </c>
      <c r="C39" s="33">
        <f t="shared" ref="C39:J39" si="1">C38-C7</f>
        <v>-1792102</v>
      </c>
      <c r="D39" s="33">
        <f t="shared" si="1"/>
        <v>-0.6</v>
      </c>
      <c r="E39" s="33">
        <f t="shared" si="1"/>
        <v>-13306.75</v>
      </c>
      <c r="F39" s="33">
        <f t="shared" si="1"/>
        <v>-2717.42</v>
      </c>
      <c r="G39" s="33">
        <f t="shared" si="1"/>
        <v>-23480.41</v>
      </c>
      <c r="H39" s="33">
        <f t="shared" si="1"/>
        <v>-14528</v>
      </c>
      <c r="I39" s="33">
        <f t="shared" si="1"/>
        <v>-103213</v>
      </c>
      <c r="J39" s="33">
        <f t="shared" si="1"/>
        <v>-43424748</v>
      </c>
      <c r="K39" s="33">
        <f t="shared" ref="K39" si="2">K37-K7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-22703660.397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12 - 2020</vt:lpstr>
      <vt:lpstr>'12 - 2020'!Print_Area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2020-12-13T04:07:48Z</dcterms:modified>
</cp:coreProperties>
</file>