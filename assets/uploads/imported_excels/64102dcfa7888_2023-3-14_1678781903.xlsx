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1\"/>
    </mc:Choice>
  </mc:AlternateContent>
  <xr:revisionPtr revIDLastSave="0" documentId="13_ncr:1_{DD153FE8-B368-4E22-B0E0-60D39F62579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L3" i="4"/>
  <c r="K4" i="4"/>
  <c r="L4" i="4"/>
  <c r="K5" i="4"/>
  <c r="L5" i="4"/>
  <c r="K6" i="4"/>
  <c r="L6" i="4"/>
  <c r="N6" i="4" s="1"/>
  <c r="K7" i="4"/>
  <c r="L7" i="4"/>
  <c r="K8" i="4"/>
  <c r="L8" i="4"/>
  <c r="N8" i="4" s="1"/>
  <c r="K9" i="4"/>
  <c r="L9" i="4"/>
  <c r="K10" i="4"/>
  <c r="L10" i="4"/>
  <c r="K11" i="4"/>
  <c r="L11" i="4"/>
  <c r="N11" i="4" s="1"/>
  <c r="K12" i="4"/>
  <c r="L12" i="4"/>
  <c r="N12" i="4" s="1"/>
  <c r="K13" i="4"/>
  <c r="L13" i="4"/>
  <c r="K14" i="4"/>
  <c r="L14" i="4"/>
  <c r="N14" i="4" s="1"/>
  <c r="K15" i="4"/>
  <c r="L15" i="4"/>
  <c r="K16" i="4"/>
  <c r="L16" i="4"/>
  <c r="K17" i="4"/>
  <c r="L17" i="4"/>
  <c r="N17" i="4" s="1"/>
  <c r="K18" i="4"/>
  <c r="L18" i="4"/>
  <c r="N18" i="4" s="1"/>
  <c r="K19" i="4"/>
  <c r="L19" i="4"/>
  <c r="K20" i="4"/>
  <c r="L20" i="4"/>
  <c r="N20" i="4" s="1"/>
  <c r="K21" i="4"/>
  <c r="L21" i="4"/>
  <c r="K22" i="4"/>
  <c r="L22" i="4"/>
  <c r="N22" i="4" s="1"/>
  <c r="K23" i="4"/>
  <c r="L23" i="4"/>
  <c r="N23" i="4" s="1"/>
  <c r="K24" i="4"/>
  <c r="L24" i="4"/>
  <c r="N24" i="4" s="1"/>
  <c r="K25" i="4"/>
  <c r="L25" i="4"/>
  <c r="K26" i="4"/>
  <c r="L26" i="4"/>
  <c r="N26" i="4" s="1"/>
  <c r="K27" i="4"/>
  <c r="L27" i="4"/>
  <c r="K28" i="4"/>
  <c r="L28" i="4"/>
  <c r="K29" i="4"/>
  <c r="L29" i="4"/>
  <c r="N29" i="4" s="1"/>
  <c r="K30" i="4"/>
  <c r="L30" i="4"/>
  <c r="N30" i="4" s="1"/>
  <c r="K31" i="4"/>
  <c r="L31" i="4"/>
  <c r="K2" i="4"/>
  <c r="L2" i="4"/>
  <c r="N2" i="4"/>
  <c r="N3" i="4"/>
  <c r="N4" i="4"/>
  <c r="N5" i="4"/>
  <c r="N7" i="4"/>
  <c r="N9" i="4"/>
  <c r="N10" i="4"/>
  <c r="N13" i="4"/>
  <c r="N15" i="4"/>
  <c r="N16" i="4"/>
  <c r="N19" i="4"/>
  <c r="N21" i="4"/>
  <c r="N25" i="4"/>
  <c r="N27" i="4"/>
  <c r="N28" i="4"/>
  <c r="N31" i="4"/>
  <c r="E35" i="2" l="1"/>
  <c r="F35" i="2"/>
  <c r="E36" i="1"/>
  <c r="F36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9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I6" i="1"/>
  <c r="H6" i="1"/>
  <c r="G34" i="1"/>
  <c r="E30" i="4" s="1"/>
  <c r="H34" i="1"/>
  <c r="I34" i="1"/>
  <c r="J34" i="1" l="1"/>
  <c r="K34" i="1" s="1"/>
  <c r="L34" i="1"/>
  <c r="J30" i="4" s="1"/>
  <c r="C36" i="1" l="1"/>
  <c r="G6" i="1"/>
  <c r="E2" i="4" l="1"/>
  <c r="G45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6" i="1" l="1"/>
  <c r="I36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s="1"/>
  <c r="J2" i="4" l="1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<sst xmlns="http://schemas.openxmlformats.org/spreadsheetml/2006/main" count="115" uniqueCount="45">
  <si>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</si>
  <si>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</si>
  <si>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</si>
  <si>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</si>
  <si>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</si>
  <si>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</si>
  <si>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</si>
  <si>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</si>
  <si>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</si>
  <si>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</si>
  <si>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</si>
  <si>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</si>
  <si>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</si>
  <si>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</si>
  <si>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</si>
  <si>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</si>
  <si>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</si>
  <si>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</si>
  <si>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</si>
  <si>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</si>
  <si>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</si>
  <si>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</si>
  <si>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</si>
  <si>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</si>
  <si>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</si>
  <si>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</si>
  <si>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</si>
  <si>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</si>
  <si>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</si>
  <si>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</si>
  <si>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</si>
  <si>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</si>
  <si>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</si>
  <si>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</si>
  <si>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</si>
  <si>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</si>
  <si>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</si>
  <si>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2021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</si>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</sst>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C1" workbookViewId="0">
      <selection activeCell="N12" sqref="N12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0" t="s">
        <v>43</v>
      </c>
    </row>
    <row r="2" spans="1:15" x14ac:dyDescent="0.25">
      <c r="A2" s="48" t="s">
        <v>44</v>
      </c>
      <c r="B2" s="45">
        <v>1</v>
      </c>
      <c r="C2" s="45">
        <v>9</v>
      </c>
      <c r="D2" s="45">
        <v>2021</v>
      </c>
      <c r="E2" s="43">
        <f>Electricity!G6</f>
        <v>25960</v>
      </c>
      <c r="F2" s="43">
        <f>Electricity!E6</f>
        <v>4880</v>
      </c>
      <c r="G2" s="43">
        <f>Electricity!F6</f>
        <v>21080</v>
      </c>
      <c r="H2" s="47">
        <v>1553.67</v>
      </c>
      <c r="I2" s="57" t="s">
        <v>28</v>
      </c>
      <c r="J2" s="106">
        <f>Electricity!L6</f>
        <v>30122139.648000002</v>
      </c>
      <c r="K2" s="43">
        <f>J2/E2</f>
        <v>1160.328954083205</v>
      </c>
      <c r="L2" s="58">
        <f>Water!G5</f>
        <v>395</v>
      </c>
      <c r="M2" s="58">
        <v>12550</v>
      </c>
      <c r="N2" s="106">
        <f>M2*L2</f>
        <v>4957250</v>
      </c>
      <c r="O2" s="43">
        <v>161</v>
      </c>
    </row>
    <row r="3" spans="1:15" x14ac:dyDescent="0.25">
      <c r="A3" s="48" t="s">
        <v>44</v>
      </c>
      <c r="B3" s="45">
        <v>2</v>
      </c>
      <c r="C3" s="45">
        <v>9</v>
      </c>
      <c r="D3" s="45">
        <v>2021</v>
      </c>
      <c r="E3" s="43">
        <f>Electricity!G7</f>
        <v>25920</v>
      </c>
      <c r="F3" s="43">
        <f>Electricity!E7</f>
        <v>4760</v>
      </c>
      <c r="G3" s="43">
        <f>Electricity!F7</f>
        <v>21160</v>
      </c>
      <c r="H3" s="47">
        <v>1553.67</v>
      </c>
      <c r="I3" s="57" t="s">
        <v>28</v>
      </c>
      <c r="J3" s="106">
        <f>Electricity!L7</f>
        <v>30016075.776000001</v>
      </c>
      <c r="K3" s="43">
        <f t="shared" ref="K3:K31" si="0">J3/E3</f>
        <v>1158.0276148148148</v>
      </c>
      <c r="L3" s="58">
        <f>Water!G6</f>
        <v>359</v>
      </c>
      <c r="M3" s="58">
        <v>12550</v>
      </c>
      <c r="N3" s="106">
        <f t="shared" ref="N3:N31" si="1">M3*L3</f>
        <v>4505450</v>
      </c>
      <c r="O3" s="43">
        <v>161</v>
      </c>
    </row>
    <row r="4" spans="1:15" x14ac:dyDescent="0.25">
      <c r="A4" s="48" t="s">
        <v>44</v>
      </c>
      <c r="B4" s="45">
        <v>3</v>
      </c>
      <c r="C4" s="45">
        <v>9</v>
      </c>
      <c r="D4" s="45">
        <v>2021</v>
      </c>
      <c r="E4" s="43">
        <f>Electricity!G8</f>
        <v>25680</v>
      </c>
      <c r="F4" s="43">
        <f>Electricity!E8</f>
        <v>4720</v>
      </c>
      <c r="G4" s="43">
        <f>Electricity!F8</f>
        <v>20960</v>
      </c>
      <c r="H4" s="47">
        <v>1553.67</v>
      </c>
      <c r="I4" s="57" t="s">
        <v>28</v>
      </c>
      <c r="J4" s="106">
        <f>Electricity!L8</f>
        <v>29740309.708799999</v>
      </c>
      <c r="K4" s="43">
        <f t="shared" si="0"/>
        <v>1158.1117487850468</v>
      </c>
      <c r="L4" s="58">
        <f>Water!G7</f>
        <v>386</v>
      </c>
      <c r="M4" s="58">
        <v>12550</v>
      </c>
      <c r="N4" s="106">
        <f t="shared" si="1"/>
        <v>4844300</v>
      </c>
      <c r="O4" s="43">
        <v>161</v>
      </c>
    </row>
    <row r="5" spans="1:15" x14ac:dyDescent="0.25">
      <c r="A5" s="48" t="s">
        <v>44</v>
      </c>
      <c r="B5" s="45">
        <v>4</v>
      </c>
      <c r="C5" s="45">
        <v>9</v>
      </c>
      <c r="D5" s="45">
        <v>2021</v>
      </c>
      <c r="E5" s="43">
        <f>Electricity!G9</f>
        <v>25120</v>
      </c>
      <c r="F5" s="43">
        <f>Electricity!E9</f>
        <v>4480</v>
      </c>
      <c r="G5" s="43">
        <f>Electricity!F9</f>
        <v>20640</v>
      </c>
      <c r="H5" s="47">
        <v>1553.67</v>
      </c>
      <c r="I5" s="57" t="s">
        <v>28</v>
      </c>
      <c r="J5" s="106">
        <f>Electricity!L9</f>
        <v>29019075.379199997</v>
      </c>
      <c r="K5" s="43">
        <f t="shared" si="0"/>
        <v>1155.2179689171974</v>
      </c>
      <c r="L5" s="58">
        <f>Water!G8</f>
        <v>388</v>
      </c>
      <c r="M5" s="58">
        <v>12550</v>
      </c>
      <c r="N5" s="106">
        <f t="shared" si="1"/>
        <v>4869400</v>
      </c>
      <c r="O5" s="43">
        <v>161</v>
      </c>
    </row>
    <row r="6" spans="1:15" x14ac:dyDescent="0.25">
      <c r="A6" s="48" t="s">
        <v>44</v>
      </c>
      <c r="B6" s="45">
        <v>5</v>
      </c>
      <c r="C6" s="45">
        <v>9</v>
      </c>
      <c r="D6" s="45">
        <v>2021</v>
      </c>
      <c r="E6" s="43">
        <f>Electricity!G10</f>
        <v>26480</v>
      </c>
      <c r="F6" s="43">
        <f>Electricity!E10</f>
        <v>4600</v>
      </c>
      <c r="G6" s="43">
        <f>Electricity!F10</f>
        <v>21880</v>
      </c>
      <c r="H6" s="47">
        <v>1553.67</v>
      </c>
      <c r="I6" s="57" t="s">
        <v>28</v>
      </c>
      <c r="J6" s="106">
        <f>Electricity!L10</f>
        <v>30525182.361599997</v>
      </c>
      <c r="K6" s="43">
        <f t="shared" si="0"/>
        <v>1152.7636843504531</v>
      </c>
      <c r="L6" s="58">
        <f>Water!G9</f>
        <v>309</v>
      </c>
      <c r="M6" s="58">
        <v>12550</v>
      </c>
      <c r="N6" s="106">
        <f t="shared" si="1"/>
        <v>3877950</v>
      </c>
      <c r="O6" s="43">
        <v>161</v>
      </c>
    </row>
    <row r="7" spans="1:15" x14ac:dyDescent="0.25">
      <c r="A7" s="48" t="s">
        <v>44</v>
      </c>
      <c r="B7" s="45">
        <v>6</v>
      </c>
      <c r="C7" s="45">
        <v>9</v>
      </c>
      <c r="D7" s="45">
        <v>2021</v>
      </c>
      <c r="E7" s="43">
        <f>Electricity!G11</f>
        <v>22800</v>
      </c>
      <c r="F7" s="43">
        <f>Electricity!E11</f>
        <v>4560</v>
      </c>
      <c r="G7" s="43">
        <f>Electricity!F11</f>
        <v>18240</v>
      </c>
      <c r="H7" s="47">
        <v>1553.67</v>
      </c>
      <c r="I7" s="57" t="s">
        <v>28</v>
      </c>
      <c r="J7" s="106">
        <f>Electricity!L11</f>
        <v>26600819.097599998</v>
      </c>
      <c r="K7" s="43">
        <f t="shared" si="0"/>
        <v>1166.7025919999999</v>
      </c>
      <c r="L7" s="58">
        <f>Water!G10</f>
        <v>338</v>
      </c>
      <c r="M7" s="58">
        <v>12550</v>
      </c>
      <c r="N7" s="106">
        <f t="shared" si="1"/>
        <v>4241900</v>
      </c>
      <c r="O7" s="43">
        <v>161</v>
      </c>
    </row>
    <row r="8" spans="1:15" x14ac:dyDescent="0.25">
      <c r="A8" s="48" t="s">
        <v>44</v>
      </c>
      <c r="B8" s="45">
        <v>7</v>
      </c>
      <c r="C8" s="45">
        <v>9</v>
      </c>
      <c r="D8" s="45">
        <v>2021</v>
      </c>
      <c r="E8" s="43">
        <f>Electricity!G12</f>
        <v>25840</v>
      </c>
      <c r="F8" s="43">
        <f>Electricity!E12</f>
        <v>4600</v>
      </c>
      <c r="G8" s="43">
        <f>Electricity!F12</f>
        <v>21240</v>
      </c>
      <c r="H8" s="47">
        <v>1553.67</v>
      </c>
      <c r="I8" s="57" t="s">
        <v>28</v>
      </c>
      <c r="J8" s="106">
        <f>Electricity!L12</f>
        <v>29846373.580800001</v>
      </c>
      <c r="K8" s="43">
        <f t="shared" si="0"/>
        <v>1155.0454172136224</v>
      </c>
      <c r="L8" s="58">
        <f>Water!G11</f>
        <v>370</v>
      </c>
      <c r="M8" s="58">
        <v>12550</v>
      </c>
      <c r="N8" s="106">
        <f t="shared" si="1"/>
        <v>4643500</v>
      </c>
      <c r="O8" s="43">
        <v>161</v>
      </c>
    </row>
    <row r="9" spans="1:15" x14ac:dyDescent="0.25">
      <c r="A9" s="48" t="s">
        <v>44</v>
      </c>
      <c r="B9" s="45">
        <v>8</v>
      </c>
      <c r="C9" s="45">
        <v>9</v>
      </c>
      <c r="D9" s="45">
        <v>2021</v>
      </c>
      <c r="E9" s="43">
        <f>Electricity!G13</f>
        <v>26800</v>
      </c>
      <c r="F9" s="43">
        <f>Electricity!E13</f>
        <v>5360</v>
      </c>
      <c r="G9" s="43">
        <f>Electricity!F13</f>
        <v>21440</v>
      </c>
      <c r="H9" s="47">
        <v>1553.67</v>
      </c>
      <c r="I9" s="57" t="s">
        <v>28</v>
      </c>
      <c r="J9" s="106">
        <f>Electricity!L13</f>
        <v>31267629.465599999</v>
      </c>
      <c r="K9" s="43">
        <f t="shared" si="0"/>
        <v>1166.7025919999999</v>
      </c>
      <c r="L9" s="58">
        <f>Water!G12</f>
        <v>309</v>
      </c>
      <c r="M9" s="58">
        <v>12550</v>
      </c>
      <c r="N9" s="106">
        <f t="shared" si="1"/>
        <v>3877950</v>
      </c>
      <c r="O9" s="43">
        <v>161</v>
      </c>
    </row>
    <row r="10" spans="1:15" x14ac:dyDescent="0.25">
      <c r="A10" s="48" t="s">
        <v>44</v>
      </c>
      <c r="B10" s="45">
        <v>9</v>
      </c>
      <c r="C10" s="45">
        <v>9</v>
      </c>
      <c r="D10" s="45">
        <v>2021</v>
      </c>
      <c r="E10" s="43">
        <f>Electricity!G14</f>
        <v>23360</v>
      </c>
      <c r="F10" s="43">
        <f>Electricity!E14</f>
        <v>3600</v>
      </c>
      <c r="G10" s="43">
        <f>Electricity!F14</f>
        <v>19760</v>
      </c>
      <c r="H10" s="47">
        <v>1553.67</v>
      </c>
      <c r="I10" s="57" t="s">
        <v>28</v>
      </c>
      <c r="J10" s="106">
        <f>Electricity!L14</f>
        <v>26685670.1952</v>
      </c>
      <c r="K10" s="43">
        <f t="shared" si="0"/>
        <v>1142.366018630137</v>
      </c>
      <c r="L10" s="58">
        <f>Water!G13</f>
        <v>348</v>
      </c>
      <c r="M10" s="58">
        <v>12550</v>
      </c>
      <c r="N10" s="106">
        <f t="shared" si="1"/>
        <v>4367400</v>
      </c>
      <c r="O10" s="43">
        <v>161</v>
      </c>
    </row>
    <row r="11" spans="1:15" x14ac:dyDescent="0.25">
      <c r="A11" s="48" t="s">
        <v>44</v>
      </c>
      <c r="B11" s="45">
        <v>10</v>
      </c>
      <c r="C11" s="45">
        <v>9</v>
      </c>
      <c r="D11" s="45">
        <v>2021</v>
      </c>
      <c r="E11" s="43">
        <f>Electricity!G15</f>
        <v>24320</v>
      </c>
      <c r="F11" s="43">
        <f>Electricity!E15</f>
        <v>4400</v>
      </c>
      <c r="G11" s="43">
        <f>Electricity!F15</f>
        <v>19920</v>
      </c>
      <c r="H11" s="47">
        <v>1553.67</v>
      </c>
      <c r="I11" s="57" t="s">
        <v>28</v>
      </c>
      <c r="J11" s="106">
        <f>Electricity!L15</f>
        <v>28128138.854399998</v>
      </c>
      <c r="K11" s="43">
        <f t="shared" si="0"/>
        <v>1156.5846568421052</v>
      </c>
      <c r="L11" s="58">
        <f>Water!G14</f>
        <v>367</v>
      </c>
      <c r="M11" s="58">
        <v>12550</v>
      </c>
      <c r="N11" s="106">
        <f t="shared" si="1"/>
        <v>4605850</v>
      </c>
      <c r="O11" s="43">
        <v>161</v>
      </c>
    </row>
    <row r="12" spans="1:15" x14ac:dyDescent="0.25">
      <c r="A12" s="48" t="s">
        <v>44</v>
      </c>
      <c r="B12" s="45">
        <v>11</v>
      </c>
      <c r="C12" s="45">
        <v>9</v>
      </c>
      <c r="D12" s="45">
        <v>2021</v>
      </c>
      <c r="E12" s="43">
        <f>Electricity!G16</f>
        <v>24760</v>
      </c>
      <c r="F12" s="43">
        <f>Electricity!E16</f>
        <v>4400</v>
      </c>
      <c r="G12" s="43">
        <f>Electricity!F16</f>
        <v>20360</v>
      </c>
      <c r="H12" s="47">
        <v>1553.67</v>
      </c>
      <c r="I12" s="57" t="s">
        <v>28</v>
      </c>
      <c r="J12" s="106">
        <f>Electricity!L16</f>
        <v>28594819.891200002</v>
      </c>
      <c r="K12" s="43">
        <f t="shared" si="0"/>
        <v>1154.8796401938612</v>
      </c>
      <c r="L12" s="58">
        <f>Water!G15</f>
        <v>302</v>
      </c>
      <c r="M12" s="58">
        <v>12550</v>
      </c>
      <c r="N12" s="106">
        <f t="shared" si="1"/>
        <v>3790100</v>
      </c>
      <c r="O12" s="43">
        <v>161</v>
      </c>
    </row>
    <row r="13" spans="1:15" x14ac:dyDescent="0.25">
      <c r="A13" s="48" t="s">
        <v>44</v>
      </c>
      <c r="B13" s="45">
        <v>12</v>
      </c>
      <c r="C13" s="45">
        <v>9</v>
      </c>
      <c r="D13" s="45">
        <v>2021</v>
      </c>
      <c r="E13" s="43">
        <f>Electricity!G17</f>
        <v>25280</v>
      </c>
      <c r="F13" s="43">
        <f>Electricity!E17</f>
        <v>4560</v>
      </c>
      <c r="G13" s="43">
        <f>Electricity!F17</f>
        <v>20720</v>
      </c>
      <c r="H13" s="47">
        <v>1553.67</v>
      </c>
      <c r="I13" s="57" t="s">
        <v>28</v>
      </c>
      <c r="J13" s="106">
        <f>Electricity!L17</f>
        <v>29231203.123199996</v>
      </c>
      <c r="K13" s="43">
        <f t="shared" si="0"/>
        <v>1156.297591898734</v>
      </c>
      <c r="L13" s="58">
        <f>Water!G16</f>
        <v>352</v>
      </c>
      <c r="M13" s="58">
        <v>12550</v>
      </c>
      <c r="N13" s="106">
        <f t="shared" si="1"/>
        <v>4417600</v>
      </c>
      <c r="O13" s="43">
        <v>161</v>
      </c>
    </row>
    <row r="14" spans="1:15" x14ac:dyDescent="0.25">
      <c r="A14" s="48" t="s">
        <v>44</v>
      </c>
      <c r="B14" s="45">
        <v>13</v>
      </c>
      <c r="C14" s="45">
        <v>9</v>
      </c>
      <c r="D14" s="45">
        <v>2021</v>
      </c>
      <c r="E14" s="43">
        <f>Electricity!G18</f>
        <v>22840</v>
      </c>
      <c r="F14" s="43">
        <f>Electricity!E18</f>
        <v>4440</v>
      </c>
      <c r="G14" s="43">
        <f>Electricity!F18</f>
        <v>18400</v>
      </c>
      <c r="H14" s="47">
        <v>1553.67</v>
      </c>
      <c r="I14" s="57" t="s">
        <v>28</v>
      </c>
      <c r="J14" s="106">
        <f>Electricity!L18</f>
        <v>26579606.323200002</v>
      </c>
      <c r="K14" s="43">
        <f t="shared" si="0"/>
        <v>1163.7305745709282</v>
      </c>
      <c r="L14" s="58">
        <f>Water!G17</f>
        <v>334</v>
      </c>
      <c r="M14" s="58">
        <v>12550</v>
      </c>
      <c r="N14" s="106">
        <f t="shared" si="1"/>
        <v>4191700</v>
      </c>
      <c r="O14" s="43">
        <v>161</v>
      </c>
    </row>
    <row r="15" spans="1:15" x14ac:dyDescent="0.25">
      <c r="A15" s="48" t="s">
        <v>44</v>
      </c>
      <c r="B15" s="45">
        <v>14</v>
      </c>
      <c r="C15" s="45">
        <v>9</v>
      </c>
      <c r="D15" s="45">
        <v>2021</v>
      </c>
      <c r="E15" s="43">
        <f>Electricity!G19</f>
        <v>26200</v>
      </c>
      <c r="F15" s="43">
        <f>Electricity!E19</f>
        <v>4680</v>
      </c>
      <c r="G15" s="43">
        <f>Electricity!F19</f>
        <v>21520</v>
      </c>
      <c r="H15" s="47">
        <v>1553.67</v>
      </c>
      <c r="I15" s="57" t="s">
        <v>28</v>
      </c>
      <c r="J15" s="106">
        <f>Electricity!L19</f>
        <v>30270629.068799995</v>
      </c>
      <c r="K15" s="43">
        <f t="shared" si="0"/>
        <v>1155.3675217099235</v>
      </c>
      <c r="L15" s="58">
        <f>Water!G18</f>
        <v>340</v>
      </c>
      <c r="M15" s="58">
        <v>12550</v>
      </c>
      <c r="N15" s="106">
        <f t="shared" si="1"/>
        <v>4267000</v>
      </c>
      <c r="O15" s="43">
        <v>161</v>
      </c>
    </row>
    <row r="16" spans="1:15" x14ac:dyDescent="0.25">
      <c r="A16" s="48" t="s">
        <v>44</v>
      </c>
      <c r="B16" s="45">
        <v>15</v>
      </c>
      <c r="C16" s="45">
        <v>9</v>
      </c>
      <c r="D16" s="45">
        <v>2021</v>
      </c>
      <c r="E16" s="43">
        <f>Electricity!G20</f>
        <v>24280</v>
      </c>
      <c r="F16" s="43">
        <f>Electricity!E20</f>
        <v>4360</v>
      </c>
      <c r="G16" s="43">
        <f>Electricity!F20</f>
        <v>19920</v>
      </c>
      <c r="H16" s="47">
        <v>1553.67</v>
      </c>
      <c r="I16" s="57" t="s">
        <v>28</v>
      </c>
      <c r="J16" s="106">
        <f>Electricity!L20</f>
        <v>28064500.531199995</v>
      </c>
      <c r="K16" s="43">
        <f t="shared" si="0"/>
        <v>1155.8690498846786</v>
      </c>
      <c r="L16" s="58">
        <f>Water!G19</f>
        <v>382</v>
      </c>
      <c r="M16" s="58">
        <v>12550</v>
      </c>
      <c r="N16" s="106">
        <f t="shared" si="1"/>
        <v>4794100</v>
      </c>
      <c r="O16" s="43">
        <v>161</v>
      </c>
    </row>
    <row r="17" spans="1:15" x14ac:dyDescent="0.25">
      <c r="A17" s="48" t="s">
        <v>44</v>
      </c>
      <c r="B17" s="45">
        <v>16</v>
      </c>
      <c r="C17" s="45">
        <v>9</v>
      </c>
      <c r="D17" s="45">
        <v>2021</v>
      </c>
      <c r="E17" s="43">
        <f>Electricity!G21</f>
        <v>25640</v>
      </c>
      <c r="F17" s="43">
        <f>Electricity!E21</f>
        <v>4640</v>
      </c>
      <c r="G17" s="43">
        <f>Electricity!F21</f>
        <v>21000</v>
      </c>
      <c r="H17" s="47">
        <v>1553.67</v>
      </c>
      <c r="I17" s="57" t="s">
        <v>28</v>
      </c>
      <c r="J17" s="106">
        <f>Electricity!L21</f>
        <v>29655458.611200001</v>
      </c>
      <c r="K17" s="43">
        <f t="shared" si="0"/>
        <v>1156.6091502028082</v>
      </c>
      <c r="L17" s="58">
        <f>Water!G20</f>
        <v>328</v>
      </c>
      <c r="M17" s="58">
        <v>12550</v>
      </c>
      <c r="N17" s="106">
        <f t="shared" si="1"/>
        <v>4116400</v>
      </c>
      <c r="O17" s="43">
        <v>161</v>
      </c>
    </row>
    <row r="18" spans="1:15" x14ac:dyDescent="0.25">
      <c r="A18" s="48" t="s">
        <v>44</v>
      </c>
      <c r="B18" s="45">
        <v>17</v>
      </c>
      <c r="C18" s="45">
        <v>9</v>
      </c>
      <c r="D18" s="45">
        <v>2021</v>
      </c>
      <c r="E18" s="43">
        <f>Electricity!G22</f>
        <v>23400</v>
      </c>
      <c r="F18" s="43">
        <f>Electricity!E22</f>
        <v>4720</v>
      </c>
      <c r="G18" s="43">
        <f>Electricity!F22</f>
        <v>18680</v>
      </c>
      <c r="H18" s="47">
        <v>1553.67</v>
      </c>
      <c r="I18" s="57" t="s">
        <v>28</v>
      </c>
      <c r="J18" s="106">
        <f>Electricity!L22</f>
        <v>27322053.427199997</v>
      </c>
      <c r="K18" s="43">
        <f t="shared" si="0"/>
        <v>1167.6091208205128</v>
      </c>
      <c r="L18" s="58">
        <f>Water!G21</f>
        <v>307</v>
      </c>
      <c r="M18" s="58">
        <v>12550</v>
      </c>
      <c r="N18" s="106">
        <f t="shared" si="1"/>
        <v>3852850</v>
      </c>
      <c r="O18" s="43">
        <v>161</v>
      </c>
    </row>
    <row r="19" spans="1:15" x14ac:dyDescent="0.25">
      <c r="A19" s="48" t="s">
        <v>44</v>
      </c>
      <c r="B19" s="45">
        <v>18</v>
      </c>
      <c r="C19" s="45">
        <v>9</v>
      </c>
      <c r="D19" s="45">
        <v>2021</v>
      </c>
      <c r="E19" s="43">
        <f>Electricity!G23</f>
        <v>24560</v>
      </c>
      <c r="F19" s="43">
        <f>Electricity!E23</f>
        <v>4640</v>
      </c>
      <c r="G19" s="43">
        <f>Electricity!F23</f>
        <v>19920</v>
      </c>
      <c r="H19" s="47">
        <v>1553.67</v>
      </c>
      <c r="I19" s="57" t="s">
        <v>28</v>
      </c>
      <c r="J19" s="106">
        <f>Electricity!L23</f>
        <v>28509968.793599997</v>
      </c>
      <c r="K19" s="43">
        <f t="shared" si="0"/>
        <v>1160.8293482736156</v>
      </c>
      <c r="L19" s="58">
        <f>Water!G22</f>
        <v>338</v>
      </c>
      <c r="M19" s="58">
        <v>12550</v>
      </c>
      <c r="N19" s="106">
        <f t="shared" si="1"/>
        <v>4241900</v>
      </c>
      <c r="O19" s="43">
        <v>161</v>
      </c>
    </row>
    <row r="20" spans="1:15" x14ac:dyDescent="0.25">
      <c r="A20" s="48" t="s">
        <v>44</v>
      </c>
      <c r="B20" s="45">
        <v>19</v>
      </c>
      <c r="C20" s="45">
        <v>9</v>
      </c>
      <c r="D20" s="45">
        <v>2021</v>
      </c>
      <c r="E20" s="43">
        <f>Electricity!G24</f>
        <v>28440</v>
      </c>
      <c r="F20" s="43">
        <f>Electricity!E24</f>
        <v>4560</v>
      </c>
      <c r="G20" s="43">
        <f>Electricity!F24</f>
        <v>23880</v>
      </c>
      <c r="H20" s="47">
        <v>1553.67</v>
      </c>
      <c r="I20" s="57" t="s">
        <v>28</v>
      </c>
      <c r="J20" s="106">
        <f>Electricity!L24</f>
        <v>32582821.478399999</v>
      </c>
      <c r="K20" s="43">
        <f t="shared" si="0"/>
        <v>1145.6688283544304</v>
      </c>
      <c r="L20" s="58">
        <f>Water!G23</f>
        <v>332</v>
      </c>
      <c r="M20" s="58">
        <v>12550</v>
      </c>
      <c r="N20" s="106">
        <f t="shared" si="1"/>
        <v>4166600</v>
      </c>
      <c r="O20" s="43">
        <v>161</v>
      </c>
    </row>
    <row r="21" spans="1:15" x14ac:dyDescent="0.25">
      <c r="A21" s="48" t="s">
        <v>44</v>
      </c>
      <c r="B21" s="45">
        <v>20</v>
      </c>
      <c r="C21" s="45">
        <v>9</v>
      </c>
      <c r="D21" s="45">
        <v>2021</v>
      </c>
      <c r="E21" s="43">
        <f>Electricity!G25</f>
        <v>24680</v>
      </c>
      <c r="F21" s="43">
        <f>Electricity!E25</f>
        <v>4560</v>
      </c>
      <c r="G21" s="43">
        <f>Electricity!F25</f>
        <v>20120</v>
      </c>
      <c r="H21" s="47">
        <v>1553.67</v>
      </c>
      <c r="I21" s="57" t="s">
        <v>28</v>
      </c>
      <c r="J21" s="106">
        <f>Electricity!L25</f>
        <v>28594819.891199999</v>
      </c>
      <c r="K21" s="43">
        <f t="shared" si="0"/>
        <v>1158.6231722528362</v>
      </c>
      <c r="L21" s="58">
        <f>Water!G24</f>
        <v>253</v>
      </c>
      <c r="M21" s="58">
        <v>12550</v>
      </c>
      <c r="N21" s="106">
        <f t="shared" si="1"/>
        <v>3175150</v>
      </c>
      <c r="O21" s="43">
        <v>161</v>
      </c>
    </row>
    <row r="22" spans="1:15" x14ac:dyDescent="0.25">
      <c r="A22" s="48" t="s">
        <v>44</v>
      </c>
      <c r="B22" s="45">
        <v>21</v>
      </c>
      <c r="C22" s="45">
        <v>9</v>
      </c>
      <c r="D22" s="45">
        <v>2021</v>
      </c>
      <c r="E22" s="43">
        <f>Electricity!G26</f>
        <v>24960</v>
      </c>
      <c r="F22" s="43">
        <f>Electricity!E26</f>
        <v>4480</v>
      </c>
      <c r="G22" s="43">
        <f>Electricity!F26</f>
        <v>20480</v>
      </c>
      <c r="H22" s="47">
        <v>1553.67</v>
      </c>
      <c r="I22" s="57" t="s">
        <v>28</v>
      </c>
      <c r="J22" s="106">
        <f>Electricity!L26</f>
        <v>28849373.184</v>
      </c>
      <c r="K22" s="43">
        <f t="shared" si="0"/>
        <v>1155.8242461538462</v>
      </c>
      <c r="L22" s="58">
        <f>Water!G25</f>
        <v>318</v>
      </c>
      <c r="M22" s="58">
        <v>12550</v>
      </c>
      <c r="N22" s="106">
        <f t="shared" si="1"/>
        <v>3990900</v>
      </c>
      <c r="O22" s="43">
        <v>161</v>
      </c>
    </row>
    <row r="23" spans="1:15" x14ac:dyDescent="0.25">
      <c r="A23" s="48" t="s">
        <v>44</v>
      </c>
      <c r="B23" s="45">
        <v>22</v>
      </c>
      <c r="C23" s="45">
        <v>9</v>
      </c>
      <c r="D23" s="45">
        <v>2021</v>
      </c>
      <c r="E23" s="43">
        <f>Electricity!G27</f>
        <v>22600</v>
      </c>
      <c r="F23" s="43">
        <f>Electricity!E27</f>
        <v>4520</v>
      </c>
      <c r="G23" s="43">
        <f>Electricity!F27</f>
        <v>18080</v>
      </c>
      <c r="H23" s="47">
        <v>1553.67</v>
      </c>
      <c r="I23" s="57" t="s">
        <v>28</v>
      </c>
      <c r="J23" s="106">
        <f>Electricity!L27</f>
        <v>26367478.579199996</v>
      </c>
      <c r="K23" s="43">
        <f t="shared" si="0"/>
        <v>1166.7025919999999</v>
      </c>
      <c r="L23" s="58">
        <f>Water!G26</f>
        <v>313</v>
      </c>
      <c r="M23" s="58">
        <v>12550</v>
      </c>
      <c r="N23" s="106">
        <f t="shared" si="1"/>
        <v>3928150</v>
      </c>
      <c r="O23" s="43">
        <v>161</v>
      </c>
    </row>
    <row r="24" spans="1:15" x14ac:dyDescent="0.25">
      <c r="A24" s="48" t="s">
        <v>44</v>
      </c>
      <c r="B24" s="45">
        <v>23</v>
      </c>
      <c r="C24" s="45">
        <v>9</v>
      </c>
      <c r="D24" s="45">
        <v>2021</v>
      </c>
      <c r="E24" s="43">
        <f>Electricity!G28</f>
        <v>25280</v>
      </c>
      <c r="F24" s="43">
        <f>Electricity!E28</f>
        <v>3920</v>
      </c>
      <c r="G24" s="43">
        <f>Electricity!F28</f>
        <v>21360</v>
      </c>
      <c r="H24" s="47">
        <v>1553.67</v>
      </c>
      <c r="I24" s="57" t="s">
        <v>28</v>
      </c>
      <c r="J24" s="106">
        <f>Electricity!L28</f>
        <v>28891798.732799999</v>
      </c>
      <c r="K24" s="43">
        <f t="shared" si="0"/>
        <v>1142.8717853164558</v>
      </c>
      <c r="L24" s="58">
        <f>Water!G27</f>
        <v>318</v>
      </c>
      <c r="M24" s="58">
        <v>12550</v>
      </c>
      <c r="N24" s="106">
        <f t="shared" si="1"/>
        <v>3990900</v>
      </c>
      <c r="O24" s="43">
        <v>161</v>
      </c>
    </row>
    <row r="25" spans="1:15" x14ac:dyDescent="0.25">
      <c r="A25" s="48" t="s">
        <v>44</v>
      </c>
      <c r="B25" s="45">
        <v>24</v>
      </c>
      <c r="C25" s="45">
        <v>9</v>
      </c>
      <c r="D25" s="45">
        <v>2021</v>
      </c>
      <c r="E25" s="43">
        <f>Electricity!G29</f>
        <v>26960</v>
      </c>
      <c r="F25" s="43">
        <f>Electricity!E29</f>
        <v>4040</v>
      </c>
      <c r="G25" s="43">
        <f>Electricity!F29</f>
        <v>22920</v>
      </c>
      <c r="H25" s="47">
        <v>1553.67</v>
      </c>
      <c r="I25" s="57" t="s">
        <v>28</v>
      </c>
      <c r="J25" s="106">
        <f>Electricity!L29</f>
        <v>30737310.105599999</v>
      </c>
      <c r="K25" s="43">
        <f t="shared" si="0"/>
        <v>1140.1079416023738</v>
      </c>
      <c r="L25" s="58">
        <f>Water!G28</f>
        <v>310</v>
      </c>
      <c r="M25" s="58">
        <v>12550</v>
      </c>
      <c r="N25" s="106">
        <f t="shared" si="1"/>
        <v>3890500</v>
      </c>
      <c r="O25" s="43">
        <v>161</v>
      </c>
    </row>
    <row r="26" spans="1:15" x14ac:dyDescent="0.25">
      <c r="A26" s="48" t="s">
        <v>44</v>
      </c>
      <c r="B26" s="45">
        <v>25</v>
      </c>
      <c r="C26" s="45">
        <v>9</v>
      </c>
      <c r="D26" s="45">
        <v>2021</v>
      </c>
      <c r="E26" s="43">
        <f>Electricity!G30</f>
        <v>25920</v>
      </c>
      <c r="F26" s="43">
        <f>Electricity!E30</f>
        <v>5640</v>
      </c>
      <c r="G26" s="43">
        <f>Electricity!F30</f>
        <v>20280</v>
      </c>
      <c r="H26" s="47">
        <v>1553.67</v>
      </c>
      <c r="I26" s="57" t="s">
        <v>28</v>
      </c>
      <c r="J26" s="106">
        <f>Electricity!L30</f>
        <v>30482756.812799994</v>
      </c>
      <c r="K26" s="43">
        <f t="shared" si="0"/>
        <v>1176.0322844444443</v>
      </c>
      <c r="L26" s="58">
        <f>Water!G29</f>
        <v>310</v>
      </c>
      <c r="M26" s="58">
        <v>12550</v>
      </c>
      <c r="N26" s="106">
        <f t="shared" si="1"/>
        <v>3890500</v>
      </c>
      <c r="O26" s="43">
        <v>161</v>
      </c>
    </row>
    <row r="27" spans="1:15" x14ac:dyDescent="0.25">
      <c r="A27" s="48" t="s">
        <v>44</v>
      </c>
      <c r="B27" s="45">
        <v>26</v>
      </c>
      <c r="C27" s="45">
        <v>9</v>
      </c>
      <c r="D27" s="45">
        <v>2021</v>
      </c>
      <c r="E27" s="43">
        <f>Electricity!G31</f>
        <v>25560</v>
      </c>
      <c r="F27" s="43">
        <f>Electricity!E31</f>
        <v>4600</v>
      </c>
      <c r="G27" s="43">
        <f>Electricity!F31</f>
        <v>20960</v>
      </c>
      <c r="H27" s="47">
        <v>1553.67</v>
      </c>
      <c r="I27" s="57" t="s">
        <v>28</v>
      </c>
      <c r="J27" s="106">
        <f>Electricity!L31</f>
        <v>29549394.7392</v>
      </c>
      <c r="K27" s="43">
        <f t="shared" si="0"/>
        <v>1156.0796063849766</v>
      </c>
      <c r="L27" s="58">
        <f>Water!G30</f>
        <v>257</v>
      </c>
      <c r="M27" s="58">
        <v>12550</v>
      </c>
      <c r="N27" s="106">
        <f t="shared" si="1"/>
        <v>3225350</v>
      </c>
      <c r="O27" s="43">
        <v>161</v>
      </c>
    </row>
    <row r="28" spans="1:15" x14ac:dyDescent="0.25">
      <c r="A28" s="48" t="s">
        <v>44</v>
      </c>
      <c r="B28" s="45">
        <v>27</v>
      </c>
      <c r="C28" s="45">
        <v>9</v>
      </c>
      <c r="D28" s="45">
        <v>2021</v>
      </c>
      <c r="E28" s="43">
        <f>Electricity!G32</f>
        <v>25360</v>
      </c>
      <c r="F28" s="43">
        <f>Electricity!E32</f>
        <v>4520</v>
      </c>
      <c r="G28" s="43">
        <f>Electricity!F32</f>
        <v>20840</v>
      </c>
      <c r="H28" s="47">
        <v>1553.67</v>
      </c>
      <c r="I28" s="57" t="s">
        <v>28</v>
      </c>
      <c r="J28" s="106">
        <f>Electricity!L32</f>
        <v>29294841.446399998</v>
      </c>
      <c r="K28" s="43">
        <f t="shared" si="0"/>
        <v>1155.159363028391</v>
      </c>
      <c r="L28" s="58">
        <f>Water!G31</f>
        <v>260</v>
      </c>
      <c r="M28" s="58">
        <v>12550</v>
      </c>
      <c r="N28" s="106">
        <f t="shared" si="1"/>
        <v>3263000</v>
      </c>
      <c r="O28" s="43">
        <v>161</v>
      </c>
    </row>
    <row r="29" spans="1:15" x14ac:dyDescent="0.25">
      <c r="A29" s="48" t="s">
        <v>44</v>
      </c>
      <c r="B29" s="45">
        <v>28</v>
      </c>
      <c r="C29" s="45">
        <v>9</v>
      </c>
      <c r="D29" s="45">
        <v>2021</v>
      </c>
      <c r="E29" s="43">
        <f>Electricity!G33</f>
        <v>25640</v>
      </c>
      <c r="F29" s="43">
        <f>Electricity!E33</f>
        <v>4640</v>
      </c>
      <c r="G29" s="43">
        <f>Electricity!F33</f>
        <v>21000</v>
      </c>
      <c r="H29" s="47">
        <v>1553.67</v>
      </c>
      <c r="I29" s="57" t="s">
        <v>28</v>
      </c>
      <c r="J29" s="106">
        <f>Electricity!L33</f>
        <v>29655458.611200001</v>
      </c>
      <c r="K29" s="43">
        <f t="shared" si="0"/>
        <v>1156.6091502028082</v>
      </c>
      <c r="L29" s="58">
        <f>Water!G32</f>
        <v>268</v>
      </c>
      <c r="M29" s="58">
        <v>12550</v>
      </c>
      <c r="N29" s="106">
        <f t="shared" si="1"/>
        <v>3363400</v>
      </c>
      <c r="O29" s="43">
        <v>161</v>
      </c>
    </row>
    <row r="30" spans="1:15" s="43" customFormat="1" x14ac:dyDescent="0.25">
      <c r="A30" s="48" t="s">
        <v>44</v>
      </c>
      <c r="B30" s="45">
        <v>29</v>
      </c>
      <c r="C30" s="45">
        <v>9</v>
      </c>
      <c r="D30" s="45">
        <v>2021</v>
      </c>
      <c r="E30" s="43">
        <f>Electricity!G34</f>
        <v>26320</v>
      </c>
      <c r="F30" s="43">
        <f>Electricity!E34</f>
        <v>4720</v>
      </c>
      <c r="G30" s="43">
        <f>Electricity!F34</f>
        <v>21600</v>
      </c>
      <c r="H30" s="47">
        <v>1553.67</v>
      </c>
      <c r="I30" s="57" t="s">
        <v>28</v>
      </c>
      <c r="J30" s="106">
        <f>Electricity!L34</f>
        <v>30419118.489599999</v>
      </c>
      <c r="K30" s="43">
        <f t="shared" si="0"/>
        <v>1155.7415839513678</v>
      </c>
      <c r="L30" s="58">
        <f>Water!G33</f>
        <v>269</v>
      </c>
      <c r="M30" s="58">
        <v>12550</v>
      </c>
      <c r="N30" s="106">
        <f t="shared" si="1"/>
        <v>3375950</v>
      </c>
      <c r="O30" s="43">
        <v>161</v>
      </c>
    </row>
    <row r="31" spans="1:15" s="43" customFormat="1" x14ac:dyDescent="0.25">
      <c r="A31" s="48" t="s">
        <v>44</v>
      </c>
      <c r="B31" s="45">
        <v>30</v>
      </c>
      <c r="C31" s="45">
        <v>9</v>
      </c>
      <c r="D31" s="45">
        <v>2021</v>
      </c>
      <c r="E31" s="43">
        <f>Electricity!G35</f>
        <v>26480</v>
      </c>
      <c r="F31" s="43">
        <f>Electricity!E35</f>
        <v>4960</v>
      </c>
      <c r="G31" s="43">
        <f>Electricity!F35</f>
        <v>21520</v>
      </c>
      <c r="H31" s="47">
        <v>1553.67</v>
      </c>
      <c r="I31" s="57" t="s">
        <v>28</v>
      </c>
      <c r="J31" s="106">
        <f>Electricity!L35</f>
        <v>30716097.331199996</v>
      </c>
      <c r="K31" s="43">
        <f t="shared" si="0"/>
        <v>1159.9734641691841</v>
      </c>
      <c r="L31" s="58">
        <f>Water!G34</f>
        <v>278</v>
      </c>
      <c r="M31" s="58">
        <v>12550</v>
      </c>
      <c r="N31" s="106">
        <f t="shared" si="1"/>
        <v>3488900</v>
      </c>
      <c r="O31" s="43">
        <v>161</v>
      </c>
    </row>
    <row r="32" spans="1:15" s="43" customFormat="1" x14ac:dyDescent="0.25">
      <c r="A32" s="44"/>
      <c r="B32" s="46"/>
      <c r="C32" s="46"/>
      <c r="D32" s="45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44440</v>
      </c>
      <c r="C6" s="59">
        <v>161</v>
      </c>
      <c r="D6" s="87">
        <v>1035.78</v>
      </c>
      <c r="E6" s="115">
        <v>4880</v>
      </c>
      <c r="F6" s="115">
        <v>21080</v>
      </c>
      <c r="G6" s="80">
        <f>F6+E6</f>
        <v>25960</v>
      </c>
      <c r="H6" s="81">
        <f t="shared" ref="H6:H33" si="0">E6*1.5*D6</f>
        <v>7581909.5999999996</v>
      </c>
      <c r="I6" s="81">
        <f t="shared" ref="I6:I33" si="1">F6*D6</f>
        <v>21834242.399999999</v>
      </c>
      <c r="J6" s="81">
        <f t="shared" ref="J6:J30" si="2">I6+H6</f>
        <v>29416152</v>
      </c>
      <c r="K6" s="81">
        <f>J6*0.024</f>
        <v>705987.64800000004</v>
      </c>
      <c r="L6" s="104">
        <f>J6+K6</f>
        <v>30122139.648000002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44441</v>
      </c>
      <c r="C7" s="59">
        <v>161</v>
      </c>
      <c r="D7" s="87">
        <v>1035.78</v>
      </c>
      <c r="E7" s="115">
        <v>4760</v>
      </c>
      <c r="F7" s="115">
        <v>21160</v>
      </c>
      <c r="G7" s="80">
        <f t="shared" ref="G7:G33" si="3">F7+E7</f>
        <v>25920</v>
      </c>
      <c r="H7" s="81">
        <f t="shared" si="0"/>
        <v>7395469.2000000002</v>
      </c>
      <c r="I7" s="81">
        <f t="shared" si="1"/>
        <v>21917104.800000001</v>
      </c>
      <c r="J7" s="81">
        <f t="shared" si="2"/>
        <v>29312574</v>
      </c>
      <c r="K7" s="81">
        <f t="shared" ref="K7:K35" si="4">J7*0.024</f>
        <v>703501.77600000007</v>
      </c>
      <c r="L7" s="104">
        <f>J7+K7</f>
        <v>30016075.776000001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44442</v>
      </c>
      <c r="C8" s="59">
        <v>161</v>
      </c>
      <c r="D8" s="87">
        <v>1035.78</v>
      </c>
      <c r="E8" s="115">
        <v>4720</v>
      </c>
      <c r="F8" s="115">
        <v>20960</v>
      </c>
      <c r="G8" s="80">
        <f t="shared" si="3"/>
        <v>25680</v>
      </c>
      <c r="H8" s="81">
        <f t="shared" si="0"/>
        <v>7333322.3999999994</v>
      </c>
      <c r="I8" s="81">
        <f t="shared" si="1"/>
        <v>21709948.800000001</v>
      </c>
      <c r="J8" s="81">
        <f t="shared" si="2"/>
        <v>29043271.199999999</v>
      </c>
      <c r="K8" s="81">
        <f t="shared" si="4"/>
        <v>697038.50879999995</v>
      </c>
      <c r="L8" s="104">
        <f t="shared" ref="L8:L30" si="5">J8+K8</f>
        <v>29740309.708799999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44443</v>
      </c>
      <c r="C9" s="59">
        <v>161</v>
      </c>
      <c r="D9" s="87">
        <v>1035.78</v>
      </c>
      <c r="E9" s="115">
        <v>4480</v>
      </c>
      <c r="F9" s="115">
        <v>20640</v>
      </c>
      <c r="G9" s="80">
        <f t="shared" si="3"/>
        <v>25120</v>
      </c>
      <c r="H9" s="81">
        <f t="shared" si="0"/>
        <v>6960441.5999999996</v>
      </c>
      <c r="I9" s="81">
        <f t="shared" si="1"/>
        <v>21378499.199999999</v>
      </c>
      <c r="J9" s="81">
        <f t="shared" si="2"/>
        <v>28338940.799999997</v>
      </c>
      <c r="K9" s="81">
        <f t="shared" si="4"/>
        <v>680134.57919999992</v>
      </c>
      <c r="L9" s="104">
        <f t="shared" si="5"/>
        <v>29019075.379199997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44444</v>
      </c>
      <c r="C10" s="59">
        <v>161</v>
      </c>
      <c r="D10" s="87">
        <v>1035.78</v>
      </c>
      <c r="E10" s="115">
        <v>4600</v>
      </c>
      <c r="F10" s="115">
        <v>21880</v>
      </c>
      <c r="G10" s="80">
        <f t="shared" si="3"/>
        <v>26480</v>
      </c>
      <c r="H10" s="81">
        <f t="shared" si="0"/>
        <v>7146882</v>
      </c>
      <c r="I10" s="81">
        <f t="shared" si="1"/>
        <v>22662866.399999999</v>
      </c>
      <c r="J10" s="81">
        <f t="shared" si="2"/>
        <v>29809748.399999999</v>
      </c>
      <c r="K10" s="81">
        <f t="shared" si="4"/>
        <v>715433.96159999992</v>
      </c>
      <c r="L10" s="104">
        <f t="shared" si="5"/>
        <v>30525182.361599997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44445</v>
      </c>
      <c r="C11" s="59">
        <v>161</v>
      </c>
      <c r="D11" s="87">
        <v>1035.78</v>
      </c>
      <c r="E11" s="115">
        <v>4560</v>
      </c>
      <c r="F11" s="115">
        <v>18240</v>
      </c>
      <c r="G11" s="80">
        <f t="shared" si="3"/>
        <v>22800</v>
      </c>
      <c r="H11" s="81">
        <f t="shared" si="0"/>
        <v>7084735.2000000002</v>
      </c>
      <c r="I11" s="81">
        <f t="shared" si="1"/>
        <v>18892627.199999999</v>
      </c>
      <c r="J11" s="81">
        <f t="shared" si="2"/>
        <v>25977362.399999999</v>
      </c>
      <c r="K11" s="81">
        <f t="shared" si="4"/>
        <v>623456.69759999996</v>
      </c>
      <c r="L11" s="104">
        <f t="shared" si="5"/>
        <v>26600819.097599998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44446</v>
      </c>
      <c r="C12" s="59">
        <v>161</v>
      </c>
      <c r="D12" s="87">
        <v>1035.78</v>
      </c>
      <c r="E12" s="115">
        <v>4600</v>
      </c>
      <c r="F12" s="115">
        <v>21240</v>
      </c>
      <c r="G12" s="80">
        <f t="shared" si="3"/>
        <v>25840</v>
      </c>
      <c r="H12" s="81">
        <f t="shared" si="0"/>
        <v>7146882</v>
      </c>
      <c r="I12" s="81">
        <f t="shared" si="1"/>
        <v>21999967.199999999</v>
      </c>
      <c r="J12" s="81">
        <f t="shared" si="2"/>
        <v>29146849.199999999</v>
      </c>
      <c r="K12" s="81">
        <f t="shared" si="4"/>
        <v>699524.38080000004</v>
      </c>
      <c r="L12" s="104">
        <f t="shared" si="5"/>
        <v>29846373.580800001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44447</v>
      </c>
      <c r="C13" s="59">
        <v>161</v>
      </c>
      <c r="D13" s="87">
        <v>1035.78</v>
      </c>
      <c r="E13" s="115">
        <v>5360</v>
      </c>
      <c r="F13" s="115">
        <v>21440</v>
      </c>
      <c r="G13" s="80">
        <f t="shared" si="3"/>
        <v>26800</v>
      </c>
      <c r="H13" s="81">
        <f t="shared" si="0"/>
        <v>8327671.2000000002</v>
      </c>
      <c r="I13" s="81">
        <f t="shared" si="1"/>
        <v>22207123.199999999</v>
      </c>
      <c r="J13" s="81">
        <f t="shared" si="2"/>
        <v>30534794.399999999</v>
      </c>
      <c r="K13" s="81">
        <f t="shared" si="4"/>
        <v>732835.06559999997</v>
      </c>
      <c r="L13" s="104">
        <f t="shared" si="5"/>
        <v>31267629.465599999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44448</v>
      </c>
      <c r="C14" s="59">
        <v>161</v>
      </c>
      <c r="D14" s="87">
        <v>1035.78</v>
      </c>
      <c r="E14" s="115">
        <v>3600</v>
      </c>
      <c r="F14" s="115">
        <v>19760</v>
      </c>
      <c r="G14" s="80">
        <f t="shared" si="3"/>
        <v>23360</v>
      </c>
      <c r="H14" s="81">
        <f t="shared" si="0"/>
        <v>5593212</v>
      </c>
      <c r="I14" s="81">
        <f t="shared" si="1"/>
        <v>20467012.800000001</v>
      </c>
      <c r="J14" s="81">
        <f t="shared" si="2"/>
        <v>26060224.800000001</v>
      </c>
      <c r="K14" s="81">
        <f t="shared" si="4"/>
        <v>625445.39520000003</v>
      </c>
      <c r="L14" s="104">
        <f t="shared" si="5"/>
        <v>26685670.1952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44449</v>
      </c>
      <c r="C15" s="59">
        <v>161</v>
      </c>
      <c r="D15" s="87">
        <v>1035.78</v>
      </c>
      <c r="E15" s="115">
        <v>4400</v>
      </c>
      <c r="F15" s="115">
        <v>19920</v>
      </c>
      <c r="G15" s="80">
        <f t="shared" si="3"/>
        <v>24320</v>
      </c>
      <c r="H15" s="81">
        <f t="shared" si="0"/>
        <v>6836148</v>
      </c>
      <c r="I15" s="81">
        <f t="shared" si="1"/>
        <v>20632737.599999998</v>
      </c>
      <c r="J15" s="81">
        <f t="shared" si="2"/>
        <v>27468885.599999998</v>
      </c>
      <c r="K15" s="81">
        <f t="shared" si="4"/>
        <v>659253.25439999998</v>
      </c>
      <c r="L15" s="104">
        <f t="shared" si="5"/>
        <v>28128138.854399998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44450</v>
      </c>
      <c r="C16" s="59">
        <v>161</v>
      </c>
      <c r="D16" s="87">
        <v>1035.78</v>
      </c>
      <c r="E16" s="115">
        <v>4400</v>
      </c>
      <c r="F16" s="115">
        <v>20360</v>
      </c>
      <c r="G16" s="80">
        <f t="shared" si="3"/>
        <v>24760</v>
      </c>
      <c r="H16" s="81">
        <f t="shared" si="0"/>
        <v>6836148</v>
      </c>
      <c r="I16" s="81">
        <f t="shared" si="1"/>
        <v>21088480.800000001</v>
      </c>
      <c r="J16" s="81">
        <f t="shared" si="2"/>
        <v>27924628.800000001</v>
      </c>
      <c r="K16" s="81">
        <f t="shared" si="4"/>
        <v>670191.09120000002</v>
      </c>
      <c r="L16" s="104">
        <f t="shared" si="5"/>
        <v>28594819.891200002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44451</v>
      </c>
      <c r="C17" s="59">
        <v>161</v>
      </c>
      <c r="D17" s="87">
        <v>1035.78</v>
      </c>
      <c r="E17" s="115">
        <v>4560</v>
      </c>
      <c r="F17" s="115">
        <v>20720</v>
      </c>
      <c r="G17" s="80">
        <f t="shared" si="3"/>
        <v>25280</v>
      </c>
      <c r="H17" s="81">
        <f t="shared" si="0"/>
        <v>7084735.2000000002</v>
      </c>
      <c r="I17" s="81">
        <f t="shared" si="1"/>
        <v>21461361.599999998</v>
      </c>
      <c r="J17" s="81">
        <f t="shared" si="2"/>
        <v>28546096.799999997</v>
      </c>
      <c r="K17" s="81">
        <f t="shared" si="4"/>
        <v>685106.32319999998</v>
      </c>
      <c r="L17" s="104">
        <f t="shared" si="5"/>
        <v>29231203.123199996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44452</v>
      </c>
      <c r="C18" s="59">
        <v>161</v>
      </c>
      <c r="D18" s="87">
        <v>1035.78</v>
      </c>
      <c r="E18" s="115">
        <v>4440</v>
      </c>
      <c r="F18" s="115">
        <v>18400</v>
      </c>
      <c r="G18" s="80">
        <f t="shared" si="3"/>
        <v>22840</v>
      </c>
      <c r="H18" s="81">
        <f t="shared" si="0"/>
        <v>6898294.7999999998</v>
      </c>
      <c r="I18" s="81">
        <f t="shared" si="1"/>
        <v>19058352</v>
      </c>
      <c r="J18" s="81">
        <f t="shared" si="2"/>
        <v>25956646.800000001</v>
      </c>
      <c r="K18" s="81">
        <f t="shared" si="4"/>
        <v>622959.52320000005</v>
      </c>
      <c r="L18" s="104">
        <f t="shared" si="5"/>
        <v>26579606.323200002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44453</v>
      </c>
      <c r="C19" s="59">
        <v>161</v>
      </c>
      <c r="D19" s="87">
        <v>1035.78</v>
      </c>
      <c r="E19" s="115">
        <v>4680</v>
      </c>
      <c r="F19" s="115">
        <v>21520</v>
      </c>
      <c r="G19" s="80">
        <f t="shared" si="3"/>
        <v>26200</v>
      </c>
      <c r="H19" s="81">
        <f t="shared" si="0"/>
        <v>7271175.5999999996</v>
      </c>
      <c r="I19" s="81">
        <f t="shared" si="1"/>
        <v>22289985.599999998</v>
      </c>
      <c r="J19" s="81">
        <f t="shared" si="2"/>
        <v>29561161.199999996</v>
      </c>
      <c r="K19" s="81">
        <f t="shared" si="4"/>
        <v>709467.86879999994</v>
      </c>
      <c r="L19" s="104">
        <f t="shared" si="5"/>
        <v>30270629.068799995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44454</v>
      </c>
      <c r="C20" s="59">
        <v>161</v>
      </c>
      <c r="D20" s="87">
        <v>1035.78</v>
      </c>
      <c r="E20" s="115">
        <v>4360</v>
      </c>
      <c r="F20" s="115">
        <v>19920</v>
      </c>
      <c r="G20" s="80">
        <f t="shared" si="3"/>
        <v>24280</v>
      </c>
      <c r="H20" s="81">
        <f t="shared" si="0"/>
        <v>6774001.2000000002</v>
      </c>
      <c r="I20" s="81">
        <f t="shared" si="1"/>
        <v>20632737.599999998</v>
      </c>
      <c r="J20" s="81">
        <f t="shared" si="2"/>
        <v>27406738.799999997</v>
      </c>
      <c r="K20" s="81">
        <f t="shared" si="4"/>
        <v>657761.73119999992</v>
      </c>
      <c r="L20" s="104">
        <f t="shared" si="5"/>
        <v>28064500.531199995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44455</v>
      </c>
      <c r="C21" s="59">
        <v>161</v>
      </c>
      <c r="D21" s="87">
        <v>1035.78</v>
      </c>
      <c r="E21" s="115">
        <v>4640</v>
      </c>
      <c r="F21" s="115">
        <v>21000</v>
      </c>
      <c r="G21" s="80">
        <f t="shared" si="3"/>
        <v>25640</v>
      </c>
      <c r="H21" s="81">
        <f t="shared" si="0"/>
        <v>7209028.7999999998</v>
      </c>
      <c r="I21" s="81">
        <f t="shared" si="1"/>
        <v>21751380</v>
      </c>
      <c r="J21" s="81">
        <f t="shared" si="2"/>
        <v>28960408.800000001</v>
      </c>
      <c r="K21" s="81">
        <f t="shared" si="4"/>
        <v>695049.8112</v>
      </c>
      <c r="L21" s="104">
        <f t="shared" si="5"/>
        <v>29655458.611200001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44456</v>
      </c>
      <c r="C22" s="59">
        <v>161</v>
      </c>
      <c r="D22" s="87">
        <v>1035.78</v>
      </c>
      <c r="E22" s="115">
        <v>4720</v>
      </c>
      <c r="F22" s="115">
        <v>18680</v>
      </c>
      <c r="G22" s="80">
        <f t="shared" si="3"/>
        <v>23400</v>
      </c>
      <c r="H22" s="81">
        <f t="shared" si="0"/>
        <v>7333322.3999999994</v>
      </c>
      <c r="I22" s="81">
        <f t="shared" si="1"/>
        <v>19348370.399999999</v>
      </c>
      <c r="J22" s="81">
        <f t="shared" si="2"/>
        <v>26681692.799999997</v>
      </c>
      <c r="K22" s="81">
        <f t="shared" si="4"/>
        <v>640360.62719999999</v>
      </c>
      <c r="L22" s="104">
        <f t="shared" si="5"/>
        <v>27322053.427199997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44457</v>
      </c>
      <c r="C23" s="59">
        <v>161</v>
      </c>
      <c r="D23" s="87">
        <v>1035.78</v>
      </c>
      <c r="E23" s="115">
        <v>4640</v>
      </c>
      <c r="F23" s="115">
        <v>19920</v>
      </c>
      <c r="G23" s="80">
        <f t="shared" si="3"/>
        <v>24560</v>
      </c>
      <c r="H23" s="81">
        <f t="shared" si="0"/>
        <v>7209028.7999999998</v>
      </c>
      <c r="I23" s="81">
        <f t="shared" si="1"/>
        <v>20632737.599999998</v>
      </c>
      <c r="J23" s="81">
        <f t="shared" si="2"/>
        <v>27841766.399999999</v>
      </c>
      <c r="K23" s="81">
        <f t="shared" si="4"/>
        <v>668202.39359999995</v>
      </c>
      <c r="L23" s="104">
        <f t="shared" si="5"/>
        <v>28509968.793599997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44458</v>
      </c>
      <c r="C24" s="59">
        <v>161</v>
      </c>
      <c r="D24" s="87">
        <v>1035.78</v>
      </c>
      <c r="E24" s="115">
        <v>4560</v>
      </c>
      <c r="F24" s="115">
        <v>23880</v>
      </c>
      <c r="G24" s="80">
        <f t="shared" si="3"/>
        <v>28440</v>
      </c>
      <c r="H24" s="81">
        <f t="shared" si="0"/>
        <v>7084735.2000000002</v>
      </c>
      <c r="I24" s="81">
        <f t="shared" si="1"/>
        <v>24734426.399999999</v>
      </c>
      <c r="J24" s="81">
        <f t="shared" si="2"/>
        <v>31819161.599999998</v>
      </c>
      <c r="K24" s="81">
        <f t="shared" si="4"/>
        <v>763659.87839999993</v>
      </c>
      <c r="L24" s="104">
        <f t="shared" si="5"/>
        <v>32582821.478399999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44459</v>
      </c>
      <c r="C25" s="59">
        <v>161</v>
      </c>
      <c r="D25" s="87">
        <v>1035.78</v>
      </c>
      <c r="E25" s="115">
        <v>4560</v>
      </c>
      <c r="F25" s="115">
        <v>20120</v>
      </c>
      <c r="G25" s="80">
        <f t="shared" si="3"/>
        <v>24680</v>
      </c>
      <c r="H25" s="81">
        <f t="shared" si="0"/>
        <v>7084735.2000000002</v>
      </c>
      <c r="I25" s="81">
        <f t="shared" si="1"/>
        <v>20839893.599999998</v>
      </c>
      <c r="J25" s="81">
        <f t="shared" si="2"/>
        <v>27924628.799999997</v>
      </c>
      <c r="K25" s="81">
        <f t="shared" si="4"/>
        <v>670191.09119999991</v>
      </c>
      <c r="L25" s="104">
        <f t="shared" si="5"/>
        <v>28594819.891199999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44460</v>
      </c>
      <c r="C26" s="59">
        <v>161</v>
      </c>
      <c r="D26" s="87">
        <v>1035.78</v>
      </c>
      <c r="E26" s="115">
        <v>4480</v>
      </c>
      <c r="F26" s="115">
        <v>20480</v>
      </c>
      <c r="G26" s="80">
        <f t="shared" si="3"/>
        <v>24960</v>
      </c>
      <c r="H26" s="81">
        <f t="shared" si="0"/>
        <v>6960441.5999999996</v>
      </c>
      <c r="I26" s="81">
        <f t="shared" si="1"/>
        <v>21212774.399999999</v>
      </c>
      <c r="J26" s="81">
        <f t="shared" si="2"/>
        <v>28173216</v>
      </c>
      <c r="K26" s="81">
        <f t="shared" si="4"/>
        <v>676157.18400000001</v>
      </c>
      <c r="L26" s="104">
        <f>J26+K26</f>
        <v>28849373.184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44461</v>
      </c>
      <c r="C27" s="59">
        <v>161</v>
      </c>
      <c r="D27" s="87">
        <v>1035.78</v>
      </c>
      <c r="E27" s="115">
        <v>4520</v>
      </c>
      <c r="F27" s="115">
        <v>18080</v>
      </c>
      <c r="G27" s="80">
        <f t="shared" si="3"/>
        <v>22600</v>
      </c>
      <c r="H27" s="81">
        <f t="shared" si="0"/>
        <v>7022588.3999999994</v>
      </c>
      <c r="I27" s="81">
        <f t="shared" si="1"/>
        <v>18726902.399999999</v>
      </c>
      <c r="J27" s="81">
        <f t="shared" si="2"/>
        <v>25749490.799999997</v>
      </c>
      <c r="K27" s="81">
        <f t="shared" si="4"/>
        <v>617987.77919999999</v>
      </c>
      <c r="L27" s="104">
        <f t="shared" si="5"/>
        <v>26367478.579199996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44462</v>
      </c>
      <c r="C28" s="59">
        <v>161</v>
      </c>
      <c r="D28" s="87">
        <v>1035.78</v>
      </c>
      <c r="E28" s="115">
        <v>3920</v>
      </c>
      <c r="F28" s="115">
        <v>21360</v>
      </c>
      <c r="G28" s="80">
        <f t="shared" si="3"/>
        <v>25280</v>
      </c>
      <c r="H28" s="81">
        <f t="shared" si="0"/>
        <v>6090386.3999999994</v>
      </c>
      <c r="I28" s="81">
        <f t="shared" si="1"/>
        <v>22124260.800000001</v>
      </c>
      <c r="J28" s="81">
        <f t="shared" si="2"/>
        <v>28214647.199999999</v>
      </c>
      <c r="K28" s="81">
        <f t="shared" si="4"/>
        <v>677151.53280000004</v>
      </c>
      <c r="L28" s="104">
        <f t="shared" si="5"/>
        <v>28891798.732799999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44463</v>
      </c>
      <c r="C29" s="59">
        <v>161</v>
      </c>
      <c r="D29" s="87">
        <v>1035.78</v>
      </c>
      <c r="E29" s="115">
        <v>4040</v>
      </c>
      <c r="F29" s="115">
        <v>22920</v>
      </c>
      <c r="G29" s="80">
        <f t="shared" si="3"/>
        <v>26960</v>
      </c>
      <c r="H29" s="81">
        <f t="shared" si="0"/>
        <v>6276826.7999999998</v>
      </c>
      <c r="I29" s="81">
        <f t="shared" si="1"/>
        <v>23740077.599999998</v>
      </c>
      <c r="J29" s="81">
        <f t="shared" si="2"/>
        <v>30016904.399999999</v>
      </c>
      <c r="K29" s="81">
        <f t="shared" si="4"/>
        <v>720405.70559999999</v>
      </c>
      <c r="L29" s="104">
        <f t="shared" si="5"/>
        <v>30737310.105599999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44464</v>
      </c>
      <c r="C30" s="59">
        <v>161</v>
      </c>
      <c r="D30" s="87">
        <v>1035.78</v>
      </c>
      <c r="E30" s="115">
        <v>5640</v>
      </c>
      <c r="F30" s="115">
        <v>20280</v>
      </c>
      <c r="G30" s="80">
        <f t="shared" si="3"/>
        <v>25920</v>
      </c>
      <c r="H30" s="81">
        <f t="shared" si="0"/>
        <v>8762698.7999999989</v>
      </c>
      <c r="I30" s="81">
        <f t="shared" si="1"/>
        <v>21005618.399999999</v>
      </c>
      <c r="J30" s="81">
        <f t="shared" si="2"/>
        <v>29768317.199999996</v>
      </c>
      <c r="K30" s="81">
        <f t="shared" si="4"/>
        <v>714439.61279999989</v>
      </c>
      <c r="L30" s="104">
        <f t="shared" si="5"/>
        <v>30482756.812799994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44465</v>
      </c>
      <c r="C31" s="59">
        <v>161</v>
      </c>
      <c r="D31" s="87">
        <v>1035.78</v>
      </c>
      <c r="E31" s="115">
        <v>4600</v>
      </c>
      <c r="F31" s="115">
        <v>20960</v>
      </c>
      <c r="G31" s="80">
        <f t="shared" si="3"/>
        <v>25560</v>
      </c>
      <c r="H31" s="81">
        <f t="shared" si="0"/>
        <v>7146882</v>
      </c>
      <c r="I31" s="81">
        <f t="shared" si="1"/>
        <v>21709948.800000001</v>
      </c>
      <c r="J31" s="81">
        <f t="shared" ref="J31:J33" si="6">I31+H31</f>
        <v>28856830.800000001</v>
      </c>
      <c r="K31" s="81">
        <f t="shared" si="4"/>
        <v>692563.93920000002</v>
      </c>
      <c r="L31" s="104">
        <f t="shared" ref="L31:L33" si="7">J31+K31</f>
        <v>29549394.7392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44466</v>
      </c>
      <c r="C32" s="59">
        <v>161</v>
      </c>
      <c r="D32" s="87">
        <v>1035.78</v>
      </c>
      <c r="E32" s="115">
        <v>4520</v>
      </c>
      <c r="F32" s="115">
        <v>20840</v>
      </c>
      <c r="G32" s="80">
        <f t="shared" si="3"/>
        <v>25360</v>
      </c>
      <c r="H32" s="81">
        <f t="shared" si="0"/>
        <v>7022588.3999999994</v>
      </c>
      <c r="I32" s="81">
        <f t="shared" si="1"/>
        <v>21585655.199999999</v>
      </c>
      <c r="J32" s="81">
        <f t="shared" si="6"/>
        <v>28608243.599999998</v>
      </c>
      <c r="K32" s="81">
        <f t="shared" si="4"/>
        <v>686597.84639999992</v>
      </c>
      <c r="L32" s="104">
        <f t="shared" si="7"/>
        <v>29294841.446399998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44467</v>
      </c>
      <c r="C33" s="59">
        <v>161</v>
      </c>
      <c r="D33" s="87">
        <v>1035.78</v>
      </c>
      <c r="E33" s="115">
        <v>4640</v>
      </c>
      <c r="F33" s="115">
        <v>21000</v>
      </c>
      <c r="G33" s="80">
        <f t="shared" si="3"/>
        <v>25640</v>
      </c>
      <c r="H33" s="81">
        <f t="shared" si="0"/>
        <v>7209028.7999999998</v>
      </c>
      <c r="I33" s="81">
        <f t="shared" si="1"/>
        <v>21751380</v>
      </c>
      <c r="J33" s="81">
        <f t="shared" si="6"/>
        <v>28960408.800000001</v>
      </c>
      <c r="K33" s="81">
        <f t="shared" si="4"/>
        <v>695049.8112</v>
      </c>
      <c r="L33" s="104">
        <f t="shared" si="7"/>
        <v>29655458.611200001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44468</v>
      </c>
      <c r="C34" s="59">
        <v>161</v>
      </c>
      <c r="D34" s="87">
        <v>1035.78</v>
      </c>
      <c r="E34" s="115">
        <v>4720</v>
      </c>
      <c r="F34" s="115">
        <v>21600</v>
      </c>
      <c r="G34" s="80">
        <f t="shared" ref="G34" si="8">F34+E34</f>
        <v>26320</v>
      </c>
      <c r="H34" s="81">
        <f t="shared" ref="H34" si="9">E34*1.5*D34</f>
        <v>7333322.3999999994</v>
      </c>
      <c r="I34" s="81">
        <f t="shared" ref="I34" si="10">F34*D34</f>
        <v>22372848</v>
      </c>
      <c r="J34" s="81">
        <f t="shared" ref="J34" si="11">I34+H34</f>
        <v>29706170.399999999</v>
      </c>
      <c r="K34" s="81">
        <f t="shared" si="4"/>
        <v>712948.08959999995</v>
      </c>
      <c r="L34" s="104">
        <f t="shared" ref="L34" si="12">J34+K34</f>
        <v>30419118.489599999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44469</v>
      </c>
      <c r="C35" s="59">
        <v>161</v>
      </c>
      <c r="D35" s="87">
        <v>1035.78</v>
      </c>
      <c r="E35" s="115">
        <v>4960</v>
      </c>
      <c r="F35" s="115">
        <v>21520</v>
      </c>
      <c r="G35" s="80">
        <f t="shared" ref="G35" si="13">F35+E35</f>
        <v>26480</v>
      </c>
      <c r="H35" s="81">
        <f t="shared" ref="H35" si="14">E35*1.5*D35</f>
        <v>7706203.2000000002</v>
      </c>
      <c r="I35" s="81">
        <f t="shared" ref="I35" si="15">F35*D35</f>
        <v>22289985.599999998</v>
      </c>
      <c r="J35" s="81">
        <f t="shared" ref="J35" si="16">I35+H35</f>
        <v>29996188.799999997</v>
      </c>
      <c r="K35" s="81">
        <f t="shared" si="4"/>
        <v>719908.53119999997</v>
      </c>
      <c r="L35" s="104">
        <f t="shared" ref="L35" si="17">J35+K35</f>
        <v>30716097.331199996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4508</v>
      </c>
      <c r="D36" s="88"/>
      <c r="E36" s="82">
        <f t="shared" ref="E36:G36" si="18">SUM(E6:E35)</f>
        <v>137560</v>
      </c>
      <c r="F36" s="82">
        <f t="shared" si="18"/>
        <v>619880</v>
      </c>
      <c r="G36" s="82">
        <f t="shared" si="18"/>
        <v>757440</v>
      </c>
      <c r="H36" s="82">
        <f>SUM(H6:H35)</f>
        <v>213722845.20000002</v>
      </c>
      <c r="I36" s="82">
        <f>SUM(I6:I35)</f>
        <v>642059306.4000001</v>
      </c>
      <c r="J36" s="82">
        <f>SUM(J6:J35)</f>
        <v>855782151.5999999</v>
      </c>
      <c r="K36" s="82">
        <f>SUM(K6:K35)</f>
        <v>20538771.6384</v>
      </c>
      <c r="L36" s="82">
        <f>SUM(L6:L35)</f>
        <v>876320923.23839998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topLeftCell="A3" zoomScaleNormal="100" workbookViewId="0">
      <selection activeCell="E49" sqref="E49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9</v>
      </c>
      <c r="D5" s="78">
        <v>2021</v>
      </c>
      <c r="E5" s="114">
        <v>7</v>
      </c>
      <c r="F5" s="108">
        <v>388</v>
      </c>
      <c r="G5" s="56">
        <f>E5+F5</f>
        <v>395</v>
      </c>
    </row>
    <row r="6" spans="1:43" ht="15.75" x14ac:dyDescent="0.25">
      <c r="B6" s="78">
        <v>2</v>
      </c>
      <c r="C6" s="78">
        <v>9</v>
      </c>
      <c r="D6" s="78">
        <v>2021</v>
      </c>
      <c r="E6" s="114">
        <v>6</v>
      </c>
      <c r="F6" s="109">
        <v>353</v>
      </c>
      <c r="G6" s="56">
        <f t="shared" ref="G6:G34" si="0">E6+F6</f>
        <v>359</v>
      </c>
    </row>
    <row r="7" spans="1:43" ht="15.75" x14ac:dyDescent="0.25">
      <c r="B7" s="78">
        <v>3</v>
      </c>
      <c r="C7" s="78">
        <v>9</v>
      </c>
      <c r="D7" s="78">
        <v>2021</v>
      </c>
      <c r="E7" s="113">
        <v>7</v>
      </c>
      <c r="F7" s="108">
        <v>379</v>
      </c>
      <c r="G7" s="56">
        <f t="shared" si="0"/>
        <v>386</v>
      </c>
    </row>
    <row r="8" spans="1:43" ht="15.75" x14ac:dyDescent="0.25">
      <c r="B8" s="78">
        <v>4</v>
      </c>
      <c r="C8" s="78">
        <v>9</v>
      </c>
      <c r="D8" s="78">
        <v>2021</v>
      </c>
      <c r="E8" s="113">
        <v>6</v>
      </c>
      <c r="F8" s="108">
        <v>382</v>
      </c>
      <c r="G8" s="56">
        <f t="shared" si="0"/>
        <v>388</v>
      </c>
    </row>
    <row r="9" spans="1:43" ht="15.75" x14ac:dyDescent="0.25">
      <c r="B9" s="78">
        <v>5</v>
      </c>
      <c r="C9" s="78">
        <v>9</v>
      </c>
      <c r="D9" s="78">
        <v>2021</v>
      </c>
      <c r="E9" s="113">
        <v>6</v>
      </c>
      <c r="F9" s="108">
        <v>303</v>
      </c>
      <c r="G9" s="56">
        <f t="shared" si="0"/>
        <v>309</v>
      </c>
    </row>
    <row r="10" spans="1:43" ht="15.75" x14ac:dyDescent="0.25">
      <c r="B10" s="78">
        <v>6</v>
      </c>
      <c r="C10" s="78">
        <v>9</v>
      </c>
      <c r="D10" s="78">
        <v>2021</v>
      </c>
      <c r="E10" s="113">
        <v>6</v>
      </c>
      <c r="F10" s="108">
        <v>332</v>
      </c>
      <c r="G10" s="56">
        <f t="shared" si="0"/>
        <v>338</v>
      </c>
    </row>
    <row r="11" spans="1:43" ht="15.75" x14ac:dyDescent="0.25">
      <c r="B11" s="78">
        <v>7</v>
      </c>
      <c r="C11" s="78">
        <v>9</v>
      </c>
      <c r="D11" s="78">
        <v>2021</v>
      </c>
      <c r="E11" s="113">
        <v>7</v>
      </c>
      <c r="F11" s="108">
        <v>363</v>
      </c>
      <c r="G11" s="56">
        <f t="shared" si="0"/>
        <v>370</v>
      </c>
    </row>
    <row r="12" spans="1:43" ht="15.75" x14ac:dyDescent="0.25">
      <c r="B12" s="78">
        <v>8</v>
      </c>
      <c r="C12" s="78">
        <v>9</v>
      </c>
      <c r="D12" s="78">
        <v>2021</v>
      </c>
      <c r="E12" s="113">
        <v>5</v>
      </c>
      <c r="F12" s="109">
        <v>304</v>
      </c>
      <c r="G12" s="56">
        <f t="shared" si="0"/>
        <v>309</v>
      </c>
    </row>
    <row r="13" spans="1:43" ht="15.75" x14ac:dyDescent="0.25">
      <c r="B13" s="78">
        <v>9</v>
      </c>
      <c r="C13" s="78">
        <v>9</v>
      </c>
      <c r="D13" s="78">
        <v>2021</v>
      </c>
      <c r="E13" s="114">
        <v>6</v>
      </c>
      <c r="F13" s="109">
        <v>342</v>
      </c>
      <c r="G13" s="56">
        <f t="shared" si="0"/>
        <v>348</v>
      </c>
    </row>
    <row r="14" spans="1:43" ht="15.75" x14ac:dyDescent="0.25">
      <c r="B14" s="78">
        <v>10</v>
      </c>
      <c r="C14" s="78">
        <v>9</v>
      </c>
      <c r="D14" s="78">
        <v>2021</v>
      </c>
      <c r="E14" s="113">
        <v>6</v>
      </c>
      <c r="F14" s="109">
        <v>361</v>
      </c>
      <c r="G14" s="56">
        <f t="shared" si="0"/>
        <v>367</v>
      </c>
    </row>
    <row r="15" spans="1:43" ht="15.75" x14ac:dyDescent="0.25">
      <c r="B15" s="78">
        <v>11</v>
      </c>
      <c r="C15" s="78">
        <v>9</v>
      </c>
      <c r="D15" s="78">
        <v>2021</v>
      </c>
      <c r="E15" s="113">
        <v>6</v>
      </c>
      <c r="F15" s="108">
        <v>296</v>
      </c>
      <c r="G15" s="56">
        <f t="shared" si="0"/>
        <v>302</v>
      </c>
    </row>
    <row r="16" spans="1:43" ht="15.75" x14ac:dyDescent="0.25">
      <c r="B16" s="78">
        <v>12</v>
      </c>
      <c r="C16" s="78">
        <v>9</v>
      </c>
      <c r="D16" s="78">
        <v>2021</v>
      </c>
      <c r="E16" s="113">
        <v>5</v>
      </c>
      <c r="F16" s="108">
        <v>347</v>
      </c>
      <c r="G16" s="56">
        <f t="shared" si="0"/>
        <v>352</v>
      </c>
    </row>
    <row r="17" spans="2:7" ht="15.75" x14ac:dyDescent="0.25">
      <c r="B17" s="78">
        <v>13</v>
      </c>
      <c r="C17" s="78">
        <v>9</v>
      </c>
      <c r="D17" s="78">
        <v>2021</v>
      </c>
      <c r="E17" s="113">
        <v>6</v>
      </c>
      <c r="F17" s="108">
        <v>328</v>
      </c>
      <c r="G17" s="56">
        <f t="shared" si="0"/>
        <v>334</v>
      </c>
    </row>
    <row r="18" spans="2:7" ht="15.75" x14ac:dyDescent="0.25">
      <c r="B18" s="78">
        <v>14</v>
      </c>
      <c r="C18" s="78">
        <v>9</v>
      </c>
      <c r="D18" s="78">
        <v>2021</v>
      </c>
      <c r="E18" s="113">
        <v>6</v>
      </c>
      <c r="F18" s="108">
        <v>334</v>
      </c>
      <c r="G18" s="56">
        <f t="shared" si="0"/>
        <v>340</v>
      </c>
    </row>
    <row r="19" spans="2:7" ht="15.75" x14ac:dyDescent="0.25">
      <c r="B19" s="78">
        <v>15</v>
      </c>
      <c r="C19" s="78">
        <v>9</v>
      </c>
      <c r="D19" s="78">
        <v>2021</v>
      </c>
      <c r="E19" s="113">
        <v>7</v>
      </c>
      <c r="F19" s="108">
        <v>375</v>
      </c>
      <c r="G19" s="56">
        <f t="shared" si="0"/>
        <v>382</v>
      </c>
    </row>
    <row r="20" spans="2:7" ht="15.75" x14ac:dyDescent="0.25">
      <c r="B20" s="78">
        <v>16</v>
      </c>
      <c r="C20" s="78">
        <v>9</v>
      </c>
      <c r="D20" s="78">
        <v>2021</v>
      </c>
      <c r="E20" s="114">
        <v>5</v>
      </c>
      <c r="F20" s="109">
        <v>323</v>
      </c>
      <c r="G20" s="56">
        <f t="shared" si="0"/>
        <v>328</v>
      </c>
    </row>
    <row r="21" spans="2:7" ht="15.75" x14ac:dyDescent="0.25">
      <c r="B21" s="78">
        <v>17</v>
      </c>
      <c r="C21" s="78">
        <v>9</v>
      </c>
      <c r="D21" s="78">
        <v>2021</v>
      </c>
      <c r="E21" s="113">
        <v>4</v>
      </c>
      <c r="F21" s="108">
        <v>303</v>
      </c>
      <c r="G21" s="56">
        <f t="shared" si="0"/>
        <v>307</v>
      </c>
    </row>
    <row r="22" spans="2:7" ht="15.75" x14ac:dyDescent="0.25">
      <c r="B22" s="78">
        <v>18</v>
      </c>
      <c r="C22" s="78">
        <v>9</v>
      </c>
      <c r="D22" s="78">
        <v>2021</v>
      </c>
      <c r="E22" s="113">
        <v>5</v>
      </c>
      <c r="F22" s="108">
        <v>333</v>
      </c>
      <c r="G22" s="56">
        <f t="shared" si="0"/>
        <v>338</v>
      </c>
    </row>
    <row r="23" spans="2:7" ht="15.75" x14ac:dyDescent="0.25">
      <c r="B23" s="78">
        <v>19</v>
      </c>
      <c r="C23" s="78">
        <v>9</v>
      </c>
      <c r="D23" s="78">
        <v>2021</v>
      </c>
      <c r="E23" s="113">
        <v>5</v>
      </c>
      <c r="F23" s="108">
        <v>327</v>
      </c>
      <c r="G23" s="56">
        <f t="shared" si="0"/>
        <v>332</v>
      </c>
    </row>
    <row r="24" spans="2:7" ht="15.75" x14ac:dyDescent="0.25">
      <c r="B24" s="78">
        <v>20</v>
      </c>
      <c r="C24" s="78">
        <v>9</v>
      </c>
      <c r="D24" s="78">
        <v>2021</v>
      </c>
      <c r="E24" s="113">
        <v>4</v>
      </c>
      <c r="F24" s="108">
        <v>249</v>
      </c>
      <c r="G24" s="56">
        <f t="shared" si="0"/>
        <v>253</v>
      </c>
    </row>
    <row r="25" spans="2:7" ht="15.75" x14ac:dyDescent="0.25">
      <c r="B25" s="78">
        <v>21</v>
      </c>
      <c r="C25" s="78">
        <v>9</v>
      </c>
      <c r="D25" s="78">
        <v>2021</v>
      </c>
      <c r="E25" s="113">
        <v>4</v>
      </c>
      <c r="F25" s="108">
        <v>314</v>
      </c>
      <c r="G25" s="56">
        <f t="shared" si="0"/>
        <v>318</v>
      </c>
    </row>
    <row r="26" spans="2:7" ht="15.75" x14ac:dyDescent="0.25">
      <c r="B26" s="78">
        <v>22</v>
      </c>
      <c r="C26" s="78">
        <v>9</v>
      </c>
      <c r="D26" s="78">
        <v>2021</v>
      </c>
      <c r="E26" s="113">
        <v>5</v>
      </c>
      <c r="F26" s="108">
        <v>308</v>
      </c>
      <c r="G26" s="56">
        <f t="shared" si="0"/>
        <v>313</v>
      </c>
    </row>
    <row r="27" spans="2:7" ht="15.75" x14ac:dyDescent="0.25">
      <c r="B27" s="78">
        <v>23</v>
      </c>
      <c r="C27" s="78">
        <v>9</v>
      </c>
      <c r="D27" s="78">
        <v>2021</v>
      </c>
      <c r="E27" s="114">
        <v>5</v>
      </c>
      <c r="F27" s="109">
        <v>313</v>
      </c>
      <c r="G27" s="56">
        <f t="shared" si="0"/>
        <v>318</v>
      </c>
    </row>
    <row r="28" spans="2:7" ht="15.75" x14ac:dyDescent="0.25">
      <c r="B28" s="78">
        <v>24</v>
      </c>
      <c r="C28" s="78">
        <v>9</v>
      </c>
      <c r="D28" s="78">
        <v>2021</v>
      </c>
      <c r="E28" s="113">
        <v>4</v>
      </c>
      <c r="F28" s="108">
        <v>306</v>
      </c>
      <c r="G28" s="56">
        <f t="shared" si="0"/>
        <v>310</v>
      </c>
    </row>
    <row r="29" spans="2:7" ht="15.75" x14ac:dyDescent="0.25">
      <c r="B29" s="78">
        <v>25</v>
      </c>
      <c r="C29" s="78">
        <v>9</v>
      </c>
      <c r="D29" s="78">
        <v>2021</v>
      </c>
      <c r="E29" s="113">
        <v>5</v>
      </c>
      <c r="F29" s="108">
        <v>305</v>
      </c>
      <c r="G29" s="56">
        <f t="shared" si="0"/>
        <v>310</v>
      </c>
    </row>
    <row r="30" spans="2:7" ht="15.75" x14ac:dyDescent="0.25">
      <c r="B30" s="78">
        <v>26</v>
      </c>
      <c r="C30" s="78">
        <v>9</v>
      </c>
      <c r="D30" s="78">
        <v>2021</v>
      </c>
      <c r="E30" s="113">
        <v>3</v>
      </c>
      <c r="F30" s="108">
        <v>254</v>
      </c>
      <c r="G30" s="56">
        <f t="shared" si="0"/>
        <v>257</v>
      </c>
    </row>
    <row r="31" spans="2:7" ht="15.75" x14ac:dyDescent="0.25">
      <c r="B31" s="78">
        <v>27</v>
      </c>
      <c r="C31" s="78">
        <v>9</v>
      </c>
      <c r="D31" s="78">
        <v>2021</v>
      </c>
      <c r="E31" s="113">
        <v>4</v>
      </c>
      <c r="F31" s="108">
        <v>256</v>
      </c>
      <c r="G31" s="56">
        <f t="shared" si="0"/>
        <v>260</v>
      </c>
    </row>
    <row r="32" spans="2:7" ht="15.75" x14ac:dyDescent="0.25">
      <c r="B32" s="78">
        <v>28</v>
      </c>
      <c r="C32" s="78">
        <v>9</v>
      </c>
      <c r="D32" s="78">
        <v>2021</v>
      </c>
      <c r="E32" s="113">
        <v>4</v>
      </c>
      <c r="F32" s="108">
        <v>264</v>
      </c>
      <c r="G32" s="56">
        <f t="shared" si="0"/>
        <v>268</v>
      </c>
    </row>
    <row r="33" spans="2:9" ht="15.75" x14ac:dyDescent="0.25">
      <c r="B33" s="78">
        <v>29</v>
      </c>
      <c r="C33" s="78">
        <v>9</v>
      </c>
      <c r="D33" s="78">
        <v>2021</v>
      </c>
      <c r="E33" s="113">
        <v>4</v>
      </c>
      <c r="F33" s="108">
        <v>265</v>
      </c>
      <c r="G33" s="56">
        <f t="shared" si="0"/>
        <v>269</v>
      </c>
    </row>
    <row r="34" spans="2:9" ht="15.75" x14ac:dyDescent="0.25">
      <c r="B34" s="78">
        <v>30</v>
      </c>
      <c r="C34" s="78">
        <v>9</v>
      </c>
      <c r="D34" s="78">
        <v>2021</v>
      </c>
      <c r="E34" s="113">
        <v>4</v>
      </c>
      <c r="F34" s="108">
        <v>274</v>
      </c>
      <c r="G34" s="56">
        <f t="shared" si="0"/>
        <v>278</v>
      </c>
    </row>
    <row r="35" spans="2:9" ht="21" x14ac:dyDescent="0.35">
      <c r="B35" s="64"/>
      <c r="C35" s="64"/>
      <c r="D35" s="64"/>
      <c r="E35" s="14">
        <f>SUM(E5:E34)</f>
        <v>157</v>
      </c>
      <c r="F35" s="14">
        <f>SUM(F5:F34)</f>
        <v>9581</v>
      </c>
      <c r="G35" s="14">
        <f>SUM(G5:G34)</f>
        <v>9738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G35</f>
        <v>9738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122211900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2023-03-14T08:04:04Z</dcterms:modified>
</cp:coreProperties>
</file>