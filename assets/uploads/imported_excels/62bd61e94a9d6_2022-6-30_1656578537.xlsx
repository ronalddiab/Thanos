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2ED3CC77-FA35-40DD-B571-19DF7C2CD07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I20" i="2" l="1"/>
  <c r="I21" i="2"/>
  <c r="M19" i="8" l="1"/>
  <c r="M20" i="8"/>
  <c r="I33" i="6" l="1"/>
  <c r="G33" i="6"/>
  <c r="E33" i="6"/>
  <c r="B36" i="4" l="1"/>
  <c r="G11" i="8" l="1"/>
  <c r="O33" i="6" l="1"/>
  <c r="N33" i="6"/>
  <c r="M33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K33" i="6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V13" i="8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1" i="4" s="1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90626CD1-FCB0-499A-9B5C-9BE5743FE98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10/06/22
</t>
        </r>
      </text>
    </comment>
    <comment ref="C13" authorId="0" shapeId="0" xr:uid="{15D56BC0-904A-419D-B2E6-AC53789A635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10/6/22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<sst xmlns="http://schemas.openxmlformats.org/spreadsheetml/2006/main" count="205" uniqueCount="131">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</sst>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</c:v>
                </c:pt>
                <c:pt idx="1">
                  <c:v>-3254800</c:v>
                </c:pt>
                <c:pt idx="2">
                  <c:v>-313430</c:v>
                </c:pt>
                <c:pt idx="3">
                  <c:v>-1237500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-48.498906591690108</c:v>
                </c:pt>
                <c:pt idx="2" formatCode="_(* #,##0.00_);_(* \(#,##0.00\);_(* &quot;-&quot;??_);_(@_)">
                  <c:v>-266263</c:v>
                </c:pt>
                <c:pt idx="3">
                  <c:v>-207.95298344267422</c:v>
                </c:pt>
                <c:pt idx="4" formatCode="0.00">
                  <c:v>-31133</c:v>
                </c:pt>
                <c:pt idx="5">
                  <c:v>-24.315057794439245</c:v>
                </c:pt>
                <c:pt idx="6" formatCode="0.00">
                  <c:v>-44222</c:v>
                </c:pt>
                <c:pt idx="7">
                  <c:v>-34.537644486098102</c:v>
                </c:pt>
                <c:pt idx="8" formatCode="0.00">
                  <c:v>-189</c:v>
                </c:pt>
                <c:pt idx="9">
                  <c:v>-0.14761012183692601</c:v>
                </c:pt>
                <c:pt idx="10" formatCode="0.00">
                  <c:v>-1702</c:v>
                </c:pt>
                <c:pt idx="11">
                  <c:v>-1.3292721024679792</c:v>
                </c:pt>
                <c:pt idx="12" formatCode="0.00">
                  <c:v>-67184</c:v>
                </c:pt>
                <c:pt idx="13">
                  <c:v>-52.471102780381145</c:v>
                </c:pt>
                <c:pt idx="14" formatCode="_(* #,##0.00_);_(* \(#,##0.00\);_(* &quot;-&quot;??_);_(@_)">
                  <c:v>-270526</c:v>
                </c:pt>
                <c:pt idx="15">
                  <c:v>-211.28241174632933</c:v>
                </c:pt>
                <c:pt idx="16" formatCode="0.00">
                  <c:v>-119680</c:v>
                </c:pt>
                <c:pt idx="17">
                  <c:v>-93.470790378006896</c:v>
                </c:pt>
                <c:pt idx="18" formatCode="0.00">
                  <c:v>-22819</c:v>
                </c:pt>
                <c:pt idx="19">
                  <c:v>-17.82177444548579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1280.3999999999996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R30" sqref="R3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2">
        <v>2022</v>
      </c>
      <c r="E2" s="54">
        <v>21320.000000000618</v>
      </c>
      <c r="F2" s="118"/>
      <c r="G2" s="102">
        <v>5862</v>
      </c>
      <c r="H2" s="119"/>
      <c r="I2" s="63">
        <v>326</v>
      </c>
      <c r="J2" s="73"/>
      <c r="K2" s="99"/>
      <c r="L2" s="73"/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2">
        <v>2022</v>
      </c>
      <c r="E3" s="54">
        <v>22170.000000000757</v>
      </c>
      <c r="F3" s="118"/>
      <c r="G3" s="102">
        <v>5908</v>
      </c>
      <c r="H3" s="119"/>
      <c r="I3" s="63">
        <v>264</v>
      </c>
      <c r="J3" s="73"/>
      <c r="K3" s="99"/>
      <c r="L3" s="73"/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6</v>
      </c>
      <c r="D4" s="112">
        <v>2022</v>
      </c>
      <c r="E4" s="54">
        <v>21599.999999998545</v>
      </c>
      <c r="F4" s="118"/>
      <c r="G4" s="102">
        <v>5985</v>
      </c>
      <c r="H4" s="119"/>
      <c r="I4" s="63">
        <v>258</v>
      </c>
      <c r="J4" s="73"/>
      <c r="K4" s="99"/>
      <c r="L4" s="73"/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2">
        <v>2022</v>
      </c>
      <c r="E5" s="54">
        <v>21829.999999999472</v>
      </c>
      <c r="F5" s="118"/>
      <c r="G5" s="102">
        <v>5985</v>
      </c>
      <c r="H5" s="119"/>
      <c r="I5" s="63">
        <v>295</v>
      </c>
      <c r="J5" s="73"/>
      <c r="K5" s="99"/>
      <c r="L5" s="73"/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2">
        <v>2022</v>
      </c>
      <c r="E6" s="54">
        <v>21140.000000001011</v>
      </c>
      <c r="F6" s="118"/>
      <c r="G6" s="102">
        <v>5849</v>
      </c>
      <c r="H6" s="119"/>
      <c r="I6" s="63">
        <v>291</v>
      </c>
      <c r="J6" s="73"/>
      <c r="K6" s="99"/>
      <c r="L6" s="73"/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2">
        <v>2022</v>
      </c>
      <c r="E7" s="54">
        <v>21080.000000000837</v>
      </c>
      <c r="F7" s="118"/>
      <c r="G7" s="102">
        <v>6001</v>
      </c>
      <c r="H7" s="119"/>
      <c r="I7" s="63">
        <v>318</v>
      </c>
      <c r="J7" s="73"/>
      <c r="K7" s="99"/>
      <c r="L7" s="73"/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2">
        <v>2022</v>
      </c>
      <c r="E8" s="102">
        <v>20589.999999998781</v>
      </c>
      <c r="F8" s="118"/>
      <c r="G8" s="102">
        <v>5792</v>
      </c>
      <c r="H8" s="119"/>
      <c r="I8" s="63">
        <v>403</v>
      </c>
      <c r="J8" s="73"/>
      <c r="K8" s="99"/>
      <c r="L8" s="73"/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2">
        <v>2022</v>
      </c>
      <c r="E9" s="102">
        <v>20440.000000001419</v>
      </c>
      <c r="F9" s="118"/>
      <c r="G9" s="102">
        <v>5449</v>
      </c>
      <c r="H9" s="119"/>
      <c r="I9" s="63">
        <v>218</v>
      </c>
      <c r="J9" s="73"/>
      <c r="K9" s="99"/>
      <c r="L9" s="73"/>
      <c r="M9" s="69">
        <v>26</v>
      </c>
      <c r="N9" s="69">
        <v>73</v>
      </c>
      <c r="O9" s="69">
        <v>176</v>
      </c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2">
        <v>2022</v>
      </c>
      <c r="E10" s="102">
        <v>20689.999999998006</v>
      </c>
      <c r="F10" s="118"/>
      <c r="G10" s="102">
        <v>5638</v>
      </c>
      <c r="H10" s="119"/>
      <c r="I10" s="63">
        <v>277</v>
      </c>
      <c r="J10" s="73"/>
      <c r="K10" s="99"/>
      <c r="L10" s="73"/>
      <c r="M10" s="69">
        <v>34</v>
      </c>
      <c r="N10" s="69">
        <v>96</v>
      </c>
      <c r="O10" s="69">
        <v>221</v>
      </c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2">
        <v>2022</v>
      </c>
      <c r="E11" s="102">
        <v>20299.999999999727</v>
      </c>
      <c r="F11" s="118"/>
      <c r="G11" s="102">
        <v>5658</v>
      </c>
      <c r="H11" s="119"/>
      <c r="I11" s="63">
        <v>333</v>
      </c>
      <c r="J11" s="73"/>
      <c r="K11" s="99"/>
      <c r="L11" s="73"/>
      <c r="M11" s="69">
        <v>31</v>
      </c>
      <c r="N11" s="69">
        <v>87</v>
      </c>
      <c r="O11" s="69">
        <v>223</v>
      </c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2">
        <v>2022</v>
      </c>
      <c r="E12" s="102">
        <v>21790.000000002467</v>
      </c>
      <c r="F12" s="118"/>
      <c r="G12" s="102">
        <v>5958</v>
      </c>
      <c r="H12" s="119"/>
      <c r="I12" s="63">
        <v>281</v>
      </c>
      <c r="J12" s="73"/>
      <c r="K12" s="99"/>
      <c r="L12" s="73"/>
      <c r="M12" s="69">
        <v>27</v>
      </c>
      <c r="N12" s="69">
        <v>87</v>
      </c>
      <c r="O12" s="69">
        <v>216</v>
      </c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2">
        <v>2022</v>
      </c>
      <c r="E13" s="102">
        <v>20839.999999997872</v>
      </c>
      <c r="F13" s="118"/>
      <c r="G13" s="102">
        <v>5897</v>
      </c>
      <c r="H13" s="119"/>
      <c r="I13" s="63">
        <v>338</v>
      </c>
      <c r="J13" s="73"/>
      <c r="K13" s="99"/>
      <c r="L13" s="73"/>
      <c r="M13" s="69">
        <v>28</v>
      </c>
      <c r="N13" s="69">
        <v>93</v>
      </c>
      <c r="O13" s="69">
        <v>236</v>
      </c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2">
        <v>2022</v>
      </c>
      <c r="E14" s="102">
        <v>21720.000000001164</v>
      </c>
      <c r="F14" s="118"/>
      <c r="G14" s="102">
        <v>6098</v>
      </c>
      <c r="H14" s="119"/>
      <c r="I14" s="63">
        <v>334</v>
      </c>
      <c r="J14" s="73"/>
      <c r="K14" s="99"/>
      <c r="L14" s="73"/>
      <c r="M14" s="69">
        <v>29</v>
      </c>
      <c r="N14" s="69">
        <v>91</v>
      </c>
      <c r="O14" s="69">
        <v>225</v>
      </c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2">
        <v>2022</v>
      </c>
      <c r="E15" s="102">
        <v>21470.00000000048</v>
      </c>
      <c r="F15" s="118"/>
      <c r="G15" s="102">
        <v>5912</v>
      </c>
      <c r="H15" s="119"/>
      <c r="I15" s="63">
        <v>306</v>
      </c>
      <c r="J15" s="73"/>
      <c r="K15" s="99"/>
      <c r="L15" s="73"/>
      <c r="M15" s="69">
        <v>28</v>
      </c>
      <c r="N15" s="69">
        <v>90</v>
      </c>
      <c r="O15" s="69">
        <v>159</v>
      </c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2">
        <v>2022</v>
      </c>
      <c r="E16" s="102">
        <v>22339.999999998101</v>
      </c>
      <c r="F16" s="118"/>
      <c r="G16" s="102">
        <v>6108</v>
      </c>
      <c r="H16" s="119"/>
      <c r="I16" s="63">
        <v>354</v>
      </c>
      <c r="J16" s="73"/>
      <c r="K16" s="99"/>
      <c r="L16" s="73"/>
      <c r="M16" s="69">
        <v>27</v>
      </c>
      <c r="N16" s="69">
        <v>76</v>
      </c>
      <c r="O16" s="69">
        <v>177</v>
      </c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2">
        <v>2022</v>
      </c>
      <c r="E17" s="102">
        <v>21850.000000000364</v>
      </c>
      <c r="F17" s="118"/>
      <c r="G17" s="102">
        <v>5890</v>
      </c>
      <c r="H17" s="119"/>
      <c r="I17" s="63">
        <v>297</v>
      </c>
      <c r="J17" s="73"/>
      <c r="K17" s="99"/>
      <c r="L17" s="73"/>
      <c r="M17" s="69">
        <v>23</v>
      </c>
      <c r="N17" s="69">
        <v>63</v>
      </c>
      <c r="O17" s="69">
        <v>142</v>
      </c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2">
        <v>2022</v>
      </c>
      <c r="E18" s="102">
        <v>20940.000000000284</v>
      </c>
      <c r="F18" s="118"/>
      <c r="G18" s="102">
        <v>5780</v>
      </c>
      <c r="H18" s="119"/>
      <c r="I18" s="63">
        <v>302</v>
      </c>
      <c r="J18" s="73"/>
      <c r="K18" s="99"/>
      <c r="L18" s="73"/>
      <c r="M18" s="69">
        <v>28</v>
      </c>
      <c r="N18" s="69">
        <v>60</v>
      </c>
      <c r="O18" s="69">
        <v>173</v>
      </c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2">
        <v>2022</v>
      </c>
      <c r="E19" s="102">
        <v>19930.000000001201</v>
      </c>
      <c r="F19" s="118"/>
      <c r="G19" s="102">
        <v>5513</v>
      </c>
      <c r="H19" s="119"/>
      <c r="I19" s="63">
        <v>285</v>
      </c>
      <c r="J19" s="73"/>
      <c r="K19" s="99"/>
      <c r="L19" s="73"/>
      <c r="M19" s="69">
        <v>19</v>
      </c>
      <c r="N19" s="69">
        <v>51</v>
      </c>
      <c r="O19" s="69">
        <v>120</v>
      </c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2">
        <v>2022</v>
      </c>
      <c r="E20" s="102">
        <v>21289.999999998145</v>
      </c>
      <c r="F20" s="118"/>
      <c r="G20" s="102">
        <v>5973</v>
      </c>
      <c r="H20" s="119"/>
      <c r="I20" s="63">
        <v>245</v>
      </c>
      <c r="J20" s="73"/>
      <c r="K20" s="99"/>
      <c r="L20" s="73"/>
      <c r="M20" s="69">
        <v>17</v>
      </c>
      <c r="N20" s="69">
        <v>46</v>
      </c>
      <c r="O20" s="69">
        <v>97</v>
      </c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2">
        <v>2022</v>
      </c>
      <c r="E21" s="102">
        <v>20840.0000000006</v>
      </c>
      <c r="F21" s="118"/>
      <c r="G21" s="102">
        <v>5883</v>
      </c>
      <c r="H21" s="119"/>
      <c r="I21" s="63">
        <v>280</v>
      </c>
      <c r="J21" s="73"/>
      <c r="K21" s="99"/>
      <c r="L21" s="73"/>
      <c r="M21" s="69">
        <v>16</v>
      </c>
      <c r="N21" s="69">
        <v>41</v>
      </c>
      <c r="O21" s="69">
        <v>104</v>
      </c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2">
        <v>2022</v>
      </c>
      <c r="E22" s="102">
        <v>20959.999999999127</v>
      </c>
      <c r="F22" s="118"/>
      <c r="G22" s="102">
        <v>5790</v>
      </c>
      <c r="H22" s="119"/>
      <c r="I22" s="63">
        <v>234</v>
      </c>
      <c r="J22" s="73"/>
      <c r="K22" s="99"/>
      <c r="L22" s="73"/>
      <c r="M22" s="69">
        <v>14</v>
      </c>
      <c r="N22" s="69">
        <v>37</v>
      </c>
      <c r="O22" s="69">
        <v>83</v>
      </c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2">
        <v>2022</v>
      </c>
      <c r="E23" s="102">
        <v>20140.000000000102</v>
      </c>
      <c r="F23" s="118"/>
      <c r="G23" s="102">
        <v>5475</v>
      </c>
      <c r="H23" s="119"/>
      <c r="I23" s="63">
        <v>274</v>
      </c>
      <c r="J23" s="73"/>
      <c r="K23" s="99"/>
      <c r="L23" s="73"/>
      <c r="M23" s="69">
        <v>13</v>
      </c>
      <c r="N23" s="69">
        <v>46</v>
      </c>
      <c r="O23" s="69">
        <v>93</v>
      </c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2">
        <v>2022</v>
      </c>
      <c r="E24" s="102">
        <v>19980.000000001608</v>
      </c>
      <c r="F24" s="118"/>
      <c r="G24" s="102">
        <v>5537</v>
      </c>
      <c r="H24" s="119"/>
      <c r="I24" s="63">
        <v>281</v>
      </c>
      <c r="J24" s="73"/>
      <c r="K24" s="99"/>
      <c r="L24" s="73"/>
      <c r="M24" s="69">
        <v>17</v>
      </c>
      <c r="N24" s="69">
        <v>57</v>
      </c>
      <c r="O24" s="69">
        <v>122</v>
      </c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2">
        <v>2022</v>
      </c>
      <c r="E25" s="102">
        <v>20089.99999999901</v>
      </c>
      <c r="F25" s="118"/>
      <c r="G25" s="102">
        <v>5493</v>
      </c>
      <c r="H25" s="119"/>
      <c r="I25" s="63">
        <v>267</v>
      </c>
      <c r="J25" s="73"/>
      <c r="K25" s="99"/>
      <c r="L25" s="73"/>
      <c r="M25" s="69">
        <v>19</v>
      </c>
      <c r="N25" s="69">
        <v>64</v>
      </c>
      <c r="O25" s="69">
        <v>132</v>
      </c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2">
        <v>2022</v>
      </c>
      <c r="E26" s="102">
        <v>18389.999999999873</v>
      </c>
      <c r="F26" s="118"/>
      <c r="G26" s="102">
        <v>5272</v>
      </c>
      <c r="H26" s="119"/>
      <c r="I26" s="63">
        <v>285</v>
      </c>
      <c r="J26" s="73"/>
      <c r="K26" s="99"/>
      <c r="L26" s="73"/>
      <c r="M26" s="69">
        <v>20</v>
      </c>
      <c r="N26" s="69">
        <v>59</v>
      </c>
      <c r="O26" s="69">
        <v>125</v>
      </c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2">
        <v>2022</v>
      </c>
      <c r="E27" s="102">
        <v>19759.999999999083</v>
      </c>
      <c r="F27" s="118"/>
      <c r="G27" s="102">
        <v>5479</v>
      </c>
      <c r="H27" s="119"/>
      <c r="I27" s="63">
        <v>280</v>
      </c>
      <c r="J27" s="73"/>
      <c r="K27" s="99"/>
      <c r="L27" s="73"/>
      <c r="M27" s="69">
        <v>18</v>
      </c>
      <c r="N27" s="69">
        <v>57</v>
      </c>
      <c r="O27" s="69">
        <v>151</v>
      </c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2">
        <v>2022</v>
      </c>
      <c r="E28" s="102">
        <v>20850.000000001273</v>
      </c>
      <c r="F28" s="118"/>
      <c r="G28" s="102">
        <v>5796</v>
      </c>
      <c r="H28" s="119"/>
      <c r="I28" s="63">
        <v>298</v>
      </c>
      <c r="J28" s="73"/>
      <c r="K28" s="99"/>
      <c r="L28" s="73"/>
      <c r="M28" s="69">
        <v>17</v>
      </c>
      <c r="N28" s="69">
        <v>53</v>
      </c>
      <c r="O28" s="69">
        <v>116</v>
      </c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2">
        <v>2022</v>
      </c>
      <c r="E29" s="102">
        <v>18720.00000000048</v>
      </c>
      <c r="F29" s="118"/>
      <c r="G29" s="102">
        <v>5134</v>
      </c>
      <c r="H29" s="119"/>
      <c r="I29" s="63">
        <v>270</v>
      </c>
      <c r="J29" s="73"/>
      <c r="K29" s="99"/>
      <c r="L29" s="73"/>
      <c r="M29" s="69">
        <v>14</v>
      </c>
      <c r="N29" s="69">
        <v>49</v>
      </c>
      <c r="O29" s="69">
        <v>106</v>
      </c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2">
        <v>2022</v>
      </c>
      <c r="E30" s="102">
        <v>21659.999999999854</v>
      </c>
      <c r="F30" s="118"/>
      <c r="G30" s="102">
        <v>5797</v>
      </c>
      <c r="H30" s="119"/>
      <c r="I30" s="63">
        <v>312</v>
      </c>
      <c r="J30" s="73"/>
      <c r="K30" s="99"/>
      <c r="L30" s="73"/>
      <c r="M30" s="69">
        <v>19</v>
      </c>
      <c r="N30" s="69">
        <v>68</v>
      </c>
      <c r="O30" s="69">
        <v>134</v>
      </c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2">
        <v>2022</v>
      </c>
      <c r="E31" s="98"/>
      <c r="F31" s="118"/>
      <c r="G31" s="98"/>
      <c r="H31" s="119"/>
      <c r="I31" s="63"/>
      <c r="J31" s="73"/>
      <c r="K31" s="99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6</v>
      </c>
      <c r="D32" s="112">
        <v>2022</v>
      </c>
      <c r="E32" s="98"/>
      <c r="F32" s="118"/>
      <c r="G32" s="98"/>
      <c r="H32" s="119"/>
      <c r="I32" s="63"/>
      <c r="J32" s="73"/>
      <c r="K32" s="99"/>
      <c r="L32" s="73"/>
      <c r="M32" s="69"/>
      <c r="N32" s="69"/>
      <c r="O32" s="69"/>
    </row>
    <row r="33" spans="1:15" ht="18.75" customHeight="1" x14ac:dyDescent="0.2">
      <c r="A33" s="129" t="s">
        <v>51</v>
      </c>
      <c r="B33" s="129"/>
      <c r="C33" s="129"/>
      <c r="D33" s="129"/>
      <c r="E33" s="97">
        <f>SUM(E2:E32)</f>
        <v>604720.00000000035</v>
      </c>
      <c r="F33" s="95">
        <v>0</v>
      </c>
      <c r="G33" s="97">
        <f>SUM(G2:G32)</f>
        <v>166912</v>
      </c>
      <c r="H33" s="94">
        <v>0</v>
      </c>
      <c r="I33" s="97">
        <f>SUM(I2:I32)</f>
        <v>8506</v>
      </c>
      <c r="J33" s="95">
        <v>0</v>
      </c>
      <c r="K33" s="96">
        <f>SUM(K2:K32)</f>
        <v>0</v>
      </c>
      <c r="L33" s="94">
        <v>0</v>
      </c>
      <c r="M33" s="97">
        <f>SUM(M2:M32)</f>
        <v>636</v>
      </c>
      <c r="N33" s="97">
        <f>SUM(N2:N32)</f>
        <v>1885</v>
      </c>
      <c r="O33" s="97">
        <f>SUM(O2:O32)</f>
        <v>4401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8" zoomScale="78" zoomScaleNormal="78" workbookViewId="0">
      <selection activeCell="M32" sqref="M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74"/>
      <c r="V1" s="74"/>
    </row>
    <row r="2" spans="1:25" s="17" customFormat="1" ht="33" customHeight="1" x14ac:dyDescent="0.25">
      <c r="A2" s="28" t="s">
        <v>2</v>
      </c>
      <c r="B2" s="137" t="s">
        <v>124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130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7" customFormat="1" ht="45" customHeight="1" x14ac:dyDescent="0.25">
      <c r="A3" s="29"/>
      <c r="B3" s="138"/>
      <c r="C3" s="138"/>
      <c r="D3" s="138"/>
      <c r="E3" s="138"/>
      <c r="F3" s="138"/>
      <c r="G3" s="133"/>
      <c r="H3" s="134"/>
      <c r="I3" s="138"/>
      <c r="J3" s="18" t="s">
        <v>26</v>
      </c>
      <c r="K3" s="18" t="s">
        <v>27</v>
      </c>
      <c r="L3" s="18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8">
        <v>44713</v>
      </c>
      <c r="B4" s="104">
        <v>1.3819999999999999</v>
      </c>
      <c r="C4" s="105">
        <v>313.43</v>
      </c>
      <c r="D4" s="105">
        <v>8189226.5300000003</v>
      </c>
      <c r="E4" s="105">
        <v>9144633.5299999993</v>
      </c>
      <c r="F4" s="105">
        <v>3.2547999999999999</v>
      </c>
      <c r="G4" s="105">
        <v>1.0458000000000001</v>
      </c>
      <c r="H4" s="105">
        <v>943.61</v>
      </c>
      <c r="I4" s="105">
        <v>338.16</v>
      </c>
      <c r="J4" s="105">
        <v>467.59</v>
      </c>
      <c r="K4" s="105">
        <v>458.27</v>
      </c>
      <c r="L4" s="105">
        <v>311.64</v>
      </c>
      <c r="M4" s="105">
        <v>776.06</v>
      </c>
      <c r="N4" s="105">
        <v>727.05</v>
      </c>
      <c r="O4" s="105">
        <v>223.53</v>
      </c>
      <c r="P4" s="105">
        <v>948.62</v>
      </c>
      <c r="Q4" s="105">
        <v>704.27</v>
      </c>
      <c r="R4" s="105">
        <v>190.15</v>
      </c>
      <c r="S4" s="105">
        <v>161.04</v>
      </c>
      <c r="T4" s="105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6">
        <v>1.3831</v>
      </c>
      <c r="C5" s="107">
        <v>313.66000000000003</v>
      </c>
      <c r="D5" s="107">
        <v>8191103.9100000001</v>
      </c>
      <c r="E5" s="107">
        <v>9147470.8300000001</v>
      </c>
      <c r="F5" s="107">
        <v>3.2574999999999998</v>
      </c>
      <c r="G5" s="107">
        <v>1.0465</v>
      </c>
      <c r="H5" s="107">
        <v>944.73</v>
      </c>
      <c r="I5" s="107">
        <v>338.5</v>
      </c>
      <c r="J5" s="107">
        <v>468.12</v>
      </c>
      <c r="K5" s="107">
        <v>458.61</v>
      </c>
      <c r="L5" s="107">
        <v>311.88</v>
      </c>
      <c r="M5" s="107">
        <v>776.87</v>
      </c>
      <c r="N5" s="107">
        <v>727.31</v>
      </c>
      <c r="O5" s="107">
        <v>223.74</v>
      </c>
      <c r="P5" s="107">
        <v>949.28</v>
      </c>
      <c r="Q5" s="107">
        <v>704.84</v>
      </c>
      <c r="R5" s="105">
        <v>190.15</v>
      </c>
      <c r="S5" s="107">
        <v>161.18</v>
      </c>
      <c r="T5" s="107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6">
        <v>1.3842000000000001</v>
      </c>
      <c r="C6" s="107">
        <v>313.89999999999998</v>
      </c>
      <c r="D6" s="107">
        <v>8192995.6299999999</v>
      </c>
      <c r="E6" s="107">
        <v>9150608.1799999997</v>
      </c>
      <c r="F6" s="107">
        <v>3.2602000000000002</v>
      </c>
      <c r="G6" s="107">
        <v>1.0474000000000001</v>
      </c>
      <c r="H6" s="107">
        <v>946.02</v>
      </c>
      <c r="I6" s="107">
        <v>338.86</v>
      </c>
      <c r="J6" s="107">
        <v>468.39</v>
      </c>
      <c r="K6" s="107">
        <v>458.86</v>
      </c>
      <c r="L6" s="107">
        <v>312.10000000000002</v>
      </c>
      <c r="M6" s="107">
        <v>777.73</v>
      </c>
      <c r="N6" s="107">
        <v>727.59</v>
      </c>
      <c r="O6" s="107">
        <v>223.94</v>
      </c>
      <c r="P6" s="107">
        <v>950</v>
      </c>
      <c r="Q6" s="107">
        <v>705.55</v>
      </c>
      <c r="R6" s="105">
        <v>190.15</v>
      </c>
      <c r="S6" s="107">
        <v>161.33000000000001</v>
      </c>
      <c r="T6" s="107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6">
        <v>1.3852</v>
      </c>
      <c r="C7" s="107">
        <v>314.14999999999998</v>
      </c>
      <c r="D7" s="107">
        <v>8194961.8300000001</v>
      </c>
      <c r="E7" s="107">
        <v>9153397.5800000001</v>
      </c>
      <c r="F7" s="107">
        <v>3.2629000000000001</v>
      </c>
      <c r="G7" s="107">
        <v>1.0483</v>
      </c>
      <c r="H7" s="107">
        <v>947.37</v>
      </c>
      <c r="I7" s="107">
        <v>339.23</v>
      </c>
      <c r="J7" s="107">
        <v>468.8</v>
      </c>
      <c r="K7" s="107">
        <v>459.17</v>
      </c>
      <c r="L7" s="107">
        <v>312.32</v>
      </c>
      <c r="M7" s="107">
        <v>778.61</v>
      </c>
      <c r="N7" s="107">
        <v>727.85</v>
      </c>
      <c r="O7" s="107">
        <v>224.14</v>
      </c>
      <c r="P7" s="107">
        <v>950.72</v>
      </c>
      <c r="Q7" s="107">
        <v>706.32</v>
      </c>
      <c r="R7" s="107">
        <v>190.15</v>
      </c>
      <c r="S7" s="107">
        <v>161.46</v>
      </c>
      <c r="T7" s="107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6">
        <v>1.3863000000000001</v>
      </c>
      <c r="C8" s="107">
        <v>314.37</v>
      </c>
      <c r="D8" s="107">
        <v>8196793.8499999996</v>
      </c>
      <c r="E8" s="107">
        <v>9156412.1999999993</v>
      </c>
      <c r="F8" s="107">
        <v>3.2656000000000001</v>
      </c>
      <c r="G8" s="107">
        <v>1.0491999999999999</v>
      </c>
      <c r="H8" s="107">
        <v>948.61</v>
      </c>
      <c r="I8" s="107">
        <v>339.59</v>
      </c>
      <c r="J8" s="107">
        <v>469.16</v>
      </c>
      <c r="K8" s="107">
        <v>459.44</v>
      </c>
      <c r="L8" s="107">
        <v>312.52999999999997</v>
      </c>
      <c r="M8" s="107">
        <v>779.5</v>
      </c>
      <c r="N8" s="107">
        <v>728.11</v>
      </c>
      <c r="O8" s="107">
        <v>224.34</v>
      </c>
      <c r="P8" s="107">
        <v>951.42</v>
      </c>
      <c r="Q8" s="107">
        <v>706.96</v>
      </c>
      <c r="R8" s="107">
        <v>190.15</v>
      </c>
      <c r="S8" s="107">
        <v>161.6</v>
      </c>
      <c r="T8" s="107">
        <v>587.20000000000005</v>
      </c>
      <c r="V8" s="101">
        <v>27</v>
      </c>
      <c r="W8" s="101">
        <v>74</v>
      </c>
      <c r="X8" s="122">
        <v>172</v>
      </c>
      <c r="Y8" s="17"/>
    </row>
    <row r="9" spans="1:25" ht="21" customHeight="1" x14ac:dyDescent="0.25">
      <c r="A9" s="8">
        <v>44718</v>
      </c>
      <c r="B9" s="108">
        <v>1.3873</v>
      </c>
      <c r="C9" s="107">
        <v>314.58</v>
      </c>
      <c r="D9" s="107">
        <v>8198744.5899999999</v>
      </c>
      <c r="E9" s="107">
        <v>9159357.3800000008</v>
      </c>
      <c r="F9" s="107">
        <v>3.2684000000000002</v>
      </c>
      <c r="G9" s="107">
        <v>1.0501</v>
      </c>
      <c r="H9" s="107">
        <v>949.71</v>
      </c>
      <c r="I9" s="107">
        <v>339.93</v>
      </c>
      <c r="J9" s="107">
        <v>469.47</v>
      </c>
      <c r="K9" s="107">
        <v>459.71</v>
      </c>
      <c r="L9" s="107">
        <v>312.74</v>
      </c>
      <c r="M9" s="107">
        <v>780.35</v>
      </c>
      <c r="N9" s="107">
        <v>728.37</v>
      </c>
      <c r="O9" s="107">
        <v>224.53</v>
      </c>
      <c r="P9" s="107">
        <v>952.09</v>
      </c>
      <c r="Q9" s="107">
        <v>707.59</v>
      </c>
      <c r="R9" s="107">
        <v>190.15</v>
      </c>
      <c r="S9" s="107">
        <v>161.74</v>
      </c>
      <c r="T9" s="107">
        <v>587.66</v>
      </c>
      <c r="V9" s="101">
        <v>21</v>
      </c>
      <c r="W9" s="101">
        <v>62</v>
      </c>
      <c r="X9" s="122">
        <v>171</v>
      </c>
      <c r="Y9" s="17"/>
    </row>
    <row r="10" spans="1:25" ht="21" customHeight="1" x14ac:dyDescent="0.25">
      <c r="A10" s="8">
        <v>44719</v>
      </c>
      <c r="B10" s="104">
        <v>1.3884000000000001</v>
      </c>
      <c r="C10" s="105">
        <v>314.8</v>
      </c>
      <c r="D10" s="105">
        <v>8200506.2699999996</v>
      </c>
      <c r="E10" s="105">
        <v>9162267.6600000001</v>
      </c>
      <c r="F10" s="105">
        <v>3.2709999999999999</v>
      </c>
      <c r="G10" s="105">
        <v>1.0510999999999999</v>
      </c>
      <c r="H10" s="105">
        <v>950.86</v>
      </c>
      <c r="I10" s="105">
        <v>340.27</v>
      </c>
      <c r="J10" s="107">
        <v>469.91</v>
      </c>
      <c r="K10" s="107">
        <v>459.98</v>
      </c>
      <c r="L10" s="107">
        <v>312.95999999999998</v>
      </c>
      <c r="M10" s="107">
        <v>781.18</v>
      </c>
      <c r="N10" s="107">
        <v>728.63</v>
      </c>
      <c r="O10" s="107">
        <v>224.76</v>
      </c>
      <c r="P10" s="107">
        <v>952.72</v>
      </c>
      <c r="Q10" s="107">
        <v>708.3</v>
      </c>
      <c r="R10" s="107">
        <v>190.15</v>
      </c>
      <c r="S10" s="107">
        <v>161.88</v>
      </c>
      <c r="T10" s="107">
        <v>588.17999999999995</v>
      </c>
      <c r="V10" s="101">
        <v>17</v>
      </c>
      <c r="W10" s="101">
        <v>50</v>
      </c>
      <c r="X10" s="101">
        <v>117</v>
      </c>
      <c r="Y10" s="17"/>
    </row>
    <row r="11" spans="1:25" ht="21" customHeight="1" x14ac:dyDescent="0.25">
      <c r="A11" s="8">
        <v>44720</v>
      </c>
      <c r="B11" s="106">
        <v>1.3894</v>
      </c>
      <c r="C11" s="107">
        <v>315.02</v>
      </c>
      <c r="D11" s="107">
        <v>8202202</v>
      </c>
      <c r="E11" s="107">
        <v>9164140.6600000001</v>
      </c>
      <c r="F11" s="107">
        <v>3.2736000000000001</v>
      </c>
      <c r="G11" s="107">
        <v>1.052</v>
      </c>
      <c r="H11" s="107">
        <v>951.87</v>
      </c>
      <c r="I11" s="107">
        <v>340.64</v>
      </c>
      <c r="J11" s="107">
        <v>470.41</v>
      </c>
      <c r="K11" s="107">
        <v>460.27</v>
      </c>
      <c r="L11" s="107">
        <v>313.16000000000003</v>
      </c>
      <c r="M11" s="107">
        <v>781.9</v>
      </c>
      <c r="N11" s="107">
        <v>728.88</v>
      </c>
      <c r="O11" s="107">
        <v>224.97</v>
      </c>
      <c r="P11" s="107">
        <v>953.35</v>
      </c>
      <c r="Q11" s="107">
        <v>708.94</v>
      </c>
      <c r="R11" s="107">
        <v>190.15</v>
      </c>
      <c r="S11" s="107">
        <v>162.01</v>
      </c>
      <c r="T11" s="107">
        <v>588.66999999999996</v>
      </c>
      <c r="V11" s="101">
        <v>26</v>
      </c>
      <c r="W11" s="101">
        <v>73</v>
      </c>
      <c r="X11" s="101">
        <v>176</v>
      </c>
      <c r="Y11" s="17"/>
    </row>
    <row r="12" spans="1:25" ht="21" customHeight="1" x14ac:dyDescent="0.25">
      <c r="A12" s="8">
        <v>44721</v>
      </c>
      <c r="B12" s="106">
        <v>1.3905000000000001</v>
      </c>
      <c r="C12" s="107">
        <v>315.26</v>
      </c>
      <c r="D12" s="107">
        <v>8203926.8700000001</v>
      </c>
      <c r="E12" s="107">
        <v>9167904.5</v>
      </c>
      <c r="F12" s="107">
        <v>3.2763</v>
      </c>
      <c r="G12" s="107">
        <v>1.0528</v>
      </c>
      <c r="H12" s="107">
        <v>953.12</v>
      </c>
      <c r="I12" s="107">
        <v>340.99</v>
      </c>
      <c r="J12" s="107">
        <v>470.77</v>
      </c>
      <c r="K12" s="107">
        <v>460.55</v>
      </c>
      <c r="L12" s="107">
        <v>313.38</v>
      </c>
      <c r="M12" s="107">
        <v>782.66</v>
      </c>
      <c r="N12" s="107">
        <v>729.12</v>
      </c>
      <c r="O12" s="107">
        <v>225.22</v>
      </c>
      <c r="P12" s="107">
        <v>953.98</v>
      </c>
      <c r="Q12" s="107">
        <v>709.64</v>
      </c>
      <c r="R12" s="107">
        <v>190.15</v>
      </c>
      <c r="S12" s="107">
        <v>162.15</v>
      </c>
      <c r="T12" s="107">
        <v>589.16999999999996</v>
      </c>
      <c r="V12" s="101">
        <v>34</v>
      </c>
      <c r="W12" s="101">
        <v>96</v>
      </c>
      <c r="X12" s="101">
        <v>221</v>
      </c>
      <c r="Y12" s="17"/>
    </row>
    <row r="13" spans="1:25" ht="21" customHeight="1" x14ac:dyDescent="0.25">
      <c r="A13" s="8">
        <v>44722</v>
      </c>
      <c r="B13" s="106">
        <v>1.3915999999999999</v>
      </c>
      <c r="C13" s="108">
        <v>315.52</v>
      </c>
      <c r="D13" s="107">
        <v>8205571.6100000003</v>
      </c>
      <c r="E13" s="107">
        <v>9170458.8499999996</v>
      </c>
      <c r="F13" s="107">
        <v>3.2789999999999999</v>
      </c>
      <c r="G13" s="107">
        <v>1.0537000000000001</v>
      </c>
      <c r="H13" s="107">
        <v>954.32</v>
      </c>
      <c r="I13" s="107">
        <v>341.35</v>
      </c>
      <c r="J13" s="107">
        <v>471.22</v>
      </c>
      <c r="K13" s="107">
        <v>460.82</v>
      </c>
      <c r="L13" s="107">
        <v>313.62</v>
      </c>
      <c r="M13" s="107">
        <v>783.39</v>
      </c>
      <c r="N13" s="107">
        <v>729.38</v>
      </c>
      <c r="O13" s="107">
        <v>225.44</v>
      </c>
      <c r="P13" s="107">
        <v>954.49</v>
      </c>
      <c r="Q13" s="107">
        <v>710.45</v>
      </c>
      <c r="R13" s="107">
        <v>190.15</v>
      </c>
      <c r="S13" s="107">
        <v>162.29</v>
      </c>
      <c r="T13" s="107">
        <v>589.65</v>
      </c>
      <c r="V13" s="101">
        <v>31</v>
      </c>
      <c r="W13" s="101">
        <v>87</v>
      </c>
      <c r="X13" s="101">
        <v>223</v>
      </c>
      <c r="Y13" s="17"/>
    </row>
    <row r="14" spans="1:25" ht="21" customHeight="1" x14ac:dyDescent="0.25">
      <c r="A14" s="8">
        <v>44723</v>
      </c>
      <c r="B14" s="106">
        <v>1.3927</v>
      </c>
      <c r="C14" s="104">
        <v>315.74</v>
      </c>
      <c r="D14" s="107">
        <v>8207277.5899999999</v>
      </c>
      <c r="E14" s="107">
        <v>9172652.9900000002</v>
      </c>
      <c r="F14" s="107">
        <v>3.2818000000000001</v>
      </c>
      <c r="G14" s="107">
        <v>1.0546</v>
      </c>
      <c r="H14" s="107">
        <v>955.49</v>
      </c>
      <c r="I14" s="107">
        <v>341.72</v>
      </c>
      <c r="J14" s="107">
        <v>471.61</v>
      </c>
      <c r="K14" s="107">
        <v>461.08</v>
      </c>
      <c r="L14" s="107">
        <v>313.83</v>
      </c>
      <c r="M14" s="107">
        <v>784.22</v>
      </c>
      <c r="N14" s="107">
        <v>729.63</v>
      </c>
      <c r="O14" s="107">
        <v>225.7</v>
      </c>
      <c r="P14" s="107">
        <v>955.2</v>
      </c>
      <c r="Q14" s="107">
        <v>711.29</v>
      </c>
      <c r="R14" s="107">
        <v>190.15</v>
      </c>
      <c r="S14" s="107">
        <v>162.41999999999999</v>
      </c>
      <c r="T14" s="107">
        <v>589.97</v>
      </c>
      <c r="V14" s="101">
        <v>27</v>
      </c>
      <c r="W14" s="101">
        <v>87</v>
      </c>
      <c r="X14" s="101">
        <v>216</v>
      </c>
      <c r="Y14" s="17"/>
    </row>
    <row r="15" spans="1:25" ht="21" customHeight="1" x14ac:dyDescent="0.25">
      <c r="A15" s="8">
        <v>44724</v>
      </c>
      <c r="B15" s="106">
        <v>1.3938999999999999</v>
      </c>
      <c r="C15" s="106">
        <v>315.95999999999998</v>
      </c>
      <c r="D15" s="107">
        <v>8209069.8200000003</v>
      </c>
      <c r="E15" s="107">
        <v>9175393.4100000001</v>
      </c>
      <c r="F15" s="107">
        <v>3.2845</v>
      </c>
      <c r="G15" s="107">
        <v>1.0553999999999999</v>
      </c>
      <c r="H15" s="107">
        <v>956.56</v>
      </c>
      <c r="I15" s="107">
        <v>342.07</v>
      </c>
      <c r="J15" s="107">
        <v>472.18</v>
      </c>
      <c r="K15" s="107">
        <v>461.41</v>
      </c>
      <c r="L15" s="107">
        <v>314.06</v>
      </c>
      <c r="M15" s="107">
        <v>785.08</v>
      </c>
      <c r="N15" s="107">
        <v>729.89</v>
      </c>
      <c r="O15" s="107">
        <v>225.93</v>
      </c>
      <c r="P15" s="107">
        <v>955.98</v>
      </c>
      <c r="Q15" s="107">
        <v>712.09</v>
      </c>
      <c r="R15" s="107">
        <v>190.15</v>
      </c>
      <c r="S15" s="107">
        <v>162.57</v>
      </c>
      <c r="T15" s="107">
        <v>590.52</v>
      </c>
      <c r="V15" s="101">
        <v>28</v>
      </c>
      <c r="W15" s="101">
        <v>93</v>
      </c>
      <c r="X15" s="101">
        <v>236</v>
      </c>
      <c r="Y15" s="17"/>
    </row>
    <row r="16" spans="1:25" ht="21" customHeight="1" x14ac:dyDescent="0.25">
      <c r="A16" s="8">
        <v>44725</v>
      </c>
      <c r="B16" s="106">
        <v>1.3949</v>
      </c>
      <c r="C16" s="106">
        <v>316.18</v>
      </c>
      <c r="D16" s="107">
        <v>8210910.8499999996</v>
      </c>
      <c r="E16" s="107">
        <v>9178101.1300000008</v>
      </c>
      <c r="F16" s="107">
        <v>3.2869999999999999</v>
      </c>
      <c r="G16" s="107">
        <v>1.0561</v>
      </c>
      <c r="H16" s="107">
        <v>957.67</v>
      </c>
      <c r="I16" s="107">
        <v>342.44</v>
      </c>
      <c r="J16" s="107">
        <v>472.62</v>
      </c>
      <c r="K16" s="107">
        <v>461.73</v>
      </c>
      <c r="L16" s="107">
        <v>314.27999999999997</v>
      </c>
      <c r="M16" s="107">
        <v>785.9</v>
      </c>
      <c r="N16" s="107">
        <v>730.13</v>
      </c>
      <c r="O16" s="107">
        <v>226.14</v>
      </c>
      <c r="P16" s="107">
        <v>956.73</v>
      </c>
      <c r="Q16" s="107">
        <v>712.77</v>
      </c>
      <c r="R16" s="107">
        <v>190.15</v>
      </c>
      <c r="S16" s="107">
        <v>162.71</v>
      </c>
      <c r="T16" s="107">
        <v>591</v>
      </c>
      <c r="V16" s="101">
        <v>29</v>
      </c>
      <c r="W16" s="101">
        <v>91</v>
      </c>
      <c r="X16" s="101">
        <v>225</v>
      </c>
      <c r="Y16" s="17"/>
    </row>
    <row r="17" spans="1:25" ht="21" customHeight="1" x14ac:dyDescent="0.25">
      <c r="A17" s="8">
        <v>44726</v>
      </c>
      <c r="B17" s="106">
        <v>1.3960999999999999</v>
      </c>
      <c r="C17" s="107">
        <v>316.42</v>
      </c>
      <c r="D17" s="107">
        <v>8212957.2000000002</v>
      </c>
      <c r="E17" s="107">
        <v>9180948.9299999997</v>
      </c>
      <c r="F17" s="107">
        <v>3.2900999999999998</v>
      </c>
      <c r="G17" s="107">
        <v>1.0569</v>
      </c>
      <c r="H17" s="107">
        <v>958.82</v>
      </c>
      <c r="I17" s="107">
        <v>342.8</v>
      </c>
      <c r="J17" s="107">
        <v>473.07</v>
      </c>
      <c r="K17" s="107">
        <v>462.09</v>
      </c>
      <c r="L17" s="107">
        <v>314.52</v>
      </c>
      <c r="M17" s="107">
        <v>786.71</v>
      </c>
      <c r="N17" s="107">
        <v>730.52</v>
      </c>
      <c r="O17" s="107">
        <v>226.35</v>
      </c>
      <c r="P17" s="107">
        <v>957.49</v>
      </c>
      <c r="Q17" s="107">
        <v>713.5</v>
      </c>
      <c r="R17" s="107">
        <v>190.15</v>
      </c>
      <c r="S17" s="107">
        <v>162.84</v>
      </c>
      <c r="T17" s="107">
        <v>591.52</v>
      </c>
      <c r="V17" s="101">
        <v>28</v>
      </c>
      <c r="W17" s="101">
        <v>90</v>
      </c>
      <c r="X17" s="101">
        <v>159</v>
      </c>
      <c r="Y17" s="17"/>
    </row>
    <row r="18" spans="1:25" ht="21" customHeight="1" x14ac:dyDescent="0.25">
      <c r="A18" s="8">
        <v>44727</v>
      </c>
      <c r="B18" s="106">
        <v>1.3972</v>
      </c>
      <c r="C18" s="107">
        <v>316.67</v>
      </c>
      <c r="D18" s="107">
        <v>8214919.8600000003</v>
      </c>
      <c r="E18" s="107">
        <v>9183734</v>
      </c>
      <c r="F18" s="107">
        <v>3.2927</v>
      </c>
      <c r="G18" s="107">
        <v>1.0577000000000001</v>
      </c>
      <c r="H18" s="107">
        <v>960.01</v>
      </c>
      <c r="I18" s="107">
        <v>343.14</v>
      </c>
      <c r="J18" s="107">
        <v>473.45</v>
      </c>
      <c r="K18" s="107">
        <v>462.32</v>
      </c>
      <c r="L18" s="107">
        <v>314.72000000000003</v>
      </c>
      <c r="M18" s="107">
        <v>787.49</v>
      </c>
      <c r="N18" s="107">
        <v>731.02</v>
      </c>
      <c r="O18" s="107">
        <v>226.58</v>
      </c>
      <c r="P18" s="107">
        <v>958.29</v>
      </c>
      <c r="Q18" s="107">
        <v>714.25</v>
      </c>
      <c r="R18" s="107">
        <v>190.15</v>
      </c>
      <c r="S18" s="107">
        <v>162.88</v>
      </c>
      <c r="T18" s="107">
        <v>592.03</v>
      </c>
      <c r="V18" s="101">
        <v>27</v>
      </c>
      <c r="W18" s="101">
        <v>76</v>
      </c>
      <c r="X18" s="101">
        <v>177</v>
      </c>
      <c r="Y18" s="17"/>
    </row>
    <row r="19" spans="1:25" ht="21" customHeight="1" x14ac:dyDescent="0.25">
      <c r="A19" s="8">
        <v>44728</v>
      </c>
      <c r="B19" s="106">
        <v>1.3984000000000001</v>
      </c>
      <c r="C19" s="107">
        <v>316.94</v>
      </c>
      <c r="D19" s="107">
        <v>8216928.3300000001</v>
      </c>
      <c r="E19" s="107">
        <v>9186775.0299999993</v>
      </c>
      <c r="F19" s="107">
        <v>3.2953999999999999</v>
      </c>
      <c r="G19" s="107">
        <v>1.0585</v>
      </c>
      <c r="H19" s="107">
        <v>961.21</v>
      </c>
      <c r="I19" s="107">
        <v>343.44</v>
      </c>
      <c r="J19" s="107">
        <v>473.94</v>
      </c>
      <c r="K19" s="107">
        <v>462.61</v>
      </c>
      <c r="L19" s="107">
        <v>314.95999999999998</v>
      </c>
      <c r="M19" s="107">
        <v>788.3</v>
      </c>
      <c r="N19" s="107">
        <v>731.61</v>
      </c>
      <c r="O19" s="123">
        <v>226.8</v>
      </c>
      <c r="P19" s="107">
        <v>959.09</v>
      </c>
      <c r="Q19" s="107">
        <v>715.06</v>
      </c>
      <c r="R19" s="107">
        <v>190.15</v>
      </c>
      <c r="S19" s="107">
        <v>163.01</v>
      </c>
      <c r="T19" s="107">
        <v>592.54</v>
      </c>
      <c r="V19" s="101">
        <v>23</v>
      </c>
      <c r="W19" s="101">
        <v>63</v>
      </c>
      <c r="X19" s="101">
        <v>142</v>
      </c>
      <c r="Y19" s="17"/>
    </row>
    <row r="20" spans="1:25" ht="21" customHeight="1" x14ac:dyDescent="0.25">
      <c r="A20" s="8">
        <v>44729</v>
      </c>
      <c r="B20" s="106">
        <v>1.3994</v>
      </c>
      <c r="C20" s="107">
        <v>317.17</v>
      </c>
      <c r="D20" s="107">
        <v>8218726.8799999999</v>
      </c>
      <c r="E20" s="107">
        <v>9189752.1099999994</v>
      </c>
      <c r="F20" s="107">
        <v>3.2980999999999998</v>
      </c>
      <c r="G20" s="107">
        <v>1.0592999999999999</v>
      </c>
      <c r="H20" s="107">
        <v>962.29</v>
      </c>
      <c r="I20" s="107">
        <v>343.72</v>
      </c>
      <c r="J20" s="107">
        <v>474.3</v>
      </c>
      <c r="K20" s="107">
        <v>462.89</v>
      </c>
      <c r="L20" s="107">
        <v>315.19</v>
      </c>
      <c r="M20" s="107">
        <v>789.15</v>
      </c>
      <c r="N20" s="107">
        <v>732.13</v>
      </c>
      <c r="O20" s="107">
        <v>227.03</v>
      </c>
      <c r="P20" s="107">
        <v>959.88</v>
      </c>
      <c r="Q20" s="107">
        <v>715.74</v>
      </c>
      <c r="R20" s="107">
        <v>190.15</v>
      </c>
      <c r="S20" s="107">
        <v>163.15</v>
      </c>
      <c r="T20" s="107">
        <v>593.02</v>
      </c>
      <c r="V20" s="101">
        <v>28</v>
      </c>
      <c r="W20" s="101">
        <v>60</v>
      </c>
      <c r="X20" s="101">
        <v>173</v>
      </c>
      <c r="Y20" s="17"/>
    </row>
    <row r="21" spans="1:25" ht="21" customHeight="1" x14ac:dyDescent="0.25">
      <c r="A21" s="8">
        <v>44730</v>
      </c>
      <c r="B21" s="106">
        <v>1.4005000000000001</v>
      </c>
      <c r="C21" s="107">
        <v>317.45</v>
      </c>
      <c r="D21" s="107">
        <v>8220548.2699999996</v>
      </c>
      <c r="E21" s="107">
        <v>9192335.0800000001</v>
      </c>
      <c r="F21" s="107">
        <v>3.3008000000000002</v>
      </c>
      <c r="G21" s="107">
        <v>1.06</v>
      </c>
      <c r="H21" s="107">
        <v>963.34</v>
      </c>
      <c r="I21" s="107">
        <v>344.01</v>
      </c>
      <c r="J21" s="107">
        <v>474.78</v>
      </c>
      <c r="K21" s="107">
        <v>463.18</v>
      </c>
      <c r="L21" s="107">
        <v>315.41000000000003</v>
      </c>
      <c r="M21" s="107">
        <v>789.88</v>
      </c>
      <c r="N21" s="107">
        <v>732.6</v>
      </c>
      <c r="O21" s="107">
        <v>227.27</v>
      </c>
      <c r="P21" s="107">
        <v>960.63</v>
      </c>
      <c r="Q21" s="107">
        <v>716.33</v>
      </c>
      <c r="R21" s="107">
        <v>190.15</v>
      </c>
      <c r="S21" s="107">
        <v>163.29</v>
      </c>
      <c r="T21" s="107">
        <v>593.32000000000005</v>
      </c>
      <c r="V21" s="101">
        <v>19</v>
      </c>
      <c r="W21" s="101">
        <v>51</v>
      </c>
      <c r="X21" s="101">
        <v>120</v>
      </c>
      <c r="Y21" s="17"/>
    </row>
    <row r="22" spans="1:25" ht="21" customHeight="1" x14ac:dyDescent="0.25">
      <c r="A22" s="8">
        <v>44731</v>
      </c>
      <c r="B22" s="106">
        <v>1.4014</v>
      </c>
      <c r="C22" s="107">
        <v>317.67</v>
      </c>
      <c r="D22" s="107">
        <v>8222255.9299999997</v>
      </c>
      <c r="E22" s="107">
        <v>9194666.0299999993</v>
      </c>
      <c r="F22" s="107">
        <v>3.3035000000000001</v>
      </c>
      <c r="G22" s="107">
        <v>1.0607</v>
      </c>
      <c r="H22" s="107">
        <v>964.25</v>
      </c>
      <c r="I22" s="107">
        <v>344.27</v>
      </c>
      <c r="J22" s="107">
        <v>475.21</v>
      </c>
      <c r="K22" s="107">
        <v>463.45</v>
      </c>
      <c r="L22" s="107">
        <v>315.66000000000003</v>
      </c>
      <c r="M22" s="107">
        <v>790.54</v>
      </c>
      <c r="N22" s="107">
        <v>733.08</v>
      </c>
      <c r="O22" s="107">
        <v>227.46</v>
      </c>
      <c r="P22" s="107">
        <v>961.28</v>
      </c>
      <c r="Q22" s="107">
        <v>716.9</v>
      </c>
      <c r="R22" s="107">
        <v>190.15</v>
      </c>
      <c r="S22" s="107">
        <v>163.43</v>
      </c>
      <c r="T22" s="107">
        <v>593.4</v>
      </c>
      <c r="V22" s="101">
        <v>17</v>
      </c>
      <c r="W22" s="101">
        <v>46</v>
      </c>
      <c r="X22" s="101">
        <v>97</v>
      </c>
      <c r="Y22" s="17"/>
    </row>
    <row r="23" spans="1:25" ht="21" customHeight="1" x14ac:dyDescent="0.25">
      <c r="A23" s="8">
        <v>44732</v>
      </c>
      <c r="B23" s="106">
        <v>1.4024000000000001</v>
      </c>
      <c r="C23" s="107">
        <v>317.91000000000003</v>
      </c>
      <c r="D23" s="107">
        <v>8224108.6100000003</v>
      </c>
      <c r="E23" s="107">
        <v>9197751.7699999996</v>
      </c>
      <c r="F23" s="107">
        <v>3.3062</v>
      </c>
      <c r="G23" s="107">
        <v>1.0613999999999999</v>
      </c>
      <c r="H23" s="107">
        <v>965.4</v>
      </c>
      <c r="I23" s="107">
        <v>344.55</v>
      </c>
      <c r="J23" s="107">
        <v>475.64</v>
      </c>
      <c r="K23" s="107">
        <v>463.72</v>
      </c>
      <c r="L23" s="107">
        <v>315.89999999999998</v>
      </c>
      <c r="M23" s="107">
        <v>791.3</v>
      </c>
      <c r="N23" s="107">
        <v>733.51</v>
      </c>
      <c r="O23" s="107">
        <v>227.66</v>
      </c>
      <c r="P23" s="107">
        <v>962</v>
      </c>
      <c r="Q23" s="107">
        <v>717.6</v>
      </c>
      <c r="R23" s="107">
        <v>190.15</v>
      </c>
      <c r="S23" s="107">
        <v>163.56</v>
      </c>
      <c r="T23" s="107">
        <v>594.29999999999995</v>
      </c>
      <c r="V23" s="101">
        <v>16</v>
      </c>
      <c r="W23" s="101">
        <v>41</v>
      </c>
      <c r="X23" s="101">
        <v>104</v>
      </c>
      <c r="Y23" s="17"/>
    </row>
    <row r="24" spans="1:25" ht="21" customHeight="1" x14ac:dyDescent="0.25">
      <c r="A24" s="8">
        <v>44733</v>
      </c>
      <c r="B24" s="106">
        <v>1.4036</v>
      </c>
      <c r="C24" s="107">
        <v>318.14999999999998</v>
      </c>
      <c r="D24" s="107">
        <v>8225883.3499999996</v>
      </c>
      <c r="E24" s="107">
        <v>9199978.0500000007</v>
      </c>
      <c r="F24" s="107">
        <v>3.3088000000000002</v>
      </c>
      <c r="G24" s="107">
        <v>1.0622</v>
      </c>
      <c r="H24" s="107">
        <v>966.49</v>
      </c>
      <c r="I24" s="107">
        <v>344.82</v>
      </c>
      <c r="J24" s="107">
        <v>476.01</v>
      </c>
      <c r="K24" s="107">
        <v>463.98</v>
      </c>
      <c r="L24" s="107">
        <v>316.11</v>
      </c>
      <c r="M24" s="107">
        <v>791.99</v>
      </c>
      <c r="N24" s="107">
        <v>733.89</v>
      </c>
      <c r="O24" s="107">
        <v>227.87</v>
      </c>
      <c r="P24" s="107">
        <v>962.75</v>
      </c>
      <c r="Q24" s="107">
        <v>718.27</v>
      </c>
      <c r="R24" s="107">
        <v>190.15</v>
      </c>
      <c r="S24" s="107">
        <v>163.69999999999999</v>
      </c>
      <c r="T24" s="107">
        <v>594.78</v>
      </c>
      <c r="V24" s="101"/>
      <c r="W24" s="101"/>
      <c r="X24" s="101"/>
      <c r="Y24" s="17"/>
    </row>
    <row r="25" spans="1:25" ht="21" customHeight="1" x14ac:dyDescent="0.25">
      <c r="A25" s="8">
        <v>44734</v>
      </c>
      <c r="B25" s="106">
        <v>1.4046000000000001</v>
      </c>
      <c r="C25" s="107">
        <v>318.39</v>
      </c>
      <c r="D25" s="107">
        <v>8227722.9299999997</v>
      </c>
      <c r="E25" s="107">
        <v>9202724.8800000008</v>
      </c>
      <c r="F25" s="107">
        <v>3.3113999999999999</v>
      </c>
      <c r="G25" s="107">
        <v>1.0629</v>
      </c>
      <c r="H25" s="107">
        <v>967.53</v>
      </c>
      <c r="I25" s="107">
        <v>345.09</v>
      </c>
      <c r="J25" s="107">
        <v>476.44</v>
      </c>
      <c r="K25" s="107">
        <v>464.27</v>
      </c>
      <c r="L25" s="107">
        <v>316.32</v>
      </c>
      <c r="M25" s="107">
        <v>792.67</v>
      </c>
      <c r="N25" s="107">
        <v>734.24</v>
      </c>
      <c r="O25" s="107">
        <v>228.09</v>
      </c>
      <c r="P25" s="107">
        <v>963.52</v>
      </c>
      <c r="Q25" s="107">
        <v>718.91</v>
      </c>
      <c r="R25" s="107">
        <v>190.15</v>
      </c>
      <c r="S25" s="107">
        <v>163.84</v>
      </c>
      <c r="T25" s="107">
        <v>595.29</v>
      </c>
      <c r="V25" s="101"/>
      <c r="W25" s="101"/>
      <c r="X25" s="101"/>
      <c r="Y25" s="17"/>
    </row>
    <row r="26" spans="1:25" ht="21" customHeight="1" x14ac:dyDescent="0.25">
      <c r="A26" s="8">
        <v>44735</v>
      </c>
      <c r="B26" s="106">
        <v>1.4056999999999999</v>
      </c>
      <c r="C26" s="107">
        <v>318.63</v>
      </c>
      <c r="D26" s="107">
        <v>8229579.2199999997</v>
      </c>
      <c r="E26" s="107">
        <v>9205330.2100000009</v>
      </c>
      <c r="F26" s="107">
        <v>3.3140000000000001</v>
      </c>
      <c r="G26" s="107">
        <v>1.0636000000000001</v>
      </c>
      <c r="H26" s="107">
        <v>968.52</v>
      </c>
      <c r="I26" s="107">
        <v>345.36</v>
      </c>
      <c r="J26" s="107">
        <v>476.72</v>
      </c>
      <c r="K26" s="107">
        <v>464.49</v>
      </c>
      <c r="L26" s="107">
        <v>316.51</v>
      </c>
      <c r="M26" s="107">
        <v>793.36</v>
      </c>
      <c r="N26" s="107">
        <v>734.53</v>
      </c>
      <c r="O26" s="107">
        <v>228.28</v>
      </c>
      <c r="P26" s="107">
        <v>964.23</v>
      </c>
      <c r="Q26" s="107">
        <v>719.55</v>
      </c>
      <c r="R26" s="107">
        <v>190.15</v>
      </c>
      <c r="S26" s="107">
        <v>163.98</v>
      </c>
      <c r="T26" s="107">
        <v>595.77</v>
      </c>
      <c r="V26" s="101"/>
      <c r="W26" s="101"/>
      <c r="X26" s="101"/>
      <c r="Y26" s="17"/>
    </row>
    <row r="27" spans="1:25" ht="21" customHeight="1" x14ac:dyDescent="0.25">
      <c r="A27" s="8">
        <v>44736</v>
      </c>
      <c r="B27" s="106">
        <v>1.4068000000000001</v>
      </c>
      <c r="C27" s="107">
        <v>318.85000000000002</v>
      </c>
      <c r="D27" s="107">
        <v>8231276.0499999998</v>
      </c>
      <c r="E27" s="107">
        <v>9208100.3300000001</v>
      </c>
      <c r="F27" s="107">
        <v>3.3166000000000002</v>
      </c>
      <c r="G27" s="107">
        <v>1.0643</v>
      </c>
      <c r="H27" s="107">
        <v>969.47</v>
      </c>
      <c r="I27" s="107">
        <v>345.62</v>
      </c>
      <c r="J27" s="107">
        <v>477.03</v>
      </c>
      <c r="K27" s="107">
        <v>464.7</v>
      </c>
      <c r="L27" s="107">
        <v>316.70999999999998</v>
      </c>
      <c r="M27" s="107">
        <v>794.01</v>
      </c>
      <c r="N27" s="107">
        <v>734.82</v>
      </c>
      <c r="O27" s="107">
        <v>228.47</v>
      </c>
      <c r="P27" s="107">
        <v>964.97</v>
      </c>
      <c r="Q27" s="107">
        <v>720.22</v>
      </c>
      <c r="R27" s="107">
        <v>190.15</v>
      </c>
      <c r="S27" s="107">
        <v>164.12</v>
      </c>
      <c r="T27" s="107">
        <v>596.24</v>
      </c>
      <c r="V27" s="101"/>
      <c r="W27" s="101"/>
      <c r="X27" s="101"/>
      <c r="Y27" s="17"/>
    </row>
    <row r="28" spans="1:25" ht="21" customHeight="1" x14ac:dyDescent="0.25">
      <c r="A28" s="8">
        <v>44737</v>
      </c>
      <c r="B28" s="106">
        <v>1.4077</v>
      </c>
      <c r="C28" s="107">
        <v>319.08999999999997</v>
      </c>
      <c r="D28" s="107">
        <v>8232724.0199999996</v>
      </c>
      <c r="E28" s="107">
        <v>9210523.6500000004</v>
      </c>
      <c r="F28" s="107">
        <v>3.3193000000000001</v>
      </c>
      <c r="G28" s="107">
        <v>1.0649999999999999</v>
      </c>
      <c r="H28" s="107">
        <v>970.35</v>
      </c>
      <c r="I28" s="107">
        <v>345.87</v>
      </c>
      <c r="J28" s="107">
        <v>477.54</v>
      </c>
      <c r="K28" s="107">
        <v>464.99</v>
      </c>
      <c r="L28" s="107">
        <v>316.95</v>
      </c>
      <c r="M28" s="107">
        <v>794.71</v>
      </c>
      <c r="N28" s="107">
        <v>735.07</v>
      </c>
      <c r="O28" s="107">
        <v>228.67</v>
      </c>
      <c r="P28" s="107">
        <v>965.66</v>
      </c>
      <c r="Q28" s="107">
        <v>720.81</v>
      </c>
      <c r="R28" s="107">
        <v>190.15</v>
      </c>
      <c r="S28" s="107">
        <v>164.35</v>
      </c>
      <c r="T28" s="107">
        <v>596.51</v>
      </c>
      <c r="V28" s="101"/>
      <c r="W28" s="101"/>
      <c r="X28" s="101"/>
      <c r="Y28" s="17"/>
    </row>
    <row r="29" spans="1:25" ht="21" customHeight="1" x14ac:dyDescent="0.25">
      <c r="A29" s="8">
        <v>44738</v>
      </c>
      <c r="B29" s="106">
        <v>1.4086000000000001</v>
      </c>
      <c r="C29" s="107">
        <v>319.3</v>
      </c>
      <c r="D29" s="107">
        <v>8234218.9699999997</v>
      </c>
      <c r="E29" s="107">
        <v>9213030.8300000001</v>
      </c>
      <c r="F29" s="107">
        <v>3.3218000000000001</v>
      </c>
      <c r="G29" s="107">
        <v>1.0657000000000001</v>
      </c>
      <c r="H29" s="107">
        <v>971.26</v>
      </c>
      <c r="I29" s="107">
        <v>346.1</v>
      </c>
      <c r="J29" s="107">
        <v>477.88</v>
      </c>
      <c r="K29" s="107">
        <v>465.29</v>
      </c>
      <c r="L29" s="107">
        <v>317.16000000000003</v>
      </c>
      <c r="M29" s="107">
        <v>795.32</v>
      </c>
      <c r="N29" s="107">
        <v>735.3</v>
      </c>
      <c r="O29" s="107">
        <v>228.86</v>
      </c>
      <c r="P29" s="107">
        <v>966.34</v>
      </c>
      <c r="Q29" s="107">
        <v>721.41</v>
      </c>
      <c r="R29" s="107">
        <v>190.15</v>
      </c>
      <c r="S29" s="107">
        <v>164.41</v>
      </c>
      <c r="T29" s="107">
        <v>596.97</v>
      </c>
      <c r="V29" s="101"/>
      <c r="W29" s="101"/>
      <c r="X29" s="101"/>
      <c r="Y29" s="17"/>
    </row>
    <row r="30" spans="1:25" ht="21" customHeight="1" x14ac:dyDescent="0.25">
      <c r="A30" s="8">
        <v>44739</v>
      </c>
      <c r="B30" s="106">
        <v>1.4097</v>
      </c>
      <c r="C30" s="107">
        <v>319.52</v>
      </c>
      <c r="D30" s="107">
        <v>8235842.4500000002</v>
      </c>
      <c r="E30" s="107">
        <v>9215675.2799999993</v>
      </c>
      <c r="F30" s="107">
        <v>3.3245</v>
      </c>
      <c r="G30" s="107">
        <v>1.0666</v>
      </c>
      <c r="H30" s="107">
        <v>972.16</v>
      </c>
      <c r="I30" s="107">
        <v>346.35</v>
      </c>
      <c r="J30" s="107">
        <v>478.21</v>
      </c>
      <c r="K30" s="107">
        <v>465.53</v>
      </c>
      <c r="L30" s="107">
        <v>317.38</v>
      </c>
      <c r="M30" s="107">
        <v>795.97</v>
      </c>
      <c r="N30" s="107">
        <v>735.53</v>
      </c>
      <c r="O30" s="107">
        <v>229.04</v>
      </c>
      <c r="P30" s="107">
        <v>967.16</v>
      </c>
      <c r="Q30" s="107">
        <v>722.14</v>
      </c>
      <c r="R30" s="107">
        <v>190.15</v>
      </c>
      <c r="S30" s="107">
        <v>164.54</v>
      </c>
      <c r="T30" s="107">
        <v>597.41999999999996</v>
      </c>
      <c r="V30" s="101"/>
      <c r="W30" s="101"/>
      <c r="X30" s="101"/>
      <c r="Y30" s="17"/>
    </row>
    <row r="31" spans="1:25" ht="21" customHeight="1" x14ac:dyDescent="0.25">
      <c r="A31" s="8">
        <v>44740</v>
      </c>
      <c r="B31" s="106">
        <v>1.4108000000000001</v>
      </c>
      <c r="C31" s="107">
        <v>319.75</v>
      </c>
      <c r="D31" s="107">
        <v>8237546.9400000004</v>
      </c>
      <c r="E31" s="107">
        <v>9218263.5299999993</v>
      </c>
      <c r="F31" s="107">
        <v>3.3271999999999999</v>
      </c>
      <c r="G31" s="107">
        <v>1.0673999999999999</v>
      </c>
      <c r="H31" s="107">
        <v>973.15</v>
      </c>
      <c r="I31" s="107">
        <v>346.62</v>
      </c>
      <c r="J31" s="107">
        <v>478.59</v>
      </c>
      <c r="K31" s="107">
        <v>465.8</v>
      </c>
      <c r="L31" s="107">
        <v>317.54000000000002</v>
      </c>
      <c r="M31" s="107">
        <v>796.64</v>
      </c>
      <c r="N31" s="107">
        <v>735.76</v>
      </c>
      <c r="O31" s="107">
        <v>229.24</v>
      </c>
      <c r="P31" s="107">
        <v>968</v>
      </c>
      <c r="Q31" s="107">
        <v>722.92</v>
      </c>
      <c r="R31" s="107">
        <v>190.15</v>
      </c>
      <c r="S31" s="107">
        <v>164.67</v>
      </c>
      <c r="T31" s="107">
        <v>597.9</v>
      </c>
      <c r="V31" s="101"/>
      <c r="W31" s="101"/>
      <c r="X31" s="101"/>
      <c r="Y31" s="17"/>
    </row>
    <row r="32" spans="1:25" ht="21" customHeight="1" x14ac:dyDescent="0.25">
      <c r="A32" s="8">
        <v>44741</v>
      </c>
      <c r="B32" s="104">
        <v>1.4117999999999999</v>
      </c>
      <c r="C32" s="104">
        <v>319.98</v>
      </c>
      <c r="D32" s="104">
        <v>8238966.7699999996</v>
      </c>
      <c r="E32" s="109">
        <v>9220332.2200000007</v>
      </c>
      <c r="F32" s="104">
        <v>3.3298000000000001</v>
      </c>
      <c r="G32" s="104">
        <v>1.0682</v>
      </c>
      <c r="H32" s="104">
        <v>974.07</v>
      </c>
      <c r="I32" s="104">
        <v>346.93</v>
      </c>
      <c r="J32" s="104">
        <v>478.88</v>
      </c>
      <c r="K32" s="104">
        <v>466</v>
      </c>
      <c r="L32" s="104">
        <v>317.79000000000002</v>
      </c>
      <c r="M32" s="104">
        <v>796.99</v>
      </c>
      <c r="N32" s="104">
        <v>735.98</v>
      </c>
      <c r="O32" s="104">
        <v>229.44</v>
      </c>
      <c r="P32" s="104">
        <v>968.79</v>
      </c>
      <c r="Q32" s="104">
        <v>723.65</v>
      </c>
      <c r="R32" s="107">
        <v>190.15</v>
      </c>
      <c r="S32" s="116">
        <v>164.81</v>
      </c>
      <c r="T32" s="104">
        <v>598.38</v>
      </c>
      <c r="V32" s="101"/>
      <c r="W32" s="101"/>
      <c r="X32" s="101"/>
      <c r="Y32" s="17"/>
    </row>
    <row r="33" spans="1:25" ht="19.5" customHeight="1" x14ac:dyDescent="0.25">
      <c r="A33" s="8">
        <v>44742</v>
      </c>
      <c r="B33" s="104">
        <v>1.4128000000000001</v>
      </c>
      <c r="C33" s="116">
        <v>320.22000000000003</v>
      </c>
      <c r="D33" s="104">
        <v>8240674.2800000003</v>
      </c>
      <c r="E33" s="109">
        <v>9222799.8399999999</v>
      </c>
      <c r="F33" s="104">
        <v>3.3323999999999998</v>
      </c>
      <c r="G33" s="104">
        <v>1.0690999999999999</v>
      </c>
      <c r="H33" s="104">
        <v>975.04</v>
      </c>
      <c r="I33" s="104">
        <v>347.26</v>
      </c>
      <c r="J33" s="104">
        <v>479.36</v>
      </c>
      <c r="K33" s="104">
        <v>466.31</v>
      </c>
      <c r="L33" s="104">
        <v>318</v>
      </c>
      <c r="M33" s="104">
        <v>797.5</v>
      </c>
      <c r="N33" s="104">
        <v>736.24</v>
      </c>
      <c r="O33" s="104">
        <v>229.66</v>
      </c>
      <c r="P33" s="104">
        <v>969.72</v>
      </c>
      <c r="Q33" s="104">
        <v>724.4</v>
      </c>
      <c r="R33" s="107">
        <v>190.15</v>
      </c>
      <c r="S33" s="116">
        <v>164.95</v>
      </c>
      <c r="T33" s="104">
        <v>598.86</v>
      </c>
      <c r="V33" s="101"/>
      <c r="W33" s="101"/>
      <c r="X33" s="101"/>
      <c r="Y33" s="17"/>
    </row>
    <row r="34" spans="1:25" ht="19.5" customHeight="1" x14ac:dyDescent="0.25">
      <c r="A34" s="8">
        <v>44743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/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485</v>
      </c>
      <c r="W35" s="75">
        <f>SUM(W4:W34)</f>
        <v>1395</v>
      </c>
      <c r="X35" s="75">
        <f>SUM(X4:X34)</f>
        <v>3339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92" sqref="H9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5" t="s">
        <v>30</v>
      </c>
      <c r="B2" s="137" t="s">
        <v>31</v>
      </c>
      <c r="C2" s="137" t="s">
        <v>32</v>
      </c>
      <c r="D2" s="137" t="s">
        <v>118</v>
      </c>
      <c r="E2" s="135" t="s">
        <v>33</v>
      </c>
      <c r="F2" s="145" t="s">
        <v>34</v>
      </c>
      <c r="G2" s="146"/>
      <c r="H2" s="147"/>
      <c r="I2" s="148" t="s">
        <v>35</v>
      </c>
      <c r="J2" s="148" t="s">
        <v>36</v>
      </c>
      <c r="K2" s="148" t="s">
        <v>37</v>
      </c>
      <c r="L2" s="148" t="s">
        <v>38</v>
      </c>
      <c r="M2" s="149" t="s">
        <v>39</v>
      </c>
      <c r="N2" s="149"/>
      <c r="O2" s="149"/>
      <c r="P2" s="149"/>
      <c r="Q2" s="149"/>
      <c r="R2" s="149"/>
      <c r="S2" s="148" t="s">
        <v>40</v>
      </c>
      <c r="T2" s="148"/>
      <c r="U2" s="150" t="s">
        <v>41</v>
      </c>
      <c r="V2" s="148" t="s">
        <v>42</v>
      </c>
    </row>
    <row r="3" spans="1:22" x14ac:dyDescent="0.25">
      <c r="A3" s="136"/>
      <c r="B3" s="138"/>
      <c r="C3" s="138"/>
      <c r="D3" s="138"/>
      <c r="E3" s="136"/>
      <c r="F3" s="6" t="s">
        <v>26</v>
      </c>
      <c r="G3" s="6" t="s">
        <v>27</v>
      </c>
      <c r="H3" s="6" t="s">
        <v>28</v>
      </c>
      <c r="I3" s="148"/>
      <c r="J3" s="148"/>
      <c r="K3" s="148"/>
      <c r="L3" s="14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0"/>
      <c r="V3" s="148"/>
    </row>
    <row r="4" spans="1:22" x14ac:dyDescent="0.25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25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25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25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220.00000000002728</v>
      </c>
      <c r="F7" s="2">
        <f>('Kwh Reading'!J8-'Kwh Reading'!J7)*1000</f>
        <v>360.00000000001364</v>
      </c>
      <c r="G7" s="2">
        <f>('Kwh Reading'!K8-'Kwh Reading'!K7)*1000</f>
        <v>269.99999999998181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6313.3600000009283</v>
      </c>
    </row>
    <row r="8" spans="1:22" x14ac:dyDescent="0.25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209.99999999997954</v>
      </c>
      <c r="F8" s="2">
        <f>('Kwh Reading'!J9-'Kwh Reading'!J8)*1000</f>
        <v>310.00000000000227</v>
      </c>
      <c r="G8" s="2">
        <f>('Kwh Reading'!K9-'Kwh Reading'!K8)*1000</f>
        <v>269.99999999998181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5904.0799999990013</v>
      </c>
    </row>
    <row r="9" spans="1:22" x14ac:dyDescent="0.25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25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1873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6861.2699999980541</v>
      </c>
    </row>
    <row r="11" spans="1:22" x14ac:dyDescent="0.25">
      <c r="A11" s="3">
        <f>'Kwh Reading'!A11</f>
        <v>44720</v>
      </c>
      <c r="B11" s="26">
        <f>TOTAL!E9</f>
        <v>20440.000000001419</v>
      </c>
      <c r="C11" s="4">
        <f>('Kwh Reading'!T12-'Kwh Reading'!T11)*1000</f>
        <v>500</v>
      </c>
      <c r="D11" s="2">
        <f>('Kwh Reading'!F12-'Kwh Reading'!F11)*1000000</f>
        <v>2699.9999999999245</v>
      </c>
      <c r="E11" s="2">
        <f>('Kwh Reading'!C12-'Kwh Reading'!C11)*1000</f>
        <v>240.00000000000909</v>
      </c>
      <c r="F11" s="2">
        <f>('Kwh Reading'!J12-'Kwh Reading'!J11)*1000</f>
        <v>359.9999999999568</v>
      </c>
      <c r="G11" s="2">
        <f>('Kwh Reading'!K12-'Kwh Reading'!K11)*1000</f>
        <v>280.00000000002956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350.00000000002274</v>
      </c>
      <c r="L11" s="2">
        <f>('Kwh Reading'!B12-'Kwh Reading'!B11)*1000000</f>
        <v>1100.000000000101</v>
      </c>
      <c r="M11" s="2">
        <f>('Kwh Reading'!M12-'Kwh Reading'!M11)*1000</f>
        <v>759.99999999999091</v>
      </c>
      <c r="N11" s="2">
        <f>('Kwh Reading'!H12-'Kwh Reading'!H11)*1000</f>
        <v>1250</v>
      </c>
      <c r="O11" s="2">
        <f>('Kwh Reading'!P12-'Kwh Reading'!P11)*1000</f>
        <v>629.99999999999545</v>
      </c>
      <c r="P11" s="2">
        <f>('Kwh Reading'!G12-'Kwh Reading'!G11)*1000000</f>
        <v>799.99999999991189</v>
      </c>
      <c r="Q11" s="2">
        <f>('Kwh Reading'!Q12-'Kwh Reading'!Q11)*1000</f>
        <v>699.99999999993179</v>
      </c>
      <c r="R11" s="2">
        <f>('Kwh Reading'!N12-'Kwh Reading'!N11)*1000</f>
        <v>240.00000000000909</v>
      </c>
      <c r="S11" s="33">
        <f>'Kwh Reading'!E12-'Kwh Reading'!E11</f>
        <v>3763.839999999851</v>
      </c>
      <c r="T11" s="33">
        <f>'Kwh Reading'!D12-'Kwh Reading'!D11</f>
        <v>1724.8700000001118</v>
      </c>
      <c r="U11" s="27">
        <f>('Kwh Reading'!O12-'Kwh Reading'!O11)*1000</f>
        <v>250</v>
      </c>
      <c r="V11" s="16">
        <f t="shared" si="0"/>
        <v>4431.2900000015889</v>
      </c>
    </row>
    <row r="12" spans="1:22" x14ac:dyDescent="0.25">
      <c r="A12" s="3">
        <f>'Kwh Reading'!A12</f>
        <v>44721</v>
      </c>
      <c r="B12" s="26">
        <f>TOTAL!E10</f>
        <v>20689.999999998006</v>
      </c>
      <c r="C12" s="4">
        <f>('Kwh Reading'!T13-'Kwh Reading'!T12)*1000</f>
        <v>480.00000000001819</v>
      </c>
      <c r="D12" s="2">
        <f>('Kwh Reading'!F13-'Kwh Reading'!F12)*1000000</f>
        <v>2699.9999999999245</v>
      </c>
      <c r="E12" s="2">
        <f>('Kwh Reading'!C13-'Kwh Reading'!C12)*1000</f>
        <v>259.99999999999091</v>
      </c>
      <c r="F12" s="2">
        <f>('Kwh Reading'!J13-'Kwh Reading'!J12)*1000</f>
        <v>450.00000000004547</v>
      </c>
      <c r="G12" s="2">
        <f>('Kwh Reading'!K13-'Kwh Reading'!K12)*1000</f>
        <v>269.99999999998181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139.99999999998636</v>
      </c>
      <c r="K12" s="2">
        <f>('Kwh Reading'!I13-'Kwh Reading'!I12)*1000</f>
        <v>360.00000000001364</v>
      </c>
      <c r="L12" s="2">
        <f>('Kwh Reading'!B13-'Kwh Reading'!B12)*1000000</f>
        <v>1099.9999999998788</v>
      </c>
      <c r="M12" s="2">
        <f>('Kwh Reading'!M13-'Kwh Reading'!M12)*1000</f>
        <v>730.00000000001819</v>
      </c>
      <c r="N12" s="2">
        <f>('Kwh Reading'!H13-'Kwh Reading'!H12)*1000</f>
        <v>1200.0000000000455</v>
      </c>
      <c r="O12" s="2">
        <f>('Kwh Reading'!P13-'Kwh Reading'!P12)*1000</f>
        <v>509.99999999999091</v>
      </c>
      <c r="P12" s="2">
        <f>('Kwh Reading'!G13-'Kwh Reading'!G12)*1000000</f>
        <v>900.0000000001229</v>
      </c>
      <c r="Q12" s="2">
        <f>('Kwh Reading'!Q13-'Kwh Reading'!Q12)*1000</f>
        <v>810.00000000005912</v>
      </c>
      <c r="R12" s="2">
        <f>('Kwh Reading'!N13-'Kwh Reading'!N12)*1000</f>
        <v>259.99999999999091</v>
      </c>
      <c r="S12" s="33">
        <f>'Kwh Reading'!E13-'Kwh Reading'!E12</f>
        <v>2554.3499999996275</v>
      </c>
      <c r="T12" s="33">
        <f>'Kwh Reading'!D13-'Kwh Reading'!D12</f>
        <v>1644.7400000002235</v>
      </c>
      <c r="U12" s="27">
        <f>('Kwh Reading'!O13-'Kwh Reading'!O12)*1000</f>
        <v>219.99999999999886</v>
      </c>
      <c r="V12" s="16">
        <f t="shared" ref="V12:V34" si="1">B12-(SUM(C12:U12))</f>
        <v>5860.909999998079</v>
      </c>
    </row>
    <row r="13" spans="1:22" x14ac:dyDescent="0.25">
      <c r="A13" s="3">
        <f>'Kwh Reading'!A13</f>
        <v>44722</v>
      </c>
      <c r="B13" s="26">
        <f>TOTAL!E11</f>
        <v>20299.999999999727</v>
      </c>
      <c r="C13" s="4">
        <f>('Kwh Reading'!T14-'Kwh Reading'!T13)*1000</f>
        <v>320.00000000005002</v>
      </c>
      <c r="D13" s="2">
        <f>('Kwh Reading'!F14-'Kwh Reading'!F13)*1000000</f>
        <v>2800.0000000001355</v>
      </c>
      <c r="E13" s="2">
        <f>('Kwh Reading'!C14-'Kwh Reading'!C13)*1000</f>
        <v>220.00000000002728</v>
      </c>
      <c r="F13" s="2">
        <f>('Kwh Reading'!J14-'Kwh Reading'!J13)*1000</f>
        <v>389.99999999998636</v>
      </c>
      <c r="G13" s="2">
        <f>('Kwh Reading'!K14-'Kwh Reading'!K13)*1000</f>
        <v>259.99999999999091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129.99999999999545</v>
      </c>
      <c r="K13" s="2">
        <f>('Kwh Reading'!I14-'Kwh Reading'!I13)*1000</f>
        <v>370.00000000000455</v>
      </c>
      <c r="L13" s="2">
        <f>('Kwh Reading'!B14-'Kwh Reading'!B13)*1000000</f>
        <v>1100.000000000101</v>
      </c>
      <c r="M13" s="2">
        <f>('Kwh Reading'!M14-'Kwh Reading'!M13)*1000</f>
        <v>830.00000000004093</v>
      </c>
      <c r="N13" s="2">
        <f>('Kwh Reading'!H14-'Kwh Reading'!H13)*1000</f>
        <v>1169.9999999999591</v>
      </c>
      <c r="O13" s="2">
        <f>('Kwh Reading'!P14-'Kwh Reading'!P13)*1000</f>
        <v>710.00000000003638</v>
      </c>
      <c r="P13" s="2">
        <f>('Kwh Reading'!G14-'Kwh Reading'!G13)*1000000</f>
        <v>899.99999999990087</v>
      </c>
      <c r="Q13" s="2">
        <f>('Kwh Reading'!Q14-'Kwh Reading'!Q13)*1000</f>
        <v>839.99999999991815</v>
      </c>
      <c r="R13" s="2">
        <f>('Kwh Reading'!N14-'Kwh Reading'!N13)*1000</f>
        <v>250</v>
      </c>
      <c r="S13" s="33">
        <f>'Kwh Reading'!E14-'Kwh Reading'!E13</f>
        <v>2194.140000000596</v>
      </c>
      <c r="T13" s="33">
        <f>'Kwh Reading'!D14-'Kwh Reading'!D13</f>
        <v>1705.9799999995157</v>
      </c>
      <c r="U13" s="27">
        <f>('Kwh Reading'!O14-'Kwh Reading'!O13)*1000</f>
        <v>259.99999999999091</v>
      </c>
      <c r="V13" s="16">
        <f t="shared" si="1"/>
        <v>5639.879999999499</v>
      </c>
    </row>
    <row r="14" spans="1:22" x14ac:dyDescent="0.25">
      <c r="A14" s="3">
        <f>'Kwh Reading'!A14</f>
        <v>44723</v>
      </c>
      <c r="B14" s="26">
        <f>TOTAL!E12</f>
        <v>21790.000000002467</v>
      </c>
      <c r="C14" s="4">
        <f>('Kwh Reading'!T15-'Kwh Reading'!T14)*1000</f>
        <v>549.99999999995453</v>
      </c>
      <c r="D14" s="2">
        <f>('Kwh Reading'!F15-'Kwh Reading'!F14)*1000000</f>
        <v>2699.9999999999245</v>
      </c>
      <c r="E14" s="2">
        <f>('Kwh Reading'!C15-'Kwh Reading'!C14)*1000</f>
        <v>219.99999999997044</v>
      </c>
      <c r="F14" s="2">
        <f>('Kwh Reading'!J15-'Kwh Reading'!J14)*1000</f>
        <v>569.99999999999318</v>
      </c>
      <c r="G14" s="2">
        <f>('Kwh Reading'!K15-'Kwh Reading'!K14)*1000</f>
        <v>330.00000000004093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349.99999999996589</v>
      </c>
      <c r="L14" s="2">
        <f>('Kwh Reading'!B15-'Kwh Reading'!B14)*1000000</f>
        <v>1199.9999999998679</v>
      </c>
      <c r="M14" s="2">
        <f>('Kwh Reading'!M15-'Kwh Reading'!M14)*1000</f>
        <v>860.00000000001364</v>
      </c>
      <c r="N14" s="2">
        <f>('Kwh Reading'!H15-'Kwh Reading'!H14)*1000</f>
        <v>1069.9999999999363</v>
      </c>
      <c r="O14" s="2">
        <f>('Kwh Reading'!P15-'Kwh Reading'!P14)*1000</f>
        <v>779.99999999997272</v>
      </c>
      <c r="P14" s="2">
        <f>('Kwh Reading'!G15-'Kwh Reading'!G14)*1000000</f>
        <v>799.99999999991189</v>
      </c>
      <c r="Q14" s="2">
        <f>('Kwh Reading'!Q15-'Kwh Reading'!Q14)*1000</f>
        <v>800.00000000006821</v>
      </c>
      <c r="R14" s="2">
        <f>('Kwh Reading'!N15-'Kwh Reading'!N14)*1000</f>
        <v>259.99999999999091</v>
      </c>
      <c r="S14" s="33">
        <f>'Kwh Reading'!E15-'Kwh Reading'!E14</f>
        <v>2740.4199999999255</v>
      </c>
      <c r="T14" s="33">
        <f>'Kwh Reading'!D15-'Kwh Reading'!D14</f>
        <v>1792.230000000447</v>
      </c>
      <c r="U14" s="27">
        <f>('Kwh Reading'!O15-'Kwh Reading'!O14)*1000</f>
        <v>230.00000000001819</v>
      </c>
      <c r="V14" s="16">
        <f t="shared" si="1"/>
        <v>6157.3500000024414</v>
      </c>
    </row>
    <row r="15" spans="1:22" x14ac:dyDescent="0.25">
      <c r="A15" s="3">
        <f>'Kwh Reading'!A15</f>
        <v>44724</v>
      </c>
      <c r="B15" s="26">
        <f>TOTAL!E13</f>
        <v>20839.999999997872</v>
      </c>
      <c r="C15" s="4">
        <f>('Kwh Reading'!T16-'Kwh Reading'!T15)*1000</f>
        <v>480.00000000001819</v>
      </c>
      <c r="D15" s="2">
        <f>('Kwh Reading'!F16-'Kwh Reading'!F15)*1000000</f>
        <v>2499.9999999999468</v>
      </c>
      <c r="E15" s="2">
        <f>('Kwh Reading'!C16-'Kwh Reading'!C15)*1000</f>
        <v>220.00000000002728</v>
      </c>
      <c r="F15" s="2">
        <f>('Kwh Reading'!J16-'Kwh Reading'!J15)*1000</f>
        <v>439.99999999999773</v>
      </c>
      <c r="G15" s="2">
        <f>('Kwh Reading'!K16-'Kwh Reading'!K15)*1000</f>
        <v>319.99999999999318</v>
      </c>
      <c r="H15" s="2">
        <f>('Kwh Reading'!L16-'Kwh Reading'!L15)*1000</f>
        <v>219.99999999997044</v>
      </c>
      <c r="I15" s="2">
        <f>('Kwh Reading'!R16-'Kwh Reading'!R15)*1000</f>
        <v>0</v>
      </c>
      <c r="J15" s="2">
        <f>('Kwh Reading'!S16-'Kwh Reading'!S15)*1000</f>
        <v>140.00000000001478</v>
      </c>
      <c r="K15" s="2">
        <f>('Kwh Reading'!I16-'Kwh Reading'!I15)*1000</f>
        <v>370.00000000000455</v>
      </c>
      <c r="L15" s="2">
        <f>('Kwh Reading'!B16-'Kwh Reading'!B15)*1000000</f>
        <v>1000.0000000001119</v>
      </c>
      <c r="M15" s="2">
        <f>('Kwh Reading'!M16-'Kwh Reading'!M15)*1000</f>
        <v>819.99999999993634</v>
      </c>
      <c r="N15" s="2">
        <f>('Kwh Reading'!H16-'Kwh Reading'!H15)*1000</f>
        <v>1110.0000000000136</v>
      </c>
      <c r="O15" s="2">
        <f>('Kwh Reading'!P16-'Kwh Reading'!P15)*1000</f>
        <v>750</v>
      </c>
      <c r="P15" s="2">
        <f>('Kwh Reading'!G16-'Kwh Reading'!G15)*1000000</f>
        <v>700.00000000014495</v>
      </c>
      <c r="Q15" s="2">
        <f>('Kwh Reading'!Q16-'Kwh Reading'!Q15)*1000</f>
        <v>679.99999999994998</v>
      </c>
      <c r="R15" s="2">
        <f>('Kwh Reading'!N16-'Kwh Reading'!N15)*1000</f>
        <v>240.00000000000909</v>
      </c>
      <c r="S15" s="33">
        <f>'Kwh Reading'!E16-'Kwh Reading'!E15</f>
        <v>2707.7200000006706</v>
      </c>
      <c r="T15" s="33">
        <f>'Kwh Reading'!D16-'Kwh Reading'!D15</f>
        <v>1841.0299999993294</v>
      </c>
      <c r="U15" s="27">
        <f>('Kwh Reading'!O16-'Kwh Reading'!O15)*1000</f>
        <v>209.99999999997954</v>
      </c>
      <c r="V15" s="16">
        <f t="shared" si="1"/>
        <v>6091.2499999977517</v>
      </c>
    </row>
    <row r="16" spans="1:22" x14ac:dyDescent="0.25">
      <c r="A16" s="3">
        <f>'Kwh Reading'!A16</f>
        <v>44725</v>
      </c>
      <c r="B16" s="26">
        <f>TOTAL!E14</f>
        <v>21720.000000001164</v>
      </c>
      <c r="C16" s="4">
        <f>('Kwh Reading'!T17-'Kwh Reading'!T16)*1000</f>
        <v>519.99999999998181</v>
      </c>
      <c r="D16" s="2">
        <f>('Kwh Reading'!F17-'Kwh Reading'!F16)*1000000</f>
        <v>3099.9999999998809</v>
      </c>
      <c r="E16" s="2">
        <f>('Kwh Reading'!C17-'Kwh Reading'!C16)*1000</f>
        <v>240.00000000000909</v>
      </c>
      <c r="F16" s="2">
        <f>('Kwh Reading'!J17-'Kwh Reading'!J16)*1000</f>
        <v>449.99999999998863</v>
      </c>
      <c r="G16" s="2">
        <f>('Kwh Reading'!K17-'Kwh Reading'!K16)*1000</f>
        <v>359.9999999999568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129.99999999999545</v>
      </c>
      <c r="K16" s="2">
        <f>('Kwh Reading'!I17-'Kwh Reading'!I16)*1000</f>
        <v>360.00000000001364</v>
      </c>
      <c r="L16" s="2">
        <f>('Kwh Reading'!B17-'Kwh Reading'!B16)*1000000</f>
        <v>1199.9999999998679</v>
      </c>
      <c r="M16" s="2">
        <f>('Kwh Reading'!M17-'Kwh Reading'!M16)*1000</f>
        <v>810.00000000005912</v>
      </c>
      <c r="N16" s="2">
        <f>('Kwh Reading'!H17-'Kwh Reading'!H16)*1000</f>
        <v>1150.0000000000909</v>
      </c>
      <c r="O16" s="2">
        <f>('Kwh Reading'!P17-'Kwh Reading'!P16)*1000</f>
        <v>759.99999999999091</v>
      </c>
      <c r="P16" s="2">
        <f>('Kwh Reading'!G17-'Kwh Reading'!G16)*1000000</f>
        <v>799.99999999991189</v>
      </c>
      <c r="Q16" s="2">
        <f>('Kwh Reading'!Q17-'Kwh Reading'!Q16)*1000</f>
        <v>730.00000000001819</v>
      </c>
      <c r="R16" s="2">
        <f>('Kwh Reading'!N17-'Kwh Reading'!N16)*1000</f>
        <v>389.99999999998636</v>
      </c>
      <c r="S16" s="33">
        <f>'Kwh Reading'!E17-'Kwh Reading'!E16</f>
        <v>2847.7999999988824</v>
      </c>
      <c r="T16" s="33">
        <f>'Kwh Reading'!D17-'Kwh Reading'!D16</f>
        <v>2046.3500000005588</v>
      </c>
      <c r="U16" s="27">
        <f>('Kwh Reading'!O17-'Kwh Reading'!O16)*1000</f>
        <v>210.00000000000796</v>
      </c>
      <c r="V16" s="16">
        <f t="shared" si="1"/>
        <v>5375.8500000019558</v>
      </c>
    </row>
    <row r="17" spans="1:22" x14ac:dyDescent="0.25">
      <c r="A17" s="3">
        <f>'Kwh Reading'!A17</f>
        <v>44726</v>
      </c>
      <c r="B17" s="26">
        <f>TOTAL!E15</f>
        <v>21470.00000000048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379.99999999999545</v>
      </c>
      <c r="G17" s="2">
        <f>('Kwh Reading'!K18-'Kwh Reading'!K17)*1000</f>
        <v>230.00000000001819</v>
      </c>
      <c r="H17" s="2">
        <f>('Kwh Reading'!L18-'Kwh Reading'!L17)*1000</f>
        <v>200.00000000004547</v>
      </c>
      <c r="I17" s="2">
        <f>('Kwh Reading'!R18-'Kwh Reading'!R17)*1000</f>
        <v>0</v>
      </c>
      <c r="J17" s="2">
        <f>('Kwh Reading'!S18-'Kwh Reading'!S17)*1000</f>
        <v>39.999999999992042</v>
      </c>
      <c r="K17" s="2">
        <f>('Kwh Reading'!I18-'Kwh Reading'!I17)*1000</f>
        <v>339.99999999997499</v>
      </c>
      <c r="L17" s="2">
        <f>('Kwh Reading'!B18-'Kwh Reading'!B17)*1000000</f>
        <v>1100.000000000101</v>
      </c>
      <c r="M17" s="2">
        <f>('Kwh Reading'!M18-'Kwh Reading'!M17)*1000</f>
        <v>779.99999999997272</v>
      </c>
      <c r="N17" s="2">
        <f>('Kwh Reading'!H18-'Kwh Reading'!H17)*1000</f>
        <v>1189.9999999999409</v>
      </c>
      <c r="O17" s="2">
        <f>('Kwh Reading'!P18-'Kwh Reading'!P17)*1000</f>
        <v>799.99999999995453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500</v>
      </c>
      <c r="S17" s="33">
        <f>'Kwh Reading'!E18-'Kwh Reading'!E17</f>
        <v>2785.070000000298</v>
      </c>
      <c r="T17" s="33">
        <f>'Kwh Reading'!D18-'Kwh Reading'!D17</f>
        <v>1962.660000000149</v>
      </c>
      <c r="U17" s="27">
        <f>('Kwh Reading'!O18-'Kwh Reading'!O17)*1000</f>
        <v>230.00000000001819</v>
      </c>
      <c r="V17" s="16">
        <f t="shared" si="1"/>
        <v>6022.2699999997367</v>
      </c>
    </row>
    <row r="18" spans="1:22" x14ac:dyDescent="0.25">
      <c r="A18" s="3">
        <f>'Kwh Reading'!A18</f>
        <v>44727</v>
      </c>
      <c r="B18" s="26">
        <f>TOTAL!E16</f>
        <v>22339.999999998101</v>
      </c>
      <c r="C18" s="4">
        <f>('Kwh Reading'!T19-'Kwh Reading'!T18)*1000</f>
        <v>509.99999999999091</v>
      </c>
      <c r="D18" s="2">
        <f>('Kwh Reading'!F19-'Kwh Reading'!F18)*1000000</f>
        <v>2699.9999999999245</v>
      </c>
      <c r="E18" s="2">
        <f>('Kwh Reading'!C19-'Kwh Reading'!C18)*1000</f>
        <v>269.99999999998181</v>
      </c>
      <c r="F18" s="2">
        <f>('Kwh Reading'!J19-'Kwh Reading'!J18)*1000</f>
        <v>490.00000000000909</v>
      </c>
      <c r="G18" s="2">
        <f>('Kwh Reading'!K19-'Kwh Reading'!K18)*1000</f>
        <v>290.00000000002046</v>
      </c>
      <c r="H18" s="2">
        <f>('Kwh Reading'!L19-'Kwh Reading'!L18)*1000</f>
        <v>239.99999999995225</v>
      </c>
      <c r="I18" s="2">
        <f>('Kwh Reading'!R19-'Kwh Reading'!R18)*1000</f>
        <v>0</v>
      </c>
      <c r="J18" s="2">
        <f>('Kwh Reading'!S19-'Kwh Reading'!S18)*1000</f>
        <v>129.99999999999545</v>
      </c>
      <c r="K18" s="2">
        <f>('Kwh Reading'!I19-'Kwh Reading'!I18)*1000</f>
        <v>300.00000000001137</v>
      </c>
      <c r="L18" s="2">
        <f>('Kwh Reading'!B19-'Kwh Reading'!B18)*1000000</f>
        <v>1200.0000000000898</v>
      </c>
      <c r="M18" s="2">
        <f>('Kwh Reading'!M19-'Kwh Reading'!M18)*1000</f>
        <v>809.99999999994543</v>
      </c>
      <c r="N18" s="2">
        <f>('Kwh Reading'!H19-'Kwh Reading'!H18)*1000</f>
        <v>1200.0000000000455</v>
      </c>
      <c r="O18" s="2">
        <f>('Kwh Reading'!P19-'Kwh Reading'!P18)*1000</f>
        <v>800.00000000006821</v>
      </c>
      <c r="P18" s="2">
        <f>('Kwh Reading'!G19-'Kwh Reading'!G18)*1000000</f>
        <v>799.99999999991189</v>
      </c>
      <c r="Q18" s="2">
        <f>('Kwh Reading'!Q19-'Kwh Reading'!Q18)*1000</f>
        <v>809.99999999994543</v>
      </c>
      <c r="R18" s="2">
        <f>('Kwh Reading'!N19-'Kwh Reading'!N18)*1000</f>
        <v>590.00000000003183</v>
      </c>
      <c r="S18" s="33">
        <f>'Kwh Reading'!E19-'Kwh Reading'!E18</f>
        <v>3041.0299999993294</v>
      </c>
      <c r="T18" s="33">
        <f>'Kwh Reading'!D19-'Kwh Reading'!D18</f>
        <v>2008.4699999997392</v>
      </c>
      <c r="U18" s="27">
        <f>('Kwh Reading'!O19-'Kwh Reading'!O18)*1000</f>
        <v>219.99999999999886</v>
      </c>
      <c r="V18" s="16">
        <f t="shared" si="1"/>
        <v>5930.4999999991051</v>
      </c>
    </row>
    <row r="19" spans="1:22" x14ac:dyDescent="0.25">
      <c r="A19" s="3">
        <f>'Kwh Reading'!A19</f>
        <v>44728</v>
      </c>
      <c r="B19" s="26">
        <f>TOTAL!E17</f>
        <v>21850.000000000364</v>
      </c>
      <c r="C19" s="4">
        <f>('Kwh Reading'!T20-'Kwh Reading'!T19)*1000</f>
        <v>480.00000000001819</v>
      </c>
      <c r="D19" s="2">
        <f>('Kwh Reading'!F20-'Kwh Reading'!F19)*1000000</f>
        <v>2699.9999999999245</v>
      </c>
      <c r="E19" s="2">
        <f>('Kwh Reading'!C20-'Kwh Reading'!C19)*1000</f>
        <v>230.00000000001819</v>
      </c>
      <c r="F19" s="2">
        <f>('Kwh Reading'!J20-'Kwh Reading'!J19)*1000</f>
        <v>360.00000000001364</v>
      </c>
      <c r="G19" s="2">
        <f>('Kwh Reading'!K20-'Kwh Reading'!K19)*1000</f>
        <v>279.99999999997272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140.00000000001478</v>
      </c>
      <c r="K19" s="2">
        <f>('Kwh Reading'!I20-'Kwh Reading'!I19)*1000</f>
        <v>280.00000000002956</v>
      </c>
      <c r="L19" s="2">
        <f>('Kwh Reading'!B20-'Kwh Reading'!B19)*1000000</f>
        <v>999.99999999988984</v>
      </c>
      <c r="M19" s="2">
        <f>('Kwh Reading'!M20-'Kwh Reading'!M19)*1000</f>
        <v>850.00000000002274</v>
      </c>
      <c r="N19" s="2">
        <f>('Kwh Reading'!H20-'Kwh Reading'!H19)*1000</f>
        <v>1079.9999999999272</v>
      </c>
      <c r="O19" s="2">
        <f>('Kwh Reading'!P20-'Kwh Reading'!P19)*1000</f>
        <v>789.99999999996362</v>
      </c>
      <c r="P19" s="2">
        <f>('Kwh Reading'!G20-'Kwh Reading'!G19)*1000000</f>
        <v>799.99999999991189</v>
      </c>
      <c r="Q19" s="2">
        <f>('Kwh Reading'!Q20-'Kwh Reading'!Q19)*1000</f>
        <v>680.00000000006366</v>
      </c>
      <c r="R19" s="2">
        <f>('Kwh Reading'!N20-'Kwh Reading'!N19)*1000</f>
        <v>519.99999999998181</v>
      </c>
      <c r="S19" s="33">
        <f>'Kwh Reading'!E20-'Kwh Reading'!E19</f>
        <v>2977.0800000000745</v>
      </c>
      <c r="T19" s="33">
        <f>'Kwh Reading'!D20-'Kwh Reading'!D19</f>
        <v>1798.5499999998137</v>
      </c>
      <c r="U19" s="27">
        <f>('Kwh Reading'!O20-'Kwh Reading'!O19)*1000</f>
        <v>229.99999999998977</v>
      </c>
      <c r="V19" s="16">
        <f t="shared" si="1"/>
        <v>6424.3700000007157</v>
      </c>
    </row>
    <row r="20" spans="1:22" x14ac:dyDescent="0.25">
      <c r="A20" s="3">
        <f>'Kwh Reading'!A20</f>
        <v>44729</v>
      </c>
      <c r="B20" s="26">
        <f>TOTAL!E18</f>
        <v>20940.000000000284</v>
      </c>
      <c r="C20" s="4">
        <f>('Kwh Reading'!T21-'Kwh Reading'!T20)*1000</f>
        <v>300.00000000006821</v>
      </c>
      <c r="D20" s="2">
        <f>('Kwh Reading'!F21-'Kwh Reading'!F20)*1000000</f>
        <v>2700.0000000003688</v>
      </c>
      <c r="E20" s="2">
        <f>('Kwh Reading'!C21-'Kwh Reading'!C20)*1000</f>
        <v>279.99999999997272</v>
      </c>
      <c r="F20" s="2">
        <f>('Kwh Reading'!J21-'Kwh Reading'!J20)*1000</f>
        <v>479.99999999996135</v>
      </c>
      <c r="G20" s="2">
        <f>('Kwh Reading'!K21-'Kwh Reading'!K20)*1000</f>
        <v>290.00000000002046</v>
      </c>
      <c r="H20" s="27">
        <f>('Kwh Reading'!L21-'Kwh Reading'!L20)*1000</f>
        <v>220.00000000002728</v>
      </c>
      <c r="I20" s="2">
        <f>('Kwh Reading'!R21-'Kwh Reading'!R20)*1000</f>
        <v>0</v>
      </c>
      <c r="J20" s="2">
        <f>('Kwh Reading'!S21-'Kwh Reading'!S20)*1000</f>
        <v>139.99999999998636</v>
      </c>
      <c r="K20" s="2">
        <f>('Kwh Reading'!I21-'Kwh Reading'!I20)*1000</f>
        <v>289.99999999996362</v>
      </c>
      <c r="L20" s="2">
        <f>('Kwh Reading'!B21-'Kwh Reading'!B20)*1000000</f>
        <v>1100.000000000101</v>
      </c>
      <c r="M20" s="2">
        <f>('Kwh Reading'!M21-'Kwh Reading'!M20)*1000</f>
        <v>730.00000000001819</v>
      </c>
      <c r="N20" s="2">
        <f>('Kwh Reading'!H21-'Kwh Reading'!H20)*1000</f>
        <v>1050.0000000000682</v>
      </c>
      <c r="O20" s="2">
        <f>('Kwh Reading'!P21-'Kwh Reading'!P20)*1000</f>
        <v>750</v>
      </c>
      <c r="P20" s="2">
        <f>('Kwh Reading'!G21-'Kwh Reading'!G20)*1000000</f>
        <v>700.00000000014495</v>
      </c>
      <c r="Q20" s="2">
        <f>('Kwh Reading'!Q21-'Kwh Reading'!Q20)*1000</f>
        <v>590.00000000003183</v>
      </c>
      <c r="R20" s="2">
        <f>('Kwh Reading'!N21-'Kwh Reading'!N20)*1000</f>
        <v>470.00000000002728</v>
      </c>
      <c r="S20" s="33">
        <f>'Kwh Reading'!E21-'Kwh Reading'!E20</f>
        <v>2582.9700000006706</v>
      </c>
      <c r="T20" s="33">
        <f>'Kwh Reading'!D21-'Kwh Reading'!D20</f>
        <v>1821.3899999996647</v>
      </c>
      <c r="U20" s="27">
        <f>('Kwh Reading'!O21-'Kwh Reading'!O20)*1000</f>
        <v>240.00000000000909</v>
      </c>
      <c r="V20" s="16">
        <f t="shared" si="1"/>
        <v>6205.6399999991772</v>
      </c>
    </row>
    <row r="21" spans="1:22" ht="16.5" customHeight="1" x14ac:dyDescent="0.25">
      <c r="A21" s="3">
        <f>'Kwh Reading'!A21</f>
        <v>44730</v>
      </c>
      <c r="B21" s="26">
        <f>TOTAL!E19</f>
        <v>19930.000000001201</v>
      </c>
      <c r="C21" s="4">
        <f>('Kwh Reading'!T22-'Kwh Reading'!T21)*1000</f>
        <v>79.99999999992724</v>
      </c>
      <c r="D21" s="2">
        <f>('Kwh Reading'!F22-'Kwh Reading'!F21)*1000000</f>
        <v>2699.9999999999245</v>
      </c>
      <c r="E21" s="2">
        <f>('Kwh Reading'!C22-'Kwh Reading'!C21)*1000</f>
        <v>220.00000000002728</v>
      </c>
      <c r="F21" s="2">
        <f>('Kwh Reading'!J22-'Kwh Reading'!J21)*1000</f>
        <v>430.00000000000682</v>
      </c>
      <c r="G21" s="2">
        <f>('Kwh Reading'!K22-'Kwh Reading'!K21)*1000</f>
        <v>269.99999999998181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259.99999999999091</v>
      </c>
      <c r="L21" s="2">
        <f>('Kwh Reading'!B22-'Kwh Reading'!B21)*1000000</f>
        <v>899.99999999990087</v>
      </c>
      <c r="M21" s="2">
        <f>('Kwh Reading'!M22-'Kwh Reading'!M21)*1000</f>
        <v>659.99999999996817</v>
      </c>
      <c r="N21" s="2">
        <f>('Kwh Reading'!H22-'Kwh Reading'!H21)*1000</f>
        <v>909.99999999996817</v>
      </c>
      <c r="O21" s="2">
        <f>('Kwh Reading'!P22-'Kwh Reading'!P21)*1000</f>
        <v>649.99999999997726</v>
      </c>
      <c r="P21" s="2">
        <f>('Kwh Reading'!G22-'Kwh Reading'!G21)*1000000</f>
        <v>699.99999999992292</v>
      </c>
      <c r="Q21" s="2">
        <f>('Kwh Reading'!Q22-'Kwh Reading'!Q21)*1000</f>
        <v>569.99999999993634</v>
      </c>
      <c r="R21" s="2">
        <f>('Kwh Reading'!N22-'Kwh Reading'!N21)*1000</f>
        <v>480.00000000001819</v>
      </c>
      <c r="S21" s="33">
        <f>'Kwh Reading'!E22-'Kwh Reading'!E21</f>
        <v>2330.9499999992549</v>
      </c>
      <c r="T21" s="33">
        <f>'Kwh Reading'!D22-'Kwh Reading'!D21</f>
        <v>1707.660000000149</v>
      </c>
      <c r="U21" s="27">
        <f>('Kwh Reading'!O22-'Kwh Reading'!O21)*1000</f>
        <v>189.99999999999773</v>
      </c>
      <c r="V21" s="16">
        <f t="shared" si="1"/>
        <v>6481.3900000022331</v>
      </c>
    </row>
    <row r="22" spans="1:22" x14ac:dyDescent="0.25">
      <c r="A22" s="3">
        <f>'Kwh Reading'!A22</f>
        <v>44731</v>
      </c>
      <c r="B22" s="26">
        <f>TOTAL!E20</f>
        <v>21289.999999998145</v>
      </c>
      <c r="C22" s="4">
        <f>('Kwh Reading'!T23-'Kwh Reading'!T22)*1000</f>
        <v>899.99999999997726</v>
      </c>
      <c r="D22" s="2">
        <f>('Kwh Reading'!F23-'Kwh Reading'!F22)*1000000</f>
        <v>2699.9999999999245</v>
      </c>
      <c r="E22" s="2">
        <f>('Kwh Reading'!C23-'Kwh Reading'!C22)*1000</f>
        <v>240.00000000000909</v>
      </c>
      <c r="F22" s="2">
        <f>('Kwh Reading'!J23-'Kwh Reading'!J22)*1000</f>
        <v>430.00000000000682</v>
      </c>
      <c r="G22" s="2">
        <f>('Kwh Reading'!K23-'Kwh Reading'!K22)*1000</f>
        <v>270.00000000003865</v>
      </c>
      <c r="H22" s="2">
        <f>('Kwh Reading'!L23-'Kwh Reading'!L22)*1000</f>
        <v>239.99999999995225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280.00000000002956</v>
      </c>
      <c r="L22" s="2">
        <f>('Kwh Reading'!B23-'Kwh Reading'!B22)*1000000</f>
        <v>1000.0000000001119</v>
      </c>
      <c r="M22" s="2">
        <f>('Kwh Reading'!M23-'Kwh Reading'!M22)*1000</f>
        <v>759.99999999999091</v>
      </c>
      <c r="N22" s="2">
        <f>('Kwh Reading'!H23-'Kwh Reading'!H22)*1000</f>
        <v>1149.9999999999773</v>
      </c>
      <c r="O22" s="2">
        <f>('Kwh Reading'!P23-'Kwh Reading'!P22)*1000</f>
        <v>720.00000000002728</v>
      </c>
      <c r="P22" s="2">
        <f>('Kwh Reading'!G23-'Kwh Reading'!G22)*1000000</f>
        <v>699.99999999992292</v>
      </c>
      <c r="Q22" s="2">
        <f>('Kwh Reading'!Q23-'Kwh Reading'!Q22)*1000</f>
        <v>700.00000000004547</v>
      </c>
      <c r="R22" s="2">
        <f>('Kwh Reading'!N23-'Kwh Reading'!N22)*1000</f>
        <v>429.99999999994998</v>
      </c>
      <c r="S22" s="33">
        <f>'Kwh Reading'!E23-'Kwh Reading'!E22</f>
        <v>3085.7400000002235</v>
      </c>
      <c r="T22" s="33">
        <f>'Kwh Reading'!D23-'Kwh Reading'!D22</f>
        <v>1852.6800000006333</v>
      </c>
      <c r="U22" s="27">
        <f>('Kwh Reading'!O23-'Kwh Reading'!O22)*1000</f>
        <v>199.99999999998863</v>
      </c>
      <c r="V22" s="16">
        <f t="shared" si="1"/>
        <v>5501.5799999973387</v>
      </c>
    </row>
    <row r="23" spans="1:22" x14ac:dyDescent="0.25">
      <c r="A23" s="3">
        <f>'Kwh Reading'!A23</f>
        <v>44732</v>
      </c>
      <c r="B23" s="26">
        <f>TOTAL!E21</f>
        <v>20840.0000000006</v>
      </c>
      <c r="C23" s="4">
        <f>('Kwh Reading'!T24-'Kwh Reading'!T23)*1000</f>
        <v>480.00000000001819</v>
      </c>
      <c r="D23" s="2">
        <f>('Kwh Reading'!F24-'Kwh Reading'!F23)*1000000</f>
        <v>2600.0000000001578</v>
      </c>
      <c r="E23" s="2">
        <f>('Kwh Reading'!C24-'Kwh Reading'!C23)*1000</f>
        <v>239.99999999995225</v>
      </c>
      <c r="F23" s="2">
        <f>('Kwh Reading'!J24-'Kwh Reading'!J23)*1000</f>
        <v>370.00000000000455</v>
      </c>
      <c r="G23" s="2">
        <f>('Kwh Reading'!K24-'Kwh Reading'!K23)*1000</f>
        <v>259.99999999999091</v>
      </c>
      <c r="H23" s="2">
        <f>('Kwh Reading'!L24-'Kwh Reading'!L23)*1000</f>
        <v>210.00000000003638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269.99999999998181</v>
      </c>
      <c r="L23" s="2">
        <f>('Kwh Reading'!B24-'Kwh Reading'!B23)*1000000</f>
        <v>1199.9999999998679</v>
      </c>
      <c r="M23" s="2">
        <f>('Kwh Reading'!M24-'Kwh Reading'!M23)*1000</f>
        <v>690.00000000005457</v>
      </c>
      <c r="N23" s="2">
        <f>('Kwh Reading'!H24-'Kwh Reading'!H23)*1000</f>
        <v>1090.0000000000318</v>
      </c>
      <c r="O23" s="2">
        <f>('Kwh Reading'!P24-'Kwh Reading'!P23)*1000</f>
        <v>750</v>
      </c>
      <c r="P23" s="2">
        <f>('Kwh Reading'!G24-'Kwh Reading'!G23)*1000000</f>
        <v>800.00000000013392</v>
      </c>
      <c r="Q23" s="2">
        <f>('Kwh Reading'!Q24-'Kwh Reading'!Q23)*1000</f>
        <v>669.99999999995907</v>
      </c>
      <c r="R23" s="2">
        <f>('Kwh Reading'!N24-'Kwh Reading'!N23)*1000</f>
        <v>379.99999999999545</v>
      </c>
      <c r="S23" s="33">
        <f>'Kwh Reading'!E24-'Kwh Reading'!E23</f>
        <v>2226.2800000011921</v>
      </c>
      <c r="T23" s="33">
        <f>'Kwh Reading'!D24-'Kwh Reading'!D23</f>
        <v>1774.7399999992922</v>
      </c>
      <c r="U23" s="27">
        <f>('Kwh Reading'!O24-'Kwh Reading'!O23)*1000</f>
        <v>210.00000000000796</v>
      </c>
      <c r="V23" s="124">
        <f t="shared" si="1"/>
        <v>6478.9799999999341</v>
      </c>
    </row>
    <row r="24" spans="1:22" x14ac:dyDescent="0.25">
      <c r="A24" s="3">
        <f>'Kwh Reading'!A24</f>
        <v>44733</v>
      </c>
      <c r="B24" s="26">
        <f>TOTAL!E22</f>
        <v>20959.999999999127</v>
      </c>
      <c r="C24" s="4">
        <f>('Kwh Reading'!T25-'Kwh Reading'!T24)*1000</f>
        <v>509.99999999999091</v>
      </c>
      <c r="D24" s="2">
        <f>('Kwh Reading'!F25-'Kwh Reading'!F24)*1000000</f>
        <v>2599.9999999997135</v>
      </c>
      <c r="E24" s="2">
        <f>('Kwh Reading'!C25-'Kwh Reading'!C24)*1000</f>
        <v>240.00000000000909</v>
      </c>
      <c r="F24" s="2">
        <f>('Kwh Reading'!J25-'Kwh Reading'!J24)*1000</f>
        <v>430.00000000000682</v>
      </c>
      <c r="G24" s="2">
        <f>('Kwh Reading'!K25-'Kwh Reading'!K24)*1000</f>
        <v>289.99999999996362</v>
      </c>
      <c r="H24" s="2">
        <f>('Kwh Reading'!L25-'Kwh Reading'!L24)*1000</f>
        <v>209.99999999997954</v>
      </c>
      <c r="I24" s="2">
        <f>('Kwh Reading'!R25-'Kwh Reading'!R24)*1000</f>
        <v>0</v>
      </c>
      <c r="J24" s="2">
        <f>('Kwh Reading'!S25-'Kwh Reading'!S24)*1000</f>
        <v>140.00000000001478</v>
      </c>
      <c r="K24" s="2">
        <f>('Kwh Reading'!I25-'Kwh Reading'!I24)*1000</f>
        <v>269.99999999998181</v>
      </c>
      <c r="L24" s="2">
        <f>('Kwh Reading'!B25-'Kwh Reading'!B24)*1000000</f>
        <v>1000.0000000001119</v>
      </c>
      <c r="M24" s="2">
        <f>('Kwh Reading'!M25-'Kwh Reading'!M24)*1000</f>
        <v>679.99999999994998</v>
      </c>
      <c r="N24" s="2">
        <f>('Kwh Reading'!H25-'Kwh Reading'!H24)*1000</f>
        <v>1039.9999999999636</v>
      </c>
      <c r="O24" s="2">
        <f>('Kwh Reading'!P25-'Kwh Reading'!P24)*1000</f>
        <v>769.99999999998181</v>
      </c>
      <c r="P24" s="2">
        <f>('Kwh Reading'!G25-'Kwh Reading'!G24)*1000000</f>
        <v>699.99999999992292</v>
      </c>
      <c r="Q24" s="2">
        <f>('Kwh Reading'!Q25-'Kwh Reading'!Q24)*1000</f>
        <v>639.99999999998636</v>
      </c>
      <c r="R24" s="2">
        <f>('Kwh Reading'!N25-'Kwh Reading'!N24)*1000</f>
        <v>350.00000000002274</v>
      </c>
      <c r="S24" s="2">
        <f>'Kwh Reading'!E25-'Kwh Reading'!E24</f>
        <v>2746.8300000000745</v>
      </c>
      <c r="T24" s="2">
        <f>'Kwh Reading'!D25-'Kwh Reading'!D24</f>
        <v>1839.5800000000745</v>
      </c>
      <c r="U24" s="27">
        <f>('Kwh Reading'!O25-'Kwh Reading'!O24)*1000</f>
        <v>219.99999999999886</v>
      </c>
      <c r="V24" s="16">
        <f t="shared" si="1"/>
        <v>6283.5899999993799</v>
      </c>
    </row>
    <row r="25" spans="1:22" x14ac:dyDescent="0.25">
      <c r="A25" s="3">
        <f>'Kwh Reading'!A25</f>
        <v>44734</v>
      </c>
      <c r="B25" s="26">
        <f>TOTAL!E23</f>
        <v>20140.000000000102</v>
      </c>
      <c r="C25" s="4">
        <f>('Kwh Reading'!T26-'Kwh Reading'!T25)*1000</f>
        <v>480.00000000001819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280.00000000002956</v>
      </c>
      <c r="G25" s="2">
        <f>('Kwh Reading'!K26-'Kwh Reading'!K25)*1000</f>
        <v>220.00000000002728</v>
      </c>
      <c r="H25" s="2">
        <f>('Kwh Reading'!L26-'Kwh Reading'!L25)*1000</f>
        <v>189.99999999999773</v>
      </c>
      <c r="I25" s="2">
        <f>('Kwh Reading'!R26-'Kwh Reading'!R25)*1000</f>
        <v>0</v>
      </c>
      <c r="J25" s="2">
        <f>('Kwh Reading'!S26-'Kwh Reading'!S25)*1000</f>
        <v>139.99999999998636</v>
      </c>
      <c r="K25" s="2">
        <f>('Kwh Reading'!I26-'Kwh Reading'!I25)*1000</f>
        <v>270.00000000003865</v>
      </c>
      <c r="L25" s="2">
        <f>('Kwh Reading'!B26-'Kwh Reading'!B25)*1000000</f>
        <v>1099.9999999998788</v>
      </c>
      <c r="M25" s="2">
        <f>('Kwh Reading'!M26-'Kwh Reading'!M25)*1000</f>
        <v>690.00000000005457</v>
      </c>
      <c r="N25" s="2">
        <f>('Kwh Reading'!H26-'Kwh Reading'!H25)*1000</f>
        <v>990.00000000000909</v>
      </c>
      <c r="O25" s="2">
        <f>('Kwh Reading'!P26-'Kwh Reading'!P25)*1000</f>
        <v>710.00000000003638</v>
      </c>
      <c r="P25" s="2">
        <f>('Kwh Reading'!G26-'Kwh Reading'!G25)*1000000</f>
        <v>700.00000000014495</v>
      </c>
      <c r="Q25" s="2">
        <f>('Kwh Reading'!Q26-'Kwh Reading'!Q25)*1000</f>
        <v>639.99999999998636</v>
      </c>
      <c r="R25" s="2">
        <f>('Kwh Reading'!N26-'Kwh Reading'!N25)*1000</f>
        <v>289.99999999996362</v>
      </c>
      <c r="S25" s="2">
        <f>'Kwh Reading'!E26-'Kwh Reading'!E25</f>
        <v>2605.3300000000745</v>
      </c>
      <c r="T25" s="2">
        <f>'Kwh Reading'!D26-'Kwh Reading'!D25</f>
        <v>1856.2900000000373</v>
      </c>
      <c r="U25" s="27">
        <f>('Kwh Reading'!O26-'Kwh Reading'!O25)*1000</f>
        <v>189.99999999999773</v>
      </c>
      <c r="V25" s="16">
        <f t="shared" si="1"/>
        <v>5948.3799999996536</v>
      </c>
    </row>
    <row r="26" spans="1:22" x14ac:dyDescent="0.25">
      <c r="A26" s="3">
        <f>'Kwh Reading'!A26</f>
        <v>44735</v>
      </c>
      <c r="B26" s="26">
        <f>TOTAL!E24</f>
        <v>19980.000000001608</v>
      </c>
      <c r="C26" s="4">
        <f>('Kwh Reading'!T27-'Kwh Reading'!T26)*1000</f>
        <v>470.00000000002728</v>
      </c>
      <c r="D26" s="2">
        <f>('Kwh Reading'!F27-'Kwh Reading'!F26)*1000000</f>
        <v>2600.0000000001578</v>
      </c>
      <c r="E26" s="2">
        <f>('Kwh Reading'!C27-'Kwh Reading'!C26)*1000</f>
        <v>220.00000000002728</v>
      </c>
      <c r="F26" s="2">
        <f>('Kwh Reading'!J27-'Kwh Reading'!J26)*1000</f>
        <v>309.99999999994543</v>
      </c>
      <c r="G26" s="2">
        <f>('Kwh Reading'!K27-'Kwh Reading'!K26)*1000</f>
        <v>209.99999999997954</v>
      </c>
      <c r="H26" s="2">
        <f>('Kwh Reading'!L27-'Kwh Reading'!L26)*1000</f>
        <v>199.99999999998863</v>
      </c>
      <c r="I26" s="2">
        <f>('Kwh Reading'!R27-'Kwh Reading'!R26)*1000</f>
        <v>0</v>
      </c>
      <c r="J26" s="2">
        <f>('Kwh Reading'!S27-'Kwh Reading'!S26)*1000</f>
        <v>140.00000000001478</v>
      </c>
      <c r="K26" s="2">
        <f>('Kwh Reading'!I27-'Kwh Reading'!I26)*1000</f>
        <v>259.99999999999091</v>
      </c>
      <c r="L26" s="2">
        <f>('Kwh Reading'!B27-'Kwh Reading'!B26)*1000000</f>
        <v>1100.000000000101</v>
      </c>
      <c r="M26" s="2">
        <f>('Kwh Reading'!M27-'Kwh Reading'!M26)*1000</f>
        <v>649.99999999997726</v>
      </c>
      <c r="N26" s="2">
        <f>('Kwh Reading'!H27-'Kwh Reading'!H26)*1000</f>
        <v>950.00000000004547</v>
      </c>
      <c r="O26" s="2">
        <f>('Kwh Reading'!P27-'Kwh Reading'!P26)*1000</f>
        <v>740.00000000000909</v>
      </c>
      <c r="P26" s="2">
        <f>('Kwh Reading'!G27-'Kwh Reading'!G26)*1000000</f>
        <v>699.99999999992292</v>
      </c>
      <c r="Q26" s="2">
        <f>('Kwh Reading'!Q27-'Kwh Reading'!Q26)*1000</f>
        <v>670.00000000007276</v>
      </c>
      <c r="R26" s="2">
        <f>('Kwh Reading'!N27-'Kwh Reading'!N26)*1000</f>
        <v>290.00000000007731</v>
      </c>
      <c r="S26" s="2">
        <f>'Kwh Reading'!E27-'Kwh Reading'!E26</f>
        <v>2770.1199999991804</v>
      </c>
      <c r="T26" s="2">
        <f>'Kwh Reading'!D27-'Kwh Reading'!D26</f>
        <v>1696.8300000000745</v>
      </c>
      <c r="U26" s="27">
        <f>('Kwh Reading'!O27-'Kwh Reading'!O26)*1000</f>
        <v>189.99999999999773</v>
      </c>
      <c r="V26" s="16">
        <f t="shared" si="1"/>
        <v>5813.0500000020165</v>
      </c>
    </row>
    <row r="27" spans="1:22" x14ac:dyDescent="0.25">
      <c r="A27" s="3">
        <f>'Kwh Reading'!A27</f>
        <v>44736</v>
      </c>
      <c r="B27" s="26">
        <f>TOTAL!E25</f>
        <v>20089.99999999901</v>
      </c>
      <c r="C27" s="4">
        <f>('Kwh Reading'!T28-'Kwh Reading'!T27)*1000</f>
        <v>269.99999999998181</v>
      </c>
      <c r="D27" s="2">
        <f>('Kwh Reading'!F28-'Kwh Reading'!F27)*1000000</f>
        <v>2699.9999999999245</v>
      </c>
      <c r="E27" s="2">
        <f>('Kwh Reading'!C28-'Kwh Reading'!C27)*1000</f>
        <v>239.99999999995225</v>
      </c>
      <c r="F27" s="2">
        <f>('Kwh Reading'!J28-'Kwh Reading'!J27)*1000</f>
        <v>510.00000000004775</v>
      </c>
      <c r="G27" s="2">
        <f>('Kwh Reading'!K28-'Kwh Reading'!K27)*1000</f>
        <v>290.00000000002046</v>
      </c>
      <c r="H27" s="2">
        <f>('Kwh Reading'!L28-'Kwh Reading'!L27)*1000</f>
        <v>240.00000000000909</v>
      </c>
      <c r="I27" s="2">
        <f>('Kwh Reading'!R28-'Kwh Reading'!R27)*1000</f>
        <v>0</v>
      </c>
      <c r="J27" s="2">
        <f>('Kwh Reading'!S28-'Kwh Reading'!S27)*1000</f>
        <v>229.99999999998977</v>
      </c>
      <c r="K27" s="2">
        <f>('Kwh Reading'!I28-'Kwh Reading'!I27)*1000</f>
        <v>250</v>
      </c>
      <c r="L27" s="2">
        <f>('Kwh Reading'!B28-'Kwh Reading'!B27)*1000000</f>
        <v>899.99999999990087</v>
      </c>
      <c r="M27" s="2">
        <f>('Kwh Reading'!M28-'Kwh Reading'!M27)*1000</f>
        <v>700.00000000004547</v>
      </c>
      <c r="N27" s="2">
        <f>('Kwh Reading'!H28-'Kwh Reading'!H27)*1000</f>
        <v>879.99999999999545</v>
      </c>
      <c r="O27" s="2">
        <f>('Kwh Reading'!P28-'Kwh Reading'!P27)*1000</f>
        <v>689.99999999994088</v>
      </c>
      <c r="P27" s="2">
        <f>('Kwh Reading'!G28-'Kwh Reading'!G27)*1000000</f>
        <v>699.99999999992292</v>
      </c>
      <c r="Q27" s="2">
        <f>('Kwh Reading'!Q28-'Kwh Reading'!Q27)*1000</f>
        <v>589.99999999991815</v>
      </c>
      <c r="R27" s="2">
        <f>('Kwh Reading'!N28-'Kwh Reading'!N27)*1000</f>
        <v>250</v>
      </c>
      <c r="S27" s="2">
        <f>'Kwh Reading'!E28-'Kwh Reading'!E27</f>
        <v>2423.320000000298</v>
      </c>
      <c r="T27" s="2">
        <f>'Kwh Reading'!D28-'Kwh Reading'!D27</f>
        <v>1447.9699999997392</v>
      </c>
      <c r="U27" s="27">
        <f>('Kwh Reading'!O28-'Kwh Reading'!O27)*1000</f>
        <v>199.99999999998863</v>
      </c>
      <c r="V27" s="16">
        <f t="shared" si="1"/>
        <v>6578.7099999993334</v>
      </c>
    </row>
    <row r="28" spans="1:22" x14ac:dyDescent="0.25">
      <c r="A28" s="3">
        <f>'Kwh Reading'!A28</f>
        <v>44737</v>
      </c>
      <c r="B28" s="26">
        <f>TOTAL!E26</f>
        <v>18389.999999999873</v>
      </c>
      <c r="C28" s="4">
        <f>('Kwh Reading'!T29-'Kwh Reading'!T28)*1000</f>
        <v>460.00000000003638</v>
      </c>
      <c r="D28" s="2">
        <f>('Kwh Reading'!F29-'Kwh Reading'!F28)*1000000</f>
        <v>2499.9999999999468</v>
      </c>
      <c r="E28" s="2">
        <f>('Kwh Reading'!C29-'Kwh Reading'!C28)*1000</f>
        <v>210.00000000003638</v>
      </c>
      <c r="F28" s="2">
        <f>('Kwh Reading'!J29-'Kwh Reading'!J28)*1000</f>
        <v>339.99999999997499</v>
      </c>
      <c r="G28" s="2">
        <f>('Kwh Reading'!K29-'Kwh Reading'!K28)*1000</f>
        <v>300.00000000001137</v>
      </c>
      <c r="H28" s="2">
        <f>('Kwh Reading'!L29-'Kwh Reading'!L28)*1000</f>
        <v>210.00000000003638</v>
      </c>
      <c r="I28" s="2">
        <f>('Kwh Reading'!R29-'Kwh Reading'!R28)*1000</f>
        <v>0</v>
      </c>
      <c r="J28" s="2">
        <f>('Kwh Reading'!S29-'Kwh Reading'!S28)*1000</f>
        <v>60.000000000002274</v>
      </c>
      <c r="K28" s="2">
        <f>('Kwh Reading'!I29-'Kwh Reading'!I28)*1000</f>
        <v>230.00000000001819</v>
      </c>
      <c r="L28" s="2">
        <f>('Kwh Reading'!B29-'Kwh Reading'!B28)*1000000</f>
        <v>900.0000000001229</v>
      </c>
      <c r="M28" s="2">
        <f>('Kwh Reading'!M29-'Kwh Reading'!M28)*1000</f>
        <v>610.00000000001364</v>
      </c>
      <c r="N28" s="2">
        <f>('Kwh Reading'!H29-'Kwh Reading'!H28)*1000</f>
        <v>909.99999999996817</v>
      </c>
      <c r="O28" s="2">
        <f>('Kwh Reading'!P29-'Kwh Reading'!P28)*1000</f>
        <v>680.00000000006366</v>
      </c>
      <c r="P28" s="2">
        <f>('Kwh Reading'!G29-'Kwh Reading'!G28)*1000000</f>
        <v>700.00000000014495</v>
      </c>
      <c r="Q28" s="2">
        <f>('Kwh Reading'!Q29-'Kwh Reading'!Q28)*1000</f>
        <v>600.00000000002274</v>
      </c>
      <c r="R28" s="2">
        <f>('Kwh Reading'!N29-'Kwh Reading'!N28)*1000</f>
        <v>229.9999999999045</v>
      </c>
      <c r="S28" s="2">
        <f>'Kwh Reading'!E29-'Kwh Reading'!E28</f>
        <v>2507.179999999702</v>
      </c>
      <c r="T28" s="2">
        <f>'Kwh Reading'!D29-'Kwh Reading'!D28</f>
        <v>1494.9500000001863</v>
      </c>
      <c r="U28" s="27">
        <f>('Kwh Reading'!O29-'Kwh Reading'!O28)*1000</f>
        <v>190.00000000002615</v>
      </c>
      <c r="V28" s="16">
        <f t="shared" si="1"/>
        <v>5257.869999999657</v>
      </c>
    </row>
    <row r="29" spans="1:22" x14ac:dyDescent="0.25">
      <c r="A29" s="3">
        <f>'Kwh Reading'!A29</f>
        <v>44738</v>
      </c>
      <c r="B29" s="26">
        <f>TOTAL!E27</f>
        <v>19759.999999999083</v>
      </c>
      <c r="C29" s="4">
        <f>('Kwh Reading'!T30-'Kwh Reading'!T29)*1000</f>
        <v>449.99999999993179</v>
      </c>
      <c r="D29" s="2">
        <f>('Kwh Reading'!F30-'Kwh Reading'!F29)*1000000</f>
        <v>2699.9999999999245</v>
      </c>
      <c r="E29" s="2">
        <f>('Kwh Reading'!C30-'Kwh Reading'!C29)*1000</f>
        <v>219.99999999997044</v>
      </c>
      <c r="F29" s="2">
        <f>('Kwh Reading'!J30-'Kwh Reading'!J29)*1000</f>
        <v>329.99999999998408</v>
      </c>
      <c r="G29" s="2">
        <f>('Kwh Reading'!K30-'Kwh Reading'!K29)*1000</f>
        <v>239.99999999995225</v>
      </c>
      <c r="H29" s="2">
        <f>('Kwh Reading'!L30-'Kwh Reading'!L29)*1000</f>
        <v>219.99999999997044</v>
      </c>
      <c r="I29" s="2">
        <f>('Kwh Reading'!R30-'Kwh Reading'!R29)*1000</f>
        <v>0</v>
      </c>
      <c r="J29" s="2">
        <f>('Kwh Reading'!S30-'Kwh Reading'!S29)*1000</f>
        <v>129.99999999999545</v>
      </c>
      <c r="K29" s="2">
        <f>('Kwh Reading'!I30-'Kwh Reading'!I29)*1000</f>
        <v>250</v>
      </c>
      <c r="L29" s="2">
        <f>('Kwh Reading'!B30-'Kwh Reading'!B29)*1000000</f>
        <v>1099.9999999998788</v>
      </c>
      <c r="M29" s="2">
        <f>('Kwh Reading'!M30-'Kwh Reading'!M29)*1000</f>
        <v>649.99999999997726</v>
      </c>
      <c r="N29" s="2">
        <f>('Kwh Reading'!H30-'Kwh Reading'!H29)*1000</f>
        <v>899.99999999997726</v>
      </c>
      <c r="O29" s="2">
        <f>('Kwh Reading'!P30-'Kwh Reading'!P29)*1000</f>
        <v>819.99999999993634</v>
      </c>
      <c r="P29" s="2">
        <f>('Kwh Reading'!G30-'Kwh Reading'!G29)*1000000</f>
        <v>899.99999999990087</v>
      </c>
      <c r="Q29" s="2">
        <f>('Kwh Reading'!Q30-'Kwh Reading'!Q29)*1000</f>
        <v>730.00000000001819</v>
      </c>
      <c r="R29" s="2">
        <f>('Kwh Reading'!N30-'Kwh Reading'!N29)*1000</f>
        <v>230.00000000001819</v>
      </c>
      <c r="S29" s="2">
        <f>'Kwh Reading'!E30-'Kwh Reading'!E29</f>
        <v>2644.4499999992549</v>
      </c>
      <c r="T29" s="2">
        <f>'Kwh Reading'!D30-'Kwh Reading'!D29</f>
        <v>1623.480000000447</v>
      </c>
      <c r="U29" s="27">
        <f>('Kwh Reading'!O30-'Kwh Reading'!O29)*1000</f>
        <v>179.9999999999784</v>
      </c>
      <c r="V29" s="16">
        <f t="shared" si="1"/>
        <v>5442.069999999967</v>
      </c>
    </row>
    <row r="30" spans="1:22" x14ac:dyDescent="0.25">
      <c r="A30" s="3">
        <f>'Kwh Reading'!A30</f>
        <v>44739</v>
      </c>
      <c r="B30" s="26">
        <f>TOTAL!E28</f>
        <v>20850.000000001273</v>
      </c>
      <c r="C30" s="4">
        <f>('Kwh Reading'!T31-'Kwh Reading'!T30)*1000</f>
        <v>480.00000000001819</v>
      </c>
      <c r="D30" s="2">
        <f>('Kwh Reading'!F31-'Kwh Reading'!F30)*1000000</f>
        <v>2699.9999999999245</v>
      </c>
      <c r="E30" s="2">
        <f>('Kwh Reading'!C31-'Kwh Reading'!C30)*1000</f>
        <v>230.00000000001819</v>
      </c>
      <c r="F30" s="2">
        <f>('Kwh Reading'!J31-'Kwh Reading'!J30)*1000</f>
        <v>379.99999999999545</v>
      </c>
      <c r="G30" s="2">
        <f>('Kwh Reading'!K31-'Kwh Reading'!K30)*1000</f>
        <v>270.00000000003865</v>
      </c>
      <c r="H30" s="2">
        <f>('Kwh Reading'!L31-'Kwh Reading'!L30)*1000</f>
        <v>160.00000000002501</v>
      </c>
      <c r="I30" s="2">
        <f>('Kwh Reading'!R31-'Kwh Reading'!R30)*1000</f>
        <v>0</v>
      </c>
      <c r="J30" s="2">
        <f>('Kwh Reading'!S31-'Kwh Reading'!S30)*1000</f>
        <v>129.99999999999545</v>
      </c>
      <c r="K30" s="2">
        <f>('Kwh Reading'!I31-'Kwh Reading'!I30)*1000</f>
        <v>269.99999999998181</v>
      </c>
      <c r="L30" s="2">
        <f>('Kwh Reading'!B31-'Kwh Reading'!B30)*1000000</f>
        <v>1100.000000000101</v>
      </c>
      <c r="M30" s="2">
        <f>('Kwh Reading'!M31-'Kwh Reading'!M30)*1000</f>
        <v>669.99999999995907</v>
      </c>
      <c r="N30" s="2">
        <f>('Kwh Reading'!H31-'Kwh Reading'!H30)*1000</f>
        <v>990.00000000000909</v>
      </c>
      <c r="O30" s="2">
        <f>('Kwh Reading'!P31-'Kwh Reading'!P30)*1000</f>
        <v>840.00000000003183</v>
      </c>
      <c r="P30" s="2">
        <f>('Kwh Reading'!G31-'Kwh Reading'!G30)*1000000</f>
        <v>799.99999999991189</v>
      </c>
      <c r="Q30" s="2">
        <f>('Kwh Reading'!Q31-'Kwh Reading'!Q30)*1000</f>
        <v>779.99999999997272</v>
      </c>
      <c r="R30" s="2">
        <f>('Kwh Reading'!N31-'Kwh Reading'!N30)*1000</f>
        <v>230.00000000001819</v>
      </c>
      <c r="S30" s="2">
        <f>'Kwh Reading'!E31-'Kwh Reading'!E30</f>
        <v>2588.25</v>
      </c>
      <c r="T30" s="2">
        <f>'Kwh Reading'!D31-'Kwh Reading'!D30</f>
        <v>1704.4900000002235</v>
      </c>
      <c r="U30" s="27">
        <f>('Kwh Reading'!O31-'Kwh Reading'!O30)*1000</f>
        <v>200.00000000001705</v>
      </c>
      <c r="V30" s="16">
        <f t="shared" si="1"/>
        <v>6327.2600000010316</v>
      </c>
    </row>
    <row r="31" spans="1:22" s="128" customFormat="1" x14ac:dyDescent="0.25">
      <c r="A31" s="126">
        <f>'Kwh Reading'!A31</f>
        <v>44740</v>
      </c>
      <c r="B31" s="26">
        <f>TOTAL!E29</f>
        <v>18720.00000000048</v>
      </c>
      <c r="C31" s="127">
        <f>('Kwh Reading'!T32-'Kwh Reading'!T31)*1000</f>
        <v>480.00000000001819</v>
      </c>
      <c r="D31" s="27">
        <f>('Kwh Reading'!F32-'Kwh Reading'!F31)*1000000</f>
        <v>2600.0000000001578</v>
      </c>
      <c r="E31" s="27">
        <f>('Kwh Reading'!C32-'Kwh Reading'!C31)*1000</f>
        <v>230.00000000001819</v>
      </c>
      <c r="F31" s="27">
        <f>('Kwh Reading'!J32-'Kwh Reading'!J31)*1000</f>
        <v>290.00000000002046</v>
      </c>
      <c r="G31" s="27">
        <f>('Kwh Reading'!K32-'Kwh Reading'!K31)*1000</f>
        <v>199.99999999998863</v>
      </c>
      <c r="H31" s="27">
        <f>('Kwh Reading'!L32-'Kwh Reading'!L31)*1000</f>
        <v>250</v>
      </c>
      <c r="I31" s="27">
        <f>('Kwh Reading'!R32-'Kwh Reading'!R31)*1000</f>
        <v>0</v>
      </c>
      <c r="J31" s="27">
        <f>('Kwh Reading'!S32-'Kwh Reading'!S31)*1000</f>
        <v>140.00000000001478</v>
      </c>
      <c r="K31" s="27">
        <f>('Kwh Reading'!I32-'Kwh Reading'!I31)*1000</f>
        <v>310.00000000000227</v>
      </c>
      <c r="L31" s="27">
        <f>('Kwh Reading'!B32-'Kwh Reading'!B31)*1000000</f>
        <v>999.99999999988984</v>
      </c>
      <c r="M31" s="27">
        <f>('Kwh Reading'!M32-'Kwh Reading'!M31)*1000</f>
        <v>350.00000000002274</v>
      </c>
      <c r="N31" s="27">
        <f>('Kwh Reading'!H32-'Kwh Reading'!H31)*1000</f>
        <v>920.00000000007276</v>
      </c>
      <c r="O31" s="27">
        <f>('Kwh Reading'!P32-'Kwh Reading'!P31)*1000</f>
        <v>789.99999999996362</v>
      </c>
      <c r="P31" s="27">
        <f>('Kwh Reading'!G32-'Kwh Reading'!G31)*1000000</f>
        <v>800.00000000013392</v>
      </c>
      <c r="Q31" s="27">
        <f>('Kwh Reading'!Q32-'Kwh Reading'!Q31)*1000</f>
        <v>730.00000000001819</v>
      </c>
      <c r="R31" s="27">
        <f>('Kwh Reading'!N32-'Kwh Reading'!N31)*1000</f>
        <v>220.00000000002728</v>
      </c>
      <c r="S31" s="27">
        <f>'Kwh Reading'!E32-'Kwh Reading'!E31</f>
        <v>2068.6900000013411</v>
      </c>
      <c r="T31" s="27">
        <f>'Kwh Reading'!D32-'Kwh Reading'!D31</f>
        <v>1419.8299999991432</v>
      </c>
      <c r="U31" s="27">
        <f>('Kwh Reading'!O32-'Kwh Reading'!O31)*1000</f>
        <v>199.99999999998863</v>
      </c>
      <c r="V31" s="124">
        <f t="shared" si="1"/>
        <v>5721.4799999996576</v>
      </c>
    </row>
    <row r="32" spans="1:22" x14ac:dyDescent="0.25">
      <c r="A32" s="3">
        <f>'Kwh Reading'!A32</f>
        <v>44741</v>
      </c>
      <c r="B32" s="26">
        <f>TOTAL!E30</f>
        <v>21659.999999999854</v>
      </c>
      <c r="C32" s="4">
        <f>('Kwh Reading'!T33-'Kwh Reading'!T32)*1000</f>
        <v>480.00000000001819</v>
      </c>
      <c r="D32" s="2">
        <f>('Kwh Reading'!F33-'Kwh Reading'!F32)*1000000</f>
        <v>2599.9999999997135</v>
      </c>
      <c r="E32" s="2">
        <f>('Kwh Reading'!C33-'Kwh Reading'!C32)*1000</f>
        <v>240.00000000000909</v>
      </c>
      <c r="F32" s="2">
        <f>('Kwh Reading'!J33-'Kwh Reading'!J32)*1000</f>
        <v>480.00000000001819</v>
      </c>
      <c r="G32" s="2">
        <f>('Kwh Reading'!K33-'Kwh Reading'!K32)*1000</f>
        <v>310.00000000000227</v>
      </c>
      <c r="H32" s="2">
        <f>('Kwh Reading'!L33-'Kwh Reading'!L32)*1000</f>
        <v>209.99999999997954</v>
      </c>
      <c r="I32" s="2">
        <f>('Kwh Reading'!R33-'Kwh Reading'!R32)*1000</f>
        <v>0</v>
      </c>
      <c r="J32" s="2">
        <f>('Kwh Reading'!S33-'Kwh Reading'!S32)*1000</f>
        <v>139.99999999998636</v>
      </c>
      <c r="K32" s="2">
        <f>('Kwh Reading'!I33-'Kwh Reading'!I32)*1000</f>
        <v>329.99999999998408</v>
      </c>
      <c r="L32" s="2">
        <f>('Kwh Reading'!B33-'Kwh Reading'!B32)*1000000</f>
        <v>1000.0000000001119</v>
      </c>
      <c r="M32" s="2">
        <f>('Kwh Reading'!M33-'Kwh Reading'!M32)*1000</f>
        <v>509.99999999999091</v>
      </c>
      <c r="N32" s="2">
        <f>('Kwh Reading'!H33-'Kwh Reading'!H32)*1000</f>
        <v>969.9999999999136</v>
      </c>
      <c r="O32" s="2">
        <f>('Kwh Reading'!P33-'Kwh Reading'!P32)*1000</f>
        <v>930.00000000006366</v>
      </c>
      <c r="P32" s="2">
        <f>('Kwh Reading'!G33-'Kwh Reading'!G32)*1000000</f>
        <v>899.99999999990087</v>
      </c>
      <c r="Q32" s="2">
        <f>('Kwh Reading'!Q33-'Kwh Reading'!Q32)*1000</f>
        <v>750</v>
      </c>
      <c r="R32" s="2">
        <f>('Kwh Reading'!N33-'Kwh Reading'!N32)*1000</f>
        <v>259.99999999999091</v>
      </c>
      <c r="S32" s="2">
        <f>'Kwh Reading'!E33-'Kwh Reading'!E32</f>
        <v>2467.6199999991804</v>
      </c>
      <c r="T32" s="2">
        <f>'Kwh Reading'!D33-'Kwh Reading'!D32</f>
        <v>1707.5100000007078</v>
      </c>
      <c r="U32" s="27">
        <f>('Kwh Reading'!O33-'Kwh Reading'!O32)*1000</f>
        <v>219.99999999999886</v>
      </c>
      <c r="V32" s="16">
        <f t="shared" si="1"/>
        <v>7154.8700000002827</v>
      </c>
    </row>
    <row r="33" spans="1:22" x14ac:dyDescent="0.25">
      <c r="A33" s="3">
        <f>'Kwh Reading'!A33</f>
        <v>44742</v>
      </c>
      <c r="B33" s="26">
        <f>TOTAL!E31</f>
        <v>0</v>
      </c>
      <c r="C33" s="4">
        <f>('Kwh Reading'!T34-'Kwh Reading'!T33)*1000</f>
        <v>-598860</v>
      </c>
      <c r="D33" s="2">
        <f>('Kwh Reading'!F34-'Kwh Reading'!F33)*1000000</f>
        <v>-3332400</v>
      </c>
      <c r="E33" s="2">
        <f>('Kwh Reading'!C34-'Kwh Reading'!C33)*1000</f>
        <v>-320220</v>
      </c>
      <c r="F33" s="2">
        <f>('Kwh Reading'!J34-'Kwh Reading'!J33)*1000</f>
        <v>-479360</v>
      </c>
      <c r="G33" s="2">
        <f>('Kwh Reading'!K34-'Kwh Reading'!K33)*1000</f>
        <v>-466310</v>
      </c>
      <c r="H33" s="2">
        <f>('Kwh Reading'!L34-'Kwh Reading'!L33)*1000</f>
        <v>-318000</v>
      </c>
      <c r="I33" s="2">
        <f>('Kwh Reading'!R34-'Kwh Reading'!R33)*1000</f>
        <v>-190150</v>
      </c>
      <c r="J33" s="2">
        <f>('Kwh Reading'!S34-'Kwh Reading'!S33)*1000</f>
        <v>-164950</v>
      </c>
      <c r="K33" s="2">
        <f>('Kwh Reading'!I34-'Kwh Reading'!I33)*1000</f>
        <v>-347260</v>
      </c>
      <c r="L33" s="2">
        <f>('Kwh Reading'!B34-'Kwh Reading'!B33)*1000000</f>
        <v>-1412800</v>
      </c>
      <c r="M33" s="2">
        <f>('Kwh Reading'!M34-'Kwh Reading'!M33)*1000</f>
        <v>-797500</v>
      </c>
      <c r="N33" s="2">
        <f>('Kwh Reading'!H34-'Kwh Reading'!H33)*1000</f>
        <v>-975040</v>
      </c>
      <c r="O33" s="2">
        <f>('Kwh Reading'!P34-'Kwh Reading'!P33)*1000</f>
        <v>-969720</v>
      </c>
      <c r="P33" s="2">
        <f>('Kwh Reading'!G34-'Kwh Reading'!G33)*1000000</f>
        <v>-1069100</v>
      </c>
      <c r="Q33" s="2">
        <f>('Kwh Reading'!Q34-'Kwh Reading'!Q33)*1000</f>
        <v>-724400</v>
      </c>
      <c r="R33" s="2">
        <f>('Kwh Reading'!N34-'Kwh Reading'!N33)*1000</f>
        <v>-736240</v>
      </c>
      <c r="S33" s="2">
        <f>'Kwh Reading'!E34-'Kwh Reading'!E33</f>
        <v>-9222799.8399999999</v>
      </c>
      <c r="T33" s="2">
        <f>'Kwh Reading'!D34-'Kwh Reading'!D33</f>
        <v>-8240674.2800000003</v>
      </c>
      <c r="U33" s="27">
        <f>('Kwh Reading'!O34-'Kwh Reading'!O33)*1000</f>
        <v>-229660</v>
      </c>
      <c r="V33" s="16">
        <f t="shared" si="1"/>
        <v>30595444.120000001</v>
      </c>
    </row>
    <row r="34" spans="1:22" x14ac:dyDescent="0.25">
      <c r="A34" s="3">
        <f>'Kwh Reading'!A34</f>
        <v>44743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604720.00000000035</v>
      </c>
      <c r="C35" s="72">
        <f t="shared" ref="C35" si="2">SUM(C4:C34)</f>
        <v>-585440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-458270</v>
      </c>
      <c r="H35" s="72">
        <f t="shared" si="6"/>
        <v>-311640</v>
      </c>
      <c r="I35" s="72">
        <f t="shared" si="6"/>
        <v>-190150</v>
      </c>
      <c r="J35" s="72">
        <f t="shared" si="6"/>
        <v>-161040</v>
      </c>
      <c r="K35" s="72">
        <f t="shared" si="6"/>
        <v>-338160.00000000006</v>
      </c>
      <c r="L35" s="72">
        <f t="shared" si="6"/>
        <v>-1381999.9999999998</v>
      </c>
      <c r="M35" s="72">
        <f t="shared" si="6"/>
        <v>-776060</v>
      </c>
      <c r="N35" s="72">
        <f t="shared" si="6"/>
        <v>-943610</v>
      </c>
      <c r="O35" s="72">
        <f t="shared" si="6"/>
        <v>-948620</v>
      </c>
      <c r="P35" s="72">
        <f t="shared" si="6"/>
        <v>-1045800.0000000001</v>
      </c>
      <c r="Q35" s="72">
        <f t="shared" si="6"/>
        <v>-704270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>
        <f>SUM(V4:V34)</f>
        <v>30770040.060000002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25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25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25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220.00000000002728</v>
      </c>
      <c r="F6" s="1">
        <f>('Kwh Consumption'!F7+'Kwh Consumption'!G7+'Kwh Consumption'!H7)</f>
        <v>839.99999999997499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6313.360000000931</v>
      </c>
    </row>
    <row r="7" spans="1:12" x14ac:dyDescent="0.25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209.99999999997954</v>
      </c>
      <c r="F7" s="1">
        <f>('Kwh Consumption'!F8+'Kwh Consumption'!G8+'Kwh Consumption'!H8)</f>
        <v>790.00000000002046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5904.0799999990031</v>
      </c>
    </row>
    <row r="8" spans="1:12" x14ac:dyDescent="0.25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25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3568.730000000447</v>
      </c>
      <c r="K9" s="1">
        <f>'Kwh Consumption'!U10</f>
        <v>210.00000000000796</v>
      </c>
      <c r="L9" s="31">
        <f t="shared" si="0"/>
        <v>6861.2699999980532</v>
      </c>
    </row>
    <row r="10" spans="1:12" x14ac:dyDescent="0.25">
      <c r="A10" s="14">
        <f>'Kwh Reading'!A11</f>
        <v>44720</v>
      </c>
      <c r="B10" s="80">
        <f>TOTAL!E9</f>
        <v>20440.000000001419</v>
      </c>
      <c r="C10" s="1">
        <f>'Kwh Consumption'!C11</f>
        <v>500</v>
      </c>
      <c r="D10" s="1">
        <f>'Kwh Consumption'!D11</f>
        <v>2699.9999999999245</v>
      </c>
      <c r="E10" s="1">
        <f>'Kwh Consumption'!E11</f>
        <v>240.00000000000909</v>
      </c>
      <c r="F10" s="1">
        <f>('Kwh Consumption'!F11+'Kwh Consumption'!G11+'Kwh Consumption'!H11)</f>
        <v>859.9999999999568</v>
      </c>
      <c r="G10" s="16">
        <f>('Kwh Consumption'!I11+'Kwh Consumption'!J11)</f>
        <v>140.00000000001478</v>
      </c>
      <c r="H10" s="1">
        <f>('Kwh Consumption'!K11+'Kwh Consumption'!L11)</f>
        <v>1450.0000000001237</v>
      </c>
      <c r="I10" s="1">
        <f>('Kwh Consumption'!M11+'Kwh Consumption'!N11+'Kwh Consumption'!O11+'Kwh Consumption'!P11+'Kwh Consumption'!Q11+'Kwh Consumption'!R11)</f>
        <v>4379.999999999839</v>
      </c>
      <c r="J10" s="1">
        <f>('Kwh Consumption'!S11+'Kwh Consumption'!T11)</f>
        <v>5488.7099999999627</v>
      </c>
      <c r="K10" s="1">
        <f>'Kwh Consumption'!U11</f>
        <v>250</v>
      </c>
      <c r="L10" s="31">
        <f t="shared" si="0"/>
        <v>4431.290000001587</v>
      </c>
    </row>
    <row r="11" spans="1:12" x14ac:dyDescent="0.25">
      <c r="A11" s="14">
        <f>'Kwh Reading'!A12</f>
        <v>44721</v>
      </c>
      <c r="B11" s="80">
        <f>TOTAL!E10</f>
        <v>20689.999999998006</v>
      </c>
      <c r="C11" s="1">
        <f>'Kwh Consumption'!C12</f>
        <v>480.00000000001819</v>
      </c>
      <c r="D11" s="1">
        <f>'Kwh Consumption'!D12</f>
        <v>2699.9999999999245</v>
      </c>
      <c r="E11" s="1">
        <f>'Kwh Consumption'!E12</f>
        <v>259.99999999999091</v>
      </c>
      <c r="F11" s="1">
        <f>('Kwh Consumption'!F12+'Kwh Consumption'!G12+'Kwh Consumption'!H12)</f>
        <v>960.00000000003638</v>
      </c>
      <c r="G11" s="16">
        <f>('Kwh Consumption'!I12+'Kwh Consumption'!J12)</f>
        <v>139.99999999998636</v>
      </c>
      <c r="H11" s="1">
        <f>('Kwh Consumption'!K12+'Kwh Consumption'!L12)</f>
        <v>1459.9999999998925</v>
      </c>
      <c r="I11" s="1">
        <f>('Kwh Consumption'!M12+'Kwh Consumption'!N12+'Kwh Consumption'!O12+'Kwh Consumption'!P12+'Kwh Consumption'!Q12+'Kwh Consumption'!R12)</f>
        <v>4410.0000000002274</v>
      </c>
      <c r="J11" s="1">
        <f>('Kwh Consumption'!S12+'Kwh Consumption'!T12)</f>
        <v>4199.089999999851</v>
      </c>
      <c r="K11" s="1">
        <f>'Kwh Consumption'!U12</f>
        <v>219.99999999999886</v>
      </c>
      <c r="L11" s="31">
        <f t="shared" si="0"/>
        <v>5860.9099999980799</v>
      </c>
    </row>
    <row r="12" spans="1:12" x14ac:dyDescent="0.25">
      <c r="A12" s="14">
        <f>'Kwh Reading'!A13</f>
        <v>44722</v>
      </c>
      <c r="B12" s="80">
        <f>TOTAL!E11</f>
        <v>20299.999999999727</v>
      </c>
      <c r="C12" s="1">
        <f>'Kwh Consumption'!C13</f>
        <v>320.00000000005002</v>
      </c>
      <c r="D12" s="1">
        <f>'Kwh Consumption'!D13</f>
        <v>2800.0000000001355</v>
      </c>
      <c r="E12" s="1">
        <f>'Kwh Consumption'!E13</f>
        <v>220.00000000002728</v>
      </c>
      <c r="F12" s="1">
        <f>('Kwh Consumption'!F13+'Kwh Consumption'!G13+'Kwh Consumption'!H13)</f>
        <v>859.9999999999568</v>
      </c>
      <c r="G12" s="16">
        <f>('Kwh Consumption'!I13+'Kwh Consumption'!J13)</f>
        <v>129.99999999999545</v>
      </c>
      <c r="H12" s="1">
        <f>('Kwh Consumption'!K13+'Kwh Consumption'!L13)</f>
        <v>1470.0000000001055</v>
      </c>
      <c r="I12" s="1">
        <f>('Kwh Consumption'!M13+'Kwh Consumption'!N13+'Kwh Consumption'!O13+'Kwh Consumption'!P13+'Kwh Consumption'!Q13+'Kwh Consumption'!R13)</f>
        <v>4699.9999999998554</v>
      </c>
      <c r="J12" s="1">
        <f>('Kwh Consumption'!S13+'Kwh Consumption'!T13)</f>
        <v>3900.1200000001118</v>
      </c>
      <c r="K12" s="1">
        <f>'Kwh Consumption'!U13</f>
        <v>259.99999999999091</v>
      </c>
      <c r="L12" s="31">
        <f t="shared" si="0"/>
        <v>5639.8799999994972</v>
      </c>
    </row>
    <row r="13" spans="1:12" x14ac:dyDescent="0.25">
      <c r="A13" s="14">
        <f>'Kwh Reading'!A14</f>
        <v>44723</v>
      </c>
      <c r="B13" s="80">
        <f>TOTAL!E12</f>
        <v>21790.000000002467</v>
      </c>
      <c r="C13" s="1">
        <f>'Kwh Consumption'!C14</f>
        <v>549.99999999995453</v>
      </c>
      <c r="D13" s="1">
        <f>'Kwh Consumption'!D14</f>
        <v>2699.9999999999245</v>
      </c>
      <c r="E13" s="1">
        <f>'Kwh Consumption'!E14</f>
        <v>219.99999999997044</v>
      </c>
      <c r="F13" s="1">
        <f>('Kwh Consumption'!F14+'Kwh Consumption'!G14+'Kwh Consumption'!H14)</f>
        <v>1130.0000000000523</v>
      </c>
      <c r="G13" s="16">
        <f>('Kwh Consumption'!I14+'Kwh Consumption'!J14)</f>
        <v>150.00000000000568</v>
      </c>
      <c r="H13" s="1">
        <f>('Kwh Consumption'!K14+'Kwh Consumption'!L14)</f>
        <v>1549.9999999998338</v>
      </c>
      <c r="I13" s="1">
        <f>('Kwh Consumption'!M14+'Kwh Consumption'!N14+'Kwh Consumption'!O14+'Kwh Consumption'!P14+'Kwh Consumption'!Q14+'Kwh Consumption'!R14)</f>
        <v>4569.9999999998936</v>
      </c>
      <c r="J13" s="1">
        <f>('Kwh Consumption'!S14+'Kwh Consumption'!T14)</f>
        <v>4532.6500000003725</v>
      </c>
      <c r="K13" s="1">
        <f>'Kwh Consumption'!U14</f>
        <v>230.00000000001819</v>
      </c>
      <c r="L13" s="31">
        <f t="shared" si="0"/>
        <v>6157.3500000024396</v>
      </c>
    </row>
    <row r="14" spans="1:12" x14ac:dyDescent="0.25">
      <c r="A14" s="14">
        <f>'Kwh Reading'!A15</f>
        <v>44724</v>
      </c>
      <c r="B14" s="80">
        <f>TOTAL!E13</f>
        <v>20839.999999997872</v>
      </c>
      <c r="C14" s="1">
        <f>'Kwh Consumption'!C15</f>
        <v>480.00000000001819</v>
      </c>
      <c r="D14" s="1">
        <f>'Kwh Consumption'!D15</f>
        <v>2499.9999999999468</v>
      </c>
      <c r="E14" s="1">
        <f>'Kwh Consumption'!E15</f>
        <v>220.00000000002728</v>
      </c>
      <c r="F14" s="1">
        <f>('Kwh Consumption'!F15+'Kwh Consumption'!G15+'Kwh Consumption'!H15)</f>
        <v>979.99999999996135</v>
      </c>
      <c r="G14" s="16">
        <f>('Kwh Consumption'!I15+'Kwh Consumption'!J15)</f>
        <v>140.00000000001478</v>
      </c>
      <c r="H14" s="1">
        <f>('Kwh Consumption'!K15+'Kwh Consumption'!L15)</f>
        <v>1370.0000000001164</v>
      </c>
      <c r="I14" s="1">
        <f>('Kwh Consumption'!M15+'Kwh Consumption'!N15+'Kwh Consumption'!O15+'Kwh Consumption'!P15+'Kwh Consumption'!Q15+'Kwh Consumption'!R15)</f>
        <v>4300.0000000000546</v>
      </c>
      <c r="J14" s="1">
        <f>('Kwh Consumption'!S15+'Kwh Consumption'!T15)</f>
        <v>4548.75</v>
      </c>
      <c r="K14" s="1">
        <f>'Kwh Consumption'!U15</f>
        <v>209.99999999997954</v>
      </c>
      <c r="L14" s="31">
        <f t="shared" si="0"/>
        <v>6091.2499999977572</v>
      </c>
    </row>
    <row r="15" spans="1:12" x14ac:dyDescent="0.25">
      <c r="A15" s="14">
        <f>'Kwh Reading'!A16</f>
        <v>44725</v>
      </c>
      <c r="B15" s="80">
        <f>TOTAL!E14</f>
        <v>21720.000000001164</v>
      </c>
      <c r="C15" s="1">
        <f>'Kwh Consumption'!C16</f>
        <v>519.99999999998181</v>
      </c>
      <c r="D15" s="1">
        <f>'Kwh Consumption'!D16</f>
        <v>3099.9999999998809</v>
      </c>
      <c r="E15" s="1">
        <f>'Kwh Consumption'!E16</f>
        <v>240.00000000000909</v>
      </c>
      <c r="F15" s="1">
        <f>('Kwh Consumption'!F16+'Kwh Consumption'!G16+'Kwh Consumption'!H16)</f>
        <v>1049.9999999999545</v>
      </c>
      <c r="G15" s="16">
        <f>('Kwh Consumption'!I16+'Kwh Consumption'!J16)</f>
        <v>129.99999999999545</v>
      </c>
      <c r="H15" s="1">
        <f>('Kwh Consumption'!K16+'Kwh Consumption'!L16)</f>
        <v>1559.9999999998815</v>
      </c>
      <c r="I15" s="1">
        <f>('Kwh Consumption'!M16+'Kwh Consumption'!N16+'Kwh Consumption'!O16+'Kwh Consumption'!P16+'Kwh Consumption'!Q16+'Kwh Consumption'!R16)</f>
        <v>4640.0000000000573</v>
      </c>
      <c r="J15" s="1">
        <f>('Kwh Consumption'!S16+'Kwh Consumption'!T16)</f>
        <v>4894.1499999994412</v>
      </c>
      <c r="K15" s="1">
        <f>'Kwh Consumption'!U16</f>
        <v>210.00000000000796</v>
      </c>
      <c r="L15" s="31">
        <f t="shared" si="0"/>
        <v>5375.8500000019549</v>
      </c>
    </row>
    <row r="16" spans="1:12" x14ac:dyDescent="0.25">
      <c r="A16" s="14">
        <f>'Kwh Reading'!A17</f>
        <v>44726</v>
      </c>
      <c r="B16" s="80">
        <f>TOTAL!E15</f>
        <v>21470.00000000048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810.00000000005912</v>
      </c>
      <c r="G16" s="16">
        <f>('Kwh Consumption'!I17+'Kwh Consumption'!J17)</f>
        <v>39.999999999992042</v>
      </c>
      <c r="H16" s="1">
        <f>('Kwh Consumption'!K17+'Kwh Consumption'!L17)</f>
        <v>1440.0000000000759</v>
      </c>
      <c r="I16" s="1">
        <f>('Kwh Consumption'!M17+'Kwh Consumption'!N17+'Kwh Consumption'!O17+'Kwh Consumption'!P17+'Kwh Consumption'!Q17+'Kwh Consumption'!R17)</f>
        <v>4820.0000000000018</v>
      </c>
      <c r="J16" s="1">
        <f>('Kwh Consumption'!S17+'Kwh Consumption'!T17)</f>
        <v>4747.730000000447</v>
      </c>
      <c r="K16" s="1">
        <f>'Kwh Consumption'!U17</f>
        <v>230.00000000001819</v>
      </c>
      <c r="L16" s="31">
        <f t="shared" si="0"/>
        <v>6022.2699999997367</v>
      </c>
    </row>
    <row r="17" spans="1:12" x14ac:dyDescent="0.25">
      <c r="A17" s="14">
        <f>'Kwh Reading'!A18</f>
        <v>44727</v>
      </c>
      <c r="B17" s="80">
        <f>TOTAL!E16</f>
        <v>22339.999999998101</v>
      </c>
      <c r="C17" s="1">
        <f>'Kwh Consumption'!C18</f>
        <v>509.99999999999091</v>
      </c>
      <c r="D17" s="1">
        <f>'Kwh Consumption'!D18</f>
        <v>2699.9999999999245</v>
      </c>
      <c r="E17" s="1">
        <f>'Kwh Consumption'!E18</f>
        <v>269.99999999998181</v>
      </c>
      <c r="F17" s="1">
        <f>('Kwh Consumption'!F18+'Kwh Consumption'!G18+'Kwh Consumption'!H18)</f>
        <v>1019.9999999999818</v>
      </c>
      <c r="G17" s="16">
        <f>('Kwh Consumption'!I18+'Kwh Consumption'!J18)</f>
        <v>129.99999999999545</v>
      </c>
      <c r="H17" s="1">
        <f>('Kwh Consumption'!K18+'Kwh Consumption'!L18)</f>
        <v>1500.0000000001012</v>
      </c>
      <c r="I17" s="1">
        <f>('Kwh Consumption'!M18+'Kwh Consumption'!N18+'Kwh Consumption'!O18+'Kwh Consumption'!P18+'Kwh Consumption'!Q18+'Kwh Consumption'!R18)</f>
        <v>5009.9999999999482</v>
      </c>
      <c r="J17" s="1">
        <f>('Kwh Consumption'!S18+'Kwh Consumption'!T18)</f>
        <v>5049.4999999990687</v>
      </c>
      <c r="K17" s="30">
        <f>'Kwh Consumption'!U18</f>
        <v>219.99999999999886</v>
      </c>
      <c r="L17" s="31">
        <f t="shared" si="0"/>
        <v>5930.499999999106</v>
      </c>
    </row>
    <row r="18" spans="1:12" x14ac:dyDescent="0.25">
      <c r="A18" s="14">
        <f>'Kwh Reading'!A19</f>
        <v>44728</v>
      </c>
      <c r="B18" s="80">
        <f>TOTAL!E17</f>
        <v>21850.000000000364</v>
      </c>
      <c r="C18" s="1">
        <f>'Kwh Consumption'!C19</f>
        <v>480.00000000001819</v>
      </c>
      <c r="D18" s="1">
        <f>'Kwh Consumption'!D19</f>
        <v>2699.9999999999245</v>
      </c>
      <c r="E18" s="1">
        <f>'Kwh Consumption'!E19</f>
        <v>230.00000000001819</v>
      </c>
      <c r="F18" s="1">
        <f>('Kwh Consumption'!F19+'Kwh Consumption'!G19+'Kwh Consumption'!H19)</f>
        <v>870.00000000000455</v>
      </c>
      <c r="G18" s="16">
        <f>('Kwh Consumption'!I19+'Kwh Consumption'!J19)</f>
        <v>140.00000000001478</v>
      </c>
      <c r="H18" s="1">
        <f>('Kwh Consumption'!K19+'Kwh Consumption'!L19)</f>
        <v>1279.9999999999195</v>
      </c>
      <c r="I18" s="1">
        <f>('Kwh Consumption'!M19+'Kwh Consumption'!N19+'Kwh Consumption'!O19+'Kwh Consumption'!P19+'Kwh Consumption'!Q19+'Kwh Consumption'!R19)</f>
        <v>4719.9999999998709</v>
      </c>
      <c r="J18" s="1">
        <f>('Kwh Consumption'!S19+'Kwh Consumption'!T19)</f>
        <v>4775.6299999998882</v>
      </c>
      <c r="K18" s="30">
        <f>'Kwh Consumption'!U19</f>
        <v>229.99999999998977</v>
      </c>
      <c r="L18" s="31">
        <f t="shared" si="0"/>
        <v>6424.3700000007166</v>
      </c>
    </row>
    <row r="19" spans="1:12" x14ac:dyDescent="0.25">
      <c r="A19" s="14">
        <f>'Kwh Reading'!A20</f>
        <v>44729</v>
      </c>
      <c r="B19" s="80">
        <f>TOTAL!E18</f>
        <v>20940.000000000284</v>
      </c>
      <c r="C19" s="1">
        <f>'Kwh Consumption'!C20</f>
        <v>300.00000000006821</v>
      </c>
      <c r="D19" s="1">
        <f>'Kwh Consumption'!D20</f>
        <v>2700.0000000003688</v>
      </c>
      <c r="E19" s="1">
        <f>'Kwh Consumption'!E20</f>
        <v>279.99999999997272</v>
      </c>
      <c r="F19" s="1">
        <f>('Kwh Consumption'!F20+'Kwh Consumption'!G20+'Kwh Consumption'!H20)</f>
        <v>990.00000000000909</v>
      </c>
      <c r="G19" s="16">
        <f>('Kwh Consumption'!I20+'Kwh Consumption'!J20)</f>
        <v>139.99999999998636</v>
      </c>
      <c r="H19" s="1">
        <f>('Kwh Consumption'!K20+'Kwh Consumption'!L20)</f>
        <v>1390.0000000000646</v>
      </c>
      <c r="I19" s="1">
        <f>('Kwh Consumption'!M20+'Kwh Consumption'!N20+'Kwh Consumption'!O20+'Kwh Consumption'!P20+'Kwh Consumption'!Q20+'Kwh Consumption'!R20)</f>
        <v>4290.000000000291</v>
      </c>
      <c r="J19" s="1">
        <f>('Kwh Consumption'!S20+'Kwh Consumption'!T20)</f>
        <v>4404.3600000003353</v>
      </c>
      <c r="K19" s="1">
        <f>'Kwh Consumption'!U20</f>
        <v>240.00000000000909</v>
      </c>
      <c r="L19" s="31">
        <f t="shared" si="0"/>
        <v>6205.6399999991827</v>
      </c>
    </row>
    <row r="20" spans="1:12" x14ac:dyDescent="0.25">
      <c r="A20" s="14">
        <f>'Kwh Reading'!A21</f>
        <v>44730</v>
      </c>
      <c r="B20" s="80">
        <f>TOTAL!E19</f>
        <v>19930.000000001201</v>
      </c>
      <c r="C20" s="1">
        <f>'Kwh Consumption'!C21</f>
        <v>79.99999999992724</v>
      </c>
      <c r="D20" s="1">
        <f>'Kwh Consumption'!D21</f>
        <v>2699.9999999999245</v>
      </c>
      <c r="E20" s="1">
        <f>'Kwh Consumption'!E21</f>
        <v>220.00000000002728</v>
      </c>
      <c r="F20" s="1">
        <f>('Kwh Consumption'!F21+'Kwh Consumption'!G21+'Kwh Consumption'!H21)</f>
        <v>949.99999999998863</v>
      </c>
      <c r="G20" s="16">
        <f>('Kwh Consumption'!I21+'Kwh Consumption'!J21)</f>
        <v>140.00000000001478</v>
      </c>
      <c r="H20" s="1">
        <f>('Kwh Consumption'!K21+'Kwh Consumption'!L21)</f>
        <v>1159.9999999998918</v>
      </c>
      <c r="I20" s="1">
        <f>('Kwh Consumption'!M21+'Kwh Consumption'!N21+'Kwh Consumption'!O21+'Kwh Consumption'!P21+'Kwh Consumption'!Q21+'Kwh Consumption'!R21)</f>
        <v>3969.9999999997908</v>
      </c>
      <c r="J20" s="1">
        <f>('Kwh Consumption'!S21+'Kwh Consumption'!T21)</f>
        <v>4038.609999999404</v>
      </c>
      <c r="K20" s="1">
        <f>'Kwh Consumption'!U21</f>
        <v>189.99999999999773</v>
      </c>
      <c r="L20" s="31">
        <f t="shared" si="0"/>
        <v>6481.3900000022368</v>
      </c>
    </row>
    <row r="21" spans="1:12" x14ac:dyDescent="0.25">
      <c r="A21" s="14">
        <f>'Kwh Reading'!A22</f>
        <v>44731</v>
      </c>
      <c r="B21" s="80">
        <f>TOTAL!E20</f>
        <v>21289.999999998145</v>
      </c>
      <c r="C21" s="1">
        <f>'Kwh Consumption'!C22</f>
        <v>899.99999999997726</v>
      </c>
      <c r="D21" s="1">
        <f>'Kwh Consumption'!D22</f>
        <v>2699.9999999999245</v>
      </c>
      <c r="E21" s="1">
        <f>'Kwh Consumption'!E22</f>
        <v>240.00000000000909</v>
      </c>
      <c r="F21" s="1">
        <f>('Kwh Consumption'!F22+'Kwh Consumption'!G22+'Kwh Consumption'!H22)</f>
        <v>939.99999999999773</v>
      </c>
      <c r="G21" s="16">
        <f>('Kwh Consumption'!I22+'Kwh Consumption'!J22)</f>
        <v>129.99999999999545</v>
      </c>
      <c r="H21" s="1">
        <f>('Kwh Consumption'!K22+'Kwh Consumption'!L22)</f>
        <v>1280.0000000001414</v>
      </c>
      <c r="I21" s="1">
        <f>('Kwh Consumption'!M22+'Kwh Consumption'!N22+'Kwh Consumption'!O22+'Kwh Consumption'!P22+'Kwh Consumption'!Q22+'Kwh Consumption'!R22)</f>
        <v>4459.9999999999136</v>
      </c>
      <c r="J21" s="1">
        <f>('Kwh Consumption'!S22+'Kwh Consumption'!T22)</f>
        <v>4938.4200000008568</v>
      </c>
      <c r="K21" s="1">
        <f>'Kwh Consumption'!U22</f>
        <v>199.99999999998863</v>
      </c>
      <c r="L21" s="31">
        <f t="shared" si="0"/>
        <v>5501.5799999973387</v>
      </c>
    </row>
    <row r="22" spans="1:12" x14ac:dyDescent="0.25">
      <c r="A22" s="14">
        <f>'Kwh Reading'!A23</f>
        <v>44732</v>
      </c>
      <c r="B22" s="80">
        <f>TOTAL!E21</f>
        <v>20840.0000000006</v>
      </c>
      <c r="C22" s="1">
        <f>'Kwh Consumption'!C23</f>
        <v>480.00000000001819</v>
      </c>
      <c r="D22" s="1">
        <f>'Kwh Consumption'!D23</f>
        <v>2600.0000000001578</v>
      </c>
      <c r="E22" s="1">
        <f>'Kwh Consumption'!E23</f>
        <v>239.99999999995225</v>
      </c>
      <c r="F22" s="1">
        <f>('Kwh Consumption'!F23+'Kwh Consumption'!G23+'Kwh Consumption'!H23)</f>
        <v>840.00000000003183</v>
      </c>
      <c r="G22" s="16">
        <f>('Kwh Consumption'!I23+'Kwh Consumption'!J23)</f>
        <v>139.99999999998636</v>
      </c>
      <c r="H22" s="1">
        <f>('Kwh Consumption'!K23+'Kwh Consumption'!L23)</f>
        <v>1469.9999999998497</v>
      </c>
      <c r="I22" s="1">
        <f>('Kwh Consumption'!M23+'Kwh Consumption'!N23+'Kwh Consumption'!O23+'Kwh Consumption'!P23+'Kwh Consumption'!Q23+'Kwh Consumption'!R23)</f>
        <v>4380.0000000001746</v>
      </c>
      <c r="J22" s="1">
        <f>('Kwh Consumption'!S23+'Kwh Consumption'!T23)</f>
        <v>4001.0200000004843</v>
      </c>
      <c r="K22" s="1">
        <f>'Kwh Consumption'!U23</f>
        <v>210.00000000000796</v>
      </c>
      <c r="L22" s="31">
        <f t="shared" si="0"/>
        <v>6478.9799999999386</v>
      </c>
    </row>
    <row r="23" spans="1:12" x14ac:dyDescent="0.25">
      <c r="A23" s="14">
        <f>'Kwh Reading'!A24</f>
        <v>44733</v>
      </c>
      <c r="B23" s="80">
        <f>TOTAL!E22</f>
        <v>20959.999999999127</v>
      </c>
      <c r="C23" s="1">
        <f>'Kwh Consumption'!C24</f>
        <v>509.99999999999091</v>
      </c>
      <c r="D23" s="1">
        <f>'Kwh Consumption'!D24</f>
        <v>2599.9999999997135</v>
      </c>
      <c r="E23" s="1">
        <f>'Kwh Consumption'!E24</f>
        <v>240.00000000000909</v>
      </c>
      <c r="F23" s="1">
        <f>('Kwh Consumption'!F24+'Kwh Consumption'!G24+'Kwh Consumption'!H24)</f>
        <v>929.99999999994998</v>
      </c>
      <c r="G23" s="16">
        <f>('Kwh Consumption'!I24+'Kwh Consumption'!J24)</f>
        <v>140.00000000001478</v>
      </c>
      <c r="H23" s="1">
        <f>('Kwh Consumption'!K24+'Kwh Consumption'!L24)</f>
        <v>1270.0000000000937</v>
      </c>
      <c r="I23" s="1">
        <f>('Kwh Consumption'!M24+'Kwh Consumption'!N24+'Kwh Consumption'!O24+'Kwh Consumption'!P24+'Kwh Consumption'!Q24+'Kwh Consumption'!R24)</f>
        <v>4179.9999999998272</v>
      </c>
      <c r="J23" s="1">
        <f>('Kwh Consumption'!S24+'Kwh Consumption'!T24)</f>
        <v>4586.410000000149</v>
      </c>
      <c r="K23" s="1">
        <f>'Kwh Consumption'!U24</f>
        <v>219.99999999999886</v>
      </c>
      <c r="L23" s="31">
        <f t="shared" si="0"/>
        <v>6283.5899999993771</v>
      </c>
    </row>
    <row r="24" spans="1:12" x14ac:dyDescent="0.25">
      <c r="A24" s="14">
        <f>'Kwh Reading'!A25</f>
        <v>44734</v>
      </c>
      <c r="B24" s="80">
        <f>TOTAL!E23</f>
        <v>20140.000000000102</v>
      </c>
      <c r="C24" s="1">
        <f>'Kwh Consumption'!C25</f>
        <v>480.00000000001819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690.00000000005457</v>
      </c>
      <c r="G24" s="16">
        <f>('Kwh Consumption'!I25+'Kwh Consumption'!J25)</f>
        <v>139.99999999998636</v>
      </c>
      <c r="H24" s="1">
        <f>('Kwh Consumption'!K25+'Kwh Consumption'!L25)</f>
        <v>1369.9999999999175</v>
      </c>
      <c r="I24" s="1">
        <f>('Kwh Consumption'!M25+'Kwh Consumption'!N25+'Kwh Consumption'!O25+'Kwh Consumption'!P25+'Kwh Consumption'!Q25+'Kwh Consumption'!R25)</f>
        <v>4020.0000000001951</v>
      </c>
      <c r="J24" s="1">
        <f>('Kwh Consumption'!S25+'Kwh Consumption'!T25)</f>
        <v>4461.6200000001118</v>
      </c>
      <c r="K24" s="1">
        <f>'Kwh Consumption'!U25</f>
        <v>189.99999999999773</v>
      </c>
      <c r="L24" s="31">
        <f t="shared" si="0"/>
        <v>5948.3799999996572</v>
      </c>
    </row>
    <row r="25" spans="1:12" x14ac:dyDescent="0.25">
      <c r="A25" s="14">
        <f>'Kwh Reading'!A26</f>
        <v>44735</v>
      </c>
      <c r="B25" s="80">
        <f>TOTAL!E24</f>
        <v>19980.000000001608</v>
      </c>
      <c r="C25" s="1">
        <f>'Kwh Consumption'!C26</f>
        <v>470.00000000002728</v>
      </c>
      <c r="D25" s="1">
        <f>'Kwh Consumption'!D26</f>
        <v>2600.0000000001578</v>
      </c>
      <c r="E25" s="1">
        <f>'Kwh Consumption'!E26</f>
        <v>220.00000000002728</v>
      </c>
      <c r="F25" s="1">
        <f>('Kwh Consumption'!F26+'Kwh Consumption'!G26+'Kwh Consumption'!H26)</f>
        <v>719.9999999999136</v>
      </c>
      <c r="G25" s="16">
        <f>('Kwh Consumption'!I26+'Kwh Consumption'!J26)</f>
        <v>140.00000000001478</v>
      </c>
      <c r="H25" s="1">
        <f>('Kwh Consumption'!K26+'Kwh Consumption'!L26)</f>
        <v>1360.0000000000919</v>
      </c>
      <c r="I25" s="1">
        <f>('Kwh Consumption'!M26+'Kwh Consumption'!N26+'Kwh Consumption'!O26+'Kwh Consumption'!P26+'Kwh Consumption'!Q26+'Kwh Consumption'!R26)</f>
        <v>4000.0000000001046</v>
      </c>
      <c r="J25" s="1">
        <f>('Kwh Consumption'!S26+'Kwh Consumption'!T26)</f>
        <v>4466.9499999992549</v>
      </c>
      <c r="K25" s="1">
        <f>'Kwh Consumption'!U26</f>
        <v>189.99999999999773</v>
      </c>
      <c r="L25" s="31">
        <f t="shared" si="0"/>
        <v>5813.0500000020202</v>
      </c>
    </row>
    <row r="26" spans="1:12" x14ac:dyDescent="0.25">
      <c r="A26" s="14">
        <f>'Kwh Reading'!A27</f>
        <v>44736</v>
      </c>
      <c r="B26" s="80">
        <f>TOTAL!E25</f>
        <v>20089.99999999901</v>
      </c>
      <c r="C26" s="1">
        <f>'Kwh Consumption'!C27</f>
        <v>269.99999999998181</v>
      </c>
      <c r="D26" s="1">
        <f>'Kwh Consumption'!D27</f>
        <v>2699.9999999999245</v>
      </c>
      <c r="E26" s="1">
        <f>'Kwh Consumption'!E27</f>
        <v>239.99999999995225</v>
      </c>
      <c r="F26" s="1">
        <f>('Kwh Consumption'!F27+'Kwh Consumption'!G27+'Kwh Consumption'!H27)</f>
        <v>1040.0000000000773</v>
      </c>
      <c r="G26" s="16">
        <f>('Kwh Consumption'!I27+'Kwh Consumption'!J27)</f>
        <v>229.99999999998977</v>
      </c>
      <c r="H26" s="1">
        <f>('Kwh Consumption'!K27+'Kwh Consumption'!L27)</f>
        <v>1149.9999999999009</v>
      </c>
      <c r="I26" s="1">
        <f>('Kwh Consumption'!M27+'Kwh Consumption'!N27+'Kwh Consumption'!O27+'Kwh Consumption'!P27+'Kwh Consumption'!Q27+'Kwh Consumption'!R27)</f>
        <v>3809.9999999998226</v>
      </c>
      <c r="J26" s="1">
        <f>('Kwh Consumption'!S27+'Kwh Consumption'!T27)</f>
        <v>3871.2900000000373</v>
      </c>
      <c r="K26" s="1">
        <f>'Kwh Consumption'!U27</f>
        <v>199.99999999998863</v>
      </c>
      <c r="L26" s="31">
        <f t="shared" si="0"/>
        <v>6578.709999999337</v>
      </c>
    </row>
    <row r="27" spans="1:12" x14ac:dyDescent="0.25">
      <c r="A27" s="14">
        <f>'Kwh Reading'!A28</f>
        <v>44737</v>
      </c>
      <c r="B27" s="80">
        <f>TOTAL!E26</f>
        <v>18389.999999999873</v>
      </c>
      <c r="C27" s="1">
        <f>'Kwh Consumption'!C28</f>
        <v>460.00000000003638</v>
      </c>
      <c r="D27" s="1">
        <f>'Kwh Consumption'!D28</f>
        <v>2499.9999999999468</v>
      </c>
      <c r="E27" s="1">
        <f>'Kwh Consumption'!E28</f>
        <v>210.00000000003638</v>
      </c>
      <c r="F27" s="1">
        <f>('Kwh Consumption'!F28+'Kwh Consumption'!G28+'Kwh Consumption'!H28)</f>
        <v>850.00000000002274</v>
      </c>
      <c r="G27" s="16">
        <f>('Kwh Consumption'!I28+'Kwh Consumption'!J28)</f>
        <v>60.000000000002274</v>
      </c>
      <c r="H27" s="1">
        <f>('Kwh Consumption'!K28+'Kwh Consumption'!L28)</f>
        <v>1130.000000000141</v>
      </c>
      <c r="I27" s="1">
        <f>('Kwh Consumption'!M28+'Kwh Consumption'!N28+'Kwh Consumption'!O28+'Kwh Consumption'!P28+'Kwh Consumption'!Q28+'Kwh Consumption'!R28)</f>
        <v>3730.0000000001178</v>
      </c>
      <c r="J27" s="1">
        <f>('Kwh Consumption'!S28+'Kwh Consumption'!T28)</f>
        <v>4002.1299999998882</v>
      </c>
      <c r="K27" s="1">
        <f>'Kwh Consumption'!U28</f>
        <v>190.00000000002615</v>
      </c>
      <c r="L27" s="31">
        <f t="shared" si="0"/>
        <v>5257.8699999996543</v>
      </c>
    </row>
    <row r="28" spans="1:12" x14ac:dyDescent="0.25">
      <c r="A28" s="14">
        <f>'Kwh Reading'!A29</f>
        <v>44738</v>
      </c>
      <c r="B28" s="80">
        <f>TOTAL!E27</f>
        <v>19759.999999999083</v>
      </c>
      <c r="C28" s="1">
        <f>'Kwh Consumption'!C29</f>
        <v>449.99999999993179</v>
      </c>
      <c r="D28" s="1">
        <f>'Kwh Consumption'!D29</f>
        <v>2699.9999999999245</v>
      </c>
      <c r="E28" s="1">
        <f>'Kwh Consumption'!E29</f>
        <v>219.99999999997044</v>
      </c>
      <c r="F28" s="1">
        <f>('Kwh Consumption'!F29+'Kwh Consumption'!G29+'Kwh Consumption'!H29)</f>
        <v>789.99999999990678</v>
      </c>
      <c r="G28" s="16">
        <f>('Kwh Consumption'!I29+'Kwh Consumption'!J29)</f>
        <v>129.99999999999545</v>
      </c>
      <c r="H28" s="1">
        <f>('Kwh Consumption'!K29+'Kwh Consumption'!L29)</f>
        <v>1349.9999999998788</v>
      </c>
      <c r="I28" s="1">
        <f>('Kwh Consumption'!M29+'Kwh Consumption'!N29+'Kwh Consumption'!O29+'Kwh Consumption'!P29+'Kwh Consumption'!Q29+'Kwh Consumption'!R29)</f>
        <v>4229.9999999998281</v>
      </c>
      <c r="J28" s="1">
        <f>('Kwh Consumption'!S29+'Kwh Consumption'!T29)</f>
        <v>4267.929999999702</v>
      </c>
      <c r="K28" s="1">
        <f>'Kwh Consumption'!U29</f>
        <v>179.9999999999784</v>
      </c>
      <c r="L28" s="31">
        <f t="shared" si="0"/>
        <v>5442.0699999999706</v>
      </c>
    </row>
    <row r="29" spans="1:12" x14ac:dyDescent="0.25">
      <c r="A29" s="14">
        <f>'Kwh Reading'!A30</f>
        <v>44739</v>
      </c>
      <c r="B29" s="80">
        <f>TOTAL!E28</f>
        <v>20850.000000001273</v>
      </c>
      <c r="C29" s="1">
        <f>'Kwh Consumption'!C30</f>
        <v>480.00000000001819</v>
      </c>
      <c r="D29" s="1">
        <f>'Kwh Consumption'!D30</f>
        <v>2699.9999999999245</v>
      </c>
      <c r="E29" s="1">
        <f>'Kwh Consumption'!E30</f>
        <v>230.00000000001819</v>
      </c>
      <c r="F29" s="1">
        <f>('Kwh Consumption'!F30+'Kwh Consumption'!G30+'Kwh Consumption'!H30)</f>
        <v>810.00000000005912</v>
      </c>
      <c r="G29" s="16">
        <f>('Kwh Consumption'!I30+'Kwh Consumption'!J30)</f>
        <v>129.99999999999545</v>
      </c>
      <c r="H29" s="1">
        <f>('Kwh Consumption'!K30+'Kwh Consumption'!L30)</f>
        <v>1370.0000000000828</v>
      </c>
      <c r="I29" s="1">
        <f>('Kwh Consumption'!M30+'Kwh Consumption'!N30+'Kwh Consumption'!O30+'Kwh Consumption'!P30+'Kwh Consumption'!Q30+'Kwh Consumption'!R30)</f>
        <v>4309.9999999999027</v>
      </c>
      <c r="J29" s="1">
        <f>('Kwh Consumption'!S30+'Kwh Consumption'!T30)</f>
        <v>4292.7400000002235</v>
      </c>
      <c r="K29" s="1">
        <f>'Kwh Consumption'!U30</f>
        <v>200.00000000001705</v>
      </c>
      <c r="L29" s="31">
        <f t="shared" si="0"/>
        <v>6327.2600000010325</v>
      </c>
    </row>
    <row r="30" spans="1:12" x14ac:dyDescent="0.25">
      <c r="A30" s="14">
        <f>'Kwh Reading'!A31</f>
        <v>44740</v>
      </c>
      <c r="B30" s="80">
        <f>TOTAL!E29</f>
        <v>18720.00000000048</v>
      </c>
      <c r="C30" s="1">
        <f>'Kwh Consumption'!C31</f>
        <v>480.00000000001819</v>
      </c>
      <c r="D30" s="1">
        <f>'Kwh Consumption'!D31</f>
        <v>2600.0000000001578</v>
      </c>
      <c r="E30" s="1">
        <f>'Kwh Consumption'!E31</f>
        <v>230.00000000001819</v>
      </c>
      <c r="F30" s="1">
        <f>('Kwh Consumption'!F31+'Kwh Consumption'!G31+'Kwh Consumption'!H31)</f>
        <v>740.00000000000909</v>
      </c>
      <c r="G30" s="16">
        <f>('Kwh Consumption'!I31+'Kwh Consumption'!J31)</f>
        <v>140.00000000001478</v>
      </c>
      <c r="H30" s="1">
        <f>('Kwh Consumption'!K31+'Kwh Consumption'!L31)</f>
        <v>1309.9999999998922</v>
      </c>
      <c r="I30" s="1">
        <f>('Kwh Consumption'!M31+'Kwh Consumption'!N31+'Kwh Consumption'!O31+'Kwh Consumption'!P31+'Kwh Consumption'!Q31+'Kwh Consumption'!R31)</f>
        <v>3810.0000000002383</v>
      </c>
      <c r="J30" s="1">
        <f>('Kwh Consumption'!S31+'Kwh Consumption'!T31)</f>
        <v>3488.5200000004843</v>
      </c>
      <c r="K30" s="1">
        <f>'Kwh Consumption'!U31</f>
        <v>199.99999999998863</v>
      </c>
      <c r="L30" s="31">
        <f t="shared" si="0"/>
        <v>5721.4799999996576</v>
      </c>
    </row>
    <row r="31" spans="1:12" x14ac:dyDescent="0.25">
      <c r="A31" s="14">
        <f>'Kwh Reading'!A32</f>
        <v>44741</v>
      </c>
      <c r="B31" s="80">
        <f>TOTAL!E30</f>
        <v>21659.999999999854</v>
      </c>
      <c r="C31" s="1">
        <f>'Kwh Consumption'!C32</f>
        <v>480.00000000001819</v>
      </c>
      <c r="D31" s="1">
        <f>'Kwh Consumption'!D32</f>
        <v>2599.9999999997135</v>
      </c>
      <c r="E31" s="1">
        <f>'Kwh Consumption'!E32</f>
        <v>240.00000000000909</v>
      </c>
      <c r="F31" s="1">
        <f>('Kwh Consumption'!F32+'Kwh Consumption'!G32+'Kwh Consumption'!H32)</f>
        <v>1000</v>
      </c>
      <c r="G31" s="16">
        <f>('Kwh Consumption'!I32+'Kwh Consumption'!J32)</f>
        <v>139.99999999998636</v>
      </c>
      <c r="H31" s="1">
        <f>('Kwh Consumption'!K32+'Kwh Consumption'!L32)</f>
        <v>1330.000000000096</v>
      </c>
      <c r="I31" s="1">
        <f>('Kwh Consumption'!M32+'Kwh Consumption'!N32+'Kwh Consumption'!O32+'Kwh Consumption'!P32+'Kwh Consumption'!Q32+'Kwh Consumption'!R32)</f>
        <v>4319.9999999998599</v>
      </c>
      <c r="J31" s="1">
        <f>('Kwh Consumption'!S32+'Kwh Consumption'!T32)</f>
        <v>4175.1299999998882</v>
      </c>
      <c r="K31" s="1">
        <f>'Kwh Consumption'!U32</f>
        <v>219.99999999999886</v>
      </c>
      <c r="L31" s="31">
        <f t="shared" si="0"/>
        <v>7154.8700000002873</v>
      </c>
    </row>
    <row r="32" spans="1:12" x14ac:dyDescent="0.25">
      <c r="A32" s="14">
        <f>'Kwh Reading'!A33</f>
        <v>44742</v>
      </c>
      <c r="B32" s="80">
        <f>TOTAL!E31</f>
        <v>0</v>
      </c>
      <c r="C32" s="1">
        <f>'Kwh Consumption'!C33</f>
        <v>-598860</v>
      </c>
      <c r="D32" s="1">
        <f>'Kwh Consumption'!D33</f>
        <v>-3332400</v>
      </c>
      <c r="E32" s="1">
        <f>'Kwh Consumption'!E33</f>
        <v>-320220</v>
      </c>
      <c r="F32" s="1">
        <f>('Kwh Consumption'!F33+'Kwh Consumption'!G33+'Kwh Consumption'!H33)</f>
        <v>-1263670</v>
      </c>
      <c r="G32" s="16">
        <f>('Kwh Consumption'!I33+'Kwh Consumption'!J33)</f>
        <v>-355100</v>
      </c>
      <c r="H32" s="1">
        <f>('Kwh Consumption'!K33+'Kwh Consumption'!L33)</f>
        <v>-1760060</v>
      </c>
      <c r="I32" s="1">
        <f>('Kwh Consumption'!M33+'Kwh Consumption'!N33+'Kwh Consumption'!O33+'Kwh Consumption'!P33+'Kwh Consumption'!Q33+'Kwh Consumption'!R33)</f>
        <v>-5272000</v>
      </c>
      <c r="J32" s="1">
        <f>('Kwh Consumption'!S33+'Kwh Consumption'!T33)</f>
        <v>-17463474.120000001</v>
      </c>
      <c r="K32" s="1">
        <f>'Kwh Consumption'!U33</f>
        <v>-229660</v>
      </c>
      <c r="L32" s="31">
        <f t="shared" si="0"/>
        <v>30595444.120000001</v>
      </c>
    </row>
    <row r="33" spans="1:13" x14ac:dyDescent="0.25">
      <c r="A33" s="14">
        <f>'Kwh Reading'!A34</f>
        <v>44743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604720.00000000035</v>
      </c>
      <c r="C34" s="72">
        <f>SUM(C3:C33)</f>
        <v>-585440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-1237500</v>
      </c>
      <c r="G34" s="72">
        <f t="shared" si="1"/>
        <v>-351190</v>
      </c>
      <c r="H34" s="72">
        <f t="shared" si="1"/>
        <v>-1720160</v>
      </c>
      <c r="I34" s="72">
        <f t="shared" si="1"/>
        <v>-5145410</v>
      </c>
      <c r="J34" s="72">
        <f t="shared" si="1"/>
        <v>-17333860.060000002</v>
      </c>
      <c r="K34" s="72">
        <f t="shared" si="1"/>
        <v>-223530</v>
      </c>
      <c r="L34" s="72">
        <f t="shared" si="1"/>
        <v>30770040.060000002</v>
      </c>
      <c r="M34" s="81">
        <f>C34+D34+E34+F34+G34+H34+I34+J34+K34+L34</f>
        <v>604720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1" t="s">
        <v>51</v>
      </c>
      <c r="B34" s="151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S31" sqref="S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75355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2">
        <v>18869</v>
      </c>
      <c r="M4" s="102">
        <v>27535</v>
      </c>
      <c r="N4" s="102">
        <v>8626</v>
      </c>
      <c r="O4" s="102">
        <v>2150</v>
      </c>
      <c r="P4" s="102">
        <v>31134</v>
      </c>
      <c r="Q4" s="102">
        <v>1710</v>
      </c>
      <c r="R4" s="102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2">
        <v>18872</v>
      </c>
      <c r="M5" s="102">
        <v>27542</v>
      </c>
      <c r="N5" s="102">
        <v>8627</v>
      </c>
      <c r="O5" s="102">
        <v>2152</v>
      </c>
      <c r="P5" s="102">
        <v>31134</v>
      </c>
      <c r="Q5" s="102">
        <v>1712</v>
      </c>
      <c r="R5" s="102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2">
        <v>18877</v>
      </c>
      <c r="M6" s="102">
        <v>27547</v>
      </c>
      <c r="N6" s="102">
        <v>8630</v>
      </c>
      <c r="O6" s="102">
        <v>2154</v>
      </c>
      <c r="P6" s="102">
        <v>31143</v>
      </c>
      <c r="Q6" s="102">
        <v>1714</v>
      </c>
      <c r="R6" s="102">
        <v>199</v>
      </c>
    </row>
    <row r="7" spans="1:21" x14ac:dyDescent="0.25">
      <c r="A7" s="52">
        <v>44717</v>
      </c>
      <c r="B7" s="54">
        <v>230509</v>
      </c>
      <c r="C7" s="32"/>
      <c r="D7" s="102">
        <v>268733</v>
      </c>
      <c r="E7" s="102">
        <v>270799</v>
      </c>
      <c r="F7" s="102">
        <v>67186</v>
      </c>
      <c r="G7" s="102">
        <v>119760</v>
      </c>
      <c r="H7" s="102">
        <v>62098</v>
      </c>
      <c r="I7" s="102">
        <v>75455</v>
      </c>
      <c r="J7" s="102">
        <v>22841</v>
      </c>
      <c r="K7" s="102">
        <v>1024</v>
      </c>
      <c r="L7" s="102">
        <v>18880</v>
      </c>
      <c r="M7" s="102">
        <v>27552</v>
      </c>
      <c r="N7" s="102">
        <v>8631</v>
      </c>
      <c r="O7" s="102">
        <v>2156</v>
      </c>
      <c r="P7" s="102">
        <v>31158</v>
      </c>
      <c r="Q7" s="102">
        <v>1718</v>
      </c>
      <c r="R7" s="102">
        <v>205</v>
      </c>
    </row>
    <row r="8" spans="1:21" x14ac:dyDescent="0.25">
      <c r="A8" s="52">
        <v>44718</v>
      </c>
      <c r="B8" s="54">
        <v>230660</v>
      </c>
      <c r="C8" s="32"/>
      <c r="D8" s="102">
        <v>268895</v>
      </c>
      <c r="E8" s="102">
        <v>270877</v>
      </c>
      <c r="F8" s="102">
        <v>67188</v>
      </c>
      <c r="G8" s="102">
        <v>119779</v>
      </c>
      <c r="H8" s="102">
        <v>62098</v>
      </c>
      <c r="I8" s="102">
        <v>75478</v>
      </c>
      <c r="J8" s="102">
        <v>22846</v>
      </c>
      <c r="K8" s="102">
        <v>1024</v>
      </c>
      <c r="L8" s="102">
        <v>18884</v>
      </c>
      <c r="M8" s="102">
        <v>27559</v>
      </c>
      <c r="N8" s="102">
        <v>8639</v>
      </c>
      <c r="O8" s="102">
        <v>2159</v>
      </c>
      <c r="P8" s="102">
        <v>31163</v>
      </c>
      <c r="Q8" s="102">
        <v>1719</v>
      </c>
      <c r="R8" s="102">
        <v>207</v>
      </c>
    </row>
    <row r="9" spans="1:21" x14ac:dyDescent="0.25">
      <c r="A9" s="52">
        <v>44719</v>
      </c>
      <c r="B9" s="54">
        <v>230822</v>
      </c>
      <c r="C9" s="32"/>
      <c r="D9" s="102">
        <v>269051</v>
      </c>
      <c r="E9" s="102">
        <v>270940</v>
      </c>
      <c r="F9" s="102">
        <v>67187</v>
      </c>
      <c r="G9" s="102">
        <v>119800</v>
      </c>
      <c r="H9" s="102">
        <v>62098</v>
      </c>
      <c r="I9" s="102">
        <v>75509</v>
      </c>
      <c r="J9" s="102">
        <v>22851</v>
      </c>
      <c r="K9" s="102">
        <v>1024</v>
      </c>
      <c r="L9" s="102">
        <v>18887</v>
      </c>
      <c r="M9" s="102">
        <v>27564</v>
      </c>
      <c r="N9" s="102">
        <v>8632</v>
      </c>
      <c r="O9" s="102">
        <v>2161</v>
      </c>
      <c r="P9" s="102">
        <v>31174</v>
      </c>
      <c r="Q9" s="102">
        <v>1720</v>
      </c>
      <c r="R9" s="102">
        <v>210</v>
      </c>
    </row>
    <row r="10" spans="1:21" x14ac:dyDescent="0.25">
      <c r="A10" s="52">
        <v>44720</v>
      </c>
      <c r="B10" s="32">
        <v>230962</v>
      </c>
      <c r="C10" s="54"/>
      <c r="D10" s="102">
        <v>269187</v>
      </c>
      <c r="E10" s="102">
        <v>271002</v>
      </c>
      <c r="F10" s="102">
        <v>67188</v>
      </c>
      <c r="G10" s="102">
        <v>119821</v>
      </c>
      <c r="H10" s="102">
        <v>62098</v>
      </c>
      <c r="I10" s="102">
        <v>75548</v>
      </c>
      <c r="J10" s="102">
        <v>22856</v>
      </c>
      <c r="K10" s="102">
        <v>1024</v>
      </c>
      <c r="L10" s="102">
        <v>18891</v>
      </c>
      <c r="M10" s="102">
        <v>27569</v>
      </c>
      <c r="N10" s="102">
        <v>8635</v>
      </c>
      <c r="O10" s="102">
        <v>2163</v>
      </c>
      <c r="P10" s="102">
        <v>31190</v>
      </c>
      <c r="Q10" s="102">
        <v>1724</v>
      </c>
      <c r="R10" s="102">
        <v>215</v>
      </c>
    </row>
    <row r="11" spans="1:21" x14ac:dyDescent="0.25">
      <c r="A11" s="52">
        <v>44721</v>
      </c>
      <c r="B11" s="54">
        <v>231094</v>
      </c>
      <c r="C11" s="32"/>
      <c r="D11" s="102">
        <v>269324</v>
      </c>
      <c r="E11" s="102">
        <v>271070</v>
      </c>
      <c r="F11" s="102">
        <v>67188</v>
      </c>
      <c r="G11" s="102">
        <v>119838</v>
      </c>
      <c r="H11" s="102">
        <v>62098</v>
      </c>
      <c r="I11" s="102">
        <v>75586</v>
      </c>
      <c r="J11" s="102">
        <v>22862</v>
      </c>
      <c r="K11" s="102">
        <v>1024</v>
      </c>
      <c r="L11" s="102">
        <v>18894</v>
      </c>
      <c r="M11" s="102">
        <v>27576</v>
      </c>
      <c r="N11" s="102">
        <v>8638</v>
      </c>
      <c r="O11" s="102">
        <v>2163</v>
      </c>
      <c r="P11" s="102">
        <v>31208</v>
      </c>
      <c r="Q11" s="102">
        <v>1727</v>
      </c>
      <c r="R11" s="102">
        <v>219</v>
      </c>
    </row>
    <row r="12" spans="1:21" x14ac:dyDescent="0.25">
      <c r="A12" s="52">
        <v>44722</v>
      </c>
      <c r="B12" s="32">
        <v>231217</v>
      </c>
      <c r="C12" s="54"/>
      <c r="D12" s="102">
        <v>269440</v>
      </c>
      <c r="E12" s="102">
        <v>271137</v>
      </c>
      <c r="F12" s="102">
        <v>67189</v>
      </c>
      <c r="G12" s="102">
        <v>119859</v>
      </c>
      <c r="H12" s="102">
        <v>62098</v>
      </c>
      <c r="I12" s="102">
        <v>75628</v>
      </c>
      <c r="J12" s="102">
        <v>22867</v>
      </c>
      <c r="K12" s="102">
        <v>1024</v>
      </c>
      <c r="L12" s="102">
        <v>18898</v>
      </c>
      <c r="M12" s="102">
        <v>27584</v>
      </c>
      <c r="N12" s="102">
        <v>8640</v>
      </c>
      <c r="O12" s="102">
        <v>2166</v>
      </c>
      <c r="P12" s="102">
        <v>31224</v>
      </c>
      <c r="Q12" s="102">
        <v>1728</v>
      </c>
      <c r="R12" s="102">
        <v>224</v>
      </c>
    </row>
    <row r="13" spans="1:21" x14ac:dyDescent="0.25">
      <c r="A13" s="52">
        <v>44723</v>
      </c>
      <c r="B13" s="54">
        <v>158.6</v>
      </c>
      <c r="C13" s="32">
        <v>114</v>
      </c>
      <c r="D13" s="102">
        <v>269664</v>
      </c>
      <c r="E13" s="102">
        <v>271199</v>
      </c>
      <c r="F13" s="102">
        <v>67190</v>
      </c>
      <c r="G13" s="102">
        <v>119877</v>
      </c>
      <c r="H13" s="102">
        <v>62098</v>
      </c>
      <c r="I13" s="102">
        <v>75647</v>
      </c>
      <c r="J13" s="102">
        <v>22873</v>
      </c>
      <c r="K13" s="102">
        <v>1024</v>
      </c>
      <c r="L13" s="102">
        <v>18901</v>
      </c>
      <c r="M13" s="102">
        <v>27550</v>
      </c>
      <c r="N13" s="102">
        <v>8642</v>
      </c>
      <c r="O13" s="102">
        <v>2168</v>
      </c>
      <c r="P13" s="102">
        <v>31224</v>
      </c>
      <c r="Q13" s="102">
        <v>1728</v>
      </c>
      <c r="R13" s="102">
        <v>226</v>
      </c>
    </row>
    <row r="14" spans="1:21" x14ac:dyDescent="0.25">
      <c r="A14" s="52">
        <v>44724</v>
      </c>
      <c r="B14" s="32">
        <v>288</v>
      </c>
      <c r="C14" s="32">
        <v>269</v>
      </c>
      <c r="D14" s="102">
        <v>269777</v>
      </c>
      <c r="E14" s="102">
        <v>271265</v>
      </c>
      <c r="F14" s="102">
        <v>67190</v>
      </c>
      <c r="G14" s="102">
        <v>119903</v>
      </c>
      <c r="H14" s="102">
        <v>62098</v>
      </c>
      <c r="I14" s="102">
        <v>75672</v>
      </c>
      <c r="J14" s="102">
        <v>22878</v>
      </c>
      <c r="K14" s="102">
        <v>1024</v>
      </c>
      <c r="L14" s="102">
        <v>18905</v>
      </c>
      <c r="M14" s="102">
        <v>27597</v>
      </c>
      <c r="N14" s="102">
        <v>8644</v>
      </c>
      <c r="O14" s="102">
        <v>2172</v>
      </c>
      <c r="P14" s="102">
        <v>31227</v>
      </c>
      <c r="Q14" s="102">
        <v>1735</v>
      </c>
      <c r="R14" s="102">
        <v>231</v>
      </c>
    </row>
    <row r="15" spans="1:21" x14ac:dyDescent="0.25">
      <c r="A15" s="52">
        <v>44725</v>
      </c>
      <c r="B15" s="32">
        <v>474.3</v>
      </c>
      <c r="C15" s="32">
        <v>466</v>
      </c>
      <c r="D15" s="102">
        <v>269954</v>
      </c>
      <c r="E15" s="102">
        <v>271328</v>
      </c>
      <c r="F15" s="102">
        <v>67191</v>
      </c>
      <c r="G15" s="102">
        <v>119927</v>
      </c>
      <c r="H15" s="102">
        <v>62098</v>
      </c>
      <c r="I15" s="102">
        <v>75721</v>
      </c>
      <c r="J15" s="102">
        <v>22883</v>
      </c>
      <c r="K15" s="102">
        <v>1024</v>
      </c>
      <c r="L15" s="102">
        <v>18908</v>
      </c>
      <c r="M15" s="102">
        <v>27602</v>
      </c>
      <c r="N15" s="102">
        <v>8645</v>
      </c>
      <c r="O15" s="102">
        <v>2174</v>
      </c>
      <c r="P15" s="102">
        <v>31251</v>
      </c>
      <c r="Q15" s="102">
        <v>1737</v>
      </c>
      <c r="R15" s="102">
        <v>236</v>
      </c>
      <c r="T15" s="100"/>
      <c r="U15" s="100"/>
    </row>
    <row r="16" spans="1:21" x14ac:dyDescent="0.25">
      <c r="A16" s="52">
        <v>44726</v>
      </c>
      <c r="B16" s="32">
        <v>606</v>
      </c>
      <c r="C16" s="54">
        <v>637</v>
      </c>
      <c r="D16" s="102">
        <v>270079</v>
      </c>
      <c r="E16" s="102">
        <v>271398</v>
      </c>
      <c r="F16" s="102">
        <v>67192</v>
      </c>
      <c r="G16" s="102">
        <v>119952</v>
      </c>
      <c r="H16" s="102">
        <v>62098</v>
      </c>
      <c r="I16" s="102">
        <v>75752</v>
      </c>
      <c r="J16" s="102">
        <v>22889</v>
      </c>
      <c r="K16" s="102">
        <v>1024</v>
      </c>
      <c r="L16" s="102">
        <v>18912</v>
      </c>
      <c r="M16" s="102">
        <v>27612</v>
      </c>
      <c r="N16" s="102">
        <v>8647</v>
      </c>
      <c r="O16" s="102">
        <v>2177</v>
      </c>
      <c r="P16" s="102">
        <v>31251</v>
      </c>
      <c r="Q16" s="102">
        <v>1741</v>
      </c>
      <c r="R16" s="102">
        <v>240</v>
      </c>
    </row>
    <row r="17" spans="1:22" x14ac:dyDescent="0.25">
      <c r="A17" s="52">
        <v>44727</v>
      </c>
      <c r="B17" s="32">
        <v>776</v>
      </c>
      <c r="C17" s="32">
        <v>862</v>
      </c>
      <c r="D17" s="102">
        <v>270218</v>
      </c>
      <c r="E17" s="102">
        <v>271465</v>
      </c>
      <c r="F17" s="102">
        <v>67193</v>
      </c>
      <c r="G17" s="102">
        <v>119972</v>
      </c>
      <c r="H17" s="102">
        <v>62098</v>
      </c>
      <c r="I17" s="102">
        <v>75811</v>
      </c>
      <c r="J17" s="102">
        <v>22895</v>
      </c>
      <c r="K17" s="102">
        <v>1024</v>
      </c>
      <c r="L17" s="102">
        <v>18915</v>
      </c>
      <c r="M17" s="102">
        <v>27618</v>
      </c>
      <c r="N17" s="102">
        <v>8651</v>
      </c>
      <c r="O17" s="102">
        <v>2177</v>
      </c>
      <c r="P17" s="102">
        <v>31282</v>
      </c>
      <c r="Q17" s="102">
        <v>1743</v>
      </c>
      <c r="R17" s="102">
        <v>245</v>
      </c>
    </row>
    <row r="18" spans="1:22" x14ac:dyDescent="0.25">
      <c r="A18" s="52">
        <v>44728</v>
      </c>
      <c r="B18" s="32">
        <v>901</v>
      </c>
      <c r="C18" s="54">
        <v>1077</v>
      </c>
      <c r="D18" s="102">
        <v>270392</v>
      </c>
      <c r="E18" s="102">
        <v>271543</v>
      </c>
      <c r="F18" s="102">
        <v>67194</v>
      </c>
      <c r="G18" s="102">
        <v>119994</v>
      </c>
      <c r="H18" s="102">
        <v>62098</v>
      </c>
      <c r="I18" s="102">
        <v>75828</v>
      </c>
      <c r="J18" s="102">
        <v>22899</v>
      </c>
      <c r="K18" s="102">
        <v>1024</v>
      </c>
      <c r="L18" s="102">
        <v>18919</v>
      </c>
      <c r="M18" s="102">
        <v>27622</v>
      </c>
      <c r="N18" s="102">
        <v>8653</v>
      </c>
      <c r="O18" s="102">
        <v>2179</v>
      </c>
      <c r="P18" s="102">
        <v>31282</v>
      </c>
      <c r="Q18" s="102">
        <v>1744</v>
      </c>
      <c r="R18" s="102">
        <v>247</v>
      </c>
      <c r="U18" s="100"/>
    </row>
    <row r="19" spans="1:22" x14ac:dyDescent="0.25">
      <c r="A19" s="52">
        <v>44729</v>
      </c>
      <c r="B19" s="32">
        <v>1045</v>
      </c>
      <c r="C19" s="32">
        <v>1273</v>
      </c>
      <c r="D19" s="102">
        <v>270526</v>
      </c>
      <c r="E19" s="102">
        <v>271629</v>
      </c>
      <c r="F19" s="102">
        <v>67194</v>
      </c>
      <c r="G19" s="102">
        <v>120013</v>
      </c>
      <c r="H19" s="102">
        <v>62098</v>
      </c>
      <c r="I19" s="102">
        <v>75879</v>
      </c>
      <c r="J19" s="102">
        <v>22904</v>
      </c>
      <c r="K19" s="102">
        <v>1024</v>
      </c>
      <c r="L19" s="102">
        <v>18922</v>
      </c>
      <c r="M19" s="102">
        <v>27627</v>
      </c>
      <c r="N19" s="102">
        <v>8656</v>
      </c>
      <c r="O19" s="102">
        <v>2181</v>
      </c>
      <c r="P19" s="102">
        <v>31310</v>
      </c>
      <c r="Q19" s="102">
        <v>1745</v>
      </c>
      <c r="R19" s="102">
        <v>253</v>
      </c>
    </row>
    <row r="20" spans="1:22" x14ac:dyDescent="0.25">
      <c r="A20" s="52">
        <v>44730</v>
      </c>
      <c r="B20" s="32">
        <v>1173</v>
      </c>
      <c r="C20" s="54">
        <v>1450</v>
      </c>
      <c r="D20" s="103">
        <v>270676</v>
      </c>
      <c r="E20" s="102">
        <v>271707</v>
      </c>
      <c r="F20" s="102">
        <v>67196</v>
      </c>
      <c r="G20" s="102">
        <v>120036</v>
      </c>
      <c r="H20" s="102">
        <v>62098</v>
      </c>
      <c r="I20" s="102">
        <v>75896</v>
      </c>
      <c r="J20" s="102">
        <v>22910</v>
      </c>
      <c r="K20" s="102">
        <v>1024</v>
      </c>
      <c r="L20" s="102">
        <v>18927</v>
      </c>
      <c r="M20" s="102">
        <v>27634</v>
      </c>
      <c r="N20" s="102">
        <v>8657</v>
      </c>
      <c r="O20" s="102">
        <v>2182</v>
      </c>
      <c r="P20" s="102">
        <v>31310</v>
      </c>
      <c r="Q20" s="102">
        <v>1750</v>
      </c>
      <c r="R20" s="102">
        <v>253</v>
      </c>
    </row>
    <row r="21" spans="1:22" x14ac:dyDescent="0.25">
      <c r="A21" s="52">
        <v>44731</v>
      </c>
      <c r="B21" s="32">
        <v>1293</v>
      </c>
      <c r="C21" s="32">
        <v>1591</v>
      </c>
      <c r="D21" s="102">
        <v>270769</v>
      </c>
      <c r="E21" s="102">
        <v>271772</v>
      </c>
      <c r="F21" s="102">
        <v>67196</v>
      </c>
      <c r="G21" s="102">
        <v>120058</v>
      </c>
      <c r="H21" s="102">
        <v>62098</v>
      </c>
      <c r="I21" s="102">
        <v>75915</v>
      </c>
      <c r="J21" s="102">
        <v>22915</v>
      </c>
      <c r="K21" s="102">
        <v>1024</v>
      </c>
      <c r="L21" s="102">
        <v>18931</v>
      </c>
      <c r="M21" s="102">
        <v>27639</v>
      </c>
      <c r="N21" s="102">
        <v>8658</v>
      </c>
      <c r="O21" s="102">
        <v>2183</v>
      </c>
      <c r="P21" s="102">
        <v>31310</v>
      </c>
      <c r="Q21" s="102">
        <v>1751</v>
      </c>
      <c r="R21" s="102">
        <v>259</v>
      </c>
    </row>
    <row r="22" spans="1:22" x14ac:dyDescent="0.25">
      <c r="A22" s="52">
        <v>44732</v>
      </c>
      <c r="B22" s="32">
        <v>1421</v>
      </c>
      <c r="C22" s="54">
        <v>1753</v>
      </c>
      <c r="D22" s="102">
        <v>270871</v>
      </c>
      <c r="E22" s="102">
        <v>271846</v>
      </c>
      <c r="F22" s="102">
        <v>67196</v>
      </c>
      <c r="G22" s="102">
        <v>120081</v>
      </c>
      <c r="H22" s="102">
        <v>62098</v>
      </c>
      <c r="I22" s="102">
        <v>75959</v>
      </c>
      <c r="J22" s="102">
        <v>22920</v>
      </c>
      <c r="K22" s="102">
        <v>1024</v>
      </c>
      <c r="L22" s="102">
        <v>19935</v>
      </c>
      <c r="M22" s="102">
        <v>27644</v>
      </c>
      <c r="N22" s="102">
        <v>8658</v>
      </c>
      <c r="O22" s="102">
        <v>2185</v>
      </c>
      <c r="P22" s="102">
        <v>21320</v>
      </c>
      <c r="Q22" s="102">
        <v>1751</v>
      </c>
      <c r="R22" s="102">
        <v>262</v>
      </c>
    </row>
    <row r="23" spans="1:22" x14ac:dyDescent="0.25">
      <c r="A23" s="52">
        <v>44733</v>
      </c>
      <c r="B23" s="32">
        <v>1547</v>
      </c>
      <c r="C23" s="32">
        <v>1922</v>
      </c>
      <c r="D23" s="102">
        <v>271009</v>
      </c>
      <c r="E23" s="102">
        <v>271921</v>
      </c>
      <c r="F23" s="102">
        <v>67197</v>
      </c>
      <c r="G23" s="102">
        <v>120100</v>
      </c>
      <c r="H23" s="102">
        <v>62098</v>
      </c>
      <c r="I23" s="102">
        <v>75972</v>
      </c>
      <c r="J23" s="102">
        <v>22926</v>
      </c>
      <c r="K23" s="102">
        <v>1024</v>
      </c>
      <c r="L23" s="102">
        <v>18939</v>
      </c>
      <c r="M23" s="102">
        <v>27649</v>
      </c>
      <c r="N23" s="102">
        <v>8660</v>
      </c>
      <c r="O23" s="102">
        <v>2187</v>
      </c>
      <c r="P23" s="102">
        <v>31330</v>
      </c>
      <c r="Q23" s="102">
        <v>1756</v>
      </c>
      <c r="R23" s="102">
        <v>267</v>
      </c>
      <c r="S23" s="10" t="s">
        <v>125</v>
      </c>
    </row>
    <row r="24" spans="1:22" x14ac:dyDescent="0.25">
      <c r="A24" s="52">
        <v>44734</v>
      </c>
      <c r="B24" s="32">
        <v>1665</v>
      </c>
      <c r="C24" s="54">
        <v>2076</v>
      </c>
      <c r="D24" s="102">
        <v>271112</v>
      </c>
      <c r="E24" s="102">
        <v>271999</v>
      </c>
      <c r="F24" s="102">
        <v>67197</v>
      </c>
      <c r="G24" s="102">
        <v>120122</v>
      </c>
      <c r="H24" s="102">
        <v>62098</v>
      </c>
      <c r="I24" s="102">
        <v>75995</v>
      </c>
      <c r="J24" s="102">
        <v>22931</v>
      </c>
      <c r="K24" s="102">
        <v>1024</v>
      </c>
      <c r="L24" s="102">
        <v>18944</v>
      </c>
      <c r="M24" s="102">
        <v>27654</v>
      </c>
      <c r="N24" s="102">
        <v>8661</v>
      </c>
      <c r="O24" s="102">
        <v>2188</v>
      </c>
      <c r="P24" s="102">
        <v>31330</v>
      </c>
      <c r="Q24" s="102">
        <v>1757</v>
      </c>
      <c r="R24" s="102">
        <v>270</v>
      </c>
      <c r="S24" s="10" t="s">
        <v>127</v>
      </c>
    </row>
    <row r="25" spans="1:22" x14ac:dyDescent="0.25">
      <c r="A25" s="52">
        <v>44735</v>
      </c>
      <c r="B25" s="32">
        <v>1807</v>
      </c>
      <c r="C25" s="32">
        <v>2265</v>
      </c>
      <c r="D25" s="102">
        <v>271240</v>
      </c>
      <c r="E25" s="102">
        <v>272071</v>
      </c>
      <c r="F25" s="102">
        <v>67198</v>
      </c>
      <c r="G25" s="102">
        <v>120139</v>
      </c>
      <c r="H25" s="102">
        <v>62098</v>
      </c>
      <c r="I25" s="102">
        <v>76032</v>
      </c>
      <c r="J25" s="102">
        <v>22936</v>
      </c>
      <c r="K25" s="102">
        <v>1024</v>
      </c>
      <c r="L25" s="102">
        <v>18947</v>
      </c>
      <c r="M25" s="102">
        <v>27661</v>
      </c>
      <c r="N25" s="102">
        <v>8661</v>
      </c>
      <c r="O25" s="102">
        <v>2191</v>
      </c>
      <c r="P25" s="102">
        <v>31351</v>
      </c>
      <c r="Q25" s="102">
        <v>1762</v>
      </c>
      <c r="R25" s="102">
        <v>275</v>
      </c>
    </row>
    <row r="26" spans="1:22" x14ac:dyDescent="0.25">
      <c r="A26" s="52">
        <v>44736</v>
      </c>
      <c r="B26" s="32">
        <v>1931</v>
      </c>
      <c r="C26" s="54">
        <v>2431</v>
      </c>
      <c r="D26" s="102">
        <v>271366</v>
      </c>
      <c r="E26" s="102">
        <v>272137</v>
      </c>
      <c r="F26" s="102">
        <v>97198</v>
      </c>
      <c r="G26" s="102">
        <v>120155</v>
      </c>
      <c r="H26" s="102">
        <v>62098</v>
      </c>
      <c r="I26" s="102">
        <v>76062</v>
      </c>
      <c r="J26" s="102">
        <v>22941</v>
      </c>
      <c r="K26" s="102">
        <v>1024</v>
      </c>
      <c r="L26" s="102">
        <v>18952</v>
      </c>
      <c r="M26" s="102">
        <v>27667</v>
      </c>
      <c r="N26" s="102">
        <v>8662</v>
      </c>
      <c r="O26" s="102">
        <v>2192</v>
      </c>
      <c r="P26" s="102">
        <v>31361</v>
      </c>
      <c r="Q26" s="102">
        <v>1764</v>
      </c>
      <c r="R26" s="102">
        <v>278</v>
      </c>
    </row>
    <row r="27" spans="1:22" x14ac:dyDescent="0.25">
      <c r="A27" s="52">
        <v>44737</v>
      </c>
      <c r="B27" s="32">
        <v>2046</v>
      </c>
      <c r="C27" s="32">
        <v>2581</v>
      </c>
      <c r="D27" s="102">
        <v>271470</v>
      </c>
      <c r="E27" s="102">
        <v>272202</v>
      </c>
      <c r="F27" s="102">
        <v>67199</v>
      </c>
      <c r="G27" s="102">
        <v>120179</v>
      </c>
      <c r="H27" s="102">
        <v>62099</v>
      </c>
      <c r="I27" s="102">
        <v>76092</v>
      </c>
      <c r="J27" s="102">
        <v>22946</v>
      </c>
      <c r="K27" s="102">
        <v>1024</v>
      </c>
      <c r="L27" s="102">
        <v>18956</v>
      </c>
      <c r="M27" s="102">
        <v>27672</v>
      </c>
      <c r="N27" s="102">
        <v>8663</v>
      </c>
      <c r="O27" s="102">
        <v>2194</v>
      </c>
      <c r="P27" s="102">
        <v>31365</v>
      </c>
      <c r="Q27" s="102">
        <v>1764</v>
      </c>
      <c r="R27" s="102">
        <v>281</v>
      </c>
    </row>
    <row r="28" spans="1:22" x14ac:dyDescent="0.25">
      <c r="A28" s="52">
        <v>44738</v>
      </c>
      <c r="B28" s="32">
        <v>2171</v>
      </c>
      <c r="C28" s="54">
        <v>2757</v>
      </c>
      <c r="D28" s="102">
        <v>271628</v>
      </c>
      <c r="E28" s="102">
        <v>272270</v>
      </c>
      <c r="F28" s="102">
        <v>67199</v>
      </c>
      <c r="G28" s="102">
        <v>120198</v>
      </c>
      <c r="H28" s="102">
        <v>62099</v>
      </c>
      <c r="I28" s="102">
        <v>76108</v>
      </c>
      <c r="J28" s="102">
        <v>22951</v>
      </c>
      <c r="K28" s="102">
        <v>1024</v>
      </c>
      <c r="L28" s="102">
        <v>18961</v>
      </c>
      <c r="M28" s="102">
        <v>27677</v>
      </c>
      <c r="N28" s="102">
        <v>8664</v>
      </c>
      <c r="O28" s="102">
        <v>2196</v>
      </c>
      <c r="P28" s="102">
        <v>31365</v>
      </c>
      <c r="Q28" s="102">
        <v>1764</v>
      </c>
      <c r="R28" s="102">
        <v>286</v>
      </c>
    </row>
    <row r="29" spans="1:22" x14ac:dyDescent="0.25">
      <c r="A29" s="52">
        <v>44739</v>
      </c>
      <c r="B29" s="32">
        <v>2298</v>
      </c>
      <c r="C29" s="32">
        <v>2934</v>
      </c>
      <c r="D29" s="102">
        <v>271744</v>
      </c>
      <c r="E29" s="102">
        <v>272337</v>
      </c>
      <c r="F29" s="102">
        <v>67201</v>
      </c>
      <c r="G29" s="102">
        <v>120216</v>
      </c>
      <c r="H29" s="102">
        <v>62099</v>
      </c>
      <c r="I29" s="103">
        <v>76170</v>
      </c>
      <c r="J29" s="102">
        <v>22956</v>
      </c>
      <c r="K29" s="102">
        <v>1024</v>
      </c>
      <c r="L29" s="102">
        <v>18964</v>
      </c>
      <c r="M29" s="102">
        <v>27685</v>
      </c>
      <c r="N29" s="102">
        <v>8664</v>
      </c>
      <c r="O29" s="102">
        <v>2198</v>
      </c>
      <c r="P29" s="102">
        <v>31402</v>
      </c>
      <c r="Q29" s="102">
        <v>1764</v>
      </c>
      <c r="R29" s="102">
        <v>289</v>
      </c>
    </row>
    <row r="30" spans="1:22" x14ac:dyDescent="0.25">
      <c r="A30" s="52">
        <v>44740</v>
      </c>
      <c r="B30" s="32">
        <v>2417</v>
      </c>
      <c r="C30" s="54">
        <v>3095</v>
      </c>
      <c r="D30" s="102">
        <v>271877</v>
      </c>
      <c r="E30" s="102">
        <v>272398</v>
      </c>
      <c r="F30" s="102">
        <v>67201</v>
      </c>
      <c r="G30" s="102">
        <v>120236</v>
      </c>
      <c r="H30" s="102">
        <v>62099</v>
      </c>
      <c r="I30" s="102">
        <v>76186</v>
      </c>
      <c r="J30" s="102">
        <v>22961</v>
      </c>
      <c r="K30" s="102">
        <v>1024</v>
      </c>
      <c r="L30" s="102">
        <v>18968</v>
      </c>
      <c r="M30" s="102">
        <v>27690</v>
      </c>
      <c r="N30" s="102">
        <v>8666</v>
      </c>
      <c r="O30" s="102">
        <v>2199</v>
      </c>
      <c r="P30" s="102">
        <v>31402</v>
      </c>
      <c r="Q30" s="102">
        <v>1774</v>
      </c>
      <c r="R30" s="102">
        <v>294</v>
      </c>
    </row>
    <row r="31" spans="1:22" x14ac:dyDescent="0.25">
      <c r="A31" s="52">
        <v>44741</v>
      </c>
      <c r="B31" s="32">
        <v>2551</v>
      </c>
      <c r="C31" s="32">
        <v>3276</v>
      </c>
      <c r="D31" s="53">
        <v>272032</v>
      </c>
      <c r="E31" s="10">
        <v>272464</v>
      </c>
      <c r="F31" s="53">
        <v>67201</v>
      </c>
      <c r="G31" s="53">
        <v>120252</v>
      </c>
      <c r="H31" s="32">
        <v>62099</v>
      </c>
      <c r="I31" s="53">
        <v>76219</v>
      </c>
      <c r="J31" s="10">
        <v>22966</v>
      </c>
      <c r="K31" s="102">
        <v>1024</v>
      </c>
      <c r="L31" s="53">
        <v>18971</v>
      </c>
      <c r="M31" s="53">
        <v>27696</v>
      </c>
      <c r="N31" s="53">
        <v>8667</v>
      </c>
      <c r="O31" s="53">
        <v>2200</v>
      </c>
      <c r="P31" s="53">
        <v>31417</v>
      </c>
      <c r="Q31" s="53">
        <v>1774</v>
      </c>
      <c r="R31" s="53">
        <v>298</v>
      </c>
      <c r="S31" s="55"/>
      <c r="T31" s="55"/>
      <c r="U31" s="55"/>
      <c r="V31" s="55"/>
    </row>
    <row r="32" spans="1:22" x14ac:dyDescent="0.25">
      <c r="A32" s="52">
        <v>44742</v>
      </c>
      <c r="B32" s="32">
        <v>2678</v>
      </c>
      <c r="C32" s="54">
        <v>3443</v>
      </c>
      <c r="D32" s="53">
        <v>272182</v>
      </c>
      <c r="E32" s="53">
        <v>272531</v>
      </c>
      <c r="F32" s="53">
        <v>67203</v>
      </c>
      <c r="G32" s="53">
        <v>120272</v>
      </c>
      <c r="H32" s="54">
        <v>62099</v>
      </c>
      <c r="I32" s="32">
        <v>76230</v>
      </c>
      <c r="J32" s="53">
        <v>22971</v>
      </c>
      <c r="K32" s="102">
        <v>1024</v>
      </c>
      <c r="L32" s="53">
        <v>18975</v>
      </c>
      <c r="M32" s="53">
        <v>27702</v>
      </c>
      <c r="N32" s="53">
        <v>8669</v>
      </c>
      <c r="O32" s="53">
        <v>2201</v>
      </c>
      <c r="P32" s="53">
        <v>31417</v>
      </c>
      <c r="Q32" s="53">
        <v>1778</v>
      </c>
      <c r="R32" s="53">
        <v>301</v>
      </c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90" zoomScaleNormal="90" workbookViewId="0">
      <pane ySplit="3" topLeftCell="A13" activePane="bottomLeft" state="frozen"/>
      <selection activeCell="C25" sqref="C25"/>
      <selection pane="bottomLeft" activeCell="I24" sqref="I2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5"/>
      <c r="G2" s="156" t="s">
        <v>111</v>
      </c>
      <c r="H2" s="155"/>
      <c r="I2" s="156" t="s">
        <v>109</v>
      </c>
      <c r="J2" s="155"/>
      <c r="K2" s="156" t="s">
        <v>110</v>
      </c>
      <c r="L2" s="155"/>
      <c r="M2" s="156" t="s">
        <v>106</v>
      </c>
      <c r="N2" s="155"/>
      <c r="O2" s="156" t="s">
        <v>105</v>
      </c>
      <c r="P2" s="155"/>
      <c r="Q2" s="156" t="s">
        <v>112</v>
      </c>
      <c r="R2" s="155"/>
      <c r="S2" s="156" t="s">
        <v>113</v>
      </c>
      <c r="T2" s="155"/>
      <c r="U2" s="156" t="s">
        <v>114</v>
      </c>
      <c r="V2" s="155"/>
      <c r="W2" s="156" t="s">
        <v>98</v>
      </c>
      <c r="X2" s="157"/>
      <c r="Y2" s="158" t="s">
        <v>51</v>
      </c>
      <c r="Z2" s="158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15</v>
      </c>
      <c r="L4" s="66">
        <f>K4/C4</f>
        <v>8.0645161290322578E-2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284</v>
      </c>
      <c r="Z4" s="65">
        <f t="shared" ref="Z4:Z35" si="1">Y4/B4</f>
        <v>0.87116564417177911</v>
      </c>
    </row>
    <row r="5" spans="1:26" x14ac:dyDescent="0.25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25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25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25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289</v>
      </c>
      <c r="Z8" s="65">
        <f t="shared" si="1"/>
        <v>0.99312714776632305</v>
      </c>
    </row>
    <row r="9" spans="1:26" x14ac:dyDescent="0.25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63</v>
      </c>
      <c r="T9" s="93">
        <f t="shared" si="10"/>
        <v>0.3888888888888889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275</v>
      </c>
      <c r="Z9" s="65">
        <f t="shared" si="1"/>
        <v>0.86477987421383651</v>
      </c>
    </row>
    <row r="10" spans="1:26" x14ac:dyDescent="0.25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62</v>
      </c>
      <c r="T10" s="93">
        <f t="shared" si="10"/>
        <v>0.44285714285714284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264</v>
      </c>
      <c r="Z10" s="65">
        <f t="shared" si="1"/>
        <v>0.6550868486352357</v>
      </c>
    </row>
    <row r="11" spans="1:26" x14ac:dyDescent="0.25">
      <c r="A11" s="8">
        <f>'Water Reading'!A10</f>
        <v>44720</v>
      </c>
      <c r="B11" s="63">
        <f>TOTAL!I9</f>
        <v>218</v>
      </c>
      <c r="C11" s="64">
        <f>('Water Reading'!B11-'Water Reading'!B10)+('Water Reading'!C11-'Water Reading'!C10)</f>
        <v>132</v>
      </c>
      <c r="D11" s="65">
        <f t="shared" si="2"/>
        <v>0.60550458715596334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130</v>
      </c>
      <c r="H11" s="84">
        <f t="shared" si="4"/>
        <v>0.98484848484848486</v>
      </c>
      <c r="I11" s="85">
        <f>'Water Reading'!P11-'Water Reading'!P10</f>
        <v>18</v>
      </c>
      <c r="J11" s="66">
        <f t="shared" si="5"/>
        <v>0.13636363636363635</v>
      </c>
      <c r="K11" s="86">
        <f>('Water Reading'!I11-'Water Reading'!I10)-('Water Reading'!P11-'Water Reading'!P10)</f>
        <v>20</v>
      </c>
      <c r="L11" s="66">
        <f t="shared" si="6"/>
        <v>0.15151515151515152</v>
      </c>
      <c r="M11" s="85">
        <f>'Water Reading'!R11-'Water Reading'!R10</f>
        <v>4</v>
      </c>
      <c r="N11" s="87">
        <f t="shared" si="7"/>
        <v>3.0303030303030304E-2</v>
      </c>
      <c r="O11" s="85">
        <f>'Water Reading'!Q11-'Water Reading'!Q10</f>
        <v>3</v>
      </c>
      <c r="P11" s="92">
        <f t="shared" si="8"/>
        <v>2.2727272727272728E-2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68</v>
      </c>
      <c r="T11" s="93">
        <f t="shared" si="10"/>
        <v>0.51515151515151514</v>
      </c>
      <c r="U11" s="85">
        <f>'Water Reading'!G11-'Water Reading'!G10</f>
        <v>17</v>
      </c>
      <c r="V11" s="93">
        <f t="shared" si="11"/>
        <v>0.12878787878787878</v>
      </c>
      <c r="W11" s="86">
        <f>'Water Reading'!J11-'Water Reading'!J10</f>
        <v>6</v>
      </c>
      <c r="X11" s="93">
        <f t="shared" si="12"/>
        <v>4.5454545454545456E-2</v>
      </c>
      <c r="Y11" s="64">
        <f t="shared" si="0"/>
        <v>266</v>
      </c>
      <c r="Z11" s="65">
        <f t="shared" si="1"/>
        <v>1.2201834862385321</v>
      </c>
    </row>
    <row r="12" spans="1:26" x14ac:dyDescent="0.25">
      <c r="A12" s="8">
        <f>'Water Reading'!A11</f>
        <v>44721</v>
      </c>
      <c r="B12" s="63">
        <f>TOTAL!I10</f>
        <v>277</v>
      </c>
      <c r="C12" s="64">
        <f>('Water Reading'!B12-'Water Reading'!B11)+('Water Reading'!C12-'Water Reading'!C11)</f>
        <v>123</v>
      </c>
      <c r="D12" s="65">
        <f t="shared" si="2"/>
        <v>0.44404332129963897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110</v>
      </c>
      <c r="H12" s="84">
        <f t="shared" si="4"/>
        <v>0.89430894308943087</v>
      </c>
      <c r="I12" s="85">
        <f>'Water Reading'!P12-'Water Reading'!P11</f>
        <v>16</v>
      </c>
      <c r="J12" s="66">
        <f t="shared" si="5"/>
        <v>0.13008130081300814</v>
      </c>
      <c r="K12" s="86">
        <f>('Water Reading'!I12-'Water Reading'!I11)-('Water Reading'!P12-'Water Reading'!P11)</f>
        <v>26</v>
      </c>
      <c r="L12" s="66">
        <f t="shared" si="6"/>
        <v>0.21138211382113822</v>
      </c>
      <c r="M12" s="85">
        <f>'Water Reading'!R12-'Water Reading'!R11</f>
        <v>5</v>
      </c>
      <c r="N12" s="87">
        <f t="shared" si="7"/>
        <v>4.065040650406504E-2</v>
      </c>
      <c r="O12" s="85">
        <f>'Water Reading'!Q12-'Water Reading'!Q11</f>
        <v>1</v>
      </c>
      <c r="P12" s="92">
        <f t="shared" si="8"/>
        <v>8.130081300813009E-3</v>
      </c>
      <c r="Q12" s="86">
        <f>'Water Reading'!F12-'Water Reading'!F11</f>
        <v>1</v>
      </c>
      <c r="R12" s="93">
        <f t="shared" si="9"/>
        <v>8.130081300813009E-3</v>
      </c>
      <c r="S12" s="85">
        <f>'Water Reading'!E12-'Water Reading'!E11</f>
        <v>67</v>
      </c>
      <c r="T12" s="93">
        <f t="shared" si="10"/>
        <v>0.54471544715447151</v>
      </c>
      <c r="U12" s="85">
        <f>'Water Reading'!G12-'Water Reading'!G11</f>
        <v>21</v>
      </c>
      <c r="V12" s="93">
        <f t="shared" si="11"/>
        <v>0.17073170731707318</v>
      </c>
      <c r="W12" s="86">
        <f>'Water Reading'!J12-'Water Reading'!J11</f>
        <v>5</v>
      </c>
      <c r="X12" s="93">
        <f t="shared" si="12"/>
        <v>4.065040650406504E-2</v>
      </c>
      <c r="Y12" s="64">
        <f t="shared" si="0"/>
        <v>252</v>
      </c>
      <c r="Z12" s="65">
        <f t="shared" si="1"/>
        <v>0.90974729241877261</v>
      </c>
    </row>
    <row r="13" spans="1:26" x14ac:dyDescent="0.25">
      <c r="A13" s="8">
        <f>'Water Reading'!A12</f>
        <v>44722</v>
      </c>
      <c r="B13" s="63">
        <f>TOTAL!I11</f>
        <v>333</v>
      </c>
      <c r="C13" s="64">
        <v>150</v>
      </c>
      <c r="D13" s="65">
        <f t="shared" si="2"/>
        <v>0.45045045045045046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222</v>
      </c>
      <c r="H13" s="84">
        <f t="shared" si="4"/>
        <v>1.48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19</v>
      </c>
      <c r="L13" s="66">
        <f t="shared" si="6"/>
        <v>0.12666666666666668</v>
      </c>
      <c r="M13" s="85">
        <f>'Water Reading'!R13-'Water Reading'!R12</f>
        <v>2</v>
      </c>
      <c r="N13" s="87">
        <f t="shared" si="7"/>
        <v>1.3333333333333334E-2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1</v>
      </c>
      <c r="R13" s="93">
        <f t="shared" si="9"/>
        <v>6.6666666666666671E-3</v>
      </c>
      <c r="S13" s="85">
        <f>'Water Reading'!E13-'Water Reading'!E12</f>
        <v>62</v>
      </c>
      <c r="T13" s="93">
        <f t="shared" si="10"/>
        <v>0.41333333333333333</v>
      </c>
      <c r="U13" s="85">
        <f>'Water Reading'!G13-'Water Reading'!G12</f>
        <v>18</v>
      </c>
      <c r="V13" s="93">
        <f t="shared" si="11"/>
        <v>0.12</v>
      </c>
      <c r="W13" s="86">
        <f>'Water Reading'!J13-'Water Reading'!J12</f>
        <v>6</v>
      </c>
      <c r="X13" s="93">
        <f t="shared" si="12"/>
        <v>0.04</v>
      </c>
      <c r="Y13" s="64">
        <f t="shared" si="0"/>
        <v>330</v>
      </c>
      <c r="Z13" s="65">
        <f t="shared" si="1"/>
        <v>0.99099099099099097</v>
      </c>
    </row>
    <row r="14" spans="1:26" x14ac:dyDescent="0.25">
      <c r="A14" s="8">
        <f>'Water Reading'!A13</f>
        <v>44723</v>
      </c>
      <c r="B14" s="63">
        <f>TOTAL!I12</f>
        <v>281</v>
      </c>
      <c r="C14" s="64">
        <f>('Water Reading'!B14-'Water Reading'!B13)+('Water Reading'!C14-'Water Reading'!C13)</f>
        <v>284.39999999999998</v>
      </c>
      <c r="D14" s="65">
        <f t="shared" si="2"/>
        <v>1.0120996441281138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101</v>
      </c>
      <c r="H14" s="84">
        <f t="shared" si="4"/>
        <v>0.35513361462728554</v>
      </c>
      <c r="I14" s="85">
        <f>'Water Reading'!P14-'Water Reading'!P13</f>
        <v>3</v>
      </c>
      <c r="J14" s="66">
        <f t="shared" si="5"/>
        <v>1.0548523206751056E-2</v>
      </c>
      <c r="K14" s="86">
        <f>('Water Reading'!I14-'Water Reading'!I13)-('Water Reading'!P14-'Water Reading'!P13)</f>
        <v>22</v>
      </c>
      <c r="L14" s="66">
        <f t="shared" si="6"/>
        <v>7.7355836849507739E-2</v>
      </c>
      <c r="M14" s="85">
        <f>'Water Reading'!R14-'Water Reading'!R13</f>
        <v>5</v>
      </c>
      <c r="N14" s="87">
        <f t="shared" si="7"/>
        <v>1.7580872011251761E-2</v>
      </c>
      <c r="O14" s="85">
        <f>'Water Reading'!Q14-'Water Reading'!Q13</f>
        <v>7</v>
      </c>
      <c r="P14" s="92">
        <f t="shared" si="8"/>
        <v>2.4613220815752464E-2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66</v>
      </c>
      <c r="T14" s="93">
        <f t="shared" si="10"/>
        <v>0.23206751054852323</v>
      </c>
      <c r="U14" s="85">
        <f>'Water Reading'!G14-'Water Reading'!G13</f>
        <v>26</v>
      </c>
      <c r="V14" s="93">
        <f t="shared" si="11"/>
        <v>9.1420534458509145E-2</v>
      </c>
      <c r="W14" s="86">
        <f>'Water Reading'!J14-'Water Reading'!J13</f>
        <v>5</v>
      </c>
      <c r="X14" s="93">
        <f t="shared" si="12"/>
        <v>1.7580872011251761E-2</v>
      </c>
      <c r="Y14" s="64">
        <f t="shared" si="0"/>
        <v>235</v>
      </c>
      <c r="Z14" s="65">
        <f t="shared" si="1"/>
        <v>0.83629893238434161</v>
      </c>
    </row>
    <row r="15" spans="1:26" x14ac:dyDescent="0.25">
      <c r="A15" s="8">
        <f>'Water Reading'!A14</f>
        <v>44724</v>
      </c>
      <c r="B15" s="63">
        <f>TOTAL!I13</f>
        <v>338</v>
      </c>
      <c r="C15" s="64">
        <f>('Water Reading'!B15-'Water Reading'!B14)+('Water Reading'!C15-'Water Reading'!C14)</f>
        <v>383.3</v>
      </c>
      <c r="D15" s="65">
        <f t="shared" si="2"/>
        <v>1.1340236686390532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170</v>
      </c>
      <c r="H15" s="84">
        <f t="shared" si="4"/>
        <v>0.44351682755022176</v>
      </c>
      <c r="I15" s="85">
        <f>'Water Reading'!P15-'Water Reading'!P14</f>
        <v>24</v>
      </c>
      <c r="J15" s="66">
        <f t="shared" si="5"/>
        <v>6.2614140360031309E-2</v>
      </c>
      <c r="K15" s="86">
        <f>('Water Reading'!I15-'Water Reading'!I14)-('Water Reading'!P15-'Water Reading'!P14)</f>
        <v>25</v>
      </c>
      <c r="L15" s="66">
        <f t="shared" si="6"/>
        <v>6.5223062875032614E-2</v>
      </c>
      <c r="M15" s="85">
        <f>'Water Reading'!R15-'Water Reading'!R14</f>
        <v>5</v>
      </c>
      <c r="N15" s="87">
        <f t="shared" si="7"/>
        <v>1.3044612575006522E-2</v>
      </c>
      <c r="O15" s="85">
        <f>'Water Reading'!Q15-'Water Reading'!Q14</f>
        <v>2</v>
      </c>
      <c r="P15" s="92">
        <f t="shared" si="8"/>
        <v>5.2178450300026085E-3</v>
      </c>
      <c r="Q15" s="86">
        <f>'Water Reading'!F15-'Water Reading'!F14</f>
        <v>1</v>
      </c>
      <c r="R15" s="93">
        <f t="shared" si="9"/>
        <v>2.6089225150013043E-3</v>
      </c>
      <c r="S15" s="85">
        <f>'Water Reading'!E15-'Water Reading'!E14</f>
        <v>63</v>
      </c>
      <c r="T15" s="93">
        <f t="shared" si="10"/>
        <v>0.16436211844508217</v>
      </c>
      <c r="U15" s="85">
        <f>'Water Reading'!G15-'Water Reading'!G14</f>
        <v>24</v>
      </c>
      <c r="V15" s="93">
        <f t="shared" si="11"/>
        <v>6.2614140360031309E-2</v>
      </c>
      <c r="W15" s="86">
        <f>'Water Reading'!J15-'Water Reading'!J14</f>
        <v>5</v>
      </c>
      <c r="X15" s="93">
        <f t="shared" si="12"/>
        <v>1.3044612575006522E-2</v>
      </c>
      <c r="Y15" s="64">
        <f t="shared" si="0"/>
        <v>319</v>
      </c>
      <c r="Z15" s="65">
        <f t="shared" si="1"/>
        <v>0.94378698224852076</v>
      </c>
    </row>
    <row r="16" spans="1:26" x14ac:dyDescent="0.25">
      <c r="A16" s="8">
        <f>'Water Reading'!A15</f>
        <v>44725</v>
      </c>
      <c r="B16" s="63">
        <f>TOTAL!I14</f>
        <v>334</v>
      </c>
      <c r="C16" s="64">
        <f>('Water Reading'!B16-'Water Reading'!B15)+('Water Reading'!C16-'Water Reading'!C15)</f>
        <v>302.7</v>
      </c>
      <c r="D16" s="65">
        <f t="shared" si="2"/>
        <v>0.90628742514970051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117</v>
      </c>
      <c r="H16" s="84">
        <f t="shared" si="4"/>
        <v>0.38652130822596631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31</v>
      </c>
      <c r="L16" s="66">
        <f t="shared" si="6"/>
        <v>0.10241162867525604</v>
      </c>
      <c r="M16" s="85">
        <f>'Water Reading'!R16-'Water Reading'!R15</f>
        <v>4</v>
      </c>
      <c r="N16" s="87">
        <f t="shared" si="7"/>
        <v>1.3214403700033036E-2</v>
      </c>
      <c r="O16" s="85">
        <f>'Water Reading'!Q16-'Water Reading'!Q15</f>
        <v>4</v>
      </c>
      <c r="P16" s="92">
        <f t="shared" si="8"/>
        <v>1.3214403700033036E-2</v>
      </c>
      <c r="Q16" s="86">
        <f>'Water Reading'!F16-'Water Reading'!F15</f>
        <v>1</v>
      </c>
      <c r="R16" s="93">
        <f t="shared" si="9"/>
        <v>3.3036009250082591E-3</v>
      </c>
      <c r="S16" s="85">
        <f>'Water Reading'!E16-'Water Reading'!E15</f>
        <v>70</v>
      </c>
      <c r="T16" s="93">
        <f t="shared" si="10"/>
        <v>0.23125206475057813</v>
      </c>
      <c r="U16" s="85">
        <f>'Water Reading'!G16-'Water Reading'!G15</f>
        <v>25</v>
      </c>
      <c r="V16" s="93">
        <f t="shared" si="11"/>
        <v>8.2590023125206483E-2</v>
      </c>
      <c r="W16" s="86">
        <f>'Water Reading'!J16-'Water Reading'!J15</f>
        <v>6</v>
      </c>
      <c r="X16" s="93">
        <f t="shared" si="12"/>
        <v>1.9821605550049554E-2</v>
      </c>
      <c r="Y16" s="64">
        <f t="shared" si="0"/>
        <v>258</v>
      </c>
      <c r="Z16" s="65">
        <f t="shared" si="1"/>
        <v>0.77245508982035926</v>
      </c>
    </row>
    <row r="17" spans="1:26" x14ac:dyDescent="0.25">
      <c r="A17" s="8">
        <f>'Water Reading'!A16</f>
        <v>44726</v>
      </c>
      <c r="B17" s="63">
        <f>TOTAL!I15</f>
        <v>306</v>
      </c>
      <c r="C17" s="64">
        <f>('Water Reading'!B17-'Water Reading'!B16)+('Water Reading'!C17-'Water Reading'!C16)</f>
        <v>395</v>
      </c>
      <c r="D17" s="65">
        <f t="shared" si="2"/>
        <v>1.2908496732026145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132</v>
      </c>
      <c r="H17" s="84">
        <f t="shared" si="4"/>
        <v>0.33417721518987342</v>
      </c>
      <c r="I17" s="85">
        <f>'Water Reading'!P17-'Water Reading'!P16</f>
        <v>31</v>
      </c>
      <c r="J17" s="66">
        <f t="shared" si="5"/>
        <v>7.848101265822785E-2</v>
      </c>
      <c r="K17" s="86">
        <f>('Water Reading'!I17-'Water Reading'!I16)-('Water Reading'!P17-'Water Reading'!P16)</f>
        <v>28</v>
      </c>
      <c r="L17" s="66">
        <f t="shared" si="6"/>
        <v>7.0886075949367092E-2</v>
      </c>
      <c r="M17" s="85">
        <f>'Water Reading'!R17-'Water Reading'!R16</f>
        <v>5</v>
      </c>
      <c r="N17" s="87">
        <f t="shared" si="7"/>
        <v>1.2658227848101266E-2</v>
      </c>
      <c r="O17" s="85">
        <f>'Water Reading'!Q17-'Water Reading'!Q16</f>
        <v>2</v>
      </c>
      <c r="P17" s="92">
        <f t="shared" si="8"/>
        <v>5.0632911392405064E-3</v>
      </c>
      <c r="Q17" s="86">
        <f>'Water Reading'!F17-'Water Reading'!F16</f>
        <v>1</v>
      </c>
      <c r="R17" s="93">
        <f t="shared" si="9"/>
        <v>2.5316455696202532E-3</v>
      </c>
      <c r="S17" s="85">
        <f>'Water Reading'!E17-'Water Reading'!E16</f>
        <v>67</v>
      </c>
      <c r="T17" s="93">
        <f t="shared" si="10"/>
        <v>0.16962025316455695</v>
      </c>
      <c r="U17" s="85">
        <f>'Water Reading'!G17-'Water Reading'!G16</f>
        <v>20</v>
      </c>
      <c r="V17" s="93">
        <f t="shared" si="11"/>
        <v>5.0632911392405063E-2</v>
      </c>
      <c r="W17" s="86">
        <f>'Water Reading'!J17-'Water Reading'!J16</f>
        <v>6</v>
      </c>
      <c r="X17" s="93">
        <f t="shared" si="12"/>
        <v>1.5189873417721518E-2</v>
      </c>
      <c r="Y17" s="64">
        <f t="shared" si="0"/>
        <v>292</v>
      </c>
      <c r="Z17" s="65">
        <f t="shared" si="1"/>
        <v>0.95424836601307195</v>
      </c>
    </row>
    <row r="18" spans="1:26" x14ac:dyDescent="0.25">
      <c r="A18" s="8">
        <f>'Water Reading'!A17</f>
        <v>44727</v>
      </c>
      <c r="B18" s="63">
        <f>TOTAL!I16</f>
        <v>354</v>
      </c>
      <c r="C18" s="64">
        <f>('Water Reading'!B18-'Water Reading'!B17)+('Water Reading'!C18-'Water Reading'!C17)</f>
        <v>340</v>
      </c>
      <c r="D18" s="65">
        <f t="shared" si="2"/>
        <v>0.96045197740112997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171</v>
      </c>
      <c r="H18" s="84">
        <f t="shared" si="4"/>
        <v>0.50294117647058822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0.05</v>
      </c>
      <c r="M18" s="85">
        <f>'Water Reading'!R18-'Water Reading'!R17</f>
        <v>2</v>
      </c>
      <c r="N18" s="87">
        <f t="shared" si="7"/>
        <v>5.8823529411764705E-3</v>
      </c>
      <c r="O18" s="85">
        <f>'Water Reading'!Q18-'Water Reading'!Q17</f>
        <v>1</v>
      </c>
      <c r="P18" s="92">
        <f t="shared" si="8"/>
        <v>2.9411764705882353E-3</v>
      </c>
      <c r="Q18" s="86">
        <f>'Water Reading'!F18-'Water Reading'!F17</f>
        <v>1</v>
      </c>
      <c r="R18" s="93">
        <f t="shared" si="9"/>
        <v>2.9411764705882353E-3</v>
      </c>
      <c r="S18" s="85">
        <f>'Water Reading'!E18-'Water Reading'!E17</f>
        <v>78</v>
      </c>
      <c r="T18" s="93">
        <f t="shared" si="10"/>
        <v>0.22941176470588234</v>
      </c>
      <c r="U18" s="85">
        <f>'Water Reading'!G18-'Water Reading'!G17</f>
        <v>22</v>
      </c>
      <c r="V18" s="93">
        <f t="shared" si="11"/>
        <v>6.4705882352941183E-2</v>
      </c>
      <c r="W18" s="86">
        <f>'Water Reading'!J18-'Water Reading'!J17</f>
        <v>4</v>
      </c>
      <c r="X18" s="93">
        <f t="shared" si="12"/>
        <v>1.1764705882352941E-2</v>
      </c>
      <c r="Y18" s="64">
        <f t="shared" si="0"/>
        <v>296</v>
      </c>
      <c r="Z18" s="65">
        <f t="shared" si="1"/>
        <v>0.83615819209039544</v>
      </c>
    </row>
    <row r="19" spans="1:26" x14ac:dyDescent="0.25">
      <c r="A19" s="8">
        <f>'Water Reading'!A18</f>
        <v>44728</v>
      </c>
      <c r="B19" s="63">
        <f>TOTAL!I17</f>
        <v>297</v>
      </c>
      <c r="C19" s="64">
        <f>('Water Reading'!B19-'Water Reading'!B18)+('Water Reading'!C19-'Water Reading'!C18)</f>
        <v>340</v>
      </c>
      <c r="D19" s="65">
        <f t="shared" si="2"/>
        <v>1.1447811447811447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127</v>
      </c>
      <c r="H19" s="84">
        <f t="shared" si="4"/>
        <v>0.37352941176470589</v>
      </c>
      <c r="I19" s="85">
        <f>'Water Reading'!P19-'Water Reading'!P18</f>
        <v>28</v>
      </c>
      <c r="J19" s="66">
        <f t="shared" si="5"/>
        <v>8.2352941176470587E-2</v>
      </c>
      <c r="K19" s="86">
        <f>('Water Reading'!I19-'Water Reading'!I18)-('Water Reading'!P19-'Water Reading'!P18)</f>
        <v>23</v>
      </c>
      <c r="L19" s="66">
        <f t="shared" si="6"/>
        <v>6.7647058823529407E-2</v>
      </c>
      <c r="M19" s="85">
        <f>'Water Reading'!R19-'Water Reading'!R18</f>
        <v>6</v>
      </c>
      <c r="N19" s="87">
        <f t="shared" si="7"/>
        <v>1.7647058823529412E-2</v>
      </c>
      <c r="O19" s="85">
        <f>'Water Reading'!Q19-'Water Reading'!Q18</f>
        <v>1</v>
      </c>
      <c r="P19" s="92">
        <f t="shared" si="8"/>
        <v>2.9411764705882353E-3</v>
      </c>
      <c r="Q19" s="86">
        <f>'Water Reading'!F19-'Water Reading'!F18</f>
        <v>0</v>
      </c>
      <c r="R19" s="93">
        <f t="shared" si="9"/>
        <v>0</v>
      </c>
      <c r="S19" s="85">
        <f>'Water Reading'!E19-'Water Reading'!E18</f>
        <v>86</v>
      </c>
      <c r="T19" s="93">
        <f t="shared" si="10"/>
        <v>0.25294117647058822</v>
      </c>
      <c r="U19" s="85">
        <f>'Water Reading'!G19-'Water Reading'!G18</f>
        <v>19</v>
      </c>
      <c r="V19" s="93">
        <f t="shared" si="11"/>
        <v>5.5882352941176473E-2</v>
      </c>
      <c r="W19" s="86">
        <f>'Water Reading'!J19-'Water Reading'!J18</f>
        <v>5</v>
      </c>
      <c r="X19" s="93">
        <f t="shared" si="12"/>
        <v>1.4705882352941176E-2</v>
      </c>
      <c r="Y19" s="64">
        <f t="shared" si="0"/>
        <v>295</v>
      </c>
      <c r="Z19" s="65">
        <f t="shared" si="1"/>
        <v>0.9932659932659933</v>
      </c>
    </row>
    <row r="20" spans="1:26" x14ac:dyDescent="0.25">
      <c r="A20" s="8">
        <f>'Water Reading'!A19</f>
        <v>44729</v>
      </c>
      <c r="B20" s="63">
        <f>TOTAL!I18</f>
        <v>302</v>
      </c>
      <c r="C20" s="64">
        <f>('Water Reading'!B20-'Water Reading'!B19)+('Water Reading'!C20-'Water Reading'!C19)</f>
        <v>305</v>
      </c>
      <c r="D20" s="65">
        <f t="shared" si="2"/>
        <v>1.009933774834437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140</v>
      </c>
      <c r="H20" s="84">
        <f t="shared" si="4"/>
        <v>0.45901639344262296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17</v>
      </c>
      <c r="L20" s="66">
        <f t="shared" si="6"/>
        <v>5.5737704918032788E-2</v>
      </c>
      <c r="M20" s="85">
        <f>'Water Reading'!R20-'Water Reading'!R19</f>
        <v>0</v>
      </c>
      <c r="N20" s="87">
        <f t="shared" si="7"/>
        <v>0</v>
      </c>
      <c r="O20" s="85">
        <f>'Water Reading'!Q20-'Water Reading'!Q19</f>
        <v>5</v>
      </c>
      <c r="P20" s="92">
        <f t="shared" si="8"/>
        <v>1.6393442622950821E-2</v>
      </c>
      <c r="Q20" s="86">
        <f>'Water Reading'!F20-'Water Reading'!F19</f>
        <v>2</v>
      </c>
      <c r="R20" s="93">
        <f t="shared" si="9"/>
        <v>6.5573770491803279E-3</v>
      </c>
      <c r="S20" s="85">
        <f>'Water Reading'!E20-'Water Reading'!E19</f>
        <v>78</v>
      </c>
      <c r="T20" s="93">
        <f t="shared" si="10"/>
        <v>0.25573770491803277</v>
      </c>
      <c r="U20" s="85">
        <f>'Water Reading'!G20-'Water Reading'!G19</f>
        <v>23</v>
      </c>
      <c r="V20" s="93">
        <f t="shared" si="11"/>
        <v>7.5409836065573776E-2</v>
      </c>
      <c r="W20" s="125">
        <f>'Water Reading'!J20-'Water Reading'!J19</f>
        <v>6</v>
      </c>
      <c r="X20" s="93">
        <f t="shared" si="12"/>
        <v>1.9672131147540985E-2</v>
      </c>
      <c r="Y20" s="64">
        <f t="shared" si="0"/>
        <v>271</v>
      </c>
      <c r="Z20" s="65">
        <f t="shared" si="1"/>
        <v>0.89735099337748347</v>
      </c>
    </row>
    <row r="21" spans="1:26" x14ac:dyDescent="0.25">
      <c r="A21" s="8">
        <f>'Water Reading'!A20</f>
        <v>44730</v>
      </c>
      <c r="B21" s="63">
        <f>TOTAL!I19</f>
        <v>285</v>
      </c>
      <c r="C21" s="64">
        <f>('Water Reading'!B21-'Water Reading'!B20)+('Water Reading'!C21-'Water Reading'!C20)</f>
        <v>261</v>
      </c>
      <c r="D21" s="65">
        <f t="shared" si="2"/>
        <v>0.91578947368421049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86</v>
      </c>
      <c r="H21" s="84">
        <f t="shared" si="4"/>
        <v>0.32950191570881227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19</v>
      </c>
      <c r="L21" s="66">
        <f t="shared" si="6"/>
        <v>7.2796934865900387E-2</v>
      </c>
      <c r="M21" s="85">
        <f>'Water Reading'!R21-'Water Reading'!R20</f>
        <v>6</v>
      </c>
      <c r="N21" s="87">
        <f t="shared" si="7"/>
        <v>2.2988505747126436E-2</v>
      </c>
      <c r="O21" s="85">
        <f>'Water Reading'!Q21-'Water Reading'!Q20</f>
        <v>1</v>
      </c>
      <c r="P21" s="92">
        <f t="shared" si="8"/>
        <v>3.8314176245210726E-3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65</v>
      </c>
      <c r="T21" s="93">
        <f t="shared" si="10"/>
        <v>0.24904214559386972</v>
      </c>
      <c r="U21" s="85">
        <f>'Water Reading'!G21-'Water Reading'!G20</f>
        <v>22</v>
      </c>
      <c r="V21" s="93">
        <f t="shared" si="11"/>
        <v>8.4291187739463605E-2</v>
      </c>
      <c r="W21" s="86">
        <f>'Water Reading'!J21-'Water Reading'!J20</f>
        <v>5</v>
      </c>
      <c r="X21" s="93">
        <f t="shared" si="12"/>
        <v>1.9157088122605363E-2</v>
      </c>
      <c r="Y21" s="64">
        <f t="shared" si="0"/>
        <v>204</v>
      </c>
      <c r="Z21" s="65">
        <f t="shared" si="1"/>
        <v>0.71578947368421053</v>
      </c>
    </row>
    <row r="22" spans="1:26" x14ac:dyDescent="0.25">
      <c r="A22" s="8">
        <f>'Water Reading'!A21</f>
        <v>44731</v>
      </c>
      <c r="B22" s="63">
        <f>TOTAL!I20</f>
        <v>245</v>
      </c>
      <c r="C22" s="64">
        <f>('Water Reading'!B22-'Water Reading'!B21)+('Water Reading'!C22-'Water Reading'!C21)</f>
        <v>290</v>
      </c>
      <c r="D22" s="65">
        <f t="shared" si="2"/>
        <v>1.1836734693877551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99</v>
      </c>
      <c r="H22" s="84">
        <f t="shared" si="4"/>
        <v>0.3413793103448276</v>
      </c>
      <c r="I22" s="88">
        <f>'Water Reading'!P22-'Water Reading'!P21</f>
        <v>-9990</v>
      </c>
      <c r="J22" s="66">
        <f t="shared" si="5"/>
        <v>-34.448275862068968</v>
      </c>
      <c r="K22" s="86">
        <f>('Water Reading'!I22-'Water Reading'!I21)-('Water Reading'!P22-'Water Reading'!P21)</f>
        <v>10034</v>
      </c>
      <c r="L22" s="66">
        <f t="shared" si="6"/>
        <v>34.6</v>
      </c>
      <c r="M22" s="85">
        <f>'Water Reading'!R22-'Water Reading'!R21</f>
        <v>3</v>
      </c>
      <c r="N22" s="87">
        <f t="shared" si="7"/>
        <v>1.0344827586206896E-2</v>
      </c>
      <c r="O22" s="85">
        <f>'Water Reading'!Q22-'Water Reading'!Q21</f>
        <v>0</v>
      </c>
      <c r="P22" s="92">
        <f t="shared" si="8"/>
        <v>0</v>
      </c>
      <c r="Q22" s="86">
        <f>'Water Reading'!F22-'Water Reading'!F21</f>
        <v>0</v>
      </c>
      <c r="R22" s="93">
        <f t="shared" si="9"/>
        <v>0</v>
      </c>
      <c r="S22" s="85">
        <f>'Water Reading'!E22-'Water Reading'!E21</f>
        <v>74</v>
      </c>
      <c r="T22" s="93">
        <f t="shared" si="10"/>
        <v>0.25517241379310346</v>
      </c>
      <c r="U22" s="85">
        <f>'Water Reading'!G22-'Water Reading'!G21</f>
        <v>23</v>
      </c>
      <c r="V22" s="93">
        <f t="shared" si="11"/>
        <v>7.9310344827586213E-2</v>
      </c>
      <c r="W22" s="86">
        <f>'Water Reading'!J22-'Water Reading'!J21</f>
        <v>5</v>
      </c>
      <c r="X22" s="93">
        <f t="shared" si="12"/>
        <v>1.7241379310344827E-2</v>
      </c>
      <c r="Y22" s="64">
        <f t="shared" si="0"/>
        <v>248</v>
      </c>
      <c r="Z22" s="65">
        <f t="shared" si="1"/>
        <v>1.0122448979591836</v>
      </c>
    </row>
    <row r="23" spans="1:26" x14ac:dyDescent="0.25">
      <c r="A23" s="8">
        <f>'Water Reading'!A22</f>
        <v>44732</v>
      </c>
      <c r="B23" s="63">
        <f>TOTAL!I21</f>
        <v>280</v>
      </c>
      <c r="C23" s="64">
        <f>('Water Reading'!B23-'Water Reading'!B22)+('Water Reading'!C23-'Water Reading'!C22)</f>
        <v>295</v>
      </c>
      <c r="D23" s="65">
        <f t="shared" si="2"/>
        <v>1.0535714285714286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128</v>
      </c>
      <c r="H23" s="84">
        <f t="shared" si="4"/>
        <v>0.43389830508474575</v>
      </c>
      <c r="I23" s="85">
        <f>'Water Reading'!P23-'Water Reading'!P22</f>
        <v>10010</v>
      </c>
      <c r="J23" s="66">
        <f t="shared" si="5"/>
        <v>33.932203389830505</v>
      </c>
      <c r="K23" s="86">
        <f>('Water Reading'!I23-'Water Reading'!I22)-('Water Reading'!P23-'Water Reading'!P22)</f>
        <v>-9997</v>
      </c>
      <c r="L23" s="66">
        <f t="shared" si="6"/>
        <v>-33.888135593220341</v>
      </c>
      <c r="M23" s="85">
        <f>'Water Reading'!R23-'Water Reading'!R22</f>
        <v>5</v>
      </c>
      <c r="N23" s="87">
        <f t="shared" si="7"/>
        <v>1.6949152542372881E-2</v>
      </c>
      <c r="O23" s="85">
        <f>'Water Reading'!Q23-'Water Reading'!Q22</f>
        <v>5</v>
      </c>
      <c r="P23" s="92">
        <f t="shared" si="8"/>
        <v>1.6949152542372881E-2</v>
      </c>
      <c r="Q23" s="86">
        <f>'Water Reading'!F23-'Water Reading'!F22</f>
        <v>1</v>
      </c>
      <c r="R23" s="93">
        <f t="shared" si="9"/>
        <v>3.3898305084745762E-3</v>
      </c>
      <c r="S23" s="85">
        <f>'Water Reading'!E23-'Water Reading'!E22</f>
        <v>75</v>
      </c>
      <c r="T23" s="93">
        <f t="shared" si="10"/>
        <v>0.25423728813559321</v>
      </c>
      <c r="U23" s="85">
        <f>'Water Reading'!G23-'Water Reading'!G22</f>
        <v>19</v>
      </c>
      <c r="V23" s="93">
        <f t="shared" si="11"/>
        <v>6.4406779661016947E-2</v>
      </c>
      <c r="W23" s="86">
        <f>'Water Reading'!J23-'Water Reading'!J22</f>
        <v>6</v>
      </c>
      <c r="X23" s="93">
        <f t="shared" si="12"/>
        <v>2.0338983050847456E-2</v>
      </c>
      <c r="Y23" s="64">
        <f t="shared" si="0"/>
        <v>252</v>
      </c>
      <c r="Z23" s="65">
        <f t="shared" si="1"/>
        <v>0.9</v>
      </c>
    </row>
    <row r="24" spans="1:26" x14ac:dyDescent="0.25">
      <c r="A24" s="8">
        <f>'Water Reading'!A23</f>
        <v>44733</v>
      </c>
      <c r="B24" s="63">
        <f>TOTAL!I22</f>
        <v>234</v>
      </c>
      <c r="C24" s="64">
        <f>('Water Reading'!B24-'Water Reading'!B23)+('Water Reading'!C24-'Water Reading'!C23)</f>
        <v>272</v>
      </c>
      <c r="D24" s="65">
        <f t="shared" si="2"/>
        <v>1.1623931623931625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99</v>
      </c>
      <c r="H24" s="84">
        <f t="shared" si="4"/>
        <v>0.3639705882352941</v>
      </c>
      <c r="I24" s="85">
        <f>'Water Reading'!P24-'Water Reading'!P23</f>
        <v>0</v>
      </c>
      <c r="J24" s="66">
        <f t="shared" si="5"/>
        <v>0</v>
      </c>
      <c r="K24" s="86">
        <f>('Water Reading'!I24-'Water Reading'!I23)-('Water Reading'!P24-'Water Reading'!P23)</f>
        <v>23</v>
      </c>
      <c r="L24" s="66">
        <f t="shared" si="6"/>
        <v>8.455882352941177E-2</v>
      </c>
      <c r="M24" s="85">
        <f>'Water Reading'!R24-'Water Reading'!R23</f>
        <v>3</v>
      </c>
      <c r="N24" s="87">
        <f t="shared" si="7"/>
        <v>1.1029411764705883E-2</v>
      </c>
      <c r="O24" s="85">
        <f>'Water Reading'!Q24-'Water Reading'!Q23</f>
        <v>1</v>
      </c>
      <c r="P24" s="92">
        <f t="shared" si="8"/>
        <v>3.6764705882352941E-3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78</v>
      </c>
      <c r="T24" s="93">
        <f t="shared" si="10"/>
        <v>0.28676470588235292</v>
      </c>
      <c r="U24" s="85">
        <f>'Water Reading'!G24-'Water Reading'!G23</f>
        <v>22</v>
      </c>
      <c r="V24" s="93">
        <f t="shared" si="11"/>
        <v>8.0882352941176475E-2</v>
      </c>
      <c r="W24" s="86">
        <f>'Water Reading'!J24-'Water Reading'!J23</f>
        <v>5</v>
      </c>
      <c r="X24" s="93">
        <f t="shared" si="12"/>
        <v>1.8382352941176471E-2</v>
      </c>
      <c r="Y24" s="64">
        <f t="shared" si="0"/>
        <v>231</v>
      </c>
      <c r="Z24" s="65">
        <f t="shared" si="1"/>
        <v>0.98717948717948723</v>
      </c>
    </row>
    <row r="25" spans="1:26" x14ac:dyDescent="0.25">
      <c r="A25" s="8">
        <f>'Water Reading'!A24</f>
        <v>44734</v>
      </c>
      <c r="B25" s="63">
        <f>TOTAL!I23</f>
        <v>274</v>
      </c>
      <c r="C25" s="64">
        <f>('Water Reading'!B25-'Water Reading'!B24)+('Water Reading'!C25-'Water Reading'!C24)</f>
        <v>331</v>
      </c>
      <c r="D25" s="65">
        <f t="shared" si="2"/>
        <v>1.2080291970802919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118</v>
      </c>
      <c r="H25" s="84">
        <f t="shared" si="4"/>
        <v>0.35649546827794559</v>
      </c>
      <c r="I25" s="85">
        <f>'Water Reading'!P25-'Water Reading'!P24</f>
        <v>21</v>
      </c>
      <c r="J25" s="66">
        <f t="shared" si="5"/>
        <v>6.3444108761329304E-2</v>
      </c>
      <c r="K25" s="86">
        <f>('Water Reading'!I25-'Water Reading'!I24)-('Water Reading'!P25-'Water Reading'!P24)</f>
        <v>16</v>
      </c>
      <c r="L25" s="66">
        <f t="shared" si="6"/>
        <v>4.8338368580060423E-2</v>
      </c>
      <c r="M25" s="85">
        <f>'Water Reading'!R25-'Water Reading'!R24</f>
        <v>5</v>
      </c>
      <c r="N25" s="87">
        <f t="shared" si="7"/>
        <v>1.5105740181268883E-2</v>
      </c>
      <c r="O25" s="85">
        <f>'Water Reading'!Q25-'Water Reading'!Q24</f>
        <v>5</v>
      </c>
      <c r="P25" s="92">
        <f t="shared" si="8"/>
        <v>1.5105740181268883E-2</v>
      </c>
      <c r="Q25" s="86">
        <f>'Water Reading'!F25-'Water Reading'!F24</f>
        <v>1</v>
      </c>
      <c r="R25" s="93">
        <f t="shared" si="9"/>
        <v>3.0211480362537764E-3</v>
      </c>
      <c r="S25" s="85">
        <f>'Water Reading'!E25-'Water Reading'!E24</f>
        <v>72</v>
      </c>
      <c r="T25" s="93">
        <f t="shared" si="10"/>
        <v>0.2175226586102719</v>
      </c>
      <c r="U25" s="85">
        <f>'Water Reading'!G25-'Water Reading'!G24</f>
        <v>17</v>
      </c>
      <c r="V25" s="93">
        <f t="shared" si="11"/>
        <v>5.1359516616314202E-2</v>
      </c>
      <c r="W25" s="86">
        <f>'Water Reading'!J25-'Water Reading'!J24</f>
        <v>5</v>
      </c>
      <c r="X25" s="93">
        <f t="shared" si="12"/>
        <v>1.5105740181268883E-2</v>
      </c>
      <c r="Y25" s="64">
        <f t="shared" si="0"/>
        <v>260</v>
      </c>
      <c r="Z25" s="65">
        <f t="shared" si="1"/>
        <v>0.94890510948905105</v>
      </c>
    </row>
    <row r="26" spans="1:26" x14ac:dyDescent="0.25">
      <c r="A26" s="8">
        <f>'Water Reading'!A25</f>
        <v>44735</v>
      </c>
      <c r="B26" s="63">
        <f>TOTAL!I24</f>
        <v>281</v>
      </c>
      <c r="C26" s="64">
        <f>('Water Reading'!B26-'Water Reading'!B25)+('Water Reading'!C26-'Water Reading'!C25)</f>
        <v>290</v>
      </c>
      <c r="D26" s="65">
        <f t="shared" si="2"/>
        <v>1.0320284697508897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121</v>
      </c>
      <c r="H26" s="84">
        <f t="shared" si="4"/>
        <v>0.41724137931034483</v>
      </c>
      <c r="I26" s="85">
        <f>'Water Reading'!P26-'Water Reading'!P25</f>
        <v>10</v>
      </c>
      <c r="J26" s="66">
        <f t="shared" si="5"/>
        <v>3.4482758620689655E-2</v>
      </c>
      <c r="K26" s="86">
        <f>('Water Reading'!I26-'Water Reading'!I25)-('Water Reading'!P26-'Water Reading'!P25)</f>
        <v>20</v>
      </c>
      <c r="L26" s="66">
        <f t="shared" si="6"/>
        <v>6.8965517241379309E-2</v>
      </c>
      <c r="M26" s="85">
        <f>'Water Reading'!R26-'Water Reading'!R25</f>
        <v>3</v>
      </c>
      <c r="N26" s="87">
        <f t="shared" si="7"/>
        <v>1.0344827586206896E-2</v>
      </c>
      <c r="O26" s="85">
        <f>'Water Reading'!Q26-'Water Reading'!Q25</f>
        <v>2</v>
      </c>
      <c r="P26" s="92">
        <f t="shared" si="8"/>
        <v>6.8965517241379309E-3</v>
      </c>
      <c r="Q26" s="86">
        <f>'Water Reading'!F26-'Water Reading'!F25</f>
        <v>30000</v>
      </c>
      <c r="R26" s="93">
        <f t="shared" si="9"/>
        <v>103.44827586206897</v>
      </c>
      <c r="S26" s="85">
        <f>'Water Reading'!E26-'Water Reading'!E25</f>
        <v>66</v>
      </c>
      <c r="T26" s="93">
        <f t="shared" si="10"/>
        <v>0.22758620689655173</v>
      </c>
      <c r="U26" s="85">
        <f>'Water Reading'!G26-'Water Reading'!G25</f>
        <v>16</v>
      </c>
      <c r="V26" s="93">
        <f t="shared" si="11"/>
        <v>5.5172413793103448E-2</v>
      </c>
      <c r="W26" s="86">
        <f>'Water Reading'!J26-'Water Reading'!J25</f>
        <v>5</v>
      </c>
      <c r="X26" s="93">
        <f t="shared" si="12"/>
        <v>1.7241379310344827E-2</v>
      </c>
      <c r="Y26" s="64">
        <f t="shared" si="0"/>
        <v>30243</v>
      </c>
      <c r="Z26" s="65">
        <f t="shared" si="1"/>
        <v>107.62633451957295</v>
      </c>
    </row>
    <row r="27" spans="1:26" x14ac:dyDescent="0.25">
      <c r="A27" s="8">
        <f>'Water Reading'!A26</f>
        <v>44736</v>
      </c>
      <c r="B27" s="63">
        <f>TOTAL!I25</f>
        <v>267</v>
      </c>
      <c r="C27" s="64">
        <f>('Water Reading'!B27-'Water Reading'!B26)+('Water Reading'!C27-'Water Reading'!C26)</f>
        <v>265</v>
      </c>
      <c r="D27" s="65">
        <f t="shared" si="2"/>
        <v>0.99250936329588013</v>
      </c>
      <c r="E27" s="83">
        <f>'Water Reading'!H27-'Water Reading'!H26</f>
        <v>1</v>
      </c>
      <c r="F27" s="84">
        <f t="shared" si="3"/>
        <v>3.7735849056603774E-3</v>
      </c>
      <c r="G27" s="88">
        <f>('Water Reading'!D27-'Water Reading'!D26)-('Water Reading'!R27-'Water Reading'!R26)-('Water Reading'!Q27-'Water Reading'!Q26)</f>
        <v>101</v>
      </c>
      <c r="H27" s="84">
        <f t="shared" si="4"/>
        <v>0.38113207547169814</v>
      </c>
      <c r="I27" s="85">
        <f>'Water Reading'!P27-'Water Reading'!P26</f>
        <v>4</v>
      </c>
      <c r="J27" s="66">
        <f t="shared" si="5"/>
        <v>1.509433962264151E-2</v>
      </c>
      <c r="K27" s="86">
        <f>('Water Reading'!I27-'Water Reading'!I26)-('Water Reading'!P27-'Water Reading'!P26)</f>
        <v>26</v>
      </c>
      <c r="L27" s="66">
        <f t="shared" si="6"/>
        <v>9.8113207547169817E-2</v>
      </c>
      <c r="M27" s="85">
        <f>'Water Reading'!R27-'Water Reading'!R26</f>
        <v>3</v>
      </c>
      <c r="N27" s="87">
        <f t="shared" si="7"/>
        <v>1.1320754716981131E-2</v>
      </c>
      <c r="O27" s="85">
        <f>'Water Reading'!Q27-'Water Reading'!Q26</f>
        <v>0</v>
      </c>
      <c r="P27" s="92">
        <f t="shared" si="8"/>
        <v>0</v>
      </c>
      <c r="Q27" s="86">
        <f>'Water Reading'!F27-'Water Reading'!F26</f>
        <v>-29999</v>
      </c>
      <c r="R27" s="93">
        <f t="shared" si="9"/>
        <v>-113.20377358490566</v>
      </c>
      <c r="S27" s="85">
        <f>'Water Reading'!E27-'Water Reading'!E26</f>
        <v>65</v>
      </c>
      <c r="T27" s="93">
        <f t="shared" si="10"/>
        <v>0.24528301886792453</v>
      </c>
      <c r="U27" s="85">
        <f>'Water Reading'!G27-'Water Reading'!G26</f>
        <v>24</v>
      </c>
      <c r="V27" s="93">
        <f t="shared" si="11"/>
        <v>9.056603773584905E-2</v>
      </c>
      <c r="W27" s="86">
        <f>'Water Reading'!J27-'Water Reading'!J26</f>
        <v>5</v>
      </c>
      <c r="X27" s="93">
        <f t="shared" si="12"/>
        <v>1.8867924528301886E-2</v>
      </c>
      <c r="Y27" s="64">
        <f t="shared" si="0"/>
        <v>-29770</v>
      </c>
      <c r="Z27" s="65">
        <f t="shared" si="1"/>
        <v>-111.49812734082397</v>
      </c>
    </row>
    <row r="28" spans="1:26" x14ac:dyDescent="0.25">
      <c r="A28" s="8">
        <f>'Water Reading'!A27</f>
        <v>44737</v>
      </c>
      <c r="B28" s="63">
        <f>TOTAL!I26</f>
        <v>285</v>
      </c>
      <c r="C28" s="64">
        <f>('Water Reading'!B28-'Water Reading'!B27)+('Water Reading'!C28-'Water Reading'!C27)</f>
        <v>301</v>
      </c>
      <c r="D28" s="65">
        <f t="shared" si="2"/>
        <v>1.0561403508771929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153</v>
      </c>
      <c r="H28" s="84">
        <f t="shared" si="4"/>
        <v>0.50830564784053156</v>
      </c>
      <c r="I28" s="85">
        <f>'Water Reading'!P28-'Water Reading'!P27</f>
        <v>0</v>
      </c>
      <c r="J28" s="66">
        <f t="shared" si="5"/>
        <v>0</v>
      </c>
      <c r="K28" s="86">
        <f>('Water Reading'!I28-'Water Reading'!I27)-('Water Reading'!P28-'Water Reading'!P27)</f>
        <v>16</v>
      </c>
      <c r="L28" s="66">
        <f t="shared" si="6"/>
        <v>5.3156146179401995E-2</v>
      </c>
      <c r="M28" s="85">
        <f>'Water Reading'!R28-'Water Reading'!R27</f>
        <v>5</v>
      </c>
      <c r="N28" s="87">
        <f t="shared" si="7"/>
        <v>1.6611295681063124E-2</v>
      </c>
      <c r="O28" s="85">
        <f>'Water Reading'!Q28-'Water Reading'!Q27</f>
        <v>0</v>
      </c>
      <c r="P28" s="92">
        <f t="shared" si="8"/>
        <v>0</v>
      </c>
      <c r="Q28" s="86">
        <f>'Water Reading'!F28-'Water Reading'!F27</f>
        <v>0</v>
      </c>
      <c r="R28" s="93">
        <f t="shared" si="9"/>
        <v>0</v>
      </c>
      <c r="S28" s="85">
        <f>'Water Reading'!E28-'Water Reading'!E27</f>
        <v>68</v>
      </c>
      <c r="T28" s="93">
        <f t="shared" si="10"/>
        <v>0.22591362126245848</v>
      </c>
      <c r="U28" s="85">
        <f>'Water Reading'!G28-'Water Reading'!G27</f>
        <v>19</v>
      </c>
      <c r="V28" s="93">
        <f t="shared" si="11"/>
        <v>6.3122923588039864E-2</v>
      </c>
      <c r="W28" s="86">
        <f>'Water Reading'!J28-'Water Reading'!J27</f>
        <v>5</v>
      </c>
      <c r="X28" s="93">
        <f t="shared" si="12"/>
        <v>1.6611295681063124E-2</v>
      </c>
      <c r="Y28" s="64">
        <f t="shared" si="0"/>
        <v>266</v>
      </c>
      <c r="Z28" s="65">
        <f t="shared" si="1"/>
        <v>0.93333333333333335</v>
      </c>
    </row>
    <row r="29" spans="1:26" x14ac:dyDescent="0.25">
      <c r="A29" s="8">
        <f>'Water Reading'!A28</f>
        <v>44738</v>
      </c>
      <c r="B29" s="63">
        <f>TOTAL!I27</f>
        <v>280</v>
      </c>
      <c r="C29" s="64">
        <f>('Water Reading'!B29-'Water Reading'!B28)+('Water Reading'!C29-'Water Reading'!C28)</f>
        <v>304</v>
      </c>
      <c r="D29" s="65">
        <f t="shared" si="2"/>
        <v>1.0857142857142856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113</v>
      </c>
      <c r="H29" s="84">
        <f t="shared" si="4"/>
        <v>0.37171052631578949</v>
      </c>
      <c r="I29" s="85">
        <f>'Water Reading'!P29-'Water Reading'!P28</f>
        <v>37</v>
      </c>
      <c r="J29" s="66">
        <f t="shared" si="5"/>
        <v>0.12171052631578948</v>
      </c>
      <c r="K29" s="86">
        <f>('Water Reading'!I29-'Water Reading'!I28)-('Water Reading'!P29-'Water Reading'!P28)</f>
        <v>25</v>
      </c>
      <c r="L29" s="66">
        <f t="shared" si="6"/>
        <v>8.2236842105263164E-2</v>
      </c>
      <c r="M29" s="85">
        <f>'Water Reading'!R29-'Water Reading'!R28</f>
        <v>3</v>
      </c>
      <c r="N29" s="87">
        <f t="shared" si="7"/>
        <v>9.8684210526315784E-3</v>
      </c>
      <c r="O29" s="85">
        <f>'Water Reading'!Q29-'Water Reading'!Q28</f>
        <v>0</v>
      </c>
      <c r="P29" s="92">
        <f t="shared" si="8"/>
        <v>0</v>
      </c>
      <c r="Q29" s="86">
        <f>'Water Reading'!F29-'Water Reading'!F28</f>
        <v>2</v>
      </c>
      <c r="R29" s="93">
        <f t="shared" si="9"/>
        <v>6.5789473684210523E-3</v>
      </c>
      <c r="S29" s="85">
        <f>'Water Reading'!E29-'Water Reading'!E28</f>
        <v>67</v>
      </c>
      <c r="T29" s="93">
        <f t="shared" si="10"/>
        <v>0.22039473684210525</v>
      </c>
      <c r="U29" s="85">
        <f>'Water Reading'!G29-'Water Reading'!G28</f>
        <v>18</v>
      </c>
      <c r="V29" s="93">
        <f t="shared" si="11"/>
        <v>5.921052631578947E-2</v>
      </c>
      <c r="W29" s="86">
        <f>'Water Reading'!J29-'Water Reading'!J28</f>
        <v>5</v>
      </c>
      <c r="X29" s="93">
        <f t="shared" si="12"/>
        <v>1.6447368421052631E-2</v>
      </c>
      <c r="Y29" s="64">
        <f t="shared" si="0"/>
        <v>270</v>
      </c>
      <c r="Z29" s="65">
        <f t="shared" si="1"/>
        <v>0.9642857142857143</v>
      </c>
    </row>
    <row r="30" spans="1:26" x14ac:dyDescent="0.25">
      <c r="A30" s="8">
        <f>'Water Reading'!A29</f>
        <v>44739</v>
      </c>
      <c r="B30" s="63">
        <f>TOTAL!I28</f>
        <v>298</v>
      </c>
      <c r="C30" s="64">
        <f>('Water Reading'!B30-'Water Reading'!B29)+('Water Reading'!C30-'Water Reading'!C29)</f>
        <v>280</v>
      </c>
      <c r="D30" s="65">
        <f t="shared" si="2"/>
        <v>0.93959731543624159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118</v>
      </c>
      <c r="H30" s="84">
        <f t="shared" si="4"/>
        <v>0.42142857142857143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16</v>
      </c>
      <c r="L30" s="66">
        <f t="shared" si="6"/>
        <v>5.7142857142857141E-2</v>
      </c>
      <c r="M30" s="85">
        <f>'Water Reading'!R30-'Water Reading'!R29</f>
        <v>5</v>
      </c>
      <c r="N30" s="87">
        <f t="shared" si="7"/>
        <v>1.7857142857142856E-2</v>
      </c>
      <c r="O30" s="85">
        <f>'Water Reading'!Q30-'Water Reading'!Q29</f>
        <v>10</v>
      </c>
      <c r="P30" s="92">
        <f t="shared" si="8"/>
        <v>3.5714285714285712E-2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61</v>
      </c>
      <c r="T30" s="93">
        <f t="shared" si="10"/>
        <v>0.21785714285714286</v>
      </c>
      <c r="U30" s="85">
        <f>'Water Reading'!G30-'Water Reading'!G29</f>
        <v>20</v>
      </c>
      <c r="V30" s="93">
        <f t="shared" si="11"/>
        <v>7.1428571428571425E-2</v>
      </c>
      <c r="W30" s="86">
        <f>'Water Reading'!J30-'Water Reading'!J29</f>
        <v>5</v>
      </c>
      <c r="X30" s="93">
        <f t="shared" si="12"/>
        <v>1.7857142857142856E-2</v>
      </c>
      <c r="Y30" s="64">
        <f t="shared" si="0"/>
        <v>235</v>
      </c>
      <c r="Z30" s="65">
        <f t="shared" si="1"/>
        <v>0.78859060402684567</v>
      </c>
    </row>
    <row r="31" spans="1:26" x14ac:dyDescent="0.25">
      <c r="A31" s="8">
        <f>'Water Reading'!A30</f>
        <v>44740</v>
      </c>
      <c r="B31" s="63">
        <f>TOTAL!I29</f>
        <v>270</v>
      </c>
      <c r="C31" s="64">
        <f>('Water Reading'!B31-'Water Reading'!B30)+('Water Reading'!C31-'Water Reading'!C30)</f>
        <v>315</v>
      </c>
      <c r="D31" s="65">
        <f t="shared" si="2"/>
        <v>1.1666666666666667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151</v>
      </c>
      <c r="H31" s="84">
        <f t="shared" si="4"/>
        <v>0.47936507936507938</v>
      </c>
      <c r="I31" s="85">
        <f>'Water Reading'!P31-'Water Reading'!P30</f>
        <v>15</v>
      </c>
      <c r="J31" s="66">
        <f t="shared" si="5"/>
        <v>4.7619047619047616E-2</v>
      </c>
      <c r="K31" s="86">
        <f>('Water Reading'!I31-'Water Reading'!I30)-('Water Reading'!P31-'Water Reading'!P30)</f>
        <v>18</v>
      </c>
      <c r="L31" s="66">
        <f t="shared" si="6"/>
        <v>5.7142857142857141E-2</v>
      </c>
      <c r="M31" s="85">
        <f>'Water Reading'!R31-'Water Reading'!R30</f>
        <v>4</v>
      </c>
      <c r="N31" s="87">
        <f t="shared" si="7"/>
        <v>1.2698412698412698E-2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0</v>
      </c>
      <c r="R31" s="93">
        <f t="shared" si="9"/>
        <v>0</v>
      </c>
      <c r="S31" s="85">
        <f>'Water Reading'!E31-'Water Reading'!E30</f>
        <v>66</v>
      </c>
      <c r="T31" s="93">
        <f t="shared" si="10"/>
        <v>0.20952380952380953</v>
      </c>
      <c r="U31" s="85">
        <f>'Water Reading'!G31-'Water Reading'!G30</f>
        <v>16</v>
      </c>
      <c r="V31" s="93">
        <f t="shared" si="11"/>
        <v>5.0793650793650794E-2</v>
      </c>
      <c r="W31" s="86">
        <f>'Water Reading'!J31-'Water Reading'!J30</f>
        <v>5</v>
      </c>
      <c r="X31" s="93">
        <f t="shared" si="12"/>
        <v>1.5873015873015872E-2</v>
      </c>
      <c r="Y31" s="64">
        <f t="shared" si="0"/>
        <v>275</v>
      </c>
      <c r="Z31" s="65">
        <f t="shared" si="1"/>
        <v>1.0185185185185186</v>
      </c>
    </row>
    <row r="32" spans="1:26" x14ac:dyDescent="0.25">
      <c r="A32" s="8">
        <f>'Water Reading'!A31</f>
        <v>44741</v>
      </c>
      <c r="B32" s="63">
        <f>TOTAL!I30</f>
        <v>312</v>
      </c>
      <c r="C32" s="64">
        <f>('Water Reading'!B32-'Water Reading'!B31)+('Water Reading'!C32-'Water Reading'!C31)</f>
        <v>294</v>
      </c>
      <c r="D32" s="65">
        <f t="shared" si="2"/>
        <v>0.94230769230769229</v>
      </c>
      <c r="E32" s="83">
        <f>'Water Reading'!H32-'Water Reading'!H31</f>
        <v>0</v>
      </c>
      <c r="F32" s="84">
        <f t="shared" si="3"/>
        <v>0</v>
      </c>
      <c r="G32" s="88">
        <f>('Water Reading'!D32-'Water Reading'!D31)-('Water Reading'!R32-'Water Reading'!R31)-('Water Reading'!Q32-'Water Reading'!Q31)</f>
        <v>143</v>
      </c>
      <c r="H32" s="84">
        <f t="shared" si="4"/>
        <v>0.48639455782312924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11</v>
      </c>
      <c r="L32" s="66">
        <f t="shared" si="6"/>
        <v>3.7414965986394558E-2</v>
      </c>
      <c r="M32" s="85">
        <f>'Water Reading'!R32-'Water Reading'!R31</f>
        <v>3</v>
      </c>
      <c r="N32" s="87">
        <f t="shared" si="7"/>
        <v>1.020408163265306E-2</v>
      </c>
      <c r="O32" s="85">
        <f>'Water Reading'!Q32-'Water Reading'!Q31</f>
        <v>4</v>
      </c>
      <c r="P32" s="92">
        <f t="shared" si="8"/>
        <v>1.3605442176870748E-2</v>
      </c>
      <c r="Q32" s="86">
        <f>'Water Reading'!F32-'Water Reading'!F31</f>
        <v>2</v>
      </c>
      <c r="R32" s="93">
        <f t="shared" si="9"/>
        <v>6.8027210884353739E-3</v>
      </c>
      <c r="S32" s="85">
        <f>'Water Reading'!E32-'Water Reading'!E31</f>
        <v>67</v>
      </c>
      <c r="T32" s="93">
        <f t="shared" si="10"/>
        <v>0.22789115646258504</v>
      </c>
      <c r="U32" s="85">
        <f>'Water Reading'!G32-'Water Reading'!G31</f>
        <v>20</v>
      </c>
      <c r="V32" s="93">
        <f t="shared" si="11"/>
        <v>6.8027210884353748E-2</v>
      </c>
      <c r="W32" s="86">
        <f>'Water Reading'!J32-'Water Reading'!J31</f>
        <v>5</v>
      </c>
      <c r="X32" s="93">
        <f t="shared" si="12"/>
        <v>1.7006802721088437E-2</v>
      </c>
      <c r="Y32" s="64">
        <f t="shared" si="0"/>
        <v>255</v>
      </c>
      <c r="Z32" s="65">
        <f t="shared" si="1"/>
        <v>0.81730769230769229</v>
      </c>
    </row>
    <row r="33" spans="1:26" x14ac:dyDescent="0.25">
      <c r="A33" s="8">
        <f>'Water Reading'!A32</f>
        <v>44742</v>
      </c>
      <c r="B33" s="63">
        <f>TOTAL!I31</f>
        <v>0</v>
      </c>
      <c r="C33" s="64">
        <f>('Water Reading'!B33-'Water Reading'!B32)+('Water Reading'!C33-'Water Reading'!C32)</f>
        <v>-6121</v>
      </c>
      <c r="D33" s="65" t="e">
        <f t="shared" si="2"/>
        <v>#DIV/0!</v>
      </c>
      <c r="E33" s="83">
        <f>'Water Reading'!H33-'Water Reading'!H32</f>
        <v>-62099</v>
      </c>
      <c r="F33" s="84">
        <f t="shared" si="3"/>
        <v>10.145237706257147</v>
      </c>
      <c r="G33" s="88">
        <f>('Water Reading'!D33-'Water Reading'!D32)-('Water Reading'!R33-'Water Reading'!R32)-('Water Reading'!Q33-'Water Reading'!Q32)</f>
        <v>-270103</v>
      </c>
      <c r="H33" s="84">
        <f t="shared" si="4"/>
        <v>44.127266786472802</v>
      </c>
      <c r="I33" s="85">
        <f>'Water Reading'!P33-'Water Reading'!P32</f>
        <v>-31417</v>
      </c>
      <c r="J33" s="66">
        <f t="shared" si="5"/>
        <v>5.1326580624081029</v>
      </c>
      <c r="K33" s="86">
        <f>('Water Reading'!I33-'Water Reading'!I32)-('Water Reading'!P33-'Water Reading'!P32)</f>
        <v>-44813</v>
      </c>
      <c r="L33" s="66">
        <f t="shared" si="6"/>
        <v>7.3211893481457277</v>
      </c>
      <c r="M33" s="85">
        <f>'Water Reading'!R33-'Water Reading'!R32</f>
        <v>-301</v>
      </c>
      <c r="N33" s="87">
        <f t="shared" si="7"/>
        <v>4.9174971409900341E-2</v>
      </c>
      <c r="O33" s="85">
        <f>'Water Reading'!Q33-'Water Reading'!Q32</f>
        <v>-1778</v>
      </c>
      <c r="P33" s="92">
        <f t="shared" si="8"/>
        <v>0.29047541251429504</v>
      </c>
      <c r="Q33" s="86">
        <f>'Water Reading'!F33-'Water Reading'!F32</f>
        <v>-67203</v>
      </c>
      <c r="R33" s="93">
        <f t="shared" si="9"/>
        <v>10.979088384250939</v>
      </c>
      <c r="S33" s="85">
        <f>'Water Reading'!E33-'Water Reading'!E32</f>
        <v>-272531</v>
      </c>
      <c r="T33" s="93">
        <f t="shared" si="10"/>
        <v>44.523933997712795</v>
      </c>
      <c r="U33" s="85">
        <f>'Water Reading'!G33-'Water Reading'!G32</f>
        <v>-120272</v>
      </c>
      <c r="V33" s="93">
        <f t="shared" si="11"/>
        <v>19.649076948211075</v>
      </c>
      <c r="W33" s="86">
        <f>'Water Reading'!J33-'Water Reading'!J32</f>
        <v>-22971</v>
      </c>
      <c r="X33" s="93">
        <f t="shared" si="12"/>
        <v>3.7528181669661822</v>
      </c>
      <c r="Y33" s="64">
        <f t="shared" si="0"/>
        <v>-893488</v>
      </c>
      <c r="Z33" s="65" t="e">
        <f t="shared" si="1"/>
        <v>#DIV/0!</v>
      </c>
    </row>
    <row r="34" spans="1:26" x14ac:dyDescent="0.25">
      <c r="A34" s="8">
        <f>'Water Reading'!A33</f>
        <v>44743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1280.3999999999996</v>
      </c>
      <c r="D35" s="90" t="e">
        <f>C35/B35</f>
        <v>#VALUE!</v>
      </c>
      <c r="E35" s="7">
        <f>SUM(E4:E34)</f>
        <v>-62098</v>
      </c>
      <c r="F35" s="89">
        <f>E35/C35</f>
        <v>-48.498906591690108</v>
      </c>
      <c r="G35" s="72">
        <f>SUM(G4:G34)</f>
        <v>-266263</v>
      </c>
      <c r="H35" s="89">
        <f>G35/C35</f>
        <v>-207.95298344267422</v>
      </c>
      <c r="I35" s="7">
        <f>SUM(I4:I34)</f>
        <v>-31133</v>
      </c>
      <c r="J35" s="89">
        <f>I35/C35</f>
        <v>-24.315057794439245</v>
      </c>
      <c r="K35" s="7">
        <f>SUM(K4:K34)</f>
        <v>-44222</v>
      </c>
      <c r="L35" s="89">
        <f>K35/C35</f>
        <v>-34.537644486098102</v>
      </c>
      <c r="M35" s="7">
        <f>SUM(M4:M34)</f>
        <v>-189</v>
      </c>
      <c r="N35" s="89">
        <f>M35/C35</f>
        <v>-0.14761012183692601</v>
      </c>
      <c r="O35" s="7">
        <f>SUM(O4:O34)</f>
        <v>-1702</v>
      </c>
      <c r="P35" s="89">
        <f>O35/C35</f>
        <v>-1.3292721024679792</v>
      </c>
      <c r="Q35" s="7">
        <f>SUM(Q4:Q34)</f>
        <v>-67184</v>
      </c>
      <c r="R35" s="89">
        <f>Q35/C35</f>
        <v>-52.471102780381145</v>
      </c>
      <c r="S35" s="72">
        <f>SUM(S4:S34)</f>
        <v>-270526</v>
      </c>
      <c r="T35" s="89">
        <f>S35/C35</f>
        <v>-211.28241174632933</v>
      </c>
      <c r="U35" s="7">
        <f>SUM(U4:U34)</f>
        <v>-119680</v>
      </c>
      <c r="V35" s="89">
        <f>U35/C35</f>
        <v>-93.470790378006896</v>
      </c>
      <c r="W35" s="7">
        <f>SUM(W4:W34)</f>
        <v>-22819</v>
      </c>
      <c r="X35" s="89">
        <f>W35/C35</f>
        <v>-17.82177444548579</v>
      </c>
      <c r="Y35" s="72">
        <f>SUM(Y4:Y34)</f>
        <v>-885816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2022-06-30T08:36:11Z</dcterms:modified>
  <cp:category/>
  <cp:contentStatus/>
</cp:coreProperties>
</file>