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elma\Downloads\"/>
    </mc:Choice>
  </mc:AlternateContent>
  <xr:revisionPtr revIDLastSave="4009" documentId="8_{00B7C460-6DDE-4F49-8B51-05921E1F5BEF}" xr6:coauthVersionLast="47" xr6:coauthVersionMax="47" xr10:uidLastSave="{F544718E-18A0-4FDB-BF36-DCC2F70463B9}"/>
  <bookViews>
    <workbookView xWindow="-120" yWindow="-120" windowWidth="17520" windowHeight="12600" firstSheet="12" xr2:uid="{00000000-000D-0000-FFFF-FFFF00000000}"/>
  </bookViews>
  <sheets>
    <sheet name="Total" sheetId="13" r:id="rId1"/>
    <sheet name="Submetering" sheetId="12" r:id="rId2"/>
    <sheet name="Boat" sheetId="16" r:id="rId3"/>
    <sheet name="Water" sheetId="2" r:id="rId4"/>
    <sheet name="Gas" sheetId="6" r:id="rId5"/>
    <sheet name="Sheet1" sheetId="14" state="hidden" r:id="rId6"/>
    <sheet name="Sheet2" sheetId="15" state="hidden" r:id="rId7"/>
    <sheet name="Consp" sheetId="9" state="hidden" r:id="rId8"/>
    <sheet name="Temp." sheetId="4" state="hidden" r:id="rId9"/>
    <sheet name="M-Rep" sheetId="7" state="hidden" r:id="rId10"/>
    <sheet name="YTD" sheetId="10" state="hidden" r:id="rId11"/>
    <sheet name="Elect" sheetId="1" r:id="rId12"/>
    <sheet name="Utility Consnsumption" sheetId="11" r:id="rId13"/>
  </sheets>
  <definedNames>
    <definedName name="_xlnm.Print_Area" localSheetId="7">Consp!$A$1:$BQ$40</definedName>
    <definedName name="_xlnm.Print_Area" localSheetId="11">Elect!$A$1:$BZ$40</definedName>
    <definedName name="_xlnm.Print_Area" localSheetId="4">Gas!$A$1:$J$40</definedName>
    <definedName name="_xlnm.Print_Area" localSheetId="8">Temp.!$A$1:$J$45</definedName>
    <definedName name="_xlnm.Print_Area" localSheetId="12">'Utility Consnsumption'!$A$1:$M$62</definedName>
    <definedName name="_xlnm.Print_Area" localSheetId="3">Water!$A$1:$Z$50</definedName>
    <definedName name="_xlnm.Print_Area" localSheetId="10">YTD!$A$1:$Q$2370</definedName>
    <definedName name="_xlnm.Print_Titles" localSheetId="7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1" l="1"/>
  <c r="D41" i="11"/>
  <c r="F34" i="11"/>
  <c r="G34" i="11" s="1"/>
  <c r="G35" i="11" s="1"/>
  <c r="E34" i="11"/>
  <c r="D34" i="11"/>
  <c r="E20" i="11"/>
  <c r="H13" i="11"/>
  <c r="D13" i="11"/>
  <c r="G52" i="11"/>
  <c r="E30" i="2"/>
  <c r="G12" i="2"/>
  <c r="G13" i="2"/>
  <c r="H6" i="11"/>
  <c r="E41" i="11"/>
  <c r="C17" i="2"/>
  <c r="G27" i="2"/>
  <c r="C25" i="2"/>
  <c r="E18" i="2"/>
  <c r="E19" i="2"/>
  <c r="E20" i="2"/>
  <c r="C34" i="2"/>
  <c r="C35" i="2"/>
  <c r="C33" i="2"/>
  <c r="E23" i="2"/>
  <c r="E24" i="2"/>
  <c r="C4" i="16"/>
  <c r="AH2" i="12" s="1"/>
  <c r="E4" i="16"/>
  <c r="AM2" i="12" s="1"/>
  <c r="G4" i="16"/>
  <c r="AR2" i="12" s="1"/>
  <c r="C5" i="16"/>
  <c r="AH3" i="12" s="1"/>
  <c r="E5" i="16"/>
  <c r="AM3" i="12" s="1"/>
  <c r="G5" i="16"/>
  <c r="AR3" i="12" s="1"/>
  <c r="C6" i="16"/>
  <c r="AH4" i="12" s="1"/>
  <c r="E6" i="16"/>
  <c r="AM4" i="12" s="1"/>
  <c r="G6" i="16"/>
  <c r="AR4" i="12" s="1"/>
  <c r="C7" i="16"/>
  <c r="AH5" i="12" s="1"/>
  <c r="E7" i="16"/>
  <c r="AM5" i="12" s="1"/>
  <c r="G7" i="16"/>
  <c r="AR5" i="12" s="1"/>
  <c r="C8" i="16"/>
  <c r="AH6" i="12" s="1"/>
  <c r="E8" i="16"/>
  <c r="AM6" i="12" s="1"/>
  <c r="G8" i="16"/>
  <c r="AR6" i="12" s="1"/>
  <c r="C9" i="16"/>
  <c r="AH7" i="12" s="1"/>
  <c r="E9" i="16"/>
  <c r="AM7" i="12" s="1"/>
  <c r="G9" i="16"/>
  <c r="AR7" i="12" s="1"/>
  <c r="C10" i="16"/>
  <c r="AH8" i="12" s="1"/>
  <c r="E10" i="16"/>
  <c r="AM8" i="12" s="1"/>
  <c r="G10" i="16"/>
  <c r="AR8" i="12" s="1"/>
  <c r="C11" i="16"/>
  <c r="AH9" i="12" s="1"/>
  <c r="E11" i="16"/>
  <c r="AM9" i="12" s="1"/>
  <c r="G11" i="16"/>
  <c r="AR9" i="12" s="1"/>
  <c r="C12" i="16"/>
  <c r="AH10" i="12" s="1"/>
  <c r="E12" i="16"/>
  <c r="AM10" i="12" s="1"/>
  <c r="G12" i="16"/>
  <c r="AR10" i="12" s="1"/>
  <c r="C13" i="16"/>
  <c r="AH11" i="12" s="1"/>
  <c r="E13" i="16"/>
  <c r="AM11" i="12" s="1"/>
  <c r="G13" i="16"/>
  <c r="AR11" i="12" s="1"/>
  <c r="C14" i="16"/>
  <c r="AH12" i="12" s="1"/>
  <c r="E14" i="16"/>
  <c r="AM12" i="12" s="1"/>
  <c r="G14" i="16"/>
  <c r="AR12" i="12" s="1"/>
  <c r="C15" i="16"/>
  <c r="AH13" i="12" s="1"/>
  <c r="E15" i="16"/>
  <c r="AM13" i="12" s="1"/>
  <c r="G15" i="16"/>
  <c r="AR13" i="12" s="1"/>
  <c r="C16" i="16"/>
  <c r="AH14" i="12" s="1"/>
  <c r="E16" i="16"/>
  <c r="AM14" i="12" s="1"/>
  <c r="G16" i="16"/>
  <c r="AR14" i="12" s="1"/>
  <c r="C17" i="16"/>
  <c r="AH15" i="12" s="1"/>
  <c r="E17" i="16"/>
  <c r="AM15" i="12" s="1"/>
  <c r="G17" i="16"/>
  <c r="AR15" i="12" s="1"/>
  <c r="C18" i="16"/>
  <c r="AH16" i="12" s="1"/>
  <c r="E18" i="16"/>
  <c r="AM16" i="12" s="1"/>
  <c r="G18" i="16"/>
  <c r="AR16" i="12" s="1"/>
  <c r="C19" i="16"/>
  <c r="AH17" i="12" s="1"/>
  <c r="E19" i="16"/>
  <c r="AM17" i="12" s="1"/>
  <c r="G19" i="16"/>
  <c r="AR17" i="12" s="1"/>
  <c r="C20" i="16"/>
  <c r="AH18" i="12" s="1"/>
  <c r="E20" i="16"/>
  <c r="AM18" i="12" s="1"/>
  <c r="G20" i="16"/>
  <c r="AR18" i="12" s="1"/>
  <c r="C21" i="16"/>
  <c r="AH19" i="12" s="1"/>
  <c r="E21" i="16"/>
  <c r="AM19" i="12" s="1"/>
  <c r="G21" i="16"/>
  <c r="AR19" i="12" s="1"/>
  <c r="C22" i="16"/>
  <c r="AH20" i="12" s="1"/>
  <c r="E22" i="16"/>
  <c r="AM20" i="12" s="1"/>
  <c r="G22" i="16"/>
  <c r="AR20" i="12" s="1"/>
  <c r="C23" i="16"/>
  <c r="AH21" i="12" s="1"/>
  <c r="E23" i="16"/>
  <c r="AM21" i="12" s="1"/>
  <c r="G23" i="16"/>
  <c r="AR21" i="12" s="1"/>
  <c r="C24" i="16"/>
  <c r="AH22" i="12" s="1"/>
  <c r="E24" i="16"/>
  <c r="AM22" i="12" s="1"/>
  <c r="G24" i="16"/>
  <c r="AR22" i="12" s="1"/>
  <c r="C25" i="16"/>
  <c r="AH23" i="12" s="1"/>
  <c r="E25" i="16"/>
  <c r="AM23" i="12" s="1"/>
  <c r="G25" i="16"/>
  <c r="AR23" i="12" s="1"/>
  <c r="G23" i="13" s="1"/>
  <c r="C26" i="16"/>
  <c r="AH24" i="12" s="1"/>
  <c r="E26" i="16"/>
  <c r="AM24" i="12" s="1"/>
  <c r="G26" i="16"/>
  <c r="AR24" i="12" s="1"/>
  <c r="C27" i="16"/>
  <c r="AH25" i="12" s="1"/>
  <c r="E27" i="16"/>
  <c r="AM25" i="12" s="1"/>
  <c r="G27" i="16"/>
  <c r="AR25" i="12" s="1"/>
  <c r="C28" i="16"/>
  <c r="AH26" i="12" s="1"/>
  <c r="E28" i="16"/>
  <c r="AM26" i="12" s="1"/>
  <c r="G28" i="16"/>
  <c r="AR26" i="12" s="1"/>
  <c r="C29" i="16"/>
  <c r="AH27" i="12" s="1"/>
  <c r="E29" i="16"/>
  <c r="AM27" i="12" s="1"/>
  <c r="G29" i="16"/>
  <c r="AR27" i="12" s="1"/>
  <c r="C30" i="16"/>
  <c r="AH28" i="12" s="1"/>
  <c r="E30" i="16"/>
  <c r="AM28" i="12" s="1"/>
  <c r="G30" i="16"/>
  <c r="AR28" i="12" s="1"/>
  <c r="C31" i="16"/>
  <c r="AH29" i="12" s="1"/>
  <c r="E31" i="16"/>
  <c r="AM29" i="12" s="1"/>
  <c r="G31" i="16"/>
  <c r="AR29" i="12" s="1"/>
  <c r="C32" i="16"/>
  <c r="AH30" i="12" s="1"/>
  <c r="E32" i="16"/>
  <c r="AM30" i="12" s="1"/>
  <c r="G32" i="16"/>
  <c r="AR30" i="12" s="1"/>
  <c r="C33" i="16"/>
  <c r="AH31" i="12" s="1"/>
  <c r="E33" i="16"/>
  <c r="AM31" i="12" s="1"/>
  <c r="G33" i="16"/>
  <c r="AR31" i="12" s="1"/>
  <c r="C34" i="16"/>
  <c r="AH32" i="12" s="1"/>
  <c r="E34" i="16"/>
  <c r="AM32" i="12" s="1"/>
  <c r="G34" i="16"/>
  <c r="AR32" i="12" s="1"/>
  <c r="G35" i="16" l="1"/>
  <c r="E35" i="16"/>
  <c r="C35" i="16"/>
  <c r="E33" i="2" l="1"/>
  <c r="G24" i="2"/>
  <c r="G25" i="2"/>
  <c r="G26" i="2"/>
  <c r="G31" i="2"/>
  <c r="G32" i="2"/>
  <c r="G33" i="2"/>
  <c r="G34" i="2"/>
  <c r="G35" i="2"/>
  <c r="G36" i="2"/>
  <c r="G37" i="2"/>
  <c r="G28" i="2"/>
  <c r="G29" i="2"/>
  <c r="G30" i="2"/>
  <c r="E21" i="2"/>
  <c r="E22" i="2"/>
  <c r="E25" i="2"/>
  <c r="E26" i="2"/>
  <c r="E27" i="2"/>
  <c r="E28" i="2"/>
  <c r="E29" i="2"/>
  <c r="E31" i="2"/>
  <c r="E32" i="2"/>
  <c r="E34" i="2"/>
  <c r="E35" i="2"/>
  <c r="E36" i="2"/>
  <c r="E37" i="2"/>
  <c r="C30" i="2"/>
  <c r="C31" i="2"/>
  <c r="C32" i="2"/>
  <c r="H35" i="2"/>
  <c r="I30" i="13" s="1"/>
  <c r="C36" i="2"/>
  <c r="C37" i="2"/>
  <c r="C26" i="2"/>
  <c r="C27" i="2"/>
  <c r="C28" i="2"/>
  <c r="C29" i="2"/>
  <c r="E9" i="2"/>
  <c r="C7" i="2"/>
  <c r="H36" i="2" l="1"/>
  <c r="I31" i="13" s="1"/>
  <c r="H37" i="2"/>
  <c r="I32" i="13" s="1"/>
  <c r="H26" i="2"/>
  <c r="I21" i="13" s="1"/>
  <c r="H27" i="2"/>
  <c r="I22" i="13" s="1"/>
  <c r="H34" i="2"/>
  <c r="I29" i="13" s="1"/>
  <c r="H33" i="2"/>
  <c r="I28" i="13" s="1"/>
  <c r="H32" i="2"/>
  <c r="I27" i="13" s="1"/>
  <c r="H31" i="2"/>
  <c r="I26" i="13" s="1"/>
  <c r="H30" i="2"/>
  <c r="I25" i="13" s="1"/>
  <c r="H29" i="2"/>
  <c r="I24" i="13" s="1"/>
  <c r="H28" i="2"/>
  <c r="I23" i="13" s="1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14" i="1" l="1"/>
  <c r="K22" i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P30" i="12" s="1"/>
  <c r="E30" i="6"/>
  <c r="G9" i="2"/>
  <c r="G10" i="2"/>
  <c r="G11" i="2"/>
  <c r="G14" i="2"/>
  <c r="G15" i="2"/>
  <c r="G16" i="2"/>
  <c r="G17" i="2"/>
  <c r="G18" i="2"/>
  <c r="G19" i="2"/>
  <c r="G20" i="2"/>
  <c r="G21" i="2"/>
  <c r="G22" i="2"/>
  <c r="G23" i="2"/>
  <c r="E10" i="2"/>
  <c r="E11" i="2"/>
  <c r="E12" i="2"/>
  <c r="E13" i="2"/>
  <c r="E14" i="2"/>
  <c r="E15" i="2"/>
  <c r="E16" i="2"/>
  <c r="E17" i="2"/>
  <c r="C22" i="2"/>
  <c r="C23" i="2"/>
  <c r="C24" i="2"/>
  <c r="H25" i="2"/>
  <c r="I20" i="13" s="1"/>
  <c r="C19" i="2"/>
  <c r="C20" i="2"/>
  <c r="C21" i="2"/>
  <c r="C8" i="2"/>
  <c r="C9" i="2"/>
  <c r="C10" i="2"/>
  <c r="C11" i="2"/>
  <c r="C12" i="2"/>
  <c r="C13" i="2"/>
  <c r="C14" i="2"/>
  <c r="C15" i="2"/>
  <c r="C16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G13" i="6"/>
  <c r="G14" i="6"/>
  <c r="G15" i="6"/>
  <c r="G16" i="6"/>
  <c r="G17" i="6"/>
  <c r="G10" i="6"/>
  <c r="G11" i="6"/>
  <c r="G12" i="6"/>
  <c r="E7" i="2"/>
  <c r="E8" i="2"/>
  <c r="K6" i="9" s="1"/>
  <c r="AK4" i="12"/>
  <c r="K8" i="9"/>
  <c r="K10" i="9"/>
  <c r="K11" i="9"/>
  <c r="AK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Q27" i="12"/>
  <c r="L30" i="12"/>
  <c r="Q35" i="1"/>
  <c r="H31" i="12"/>
  <c r="Q33" i="1"/>
  <c r="H29" i="12"/>
  <c r="Q34" i="1"/>
  <c r="H30" i="12"/>
  <c r="AL23" i="12"/>
  <c r="AL25" i="12"/>
  <c r="AL26" i="12"/>
  <c r="AL27" i="12"/>
  <c r="AL29" i="12"/>
  <c r="AL32" i="12"/>
  <c r="AK23" i="12"/>
  <c r="AK26" i="12"/>
  <c r="K31" i="9"/>
  <c r="AK29" i="12"/>
  <c r="AK30" i="12"/>
  <c r="AK31" i="12"/>
  <c r="AK32" i="12"/>
  <c r="AJ24" i="12"/>
  <c r="AJ25" i="12"/>
  <c r="I29" i="9"/>
  <c r="AJ30" i="12"/>
  <c r="AJ31" i="12"/>
  <c r="AJ32" i="12"/>
  <c r="AS3" i="12"/>
  <c r="AS4" i="12"/>
  <c r="AS5" i="12"/>
  <c r="AS6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G53" i="11"/>
  <c r="U6" i="1"/>
  <c r="J2" i="12"/>
  <c r="U7" i="1"/>
  <c r="S6" i="1"/>
  <c r="I2" i="12"/>
  <c r="A1" i="2"/>
  <c r="BT37" i="1"/>
  <c r="BT38" i="1"/>
  <c r="E7" i="6"/>
  <c r="H7" i="6"/>
  <c r="E8" i="6"/>
  <c r="AP3" i="12"/>
  <c r="E9" i="6"/>
  <c r="AP4" i="12"/>
  <c r="E10" i="6"/>
  <c r="AP5" i="12"/>
  <c r="E11" i="6"/>
  <c r="AP6" i="12"/>
  <c r="E12" i="6"/>
  <c r="AP7" i="12"/>
  <c r="E13" i="6"/>
  <c r="AP8" i="12"/>
  <c r="E14" i="6"/>
  <c r="AP9" i="12"/>
  <c r="E15" i="6"/>
  <c r="H15" i="6"/>
  <c r="E16" i="6"/>
  <c r="AP11" i="12"/>
  <c r="E17" i="6"/>
  <c r="E18" i="6"/>
  <c r="AP13" i="12"/>
  <c r="E19" i="6"/>
  <c r="E20" i="6"/>
  <c r="AP15" i="12"/>
  <c r="E21" i="6"/>
  <c r="E22" i="6"/>
  <c r="AP17" i="12"/>
  <c r="E23" i="6"/>
  <c r="H23" i="6"/>
  <c r="E24" i="6"/>
  <c r="E25" i="6"/>
  <c r="AP20" i="12"/>
  <c r="E26" i="6"/>
  <c r="E27" i="6"/>
  <c r="AP22" i="12"/>
  <c r="E28" i="6"/>
  <c r="AP23" i="12"/>
  <c r="E29" i="6"/>
  <c r="AP24" i="12"/>
  <c r="AP25" i="12"/>
  <c r="AP26" i="12"/>
  <c r="AP27" i="12"/>
  <c r="AP28" i="12"/>
  <c r="AP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/>
  <c r="G18" i="6"/>
  <c r="AQ13" i="12"/>
  <c r="C18" i="6"/>
  <c r="I18" i="6"/>
  <c r="C17" i="6"/>
  <c r="AH15" i="9"/>
  <c r="N21" i="12"/>
  <c r="Y4" i="12"/>
  <c r="Y5" i="12"/>
  <c r="AZ10" i="1"/>
  <c r="J36" i="1"/>
  <c r="F32" i="12"/>
  <c r="AA5" i="1"/>
  <c r="BB27" i="1"/>
  <c r="T26" i="12"/>
  <c r="S30" i="1"/>
  <c r="I26" i="12"/>
  <c r="BL22" i="1"/>
  <c r="G22" i="6"/>
  <c r="AQ17" i="12"/>
  <c r="AJ19" i="12"/>
  <c r="AJ21" i="12"/>
  <c r="AJ22" i="12"/>
  <c r="AJ23" i="12"/>
  <c r="AJ16" i="12"/>
  <c r="AJ5" i="12"/>
  <c r="AJ6" i="12"/>
  <c r="AJ7" i="12"/>
  <c r="AJ8" i="12"/>
  <c r="AJ9" i="12"/>
  <c r="AJ10" i="12"/>
  <c r="AJ11" i="12"/>
  <c r="AJ12" i="12"/>
  <c r="AJ13" i="12"/>
  <c r="AJ14" i="12"/>
  <c r="AJ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C37" i="6"/>
  <c r="AO32" i="12"/>
  <c r="AQ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K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O30" i="12"/>
  <c r="C36" i="6"/>
  <c r="G8" i="6"/>
  <c r="AQ3" i="12"/>
  <c r="G9" i="6"/>
  <c r="AQ6" i="12"/>
  <c r="AQ7" i="12"/>
  <c r="AQ8" i="12"/>
  <c r="AQ9" i="12"/>
  <c r="AQ10" i="12"/>
  <c r="AQ11" i="12"/>
  <c r="G19" i="6"/>
  <c r="J19" i="6"/>
  <c r="AJ17" i="9"/>
  <c r="G20" i="6"/>
  <c r="AQ15" i="12"/>
  <c r="G21" i="6"/>
  <c r="AQ16" i="12"/>
  <c r="G23" i="6"/>
  <c r="G24" i="6"/>
  <c r="J24" i="6"/>
  <c r="AJ22" i="9"/>
  <c r="AQ20" i="12"/>
  <c r="AQ21" i="12"/>
  <c r="AQ22" i="12"/>
  <c r="AQ24" i="12"/>
  <c r="AQ25" i="12"/>
  <c r="AQ28" i="12"/>
  <c r="AQ29" i="12"/>
  <c r="AQ30" i="12"/>
  <c r="C8" i="6"/>
  <c r="I8" i="6"/>
  <c r="C9" i="6"/>
  <c r="C10" i="6"/>
  <c r="AO5" i="12"/>
  <c r="C11" i="6"/>
  <c r="AO6" i="12"/>
  <c r="C12" i="6"/>
  <c r="AH10" i="9"/>
  <c r="C13" i="6"/>
  <c r="C14" i="6"/>
  <c r="AO9" i="12"/>
  <c r="C15" i="6"/>
  <c r="I15" i="6"/>
  <c r="C16" i="6"/>
  <c r="I16" i="6"/>
  <c r="C19" i="6"/>
  <c r="AO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AE11" i="12" s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 s="1"/>
  <c r="M7" i="1"/>
  <c r="K7" i="1" s="1"/>
  <c r="M8" i="1"/>
  <c r="K8" i="1" s="1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O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L3" i="12"/>
  <c r="AL4" i="12"/>
  <c r="AL5" i="12"/>
  <c r="AL6" i="12"/>
  <c r="AL7" i="12"/>
  <c r="AL8" i="12"/>
  <c r="AL9" i="12"/>
  <c r="AL10" i="12"/>
  <c r="AL11" i="12"/>
  <c r="AL12" i="12"/>
  <c r="AL14" i="12"/>
  <c r="AL15" i="12"/>
  <c r="AL16" i="12"/>
  <c r="AL17" i="12"/>
  <c r="AL18" i="12"/>
  <c r="AL19" i="12"/>
  <c r="AL20" i="12"/>
  <c r="AL21" i="12"/>
  <c r="AL22" i="12"/>
  <c r="AL24" i="12"/>
  <c r="AL28" i="12"/>
  <c r="AL30" i="12"/>
  <c r="K7" i="9"/>
  <c r="K18" i="9"/>
  <c r="K19" i="9"/>
  <c r="AK18" i="12"/>
  <c r="AK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L2" i="12"/>
  <c r="AJ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O22" i="12"/>
  <c r="BO36" i="9"/>
  <c r="P24" i="9"/>
  <c r="I25" i="9"/>
  <c r="K25" i="9"/>
  <c r="AT31" i="9"/>
  <c r="AU18" i="9"/>
  <c r="Y41" i="2"/>
  <c r="BP36" i="9" s="1"/>
  <c r="P26" i="10"/>
  <c r="Q663" i="10"/>
  <c r="AK6" i="12"/>
  <c r="K9" i="9"/>
  <c r="G23" i="4"/>
  <c r="AK21" i="12"/>
  <c r="AT20" i="9"/>
  <c r="J14" i="6"/>
  <c r="AJ12" i="9"/>
  <c r="K27" i="6"/>
  <c r="G22" i="13" s="1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J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Q23" i="12"/>
  <c r="J28" i="6"/>
  <c r="AJ26" i="9" s="1"/>
  <c r="AJ17" i="12"/>
  <c r="I20" i="9"/>
  <c r="C8" i="9"/>
  <c r="AF21" i="12"/>
  <c r="AU24" i="9"/>
  <c r="AG24" i="12"/>
  <c r="AT27" i="9"/>
  <c r="K11" i="12"/>
  <c r="AQ5" i="12"/>
  <c r="J10" i="6"/>
  <c r="AJ8" i="9"/>
  <c r="I35" i="6"/>
  <c r="C66" i="10"/>
  <c r="AL31" i="12"/>
  <c r="AO17" i="12"/>
  <c r="AH20" i="9"/>
  <c r="I22" i="6"/>
  <c r="J32" i="6"/>
  <c r="AJ30" i="9"/>
  <c r="J21" i="6"/>
  <c r="AJ19" i="9"/>
  <c r="H18" i="4"/>
  <c r="K21" i="9"/>
  <c r="K13" i="9"/>
  <c r="AL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O21" i="12"/>
  <c r="I26" i="6"/>
  <c r="AH24" i="9"/>
  <c r="H18" i="6"/>
  <c r="H29" i="4"/>
  <c r="G29" i="4"/>
  <c r="J26" i="6"/>
  <c r="AJ24" i="9" s="1"/>
  <c r="C31" i="9"/>
  <c r="G13" i="4"/>
  <c r="H39" i="4"/>
  <c r="G39" i="4"/>
  <c r="H24" i="4"/>
  <c r="AF6" i="12"/>
  <c r="AG10" i="12"/>
  <c r="AT13" i="9"/>
  <c r="AT9" i="9"/>
  <c r="AQ18" i="12"/>
  <c r="J23" i="6"/>
  <c r="AJ21" i="9"/>
  <c r="I11" i="9"/>
  <c r="AJ26" i="12"/>
  <c r="H9" i="6"/>
  <c r="AF30" i="12"/>
  <c r="K6" i="12"/>
  <c r="AO29" i="12"/>
  <c r="K29" i="6"/>
  <c r="G24" i="13" s="1"/>
  <c r="I29" i="6"/>
  <c r="AO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J18" i="12"/>
  <c r="AE26" i="12"/>
  <c r="K2" i="12"/>
  <c r="AE22" i="12"/>
  <c r="H19" i="4"/>
  <c r="Q253" i="10"/>
  <c r="Q1469" i="10"/>
  <c r="Q175" i="10"/>
  <c r="C29" i="9"/>
  <c r="G23" i="9"/>
  <c r="AT24" i="9"/>
  <c r="AO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O25" i="12"/>
  <c r="N32" i="12"/>
  <c r="K17" i="6"/>
  <c r="G12" i="13" s="1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BI16" i="1" s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P32" i="12"/>
  <c r="AH29" i="9"/>
  <c r="I34" i="6"/>
  <c r="AH28" i="9"/>
  <c r="K30" i="6"/>
  <c r="G25" i="13" s="1"/>
  <c r="J34" i="6"/>
  <c r="AJ32" i="9" s="1"/>
  <c r="I7" i="6"/>
  <c r="H12" i="6"/>
  <c r="J18" i="6"/>
  <c r="AJ16" i="9"/>
  <c r="AQ2" i="12"/>
  <c r="AO19" i="12"/>
  <c r="K24" i="6"/>
  <c r="G19" i="13" s="1"/>
  <c r="J8" i="6"/>
  <c r="AJ6" i="9"/>
  <c r="AH22" i="9"/>
  <c r="I19" i="9"/>
  <c r="I26" i="9"/>
  <c r="BN24" i="9"/>
  <c r="K26" i="6"/>
  <c r="G21" i="13" s="1"/>
  <c r="AK12" i="12"/>
  <c r="I8" i="9"/>
  <c r="J25" i="6"/>
  <c r="AJ23" i="9"/>
  <c r="K6" i="6"/>
  <c r="H26" i="6"/>
  <c r="AP21" i="12"/>
  <c r="AH8" i="9"/>
  <c r="AO12" i="12"/>
  <c r="AO20" i="12"/>
  <c r="AH23" i="9"/>
  <c r="K25" i="6"/>
  <c r="G20" i="13" s="1"/>
  <c r="AC27" i="12"/>
  <c r="AF24" i="12"/>
  <c r="AE27" i="12"/>
  <c r="K6" i="1"/>
  <c r="G2" i="12" s="1"/>
  <c r="G15" i="12"/>
  <c r="V38" i="2"/>
  <c r="S38" i="2"/>
  <c r="C22" i="7"/>
  <c r="AF10" i="12"/>
  <c r="AQ26" i="12"/>
  <c r="AH31" i="9"/>
  <c r="AU31" i="9"/>
  <c r="I22" i="9"/>
  <c r="H27" i="6"/>
  <c r="H2370" i="10"/>
  <c r="AT7" i="9"/>
  <c r="K30" i="1"/>
  <c r="G26" i="12"/>
  <c r="K22" i="9"/>
  <c r="H24" i="2"/>
  <c r="I19" i="13" s="1"/>
  <c r="D2370" i="10"/>
  <c r="K29" i="9"/>
  <c r="BM25" i="9"/>
  <c r="H28" i="6"/>
  <c r="AT22" i="9"/>
  <c r="H20" i="6"/>
  <c r="AC32" i="12"/>
  <c r="I27" i="9"/>
  <c r="AO28" i="12"/>
  <c r="G37" i="4"/>
  <c r="G30" i="4"/>
  <c r="Q27" i="2"/>
  <c r="X25" i="9"/>
  <c r="AF20" i="12"/>
  <c r="AQ19" i="12"/>
  <c r="J33" i="6"/>
  <c r="AJ31" i="9" s="1"/>
  <c r="AT26" i="9"/>
  <c r="D6" i="10"/>
  <c r="O6" i="10"/>
  <c r="I17" i="9"/>
  <c r="AO16" i="12"/>
  <c r="AO15" i="12"/>
  <c r="K21" i="6"/>
  <c r="G16" i="13" s="1"/>
  <c r="J20" i="6"/>
  <c r="AJ18" i="9"/>
  <c r="AK8" i="12"/>
  <c r="AH14" i="9"/>
  <c r="K16" i="6"/>
  <c r="G11" i="13" s="1"/>
  <c r="AO11" i="12"/>
  <c r="I17" i="6"/>
  <c r="K14" i="6"/>
  <c r="G9" i="13" s="1"/>
  <c r="I14" i="6"/>
  <c r="AO7" i="12"/>
  <c r="AP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K7" i="12"/>
  <c r="I9" i="9"/>
  <c r="I10" i="9"/>
  <c r="AO3" i="12"/>
  <c r="J12" i="6"/>
  <c r="AJ10" i="9"/>
  <c r="AH9" i="9"/>
  <c r="I12" i="6"/>
  <c r="AC6" i="12"/>
  <c r="AT8" i="9"/>
  <c r="AU8" i="9"/>
  <c r="E9" i="9"/>
  <c r="I10" i="6"/>
  <c r="I5" i="9"/>
  <c r="K7" i="6"/>
  <c r="G2" i="13" s="1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 s="1"/>
  <c r="AC3" i="12"/>
  <c r="AG3" i="12"/>
  <c r="K22" i="6"/>
  <c r="G17" i="13" s="1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 s="1"/>
  <c r="H34" i="6"/>
  <c r="AP29" i="12"/>
  <c r="K32" i="6"/>
  <c r="G27" i="13" s="1"/>
  <c r="H32" i="6"/>
  <c r="K33" i="6"/>
  <c r="G28" i="13" s="1"/>
  <c r="AO26" i="12"/>
  <c r="K31" i="6"/>
  <c r="G26" i="13" s="1"/>
  <c r="C32" i="9"/>
  <c r="U37" i="1"/>
  <c r="U38" i="1"/>
  <c r="K32" i="1"/>
  <c r="G28" i="12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P19" i="12"/>
  <c r="H24" i="6"/>
  <c r="AJ28" i="12"/>
  <c r="I31" i="9"/>
  <c r="AK27" i="12"/>
  <c r="K30" i="9"/>
  <c r="K28" i="9"/>
  <c r="AK25" i="12"/>
  <c r="K34" i="1"/>
  <c r="G30" i="12"/>
  <c r="G33" i="9"/>
  <c r="E32" i="9"/>
  <c r="K33" i="1"/>
  <c r="G29" i="12"/>
  <c r="F21" i="12"/>
  <c r="C24" i="9"/>
  <c r="O2369" i="10"/>
  <c r="T38" i="2"/>
  <c r="G18" i="12"/>
  <c r="AT28" i="9"/>
  <c r="AQ12" i="12"/>
  <c r="K8" i="6"/>
  <c r="G3" i="13" s="1"/>
  <c r="AP18" i="12"/>
  <c r="G20" i="12"/>
  <c r="G19" i="12"/>
  <c r="AU21" i="9"/>
  <c r="J13" i="6"/>
  <c r="AJ11" i="9"/>
  <c r="AQ14" i="12"/>
  <c r="J11" i="6"/>
  <c r="AJ9" i="9"/>
  <c r="K10" i="6"/>
  <c r="G5" i="13" s="1"/>
  <c r="H8" i="6"/>
  <c r="K12" i="6"/>
  <c r="G7" i="13" s="1"/>
  <c r="H10" i="6"/>
  <c r="K18" i="6"/>
  <c r="G13" i="13" s="1"/>
  <c r="K11" i="6"/>
  <c r="G6" i="13" s="1"/>
  <c r="AO13" i="12"/>
  <c r="H23" i="2"/>
  <c r="I18" i="13" s="1"/>
  <c r="AK15" i="12"/>
  <c r="I21" i="9"/>
  <c r="J22" i="6"/>
  <c r="AJ20" i="9"/>
  <c r="H22" i="6"/>
  <c r="AO18" i="12"/>
  <c r="AH21" i="9"/>
  <c r="I21" i="6"/>
  <c r="K20" i="6"/>
  <c r="G15" i="13" s="1"/>
  <c r="I19" i="6"/>
  <c r="AH17" i="9"/>
  <c r="H19" i="2"/>
  <c r="I14" i="13" s="1"/>
  <c r="I18" i="9"/>
  <c r="H20" i="2"/>
  <c r="I15" i="13" s="1"/>
  <c r="X37" i="2"/>
  <c r="Z37" i="2" s="1"/>
  <c r="H12" i="2"/>
  <c r="I7" i="13" s="1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 s="1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 s="1"/>
  <c r="F15" i="12"/>
  <c r="C18" i="9"/>
  <c r="G17" i="12"/>
  <c r="K12" i="1"/>
  <c r="G8" i="12" s="1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I13" i="11" s="1"/>
  <c r="O37" i="1"/>
  <c r="O38" i="1" s="1"/>
  <c r="C15" i="9"/>
  <c r="H16" i="2"/>
  <c r="I11" i="13" s="1"/>
  <c r="AP14" i="12"/>
  <c r="H10" i="2"/>
  <c r="I5" i="13" s="1"/>
  <c r="AK5" i="12"/>
  <c r="I13" i="9"/>
  <c r="AO10" i="12"/>
  <c r="J14" i="4"/>
  <c r="H40" i="4"/>
  <c r="G40" i="4"/>
  <c r="C37" i="1"/>
  <c r="C38" i="1"/>
  <c r="R5" i="9"/>
  <c r="O38" i="2"/>
  <c r="AK20" i="12"/>
  <c r="K23" i="9"/>
  <c r="K17" i="9"/>
  <c r="AK14" i="12"/>
  <c r="AT5" i="9"/>
  <c r="AW5" i="9"/>
  <c r="F30" i="12"/>
  <c r="C33" i="9"/>
  <c r="F11" i="12"/>
  <c r="C14" i="9"/>
  <c r="L11" i="12"/>
  <c r="AO27" i="12"/>
  <c r="I32" i="6"/>
  <c r="I13" i="6"/>
  <c r="AH11" i="9"/>
  <c r="AO4" i="12"/>
  <c r="AH7" i="9"/>
  <c r="I9" i="6"/>
  <c r="AQ4" i="12"/>
  <c r="J9" i="6"/>
  <c r="AJ7" i="9"/>
  <c r="I36" i="6"/>
  <c r="K36" i="6"/>
  <c r="G31" i="13" s="1"/>
  <c r="AO31" i="12"/>
  <c r="AP16" i="12"/>
  <c r="H21" i="6"/>
  <c r="AP12" i="12"/>
  <c r="H17" i="6"/>
  <c r="AJ29" i="12"/>
  <c r="I32" i="9"/>
  <c r="AJ27" i="12"/>
  <c r="I30" i="9"/>
  <c r="K35" i="1"/>
  <c r="G31" i="12"/>
  <c r="K18" i="12"/>
  <c r="AG20" i="12"/>
  <c r="AT23" i="9"/>
  <c r="AE18" i="12"/>
  <c r="K16" i="9"/>
  <c r="AK13" i="12"/>
  <c r="K12" i="9"/>
  <c r="AK9" i="12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 s="1"/>
  <c r="C23" i="9"/>
  <c r="AG2" i="12"/>
  <c r="N4" i="12"/>
  <c r="AR37" i="1"/>
  <c r="AR38" i="1"/>
  <c r="G19" i="9"/>
  <c r="C12" i="9"/>
  <c r="I10" i="4"/>
  <c r="AP2" i="12"/>
  <c r="K15" i="6"/>
  <c r="G10" i="13" s="1"/>
  <c r="H19" i="6"/>
  <c r="C38" i="6"/>
  <c r="W30" i="2"/>
  <c r="BN28" i="9" s="1"/>
  <c r="H18" i="2"/>
  <c r="I13" i="13" s="1"/>
  <c r="H15" i="2"/>
  <c r="I10" i="13" s="1"/>
  <c r="AK28" i="12"/>
  <c r="AJ4" i="12"/>
  <c r="I28" i="9"/>
  <c r="AH26" i="9"/>
  <c r="C38" i="2"/>
  <c r="I33" i="9" s="1"/>
  <c r="AO8" i="12"/>
  <c r="AH30" i="9"/>
  <c r="H25" i="6"/>
  <c r="H34" i="4"/>
  <c r="G14" i="12"/>
  <c r="J35" i="6"/>
  <c r="O2368" i="10"/>
  <c r="AK16" i="12"/>
  <c r="I11" i="6"/>
  <c r="C19" i="9"/>
  <c r="H22" i="4"/>
  <c r="J26" i="4"/>
  <c r="G25" i="4"/>
  <c r="I31" i="4"/>
  <c r="H11" i="6"/>
  <c r="G12" i="4"/>
  <c r="E11" i="9"/>
  <c r="I6" i="9"/>
  <c r="AJ3" i="12"/>
  <c r="AK24" i="12"/>
  <c r="K20" i="9"/>
  <c r="H22" i="2"/>
  <c r="I17" i="13" s="1"/>
  <c r="AK17" i="12"/>
  <c r="AK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I16" i="13" s="1"/>
  <c r="H17" i="2"/>
  <c r="I12" i="13" s="1"/>
  <c r="G38" i="2"/>
  <c r="H9" i="2"/>
  <c r="I4" i="13" s="1"/>
  <c r="H11" i="2"/>
  <c r="I6" i="13" s="1"/>
  <c r="H13" i="2"/>
  <c r="I8" i="13" s="1"/>
  <c r="H14" i="2"/>
  <c r="I9" i="13" s="1"/>
  <c r="I12" i="9"/>
  <c r="H14" i="6"/>
  <c r="H13" i="6"/>
  <c r="K13" i="6"/>
  <c r="G8" i="13" s="1"/>
  <c r="AX37" i="1"/>
  <c r="AX38" i="1"/>
  <c r="AV37" i="1"/>
  <c r="AV38" i="1"/>
  <c r="AT37" i="1"/>
  <c r="AT38" i="1"/>
  <c r="Y37" i="1"/>
  <c r="Y38" i="1"/>
  <c r="C11" i="9"/>
  <c r="BP37" i="1"/>
  <c r="BP38" i="1"/>
  <c r="AZ37" i="1"/>
  <c r="AZ38" i="1"/>
  <c r="AI37" i="1"/>
  <c r="AI38" i="1"/>
  <c r="AC37" i="1"/>
  <c r="AC38" i="1"/>
  <c r="AA37" i="1"/>
  <c r="AA38" i="1"/>
  <c r="W37" i="1"/>
  <c r="W38" i="1"/>
  <c r="J37" i="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W28" i="2"/>
  <c r="BN26" i="9"/>
  <c r="U28" i="2"/>
  <c r="BM26" i="9"/>
  <c r="BJ18" i="1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AC28" i="12"/>
  <c r="BJ31" i="1"/>
  <c r="BJ29" i="1"/>
  <c r="BI34" i="1"/>
  <c r="BJ34" i="1"/>
  <c r="BI28" i="1"/>
  <c r="BJ28" i="1"/>
  <c r="BS9" i="1"/>
  <c r="E5" i="13" s="1"/>
  <c r="BX9" i="1"/>
  <c r="AC23" i="12"/>
  <c r="X28" i="2"/>
  <c r="P26" i="9"/>
  <c r="BS27" i="1"/>
  <c r="E23" i="13" s="1"/>
  <c r="BS36" i="1"/>
  <c r="E32" i="13" s="1"/>
  <c r="BX36" i="1"/>
  <c r="BS26" i="1"/>
  <c r="E22" i="13" s="1"/>
  <c r="BX26" i="1"/>
  <c r="AC4" i="12"/>
  <c r="AC14" i="12"/>
  <c r="BS23" i="1"/>
  <c r="E19" i="13" s="1"/>
  <c r="BX23" i="1"/>
  <c r="BS31" i="1"/>
  <c r="E27" i="13" s="1"/>
  <c r="BS8" i="1"/>
  <c r="E4" i="13" s="1"/>
  <c r="I22" i="4"/>
  <c r="J27" i="4"/>
  <c r="BS18" i="1"/>
  <c r="E14" i="13" s="1"/>
  <c r="X24" i="2"/>
  <c r="J39" i="4"/>
  <c r="Q24" i="2"/>
  <c r="X22" i="9"/>
  <c r="O2370" i="10"/>
  <c r="P22" i="9"/>
  <c r="BS30" i="1"/>
  <c r="E26" i="13" s="1"/>
  <c r="AC2" i="12"/>
  <c r="I39" i="4"/>
  <c r="X19" i="2"/>
  <c r="Y19" i="2"/>
  <c r="BP17" i="9"/>
  <c r="BS13" i="1"/>
  <c r="E9" i="13" s="1"/>
  <c r="BS10" i="1"/>
  <c r="E6" i="13" s="1"/>
  <c r="J19" i="4"/>
  <c r="J22" i="4"/>
  <c r="I40" i="4"/>
  <c r="BS6" i="1"/>
  <c r="E2" i="13" s="1"/>
  <c r="J21" i="4"/>
  <c r="P16" i="9"/>
  <c r="Q15" i="2"/>
  <c r="X13" i="9"/>
  <c r="X33" i="2"/>
  <c r="Z33" i="2"/>
  <c r="BQ31" i="9"/>
  <c r="BS12" i="1"/>
  <c r="E8" i="13" s="1"/>
  <c r="Q33" i="2"/>
  <c r="X31" i="9"/>
  <c r="BS32" i="1"/>
  <c r="E28" i="13" s="1"/>
  <c r="BX32" i="1"/>
  <c r="AC29" i="12"/>
  <c r="BS33" i="1"/>
  <c r="E29" i="13" s="1"/>
  <c r="BX33" i="1"/>
  <c r="E42" i="4"/>
  <c r="C38" i="7"/>
  <c r="I21" i="4"/>
  <c r="I34" i="4"/>
  <c r="J28" i="4"/>
  <c r="J23" i="4"/>
  <c r="J31" i="4"/>
  <c r="BM27" i="9"/>
  <c r="X29" i="2"/>
  <c r="BN27" i="9"/>
  <c r="Q29" i="2"/>
  <c r="X27" i="9"/>
  <c r="P27" i="9"/>
  <c r="AC12" i="12"/>
  <c r="X23" i="2"/>
  <c r="Y23" i="2"/>
  <c r="BP21" i="9"/>
  <c r="Q23" i="2"/>
  <c r="X21" i="9"/>
  <c r="BM21" i="9"/>
  <c r="BS24" i="1"/>
  <c r="E20" i="13" s="1"/>
  <c r="AC20" i="12"/>
  <c r="Q19" i="2"/>
  <c r="X17" i="9"/>
  <c r="X20" i="2"/>
  <c r="Q20" i="2"/>
  <c r="X18" i="9"/>
  <c r="P18" i="9"/>
  <c r="Y26" i="2"/>
  <c r="BP24" i="9"/>
  <c r="Z26" i="2"/>
  <c r="BQ24" i="9"/>
  <c r="BO24" i="9"/>
  <c r="I18" i="4"/>
  <c r="I26" i="4"/>
  <c r="I32" i="4"/>
  <c r="I36" i="4"/>
  <c r="BS17" i="1"/>
  <c r="E13" i="13" s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AC25" i="12"/>
  <c r="BS29" i="1"/>
  <c r="E25" i="13" s="1"/>
  <c r="AC16" i="12"/>
  <c r="BS20" i="1"/>
  <c r="BX20" i="1"/>
  <c r="P14" i="9"/>
  <c r="Q16" i="2"/>
  <c r="X14" i="9"/>
  <c r="X16" i="2"/>
  <c r="X18" i="2"/>
  <c r="Y18" i="2"/>
  <c r="BP16" i="9"/>
  <c r="X10" i="2"/>
  <c r="Y10" i="2"/>
  <c r="BP8" i="9"/>
  <c r="P8" i="9"/>
  <c r="BN8" i="9"/>
  <c r="Q13" i="2"/>
  <c r="X11" i="9"/>
  <c r="X15" i="2"/>
  <c r="Y15" i="2"/>
  <c r="BP13" i="9"/>
  <c r="AC31" i="12"/>
  <c r="BS35" i="1"/>
  <c r="E31" i="13" s="1"/>
  <c r="BX35" i="1"/>
  <c r="I37" i="4"/>
  <c r="I35" i="4"/>
  <c r="I38" i="4"/>
  <c r="X35" i="2"/>
  <c r="Q35" i="2"/>
  <c r="Q18" i="2"/>
  <c r="X16" i="9"/>
  <c r="AH33" i="9"/>
  <c r="E27" i="11"/>
  <c r="F27" i="11"/>
  <c r="I20" i="4"/>
  <c r="I17" i="4"/>
  <c r="I29" i="4"/>
  <c r="J33" i="4"/>
  <c r="P30" i="9"/>
  <c r="X32" i="2"/>
  <c r="Z32" i="2" s="1"/>
  <c r="BQ30" i="9" s="1"/>
  <c r="Q32" i="2"/>
  <c r="X30" i="9"/>
  <c r="X34" i="2"/>
  <c r="P32" i="9"/>
  <c r="Q34" i="2"/>
  <c r="X32" i="9"/>
  <c r="J36" i="4"/>
  <c r="J37" i="4"/>
  <c r="J40" i="4"/>
  <c r="AC15" i="12"/>
  <c r="BS19" i="1"/>
  <c r="E15" i="13" s="1"/>
  <c r="BX19" i="1"/>
  <c r="AC17" i="12"/>
  <c r="BS21" i="1"/>
  <c r="E17" i="13" s="1"/>
  <c r="BX21" i="1"/>
  <c r="X22" i="2"/>
  <c r="BN20" i="9"/>
  <c r="Q22" i="2"/>
  <c r="X20" i="9"/>
  <c r="P20" i="9"/>
  <c r="I12" i="4"/>
  <c r="I14" i="4"/>
  <c r="I24" i="4"/>
  <c r="I13" i="4"/>
  <c r="I23" i="4"/>
  <c r="I25" i="4"/>
  <c r="J34" i="4"/>
  <c r="J35" i="4"/>
  <c r="X36" i="2"/>
  <c r="Y36" i="2" s="1"/>
  <c r="P13" i="9"/>
  <c r="Q30" i="2"/>
  <c r="X28" i="9" s="1"/>
  <c r="P28" i="9"/>
  <c r="I19" i="4"/>
  <c r="I28" i="4"/>
  <c r="J29" i="4"/>
  <c r="BS22" i="1"/>
  <c r="E18" i="13" s="1"/>
  <c r="BX22" i="1"/>
  <c r="AC18" i="12"/>
  <c r="I38" i="6"/>
  <c r="I39" i="6"/>
  <c r="P23" i="9"/>
  <c r="Q25" i="2"/>
  <c r="X23" i="9"/>
  <c r="X25" i="2"/>
  <c r="R33" i="9"/>
  <c r="I33" i="4"/>
  <c r="J25" i="4"/>
  <c r="J20" i="4"/>
  <c r="J17" i="4"/>
  <c r="J38" i="4"/>
  <c r="X21" i="2"/>
  <c r="BN19" i="9"/>
  <c r="P19" i="9"/>
  <c r="Q21" i="2"/>
  <c r="X19" i="9"/>
  <c r="P15" i="9"/>
  <c r="BM15" i="9"/>
  <c r="Q17" i="2"/>
  <c r="X15" i="9"/>
  <c r="BN15" i="9"/>
  <c r="X17" i="2"/>
  <c r="P7" i="9"/>
  <c r="X9" i="2"/>
  <c r="Q9" i="2"/>
  <c r="X7" i="9"/>
  <c r="X11" i="2"/>
  <c r="P9" i="9"/>
  <c r="Q11" i="2"/>
  <c r="X9" i="9"/>
  <c r="X14" i="2"/>
  <c r="P12" i="9"/>
  <c r="Q14" i="2"/>
  <c r="X12" i="9"/>
  <c r="AN37" i="1"/>
  <c r="B13" i="11"/>
  <c r="C13" i="11" s="1"/>
  <c r="J38" i="1"/>
  <c r="AC7" i="12"/>
  <c r="BS11" i="1"/>
  <c r="E7" i="13" s="1"/>
  <c r="C39" i="6"/>
  <c r="AH34" i="9"/>
  <c r="AJ37" i="9"/>
  <c r="BU11" i="1"/>
  <c r="BX11" i="1"/>
  <c r="BW29" i="1"/>
  <c r="BX29" i="1"/>
  <c r="BU17" i="1"/>
  <c r="BX17" i="1"/>
  <c r="BW24" i="1"/>
  <c r="BX24" i="1"/>
  <c r="BX12" i="1"/>
  <c r="BY12" i="1"/>
  <c r="BU6" i="1"/>
  <c r="BX6" i="1"/>
  <c r="BW10" i="1"/>
  <c r="BX10" i="1"/>
  <c r="BW13" i="1"/>
  <c r="BX13" i="1"/>
  <c r="BX30" i="1"/>
  <c r="BX18" i="1"/>
  <c r="BW31" i="1"/>
  <c r="BX31" i="1"/>
  <c r="BW27" i="1"/>
  <c r="BX27" i="1"/>
  <c r="BS25" i="1"/>
  <c r="E21" i="13" s="1"/>
  <c r="BX25" i="1"/>
  <c r="BO13" i="9"/>
  <c r="BS28" i="1"/>
  <c r="E24" i="13" s="1"/>
  <c r="BZ9" i="1"/>
  <c r="BY9" i="1"/>
  <c r="BS14" i="1"/>
  <c r="E10" i="13" s="1"/>
  <c r="BS34" i="1"/>
  <c r="E30" i="13" s="1"/>
  <c r="BZ27" i="1"/>
  <c r="BU27" i="1"/>
  <c r="Z28" i="2"/>
  <c r="BQ26" i="9"/>
  <c r="Y28" i="2"/>
  <c r="BP26" i="9"/>
  <c r="BO26" i="9"/>
  <c r="Z19" i="2"/>
  <c r="BQ17" i="9"/>
  <c r="BO31" i="9"/>
  <c r="BU36" i="1"/>
  <c r="BW36" i="1"/>
  <c r="BZ31" i="1"/>
  <c r="BU31" i="1"/>
  <c r="BY36" i="1"/>
  <c r="BU30" i="1"/>
  <c r="BY30" i="1"/>
  <c r="BY6" i="1"/>
  <c r="BW6" i="1"/>
  <c r="BZ18" i="1"/>
  <c r="BW18" i="1"/>
  <c r="BW30" i="1"/>
  <c r="BU18" i="1"/>
  <c r="Z10" i="2"/>
  <c r="BQ8" i="9"/>
  <c r="Z24" i="2"/>
  <c r="BQ22" i="9"/>
  <c r="Y24" i="2"/>
  <c r="BP22" i="9"/>
  <c r="BO22" i="9"/>
  <c r="BO17" i="9"/>
  <c r="Y13" i="2"/>
  <c r="BP11" i="9"/>
  <c r="Z18" i="2"/>
  <c r="BQ16" i="9"/>
  <c r="Y33" i="2"/>
  <c r="BP31" i="9"/>
  <c r="BO8" i="9"/>
  <c r="BZ12" i="1"/>
  <c r="BU12" i="1"/>
  <c r="BW12" i="1"/>
  <c r="BU9" i="1"/>
  <c r="BU33" i="1"/>
  <c r="BZ33" i="1"/>
  <c r="BW33" i="1"/>
  <c r="BW32" i="1"/>
  <c r="BU32" i="1"/>
  <c r="Z13" i="2"/>
  <c r="BQ11" i="9"/>
  <c r="Y29" i="2"/>
  <c r="BP27" i="9"/>
  <c r="BO27" i="9"/>
  <c r="Z29" i="2"/>
  <c r="BQ27" i="9"/>
  <c r="BW9" i="1"/>
  <c r="BY10" i="1"/>
  <c r="BU10" i="1"/>
  <c r="BU13" i="1"/>
  <c r="BW28" i="1"/>
  <c r="BU28" i="1"/>
  <c r="BU29" i="1"/>
  <c r="BU24" i="1"/>
  <c r="BW26" i="1"/>
  <c r="Z23" i="2"/>
  <c r="BQ21" i="9"/>
  <c r="BO21" i="9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BY17" i="1"/>
  <c r="BW20" i="1"/>
  <c r="Z16" i="2"/>
  <c r="BQ14" i="9"/>
  <c r="Y16" i="2"/>
  <c r="BP14" i="9"/>
  <c r="BO14" i="9"/>
  <c r="BO16" i="9"/>
  <c r="Z15" i="2"/>
  <c r="BQ13" i="9"/>
  <c r="BU22" i="1"/>
  <c r="BW22" i="1"/>
  <c r="BU21" i="1"/>
  <c r="BW21" i="1"/>
  <c r="BU19" i="1"/>
  <c r="BW19" i="1"/>
  <c r="BU35" i="1"/>
  <c r="BW35" i="1"/>
  <c r="Y25" i="2"/>
  <c r="BP23" i="9"/>
  <c r="BO23" i="9"/>
  <c r="Z25" i="2"/>
  <c r="BQ23" i="9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BY32" i="1"/>
  <c r="BZ32" i="1"/>
  <c r="BX34" i="1"/>
  <c r="BW14" i="1"/>
  <c r="BX14" i="1"/>
  <c r="BX28" i="1"/>
  <c r="BY28" i="1"/>
  <c r="BW25" i="1"/>
  <c r="BU25" i="1"/>
  <c r="BZ14" i="1"/>
  <c r="BU14" i="1"/>
  <c r="BY27" i="1"/>
  <c r="BU34" i="1"/>
  <c r="BW34" i="1"/>
  <c r="BZ34" i="1"/>
  <c r="BY31" i="1"/>
  <c r="BZ6" i="1"/>
  <c r="BZ30" i="1"/>
  <c r="BZ36" i="1"/>
  <c r="BY18" i="1"/>
  <c r="BY14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BZ11" i="1"/>
  <c r="BY11" i="1"/>
  <c r="BZ25" i="1"/>
  <c r="BY25" i="1"/>
  <c r="BY34" i="1"/>
  <c r="G54" i="11" l="1"/>
  <c r="BU20" i="1"/>
  <c r="E16" i="13"/>
  <c r="BN37" i="1"/>
  <c r="BN38" i="1" s="1"/>
  <c r="BH15" i="1"/>
  <c r="BJ16" i="1"/>
  <c r="BS16" i="1"/>
  <c r="V39" i="2"/>
  <c r="Y37" i="2"/>
  <c r="T39" i="2"/>
  <c r="C39" i="2"/>
  <c r="I34" i="9" s="1"/>
  <c r="G39" i="2"/>
  <c r="Z36" i="2"/>
  <c r="O39" i="2"/>
  <c r="R34" i="9" s="1"/>
  <c r="BB37" i="1"/>
  <c r="BB38" i="1" s="1"/>
  <c r="BI7" i="1"/>
  <c r="Z3" i="12"/>
  <c r="E7" i="9"/>
  <c r="E6" i="9"/>
  <c r="H7" i="2"/>
  <c r="I2" i="13" s="1"/>
  <c r="U7" i="2"/>
  <c r="BM5" i="9" s="1"/>
  <c r="Q7" i="2"/>
  <c r="X5" i="9" s="1"/>
  <c r="X7" i="2"/>
  <c r="W7" i="2"/>
  <c r="BN5" i="9" s="1"/>
  <c r="P5" i="9"/>
  <c r="K5" i="9"/>
  <c r="H8" i="2"/>
  <c r="AK2" i="12"/>
  <c r="AK3" i="12"/>
  <c r="E38" i="2"/>
  <c r="E39" i="2" s="1"/>
  <c r="K33" i="9" s="1"/>
  <c r="Y32" i="2"/>
  <c r="BP30" i="9" s="1"/>
  <c r="BO30" i="9"/>
  <c r="X30" i="2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Q38" i="1"/>
  <c r="BU8" i="1"/>
  <c r="BW8" i="1"/>
  <c r="BX8" i="1"/>
  <c r="G38" i="6"/>
  <c r="G39" i="6" s="1"/>
  <c r="BL37" i="1"/>
  <c r="BL38" i="1" s="1"/>
  <c r="AD22" i="12"/>
  <c r="AJ29" i="9"/>
  <c r="J38" i="6"/>
  <c r="AQ31" i="12"/>
  <c r="K35" i="6"/>
  <c r="G30" i="13" s="1"/>
  <c r="E38" i="6"/>
  <c r="E39" i="6" s="1"/>
  <c r="H35" i="6"/>
  <c r="H38" i="6" s="1"/>
  <c r="H39" i="6" s="1"/>
  <c r="H38" i="2" l="1"/>
  <c r="I3" i="13"/>
  <c r="AC11" i="12"/>
  <c r="BH37" i="1"/>
  <c r="BH38" i="1" s="1"/>
  <c r="BI15" i="1"/>
  <c r="E12" i="13"/>
  <c r="BU16" i="1"/>
  <c r="BX16" i="1"/>
  <c r="BW16" i="1"/>
  <c r="BJ7" i="1"/>
  <c r="BI37" i="1"/>
  <c r="F13" i="11" s="1"/>
  <c r="G13" i="11" s="1"/>
  <c r="K13" i="11" s="1"/>
  <c r="BS7" i="1"/>
  <c r="E3" i="13" s="1"/>
  <c r="P6" i="9"/>
  <c r="X8" i="2"/>
  <c r="X38" i="2" s="1"/>
  <c r="W8" i="2"/>
  <c r="BN6" i="9" s="1"/>
  <c r="U8" i="2"/>
  <c r="BM6" i="9" s="1"/>
  <c r="Q8" i="2"/>
  <c r="X6" i="9" s="1"/>
  <c r="C27" i="7"/>
  <c r="W38" i="2"/>
  <c r="BN33" i="9" s="1"/>
  <c r="H39" i="2"/>
  <c r="W39" i="2" s="1"/>
  <c r="BN34" i="9" s="1"/>
  <c r="P33" i="9"/>
  <c r="U38" i="2"/>
  <c r="BM33" i="9" s="1"/>
  <c r="BO5" i="9"/>
  <c r="Y7" i="2"/>
  <c r="BP5" i="9" s="1"/>
  <c r="F20" i="11"/>
  <c r="X29" i="9"/>
  <c r="Y31" i="2"/>
  <c r="BP29" i="9" s="1"/>
  <c r="BO29" i="9"/>
  <c r="Z31" i="2"/>
  <c r="BQ29" i="9" s="1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BZ8" i="1"/>
  <c r="BY8" i="1"/>
  <c r="AJ33" i="9"/>
  <c r="J39" i="6"/>
  <c r="AJ34" i="9" s="1"/>
  <c r="K38" i="6"/>
  <c r="BJ15" i="1" l="1"/>
  <c r="BJ37" i="1" s="1"/>
  <c r="BS15" i="1"/>
  <c r="BY16" i="1"/>
  <c r="BZ16" i="1"/>
  <c r="BU7" i="1"/>
  <c r="BW7" i="1"/>
  <c r="BX7" i="1"/>
  <c r="BS37" i="1"/>
  <c r="L13" i="11"/>
  <c r="K17" i="11"/>
  <c r="U39" i="2"/>
  <c r="BM34" i="9" s="1"/>
  <c r="P34" i="9"/>
  <c r="BO6" i="9"/>
  <c r="Z8" i="2"/>
  <c r="BQ6" i="9" s="1"/>
  <c r="Y8" i="2"/>
  <c r="BP6" i="9" s="1"/>
  <c r="Q38" i="2"/>
  <c r="X33" i="9" s="1"/>
  <c r="Q39" i="2"/>
  <c r="X34" i="9" s="1"/>
  <c r="X39" i="2"/>
  <c r="Y38" i="2"/>
  <c r="BP33" i="9" s="1"/>
  <c r="Z38" i="2"/>
  <c r="BQ33" i="9" s="1"/>
  <c r="BO33" i="9"/>
  <c r="C43" i="7"/>
  <c r="BU15" i="1" l="1"/>
  <c r="BX15" i="1"/>
  <c r="E11" i="13"/>
  <c r="BW15" i="1"/>
  <c r="M13" i="11"/>
  <c r="BU37" i="1"/>
  <c r="BS38" i="1"/>
  <c r="BW37" i="1"/>
  <c r="BZ7" i="1"/>
  <c r="BY7" i="1"/>
  <c r="BX37" i="1"/>
  <c r="BO34" i="9"/>
  <c r="Y39" i="2"/>
  <c r="BP34" i="9" s="1"/>
  <c r="Z39" i="2"/>
  <c r="BQ34" i="9" s="1"/>
  <c r="BZ15" i="1" l="1"/>
  <c r="BY15" i="1"/>
  <c r="BY37" i="1"/>
  <c r="BZ37" i="1"/>
  <c r="BX38" i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BW38" i="1"/>
  <c r="BU38" i="1"/>
  <c r="BZ38" i="1" l="1"/>
  <c r="BY38" i="1"/>
</calcChain>
</file>

<file path=xl/sharedStrings.xml><?xml version="1.0" encoding="utf-8"?>
<sst xmlns="http://schemas.openxmlformats.org/spreadsheetml/2006/main" count="900" uniqueCount="418">
  <si>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</si>
  <si>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</si>
  <si>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</si>
  <si>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</si>
  <si>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</si>
  <si>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</si>
  <si>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</si>
  <si>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</si>
  <si>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</si>
  <si>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</si>
  <si>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</si>
  <si>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</si>
  <si>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</si>
  <si>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</si>
  <si>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</si>
  <si>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</si>
  <si>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</si>
  <si>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</si>
  <si>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</si>
  <si>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</si>
  <si>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</si>
  <si>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</si>
  <si>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</si>
  <si>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</si>
  <si>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</si>
  <si>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</si>
  <si>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</si>
  <si>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</si>
  <si>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</si>
  <si>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</si>
  <si>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</si>
  <si>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</si>
  <si>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</si>
  <si>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</si>
  <si>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</si>
  <si>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</si>
  <si>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</si>
  <si>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</si>
  <si>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</si>
  <si>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</si>
  <si>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</si>
  <si>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</si>
  <si>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</si>
  <si>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Boat -KWh</t>
  </si>
  <si>
    <t>Water</t>
  </si>
  <si>
    <t>Main water meter 1 -m3</t>
  </si>
  <si>
    <t>Main water meter 2 -m3</t>
  </si>
  <si>
    <t>Main water meter 3 -m3</t>
  </si>
  <si>
    <t>Boat -m3</t>
  </si>
  <si>
    <t>Gas</t>
  </si>
  <si>
    <t>Main Gas Flow Meter -m3</t>
  </si>
  <si>
    <t>Laundry Gas Flow Meter -m3</t>
  </si>
  <si>
    <t>Gourmandize Gas Flow Meter -m3</t>
  </si>
  <si>
    <t>Read</t>
  </si>
  <si>
    <t>Cons</t>
  </si>
  <si>
    <t>Sum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</si>
  <si>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</si>
  <si>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</si>
  <si>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</si>
  <si>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</si>
  <si>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</si>
  <si>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</si>
  <si>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</si>
  <si>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</si>
  <si>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</si>
  <si>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</si>
  <si>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</si>
  <si>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</si>
  <si>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L.E\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</si>
  <si>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</si>
  <si>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</si>
  <si>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</si>
  <si>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</si>
  <si>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</si>
  <si>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</si>
  <si>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</si>
  <si>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</si>
  <si>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</si>
  <si>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</si>
  <si>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Room</t>
  </si>
  <si>
    <t>Guest</t>
  </si>
  <si>
    <t>Counter</t>
  </si>
  <si>
    <t>Produc   58%</t>
  </si>
  <si>
    <t>MTD</t>
  </si>
  <si>
    <t>AVER. Act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</si>
  <si>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</si>
  <si>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</si>
  <si>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</si>
  <si>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</si>
  <si>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</si>
  <si>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</si>
  <si>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</si>
  <si>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</si>
  <si>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No of Days MTD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</si>
  <si>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</si>
  <si>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</si>
  <si>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</si>
  <si>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</si>
  <si>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</si>
  <si>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</si>
  <si>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</si>
  <si>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</si>
  <si>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</si>
  <si>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</si>
  <si>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</si>
  <si>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</si>
  <si>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</si>
  <si>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</si>
  <si>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</si>
  <si>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</si>
  <si>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</si>
  <si>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</si>
  <si>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</si>
  <si>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</si>
  <si>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</si>
  <si>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</si>
  <si>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</si>
  <si>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</si>
  <si>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</si>
  <si>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</si>
  <si>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</si>
  <si>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</si>
  <si>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</si>
  <si>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</si>
  <si>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>Date</t>
  </si>
  <si>
    <t xml:space="preserve"> COUNTER  (2)</t>
  </si>
  <si>
    <t xml:space="preserve">MD </t>
  </si>
  <si>
    <t xml:space="preserve">KVAR 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</si>
  <si>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</si>
  <si>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</si>
  <si>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</si>
  <si>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</si>
  <si>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</si>
  <si>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</si>
  <si>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</si>
  <si>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</si>
  <si>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</si>
  <si>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</si>
  <si>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</si>
  <si>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</si>
  <si>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</si>
  <si>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</si>
  <si>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</si>
  <si>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</si>
  <si>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</si>
  <si>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</si>
  <si>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</si>
  <si>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</si>
  <si>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</si>
  <si>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</si>
  <si>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</si>
  <si>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</si>
  <si>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</si>
  <si>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</si>
  <si>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</si>
  <si>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</si>
  <si>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</si>
  <si>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</si>
  <si>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</si>
  <si>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</si>
  <si>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</si>
  <si>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</si>
  <si>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</si>
  <si>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</si>
  <si>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</si>
  <si>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</si>
  <si>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</si>
  <si>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</si>
  <si>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</si>
  <si>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</si>
  <si>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</si>
  <si>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</si>
  <si>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</si>
  <si>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</si>
  <si>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</si>
  <si>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</si>
  <si>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</si>
  <si>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</si>
  <si>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</si>
  <si>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</si>
  <si>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</si>
  <si>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</si>
  <si>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</si>
  <si>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</si>
  <si>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</si>
  <si>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</si>
  <si>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</si>
  <si>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</si>
  <si>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</si>
  <si>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</si>
  <si>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</si>
  <si>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</si>
  <si>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</si>
  <si>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</si>
  <si>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</si>
  <si>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</si>
  <si>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</si>
  <si>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</si>
  <si>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</si>
  <si>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</si>
  <si>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</si>
  <si>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</si>
  <si>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</si>
  <si>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</si>
  <si>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</si>
  <si>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</si>
  <si>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</si>
  <si>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</si>
  <si>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</si>
  <si>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</si>
  <si>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</si>
  <si>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</si>
  <si>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</si>
  <si>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</si>
  <si>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</si>
  <si>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</si>
  <si>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</si>
  <si>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</si>
  <si>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</si>
  <si>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</si>
  <si>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</si>
  <si>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</si>
  <si>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</si>
  <si>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</si>
  <si>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</si>
  <si>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</si>
  <si>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</si>
  <si>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</si>
  <si>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</si>
  <si>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</si>
  <si>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</si>
  <si>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</si>
  <si>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</si>
  <si>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</si>
  <si>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</si>
  <si>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</si>
  <si>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</si>
  <si>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</si>
  <si>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</si>
  <si>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</si>
  <si>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</si>
  <si>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</si>
  <si>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</si>
  <si>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</si>
  <si>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</si>
  <si>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</si>
  <si>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</si>
  <si>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</si>
  <si>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</si>
  <si>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</si>
  <si>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</si>
  <si>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</si>
  <si>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</si>
  <si>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</si>
  <si>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</si>
  <si>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</si>
  <si>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</si>
  <si>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</si>
  <si>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</si>
  <si>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</si>
  <si>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</si>
  <si>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</si>
  <si>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</si>
  <si>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</si>
  <si>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</si>
  <si>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</si>
  <si>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</si>
  <si>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</si>
  <si>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</si>
  <si>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</si>
  <si>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</si>
  <si>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</si>
  <si>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</si>
  <si>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</si>
  <si>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</si>
  <si>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</si>
  <si>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</si>
  <si>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</si>
  <si>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</si>
  <si>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</si>
  <si>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</si>
  <si>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</si>
  <si>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</si>
  <si>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</si>
  <si>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</si>
  <si>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</si>
  <si>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</si>
  <si>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</si>
  <si>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</si>
  <si>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</si>
  <si>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</si>
  <si>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</si>
  <si>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</si>
  <si>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</si>
  <si>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</si>
  <si>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</si>
  <si>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</si>
  <si>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</si>
  <si>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</si>
  <si>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</si>
  <si>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</si>
  <si>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</si>
  <si>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</si>
  <si>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</si>
  <si>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</si>
  <si>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</si>
  <si>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</si>
  <si>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</si>
  <si>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</si>
  <si>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</si>
  <si>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</si>
  <si>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</si>
  <si>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</si>
  <si>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</si>
  <si>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</si>
  <si>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</si>
  <si>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</si>
  <si>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</si>
  <si>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</si>
  <si>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</si>
  <si>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</si>
  <si>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</si>
  <si>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</si>
  <si>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</si>
  <si>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</si>
  <si>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</si>
  <si>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</si>
  <si>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</si>
  <si>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</si>
  <si>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</si>
  <si>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</si>
  <si>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</si>
  <si>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</si>
  <si>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</si>
  <si>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</si>
  <si>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</si>
  <si>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</si>
  <si>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 xml:space="preserve"> COUNTER  (1)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</si>
  <si>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</si>
  <si>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</si>
  <si>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</si>
  <si>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</si>
  <si>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</si>
  <si>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</si>
  <si>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</si>
  <si>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</si>
  <si>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</si>
  <si>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</si>
  <si>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</si>
  <si>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</si>
  <si>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</si>
  <si>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</si>
  <si>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</si>
  <si>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</si>
  <si>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</si>
  <si>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</si>
  <si>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</si>
  <si>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</si>
  <si>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</si>
  <si>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</si>
  <si>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</si>
  <si>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</si>
  <si>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</si>
  <si>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</si>
  <si>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</si>
  <si>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</si>
  <si>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</si>
  <si>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</si>
  <si>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</si>
  <si>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</si>
  <si>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</si>
  <si>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</si>
  <si>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</si>
  <si>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</si>
  <si>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</si>
  <si>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</si>
  <si>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</si>
  <si>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</si>
  <si>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</si>
  <si>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</si>
  <si>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</si>
  <si>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</si>
  <si>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</si>
  <si>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</si>
  <si>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</si>
  <si>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</si>
  <si>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</si>
  <si>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</si>
  <si>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</si>
  <si>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</si>
  <si>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</si>
  <si>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</si>
  <si>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Last Month Reading</t>
  </si>
  <si>
    <t>No of Days month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</si>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</sst>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6"/>
      <color indexed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</cellStyleXfs>
  <cellXfs count="974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71" fillId="15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6"/>
    <xf numFmtId="3" fontId="19" fillId="11" borderId="5" xfId="6" applyNumberFormat="1" applyFont="1" applyFill="1" applyBorder="1" applyAlignment="1">
      <alignment horizontal="center" vertical="center"/>
    </xf>
    <xf numFmtId="3" fontId="19" fillId="2" borderId="105" xfId="6" applyNumberFormat="1" applyFont="1" applyFill="1" applyBorder="1" applyAlignment="1">
      <alignment horizontal="center" vertical="center"/>
    </xf>
    <xf numFmtId="3" fontId="19" fillId="0" borderId="1" xfId="6" applyNumberFormat="1" applyFont="1" applyBorder="1" applyAlignment="1">
      <alignment horizontal="center" vertical="center"/>
    </xf>
    <xf numFmtId="1" fontId="24" fillId="0" borderId="25" xfId="6" applyNumberFormat="1" applyFont="1" applyBorder="1" applyAlignment="1" applyProtection="1">
      <alignment horizontal="center" vertical="center"/>
      <protection locked="0"/>
    </xf>
    <xf numFmtId="0" fontId="19" fillId="2" borderId="41" xfId="6" applyFont="1" applyFill="1" applyBorder="1" applyAlignment="1">
      <alignment horizontal="center" vertical="center"/>
    </xf>
    <xf numFmtId="0" fontId="19" fillId="0" borderId="41" xfId="6" applyFont="1" applyBorder="1" applyAlignment="1">
      <alignment horizontal="center" vertical="center"/>
    </xf>
    <xf numFmtId="0" fontId="4" fillId="2" borderId="9" xfId="6" applyFont="1" applyFill="1" applyBorder="1" applyAlignment="1">
      <alignment horizontal="center"/>
    </xf>
    <xf numFmtId="0" fontId="4" fillId="2" borderId="17" xfId="6" applyFont="1" applyFill="1" applyBorder="1" applyAlignment="1">
      <alignment horizontal="center"/>
    </xf>
    <xf numFmtId="43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114" xfId="0" applyNumberFormat="1" applyFont="1" applyBorder="1" applyAlignment="1">
      <alignment horizontal="center" vertical="center"/>
    </xf>
    <xf numFmtId="3" fontId="4" fillId="11" borderId="102" xfId="0" applyNumberFormat="1" applyFont="1" applyFill="1" applyBorder="1" applyAlignment="1">
      <alignment horizontal="center" vertical="center"/>
    </xf>
    <xf numFmtId="3" fontId="6" fillId="0" borderId="38" xfId="0" applyNumberFormat="1" applyFont="1" applyBorder="1" applyAlignment="1">
      <alignment horizontal="center" vertical="center"/>
    </xf>
    <xf numFmtId="3" fontId="4" fillId="17" borderId="60" xfId="0" applyNumberFormat="1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0" fontId="4" fillId="2" borderId="51" xfId="6" applyFont="1" applyFill="1" applyBorder="1" applyAlignment="1">
      <alignment horizontal="center" vertical="center"/>
    </xf>
    <xf numFmtId="0" fontId="4" fillId="2" borderId="105" xfId="6" applyFont="1" applyFill="1" applyBorder="1" applyAlignment="1">
      <alignment horizontal="center" vertical="center"/>
    </xf>
    <xf numFmtId="0" fontId="4" fillId="2" borderId="52" xfId="6" applyFont="1" applyFill="1" applyBorder="1" applyAlignment="1">
      <alignment horizontal="center" vertical="center"/>
    </xf>
    <xf numFmtId="0" fontId="4" fillId="2" borderId="44" xfId="6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0" fontId="0" fillId="0" borderId="39" xfId="0" applyBorder="1" applyAlignment="1"/>
  </cellXfs>
  <cellStyles count="7">
    <cellStyle name="Comma" xfId="1" builtinId="3"/>
    <cellStyle name="Normal" xfId="0" builtinId="0"/>
    <cellStyle name="Normal 2" xfId="6" xr:uid="{F5152CD8-05C1-4FCC-9217-181B9A5FF58F}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5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C2" sqref="C2"/>
    </sheetView>
  </sheetViews>
  <sheetFormatPr defaultColWidth="11.5703125" defaultRowHeight="12.75"/>
  <cols>
    <col min="1" max="1" width="24" style="728" bestFit="1" customWidth="1"/>
    <col min="2" max="3" width="11.5703125" style="729"/>
    <col min="4" max="4" width="13.42578125" style="729" customWidth="1"/>
    <col min="5" max="5" width="20.7109375" style="97" customWidth="1"/>
    <col min="6" max="6" width="20.140625" style="729" customWidth="1"/>
    <col min="7" max="7" width="18.28515625" style="97" customWidth="1"/>
    <col min="8" max="8" width="17.42578125" style="729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1" customFormat="1" ht="30">
      <c r="A1" s="747" t="s">
        <v>0</v>
      </c>
      <c r="B1" s="748" t="s">
        <v>1</v>
      </c>
      <c r="C1" s="748" t="s">
        <v>2</v>
      </c>
      <c r="D1" s="748" t="s">
        <v>3</v>
      </c>
      <c r="E1" s="742" t="s">
        <v>4</v>
      </c>
      <c r="F1" s="743" t="s">
        <v>5</v>
      </c>
      <c r="G1" s="742" t="s">
        <v>6</v>
      </c>
      <c r="H1" s="743" t="s">
        <v>7</v>
      </c>
      <c r="I1" s="742" t="s">
        <v>8</v>
      </c>
      <c r="J1" s="742" t="s">
        <v>9</v>
      </c>
      <c r="K1" s="742" t="s">
        <v>10</v>
      </c>
    </row>
    <row r="2" spans="1:12">
      <c r="A2" s="749" t="s">
        <v>11</v>
      </c>
      <c r="B2" s="750">
        <v>1</v>
      </c>
      <c r="C2" s="771">
        <v>8</v>
      </c>
      <c r="D2" s="751">
        <v>2022</v>
      </c>
      <c r="E2" s="746">
        <f>Elect!BS6+Submetering!AH2</f>
        <v>26128.563194482573</v>
      </c>
      <c r="F2" s="744">
        <f>'Utility Consnsumption'!K13/'Utility Consnsumption'!J13</f>
        <v>1.3909353244543528</v>
      </c>
      <c r="G2" s="745">
        <f>Gas!K7+Submetering!AR2</f>
        <v>4034.4844444483961</v>
      </c>
      <c r="H2" s="744">
        <v>3.8</v>
      </c>
      <c r="I2" s="745">
        <f>Water!H7+Submetering!AM2</f>
        <v>433.40499999981853</v>
      </c>
      <c r="J2" s="744">
        <v>10</v>
      </c>
      <c r="K2" s="745">
        <f>Elect!BT6</f>
        <v>238</v>
      </c>
    </row>
    <row r="3" spans="1:12">
      <c r="A3" s="752" t="s">
        <v>11</v>
      </c>
      <c r="B3" s="729">
        <f>B2+1</f>
        <v>2</v>
      </c>
      <c r="C3" s="771">
        <v>8</v>
      </c>
      <c r="D3" s="751">
        <v>2022</v>
      </c>
      <c r="E3" s="746">
        <f>Elect!BS7+Submetering!AH3</f>
        <v>23425.48</v>
      </c>
      <c r="F3" s="744">
        <f>F2</f>
        <v>1.3909353244543528</v>
      </c>
      <c r="G3" s="745">
        <f>Gas!K8+Submetering!AR3</f>
        <v>1966.5600000000002</v>
      </c>
      <c r="H3" s="744">
        <v>3.8</v>
      </c>
      <c r="I3" s="745">
        <f>Water!H8+Submetering!AM3</f>
        <v>258.10000000000002</v>
      </c>
      <c r="J3" s="744">
        <v>10</v>
      </c>
      <c r="K3" s="745">
        <f>Elect!BT7</f>
        <v>227</v>
      </c>
    </row>
    <row r="4" spans="1:12">
      <c r="A4" s="752" t="s">
        <v>11</v>
      </c>
      <c r="B4" s="729">
        <f t="shared" ref="B4:B32" si="0">B3+1</f>
        <v>3</v>
      </c>
      <c r="C4" s="771">
        <v>8</v>
      </c>
      <c r="D4" s="751">
        <v>2022</v>
      </c>
      <c r="E4" s="746">
        <f>Elect!BS8+Submetering!AH4</f>
        <v>25080.584999999999</v>
      </c>
      <c r="F4" s="744">
        <f t="shared" ref="F4:F32" si="1">F3</f>
        <v>1.3909353244543528</v>
      </c>
      <c r="G4" s="745">
        <f>Gas!K9+Submetering!AR4</f>
        <v>2100.1</v>
      </c>
      <c r="H4" s="744">
        <v>3.8</v>
      </c>
      <c r="I4" s="745">
        <f>Water!H9+Submetering!AM4</f>
        <v>342.78</v>
      </c>
      <c r="J4" s="744">
        <v>10</v>
      </c>
      <c r="K4" s="745">
        <f>Elect!BT8</f>
        <v>213</v>
      </c>
    </row>
    <row r="5" spans="1:12">
      <c r="A5" s="752" t="s">
        <v>11</v>
      </c>
      <c r="B5" s="729">
        <f t="shared" si="0"/>
        <v>4</v>
      </c>
      <c r="C5" s="771">
        <v>8</v>
      </c>
      <c r="D5" s="751">
        <v>2022</v>
      </c>
      <c r="E5" s="746">
        <f>Elect!BS9+Submetering!AH5</f>
        <v>23163.165000000001</v>
      </c>
      <c r="F5" s="744">
        <f t="shared" si="1"/>
        <v>1.3909353244543528</v>
      </c>
      <c r="G5" s="745">
        <f>Gas!K10+Submetering!AR5</f>
        <v>2271.86</v>
      </c>
      <c r="H5" s="744">
        <v>3.8</v>
      </c>
      <c r="I5" s="745">
        <f>Water!H10+Submetering!AM5</f>
        <v>311.45999999999998</v>
      </c>
      <c r="J5" s="744">
        <v>10</v>
      </c>
      <c r="K5" s="745">
        <f>Elect!BT9</f>
        <v>202</v>
      </c>
    </row>
    <row r="6" spans="1:12">
      <c r="A6" s="752" t="s">
        <v>11</v>
      </c>
      <c r="B6" s="729">
        <f t="shared" si="0"/>
        <v>5</v>
      </c>
      <c r="C6" s="771">
        <v>8</v>
      </c>
      <c r="D6" s="751">
        <v>2022</v>
      </c>
      <c r="E6" s="746">
        <f>Elect!BS10+Submetering!AH6</f>
        <v>24521.782500000001</v>
      </c>
      <c r="F6" s="744">
        <f t="shared" si="1"/>
        <v>1.3909353244543528</v>
      </c>
      <c r="G6" s="745">
        <f>Gas!K11+Submetering!AR6</f>
        <v>1973.64</v>
      </c>
      <c r="H6" s="744">
        <v>3.8</v>
      </c>
      <c r="I6" s="745">
        <f>Water!H11+Submetering!AM6</f>
        <v>352.06</v>
      </c>
      <c r="J6" s="744">
        <v>10</v>
      </c>
      <c r="K6" s="745">
        <f>Elect!BT10</f>
        <v>196</v>
      </c>
    </row>
    <row r="7" spans="1:12">
      <c r="A7" s="752" t="s">
        <v>11</v>
      </c>
      <c r="B7" s="729">
        <f t="shared" si="0"/>
        <v>6</v>
      </c>
      <c r="C7" s="771">
        <v>8</v>
      </c>
      <c r="D7" s="751">
        <v>2022</v>
      </c>
      <c r="E7" s="746">
        <f>Elect!BS11+Submetering!AH7</f>
        <v>25763.33</v>
      </c>
      <c r="F7" s="744">
        <f t="shared" si="1"/>
        <v>1.3909353244543528</v>
      </c>
      <c r="G7" s="745">
        <f>Gas!K12+Submetering!AR7</f>
        <v>2108.8000000000002</v>
      </c>
      <c r="H7" s="744">
        <v>3.8</v>
      </c>
      <c r="I7" s="745">
        <f>Water!H12+Submetering!AM7</f>
        <v>359.59999999999997</v>
      </c>
      <c r="J7" s="744">
        <v>10</v>
      </c>
      <c r="K7" s="745">
        <f>Elect!BT11</f>
        <v>214</v>
      </c>
    </row>
    <row r="8" spans="1:12">
      <c r="A8" s="752" t="s">
        <v>11</v>
      </c>
      <c r="B8" s="729">
        <f t="shared" si="0"/>
        <v>7</v>
      </c>
      <c r="C8" s="771">
        <v>8</v>
      </c>
      <c r="D8" s="751">
        <v>2022</v>
      </c>
      <c r="E8" s="746">
        <f>Elect!BS12+Submetering!AH8</f>
        <v>26164.927500000002</v>
      </c>
      <c r="F8" s="744">
        <f t="shared" si="1"/>
        <v>1.3909353244543528</v>
      </c>
      <c r="G8" s="745">
        <f>Gas!K13+Submetering!AR8</f>
        <v>2077.64</v>
      </c>
      <c r="H8" s="744">
        <v>3.8</v>
      </c>
      <c r="I8" s="745">
        <f>Water!H13+Submetering!AM8</f>
        <v>418.17999999999995</v>
      </c>
      <c r="J8" s="744">
        <v>10</v>
      </c>
      <c r="K8" s="745">
        <f>Elect!BT12</f>
        <v>254</v>
      </c>
    </row>
    <row r="9" spans="1:12">
      <c r="A9" s="752" t="s">
        <v>11</v>
      </c>
      <c r="B9" s="729">
        <f t="shared" si="0"/>
        <v>8</v>
      </c>
      <c r="C9" s="771">
        <v>8</v>
      </c>
      <c r="D9" s="751">
        <v>2022</v>
      </c>
      <c r="E9" s="746">
        <f>Elect!BS13+Submetering!AH9</f>
        <v>22257.474999999999</v>
      </c>
      <c r="F9" s="744">
        <f t="shared" si="1"/>
        <v>1.3909353244543528</v>
      </c>
      <c r="G9" s="745">
        <f>Gas!K14+Submetering!AR9</f>
        <v>2136.04</v>
      </c>
      <c r="H9" s="744">
        <v>3.8</v>
      </c>
      <c r="I9" s="745">
        <f>Water!H14+Submetering!AM9</f>
        <v>425.71999999999997</v>
      </c>
      <c r="J9" s="744">
        <v>10</v>
      </c>
      <c r="K9" s="745">
        <f>Elect!BT13</f>
        <v>239</v>
      </c>
    </row>
    <row r="10" spans="1:12">
      <c r="A10" s="752" t="s">
        <v>11</v>
      </c>
      <c r="B10" s="729">
        <f t="shared" si="0"/>
        <v>9</v>
      </c>
      <c r="C10" s="771">
        <v>8</v>
      </c>
      <c r="D10" s="751">
        <v>2022</v>
      </c>
      <c r="E10" s="746">
        <f>Elect!BS14+Submetering!AH10</f>
        <v>25597.535833333299</v>
      </c>
      <c r="F10" s="744">
        <f t="shared" si="1"/>
        <v>1.3909353244543528</v>
      </c>
      <c r="G10" s="745">
        <f>Gas!K15+Submetering!AR10</f>
        <v>2128.36</v>
      </c>
      <c r="H10" s="744">
        <v>3.8</v>
      </c>
      <c r="I10" s="745">
        <f>Water!H15+Submetering!AM10</f>
        <v>441.37999999999994</v>
      </c>
      <c r="J10" s="744">
        <v>10</v>
      </c>
      <c r="K10" s="745">
        <f>Elect!BT14</f>
        <v>220</v>
      </c>
    </row>
    <row r="11" spans="1:12">
      <c r="A11" s="752" t="s">
        <v>11</v>
      </c>
      <c r="B11" s="729">
        <f t="shared" si="0"/>
        <v>10</v>
      </c>
      <c r="C11" s="771">
        <v>8</v>
      </c>
      <c r="D11" s="751">
        <v>2022</v>
      </c>
      <c r="E11" s="746">
        <f>Elect!BS15+Submetering!AH11</f>
        <v>18687.874166666701</v>
      </c>
      <c r="F11" s="744">
        <f t="shared" si="1"/>
        <v>1.3909353244543528</v>
      </c>
      <c r="G11" s="745">
        <f>Gas!K16+Submetering!AR11</f>
        <v>2151.04</v>
      </c>
      <c r="H11" s="744">
        <v>3.8</v>
      </c>
      <c r="I11" s="745">
        <f>Water!H16+Submetering!AM11</f>
        <v>412.96</v>
      </c>
      <c r="J11" s="744">
        <v>10</v>
      </c>
      <c r="K11" s="745">
        <f>Elect!BT15</f>
        <v>185</v>
      </c>
    </row>
    <row r="12" spans="1:12">
      <c r="A12" s="752" t="s">
        <v>11</v>
      </c>
      <c r="B12" s="729">
        <f t="shared" si="0"/>
        <v>11</v>
      </c>
      <c r="C12" s="771">
        <v>8</v>
      </c>
      <c r="D12" s="751">
        <v>2022</v>
      </c>
      <c r="E12" s="746">
        <f>Elect!BS16+Submetering!AH12</f>
        <v>25872.397499999999</v>
      </c>
      <c r="F12" s="744">
        <f t="shared" si="1"/>
        <v>1.3909353244543528</v>
      </c>
      <c r="G12" s="745">
        <f>Gas!K17+Submetering!AR12</f>
        <v>2132.1999999999998</v>
      </c>
      <c r="H12" s="744">
        <v>3.8</v>
      </c>
      <c r="I12" s="745">
        <f>Water!H17+Submetering!AM12</f>
        <v>432.27400000000375</v>
      </c>
      <c r="J12" s="744">
        <v>10</v>
      </c>
      <c r="K12" s="745">
        <f>Elect!BT16</f>
        <v>156</v>
      </c>
      <c r="L12" s="732" t="s">
        <v>12</v>
      </c>
    </row>
    <row r="13" spans="1:12">
      <c r="A13" s="752" t="s">
        <v>11</v>
      </c>
      <c r="B13" s="729">
        <f t="shared" si="0"/>
        <v>12</v>
      </c>
      <c r="C13" s="771">
        <v>8</v>
      </c>
      <c r="D13" s="751">
        <v>2022</v>
      </c>
      <c r="E13" s="746">
        <f>Elect!BS17+Submetering!AH13</f>
        <v>24551.895</v>
      </c>
      <c r="F13" s="744">
        <f t="shared" si="1"/>
        <v>1.3909353244543528</v>
      </c>
      <c r="G13" s="745">
        <f>Gas!K18+Submetering!AR13</f>
        <v>2137.4680000007575</v>
      </c>
      <c r="H13" s="744">
        <v>3.8</v>
      </c>
      <c r="I13" s="745">
        <f>Water!H18+Submetering!AM13</f>
        <v>427.51800000000969</v>
      </c>
      <c r="J13" s="744">
        <v>10</v>
      </c>
      <c r="K13" s="745">
        <f>Elect!BT17</f>
        <v>199</v>
      </c>
      <c r="L13" s="732" t="s">
        <v>13</v>
      </c>
    </row>
    <row r="14" spans="1:12">
      <c r="A14" s="752" t="s">
        <v>11</v>
      </c>
      <c r="B14" s="729">
        <f t="shared" si="0"/>
        <v>13</v>
      </c>
      <c r="C14" s="771">
        <v>8</v>
      </c>
      <c r="D14" s="751">
        <v>2022</v>
      </c>
      <c r="E14" s="746">
        <f>Elect!BS18+Submetering!AH14</f>
        <v>24650.18</v>
      </c>
      <c r="F14" s="744">
        <f t="shared" si="1"/>
        <v>1.3909353244543528</v>
      </c>
      <c r="G14" s="745">
        <f>Gas!K19+Submetering!AR14</f>
        <v>1881.8919999992429</v>
      </c>
      <c r="H14" s="744">
        <v>3.8</v>
      </c>
      <c r="I14" s="745">
        <f>Water!H19+Submetering!AM14</f>
        <v>310.06799999998645</v>
      </c>
      <c r="J14" s="744">
        <v>10</v>
      </c>
      <c r="K14" s="745">
        <f>Elect!BT18</f>
        <v>212</v>
      </c>
    </row>
    <row r="15" spans="1:12">
      <c r="A15" s="752" t="s">
        <v>11</v>
      </c>
      <c r="B15" s="729">
        <f t="shared" si="0"/>
        <v>14</v>
      </c>
      <c r="C15" s="771">
        <v>8</v>
      </c>
      <c r="D15" s="751">
        <v>2022</v>
      </c>
      <c r="E15" s="746">
        <f>Elect!BS19+Submetering!AH15</f>
        <v>22689.682499999999</v>
      </c>
      <c r="F15" s="744">
        <f t="shared" si="1"/>
        <v>1.3909353244543528</v>
      </c>
      <c r="G15" s="745">
        <f>Gas!K20+Submetering!AR15</f>
        <v>2080.36</v>
      </c>
      <c r="H15" s="744">
        <v>3.8</v>
      </c>
      <c r="I15" s="745">
        <f>Water!H20+Submetering!AM15</f>
        <v>437.9</v>
      </c>
      <c r="J15" s="744">
        <v>10</v>
      </c>
      <c r="K15" s="745">
        <f>Elect!BT19</f>
        <v>238</v>
      </c>
    </row>
    <row r="16" spans="1:12">
      <c r="A16" s="752" t="s">
        <v>11</v>
      </c>
      <c r="B16" s="729">
        <f t="shared" si="0"/>
        <v>15</v>
      </c>
      <c r="C16" s="771">
        <v>8</v>
      </c>
      <c r="D16" s="751">
        <v>2022</v>
      </c>
      <c r="E16" s="746">
        <f>Elect!BS20+Submetering!AH16</f>
        <v>20559.145</v>
      </c>
      <c r="F16" s="744">
        <f t="shared" si="1"/>
        <v>1.3909353244543528</v>
      </c>
      <c r="G16" s="745">
        <f>Gas!K21+Submetering!AR16</f>
        <v>2019.9</v>
      </c>
      <c r="H16" s="744">
        <v>3.8</v>
      </c>
      <c r="I16" s="745">
        <f>Water!H21+Submetering!AM16</f>
        <v>388.6</v>
      </c>
      <c r="J16" s="744">
        <v>10</v>
      </c>
      <c r="K16" s="745">
        <f>Elect!BT20</f>
        <v>229</v>
      </c>
    </row>
    <row r="17" spans="1:11">
      <c r="A17" s="752" t="s">
        <v>11</v>
      </c>
      <c r="B17" s="729">
        <f t="shared" si="0"/>
        <v>16</v>
      </c>
      <c r="C17" s="771">
        <v>8</v>
      </c>
      <c r="D17" s="751">
        <v>2022</v>
      </c>
      <c r="E17" s="746">
        <f>Elect!BS21+Submetering!AH17</f>
        <v>25626.52</v>
      </c>
      <c r="F17" s="744">
        <f t="shared" si="1"/>
        <v>1.3909353244543528</v>
      </c>
      <c r="G17" s="745">
        <f>Gas!K22+Submetering!AR17</f>
        <v>2062.2799999999997</v>
      </c>
      <c r="H17" s="744">
        <v>3.8</v>
      </c>
      <c r="I17" s="745">
        <f>Water!H22+Submetering!AM17</f>
        <v>305.65999999999997</v>
      </c>
      <c r="J17" s="744">
        <v>10</v>
      </c>
      <c r="K17" s="745">
        <f>Elect!BT21</f>
        <v>213</v>
      </c>
    </row>
    <row r="18" spans="1:11">
      <c r="A18" s="752" t="s">
        <v>11</v>
      </c>
      <c r="B18" s="729">
        <f t="shared" si="0"/>
        <v>17</v>
      </c>
      <c r="C18" s="771">
        <v>8</v>
      </c>
      <c r="D18" s="751">
        <v>2022</v>
      </c>
      <c r="E18" s="746">
        <f>Elect!BS22+Submetering!AH18</f>
        <v>21772.38</v>
      </c>
      <c r="F18" s="744">
        <f t="shared" si="1"/>
        <v>1.3909353244543528</v>
      </c>
      <c r="G18" s="745">
        <f>Gas!K23+Submetering!AR18</f>
        <v>2571.0600000000004</v>
      </c>
      <c r="H18" s="744">
        <v>3.8</v>
      </c>
      <c r="I18" s="745">
        <f>Water!H23+Submetering!AM18</f>
        <v>325.38</v>
      </c>
      <c r="J18" s="744">
        <v>10</v>
      </c>
      <c r="K18" s="745">
        <f>Elect!BT22</f>
        <v>198</v>
      </c>
    </row>
    <row r="19" spans="1:11">
      <c r="A19" s="752" t="s">
        <v>11</v>
      </c>
      <c r="B19" s="729">
        <f t="shared" si="0"/>
        <v>18</v>
      </c>
      <c r="C19" s="771">
        <v>8</v>
      </c>
      <c r="D19" s="751">
        <v>2022</v>
      </c>
      <c r="E19" s="746">
        <f>Elect!BS23+Submetering!AH19</f>
        <v>24770.4725</v>
      </c>
      <c r="F19" s="744">
        <f t="shared" si="1"/>
        <v>1.3909353244543528</v>
      </c>
      <c r="G19" s="745">
        <f>Gas!K24+Submetering!AR19</f>
        <v>1812.74</v>
      </c>
      <c r="H19" s="744">
        <v>3.8</v>
      </c>
      <c r="I19" s="745">
        <f>Water!H24+Submetering!AM19</f>
        <v>366.56</v>
      </c>
      <c r="J19" s="744">
        <v>10</v>
      </c>
      <c r="K19" s="745">
        <f>Elect!BT23</f>
        <v>170</v>
      </c>
    </row>
    <row r="20" spans="1:11">
      <c r="A20" s="752" t="s">
        <v>11</v>
      </c>
      <c r="B20" s="729">
        <f t="shared" si="0"/>
        <v>19</v>
      </c>
      <c r="C20" s="771">
        <v>8</v>
      </c>
      <c r="D20" s="751">
        <v>2022</v>
      </c>
      <c r="E20" s="746">
        <f>Elect!BS24+Submetering!AH20</f>
        <v>20613.22</v>
      </c>
      <c r="F20" s="744">
        <f t="shared" si="1"/>
        <v>1.3909353244543528</v>
      </c>
      <c r="G20" s="745">
        <f>Gas!K25+Submetering!AR20</f>
        <v>1864.8</v>
      </c>
      <c r="H20" s="744">
        <v>3.8</v>
      </c>
      <c r="I20" s="745">
        <f>Water!H25+Submetering!AM20</f>
        <v>276.65999999999997</v>
      </c>
      <c r="J20" s="744">
        <v>10</v>
      </c>
      <c r="K20" s="745">
        <f>Elect!BT24</f>
        <v>206</v>
      </c>
    </row>
    <row r="21" spans="1:11">
      <c r="A21" s="752" t="s">
        <v>11</v>
      </c>
      <c r="B21" s="729">
        <f t="shared" si="0"/>
        <v>20</v>
      </c>
      <c r="C21" s="771">
        <v>8</v>
      </c>
      <c r="D21" s="751">
        <v>2022</v>
      </c>
      <c r="E21" s="746">
        <f>Elect!BS25+Submetering!AH21</f>
        <v>25187.29</v>
      </c>
      <c r="F21" s="744">
        <f t="shared" si="1"/>
        <v>1.3909353244543528</v>
      </c>
      <c r="G21" s="745">
        <f>Gas!K26+Submetering!AR21</f>
        <v>1853.0400000000002</v>
      </c>
      <c r="H21" s="744">
        <v>3.8</v>
      </c>
      <c r="I21" s="745">
        <f>Water!H26+Submetering!AM21</f>
        <v>312.03999999999996</v>
      </c>
      <c r="J21" s="744">
        <v>10</v>
      </c>
      <c r="K21" s="745">
        <f>Elect!BT25</f>
        <v>228</v>
      </c>
    </row>
    <row r="22" spans="1:11">
      <c r="A22" s="752" t="s">
        <v>11</v>
      </c>
      <c r="B22" s="729">
        <f t="shared" si="0"/>
        <v>21</v>
      </c>
      <c r="C22" s="771">
        <v>8</v>
      </c>
      <c r="D22" s="751">
        <v>2022</v>
      </c>
      <c r="E22" s="746">
        <f>Elect!BS26+Submetering!AH22</f>
        <v>20097.0625</v>
      </c>
      <c r="F22" s="744">
        <f t="shared" si="1"/>
        <v>1.3909353244543528</v>
      </c>
      <c r="G22" s="745">
        <f>Gas!K27+Submetering!AR22</f>
        <v>2057.84</v>
      </c>
      <c r="H22" s="744">
        <v>3.8</v>
      </c>
      <c r="I22" s="745">
        <f>Water!H27+Submetering!AM22</f>
        <v>342.78</v>
      </c>
      <c r="J22" s="744">
        <v>10</v>
      </c>
      <c r="K22" s="745">
        <f>Elect!BT26</f>
        <v>248</v>
      </c>
    </row>
    <row r="23" spans="1:11">
      <c r="A23" s="752" t="s">
        <v>11</v>
      </c>
      <c r="B23" s="729">
        <f t="shared" si="0"/>
        <v>22</v>
      </c>
      <c r="C23" s="771">
        <v>8</v>
      </c>
      <c r="D23" s="751">
        <v>2022</v>
      </c>
      <c r="E23" s="746">
        <f>Elect!BS27+Submetering!AH23</f>
        <v>25523.037499999999</v>
      </c>
      <c r="F23" s="744">
        <f t="shared" si="1"/>
        <v>1.3909353244543528</v>
      </c>
      <c r="G23" s="745">
        <f>Gas!K28+Submetering!AR23</f>
        <v>0</v>
      </c>
      <c r="H23" s="744">
        <v>3.8</v>
      </c>
      <c r="I23" s="745">
        <f>Water!H28+Submetering!AM23</f>
        <v>296.38</v>
      </c>
      <c r="J23" s="744">
        <v>10</v>
      </c>
      <c r="K23" s="745">
        <f>Elect!BT27</f>
        <v>225</v>
      </c>
    </row>
    <row r="24" spans="1:11">
      <c r="A24" s="752" t="s">
        <v>11</v>
      </c>
      <c r="B24" s="729">
        <f t="shared" si="0"/>
        <v>23</v>
      </c>
      <c r="C24" s="771">
        <v>8</v>
      </c>
      <c r="D24" s="751">
        <v>2022</v>
      </c>
      <c r="E24" s="746">
        <f>Elect!BS28+Submetering!AH24</f>
        <v>23950.032500000001</v>
      </c>
      <c r="F24" s="744">
        <f t="shared" si="1"/>
        <v>1.3909353244543528</v>
      </c>
      <c r="G24" s="745">
        <f>Gas!K29+Submetering!AR24</f>
        <v>1968</v>
      </c>
      <c r="H24" s="744">
        <v>3.8</v>
      </c>
      <c r="I24" s="745">
        <f>Water!H29+Submetering!AM24</f>
        <v>316.10000000000002</v>
      </c>
      <c r="J24" s="744">
        <v>10</v>
      </c>
      <c r="K24" s="745">
        <f>Elect!BT28</f>
        <v>201</v>
      </c>
    </row>
    <row r="25" spans="1:11">
      <c r="A25" s="752" t="s">
        <v>11</v>
      </c>
      <c r="B25" s="729">
        <f t="shared" si="0"/>
        <v>24</v>
      </c>
      <c r="C25" s="771">
        <v>8</v>
      </c>
      <c r="D25" s="751">
        <v>2022</v>
      </c>
      <c r="E25" s="746">
        <f>Elect!BS29+Submetering!AH25</f>
        <v>23666.157500000001</v>
      </c>
      <c r="F25" s="744">
        <f t="shared" si="1"/>
        <v>1.3909353244543528</v>
      </c>
      <c r="G25" s="745">
        <f>Gas!K30+Submetering!AR25</f>
        <v>2033.8000000000002</v>
      </c>
      <c r="H25" s="744">
        <v>3.8</v>
      </c>
      <c r="I25" s="745">
        <f>Water!H30+Submetering!AM25</f>
        <v>335.81999999999994</v>
      </c>
      <c r="J25" s="744">
        <v>10</v>
      </c>
      <c r="K25" s="745">
        <f>Elect!BT29</f>
        <v>196</v>
      </c>
    </row>
    <row r="26" spans="1:11">
      <c r="A26" s="752" t="s">
        <v>11</v>
      </c>
      <c r="B26" s="729">
        <f>B25+1</f>
        <v>25</v>
      </c>
      <c r="C26" s="771">
        <v>8</v>
      </c>
      <c r="D26" s="751">
        <v>2022</v>
      </c>
      <c r="E26" s="746">
        <f>Elect!BS30+Submetering!AH26</f>
        <v>22471.042500000003</v>
      </c>
      <c r="F26" s="744">
        <f t="shared" si="1"/>
        <v>1.3909353244543528</v>
      </c>
      <c r="G26" s="745">
        <f>Gas!K31+Submetering!AR26</f>
        <v>1956.76</v>
      </c>
      <c r="H26" s="744">
        <v>3.8</v>
      </c>
      <c r="I26" s="745">
        <f>Water!H31+Submetering!AM26</f>
        <v>336.4</v>
      </c>
      <c r="J26" s="744">
        <v>10</v>
      </c>
      <c r="K26" s="745">
        <f>Elect!BT30</f>
        <v>143</v>
      </c>
    </row>
    <row r="27" spans="1:11">
      <c r="A27" s="752" t="s">
        <v>11</v>
      </c>
      <c r="B27" s="729">
        <f t="shared" si="0"/>
        <v>26</v>
      </c>
      <c r="C27" s="771">
        <v>8</v>
      </c>
      <c r="D27" s="751">
        <v>2022</v>
      </c>
      <c r="E27" s="746">
        <f>Elect!BS31+Submetering!AH27</f>
        <v>22114.784999999996</v>
      </c>
      <c r="F27" s="744">
        <f t="shared" si="1"/>
        <v>1.3909353244543528</v>
      </c>
      <c r="G27" s="745">
        <f>Gas!K32+Submetering!AR27</f>
        <v>2210.3000000000002</v>
      </c>
      <c r="H27" s="744">
        <v>3.8</v>
      </c>
      <c r="I27" s="745">
        <f>Water!H32+Submetering!AM27</f>
        <v>334.65999999999997</v>
      </c>
      <c r="J27" s="744">
        <v>10</v>
      </c>
      <c r="K27" s="745">
        <f>Elect!BT31</f>
        <v>163</v>
      </c>
    </row>
    <row r="28" spans="1:11">
      <c r="A28" s="752" t="s">
        <v>11</v>
      </c>
      <c r="B28" s="729">
        <f t="shared" si="0"/>
        <v>27</v>
      </c>
      <c r="C28" s="771">
        <v>8</v>
      </c>
      <c r="D28" s="751">
        <v>2022</v>
      </c>
      <c r="E28" s="746">
        <f>Elect!BS32+Submetering!AH28</f>
        <v>23119.262500000001</v>
      </c>
      <c r="F28" s="744">
        <f t="shared" si="1"/>
        <v>1.3909353244543528</v>
      </c>
      <c r="G28" s="745">
        <f>Gas!K33+Submetering!AR28</f>
        <v>1899.16</v>
      </c>
      <c r="H28" s="744">
        <v>3.8</v>
      </c>
      <c r="I28" s="745">
        <f>Water!H33+Submetering!AM28</f>
        <v>287.09999999999997</v>
      </c>
      <c r="J28" s="744">
        <v>10</v>
      </c>
      <c r="K28" s="745">
        <f>Elect!BT32</f>
        <v>207</v>
      </c>
    </row>
    <row r="29" spans="1:11">
      <c r="A29" s="752" t="s">
        <v>11</v>
      </c>
      <c r="B29" s="729">
        <f t="shared" si="0"/>
        <v>28</v>
      </c>
      <c r="C29" s="771">
        <v>8</v>
      </c>
      <c r="D29" s="751">
        <v>2022</v>
      </c>
      <c r="E29" s="746">
        <f>Elect!BS33+Submetering!AH29</f>
        <v>23788.802500000002</v>
      </c>
      <c r="F29" s="744">
        <f t="shared" si="1"/>
        <v>1.3909353244543528</v>
      </c>
      <c r="G29" s="745">
        <f>Gas!K34+Submetering!AR29</f>
        <v>2078.08</v>
      </c>
      <c r="H29" s="744">
        <v>3.8</v>
      </c>
      <c r="I29" s="745">
        <f>Water!H34+Submetering!AM29</f>
        <v>341.03999999999996</v>
      </c>
      <c r="J29" s="744">
        <v>10</v>
      </c>
      <c r="K29" s="745">
        <f>Elect!BT33</f>
        <v>225</v>
      </c>
    </row>
    <row r="30" spans="1:11">
      <c r="A30" s="752" t="s">
        <v>11</v>
      </c>
      <c r="B30" s="729">
        <f t="shared" si="0"/>
        <v>29</v>
      </c>
      <c r="C30" s="771">
        <v>8</v>
      </c>
      <c r="D30" s="751">
        <v>2022</v>
      </c>
      <c r="E30" s="746">
        <f>Elect!BS34+Submetering!AH30</f>
        <v>24386.05</v>
      </c>
      <c r="F30" s="744">
        <f t="shared" si="1"/>
        <v>1.3909353244543528</v>
      </c>
      <c r="G30" s="745">
        <f>Gas!K35+Submetering!AR30</f>
        <v>2127.7799999999997</v>
      </c>
      <c r="H30" s="744">
        <v>3.8</v>
      </c>
      <c r="I30" s="745">
        <f>Water!H35+Submetering!AM30</f>
        <v>292.32</v>
      </c>
      <c r="J30" s="744">
        <v>10</v>
      </c>
      <c r="K30" s="745">
        <f>Elect!BT34</f>
        <v>241</v>
      </c>
    </row>
    <row r="31" spans="1:11">
      <c r="A31" s="752" t="s">
        <v>11</v>
      </c>
      <c r="B31" s="729">
        <f t="shared" si="0"/>
        <v>30</v>
      </c>
      <c r="C31" s="771">
        <v>8</v>
      </c>
      <c r="D31" s="751">
        <v>2022</v>
      </c>
      <c r="E31" s="746">
        <f>Elect!BS35+Submetering!AH31</f>
        <v>24609.43</v>
      </c>
      <c r="F31" s="744">
        <f t="shared" si="1"/>
        <v>1.3909353244543528</v>
      </c>
      <c r="G31" s="745">
        <f>Gas!K36+Submetering!AR31</f>
        <v>1887.7</v>
      </c>
      <c r="H31" s="744">
        <v>3.8</v>
      </c>
      <c r="I31" s="745">
        <f>Water!H36+Submetering!AM31</f>
        <v>374.1</v>
      </c>
      <c r="J31" s="744">
        <v>10</v>
      </c>
      <c r="K31" s="745">
        <f>Elect!BT35</f>
        <v>250</v>
      </c>
    </row>
    <row r="32" spans="1:11">
      <c r="A32" s="753" t="s">
        <v>11</v>
      </c>
      <c r="B32" s="754">
        <f t="shared" si="0"/>
        <v>31</v>
      </c>
      <c r="C32" s="771">
        <v>8</v>
      </c>
      <c r="D32" s="751">
        <v>2022</v>
      </c>
      <c r="E32" s="746">
        <f>Elect!BS36+Submetering!AH32</f>
        <v>24520.7600000737</v>
      </c>
      <c r="F32" s="744">
        <f t="shared" si="1"/>
        <v>1.3909353244543528</v>
      </c>
      <c r="G32" s="745">
        <f>Gas!K37+Submetering!AR32</f>
        <v>2378.3200000000002</v>
      </c>
      <c r="H32" s="744">
        <v>3.8</v>
      </c>
      <c r="I32" s="745">
        <f>Water!H37+Submetering!AM32</f>
        <v>370.61999999999995</v>
      </c>
      <c r="J32" s="744">
        <v>10</v>
      </c>
      <c r="K32" s="745">
        <f>Elect!BT36</f>
        <v>250</v>
      </c>
    </row>
  </sheetData>
  <sheetProtection algorithmName="SHA-512" hashValue="U7N3bZL7jzTljMiMfTUAJOCz7kcvDqh6WHx/YBoizHeP/ehd8VYNsbIL5tc/3wU1NSG/1G/tDFzQ2BwOzlKTBQ==" saltValue="513ecqZcJVpXdgMQfYuaWA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S33"/>
  <sheetViews>
    <sheetView topLeftCell="AF1" workbookViewId="0">
      <selection activeCell="AM6" sqref="AM6"/>
    </sheetView>
  </sheetViews>
  <sheetFormatPr defaultRowHeight="12.75"/>
  <cols>
    <col min="1" max="1" width="25.7109375" customWidth="1"/>
    <col min="6" max="34" width="20.7109375" customWidth="1"/>
    <col min="36" max="36" width="24.42578125" customWidth="1"/>
    <col min="37" max="37" width="25.7109375" customWidth="1"/>
    <col min="38" max="39" width="25.42578125" customWidth="1"/>
    <col min="40" max="40" width="10.28515625" customWidth="1"/>
    <col min="41" max="41" width="26.7109375" customWidth="1"/>
    <col min="42" max="42" width="30" customWidth="1"/>
    <col min="43" max="44" width="35.42578125" customWidth="1"/>
    <col min="45" max="45" width="10.5703125" style="97" customWidth="1"/>
    <col min="46" max="46" width="20.7109375" customWidth="1"/>
  </cols>
  <sheetData>
    <row r="1" spans="1:45" s="10" customFormat="1" ht="25.5" customHeight="1">
      <c r="A1" s="740" t="s">
        <v>0</v>
      </c>
      <c r="B1" s="741" t="s">
        <v>1</v>
      </c>
      <c r="C1" s="741" t="s">
        <v>2</v>
      </c>
      <c r="D1" s="741" t="s">
        <v>3</v>
      </c>
      <c r="E1" s="846" t="s">
        <v>14</v>
      </c>
      <c r="F1" s="736" t="s">
        <v>15</v>
      </c>
      <c r="G1" s="737" t="s">
        <v>16</v>
      </c>
      <c r="H1" s="736" t="s">
        <v>17</v>
      </c>
      <c r="I1" s="736" t="s">
        <v>18</v>
      </c>
      <c r="J1" s="736" t="s">
        <v>19</v>
      </c>
      <c r="K1" s="730" t="s">
        <v>20</v>
      </c>
      <c r="L1" s="730" t="s">
        <v>21</v>
      </c>
      <c r="M1" s="755" t="s">
        <v>22</v>
      </c>
      <c r="N1" s="755" t="s">
        <v>23</v>
      </c>
      <c r="O1" s="755" t="s">
        <v>24</v>
      </c>
      <c r="P1" s="755" t="s">
        <v>25</v>
      </c>
      <c r="Q1" s="755" t="s">
        <v>26</v>
      </c>
      <c r="R1" s="755" t="s">
        <v>27</v>
      </c>
      <c r="S1" s="785" t="s">
        <v>28</v>
      </c>
      <c r="T1" s="755" t="s">
        <v>29</v>
      </c>
      <c r="U1" s="755" t="s">
        <v>30</v>
      </c>
      <c r="V1" s="755" t="s">
        <v>31</v>
      </c>
      <c r="W1" s="785" t="s">
        <v>32</v>
      </c>
      <c r="X1" s="755" t="s">
        <v>33</v>
      </c>
      <c r="Y1" s="785" t="s">
        <v>34</v>
      </c>
      <c r="Z1" s="755" t="s">
        <v>35</v>
      </c>
      <c r="AA1" s="785" t="s">
        <v>36</v>
      </c>
      <c r="AB1" s="755" t="s">
        <v>37</v>
      </c>
      <c r="AC1" s="755" t="s">
        <v>38</v>
      </c>
      <c r="AD1" s="785" t="s">
        <v>39</v>
      </c>
      <c r="AE1" s="755" t="s">
        <v>40</v>
      </c>
      <c r="AF1" s="755" t="s">
        <v>41</v>
      </c>
      <c r="AG1" s="755" t="s">
        <v>42</v>
      </c>
      <c r="AH1" s="755" t="s">
        <v>43</v>
      </c>
      <c r="AI1" s="846" t="s">
        <v>44</v>
      </c>
      <c r="AJ1" s="755" t="s">
        <v>45</v>
      </c>
      <c r="AK1" s="755" t="s">
        <v>46</v>
      </c>
      <c r="AL1" s="755" t="s">
        <v>47</v>
      </c>
      <c r="AM1" s="755" t="s">
        <v>48</v>
      </c>
      <c r="AN1" s="846" t="s">
        <v>49</v>
      </c>
      <c r="AO1" s="755" t="s">
        <v>50</v>
      </c>
      <c r="AP1" s="755" t="s">
        <v>51</v>
      </c>
      <c r="AQ1" s="755" t="s">
        <v>52</v>
      </c>
      <c r="AR1" s="755" t="s">
        <v>48</v>
      </c>
      <c r="AS1" s="742" t="s">
        <v>10</v>
      </c>
    </row>
    <row r="2" spans="1:45" ht="19.5" customHeight="1">
      <c r="A2" s="749" t="s">
        <v>11</v>
      </c>
      <c r="B2" s="750">
        <v>1</v>
      </c>
      <c r="C2" s="771">
        <v>8</v>
      </c>
      <c r="D2" s="751">
        <v>2022</v>
      </c>
      <c r="E2" s="847"/>
      <c r="F2" s="738">
        <f>Elect!J6</f>
        <v>6443.944444399327</v>
      </c>
      <c r="G2" s="738">
        <f>Elect!K6</f>
        <v>3741.8333333330229</v>
      </c>
      <c r="H2" s="738">
        <f>Elect!Q6</f>
        <v>425.00000001018634</v>
      </c>
      <c r="I2" s="738">
        <f>Elect!S6</f>
        <v>140.66666666700621</v>
      </c>
      <c r="J2" s="738">
        <f>Elect!U6</f>
        <v>299.83333333302289</v>
      </c>
      <c r="K2" s="738">
        <f>Elect!W6</f>
        <v>1756.8616666665023</v>
      </c>
      <c r="L2" s="738">
        <f>Elect!Y6</f>
        <v>0</v>
      </c>
      <c r="M2" s="738">
        <f>Elect!AA6</f>
        <v>0</v>
      </c>
      <c r="N2" s="738">
        <f>Elect!AC6</f>
        <v>0</v>
      </c>
      <c r="O2" s="738">
        <f>Elect!AE6</f>
        <v>13.161666666502134</v>
      </c>
      <c r="P2" s="738">
        <f>Elect!AG6</f>
        <v>12.543333335102071</v>
      </c>
      <c r="Q2" s="738">
        <f>Elect!AI6</f>
        <v>312.78833333349786</v>
      </c>
      <c r="R2" s="738">
        <f>Elect!AK6</f>
        <v>4158.026666666502</v>
      </c>
      <c r="S2" s="738">
        <f>Elect!AM6</f>
        <v>118.985</v>
      </c>
      <c r="T2" s="738">
        <f>Elect!AP6</f>
        <v>112.44375000000001</v>
      </c>
      <c r="U2" s="738">
        <f>Elect!AR6</f>
        <v>162.33333333302289</v>
      </c>
      <c r="V2" s="738">
        <f>Elect!AT6</f>
        <v>93.166666666700621</v>
      </c>
      <c r="W2" s="738">
        <f>Elect!AV6</f>
        <v>40.833333333022892</v>
      </c>
      <c r="X2" s="738">
        <f>Elect!AX6</f>
        <v>843.16666666977108</v>
      </c>
      <c r="Y2" s="738">
        <f>Elect!AZ6</f>
        <v>10.666666667006211</v>
      </c>
      <c r="Z2" s="738">
        <f>Elect!BB6</f>
        <v>5238.166666701436</v>
      </c>
      <c r="AA2" s="738">
        <f>Elect!BD6</f>
        <v>233.16666666697711</v>
      </c>
      <c r="AB2" s="738">
        <f>Elect!BF6</f>
        <v>44</v>
      </c>
      <c r="AC2" s="738">
        <f>Elect!BH6</f>
        <v>6109.3083333670165</v>
      </c>
      <c r="AD2" s="738">
        <f>Elect!BL6</f>
        <v>225.16666667000391</v>
      </c>
      <c r="AE2" s="738">
        <f>Elect!BN6</f>
        <v>961.16666666977108</v>
      </c>
      <c r="AF2" s="738">
        <f>Elect!BP6</f>
        <v>170</v>
      </c>
      <c r="AG2" s="738">
        <f>Elect!BR6</f>
        <v>149.33333333302289</v>
      </c>
      <c r="AH2" s="738">
        <f>Boat!C4</f>
        <v>0</v>
      </c>
      <c r="AI2" s="847"/>
      <c r="AJ2" s="738">
        <f>Water!C7</f>
        <v>162.88333333313639</v>
      </c>
      <c r="AK2" s="738">
        <f>Water!E7</f>
        <v>146.73999999999577</v>
      </c>
      <c r="AL2" s="738">
        <f>Water!G7</f>
        <v>123.78166666668635</v>
      </c>
      <c r="AM2" s="738">
        <f>Boat!E4</f>
        <v>0</v>
      </c>
      <c r="AN2" s="847"/>
      <c r="AO2" s="738">
        <f>Gas!C7</f>
        <v>3529.1816666699574</v>
      </c>
      <c r="AP2" s="738">
        <f>Gas!E7</f>
        <v>505.30277777843872</v>
      </c>
      <c r="AQ2" s="738">
        <f>Gas!G7</f>
        <v>122.26851851900574</v>
      </c>
      <c r="AR2" s="738">
        <f>Boat!G4</f>
        <v>0</v>
      </c>
      <c r="AS2" s="745">
        <f>Elect!BT6</f>
        <v>238</v>
      </c>
    </row>
    <row r="3" spans="1:45" ht="12.75" customHeight="1">
      <c r="A3" s="752" t="s">
        <v>11</v>
      </c>
      <c r="B3" s="729">
        <f>B2+1</f>
        <v>2</v>
      </c>
      <c r="C3" s="771">
        <v>8</v>
      </c>
      <c r="D3" s="751">
        <v>2022</v>
      </c>
      <c r="E3" s="847"/>
      <c r="F3" s="738">
        <f>Elect!J7</f>
        <v>6181</v>
      </c>
      <c r="G3" s="738">
        <f>Elect!K7</f>
        <v>3985</v>
      </c>
      <c r="H3" s="738">
        <f>Elect!Q7</f>
        <v>480</v>
      </c>
      <c r="I3" s="738">
        <f>Elect!S7</f>
        <v>138</v>
      </c>
      <c r="J3" s="738">
        <f>Elect!U7</f>
        <v>235</v>
      </c>
      <c r="K3" s="738">
        <f>Elect!W7</f>
        <v>2088.2000000000003</v>
      </c>
      <c r="L3" s="738">
        <f>Elect!Y7</f>
        <v>0</v>
      </c>
      <c r="M3" s="738">
        <f>Elect!AA7</f>
        <v>0</v>
      </c>
      <c r="N3" s="738">
        <f>Elect!AC7</f>
        <v>0</v>
      </c>
      <c r="O3" s="738">
        <f>Elect!AE7</f>
        <v>15.370000000000001</v>
      </c>
      <c r="P3" s="738">
        <f>Elect!AG7</f>
        <v>14.31</v>
      </c>
      <c r="Q3" s="738">
        <f>Elect!AI7</f>
        <v>271.89</v>
      </c>
      <c r="R3" s="738">
        <f>Elect!AK7</f>
        <v>2304.9700000000003</v>
      </c>
      <c r="S3" s="738">
        <f>Elect!AM7</f>
        <v>112.89</v>
      </c>
      <c r="T3" s="738">
        <f>Elect!AP7</f>
        <v>38.25</v>
      </c>
      <c r="U3" s="738">
        <f>Elect!AR7</f>
        <v>194</v>
      </c>
      <c r="V3" s="738">
        <f>Elect!AT7</f>
        <v>96</v>
      </c>
      <c r="W3" s="738">
        <f>Elect!AV7</f>
        <v>43</v>
      </c>
      <c r="X3" s="738">
        <f>Elect!AX7</f>
        <v>955</v>
      </c>
      <c r="Y3" s="738">
        <f>Elect!AZ7</f>
        <v>10</v>
      </c>
      <c r="Z3" s="738">
        <f>Elect!BB7</f>
        <v>5054</v>
      </c>
      <c r="AA3" s="738">
        <f>Elect!BD7</f>
        <v>221</v>
      </c>
      <c r="AB3" s="738">
        <f>Elect!BF7</f>
        <v>45</v>
      </c>
      <c r="AC3" s="738">
        <f>Elect!BH7</f>
        <v>5300.5999999999995</v>
      </c>
      <c r="AD3" s="738">
        <f>Elect!BL7</f>
        <v>163</v>
      </c>
      <c r="AE3" s="738">
        <f>Elect!BN7</f>
        <v>1119</v>
      </c>
      <c r="AF3" s="738">
        <f>Elect!BP7</f>
        <v>133</v>
      </c>
      <c r="AG3" s="738">
        <f>Elect!BR7</f>
        <v>151</v>
      </c>
      <c r="AH3" s="738">
        <f>Boat!C5</f>
        <v>0</v>
      </c>
      <c r="AI3" s="847"/>
      <c r="AJ3" s="738">
        <f>Water!C8</f>
        <v>69.599999999999994</v>
      </c>
      <c r="AK3" s="738">
        <f>Water!E8</f>
        <v>87</v>
      </c>
      <c r="AL3" s="738">
        <f>Water!G8</f>
        <v>101.5</v>
      </c>
      <c r="AM3" s="738">
        <f>Boat!E5</f>
        <v>0</v>
      </c>
      <c r="AN3" s="847"/>
      <c r="AO3" s="738">
        <f>Gas!C8</f>
        <v>1622.8600000000001</v>
      </c>
      <c r="AP3" s="738">
        <f>Gas!E8</f>
        <v>343.7</v>
      </c>
      <c r="AQ3" s="738">
        <f>Gas!G8</f>
        <v>75</v>
      </c>
      <c r="AR3" s="738">
        <f>Boat!G5</f>
        <v>0</v>
      </c>
      <c r="AS3" s="745">
        <f>Elect!BT7</f>
        <v>227</v>
      </c>
    </row>
    <row r="4" spans="1:45" ht="12.75" customHeight="1">
      <c r="A4" s="752" t="s">
        <v>11</v>
      </c>
      <c r="B4" s="729">
        <f t="shared" ref="B4:B31" si="0">B3+1</f>
        <v>3</v>
      </c>
      <c r="C4" s="771">
        <v>8</v>
      </c>
      <c r="D4" s="751">
        <v>2022</v>
      </c>
      <c r="E4" s="847"/>
      <c r="F4" s="738">
        <f>Elect!J8</f>
        <v>6253</v>
      </c>
      <c r="G4" s="738">
        <f>Elect!K8</f>
        <v>4301</v>
      </c>
      <c r="H4" s="738">
        <f>Elect!Q8</f>
        <v>540</v>
      </c>
      <c r="I4" s="738">
        <f>Elect!S8</f>
        <v>151</v>
      </c>
      <c r="J4" s="738">
        <f>Elect!U8</f>
        <v>263</v>
      </c>
      <c r="K4" s="738">
        <f>Elect!W8</f>
        <v>2313.4500000000003</v>
      </c>
      <c r="L4" s="738">
        <f>Elect!Y8</f>
        <v>0</v>
      </c>
      <c r="M4" s="738">
        <f>Elect!AA8</f>
        <v>0</v>
      </c>
      <c r="N4" s="738">
        <f>Elect!AC8</f>
        <v>0</v>
      </c>
      <c r="O4" s="738">
        <f>Elect!AE8</f>
        <v>14.31</v>
      </c>
      <c r="P4" s="738">
        <f>Elect!AG8</f>
        <v>13.25</v>
      </c>
      <c r="Q4" s="738">
        <f>Elect!AI8</f>
        <v>294.68</v>
      </c>
      <c r="R4" s="738">
        <f>Elect!AK8</f>
        <v>2532.8700000000003</v>
      </c>
      <c r="S4" s="738">
        <f>Elect!AM8</f>
        <v>121.9</v>
      </c>
      <c r="T4" s="738">
        <f>Elect!AP8</f>
        <v>28.574999999999999</v>
      </c>
      <c r="U4" s="738">
        <f>Elect!AR8</f>
        <v>189</v>
      </c>
      <c r="V4" s="738">
        <f>Elect!AT8</f>
        <v>92</v>
      </c>
      <c r="W4" s="738">
        <f>Elect!AV8</f>
        <v>47</v>
      </c>
      <c r="X4" s="738">
        <f>Elect!AX8</f>
        <v>1007</v>
      </c>
      <c r="Y4" s="738">
        <f>Elect!AZ8</f>
        <v>11</v>
      </c>
      <c r="Z4" s="738">
        <f>Elect!BB8</f>
        <v>5129</v>
      </c>
      <c r="AA4" s="738">
        <f>Elect!BD8</f>
        <v>248</v>
      </c>
      <c r="AB4" s="738">
        <f>Elect!BF8</f>
        <v>50</v>
      </c>
      <c r="AC4" s="738">
        <f>Elect!BH8</f>
        <v>6195.55</v>
      </c>
      <c r="AD4" s="738">
        <f>Elect!BL8</f>
        <v>324</v>
      </c>
      <c r="AE4" s="738">
        <f>Elect!BN8</f>
        <v>1295</v>
      </c>
      <c r="AF4" s="738">
        <f>Elect!BP8</f>
        <v>146</v>
      </c>
      <c r="AG4" s="738">
        <f>Elect!BR8</f>
        <v>156</v>
      </c>
      <c r="AH4" s="738">
        <f>Boat!C6</f>
        <v>0</v>
      </c>
      <c r="AI4" s="847"/>
      <c r="AJ4" s="738">
        <f>Water!C9</f>
        <v>104.39999999999999</v>
      </c>
      <c r="AK4" s="738">
        <f>Water!E9</f>
        <v>127.6</v>
      </c>
      <c r="AL4" s="738">
        <f>Water!G9</f>
        <v>110.77999999999999</v>
      </c>
      <c r="AM4" s="738">
        <f>Boat!E6</f>
        <v>0</v>
      </c>
      <c r="AN4" s="847"/>
      <c r="AO4" s="738">
        <f>Gas!C9</f>
        <v>1717.2</v>
      </c>
      <c r="AP4" s="738">
        <f>Gas!E9</f>
        <v>382.9</v>
      </c>
      <c r="AQ4" s="738">
        <f>Gas!G9</f>
        <v>95</v>
      </c>
      <c r="AR4" s="738">
        <f>Boat!G6</f>
        <v>0</v>
      </c>
      <c r="AS4" s="745">
        <f>Elect!BT8</f>
        <v>213</v>
      </c>
    </row>
    <row r="5" spans="1:45" ht="12.75" customHeight="1">
      <c r="A5" s="752" t="s">
        <v>11</v>
      </c>
      <c r="B5" s="729">
        <f t="shared" si="0"/>
        <v>4</v>
      </c>
      <c r="C5" s="771">
        <v>8</v>
      </c>
      <c r="D5" s="751">
        <v>2022</v>
      </c>
      <c r="E5" s="847"/>
      <c r="F5" s="738">
        <f>Elect!J9</f>
        <v>5829</v>
      </c>
      <c r="G5" s="738">
        <f>Elect!K9</f>
        <v>4389</v>
      </c>
      <c r="H5" s="738">
        <f>Elect!Q9</f>
        <v>540</v>
      </c>
      <c r="I5" s="738">
        <f>Elect!S9</f>
        <v>138</v>
      </c>
      <c r="J5" s="738">
        <f>Elect!U9</f>
        <v>239</v>
      </c>
      <c r="K5" s="738">
        <f>Elect!W9</f>
        <v>2363.8000000000002</v>
      </c>
      <c r="L5" s="738">
        <f>Elect!Y9</f>
        <v>0</v>
      </c>
      <c r="M5" s="738">
        <f>Elect!AA9</f>
        <v>0</v>
      </c>
      <c r="N5" s="738">
        <f>Elect!AC9</f>
        <v>0</v>
      </c>
      <c r="O5" s="738">
        <f>Elect!AE9</f>
        <v>12.190000000000001</v>
      </c>
      <c r="P5" s="738">
        <f>Elect!AG9</f>
        <v>11.66</v>
      </c>
      <c r="Q5" s="738">
        <f>Elect!AI9</f>
        <v>295.21000000000004</v>
      </c>
      <c r="R5" s="738">
        <f>Elect!AK9</f>
        <v>2612.3700000000003</v>
      </c>
      <c r="S5" s="738">
        <f>Elect!AM9</f>
        <v>125.61</v>
      </c>
      <c r="T5" s="738">
        <f>Elect!AP9</f>
        <v>10.125</v>
      </c>
      <c r="U5" s="738">
        <f>Elect!AR9</f>
        <v>203</v>
      </c>
      <c r="V5" s="738">
        <f>Elect!AT9</f>
        <v>71</v>
      </c>
      <c r="W5" s="738">
        <f>Elect!AV9</f>
        <v>48</v>
      </c>
      <c r="X5" s="738">
        <f>Elect!AX9</f>
        <v>1035</v>
      </c>
      <c r="Y5" s="738">
        <f>Elect!AZ9</f>
        <v>10</v>
      </c>
      <c r="Z5" s="738">
        <f>Elect!BB9</f>
        <v>5079</v>
      </c>
      <c r="AA5" s="738">
        <f>Elect!BD9</f>
        <v>195</v>
      </c>
      <c r="AB5" s="738">
        <f>Elect!BF9</f>
        <v>50</v>
      </c>
      <c r="AC5" s="738">
        <f>Elect!BH9</f>
        <v>4672.2000000000007</v>
      </c>
      <c r="AD5" s="738">
        <f>Elect!BL9</f>
        <v>259</v>
      </c>
      <c r="AE5" s="738">
        <f>Elect!BN9</f>
        <v>912</v>
      </c>
      <c r="AF5" s="738">
        <f>Elect!BP9</f>
        <v>112</v>
      </c>
      <c r="AG5" s="738">
        <f>Elect!BR9</f>
        <v>107</v>
      </c>
      <c r="AH5" s="738">
        <f>Boat!C7</f>
        <v>0</v>
      </c>
      <c r="AI5" s="847"/>
      <c r="AJ5" s="738">
        <f>Water!C10</f>
        <v>92.8</v>
      </c>
      <c r="AK5" s="738">
        <f>Water!E10</f>
        <v>110.19999999999999</v>
      </c>
      <c r="AL5" s="738">
        <f>Water!G10</f>
        <v>108.46</v>
      </c>
      <c r="AM5" s="738">
        <f>Boat!E7</f>
        <v>0</v>
      </c>
      <c r="AN5" s="847"/>
      <c r="AO5" s="738">
        <f>Gas!C10</f>
        <v>1893.16</v>
      </c>
      <c r="AP5" s="738">
        <f>Gas!E10</f>
        <v>378.7</v>
      </c>
      <c r="AQ5" s="738">
        <f>Gas!G10</f>
        <v>104</v>
      </c>
      <c r="AR5" s="738">
        <f>Boat!G7</f>
        <v>0</v>
      </c>
      <c r="AS5" s="745">
        <f>Elect!BT9</f>
        <v>202</v>
      </c>
    </row>
    <row r="6" spans="1:45" ht="12.75" customHeight="1">
      <c r="A6" s="752" t="s">
        <v>11</v>
      </c>
      <c r="B6" s="729">
        <f t="shared" si="0"/>
        <v>5</v>
      </c>
      <c r="C6" s="771">
        <v>8</v>
      </c>
      <c r="D6" s="751">
        <v>2022</v>
      </c>
      <c r="E6" s="847"/>
      <c r="F6" s="738">
        <f>Elect!J10</f>
        <v>6773</v>
      </c>
      <c r="G6" s="738">
        <f>Elect!K10</f>
        <v>4615</v>
      </c>
      <c r="H6" s="738">
        <f>Elect!Q10</f>
        <v>570</v>
      </c>
      <c r="I6" s="738">
        <f>Elect!S10</f>
        <v>162</v>
      </c>
      <c r="J6" s="738">
        <f>Elect!U10</f>
        <v>285</v>
      </c>
      <c r="K6" s="738">
        <f>Elect!W10</f>
        <v>1512.6200000000001</v>
      </c>
      <c r="L6" s="738">
        <f>Elect!Y10</f>
        <v>1348.3200000000002</v>
      </c>
      <c r="M6" s="738">
        <f>Elect!AA10</f>
        <v>0</v>
      </c>
      <c r="N6" s="738">
        <f>Elect!AC10</f>
        <v>0</v>
      </c>
      <c r="O6" s="738">
        <f>Elect!AE10</f>
        <v>12.72</v>
      </c>
      <c r="P6" s="738">
        <f>Elect!AG10</f>
        <v>12.190000000000001</v>
      </c>
      <c r="Q6" s="738">
        <f>Elect!AI10</f>
        <v>191.33</v>
      </c>
      <c r="R6" s="738">
        <f>Elect!AK10</f>
        <v>2223.35</v>
      </c>
      <c r="S6" s="738">
        <f>Elect!AM10</f>
        <v>123.49000000000001</v>
      </c>
      <c r="T6" s="738">
        <f>Elect!AP10</f>
        <v>110.8125</v>
      </c>
      <c r="U6" s="738">
        <f>Elect!AR10</f>
        <v>201</v>
      </c>
      <c r="V6" s="738">
        <f>Elect!AT10</f>
        <v>96</v>
      </c>
      <c r="W6" s="738">
        <f>Elect!AV10</f>
        <v>47</v>
      </c>
      <c r="X6" s="738">
        <f>Elect!AX10</f>
        <v>991</v>
      </c>
      <c r="Y6" s="738">
        <f>Elect!AZ10</f>
        <v>12</v>
      </c>
      <c r="Z6" s="738">
        <f>Elect!BB10</f>
        <v>4830</v>
      </c>
      <c r="AA6" s="738">
        <f>Elect!BD10</f>
        <v>244</v>
      </c>
      <c r="AB6" s="738">
        <f>Elect!BF10</f>
        <v>76</v>
      </c>
      <c r="AC6" s="738">
        <f>Elect!BH10</f>
        <v>5146.95</v>
      </c>
      <c r="AD6" s="738">
        <f>Elect!BL10</f>
        <v>92</v>
      </c>
      <c r="AE6" s="738">
        <f>Elect!BN10</f>
        <v>1079</v>
      </c>
      <c r="AF6" s="738">
        <f>Elect!BP10</f>
        <v>130</v>
      </c>
      <c r="AG6" s="738">
        <f>Elect!BR10</f>
        <v>151</v>
      </c>
      <c r="AH6" s="738">
        <f>Boat!C8</f>
        <v>0</v>
      </c>
      <c r="AI6" s="847"/>
      <c r="AJ6" s="738">
        <f>Water!C11</f>
        <v>110.19999999999999</v>
      </c>
      <c r="AK6" s="738">
        <f>Water!E11</f>
        <v>121.8</v>
      </c>
      <c r="AL6" s="738">
        <f>Water!G11</f>
        <v>120.05999999999999</v>
      </c>
      <c r="AM6" s="738">
        <f>Boat!E8</f>
        <v>0</v>
      </c>
      <c r="AN6" s="847"/>
      <c r="AO6" s="738">
        <f>Gas!C11</f>
        <v>1557.14</v>
      </c>
      <c r="AP6" s="738">
        <f>Gas!E11</f>
        <v>416.5</v>
      </c>
      <c r="AQ6" s="738">
        <f>Gas!G11</f>
        <v>91</v>
      </c>
      <c r="AR6" s="738">
        <f>Boat!G8</f>
        <v>0</v>
      </c>
      <c r="AS6" s="745">
        <f>Elect!BT10</f>
        <v>196</v>
      </c>
    </row>
    <row r="7" spans="1:45" ht="12.75" customHeight="1">
      <c r="A7" s="752" t="s">
        <v>11</v>
      </c>
      <c r="B7" s="729">
        <f t="shared" si="0"/>
        <v>6</v>
      </c>
      <c r="C7" s="771">
        <v>8</v>
      </c>
      <c r="D7" s="751">
        <v>2022</v>
      </c>
      <c r="E7" s="847"/>
      <c r="F7" s="738">
        <f>Elect!J11</f>
        <v>6934</v>
      </c>
      <c r="G7" s="738">
        <f>Elect!K11</f>
        <v>3800</v>
      </c>
      <c r="H7" s="738">
        <f>Elect!Q11</f>
        <v>570</v>
      </c>
      <c r="I7" s="738">
        <f>Elect!S11</f>
        <v>135</v>
      </c>
      <c r="J7" s="738">
        <f>Elect!U11</f>
        <v>240</v>
      </c>
      <c r="K7" s="738">
        <f>Elect!W11</f>
        <v>2537.6400000000003</v>
      </c>
      <c r="L7" s="738">
        <f>Elect!Y11</f>
        <v>0</v>
      </c>
      <c r="M7" s="738">
        <f>Elect!AA11</f>
        <v>0</v>
      </c>
      <c r="N7" s="738">
        <f>Elect!AC11</f>
        <v>0</v>
      </c>
      <c r="O7" s="738">
        <f>Elect!AE11</f>
        <v>15.9</v>
      </c>
      <c r="P7" s="738">
        <f>Elect!AG11</f>
        <v>14.84</v>
      </c>
      <c r="Q7" s="738">
        <f>Elect!AI11</f>
        <v>151.58000000000001</v>
      </c>
      <c r="R7" s="738">
        <f>Elect!AK11</f>
        <v>1817.3700000000001</v>
      </c>
      <c r="S7" s="738">
        <f>Elect!AM11</f>
        <v>98.050000000000011</v>
      </c>
      <c r="T7" s="738">
        <f>Elect!AP11</f>
        <v>124.65</v>
      </c>
      <c r="U7" s="738">
        <f>Elect!AR11</f>
        <v>174</v>
      </c>
      <c r="V7" s="738">
        <f>Elect!AT11</f>
        <v>137</v>
      </c>
      <c r="W7" s="738">
        <f>Elect!AV11</f>
        <v>35</v>
      </c>
      <c r="X7" s="738">
        <f>Elect!AX11</f>
        <v>784</v>
      </c>
      <c r="Y7" s="738">
        <f>Elect!AZ11</f>
        <v>10</v>
      </c>
      <c r="Z7" s="738">
        <f>Elect!BB11</f>
        <v>5746</v>
      </c>
      <c r="AA7" s="738">
        <f>Elect!BD11</f>
        <v>287</v>
      </c>
      <c r="AB7" s="738">
        <f>Elect!BF11</f>
        <v>83</v>
      </c>
      <c r="AC7" s="738">
        <f>Elect!BH11</f>
        <v>6243.3</v>
      </c>
      <c r="AD7" s="738">
        <f>Elect!BL11</f>
        <v>94</v>
      </c>
      <c r="AE7" s="738">
        <f>Elect!BN11</f>
        <v>1234</v>
      </c>
      <c r="AF7" s="738">
        <f>Elect!BP11</f>
        <v>152</v>
      </c>
      <c r="AG7" s="738">
        <f>Elect!BR11</f>
        <v>144</v>
      </c>
      <c r="AH7" s="738">
        <f>Boat!C9</f>
        <v>0</v>
      </c>
      <c r="AI7" s="847"/>
      <c r="AJ7" s="738">
        <f>Water!C12</f>
        <v>115.99999999999999</v>
      </c>
      <c r="AK7" s="738">
        <f>Water!E12</f>
        <v>139.19999999999999</v>
      </c>
      <c r="AL7" s="738">
        <f>Water!G12</f>
        <v>104.39999999999999</v>
      </c>
      <c r="AM7" s="738">
        <f>Boat!E9</f>
        <v>0</v>
      </c>
      <c r="AN7" s="847"/>
      <c r="AO7" s="738">
        <f>Gas!C12</f>
        <v>1749</v>
      </c>
      <c r="AP7" s="738">
        <f>Gas!E12</f>
        <v>359.79999999999995</v>
      </c>
      <c r="AQ7" s="738">
        <f>Gas!G12</f>
        <v>83</v>
      </c>
      <c r="AR7" s="738">
        <f>Boat!G9</f>
        <v>0</v>
      </c>
      <c r="AS7" s="745">
        <f>Elect!BT11</f>
        <v>214</v>
      </c>
    </row>
    <row r="8" spans="1:45" ht="12.75" customHeight="1">
      <c r="A8" s="752" t="s">
        <v>11</v>
      </c>
      <c r="B8" s="729">
        <f t="shared" si="0"/>
        <v>7</v>
      </c>
      <c r="C8" s="771">
        <v>8</v>
      </c>
      <c r="D8" s="751">
        <v>2022</v>
      </c>
      <c r="E8" s="847"/>
      <c r="F8" s="738">
        <f>Elect!J12</f>
        <v>7377</v>
      </c>
      <c r="G8" s="738">
        <f>Elect!K12</f>
        <v>3947</v>
      </c>
      <c r="H8" s="738">
        <f>Elect!Q12</f>
        <v>600</v>
      </c>
      <c r="I8" s="738">
        <f>Elect!S12</f>
        <v>135</v>
      </c>
      <c r="J8" s="738">
        <f>Elect!U12</f>
        <v>241</v>
      </c>
      <c r="K8" s="738">
        <f>Elect!W12</f>
        <v>2671.73</v>
      </c>
      <c r="L8" s="738">
        <f>Elect!Y12</f>
        <v>0</v>
      </c>
      <c r="M8" s="738">
        <f>Elect!AA12</f>
        <v>0</v>
      </c>
      <c r="N8" s="738">
        <f>Elect!AC12</f>
        <v>0</v>
      </c>
      <c r="O8" s="738">
        <f>Elect!AE12</f>
        <v>12.190000000000001</v>
      </c>
      <c r="P8" s="738">
        <f>Elect!AG12</f>
        <v>11.66</v>
      </c>
      <c r="Q8" s="738">
        <f>Elect!AI12</f>
        <v>179.67000000000002</v>
      </c>
      <c r="R8" s="738">
        <f>Elect!AK12</f>
        <v>2124.77</v>
      </c>
      <c r="S8" s="738">
        <f>Elect!AM12</f>
        <v>110.77000000000001</v>
      </c>
      <c r="T8" s="738">
        <f>Elect!AP12</f>
        <v>142.98750000000001</v>
      </c>
      <c r="U8" s="738">
        <f>Elect!AR12</f>
        <v>192</v>
      </c>
      <c r="V8" s="738">
        <f>Elect!AT12</f>
        <v>131</v>
      </c>
      <c r="W8" s="738">
        <f>Elect!AV12</f>
        <v>41</v>
      </c>
      <c r="X8" s="738">
        <f>Elect!AX12</f>
        <v>884</v>
      </c>
      <c r="Y8" s="738">
        <f>Elect!AZ12</f>
        <v>10</v>
      </c>
      <c r="Z8" s="738">
        <f>Elect!BB12</f>
        <v>5560</v>
      </c>
      <c r="AA8" s="738">
        <f>Elect!BD12</f>
        <v>265</v>
      </c>
      <c r="AB8" s="738">
        <f>Elect!BF12</f>
        <v>17</v>
      </c>
      <c r="AC8" s="738">
        <f>Elect!BH12</f>
        <v>5834.15</v>
      </c>
      <c r="AD8" s="738">
        <f>Elect!BL12</f>
        <v>312</v>
      </c>
      <c r="AE8" s="738">
        <f>Elect!BN12</f>
        <v>1134</v>
      </c>
      <c r="AF8" s="738">
        <f>Elect!BP12</f>
        <v>139</v>
      </c>
      <c r="AG8" s="738">
        <f>Elect!BR12</f>
        <v>135</v>
      </c>
      <c r="AH8" s="738">
        <f>Boat!C10</f>
        <v>0</v>
      </c>
      <c r="AI8" s="847"/>
      <c r="AJ8" s="738">
        <f>Water!C13</f>
        <v>139.19999999999999</v>
      </c>
      <c r="AK8" s="738">
        <f>Water!E13</f>
        <v>168.2</v>
      </c>
      <c r="AL8" s="738">
        <f>Water!G13</f>
        <v>110.77999999999999</v>
      </c>
      <c r="AM8" s="738">
        <f>Boat!E10</f>
        <v>0</v>
      </c>
      <c r="AN8" s="847"/>
      <c r="AO8" s="738">
        <f>Gas!C13</f>
        <v>1673.74</v>
      </c>
      <c r="AP8" s="738">
        <f>Gas!E13</f>
        <v>403.9</v>
      </c>
      <c r="AQ8" s="738">
        <f>Gas!G13</f>
        <v>106</v>
      </c>
      <c r="AR8" s="738">
        <f>Boat!G10</f>
        <v>0</v>
      </c>
      <c r="AS8" s="745">
        <f>Elect!BT12</f>
        <v>254</v>
      </c>
    </row>
    <row r="9" spans="1:45" ht="12.75" customHeight="1">
      <c r="A9" s="752" t="s">
        <v>11</v>
      </c>
      <c r="B9" s="729">
        <f t="shared" si="0"/>
        <v>8</v>
      </c>
      <c r="C9" s="771">
        <v>8</v>
      </c>
      <c r="D9" s="751">
        <v>2022</v>
      </c>
      <c r="E9" s="847"/>
      <c r="F9" s="738">
        <f>Elect!J13</f>
        <v>5450</v>
      </c>
      <c r="G9" s="738">
        <f>Elect!K13</f>
        <v>4238</v>
      </c>
      <c r="H9" s="738">
        <f>Elect!Q13</f>
        <v>540</v>
      </c>
      <c r="I9" s="738">
        <f>Elect!S13</f>
        <v>151</v>
      </c>
      <c r="J9" s="738">
        <f>Elect!U13</f>
        <v>271</v>
      </c>
      <c r="K9" s="738">
        <f>Elect!W13</f>
        <v>2089.79</v>
      </c>
      <c r="L9" s="738">
        <f>Elect!Y13</f>
        <v>0</v>
      </c>
      <c r="M9" s="738">
        <f>Elect!AA13</f>
        <v>0</v>
      </c>
      <c r="N9" s="738">
        <f>Elect!AC13</f>
        <v>0</v>
      </c>
      <c r="O9" s="738">
        <f>Elect!AE13</f>
        <v>13.25</v>
      </c>
      <c r="P9" s="738">
        <f>Elect!AG13</f>
        <v>12.190000000000001</v>
      </c>
      <c r="Q9" s="738">
        <f>Elect!AI13</f>
        <v>137.80000000000001</v>
      </c>
      <c r="R9" s="738">
        <f>Elect!AK13</f>
        <v>2194.73</v>
      </c>
      <c r="S9" s="738">
        <f>Elect!AM13</f>
        <v>104.94000000000001</v>
      </c>
      <c r="T9" s="738">
        <f>Elect!AP13</f>
        <v>107.325</v>
      </c>
      <c r="U9" s="738">
        <f>Elect!AR13</f>
        <v>176</v>
      </c>
      <c r="V9" s="738">
        <f>Elect!AT13</f>
        <v>90</v>
      </c>
      <c r="W9" s="738">
        <f>Elect!AV13</f>
        <v>42</v>
      </c>
      <c r="X9" s="738">
        <f>Elect!AX13</f>
        <v>925</v>
      </c>
      <c r="Y9" s="738">
        <f>Elect!AZ13</f>
        <v>11</v>
      </c>
      <c r="Z9" s="738">
        <f>Elect!BB13</f>
        <v>4768</v>
      </c>
      <c r="AA9" s="738">
        <f>Elect!BD13</f>
        <v>184</v>
      </c>
      <c r="AB9" s="738">
        <f>Elect!BF13</f>
        <v>45</v>
      </c>
      <c r="AC9" s="738">
        <f>Elect!BH13</f>
        <v>5366.45</v>
      </c>
      <c r="AD9" s="738">
        <f>Elect!BL13</f>
        <v>223</v>
      </c>
      <c r="AE9" s="738">
        <f>Elect!BN13</f>
        <v>825</v>
      </c>
      <c r="AF9" s="738">
        <f>Elect!BP13</f>
        <v>94</v>
      </c>
      <c r="AG9" s="738">
        <f>Elect!BR13</f>
        <v>93</v>
      </c>
      <c r="AH9" s="738">
        <f>Boat!C11</f>
        <v>0</v>
      </c>
      <c r="AI9" s="847"/>
      <c r="AJ9" s="738">
        <f>Water!C14</f>
        <v>139.19999999999999</v>
      </c>
      <c r="AK9" s="738">
        <f>Water!E14</f>
        <v>174</v>
      </c>
      <c r="AL9" s="738">
        <f>Water!G14</f>
        <v>112.52</v>
      </c>
      <c r="AM9" s="738">
        <f>Boat!E11</f>
        <v>0</v>
      </c>
      <c r="AN9" s="847"/>
      <c r="AO9" s="738">
        <f>Gas!C14</f>
        <v>1742.64</v>
      </c>
      <c r="AP9" s="738">
        <f>Gas!E14</f>
        <v>393.4</v>
      </c>
      <c r="AQ9" s="738">
        <f>Gas!G14</f>
        <v>90</v>
      </c>
      <c r="AR9" s="738">
        <f>Boat!G11</f>
        <v>0</v>
      </c>
      <c r="AS9" s="745">
        <f>Elect!BT13</f>
        <v>239</v>
      </c>
    </row>
    <row r="10" spans="1:45" ht="12.75" customHeight="1">
      <c r="A10" s="752" t="s">
        <v>11</v>
      </c>
      <c r="B10" s="729">
        <f t="shared" si="0"/>
        <v>9</v>
      </c>
      <c r="C10" s="771">
        <v>8</v>
      </c>
      <c r="D10" s="751">
        <v>2022</v>
      </c>
      <c r="E10" s="847"/>
      <c r="F10" s="738">
        <f>Elect!J14</f>
        <v>6568</v>
      </c>
      <c r="G10" s="738">
        <f>Elect!K14</f>
        <v>6056</v>
      </c>
      <c r="H10" s="738">
        <f>Elect!Q14</f>
        <v>570</v>
      </c>
      <c r="I10" s="738">
        <f>Elect!S14</f>
        <v>139</v>
      </c>
      <c r="J10" s="738">
        <f>Elect!U14</f>
        <v>237</v>
      </c>
      <c r="K10" s="738">
        <f>Elect!W14</f>
        <v>2563.08</v>
      </c>
      <c r="L10" s="738">
        <f>Elect!Y14</f>
        <v>0</v>
      </c>
      <c r="M10" s="738">
        <f>Elect!AA14</f>
        <v>0</v>
      </c>
      <c r="N10" s="738">
        <f>Elect!AC14</f>
        <v>0</v>
      </c>
      <c r="O10" s="738">
        <f>Elect!AE14</f>
        <v>13.25</v>
      </c>
      <c r="P10" s="738">
        <f>Elect!AG14</f>
        <v>12.190000000000001</v>
      </c>
      <c r="Q10" s="738">
        <f>Elect!AI14</f>
        <v>168.54000000000002</v>
      </c>
      <c r="R10" s="738">
        <f>Elect!AK14</f>
        <v>2952.63</v>
      </c>
      <c r="S10" s="738">
        <f>Elect!AM14</f>
        <v>156.35</v>
      </c>
      <c r="T10" s="738">
        <f>Elect!AP14</f>
        <v>105.41250000000001</v>
      </c>
      <c r="U10" s="738">
        <f>Elect!AR14</f>
        <v>183</v>
      </c>
      <c r="V10" s="738">
        <f>Elect!AT14</f>
        <v>117.33333333329938</v>
      </c>
      <c r="W10" s="738">
        <f>Elect!AV14</f>
        <v>57</v>
      </c>
      <c r="X10" s="738">
        <f>Elect!AX14</f>
        <v>1159</v>
      </c>
      <c r="Y10" s="738">
        <f>Elect!AZ14</f>
        <v>10</v>
      </c>
      <c r="Z10" s="738">
        <f>Elect!BB14</f>
        <v>4891</v>
      </c>
      <c r="AA10" s="738">
        <f>Elect!BD14</f>
        <v>453</v>
      </c>
      <c r="AB10" s="738">
        <f>Elect!BF14</f>
        <v>45</v>
      </c>
      <c r="AC10" s="738">
        <f>Elect!BH14</f>
        <v>5572.75</v>
      </c>
      <c r="AD10" s="738">
        <f>Elect!BL14</f>
        <v>319</v>
      </c>
      <c r="AE10" s="738">
        <f>Elect!BN14</f>
        <v>1061</v>
      </c>
      <c r="AF10" s="738">
        <f>Elect!BP14</f>
        <v>124</v>
      </c>
      <c r="AG10" s="738">
        <f>Elect!BR14</f>
        <v>130</v>
      </c>
      <c r="AH10" s="738">
        <f>Boat!C12</f>
        <v>0</v>
      </c>
      <c r="AI10" s="847"/>
      <c r="AJ10" s="738">
        <f>Water!C15</f>
        <v>150.79999999999998</v>
      </c>
      <c r="AK10" s="738">
        <f>Water!E15</f>
        <v>179.79999999999998</v>
      </c>
      <c r="AL10" s="738">
        <f>Water!G15</f>
        <v>110.77999999999999</v>
      </c>
      <c r="AM10" s="738">
        <f>Boat!E12</f>
        <v>0</v>
      </c>
      <c r="AN10" s="847"/>
      <c r="AO10" s="738">
        <f>Gas!C15</f>
        <v>1744.76</v>
      </c>
      <c r="AP10" s="738">
        <f>Gas!E15</f>
        <v>383.59999999999997</v>
      </c>
      <c r="AQ10" s="738">
        <f>Gas!G15</f>
        <v>111</v>
      </c>
      <c r="AR10" s="738">
        <f>Boat!G12</f>
        <v>0</v>
      </c>
      <c r="AS10" s="745">
        <f>Elect!BT14</f>
        <v>220</v>
      </c>
    </row>
    <row r="11" spans="1:45" ht="12.75" customHeight="1">
      <c r="A11" s="752" t="s">
        <v>11</v>
      </c>
      <c r="B11" s="729">
        <f t="shared" si="0"/>
        <v>10</v>
      </c>
      <c r="C11" s="771">
        <v>8</v>
      </c>
      <c r="D11" s="751">
        <v>2022</v>
      </c>
      <c r="E11" s="847"/>
      <c r="F11" s="738">
        <f>Elect!J15</f>
        <v>4747</v>
      </c>
      <c r="G11" s="738">
        <f>Elect!K15</f>
        <v>4471</v>
      </c>
      <c r="H11" s="738">
        <f>Elect!Q15</f>
        <v>480</v>
      </c>
      <c r="I11" s="738">
        <f>Elect!S15</f>
        <v>140</v>
      </c>
      <c r="J11" s="738">
        <f>Elect!U15</f>
        <v>247</v>
      </c>
      <c r="K11" s="738">
        <f>Elect!W15</f>
        <v>1929.2</v>
      </c>
      <c r="L11" s="738">
        <f>Elect!Y15</f>
        <v>118.19000000000001</v>
      </c>
      <c r="M11" s="738">
        <f>Elect!AA15</f>
        <v>0</v>
      </c>
      <c r="N11" s="738">
        <f>Elect!AC15</f>
        <v>0</v>
      </c>
      <c r="O11" s="738">
        <f>Elect!AE15</f>
        <v>12.190000000000001</v>
      </c>
      <c r="P11" s="738">
        <f>Elect!AG15</f>
        <v>12.190000000000001</v>
      </c>
      <c r="Q11" s="738">
        <f>Elect!AI15</f>
        <v>152.11000000000001</v>
      </c>
      <c r="R11" s="738">
        <f>Elect!AK15</f>
        <v>1997.0400000000002</v>
      </c>
      <c r="S11" s="738">
        <f>Elect!AM15</f>
        <v>108.65</v>
      </c>
      <c r="T11" s="738">
        <f>Elect!AP15</f>
        <v>117.78750000000001</v>
      </c>
      <c r="U11" s="738">
        <f>Elect!AR15</f>
        <v>194</v>
      </c>
      <c r="V11" s="738">
        <f>Elect!AT15</f>
        <v>103.66666666670062</v>
      </c>
      <c r="W11" s="738">
        <f>Elect!AV15</f>
        <v>42</v>
      </c>
      <c r="X11" s="738">
        <f>Elect!AX15</f>
        <v>846</v>
      </c>
      <c r="Y11" s="738">
        <f>Elect!AZ15</f>
        <v>11</v>
      </c>
      <c r="Z11" s="738">
        <f>Elect!BB15</f>
        <v>3551</v>
      </c>
      <c r="AA11" s="738">
        <f>Elect!BD15</f>
        <v>301</v>
      </c>
      <c r="AB11" s="738">
        <f>Elect!BF15</f>
        <v>37</v>
      </c>
      <c r="AC11" s="738">
        <f>Elect!BH15</f>
        <v>3927.85</v>
      </c>
      <c r="AD11" s="738">
        <f>Elect!BL15</f>
        <v>272</v>
      </c>
      <c r="AE11" s="738">
        <f>Elect!BN15</f>
        <v>865</v>
      </c>
      <c r="AF11" s="738">
        <f>Elect!BP15</f>
        <v>102</v>
      </c>
      <c r="AG11" s="738">
        <f>Elect!BR15</f>
        <v>131</v>
      </c>
      <c r="AH11" s="738">
        <f>Boat!C13</f>
        <v>0</v>
      </c>
      <c r="AI11" s="847"/>
      <c r="AJ11" s="738">
        <f>Water!C16</f>
        <v>139.19999999999999</v>
      </c>
      <c r="AK11" s="738">
        <f>Water!E16</f>
        <v>168.2</v>
      </c>
      <c r="AL11" s="738">
        <f>Water!G16</f>
        <v>105.55999999999999</v>
      </c>
      <c r="AM11" s="738">
        <f>Boat!E13</f>
        <v>0</v>
      </c>
      <c r="AN11" s="847"/>
      <c r="AO11" s="738">
        <f>Gas!C16</f>
        <v>1774.44</v>
      </c>
      <c r="AP11" s="738">
        <f>Gas!E16</f>
        <v>376.59999999999997</v>
      </c>
      <c r="AQ11" s="738">
        <f>Gas!G16</f>
        <v>99</v>
      </c>
      <c r="AR11" s="738">
        <f>Boat!G13</f>
        <v>0</v>
      </c>
      <c r="AS11" s="745">
        <f>Elect!BT15</f>
        <v>185</v>
      </c>
    </row>
    <row r="12" spans="1:45" ht="12.75" customHeight="1">
      <c r="A12" s="752" t="s">
        <v>11</v>
      </c>
      <c r="B12" s="729">
        <f t="shared" si="0"/>
        <v>11</v>
      </c>
      <c r="C12" s="771">
        <v>8</v>
      </c>
      <c r="D12" s="751">
        <v>2022</v>
      </c>
      <c r="E12" s="847"/>
      <c r="F12" s="738">
        <f>Elect!J16</f>
        <v>8905</v>
      </c>
      <c r="G12" s="738">
        <f>Elect!K16</f>
        <v>4104</v>
      </c>
      <c r="H12" s="738">
        <f>Elect!Q16</f>
        <v>540</v>
      </c>
      <c r="I12" s="738">
        <f>Elect!S16</f>
        <v>149</v>
      </c>
      <c r="J12" s="738">
        <f>Elect!U16</f>
        <v>253</v>
      </c>
      <c r="K12" s="738">
        <f>Elect!W16</f>
        <v>1837.51</v>
      </c>
      <c r="L12" s="738">
        <f>Elect!Y16</f>
        <v>0</v>
      </c>
      <c r="M12" s="738">
        <f>Elect!AA16</f>
        <v>0</v>
      </c>
      <c r="N12" s="738">
        <f>Elect!AC16</f>
        <v>0</v>
      </c>
      <c r="O12" s="738">
        <f>Elect!AE16</f>
        <v>13.780000000000001</v>
      </c>
      <c r="P12" s="738">
        <f>Elect!AG16</f>
        <v>12.72</v>
      </c>
      <c r="Q12" s="738">
        <f>Elect!AI16</f>
        <v>128.26000000000002</v>
      </c>
      <c r="R12" s="738">
        <f>Elect!AK16</f>
        <v>1888.92</v>
      </c>
      <c r="S12" s="738">
        <f>Elect!AM16</f>
        <v>97.52000000000001</v>
      </c>
      <c r="T12" s="738">
        <f>Elect!AP16</f>
        <v>81.337500000000006</v>
      </c>
      <c r="U12" s="738">
        <f>Elect!AR16</f>
        <v>199</v>
      </c>
      <c r="V12" s="738">
        <f>Elect!AT16</f>
        <v>107</v>
      </c>
      <c r="W12" s="738">
        <f>Elect!AV16</f>
        <v>39</v>
      </c>
      <c r="X12" s="738">
        <f>Elect!AX16</f>
        <v>707</v>
      </c>
      <c r="Y12" s="738">
        <f>Elect!AZ16</f>
        <v>11</v>
      </c>
      <c r="Z12" s="738">
        <f>Elect!BB16</f>
        <v>5376</v>
      </c>
      <c r="AA12" s="738">
        <f>Elect!BD16</f>
        <v>36</v>
      </c>
      <c r="AB12" s="738">
        <f>Elect!BF16</f>
        <v>50</v>
      </c>
      <c r="AC12" s="738">
        <f>Elect!BH16</f>
        <v>5842.35</v>
      </c>
      <c r="AD12" s="738">
        <f>Elect!BL16</f>
        <v>322</v>
      </c>
      <c r="AE12" s="738">
        <f>Elect!BN16</f>
        <v>997</v>
      </c>
      <c r="AF12" s="738">
        <f>Elect!BP16</f>
        <v>120</v>
      </c>
      <c r="AG12" s="738">
        <f>Elect!BR16</f>
        <v>127</v>
      </c>
      <c r="AH12" s="738">
        <f>Boat!C14</f>
        <v>0</v>
      </c>
      <c r="AI12" s="847"/>
      <c r="AJ12" s="738">
        <f>Water!C17</f>
        <v>145</v>
      </c>
      <c r="AK12" s="738">
        <f>Water!E17</f>
        <v>174.58000000000209</v>
      </c>
      <c r="AL12" s="738">
        <f>Water!G17</f>
        <v>112.69400000000168</v>
      </c>
      <c r="AM12" s="738">
        <f>Boat!E14</f>
        <v>0</v>
      </c>
      <c r="AN12" s="847"/>
      <c r="AO12" s="738">
        <f>Gas!C17</f>
        <v>1743.7</v>
      </c>
      <c r="AP12" s="738">
        <f>Gas!E17</f>
        <v>388.5</v>
      </c>
      <c r="AQ12" s="738">
        <f>Gas!G17</f>
        <v>100.5</v>
      </c>
      <c r="AR12" s="738">
        <f>Boat!G14</f>
        <v>0</v>
      </c>
      <c r="AS12" s="745">
        <f>Elect!BT16</f>
        <v>156</v>
      </c>
    </row>
    <row r="13" spans="1:45" ht="12.75" customHeight="1">
      <c r="A13" s="752" t="s">
        <v>11</v>
      </c>
      <c r="B13" s="729">
        <f t="shared" si="0"/>
        <v>12</v>
      </c>
      <c r="C13" s="771">
        <v>8</v>
      </c>
      <c r="D13" s="751">
        <v>2022</v>
      </c>
      <c r="E13" s="847"/>
      <c r="F13" s="738">
        <f>Elect!J17</f>
        <v>5252</v>
      </c>
      <c r="G13" s="738">
        <f>Elect!K17</f>
        <v>5328</v>
      </c>
      <c r="H13" s="738">
        <f>Elect!Q17</f>
        <v>570</v>
      </c>
      <c r="I13" s="738">
        <f>Elect!S17</f>
        <v>143</v>
      </c>
      <c r="J13" s="738">
        <f>Elect!U17</f>
        <v>247</v>
      </c>
      <c r="K13" s="738">
        <f>Elect!W17</f>
        <v>2327.23</v>
      </c>
      <c r="L13" s="738">
        <f>Elect!Y17</f>
        <v>0</v>
      </c>
      <c r="M13" s="738">
        <f>Elect!AA17</f>
        <v>0</v>
      </c>
      <c r="N13" s="738">
        <f>Elect!AC17</f>
        <v>0</v>
      </c>
      <c r="O13" s="738">
        <f>Elect!AE17</f>
        <v>13.25</v>
      </c>
      <c r="P13" s="738">
        <f>Elect!AG17</f>
        <v>12.190000000000001</v>
      </c>
      <c r="Q13" s="738">
        <f>Elect!AI17</f>
        <v>160.59</v>
      </c>
      <c r="R13" s="738">
        <f>Elect!AK17</f>
        <v>2522.27</v>
      </c>
      <c r="S13" s="738">
        <f>Elect!AM17</f>
        <v>126.14</v>
      </c>
      <c r="T13" s="738">
        <f>Elect!AP17</f>
        <v>116.77500000000001</v>
      </c>
      <c r="U13" s="738">
        <f>Elect!AR17</f>
        <v>195</v>
      </c>
      <c r="V13" s="738">
        <f>Elect!AT17</f>
        <v>98</v>
      </c>
      <c r="W13" s="738">
        <f>Elect!AV17</f>
        <v>49</v>
      </c>
      <c r="X13" s="738">
        <f>Elect!AX17</f>
        <v>903</v>
      </c>
      <c r="Y13" s="738">
        <f>Elect!AZ17</f>
        <v>10</v>
      </c>
      <c r="Z13" s="738">
        <f>Elect!BB17</f>
        <v>5642</v>
      </c>
      <c r="AA13" s="738">
        <f>Elect!BD17</f>
        <v>129</v>
      </c>
      <c r="AB13" s="738">
        <f>Elect!BF17</f>
        <v>50</v>
      </c>
      <c r="AC13" s="738">
        <f>Elect!BH17</f>
        <v>6375.45</v>
      </c>
      <c r="AD13" s="738">
        <f>Elect!BL17</f>
        <v>363</v>
      </c>
      <c r="AE13" s="738">
        <f>Elect!BN17</f>
        <v>1101</v>
      </c>
      <c r="AF13" s="738">
        <f>Elect!BP17</f>
        <v>138</v>
      </c>
      <c r="AG13" s="738">
        <f>Elect!BR17</f>
        <v>146</v>
      </c>
      <c r="AH13" s="738">
        <f>Boat!C15</f>
        <v>0</v>
      </c>
      <c r="AI13" s="847"/>
      <c r="AJ13" s="738">
        <f>Water!C18</f>
        <v>143.84000000001686</v>
      </c>
      <c r="AK13" s="738">
        <f>Water!E18</f>
        <v>173.41999999999788</v>
      </c>
      <c r="AL13" s="738">
        <f>Water!G18</f>
        <v>110.25799999999492</v>
      </c>
      <c r="AM13" s="738">
        <f>Boat!E15</f>
        <v>0</v>
      </c>
      <c r="AN13" s="847"/>
      <c r="AO13" s="738">
        <f>Gas!C18</f>
        <v>1753.0280000007899</v>
      </c>
      <c r="AP13" s="738">
        <f>Gas!E18</f>
        <v>384.43999999996737</v>
      </c>
      <c r="AQ13" s="738">
        <f>Gas!G18</f>
        <v>101.09999999997672</v>
      </c>
      <c r="AR13" s="738">
        <f>Boat!G15</f>
        <v>0</v>
      </c>
      <c r="AS13" s="745">
        <f>Elect!BT17</f>
        <v>199</v>
      </c>
    </row>
    <row r="14" spans="1:45" ht="12.75" customHeight="1">
      <c r="A14" s="752" t="s">
        <v>11</v>
      </c>
      <c r="B14" s="729">
        <f t="shared" si="0"/>
        <v>13</v>
      </c>
      <c r="C14" s="771">
        <v>8</v>
      </c>
      <c r="D14" s="751">
        <v>2022</v>
      </c>
      <c r="E14" s="847"/>
      <c r="F14" s="738">
        <f>Elect!J18</f>
        <v>8745</v>
      </c>
      <c r="G14" s="738">
        <f>Elect!K18</f>
        <v>4493</v>
      </c>
      <c r="H14" s="738">
        <f>Elect!Q18</f>
        <v>570</v>
      </c>
      <c r="I14" s="738">
        <f>Elect!S18</f>
        <v>148</v>
      </c>
      <c r="J14" s="738">
        <f>Elect!U18</f>
        <v>260</v>
      </c>
      <c r="K14" s="738">
        <f>Elect!W18</f>
        <v>1963.65</v>
      </c>
      <c r="L14" s="738">
        <f>Elect!Y18</f>
        <v>0</v>
      </c>
      <c r="M14" s="738">
        <f>Elect!AA18</f>
        <v>0</v>
      </c>
      <c r="N14" s="738">
        <f>Elect!AC18</f>
        <v>0</v>
      </c>
      <c r="O14" s="738">
        <f>Elect!AE18</f>
        <v>13.25</v>
      </c>
      <c r="P14" s="738">
        <f>Elect!AG18</f>
        <v>12.190000000000001</v>
      </c>
      <c r="Q14" s="738">
        <f>Elect!AI18</f>
        <v>130.91</v>
      </c>
      <c r="R14" s="738">
        <f>Elect!AK18</f>
        <v>2097.7400000000002</v>
      </c>
      <c r="S14" s="738">
        <f>Elect!AM18</f>
        <v>104.94000000000001</v>
      </c>
      <c r="T14" s="738">
        <f>Elect!AP18</f>
        <v>99.9</v>
      </c>
      <c r="U14" s="738">
        <f>Elect!AR18</f>
        <v>180</v>
      </c>
      <c r="V14" s="738">
        <f>Elect!AT18</f>
        <v>63</v>
      </c>
      <c r="W14" s="738">
        <f>Elect!AV18</f>
        <v>38</v>
      </c>
      <c r="X14" s="738">
        <f>Elect!AX18</f>
        <v>740</v>
      </c>
      <c r="Y14" s="738">
        <f>Elect!AZ18</f>
        <v>11</v>
      </c>
      <c r="Z14" s="738">
        <f>Elect!BB18</f>
        <v>5114</v>
      </c>
      <c r="AA14" s="738">
        <f>Elect!BD18</f>
        <v>161</v>
      </c>
      <c r="AB14" s="738">
        <f>Elect!BF18</f>
        <v>50</v>
      </c>
      <c r="AC14" s="738">
        <f>Elect!BH18</f>
        <v>4555.5999999999995</v>
      </c>
      <c r="AD14" s="738">
        <f>Elect!BL18</f>
        <v>256</v>
      </c>
      <c r="AE14" s="738">
        <f>Elect!BN18</f>
        <v>769</v>
      </c>
      <c r="AF14" s="738">
        <f>Elect!BP18</f>
        <v>103</v>
      </c>
      <c r="AG14" s="738">
        <f>Elect!BR18</f>
        <v>104</v>
      </c>
      <c r="AH14" s="738">
        <f>Boat!C16</f>
        <v>0</v>
      </c>
      <c r="AI14" s="847"/>
      <c r="AJ14" s="738">
        <f>Water!C19</f>
        <v>111.35999999998312</v>
      </c>
      <c r="AK14" s="738">
        <f>Water!E19</f>
        <v>133.39999999999998</v>
      </c>
      <c r="AL14" s="738">
        <f>Water!G19</f>
        <v>65.308000000003375</v>
      </c>
      <c r="AM14" s="738">
        <f>Boat!E16</f>
        <v>0</v>
      </c>
      <c r="AN14" s="847"/>
      <c r="AO14" s="738">
        <f>Gas!C19</f>
        <v>1507.5319999992103</v>
      </c>
      <c r="AP14" s="738">
        <f>Gas!E19</f>
        <v>374.36000000003258</v>
      </c>
      <c r="AQ14" s="738">
        <f>Gas!G19</f>
        <v>80.400000000023283</v>
      </c>
      <c r="AR14" s="738">
        <f>Boat!G16</f>
        <v>0</v>
      </c>
      <c r="AS14" s="745">
        <f>Elect!BT18</f>
        <v>212</v>
      </c>
    </row>
    <row r="15" spans="1:45" ht="12.75" customHeight="1">
      <c r="A15" s="752" t="s">
        <v>11</v>
      </c>
      <c r="B15" s="729">
        <f t="shared" si="0"/>
        <v>14</v>
      </c>
      <c r="C15" s="771">
        <v>8</v>
      </c>
      <c r="D15" s="751">
        <v>2022</v>
      </c>
      <c r="E15" s="847"/>
      <c r="F15" s="738">
        <f>Elect!J19</f>
        <v>5469</v>
      </c>
      <c r="G15" s="738">
        <f>Elect!K19</f>
        <v>4760</v>
      </c>
      <c r="H15" s="738">
        <f>Elect!Q19</f>
        <v>450</v>
      </c>
      <c r="I15" s="738">
        <f>Elect!S19</f>
        <v>145</v>
      </c>
      <c r="J15" s="738">
        <f>Elect!U19</f>
        <v>262</v>
      </c>
      <c r="K15" s="738">
        <f>Elect!W19</f>
        <v>2205.86</v>
      </c>
      <c r="L15" s="738">
        <f>Elect!Y19</f>
        <v>0</v>
      </c>
      <c r="M15" s="738">
        <f>Elect!AA19</f>
        <v>0</v>
      </c>
      <c r="N15" s="738">
        <f>Elect!AC19</f>
        <v>0</v>
      </c>
      <c r="O15" s="738">
        <f>Elect!AE19</f>
        <v>10.600000000000001</v>
      </c>
      <c r="P15" s="738">
        <f>Elect!AG19</f>
        <v>9.5400000000000009</v>
      </c>
      <c r="Q15" s="738">
        <f>Elect!AI19</f>
        <v>158.47</v>
      </c>
      <c r="R15" s="738">
        <f>Elect!AK19</f>
        <v>2352.67</v>
      </c>
      <c r="S15" s="738">
        <f>Elect!AM19</f>
        <v>114.48</v>
      </c>
      <c r="T15" s="738">
        <f>Elect!AP19</f>
        <v>112.6125</v>
      </c>
      <c r="U15" s="738">
        <f>Elect!AR19</f>
        <v>193</v>
      </c>
      <c r="V15" s="738">
        <f>Elect!AT19</f>
        <v>73</v>
      </c>
      <c r="W15" s="738">
        <f>Elect!AV19</f>
        <v>43</v>
      </c>
      <c r="X15" s="738">
        <f>Elect!AX19</f>
        <v>855</v>
      </c>
      <c r="Y15" s="738">
        <f>Elect!AZ19</f>
        <v>11</v>
      </c>
      <c r="Z15" s="738">
        <f>Elect!BB19</f>
        <v>5079</v>
      </c>
      <c r="AA15" s="738">
        <f>Elect!BD19</f>
        <v>194</v>
      </c>
      <c r="AB15" s="738">
        <f>Elect!BF19</f>
        <v>32</v>
      </c>
      <c r="AC15" s="738">
        <f>Elect!BH19</f>
        <v>5326.45</v>
      </c>
      <c r="AD15" s="738">
        <f>Elect!BL19</f>
        <v>313</v>
      </c>
      <c r="AE15" s="738">
        <f>Elect!BN19</f>
        <v>953</v>
      </c>
      <c r="AF15" s="738">
        <f>Elect!BP19</f>
        <v>126</v>
      </c>
      <c r="AG15" s="738">
        <f>Elect!BR19</f>
        <v>121</v>
      </c>
      <c r="AH15" s="738">
        <f>Boat!C17</f>
        <v>0</v>
      </c>
      <c r="AI15" s="847"/>
      <c r="AJ15" s="738">
        <f>Water!C20</f>
        <v>133.39999999999998</v>
      </c>
      <c r="AK15" s="738">
        <f>Water!E20</f>
        <v>162.39999999999998</v>
      </c>
      <c r="AL15" s="738">
        <f>Water!G20</f>
        <v>142.1</v>
      </c>
      <c r="AM15" s="738">
        <f>Boat!E17</f>
        <v>0</v>
      </c>
      <c r="AN15" s="847"/>
      <c r="AO15" s="738">
        <f>Gas!C20</f>
        <v>1665.26</v>
      </c>
      <c r="AP15" s="738">
        <f>Gas!E20</f>
        <v>415.09999999999997</v>
      </c>
      <c r="AQ15" s="738">
        <f>Gas!G20</f>
        <v>112</v>
      </c>
      <c r="AR15" s="738">
        <f>Boat!G17</f>
        <v>0</v>
      </c>
      <c r="AS15" s="745">
        <f>Elect!BT19</f>
        <v>238</v>
      </c>
    </row>
    <row r="16" spans="1:45" ht="12.75" customHeight="1">
      <c r="A16" s="752" t="s">
        <v>11</v>
      </c>
      <c r="B16" s="729">
        <f t="shared" si="0"/>
        <v>15</v>
      </c>
      <c r="C16" s="771">
        <v>8</v>
      </c>
      <c r="D16" s="751">
        <v>2022</v>
      </c>
      <c r="E16" s="847"/>
      <c r="F16" s="738">
        <f>Elect!J20</f>
        <v>6355</v>
      </c>
      <c r="G16" s="738">
        <f>Elect!K20</f>
        <v>4198</v>
      </c>
      <c r="H16" s="738">
        <f>Elect!Q20</f>
        <v>510</v>
      </c>
      <c r="I16" s="738">
        <f>Elect!S20</f>
        <v>141</v>
      </c>
      <c r="J16" s="738">
        <f>Elect!U20</f>
        <v>238</v>
      </c>
      <c r="K16" s="738">
        <f>Elect!W20</f>
        <v>1928.14</v>
      </c>
      <c r="L16" s="738">
        <f>Elect!Y20</f>
        <v>0</v>
      </c>
      <c r="M16" s="738">
        <f>Elect!AA20</f>
        <v>0</v>
      </c>
      <c r="N16" s="738">
        <f>Elect!AC20</f>
        <v>0</v>
      </c>
      <c r="O16" s="738">
        <f>Elect!AE20</f>
        <v>11.13</v>
      </c>
      <c r="P16" s="738">
        <f>Elect!AG20</f>
        <v>10.600000000000001</v>
      </c>
      <c r="Q16" s="738">
        <f>Elect!AI20</f>
        <v>139.39000000000001</v>
      </c>
      <c r="R16" s="738">
        <f>Elect!AK20</f>
        <v>2057.46</v>
      </c>
      <c r="S16" s="738">
        <f>Elect!AM20</f>
        <v>103.35000000000001</v>
      </c>
      <c r="T16" s="738">
        <f>Elect!AP20</f>
        <v>90.674999999999997</v>
      </c>
      <c r="U16" s="738">
        <f>Elect!AR20</f>
        <v>184</v>
      </c>
      <c r="V16" s="738">
        <f>Elect!AT20</f>
        <v>64</v>
      </c>
      <c r="W16" s="738">
        <f>Elect!AV20</f>
        <v>40</v>
      </c>
      <c r="X16" s="738">
        <f>Elect!AX20</f>
        <v>765</v>
      </c>
      <c r="Y16" s="738">
        <f>Elect!AZ20</f>
        <v>10</v>
      </c>
      <c r="Z16" s="738">
        <f>Elect!BB20</f>
        <v>3454</v>
      </c>
      <c r="AA16" s="738">
        <f>Elect!BD20</f>
        <v>178</v>
      </c>
      <c r="AB16" s="738">
        <f>Elect!BF20</f>
        <v>45</v>
      </c>
      <c r="AC16" s="738">
        <f>Elect!BH20</f>
        <v>4613.3999999999996</v>
      </c>
      <c r="AD16" s="738">
        <f>Elect!BL20</f>
        <v>276</v>
      </c>
      <c r="AE16" s="738">
        <f>Elect!BN20</f>
        <v>815</v>
      </c>
      <c r="AF16" s="738">
        <f>Elect!BP20</f>
        <v>113</v>
      </c>
      <c r="AG16" s="738">
        <f>Elect!BR20</f>
        <v>115</v>
      </c>
      <c r="AH16" s="738">
        <f>Boat!C18</f>
        <v>0</v>
      </c>
      <c r="AI16" s="847"/>
      <c r="AJ16" s="738">
        <f>Water!C21</f>
        <v>127.6</v>
      </c>
      <c r="AK16" s="738">
        <f>Water!E21</f>
        <v>145</v>
      </c>
      <c r="AL16" s="738">
        <f>Water!G21</f>
        <v>115.99999999999999</v>
      </c>
      <c r="AM16" s="738">
        <f>Boat!E18</f>
        <v>0</v>
      </c>
      <c r="AN16" s="847"/>
      <c r="AO16" s="738">
        <f>Gas!C21</f>
        <v>1637.7</v>
      </c>
      <c r="AP16" s="738">
        <f>Gas!E21</f>
        <v>382.2</v>
      </c>
      <c r="AQ16" s="738">
        <f>Gas!G21</f>
        <v>99</v>
      </c>
      <c r="AR16" s="738">
        <f>Boat!G18</f>
        <v>0</v>
      </c>
      <c r="AS16" s="745">
        <f>Elect!BT20</f>
        <v>229</v>
      </c>
    </row>
    <row r="17" spans="1:45" ht="12.75" customHeight="1">
      <c r="A17" s="752" t="s">
        <v>11</v>
      </c>
      <c r="B17" s="729">
        <f t="shared" si="0"/>
        <v>16</v>
      </c>
      <c r="C17" s="771">
        <v>8</v>
      </c>
      <c r="D17" s="751">
        <v>2022</v>
      </c>
      <c r="E17" s="847"/>
      <c r="F17" s="738">
        <f>Elect!J21</f>
        <v>6678</v>
      </c>
      <c r="G17" s="738">
        <f>Elect!K21</f>
        <v>5658</v>
      </c>
      <c r="H17" s="738">
        <f>Elect!Q21</f>
        <v>480</v>
      </c>
      <c r="I17" s="738">
        <f>Elect!S21</f>
        <v>145</v>
      </c>
      <c r="J17" s="738">
        <f>Elect!U21</f>
        <v>248</v>
      </c>
      <c r="K17" s="738">
        <f>Elect!W21</f>
        <v>2368.5700000000002</v>
      </c>
      <c r="L17" s="738">
        <f>Elect!Y21</f>
        <v>0</v>
      </c>
      <c r="M17" s="738">
        <f>Elect!AA21</f>
        <v>0</v>
      </c>
      <c r="N17" s="738">
        <f>Elect!AC21</f>
        <v>0</v>
      </c>
      <c r="O17" s="738">
        <f>Elect!AE21</f>
        <v>13.780000000000001</v>
      </c>
      <c r="P17" s="738">
        <f>Elect!AG21</f>
        <v>12.72</v>
      </c>
      <c r="Q17" s="738">
        <f>Elect!AI21</f>
        <v>184.44</v>
      </c>
      <c r="R17" s="738">
        <f>Elect!AK21</f>
        <v>2707.77</v>
      </c>
      <c r="S17" s="738">
        <f>Elect!AM21</f>
        <v>139.39000000000001</v>
      </c>
      <c r="T17" s="738">
        <f>Elect!AP21</f>
        <v>108.45</v>
      </c>
      <c r="U17" s="738">
        <f>Elect!AR21</f>
        <v>195</v>
      </c>
      <c r="V17" s="738">
        <f>Elect!AT21</f>
        <v>81</v>
      </c>
      <c r="W17" s="738">
        <f>Elect!AV21</f>
        <v>52</v>
      </c>
      <c r="X17" s="738">
        <f>Elect!AX21</f>
        <v>997</v>
      </c>
      <c r="Y17" s="738">
        <f>Elect!AZ21</f>
        <v>10</v>
      </c>
      <c r="Z17" s="738">
        <f>Elect!BB21</f>
        <v>5625</v>
      </c>
      <c r="AA17" s="738">
        <f>Elect!BD21</f>
        <v>249</v>
      </c>
      <c r="AB17" s="738">
        <f>Elect!BF21</f>
        <v>50</v>
      </c>
      <c r="AC17" s="738">
        <f>Elect!BH21</f>
        <v>5674.4</v>
      </c>
      <c r="AD17" s="738">
        <f>Elect!BL21</f>
        <v>337</v>
      </c>
      <c r="AE17" s="738">
        <f>Elect!BN21</f>
        <v>1048</v>
      </c>
      <c r="AF17" s="738">
        <f>Elect!BP21</f>
        <v>140</v>
      </c>
      <c r="AG17" s="738">
        <f>Elect!BR21</f>
        <v>129</v>
      </c>
      <c r="AH17" s="738">
        <f>Boat!C19</f>
        <v>0</v>
      </c>
      <c r="AI17" s="847"/>
      <c r="AJ17" s="738">
        <f>Water!C22</f>
        <v>87</v>
      </c>
      <c r="AK17" s="738">
        <f>Water!E22</f>
        <v>104.39999999999999</v>
      </c>
      <c r="AL17" s="738">
        <f>Water!G22</f>
        <v>114.25999999999999</v>
      </c>
      <c r="AM17" s="738">
        <f>Boat!E19</f>
        <v>0</v>
      </c>
      <c r="AN17" s="847"/>
      <c r="AO17" s="738">
        <f>Gas!C22</f>
        <v>1677.98</v>
      </c>
      <c r="AP17" s="738">
        <f>Gas!E22</f>
        <v>384.29999999999995</v>
      </c>
      <c r="AQ17" s="738">
        <f>Gas!G22</f>
        <v>98</v>
      </c>
      <c r="AR17" s="738">
        <f>Boat!G19</f>
        <v>0</v>
      </c>
      <c r="AS17" s="745">
        <f>Elect!BT21</f>
        <v>213</v>
      </c>
    </row>
    <row r="18" spans="1:45" ht="12.75" customHeight="1">
      <c r="A18" s="752" t="s">
        <v>11</v>
      </c>
      <c r="B18" s="729">
        <f t="shared" si="0"/>
        <v>17</v>
      </c>
      <c r="C18" s="771">
        <v>8</v>
      </c>
      <c r="D18" s="751">
        <v>2022</v>
      </c>
      <c r="E18" s="847"/>
      <c r="F18" s="738">
        <f>Elect!J22</f>
        <v>6754</v>
      </c>
      <c r="G18" s="738">
        <f>Elect!K22</f>
        <v>4074</v>
      </c>
      <c r="H18" s="738">
        <f>Elect!Q22</f>
        <v>480</v>
      </c>
      <c r="I18" s="738">
        <f>Elect!S22</f>
        <v>146</v>
      </c>
      <c r="J18" s="738">
        <f>Elect!U22</f>
        <v>246</v>
      </c>
      <c r="K18" s="738">
        <f>Elect!W22</f>
        <v>1459.0900000000001</v>
      </c>
      <c r="L18" s="738">
        <f>Elect!Y22</f>
        <v>0</v>
      </c>
      <c r="M18" s="738">
        <f>Elect!AA22</f>
        <v>0</v>
      </c>
      <c r="N18" s="738">
        <f>Elect!AC22</f>
        <v>0</v>
      </c>
      <c r="O18" s="738">
        <f>Elect!AE22</f>
        <v>12.72</v>
      </c>
      <c r="P18" s="738">
        <f>Elect!AG22</f>
        <v>12.190000000000001</v>
      </c>
      <c r="Q18" s="738">
        <f>Elect!AI22</f>
        <v>178.08</v>
      </c>
      <c r="R18" s="738">
        <f>Elect!AK22</f>
        <v>2012.41</v>
      </c>
      <c r="S18" s="738">
        <f>Elect!AM22</f>
        <v>102.29</v>
      </c>
      <c r="T18" s="738">
        <f>Elect!AP22</f>
        <v>101.7</v>
      </c>
      <c r="U18" s="738">
        <f>Elect!AR22</f>
        <v>186</v>
      </c>
      <c r="V18" s="738">
        <f>Elect!AT22</f>
        <v>103</v>
      </c>
      <c r="W18" s="738">
        <f>Elect!AV22</f>
        <v>37</v>
      </c>
      <c r="X18" s="738">
        <f>Elect!AX22</f>
        <v>721</v>
      </c>
      <c r="Y18" s="738">
        <f>Elect!AZ22</f>
        <v>11</v>
      </c>
      <c r="Z18" s="738">
        <f>Elect!BB22</f>
        <v>4075</v>
      </c>
      <c r="AA18" s="738">
        <f>Elect!BD22</f>
        <v>225</v>
      </c>
      <c r="AB18" s="738">
        <f>Elect!BF22</f>
        <v>50</v>
      </c>
      <c r="AC18" s="738">
        <f>Elect!BH22</f>
        <v>5251.9000000000005</v>
      </c>
      <c r="AD18" s="738">
        <f>Elect!BL22</f>
        <v>285</v>
      </c>
      <c r="AE18" s="738">
        <f>Elect!BN22</f>
        <v>1027</v>
      </c>
      <c r="AF18" s="738">
        <f>Elect!BP22</f>
        <v>131</v>
      </c>
      <c r="AG18" s="738">
        <f>Elect!BR22</f>
        <v>129</v>
      </c>
      <c r="AH18" s="738">
        <f>Boat!C20</f>
        <v>0</v>
      </c>
      <c r="AI18" s="847"/>
      <c r="AJ18" s="738">
        <f>Water!C23</f>
        <v>98.6</v>
      </c>
      <c r="AK18" s="738">
        <f>Water!E23</f>
        <v>110.19999999999999</v>
      </c>
      <c r="AL18" s="738">
        <f>Water!G23</f>
        <v>116.58</v>
      </c>
      <c r="AM18" s="738">
        <f>Boat!E20</f>
        <v>0</v>
      </c>
      <c r="AN18" s="847"/>
      <c r="AO18" s="738">
        <f>Gas!C23</f>
        <v>2184.6600000000003</v>
      </c>
      <c r="AP18" s="738">
        <f>Gas!E23</f>
        <v>386.4</v>
      </c>
      <c r="AQ18" s="738">
        <f>Gas!G23</f>
        <v>91</v>
      </c>
      <c r="AR18" s="738">
        <f>Boat!G20</f>
        <v>0</v>
      </c>
      <c r="AS18" s="745">
        <f>Elect!BT22</f>
        <v>198</v>
      </c>
    </row>
    <row r="19" spans="1:45" ht="12.75" customHeight="1">
      <c r="A19" s="752" t="s">
        <v>11</v>
      </c>
      <c r="B19" s="729">
        <f t="shared" si="0"/>
        <v>18</v>
      </c>
      <c r="C19" s="771">
        <v>8</v>
      </c>
      <c r="D19" s="751">
        <v>2022</v>
      </c>
      <c r="E19" s="847"/>
      <c r="F19" s="738">
        <f>Elect!J23</f>
        <v>7905</v>
      </c>
      <c r="G19" s="738">
        <f>Elect!K23</f>
        <v>4967</v>
      </c>
      <c r="H19" s="738">
        <f>Elect!Q23</f>
        <v>390</v>
      </c>
      <c r="I19" s="738">
        <f>Elect!S23</f>
        <v>139</v>
      </c>
      <c r="J19" s="738">
        <f>Elect!U23</f>
        <v>241</v>
      </c>
      <c r="K19" s="738">
        <f>Elect!W23</f>
        <v>1830.6200000000001</v>
      </c>
      <c r="L19" s="738">
        <f>Elect!Y23</f>
        <v>0</v>
      </c>
      <c r="M19" s="738">
        <f>Elect!AA23</f>
        <v>0</v>
      </c>
      <c r="N19" s="738">
        <f>Elect!AC23</f>
        <v>0</v>
      </c>
      <c r="O19" s="738">
        <f>Elect!AE23</f>
        <v>13.25</v>
      </c>
      <c r="P19" s="738">
        <f>Elect!AG23</f>
        <v>12.72</v>
      </c>
      <c r="Q19" s="738">
        <f>Elect!AI23</f>
        <v>262.35000000000002</v>
      </c>
      <c r="R19" s="738">
        <f>Elect!AK23</f>
        <v>2470.33</v>
      </c>
      <c r="S19" s="738">
        <f>Elect!AM23</f>
        <v>123.49000000000001</v>
      </c>
      <c r="T19" s="738">
        <f>Elect!AP23</f>
        <v>106.7625</v>
      </c>
      <c r="U19" s="738">
        <f>Elect!AR23</f>
        <v>186</v>
      </c>
      <c r="V19" s="738">
        <f>Elect!AT23</f>
        <v>104</v>
      </c>
      <c r="W19" s="738">
        <f>Elect!AV23</f>
        <v>46</v>
      </c>
      <c r="X19" s="738">
        <f>Elect!AX23</f>
        <v>889</v>
      </c>
      <c r="Y19" s="738">
        <f>Elect!AZ23</f>
        <v>10</v>
      </c>
      <c r="Z19" s="738">
        <f>Elect!BB23</f>
        <v>4928</v>
      </c>
      <c r="AA19" s="738">
        <f>Elect!BD23</f>
        <v>231</v>
      </c>
      <c r="AB19" s="738">
        <f>Elect!BF23</f>
        <v>37</v>
      </c>
      <c r="AC19" s="738">
        <f>Elect!BH23</f>
        <v>5224.95</v>
      </c>
      <c r="AD19" s="738">
        <f>Elect!BL23</f>
        <v>262</v>
      </c>
      <c r="AE19" s="738">
        <f>Elect!BN23</f>
        <v>999</v>
      </c>
      <c r="AF19" s="738">
        <f>Elect!BP23</f>
        <v>130</v>
      </c>
      <c r="AG19" s="738">
        <f>Elect!BR23</f>
        <v>122</v>
      </c>
      <c r="AH19" s="738">
        <f>Boat!C21</f>
        <v>0</v>
      </c>
      <c r="AI19" s="847"/>
      <c r="AJ19" s="738">
        <f>Water!C24</f>
        <v>110.19999999999999</v>
      </c>
      <c r="AK19" s="738">
        <f>Water!E24</f>
        <v>121.8</v>
      </c>
      <c r="AL19" s="738">
        <f>Water!G24</f>
        <v>134.56</v>
      </c>
      <c r="AM19" s="738">
        <f>Boat!E21</f>
        <v>0</v>
      </c>
      <c r="AN19" s="847"/>
      <c r="AO19" s="738">
        <f>Gas!C24</f>
        <v>1345.14</v>
      </c>
      <c r="AP19" s="738">
        <f>Gas!E24</f>
        <v>467.59999999999997</v>
      </c>
      <c r="AQ19" s="738">
        <f>Gas!G24</f>
        <v>102</v>
      </c>
      <c r="AR19" s="738">
        <f>Boat!G21</f>
        <v>0</v>
      </c>
      <c r="AS19" s="745">
        <f>Elect!BT23</f>
        <v>170</v>
      </c>
    </row>
    <row r="20" spans="1:45" ht="12.75" customHeight="1">
      <c r="A20" s="752" t="s">
        <v>11</v>
      </c>
      <c r="B20" s="729">
        <f t="shared" si="0"/>
        <v>19</v>
      </c>
      <c r="C20" s="771">
        <v>8</v>
      </c>
      <c r="D20" s="751">
        <v>2022</v>
      </c>
      <c r="E20" s="847"/>
      <c r="F20" s="738">
        <f>Elect!J24</f>
        <v>4666</v>
      </c>
      <c r="G20" s="738">
        <f>Elect!K24</f>
        <v>3739</v>
      </c>
      <c r="H20" s="738">
        <f>Elect!Q24</f>
        <v>450</v>
      </c>
      <c r="I20" s="738">
        <f>Elect!S24</f>
        <v>141</v>
      </c>
      <c r="J20" s="738">
        <f>Elect!U24</f>
        <v>251</v>
      </c>
      <c r="K20" s="738">
        <f>Elect!W24</f>
        <v>1535.94</v>
      </c>
      <c r="L20" s="738">
        <f>Elect!Y24</f>
        <v>0</v>
      </c>
      <c r="M20" s="738">
        <f>Elect!AA24</f>
        <v>0</v>
      </c>
      <c r="N20" s="738">
        <f>Elect!AC24</f>
        <v>265</v>
      </c>
      <c r="O20" s="738">
        <f>Elect!AE24</f>
        <v>15.370000000000001</v>
      </c>
      <c r="P20" s="738">
        <f>Elect!AG24</f>
        <v>14.31</v>
      </c>
      <c r="Q20" s="738">
        <f>Elect!AI24</f>
        <v>212.53</v>
      </c>
      <c r="R20" s="738">
        <f>Elect!AK24</f>
        <v>1940.3300000000002</v>
      </c>
      <c r="S20" s="738">
        <f>Elect!AM24</f>
        <v>99.64</v>
      </c>
      <c r="T20" s="738">
        <f>Elect!AP24</f>
        <v>166.5</v>
      </c>
      <c r="U20" s="738">
        <f>Elect!AR24</f>
        <v>178</v>
      </c>
      <c r="V20" s="738">
        <f>Elect!AT24</f>
        <v>93</v>
      </c>
      <c r="W20" s="738">
        <f>Elect!AV24</f>
        <v>36</v>
      </c>
      <c r="X20" s="738">
        <f>Elect!AX24</f>
        <v>713</v>
      </c>
      <c r="Y20" s="738">
        <f>Elect!AZ24</f>
        <v>11</v>
      </c>
      <c r="Z20" s="738">
        <f>Elect!BB24</f>
        <v>4928</v>
      </c>
      <c r="AA20" s="738">
        <f>Elect!BD24</f>
        <v>212</v>
      </c>
      <c r="AB20" s="738">
        <f>Elect!BF24</f>
        <v>50</v>
      </c>
      <c r="AC20" s="738">
        <f>Elect!BH24</f>
        <v>5026.6000000000004</v>
      </c>
      <c r="AD20" s="738">
        <f>Elect!BL24</f>
        <v>247</v>
      </c>
      <c r="AE20" s="738">
        <f>Elect!BN24</f>
        <v>931</v>
      </c>
      <c r="AF20" s="738">
        <f>Elect!BP24</f>
        <v>121</v>
      </c>
      <c r="AG20" s="738">
        <f>Elect!BR24</f>
        <v>116</v>
      </c>
      <c r="AH20" s="738">
        <f>Boat!C22</f>
        <v>0</v>
      </c>
      <c r="AI20" s="847"/>
      <c r="AJ20" s="738">
        <f>Water!C25</f>
        <v>81.199999999999989</v>
      </c>
      <c r="AK20" s="738">
        <f>Water!E25</f>
        <v>92.8</v>
      </c>
      <c r="AL20" s="738">
        <f>Water!G25</f>
        <v>102.66</v>
      </c>
      <c r="AM20" s="738">
        <f>Boat!E22</f>
        <v>0</v>
      </c>
      <c r="AN20" s="847"/>
      <c r="AO20" s="738">
        <f>Gas!C25</f>
        <v>1484</v>
      </c>
      <c r="AP20" s="738">
        <f>Gas!E25</f>
        <v>380.79999999999995</v>
      </c>
      <c r="AQ20" s="738">
        <f>Gas!G25</f>
        <v>82</v>
      </c>
      <c r="AR20" s="738">
        <f>Boat!G22</f>
        <v>0</v>
      </c>
      <c r="AS20" s="745">
        <f>Elect!BT24</f>
        <v>206</v>
      </c>
    </row>
    <row r="21" spans="1:45" ht="12.75" customHeight="1">
      <c r="A21" s="752" t="s">
        <v>11</v>
      </c>
      <c r="B21" s="729">
        <f t="shared" si="0"/>
        <v>20</v>
      </c>
      <c r="C21" s="771">
        <v>8</v>
      </c>
      <c r="D21" s="751">
        <v>2022</v>
      </c>
      <c r="E21" s="847"/>
      <c r="F21" s="738">
        <f>Elect!J25</f>
        <v>6708</v>
      </c>
      <c r="G21" s="738">
        <f>Elect!K25</f>
        <v>4545</v>
      </c>
      <c r="H21" s="738">
        <f>Elect!Q25</f>
        <v>510</v>
      </c>
      <c r="I21" s="738">
        <f>Elect!S25</f>
        <v>146</v>
      </c>
      <c r="J21" s="738">
        <f>Elect!U25</f>
        <v>256</v>
      </c>
      <c r="K21" s="738">
        <f>Elect!W25</f>
        <v>1797.23</v>
      </c>
      <c r="L21" s="738">
        <f>Elect!Y25</f>
        <v>0</v>
      </c>
      <c r="M21" s="738">
        <f>Elect!AA25</f>
        <v>0</v>
      </c>
      <c r="N21" s="738">
        <f>Elect!AC25</f>
        <v>0</v>
      </c>
      <c r="O21" s="738">
        <f>Elect!AE25</f>
        <v>11.66</v>
      </c>
      <c r="P21" s="738">
        <f>Elect!AG25</f>
        <v>11.13</v>
      </c>
      <c r="Q21" s="738">
        <f>Elect!AI25</f>
        <v>241.15</v>
      </c>
      <c r="R21" s="738">
        <f>Elect!AK25</f>
        <v>2259.92</v>
      </c>
      <c r="S21" s="738">
        <f>Elect!AM25</f>
        <v>113.95</v>
      </c>
      <c r="T21" s="738">
        <f>Elect!AP25</f>
        <v>186.3</v>
      </c>
      <c r="U21" s="738">
        <f>Elect!AR25</f>
        <v>221</v>
      </c>
      <c r="V21" s="738">
        <f>Elect!AT25</f>
        <v>92</v>
      </c>
      <c r="W21" s="738">
        <f>Elect!AV25</f>
        <v>40</v>
      </c>
      <c r="X21" s="738">
        <f>Elect!AX25</f>
        <v>807</v>
      </c>
      <c r="Y21" s="738">
        <f>Elect!AZ25</f>
        <v>10</v>
      </c>
      <c r="Z21" s="738">
        <f>Elect!BB25</f>
        <v>5478</v>
      </c>
      <c r="AA21" s="738">
        <f>Elect!BD25</f>
        <v>240</v>
      </c>
      <c r="AB21" s="738">
        <f>Elect!BF25</f>
        <v>43</v>
      </c>
      <c r="AC21" s="738">
        <f>Elect!BH25</f>
        <v>6416.95</v>
      </c>
      <c r="AD21" s="738">
        <f>Elect!BL25</f>
        <v>315</v>
      </c>
      <c r="AE21" s="738">
        <f>Elect!BN25</f>
        <v>1093</v>
      </c>
      <c r="AF21" s="738">
        <f>Elect!BP25</f>
        <v>156</v>
      </c>
      <c r="AG21" s="738">
        <f>Elect!BR25</f>
        <v>144</v>
      </c>
      <c r="AH21" s="738">
        <f>Boat!C23</f>
        <v>0</v>
      </c>
      <c r="AI21" s="847"/>
      <c r="AJ21" s="738">
        <f>Water!C26</f>
        <v>92.8</v>
      </c>
      <c r="AK21" s="738">
        <f>Water!E26</f>
        <v>104.39999999999999</v>
      </c>
      <c r="AL21" s="738">
        <f>Water!G26</f>
        <v>114.83999999999999</v>
      </c>
      <c r="AM21" s="738">
        <f>Boat!E23</f>
        <v>0</v>
      </c>
      <c r="AN21" s="847"/>
      <c r="AO21" s="738">
        <f>Gas!C26</f>
        <v>1498.8400000000001</v>
      </c>
      <c r="AP21" s="738">
        <f>Gas!E26</f>
        <v>354.2</v>
      </c>
      <c r="AQ21" s="738">
        <f>Gas!G26</f>
        <v>84</v>
      </c>
      <c r="AR21" s="738">
        <f>Boat!G23</f>
        <v>0</v>
      </c>
      <c r="AS21" s="745">
        <f>Elect!BT25</f>
        <v>228</v>
      </c>
    </row>
    <row r="22" spans="1:45" ht="12.75" customHeight="1">
      <c r="A22" s="752" t="s">
        <v>11</v>
      </c>
      <c r="B22" s="729">
        <f t="shared" si="0"/>
        <v>21</v>
      </c>
      <c r="C22" s="771">
        <v>8</v>
      </c>
      <c r="D22" s="751">
        <v>2022</v>
      </c>
      <c r="E22" s="847"/>
      <c r="F22" s="738">
        <f>Elect!J26</f>
        <v>5866</v>
      </c>
      <c r="G22" s="738">
        <f>Elect!K26</f>
        <v>4488</v>
      </c>
      <c r="H22" s="738">
        <f>Elect!Q26</f>
        <v>450</v>
      </c>
      <c r="I22" s="738">
        <f>Elect!S26</f>
        <v>131</v>
      </c>
      <c r="J22" s="738">
        <f>Elect!U26</f>
        <v>237</v>
      </c>
      <c r="K22" s="738">
        <f>Elect!W26</f>
        <v>1763.8400000000001</v>
      </c>
      <c r="L22" s="738">
        <f>Elect!Y26</f>
        <v>0</v>
      </c>
      <c r="M22" s="738">
        <f>Elect!AA26</f>
        <v>0</v>
      </c>
      <c r="N22" s="738">
        <f>Elect!AC26</f>
        <v>0</v>
      </c>
      <c r="O22" s="738">
        <f>Elect!AE26</f>
        <v>9.5400000000000009</v>
      </c>
      <c r="P22" s="738">
        <f>Elect!AG26</f>
        <v>9.01</v>
      </c>
      <c r="Q22" s="738">
        <f>Elect!AI26</f>
        <v>240.09</v>
      </c>
      <c r="R22" s="738">
        <f>Elect!AK26</f>
        <v>2240.84</v>
      </c>
      <c r="S22" s="738">
        <f>Elect!AM26</f>
        <v>111.83000000000001</v>
      </c>
      <c r="T22" s="738">
        <f>Elect!AP26</f>
        <v>167.96250000000001</v>
      </c>
      <c r="U22" s="738">
        <f>Elect!AR26</f>
        <v>192</v>
      </c>
      <c r="V22" s="738">
        <f>Elect!AT26</f>
        <v>81</v>
      </c>
      <c r="W22" s="738">
        <f>Elect!AV26</f>
        <v>40</v>
      </c>
      <c r="X22" s="738">
        <f>Elect!AX26</f>
        <v>781</v>
      </c>
      <c r="Y22" s="738">
        <f>Elect!AZ26</f>
        <v>7</v>
      </c>
      <c r="Z22" s="738">
        <f>Elect!BB26</f>
        <v>3925</v>
      </c>
      <c r="AA22" s="738">
        <f>Elect!BD26</f>
        <v>166</v>
      </c>
      <c r="AB22" s="738">
        <f>Elect!BF26</f>
        <v>42</v>
      </c>
      <c r="AC22" s="738">
        <f>Elect!BH26</f>
        <v>4003.9500000000007</v>
      </c>
      <c r="AD22" s="738">
        <f>Elect!BL26</f>
        <v>189</v>
      </c>
      <c r="AE22" s="738">
        <f>Elect!BN26</f>
        <v>692</v>
      </c>
      <c r="AF22" s="738">
        <f>Elect!BP26</f>
        <v>97</v>
      </c>
      <c r="AG22" s="738">
        <f>Elect!BR26</f>
        <v>93</v>
      </c>
      <c r="AH22" s="738">
        <f>Boat!C24</f>
        <v>0</v>
      </c>
      <c r="AI22" s="847"/>
      <c r="AJ22" s="738">
        <f>Water!C27</f>
        <v>104.39999999999999</v>
      </c>
      <c r="AK22" s="738">
        <f>Water!E27</f>
        <v>110.19999999999999</v>
      </c>
      <c r="AL22" s="738">
        <f>Water!G27</f>
        <v>128.17999999999998</v>
      </c>
      <c r="AM22" s="738">
        <f>Boat!E24</f>
        <v>0</v>
      </c>
      <c r="AN22" s="847"/>
      <c r="AO22" s="738">
        <f>Gas!C27</f>
        <v>1652.5400000000002</v>
      </c>
      <c r="AP22" s="738">
        <f>Gas!E27</f>
        <v>405.29999999999995</v>
      </c>
      <c r="AQ22" s="738">
        <f>Gas!G27</f>
        <v>99</v>
      </c>
      <c r="AR22" s="738">
        <f>Boat!G24</f>
        <v>0</v>
      </c>
      <c r="AS22" s="745">
        <f>Elect!BT26</f>
        <v>248</v>
      </c>
    </row>
    <row r="23" spans="1:45" ht="12.75" customHeight="1">
      <c r="A23" s="752" t="s">
        <v>11</v>
      </c>
      <c r="B23" s="729">
        <f t="shared" si="0"/>
        <v>22</v>
      </c>
      <c r="C23" s="771">
        <v>8</v>
      </c>
      <c r="D23" s="751">
        <v>2022</v>
      </c>
      <c r="E23" s="847"/>
      <c r="F23" s="738">
        <f>Elect!J27</f>
        <v>6243</v>
      </c>
      <c r="G23" s="738">
        <f>Elect!K27</f>
        <v>4508</v>
      </c>
      <c r="H23" s="738">
        <f>Elect!Q27</f>
        <v>420</v>
      </c>
      <c r="I23" s="738">
        <f>Elect!S27</f>
        <v>143</v>
      </c>
      <c r="J23" s="738">
        <f>Elect!U27</f>
        <v>262</v>
      </c>
      <c r="K23" s="738">
        <f>Elect!W27</f>
        <v>1814.19</v>
      </c>
      <c r="L23" s="738">
        <f>Elect!Y27</f>
        <v>2117.35</v>
      </c>
      <c r="M23" s="738">
        <f>Elect!AA27</f>
        <v>0</v>
      </c>
      <c r="N23" s="738">
        <f>Elect!AC27</f>
        <v>514.63</v>
      </c>
      <c r="O23" s="738">
        <f>Elect!AE27</f>
        <v>12.190000000000001</v>
      </c>
      <c r="P23" s="738">
        <f>Elect!AG27</f>
        <v>11.66</v>
      </c>
      <c r="Q23" s="738">
        <f>Elect!AI27</f>
        <v>257.58000000000004</v>
      </c>
      <c r="R23" s="738">
        <f>Elect!AK27</f>
        <v>2247.73</v>
      </c>
      <c r="S23" s="738">
        <f>Elect!AM27</f>
        <v>113.42</v>
      </c>
      <c r="T23" s="738">
        <f>Elect!AP27</f>
        <v>173.58750000000001</v>
      </c>
      <c r="U23" s="738">
        <f>Elect!AR27</f>
        <v>200</v>
      </c>
      <c r="V23" s="738">
        <f>Elect!AT27</f>
        <v>98</v>
      </c>
      <c r="W23" s="738">
        <f>Elect!AV27</f>
        <v>42</v>
      </c>
      <c r="X23" s="738">
        <f>Elect!AX27</f>
        <v>795</v>
      </c>
      <c r="Y23" s="738">
        <f>Elect!AZ27</f>
        <v>14</v>
      </c>
      <c r="Z23" s="738">
        <f>Elect!BB27</f>
        <v>4830</v>
      </c>
      <c r="AA23" s="738">
        <f>Elect!BD27</f>
        <v>221</v>
      </c>
      <c r="AB23" s="738">
        <f>Elect!BF27</f>
        <v>50</v>
      </c>
      <c r="AC23" s="738">
        <f>Elect!BH27</f>
        <v>5347.7</v>
      </c>
      <c r="AD23" s="738">
        <f>Elect!BL27</f>
        <v>276</v>
      </c>
      <c r="AE23" s="738">
        <f>Elect!BN27</f>
        <v>924</v>
      </c>
      <c r="AF23" s="738">
        <f>Elect!BP27</f>
        <v>130</v>
      </c>
      <c r="AG23" s="738">
        <f>Elect!BR27</f>
        <v>156</v>
      </c>
      <c r="AH23" s="738">
        <f>Boat!C25</f>
        <v>0</v>
      </c>
      <c r="AI23" s="847"/>
      <c r="AJ23" s="738">
        <f>Water!C28</f>
        <v>81.199999999999989</v>
      </c>
      <c r="AK23" s="738">
        <f>Water!E28</f>
        <v>98.6</v>
      </c>
      <c r="AL23" s="738">
        <f>Water!G28</f>
        <v>116.58</v>
      </c>
      <c r="AM23" s="738">
        <f>Boat!E25</f>
        <v>0</v>
      </c>
      <c r="AN23" s="847"/>
      <c r="AO23" s="738">
        <f>Gas!C28</f>
        <v>1699.18</v>
      </c>
      <c r="AP23" s="738">
        <f>Gas!E28</f>
        <v>378</v>
      </c>
      <c r="AQ23" s="738">
        <f>Gas!G28</f>
        <v>93</v>
      </c>
      <c r="AR23" s="738">
        <f>Boat!G25</f>
        <v>0</v>
      </c>
      <c r="AS23" s="745">
        <f>Elect!BT27</f>
        <v>225</v>
      </c>
    </row>
    <row r="24" spans="1:45" ht="12.75" customHeight="1">
      <c r="A24" s="752" t="s">
        <v>11</v>
      </c>
      <c r="B24" s="729">
        <f t="shared" si="0"/>
        <v>23</v>
      </c>
      <c r="C24" s="771">
        <v>8</v>
      </c>
      <c r="D24" s="751">
        <v>2022</v>
      </c>
      <c r="E24" s="847"/>
      <c r="F24" s="738">
        <f>Elect!J28</f>
        <v>6595</v>
      </c>
      <c r="G24" s="738">
        <f>Elect!K28</f>
        <v>4723</v>
      </c>
      <c r="H24" s="738">
        <f>Elect!Q28</f>
        <v>540</v>
      </c>
      <c r="I24" s="738">
        <f>Elect!S28</f>
        <v>143</v>
      </c>
      <c r="J24" s="738">
        <f>Elect!U28</f>
        <v>261</v>
      </c>
      <c r="K24" s="738">
        <f>Elect!W28</f>
        <v>1990.68</v>
      </c>
      <c r="L24" s="738">
        <f>Elect!Y28</f>
        <v>0</v>
      </c>
      <c r="M24" s="738">
        <f>Elect!AA28</f>
        <v>0</v>
      </c>
      <c r="N24" s="738">
        <f>Elect!AC28</f>
        <v>0</v>
      </c>
      <c r="O24" s="738">
        <f>Elect!AE28</f>
        <v>12.72</v>
      </c>
      <c r="P24" s="738">
        <f>Elect!AG28</f>
        <v>11.66</v>
      </c>
      <c r="Q24" s="738">
        <f>Elect!AI28</f>
        <v>285.14</v>
      </c>
      <c r="R24" s="738">
        <f>Elect!AK28</f>
        <v>2279.5300000000002</v>
      </c>
      <c r="S24" s="738">
        <f>Elect!AM28</f>
        <v>115.54</v>
      </c>
      <c r="T24" s="738">
        <f>Elect!AP28</f>
        <v>172.46250000000001</v>
      </c>
      <c r="U24" s="738">
        <f>Elect!AR28</f>
        <v>199</v>
      </c>
      <c r="V24" s="738">
        <f>Elect!AT28</f>
        <v>105</v>
      </c>
      <c r="W24" s="738">
        <f>Elect!AV28</f>
        <v>42</v>
      </c>
      <c r="X24" s="738">
        <f>Elect!AX28</f>
        <v>807</v>
      </c>
      <c r="Y24" s="738">
        <f>Elect!AZ28</f>
        <v>10</v>
      </c>
      <c r="Z24" s="738">
        <f>Elect!BB28</f>
        <v>4865</v>
      </c>
      <c r="AA24" s="738">
        <f>Elect!BD28</f>
        <v>236</v>
      </c>
      <c r="AB24" s="738">
        <f>Elect!BF28</f>
        <v>50</v>
      </c>
      <c r="AC24" s="738">
        <f>Elect!BH28</f>
        <v>5633.3</v>
      </c>
      <c r="AD24" s="738">
        <f>Elect!BL28</f>
        <v>277</v>
      </c>
      <c r="AE24" s="738">
        <f>Elect!BN28</f>
        <v>936</v>
      </c>
      <c r="AF24" s="738">
        <f>Elect!BP28</f>
        <v>130</v>
      </c>
      <c r="AG24" s="738">
        <f>Elect!BR28</f>
        <v>116</v>
      </c>
      <c r="AH24" s="738">
        <f>Boat!C26</f>
        <v>0</v>
      </c>
      <c r="AI24" s="847"/>
      <c r="AJ24" s="738">
        <f>Water!C29</f>
        <v>98.6</v>
      </c>
      <c r="AK24" s="738">
        <f>Water!E29</f>
        <v>104.39999999999999</v>
      </c>
      <c r="AL24" s="738">
        <f>Water!G29</f>
        <v>113.1</v>
      </c>
      <c r="AM24" s="738">
        <f>Boat!E26</f>
        <v>0</v>
      </c>
      <c r="AN24" s="847"/>
      <c r="AO24" s="738">
        <f>Gas!C29</f>
        <v>1552.9</v>
      </c>
      <c r="AP24" s="738">
        <f>Gas!E29</f>
        <v>415.09999999999997</v>
      </c>
      <c r="AQ24" s="738">
        <f>Gas!G29</f>
        <v>89</v>
      </c>
      <c r="AR24" s="738">
        <f>Boat!G26</f>
        <v>0</v>
      </c>
      <c r="AS24" s="745">
        <f>Elect!BT28</f>
        <v>201</v>
      </c>
    </row>
    <row r="25" spans="1:45" ht="12.75" customHeight="1">
      <c r="A25" s="752" t="s">
        <v>11</v>
      </c>
      <c r="B25" s="729">
        <f t="shared" si="0"/>
        <v>24</v>
      </c>
      <c r="C25" s="771">
        <v>8</v>
      </c>
      <c r="D25" s="751">
        <v>2022</v>
      </c>
      <c r="E25" s="847"/>
      <c r="F25" s="738">
        <f>Elect!J29</f>
        <v>6368</v>
      </c>
      <c r="G25" s="738">
        <f>Elect!K29</f>
        <v>4417</v>
      </c>
      <c r="H25" s="738">
        <f>Elect!Q29</f>
        <v>480</v>
      </c>
      <c r="I25" s="738">
        <f>Elect!S29</f>
        <v>143</v>
      </c>
      <c r="J25" s="738">
        <f>Elect!U29</f>
        <v>281</v>
      </c>
      <c r="K25" s="738">
        <f>Elect!W29</f>
        <v>2332.5300000000002</v>
      </c>
      <c r="L25" s="738">
        <f>Elect!Y29</f>
        <v>0</v>
      </c>
      <c r="M25" s="738">
        <f>Elect!AA29</f>
        <v>0</v>
      </c>
      <c r="N25" s="738">
        <f>Elect!AC29</f>
        <v>0</v>
      </c>
      <c r="O25" s="738">
        <f>Elect!AE29</f>
        <v>12.72</v>
      </c>
      <c r="P25" s="738">
        <f>Elect!AG29</f>
        <v>12.190000000000001</v>
      </c>
      <c r="Q25" s="738">
        <f>Elect!AI29</f>
        <v>274.54000000000002</v>
      </c>
      <c r="R25" s="738">
        <f>Elect!AK29</f>
        <v>2126.8900000000003</v>
      </c>
      <c r="S25" s="738">
        <f>Elect!AM29</f>
        <v>113.95</v>
      </c>
      <c r="T25" s="738">
        <f>Elect!AP29</f>
        <v>175.38750000000002</v>
      </c>
      <c r="U25" s="738">
        <f>Elect!AR29</f>
        <v>199</v>
      </c>
      <c r="V25" s="738">
        <f>Elect!AT29</f>
        <v>104</v>
      </c>
      <c r="W25" s="738">
        <f>Elect!AV29</f>
        <v>42</v>
      </c>
      <c r="X25" s="738">
        <f>Elect!AX29</f>
        <v>805</v>
      </c>
      <c r="Y25" s="738">
        <f>Elect!AZ29</f>
        <v>11</v>
      </c>
      <c r="Z25" s="738">
        <f>Elect!BB29</f>
        <v>4718</v>
      </c>
      <c r="AA25" s="738">
        <f>Elect!BD29</f>
        <v>255</v>
      </c>
      <c r="AB25" s="738">
        <f>Elect!BF29</f>
        <v>50</v>
      </c>
      <c r="AC25" s="738">
        <f>Elect!BH29</f>
        <v>5585.95</v>
      </c>
      <c r="AD25" s="738">
        <f>Elect!BL29</f>
        <v>276</v>
      </c>
      <c r="AE25" s="738">
        <f>Elect!BN29</f>
        <v>1020</v>
      </c>
      <c r="AF25" s="738">
        <f>Elect!BP29</f>
        <v>129</v>
      </c>
      <c r="AG25" s="738">
        <f>Elect!BR29</f>
        <v>140</v>
      </c>
      <c r="AH25" s="738">
        <f>Boat!C27</f>
        <v>0</v>
      </c>
      <c r="AI25" s="847"/>
      <c r="AJ25" s="738">
        <f>Water!C30</f>
        <v>98.6</v>
      </c>
      <c r="AK25" s="738">
        <f>Water!E30</f>
        <v>115.99999999999999</v>
      </c>
      <c r="AL25" s="738">
        <f>Water!G30</f>
        <v>121.21999999999998</v>
      </c>
      <c r="AM25" s="738">
        <f>Boat!E27</f>
        <v>0</v>
      </c>
      <c r="AN25" s="847"/>
      <c r="AO25" s="738">
        <f>Gas!C30</f>
        <v>1627.1000000000001</v>
      </c>
      <c r="AP25" s="738">
        <f>Gas!E30</f>
        <v>406.7</v>
      </c>
      <c r="AQ25" s="738">
        <f>Gas!G30</f>
        <v>91.666666666977108</v>
      </c>
      <c r="AR25" s="738">
        <f>Boat!G27</f>
        <v>0</v>
      </c>
      <c r="AS25" s="745">
        <f>Elect!BT29</f>
        <v>196</v>
      </c>
    </row>
    <row r="26" spans="1:45" ht="12.75" customHeight="1">
      <c r="A26" s="752" t="s">
        <v>11</v>
      </c>
      <c r="B26" s="729">
        <f>B25+1</f>
        <v>25</v>
      </c>
      <c r="C26" s="771">
        <v>8</v>
      </c>
      <c r="D26" s="751">
        <v>2022</v>
      </c>
      <c r="E26" s="847"/>
      <c r="F26" s="738">
        <f>Elect!J30</f>
        <v>6091</v>
      </c>
      <c r="G26" s="738">
        <f>Elect!K30</f>
        <v>4420</v>
      </c>
      <c r="H26" s="738">
        <f>Elect!Q30</f>
        <v>450</v>
      </c>
      <c r="I26" s="738">
        <f>Elect!S30</f>
        <v>144</v>
      </c>
      <c r="J26" s="738">
        <f>Elect!U30</f>
        <v>275</v>
      </c>
      <c r="K26" s="738">
        <f>Elect!W30</f>
        <v>1653.0700000000002</v>
      </c>
      <c r="L26" s="738">
        <f>Elect!Y30</f>
        <v>0</v>
      </c>
      <c r="M26" s="738">
        <f>Elect!AA30</f>
        <v>0</v>
      </c>
      <c r="N26" s="738">
        <f>Elect!AC30</f>
        <v>0</v>
      </c>
      <c r="O26" s="738">
        <f>Elect!AE30</f>
        <v>12.72</v>
      </c>
      <c r="P26" s="738">
        <f>Elect!AG30</f>
        <v>11.66</v>
      </c>
      <c r="Q26" s="738">
        <f>Elect!AI30</f>
        <v>233.20000000000002</v>
      </c>
      <c r="R26" s="738">
        <f>Elect!AK30</f>
        <v>1843.8700000000001</v>
      </c>
      <c r="S26" s="738">
        <f>Elect!AM30</f>
        <v>115.01</v>
      </c>
      <c r="T26" s="738">
        <f>Elect!AP30</f>
        <v>162.5625</v>
      </c>
      <c r="U26" s="738">
        <f>Elect!AR30</f>
        <v>219</v>
      </c>
      <c r="V26" s="738">
        <f>Elect!AT30</f>
        <v>82</v>
      </c>
      <c r="W26" s="738">
        <f>Elect!AV30</f>
        <v>42</v>
      </c>
      <c r="X26" s="738">
        <f>Elect!AX30</f>
        <v>779</v>
      </c>
      <c r="Y26" s="738">
        <f>Elect!AZ30</f>
        <v>10</v>
      </c>
      <c r="Z26" s="738">
        <f>Elect!BB30</f>
        <v>4808</v>
      </c>
      <c r="AA26" s="738">
        <f>Elect!BD30</f>
        <v>283</v>
      </c>
      <c r="AB26" s="738">
        <f>Elect!BF30</f>
        <v>50</v>
      </c>
      <c r="AC26" s="738">
        <f>Elect!BH30</f>
        <v>5624.95</v>
      </c>
      <c r="AD26" s="738">
        <f>Elect!BL30</f>
        <v>278</v>
      </c>
      <c r="AE26" s="738">
        <f>Elect!BN30</f>
        <v>1000</v>
      </c>
      <c r="AF26" s="738">
        <f>Elect!BP30</f>
        <v>129</v>
      </c>
      <c r="AG26" s="738">
        <f>Elect!BR30</f>
        <v>154</v>
      </c>
      <c r="AH26" s="738">
        <f>Boat!C28</f>
        <v>0</v>
      </c>
      <c r="AI26" s="847"/>
      <c r="AJ26" s="738">
        <f>Water!C31</f>
        <v>87</v>
      </c>
      <c r="AK26" s="738">
        <f>Water!E31</f>
        <v>127.6</v>
      </c>
      <c r="AL26" s="738">
        <f>Water!G31</f>
        <v>121.8</v>
      </c>
      <c r="AM26" s="738">
        <f>Boat!E28</f>
        <v>0</v>
      </c>
      <c r="AN26" s="847"/>
      <c r="AO26" s="738">
        <f>Gas!C31</f>
        <v>1585.76</v>
      </c>
      <c r="AP26" s="738">
        <f>Gas!E31</f>
        <v>371</v>
      </c>
      <c r="AQ26" s="738">
        <f>Gas!G31</f>
        <v>83.333333333022892</v>
      </c>
      <c r="AR26" s="738">
        <f>Boat!G28</f>
        <v>0</v>
      </c>
      <c r="AS26" s="745">
        <f>Elect!BT30</f>
        <v>143</v>
      </c>
    </row>
    <row r="27" spans="1:45" ht="12.75" customHeight="1">
      <c r="A27" s="752" t="s">
        <v>11</v>
      </c>
      <c r="B27" s="729">
        <f t="shared" si="0"/>
        <v>26</v>
      </c>
      <c r="C27" s="771">
        <v>8</v>
      </c>
      <c r="D27" s="751">
        <v>2022</v>
      </c>
      <c r="E27" s="847"/>
      <c r="F27" s="738">
        <f>Elect!J31</f>
        <v>5750</v>
      </c>
      <c r="G27" s="738">
        <f>Elect!K31</f>
        <v>4295</v>
      </c>
      <c r="H27" s="738">
        <f>Elect!Q31</f>
        <v>510</v>
      </c>
      <c r="I27" s="738">
        <f>Elect!S31</f>
        <v>142</v>
      </c>
      <c r="J27" s="738">
        <f>Elect!U31</f>
        <v>276</v>
      </c>
      <c r="K27" s="738">
        <f>Elect!W31</f>
        <v>1972.66</v>
      </c>
      <c r="L27" s="738">
        <f>Elect!Y31</f>
        <v>0</v>
      </c>
      <c r="M27" s="738">
        <f>Elect!AA31</f>
        <v>0</v>
      </c>
      <c r="N27" s="738">
        <f>Elect!AC31</f>
        <v>0</v>
      </c>
      <c r="O27" s="738">
        <f>Elect!AE31</f>
        <v>12.72</v>
      </c>
      <c r="P27" s="738">
        <f>Elect!AG31</f>
        <v>12.190000000000001</v>
      </c>
      <c r="Q27" s="738">
        <f>Elect!AI31</f>
        <v>231.08</v>
      </c>
      <c r="R27" s="738">
        <f>Elect!AK31</f>
        <v>2030.43</v>
      </c>
      <c r="S27" s="738">
        <f>Elect!AM31</f>
        <v>114.48</v>
      </c>
      <c r="T27" s="738">
        <f>Elect!AP31</f>
        <v>141.52500000000001</v>
      </c>
      <c r="U27" s="738">
        <f>Elect!AR31</f>
        <v>198</v>
      </c>
      <c r="V27" s="738">
        <f>Elect!AT31</f>
        <v>78</v>
      </c>
      <c r="W27" s="738">
        <f>Elect!AV31</f>
        <v>41</v>
      </c>
      <c r="X27" s="738">
        <f>Elect!AX31</f>
        <v>762</v>
      </c>
      <c r="Y27" s="738">
        <f>Elect!AZ31</f>
        <v>11</v>
      </c>
      <c r="Z27" s="738">
        <f>Elect!BB31</f>
        <v>4362</v>
      </c>
      <c r="AA27" s="738">
        <f>Elect!BD31</f>
        <v>285</v>
      </c>
      <c r="AB27" s="738">
        <f>Elect!BF31</f>
        <v>50</v>
      </c>
      <c r="AC27" s="738">
        <f>Elect!BH31</f>
        <v>5552.7</v>
      </c>
      <c r="AD27" s="738">
        <f>Elect!BL31</f>
        <v>277</v>
      </c>
      <c r="AE27" s="738">
        <f>Elect!BN31</f>
        <v>1025</v>
      </c>
      <c r="AF27" s="738">
        <f>Elect!BP31</f>
        <v>129</v>
      </c>
      <c r="AG27" s="738">
        <f>Elect!BR31</f>
        <v>154</v>
      </c>
      <c r="AH27" s="738">
        <f>Boat!C29</f>
        <v>0</v>
      </c>
      <c r="AI27" s="847"/>
      <c r="AJ27" s="738">
        <f>Water!C32</f>
        <v>127.6</v>
      </c>
      <c r="AK27" s="738">
        <f>Water!E32</f>
        <v>81.199999999999989</v>
      </c>
      <c r="AL27" s="738">
        <f>Water!G32</f>
        <v>125.85999999999999</v>
      </c>
      <c r="AM27" s="738">
        <f>Boat!E29</f>
        <v>0</v>
      </c>
      <c r="AN27" s="847"/>
      <c r="AO27" s="738">
        <f>Gas!C32</f>
        <v>1786.1000000000001</v>
      </c>
      <c r="AP27" s="738">
        <f>Gas!E32</f>
        <v>424.2</v>
      </c>
      <c r="AQ27" s="738">
        <f>Gas!G32</f>
        <v>109</v>
      </c>
      <c r="AR27" s="738">
        <f>Boat!G29</f>
        <v>0</v>
      </c>
      <c r="AS27" s="745">
        <f>Elect!BT31</f>
        <v>163</v>
      </c>
    </row>
    <row r="28" spans="1:45" ht="12.75" customHeight="1">
      <c r="A28" s="752" t="s">
        <v>11</v>
      </c>
      <c r="B28" s="729">
        <f t="shared" si="0"/>
        <v>27</v>
      </c>
      <c r="C28" s="771">
        <v>8</v>
      </c>
      <c r="D28" s="751">
        <v>2022</v>
      </c>
      <c r="E28" s="847"/>
      <c r="F28" s="738">
        <f>Elect!J32</f>
        <v>5829</v>
      </c>
      <c r="G28" s="738">
        <f>Elect!K32</f>
        <v>4335</v>
      </c>
      <c r="H28" s="738">
        <f>Elect!Q32</f>
        <v>420</v>
      </c>
      <c r="I28" s="738">
        <f>Elect!S32</f>
        <v>144</v>
      </c>
      <c r="J28" s="738">
        <f>Elect!U32</f>
        <v>275</v>
      </c>
      <c r="K28" s="738">
        <f>Elect!W32</f>
        <v>2158.69</v>
      </c>
      <c r="L28" s="738">
        <f>Elect!Y32</f>
        <v>0</v>
      </c>
      <c r="M28" s="738">
        <f>Elect!AA32</f>
        <v>0</v>
      </c>
      <c r="N28" s="738">
        <f>Elect!AC32</f>
        <v>0</v>
      </c>
      <c r="O28" s="738">
        <f>Elect!AE32</f>
        <v>13.25</v>
      </c>
      <c r="P28" s="738">
        <f>Elect!AG32</f>
        <v>12.190000000000001</v>
      </c>
      <c r="Q28" s="738">
        <f>Elect!AI32</f>
        <v>260.23</v>
      </c>
      <c r="R28" s="738">
        <f>Elect!AK32</f>
        <v>2396.6600000000003</v>
      </c>
      <c r="S28" s="738">
        <f>Elect!AM32</f>
        <v>114.48</v>
      </c>
      <c r="T28" s="738">
        <f>Elect!AP32</f>
        <v>157.61250000000001</v>
      </c>
      <c r="U28" s="738">
        <f>Elect!AR32</f>
        <v>181</v>
      </c>
      <c r="V28" s="738">
        <f>Elect!AT32</f>
        <v>88</v>
      </c>
      <c r="W28" s="738">
        <f>Elect!AV32</f>
        <v>40</v>
      </c>
      <c r="X28" s="738">
        <f>Elect!AX32</f>
        <v>779</v>
      </c>
      <c r="Y28" s="738">
        <f>Elect!AZ32</f>
        <v>10</v>
      </c>
      <c r="Z28" s="738">
        <f>Elect!BB32</f>
        <v>4907</v>
      </c>
      <c r="AA28" s="738">
        <f>Elect!BD32</f>
        <v>230</v>
      </c>
      <c r="AB28" s="738">
        <f>Elect!BF32</f>
        <v>50</v>
      </c>
      <c r="AC28" s="738">
        <f>Elect!BH32</f>
        <v>5472.15</v>
      </c>
      <c r="AD28" s="738">
        <f>Elect!BL32</f>
        <v>279</v>
      </c>
      <c r="AE28" s="738">
        <f>Elect!BN32</f>
        <v>984</v>
      </c>
      <c r="AF28" s="738">
        <f>Elect!BP32</f>
        <v>129</v>
      </c>
      <c r="AG28" s="738">
        <f>Elect!BR32</f>
        <v>116</v>
      </c>
      <c r="AH28" s="738">
        <f>Boat!C30</f>
        <v>0</v>
      </c>
      <c r="AI28" s="847"/>
      <c r="AJ28" s="738">
        <f>Water!C33</f>
        <v>57.999999999999993</v>
      </c>
      <c r="AK28" s="738">
        <f>Water!E33</f>
        <v>104.39999999999999</v>
      </c>
      <c r="AL28" s="738">
        <f>Water!G33</f>
        <v>124.69999999999999</v>
      </c>
      <c r="AM28" s="738">
        <f>Boat!E30</f>
        <v>0</v>
      </c>
      <c r="AN28" s="847"/>
      <c r="AO28" s="738">
        <f>Gas!C33</f>
        <v>1527.46</v>
      </c>
      <c r="AP28" s="738">
        <f>Gas!E33</f>
        <v>371.7</v>
      </c>
      <c r="AQ28" s="738">
        <f>Gas!G33</f>
        <v>107</v>
      </c>
      <c r="AR28" s="738">
        <f>Boat!G30</f>
        <v>0</v>
      </c>
      <c r="AS28" s="745">
        <f>Elect!BT32</f>
        <v>207</v>
      </c>
    </row>
    <row r="29" spans="1:45" ht="12.75" customHeight="1">
      <c r="A29" s="752" t="s">
        <v>11</v>
      </c>
      <c r="B29" s="729">
        <f t="shared" si="0"/>
        <v>28</v>
      </c>
      <c r="C29" s="771">
        <v>8</v>
      </c>
      <c r="D29" s="751">
        <v>2022</v>
      </c>
      <c r="E29" s="847"/>
      <c r="F29" s="738">
        <f>Elect!J33</f>
        <v>6011</v>
      </c>
      <c r="G29" s="738">
        <f>Elect!K33</f>
        <v>4299</v>
      </c>
      <c r="H29" s="738">
        <f>Elect!Q33</f>
        <v>420</v>
      </c>
      <c r="I29" s="738">
        <f>Elect!S33</f>
        <v>143</v>
      </c>
      <c r="J29" s="738">
        <f>Elect!U33</f>
        <v>269</v>
      </c>
      <c r="K29" s="738">
        <f>Elect!W33</f>
        <v>2482.52</v>
      </c>
      <c r="L29" s="738">
        <f>Elect!Y33</f>
        <v>0</v>
      </c>
      <c r="M29" s="738">
        <f>Elect!AA33</f>
        <v>0</v>
      </c>
      <c r="N29" s="738">
        <f>Elect!AC33</f>
        <v>0</v>
      </c>
      <c r="O29" s="738">
        <f>Elect!AE33</f>
        <v>13.25</v>
      </c>
      <c r="P29" s="738">
        <f>Elect!AG33</f>
        <v>12.72</v>
      </c>
      <c r="Q29" s="738">
        <f>Elect!AI33</f>
        <v>288.85000000000002</v>
      </c>
      <c r="R29" s="738">
        <f>Elect!AK33</f>
        <v>2390.83</v>
      </c>
      <c r="S29" s="738">
        <f>Elect!AM33</f>
        <v>113.42</v>
      </c>
      <c r="T29" s="738">
        <f>Elect!AP33</f>
        <v>167.0625</v>
      </c>
      <c r="U29" s="738">
        <f>Elect!AR33</f>
        <v>211</v>
      </c>
      <c r="V29" s="738">
        <f>Elect!AT33</f>
        <v>124</v>
      </c>
      <c r="W29" s="738">
        <f>Elect!AV33</f>
        <v>41</v>
      </c>
      <c r="X29" s="738">
        <f>Elect!AX33</f>
        <v>822</v>
      </c>
      <c r="Y29" s="738">
        <f>Elect!AZ33</f>
        <v>11</v>
      </c>
      <c r="Z29" s="738">
        <f>Elect!BB33</f>
        <v>5221</v>
      </c>
      <c r="AA29" s="738">
        <f>Elect!BD33</f>
        <v>256</v>
      </c>
      <c r="AB29" s="738">
        <f>Elect!BF33</f>
        <v>17</v>
      </c>
      <c r="AC29" s="738">
        <f>Elect!BH33</f>
        <v>5186.1500000000005</v>
      </c>
      <c r="AD29" s="738">
        <f>Elect!BL33</f>
        <v>277</v>
      </c>
      <c r="AE29" s="738">
        <f>Elect!BN33</f>
        <v>982</v>
      </c>
      <c r="AF29" s="738">
        <f>Elect!BP33</f>
        <v>131</v>
      </c>
      <c r="AG29" s="738">
        <f>Elect!BR33</f>
        <v>156</v>
      </c>
      <c r="AH29" s="738">
        <f>Boat!C31</f>
        <v>0</v>
      </c>
      <c r="AI29" s="847"/>
      <c r="AJ29" s="738">
        <f>Water!C34</f>
        <v>98.6</v>
      </c>
      <c r="AK29" s="738">
        <f>Water!E34</f>
        <v>110.19999999999999</v>
      </c>
      <c r="AL29" s="738">
        <f>Water!G34</f>
        <v>132.23999999999998</v>
      </c>
      <c r="AM29" s="738">
        <f>Boat!E31</f>
        <v>0</v>
      </c>
      <c r="AN29" s="847"/>
      <c r="AO29" s="738">
        <f>Gas!C34</f>
        <v>1646.18</v>
      </c>
      <c r="AP29" s="738">
        <f>Gas!E34</f>
        <v>431.9</v>
      </c>
      <c r="AQ29" s="738">
        <f>Gas!G34</f>
        <v>118</v>
      </c>
      <c r="AR29" s="738">
        <f>Boat!G31</f>
        <v>0</v>
      </c>
      <c r="AS29" s="745">
        <f>Elect!BT33</f>
        <v>225</v>
      </c>
    </row>
    <row r="30" spans="1:45" ht="12.75" customHeight="1">
      <c r="A30" s="752" t="s">
        <v>11</v>
      </c>
      <c r="B30" s="729">
        <f t="shared" si="0"/>
        <v>29</v>
      </c>
      <c r="C30" s="771">
        <v>8</v>
      </c>
      <c r="D30" s="751">
        <v>2022</v>
      </c>
      <c r="E30" s="847"/>
      <c r="F30" s="738">
        <f>Elect!J34</f>
        <v>6308</v>
      </c>
      <c r="G30" s="738">
        <f>Elect!K34</f>
        <v>4306</v>
      </c>
      <c r="H30" s="738">
        <f>Elect!Q34</f>
        <v>510</v>
      </c>
      <c r="I30" s="738">
        <f>Elect!S34</f>
        <v>143</v>
      </c>
      <c r="J30" s="738">
        <f>Elect!U34</f>
        <v>256</v>
      </c>
      <c r="K30" s="738">
        <f>Elect!W34</f>
        <v>2782.5</v>
      </c>
      <c r="L30" s="738">
        <f>Elect!Y34</f>
        <v>0</v>
      </c>
      <c r="M30" s="738">
        <f>Elect!AA34</f>
        <v>0</v>
      </c>
      <c r="N30" s="738">
        <f>Elect!AC34</f>
        <v>0</v>
      </c>
      <c r="O30" s="738">
        <f>Elect!AE34</f>
        <v>12.72</v>
      </c>
      <c r="P30" s="738">
        <f>Elect!AG34</f>
        <v>12.190000000000001</v>
      </c>
      <c r="Q30" s="738">
        <f>Elect!AI34</f>
        <v>289.91000000000003</v>
      </c>
      <c r="R30" s="738">
        <f>Elect!AK34</f>
        <v>2266.2800000000002</v>
      </c>
      <c r="S30" s="738">
        <f>Elect!AM34</f>
        <v>113.95</v>
      </c>
      <c r="T30" s="738">
        <f>Elect!AP34</f>
        <v>175.5</v>
      </c>
      <c r="U30" s="738">
        <f>Elect!AR34</f>
        <v>204</v>
      </c>
      <c r="V30" s="738">
        <f>Elect!AT34</f>
        <v>133</v>
      </c>
      <c r="W30" s="738">
        <f>Elect!AV34</f>
        <v>42</v>
      </c>
      <c r="X30" s="738">
        <f>Elect!AX34</f>
        <v>880</v>
      </c>
      <c r="Y30" s="738">
        <f>Elect!AZ34</f>
        <v>10</v>
      </c>
      <c r="Z30" s="738">
        <f>Elect!BB34</f>
        <v>5015</v>
      </c>
      <c r="AA30" s="738">
        <f>Elect!BD34</f>
        <v>226</v>
      </c>
      <c r="AB30" s="738">
        <f>Elect!BF34</f>
        <v>48</v>
      </c>
      <c r="AC30" s="738">
        <f>Elect!BH34</f>
        <v>5357</v>
      </c>
      <c r="AD30" s="738">
        <f>Elect!BL34</f>
        <v>168</v>
      </c>
      <c r="AE30" s="738">
        <f>Elect!BN34</f>
        <v>982</v>
      </c>
      <c r="AF30" s="738">
        <f>Elect!BP34</f>
        <v>118</v>
      </c>
      <c r="AG30" s="738">
        <f>Elect!BR34</f>
        <v>156</v>
      </c>
      <c r="AH30" s="738">
        <f>Boat!C32</f>
        <v>0</v>
      </c>
      <c r="AI30" s="847"/>
      <c r="AJ30" s="738">
        <f>Water!C35</f>
        <v>87</v>
      </c>
      <c r="AK30" s="738">
        <f>Water!E35</f>
        <v>98.6</v>
      </c>
      <c r="AL30" s="738">
        <f>Water!G35</f>
        <v>106.72</v>
      </c>
      <c r="AM30" s="738">
        <f>Boat!E32</f>
        <v>0</v>
      </c>
      <c r="AN30" s="847"/>
      <c r="AO30" s="738">
        <f>Gas!C35</f>
        <v>1386.48</v>
      </c>
      <c r="AP30" s="738">
        <f>Gas!E35</f>
        <v>741.3</v>
      </c>
      <c r="AQ30" s="738">
        <f>Gas!G35</f>
        <v>142</v>
      </c>
      <c r="AR30" s="738">
        <f>Boat!G32</f>
        <v>0</v>
      </c>
      <c r="AS30" s="745">
        <f>Elect!BT34</f>
        <v>241</v>
      </c>
    </row>
    <row r="31" spans="1:45" ht="12.75" customHeight="1">
      <c r="A31" s="752" t="s">
        <v>11</v>
      </c>
      <c r="B31" s="729">
        <f t="shared" si="0"/>
        <v>30</v>
      </c>
      <c r="C31" s="771">
        <v>8</v>
      </c>
      <c r="D31" s="751">
        <v>2022</v>
      </c>
      <c r="E31" s="847"/>
      <c r="F31" s="738">
        <f>Elect!J35</f>
        <v>6499</v>
      </c>
      <c r="G31" s="738">
        <f>Elect!K35</f>
        <v>4374</v>
      </c>
      <c r="H31" s="738">
        <f>Elect!Q35</f>
        <v>420</v>
      </c>
      <c r="I31" s="738">
        <f>Elect!S35</f>
        <v>144</v>
      </c>
      <c r="J31" s="738">
        <f>Elect!U35</f>
        <v>249</v>
      </c>
      <c r="K31" s="738">
        <f>Elect!W35</f>
        <v>2865.1800000000003</v>
      </c>
      <c r="L31" s="738">
        <f>Elect!Y35</f>
        <v>0</v>
      </c>
      <c r="M31" s="738">
        <f>Elect!AA35</f>
        <v>0</v>
      </c>
      <c r="N31" s="738">
        <f>Elect!AC35</f>
        <v>0</v>
      </c>
      <c r="O31" s="738">
        <f>Elect!AE35</f>
        <v>12.72</v>
      </c>
      <c r="P31" s="738">
        <f>Elect!AG35</f>
        <v>12.190000000000001</v>
      </c>
      <c r="Q31" s="738">
        <f>Elect!AI35</f>
        <v>213.06</v>
      </c>
      <c r="R31" s="738">
        <f>Elect!AK35</f>
        <v>2290.6600000000003</v>
      </c>
      <c r="S31" s="738">
        <f>Elect!AM35</f>
        <v>116.07000000000001</v>
      </c>
      <c r="T31" s="738">
        <f>Elect!AP35</f>
        <v>163.80000000000001</v>
      </c>
      <c r="U31" s="738">
        <f>Elect!AR35</f>
        <v>194</v>
      </c>
      <c r="V31" s="738">
        <f>Elect!AT35</f>
        <v>146</v>
      </c>
      <c r="W31" s="738">
        <f>Elect!AV35</f>
        <v>43</v>
      </c>
      <c r="X31" s="738">
        <f>Elect!AX35</f>
        <v>834</v>
      </c>
      <c r="Y31" s="738">
        <f>Elect!AZ35</f>
        <v>151</v>
      </c>
      <c r="Z31" s="738">
        <f>Elect!BB35</f>
        <v>4690</v>
      </c>
      <c r="AA31" s="738">
        <f>Elect!BD35</f>
        <v>241</v>
      </c>
      <c r="AB31" s="738">
        <f>Elect!BF35</f>
        <v>45</v>
      </c>
      <c r="AC31" s="738">
        <f>Elect!BH35</f>
        <v>5672.75</v>
      </c>
      <c r="AD31" s="738">
        <f>Elect!BL35</f>
        <v>278</v>
      </c>
      <c r="AE31" s="738">
        <f>Elect!BN35</f>
        <v>1025</v>
      </c>
      <c r="AF31" s="738">
        <f>Elect!BP35</f>
        <v>0</v>
      </c>
      <c r="AG31" s="738">
        <f>Elect!BR35</f>
        <v>156</v>
      </c>
      <c r="AH31" s="738">
        <f>Boat!C33</f>
        <v>0</v>
      </c>
      <c r="AI31" s="847"/>
      <c r="AJ31" s="738">
        <f>Water!C36</f>
        <v>121.8</v>
      </c>
      <c r="AK31" s="738">
        <f>Water!E36</f>
        <v>145</v>
      </c>
      <c r="AL31" s="738">
        <f>Water!G36</f>
        <v>107.3</v>
      </c>
      <c r="AM31" s="738">
        <f>Boat!E33</f>
        <v>0</v>
      </c>
      <c r="AN31" s="847"/>
      <c r="AO31" s="738">
        <f>Gas!C36</f>
        <v>1870.9</v>
      </c>
      <c r="AP31" s="738">
        <f>Gas!E36</f>
        <v>16.799999999999997</v>
      </c>
      <c r="AQ31" s="738">
        <f>Gas!G36</f>
        <v>47</v>
      </c>
      <c r="AR31" s="738">
        <f>Boat!G33</f>
        <v>0</v>
      </c>
      <c r="AS31" s="745">
        <f>Elect!BT35</f>
        <v>250</v>
      </c>
    </row>
    <row r="32" spans="1:45" ht="12.75" customHeight="1">
      <c r="A32" s="753" t="s">
        <v>11</v>
      </c>
      <c r="B32" s="754">
        <f>B31+1</f>
        <v>31</v>
      </c>
      <c r="C32" s="771">
        <v>8</v>
      </c>
      <c r="D32" s="751">
        <v>2022</v>
      </c>
      <c r="E32" s="848"/>
      <c r="F32" s="738">
        <f>Elect!J36</f>
        <v>6371.666666701436</v>
      </c>
      <c r="G32" s="738">
        <f>Elect!K36</f>
        <v>4328.6666666669771</v>
      </c>
      <c r="H32" s="738">
        <f>Elect!Q36</f>
        <v>480</v>
      </c>
      <c r="I32" s="738">
        <f>Elect!S36</f>
        <v>143.33333333299379</v>
      </c>
      <c r="J32" s="738">
        <f>Elect!U36</f>
        <v>253.66666666697711</v>
      </c>
      <c r="K32" s="738">
        <f>Elect!W36</f>
        <v>2865.1800000000003</v>
      </c>
      <c r="L32" s="738">
        <f>Elect!Y36</f>
        <v>0</v>
      </c>
      <c r="M32" s="738">
        <f>Elect!AA36</f>
        <v>0</v>
      </c>
      <c r="N32" s="738">
        <f>Elect!AC36</f>
        <v>0</v>
      </c>
      <c r="O32" s="738">
        <f>Elect!AE36</f>
        <v>0</v>
      </c>
      <c r="P32" s="738">
        <f>Elect!AG36</f>
        <v>12.190000000000001</v>
      </c>
      <c r="Q32" s="738">
        <f>Elect!AI36</f>
        <v>264.29333333349786</v>
      </c>
      <c r="R32" s="738">
        <f>Elect!AK36</f>
        <v>2274.4066666665021</v>
      </c>
      <c r="S32" s="738">
        <f>Elect!AM36</f>
        <v>114.65666666650213</v>
      </c>
      <c r="T32" s="738">
        <f>Elect!AP36</f>
        <v>163.80000000000001</v>
      </c>
      <c r="U32" s="738">
        <f>Elect!AR36</f>
        <v>200.66666666697711</v>
      </c>
      <c r="V32" s="738">
        <f>Elect!AT36</f>
        <v>137.33333333329938</v>
      </c>
      <c r="W32" s="738">
        <f>Elect!AV36</f>
        <v>42.333333333022892</v>
      </c>
      <c r="X32" s="738">
        <f>Elect!AX36</f>
        <v>864.66666666977108</v>
      </c>
      <c r="Y32" s="738">
        <f>Elect!AZ36</f>
        <v>57</v>
      </c>
      <c r="Z32" s="738">
        <f>Elect!BB36</f>
        <v>4906.666666701436</v>
      </c>
      <c r="AA32" s="738">
        <f>Elect!BD36</f>
        <v>231</v>
      </c>
      <c r="AB32" s="738">
        <f>Elect!BF36</f>
        <v>47</v>
      </c>
      <c r="AC32" s="738">
        <f>Elect!BH36</f>
        <v>5487.9000000012566</v>
      </c>
      <c r="AD32" s="738">
        <f>Elect!BL36</f>
        <v>204.66666667000391</v>
      </c>
      <c r="AE32" s="738">
        <f>Elect!BN36</f>
        <v>996.33333333022892</v>
      </c>
      <c r="AF32" s="738">
        <f>Elect!BP36</f>
        <v>21.666666666977108</v>
      </c>
      <c r="AG32" s="738">
        <f>Elect!BR36</f>
        <v>156</v>
      </c>
      <c r="AH32" s="738">
        <f>Boat!C34</f>
        <v>0</v>
      </c>
      <c r="AI32" s="848"/>
      <c r="AJ32" s="738">
        <f>Water!C37</f>
        <v>110.19999999999999</v>
      </c>
      <c r="AK32" s="738">
        <f>Water!E37</f>
        <v>133.39999999999998</v>
      </c>
      <c r="AL32" s="738">
        <f>Water!G37</f>
        <v>127.02</v>
      </c>
      <c r="AM32" s="738">
        <f>Boat!E34</f>
        <v>0</v>
      </c>
      <c r="AN32" s="848"/>
      <c r="AO32" s="738">
        <f>Gas!C37</f>
        <v>1862.42</v>
      </c>
      <c r="AP32" s="738">
        <f>Gas!E37</f>
        <v>515.9</v>
      </c>
      <c r="AQ32" s="738">
        <f>Gas!G37</f>
        <v>130</v>
      </c>
      <c r="AR32" s="738">
        <f>Boat!G34</f>
        <v>0</v>
      </c>
      <c r="AS32" s="745">
        <f>Elect!BT36</f>
        <v>250</v>
      </c>
    </row>
    <row r="33" spans="41:44">
      <c r="AO33" s="735"/>
      <c r="AP33" s="735"/>
      <c r="AQ33" s="735"/>
      <c r="AR33" s="735"/>
    </row>
  </sheetData>
  <sheetProtection algorithmName="SHA-512" hashValue="x5bDGjbZL6ZyldVNE2ZJS0i+axQIbIlqW+6dX8xLxEk35p7QxQ0Ckg1gR/7n+URUv6y5hj1b8k+x634f1O9CCg==" saltValue="EZysqYgtvZPfwK8nXc6G5g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N1:AN32"/>
    <mergeCell ref="AI1:AI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721C-8406-464A-84B7-BA49D37A64F6}">
  <dimension ref="A1:G35"/>
  <sheetViews>
    <sheetView topLeftCell="A12" zoomScale="80" zoomScaleNormal="80" workbookViewId="0">
      <selection activeCell="F3" sqref="F3:F34"/>
    </sheetView>
  </sheetViews>
  <sheetFormatPr defaultRowHeight="12.75"/>
  <cols>
    <col min="1" max="1" width="34.28515625" style="809" customWidth="1"/>
    <col min="2" max="2" width="21.140625" style="809" customWidth="1"/>
    <col min="3" max="3" width="14.140625" style="809" customWidth="1"/>
    <col min="4" max="4" width="20.28515625" style="809" customWidth="1"/>
    <col min="5" max="5" width="13.28515625" style="809" customWidth="1"/>
    <col min="6" max="6" width="20.140625" style="809" customWidth="1"/>
    <col min="7" max="7" width="19" style="809" customWidth="1"/>
    <col min="8" max="16384" width="9.140625" style="809"/>
  </cols>
  <sheetData>
    <row r="1" spans="1:7" ht="18">
      <c r="A1" s="851"/>
      <c r="B1" s="849" t="s">
        <v>14</v>
      </c>
      <c r="C1" s="850"/>
      <c r="D1" s="849" t="s">
        <v>44</v>
      </c>
      <c r="E1" s="850"/>
      <c r="F1" s="849" t="s">
        <v>49</v>
      </c>
      <c r="G1" s="850"/>
    </row>
    <row r="2" spans="1:7" ht="18.75" thickBot="1">
      <c r="A2" s="852"/>
      <c r="B2" s="817" t="s">
        <v>53</v>
      </c>
      <c r="C2" s="816" t="s">
        <v>54</v>
      </c>
      <c r="D2" s="817" t="s">
        <v>53</v>
      </c>
      <c r="E2" s="816" t="s">
        <v>54</v>
      </c>
      <c r="F2" s="817" t="s">
        <v>53</v>
      </c>
      <c r="G2" s="816" t="s">
        <v>54</v>
      </c>
    </row>
    <row r="3" spans="1:7" ht="20.25">
      <c r="A3" s="815"/>
      <c r="B3" s="813">
        <v>0</v>
      </c>
      <c r="C3" s="812"/>
      <c r="D3" s="813">
        <v>0</v>
      </c>
      <c r="E3" s="812"/>
      <c r="F3" s="813">
        <v>0</v>
      </c>
      <c r="G3" s="812"/>
    </row>
    <row r="4" spans="1:7" ht="20.25">
      <c r="A4" s="815">
        <v>1</v>
      </c>
      <c r="B4" s="813">
        <v>0</v>
      </c>
      <c r="C4" s="812">
        <f t="shared" ref="C4:C34" si="0">B4-B3</f>
        <v>0</v>
      </c>
      <c r="D4" s="813">
        <v>0</v>
      </c>
      <c r="E4" s="812">
        <f t="shared" ref="E4:E34" si="1">D4-D3</f>
        <v>0</v>
      </c>
      <c r="F4" s="813">
        <v>0</v>
      </c>
      <c r="G4" s="812">
        <f t="shared" ref="G4:G34" si="2">F4-F3</f>
        <v>0</v>
      </c>
    </row>
    <row r="5" spans="1:7" ht="20.25">
      <c r="A5" s="815">
        <v>2</v>
      </c>
      <c r="B5" s="813">
        <v>0</v>
      </c>
      <c r="C5" s="812">
        <f t="shared" si="0"/>
        <v>0</v>
      </c>
      <c r="D5" s="813">
        <v>0</v>
      </c>
      <c r="E5" s="812">
        <f t="shared" si="1"/>
        <v>0</v>
      </c>
      <c r="F5" s="813">
        <v>0</v>
      </c>
      <c r="G5" s="812">
        <f t="shared" si="2"/>
        <v>0</v>
      </c>
    </row>
    <row r="6" spans="1:7" ht="20.25">
      <c r="A6" s="815">
        <v>3</v>
      </c>
      <c r="B6" s="813">
        <v>0</v>
      </c>
      <c r="C6" s="812">
        <f t="shared" si="0"/>
        <v>0</v>
      </c>
      <c r="D6" s="813">
        <v>0</v>
      </c>
      <c r="E6" s="812">
        <f t="shared" si="1"/>
        <v>0</v>
      </c>
      <c r="F6" s="813">
        <v>0</v>
      </c>
      <c r="G6" s="812">
        <f t="shared" si="2"/>
        <v>0</v>
      </c>
    </row>
    <row r="7" spans="1:7" ht="20.25">
      <c r="A7" s="815">
        <v>4</v>
      </c>
      <c r="B7" s="813">
        <v>0</v>
      </c>
      <c r="C7" s="812">
        <f t="shared" si="0"/>
        <v>0</v>
      </c>
      <c r="D7" s="813">
        <v>0</v>
      </c>
      <c r="E7" s="812">
        <f t="shared" si="1"/>
        <v>0</v>
      </c>
      <c r="F7" s="813">
        <v>0</v>
      </c>
      <c r="G7" s="812">
        <f t="shared" si="2"/>
        <v>0</v>
      </c>
    </row>
    <row r="8" spans="1:7" ht="20.25">
      <c r="A8" s="815">
        <v>5</v>
      </c>
      <c r="B8" s="813">
        <v>0</v>
      </c>
      <c r="C8" s="812">
        <f t="shared" si="0"/>
        <v>0</v>
      </c>
      <c r="D8" s="813">
        <v>0</v>
      </c>
      <c r="E8" s="812">
        <f t="shared" si="1"/>
        <v>0</v>
      </c>
      <c r="F8" s="813">
        <v>0</v>
      </c>
      <c r="G8" s="812">
        <f t="shared" si="2"/>
        <v>0</v>
      </c>
    </row>
    <row r="9" spans="1:7" ht="20.25">
      <c r="A9" s="815">
        <v>6</v>
      </c>
      <c r="B9" s="813">
        <v>0</v>
      </c>
      <c r="C9" s="812">
        <f t="shared" si="0"/>
        <v>0</v>
      </c>
      <c r="D9" s="813">
        <v>0</v>
      </c>
      <c r="E9" s="812">
        <f t="shared" si="1"/>
        <v>0</v>
      </c>
      <c r="F9" s="813">
        <v>0</v>
      </c>
      <c r="G9" s="812">
        <f t="shared" si="2"/>
        <v>0</v>
      </c>
    </row>
    <row r="10" spans="1:7" ht="20.25">
      <c r="A10" s="815">
        <v>7</v>
      </c>
      <c r="B10" s="813">
        <v>0</v>
      </c>
      <c r="C10" s="812">
        <f t="shared" si="0"/>
        <v>0</v>
      </c>
      <c r="D10" s="813">
        <v>0</v>
      </c>
      <c r="E10" s="812">
        <f t="shared" si="1"/>
        <v>0</v>
      </c>
      <c r="F10" s="813">
        <v>0</v>
      </c>
      <c r="G10" s="812">
        <f t="shared" si="2"/>
        <v>0</v>
      </c>
    </row>
    <row r="11" spans="1:7" ht="20.25">
      <c r="A11" s="815">
        <v>8</v>
      </c>
      <c r="B11" s="813">
        <v>0</v>
      </c>
      <c r="C11" s="812">
        <f t="shared" si="0"/>
        <v>0</v>
      </c>
      <c r="D11" s="813">
        <v>0</v>
      </c>
      <c r="E11" s="812">
        <f t="shared" si="1"/>
        <v>0</v>
      </c>
      <c r="F11" s="813">
        <v>0</v>
      </c>
      <c r="G11" s="812">
        <f t="shared" si="2"/>
        <v>0</v>
      </c>
    </row>
    <row r="12" spans="1:7" ht="20.25">
      <c r="A12" s="815">
        <v>9</v>
      </c>
      <c r="B12" s="813">
        <v>0</v>
      </c>
      <c r="C12" s="812">
        <f t="shared" si="0"/>
        <v>0</v>
      </c>
      <c r="D12" s="813">
        <v>0</v>
      </c>
      <c r="E12" s="812">
        <f t="shared" si="1"/>
        <v>0</v>
      </c>
      <c r="F12" s="813">
        <v>0</v>
      </c>
      <c r="G12" s="812">
        <f t="shared" si="2"/>
        <v>0</v>
      </c>
    </row>
    <row r="13" spans="1:7" ht="20.25">
      <c r="A13" s="815">
        <v>10</v>
      </c>
      <c r="B13" s="813">
        <v>0</v>
      </c>
      <c r="C13" s="812">
        <f t="shared" si="0"/>
        <v>0</v>
      </c>
      <c r="D13" s="813">
        <v>0</v>
      </c>
      <c r="E13" s="812">
        <f t="shared" si="1"/>
        <v>0</v>
      </c>
      <c r="F13" s="813">
        <v>0</v>
      </c>
      <c r="G13" s="812">
        <f t="shared" si="2"/>
        <v>0</v>
      </c>
    </row>
    <row r="14" spans="1:7" ht="20.25">
      <c r="A14" s="815">
        <v>11</v>
      </c>
      <c r="B14" s="813">
        <v>0</v>
      </c>
      <c r="C14" s="812">
        <f t="shared" si="0"/>
        <v>0</v>
      </c>
      <c r="D14" s="813">
        <v>0</v>
      </c>
      <c r="E14" s="812">
        <f t="shared" si="1"/>
        <v>0</v>
      </c>
      <c r="F14" s="813">
        <v>0</v>
      </c>
      <c r="G14" s="812">
        <f t="shared" si="2"/>
        <v>0</v>
      </c>
    </row>
    <row r="15" spans="1:7" ht="20.25">
      <c r="A15" s="815">
        <v>12</v>
      </c>
      <c r="B15" s="813">
        <v>0</v>
      </c>
      <c r="C15" s="812">
        <f t="shared" si="0"/>
        <v>0</v>
      </c>
      <c r="D15" s="813">
        <v>0</v>
      </c>
      <c r="E15" s="812">
        <f t="shared" si="1"/>
        <v>0</v>
      </c>
      <c r="F15" s="813">
        <v>0</v>
      </c>
      <c r="G15" s="812">
        <f t="shared" si="2"/>
        <v>0</v>
      </c>
    </row>
    <row r="16" spans="1:7" ht="20.25">
      <c r="A16" s="815">
        <v>13</v>
      </c>
      <c r="B16" s="813">
        <v>0</v>
      </c>
      <c r="C16" s="812">
        <f t="shared" si="0"/>
        <v>0</v>
      </c>
      <c r="D16" s="813">
        <v>0</v>
      </c>
      <c r="E16" s="812">
        <f t="shared" si="1"/>
        <v>0</v>
      </c>
      <c r="F16" s="813">
        <v>0</v>
      </c>
      <c r="G16" s="812">
        <f t="shared" si="2"/>
        <v>0</v>
      </c>
    </row>
    <row r="17" spans="1:7" ht="20.25">
      <c r="A17" s="815">
        <v>14</v>
      </c>
      <c r="B17" s="813">
        <v>0</v>
      </c>
      <c r="C17" s="812">
        <f t="shared" si="0"/>
        <v>0</v>
      </c>
      <c r="D17" s="813">
        <v>0</v>
      </c>
      <c r="E17" s="812">
        <f t="shared" si="1"/>
        <v>0</v>
      </c>
      <c r="F17" s="813">
        <v>0</v>
      </c>
      <c r="G17" s="812">
        <f t="shared" si="2"/>
        <v>0</v>
      </c>
    </row>
    <row r="18" spans="1:7" ht="20.25">
      <c r="A18" s="815">
        <v>15</v>
      </c>
      <c r="B18" s="813">
        <v>0</v>
      </c>
      <c r="C18" s="812">
        <f t="shared" si="0"/>
        <v>0</v>
      </c>
      <c r="D18" s="813">
        <v>0</v>
      </c>
      <c r="E18" s="812">
        <f t="shared" si="1"/>
        <v>0</v>
      </c>
      <c r="F18" s="813">
        <v>0</v>
      </c>
      <c r="G18" s="812">
        <f t="shared" si="2"/>
        <v>0</v>
      </c>
    </row>
    <row r="19" spans="1:7" ht="20.25">
      <c r="A19" s="815">
        <v>16</v>
      </c>
      <c r="B19" s="813">
        <v>0</v>
      </c>
      <c r="C19" s="812">
        <f t="shared" si="0"/>
        <v>0</v>
      </c>
      <c r="D19" s="813">
        <v>0</v>
      </c>
      <c r="E19" s="812">
        <f t="shared" si="1"/>
        <v>0</v>
      </c>
      <c r="F19" s="813">
        <v>0</v>
      </c>
      <c r="G19" s="812">
        <f t="shared" si="2"/>
        <v>0</v>
      </c>
    </row>
    <row r="20" spans="1:7" ht="20.25">
      <c r="A20" s="815">
        <v>17</v>
      </c>
      <c r="B20" s="813">
        <v>0</v>
      </c>
      <c r="C20" s="812">
        <f t="shared" si="0"/>
        <v>0</v>
      </c>
      <c r="D20" s="813">
        <v>0</v>
      </c>
      <c r="E20" s="812">
        <f t="shared" si="1"/>
        <v>0</v>
      </c>
      <c r="F20" s="813">
        <v>0</v>
      </c>
      <c r="G20" s="812">
        <f t="shared" si="2"/>
        <v>0</v>
      </c>
    </row>
    <row r="21" spans="1:7" ht="20.25">
      <c r="A21" s="815">
        <v>18</v>
      </c>
      <c r="B21" s="813">
        <v>0</v>
      </c>
      <c r="C21" s="812">
        <f t="shared" si="0"/>
        <v>0</v>
      </c>
      <c r="D21" s="813">
        <v>0</v>
      </c>
      <c r="E21" s="812">
        <f t="shared" si="1"/>
        <v>0</v>
      </c>
      <c r="F21" s="813">
        <v>0</v>
      </c>
      <c r="G21" s="812">
        <f t="shared" si="2"/>
        <v>0</v>
      </c>
    </row>
    <row r="22" spans="1:7" ht="20.25">
      <c r="A22" s="815">
        <v>19</v>
      </c>
      <c r="B22" s="813">
        <v>0</v>
      </c>
      <c r="C22" s="812">
        <f t="shared" si="0"/>
        <v>0</v>
      </c>
      <c r="D22" s="813">
        <v>0</v>
      </c>
      <c r="E22" s="812">
        <f t="shared" si="1"/>
        <v>0</v>
      </c>
      <c r="F22" s="813">
        <v>0</v>
      </c>
      <c r="G22" s="812">
        <f t="shared" si="2"/>
        <v>0</v>
      </c>
    </row>
    <row r="23" spans="1:7" ht="20.25">
      <c r="A23" s="815">
        <v>20</v>
      </c>
      <c r="B23" s="813">
        <v>0</v>
      </c>
      <c r="C23" s="812">
        <f t="shared" si="0"/>
        <v>0</v>
      </c>
      <c r="D23" s="813">
        <v>0</v>
      </c>
      <c r="E23" s="812">
        <f t="shared" si="1"/>
        <v>0</v>
      </c>
      <c r="F23" s="813">
        <v>0</v>
      </c>
      <c r="G23" s="812">
        <f t="shared" si="2"/>
        <v>0</v>
      </c>
    </row>
    <row r="24" spans="1:7" ht="20.25">
      <c r="A24" s="815">
        <v>21</v>
      </c>
      <c r="B24" s="813">
        <v>0</v>
      </c>
      <c r="C24" s="812">
        <f t="shared" si="0"/>
        <v>0</v>
      </c>
      <c r="D24" s="813">
        <v>0</v>
      </c>
      <c r="E24" s="812">
        <f t="shared" si="1"/>
        <v>0</v>
      </c>
      <c r="F24" s="813">
        <v>0</v>
      </c>
      <c r="G24" s="812">
        <f t="shared" si="2"/>
        <v>0</v>
      </c>
    </row>
    <row r="25" spans="1:7" ht="20.25">
      <c r="A25" s="815">
        <v>22</v>
      </c>
      <c r="B25" s="813">
        <v>0</v>
      </c>
      <c r="C25" s="812">
        <f t="shared" si="0"/>
        <v>0</v>
      </c>
      <c r="D25" s="813">
        <v>0</v>
      </c>
      <c r="E25" s="812">
        <f t="shared" si="1"/>
        <v>0</v>
      </c>
      <c r="F25" s="813">
        <v>0</v>
      </c>
      <c r="G25" s="812">
        <f t="shared" si="2"/>
        <v>0</v>
      </c>
    </row>
    <row r="26" spans="1:7" ht="20.25">
      <c r="A26" s="815">
        <v>23</v>
      </c>
      <c r="B26" s="813">
        <v>0</v>
      </c>
      <c r="C26" s="812">
        <f t="shared" si="0"/>
        <v>0</v>
      </c>
      <c r="D26" s="813">
        <v>0</v>
      </c>
      <c r="E26" s="812">
        <f t="shared" si="1"/>
        <v>0</v>
      </c>
      <c r="F26" s="813">
        <v>0</v>
      </c>
      <c r="G26" s="812">
        <f t="shared" si="2"/>
        <v>0</v>
      </c>
    </row>
    <row r="27" spans="1:7" ht="20.25">
      <c r="A27" s="815">
        <v>24</v>
      </c>
      <c r="B27" s="813">
        <v>0</v>
      </c>
      <c r="C27" s="812">
        <f t="shared" si="0"/>
        <v>0</v>
      </c>
      <c r="D27" s="813">
        <v>0</v>
      </c>
      <c r="E27" s="812">
        <f t="shared" si="1"/>
        <v>0</v>
      </c>
      <c r="F27" s="813">
        <v>0</v>
      </c>
      <c r="G27" s="812">
        <f t="shared" si="2"/>
        <v>0</v>
      </c>
    </row>
    <row r="28" spans="1:7" ht="20.25">
      <c r="A28" s="815">
        <v>25</v>
      </c>
      <c r="B28" s="813">
        <v>0</v>
      </c>
      <c r="C28" s="812">
        <f t="shared" si="0"/>
        <v>0</v>
      </c>
      <c r="D28" s="813">
        <v>0</v>
      </c>
      <c r="E28" s="812">
        <f t="shared" si="1"/>
        <v>0</v>
      </c>
      <c r="F28" s="813">
        <v>0</v>
      </c>
      <c r="G28" s="812">
        <f t="shared" si="2"/>
        <v>0</v>
      </c>
    </row>
    <row r="29" spans="1:7" ht="20.25">
      <c r="A29" s="815">
        <v>26</v>
      </c>
      <c r="B29" s="813">
        <v>0</v>
      </c>
      <c r="C29" s="812">
        <f t="shared" si="0"/>
        <v>0</v>
      </c>
      <c r="D29" s="813">
        <v>0</v>
      </c>
      <c r="E29" s="812">
        <f t="shared" si="1"/>
        <v>0</v>
      </c>
      <c r="F29" s="813">
        <v>0</v>
      </c>
      <c r="G29" s="812">
        <f t="shared" si="2"/>
        <v>0</v>
      </c>
    </row>
    <row r="30" spans="1:7" ht="20.25">
      <c r="A30" s="814">
        <v>27</v>
      </c>
      <c r="B30" s="813">
        <v>0</v>
      </c>
      <c r="C30" s="812">
        <f t="shared" si="0"/>
        <v>0</v>
      </c>
      <c r="D30" s="813">
        <v>0</v>
      </c>
      <c r="E30" s="812">
        <f t="shared" si="1"/>
        <v>0</v>
      </c>
      <c r="F30" s="813">
        <v>0</v>
      </c>
      <c r="G30" s="812">
        <f t="shared" si="2"/>
        <v>0</v>
      </c>
    </row>
    <row r="31" spans="1:7" ht="20.25">
      <c r="A31" s="814">
        <v>28</v>
      </c>
      <c r="B31" s="813">
        <v>0</v>
      </c>
      <c r="C31" s="812">
        <f t="shared" si="0"/>
        <v>0</v>
      </c>
      <c r="D31" s="813">
        <v>0</v>
      </c>
      <c r="E31" s="812">
        <f t="shared" si="1"/>
        <v>0</v>
      </c>
      <c r="F31" s="813">
        <v>0</v>
      </c>
      <c r="G31" s="812">
        <f t="shared" si="2"/>
        <v>0</v>
      </c>
    </row>
    <row r="32" spans="1:7" ht="20.25">
      <c r="A32" s="815">
        <v>29</v>
      </c>
      <c r="B32" s="813">
        <v>0</v>
      </c>
      <c r="C32" s="812">
        <f t="shared" si="0"/>
        <v>0</v>
      </c>
      <c r="D32" s="813">
        <v>0</v>
      </c>
      <c r="E32" s="812">
        <f t="shared" si="1"/>
        <v>0</v>
      </c>
      <c r="F32" s="813">
        <v>0</v>
      </c>
      <c r="G32" s="812">
        <f t="shared" si="2"/>
        <v>0</v>
      </c>
    </row>
    <row r="33" spans="1:7" ht="20.25">
      <c r="A33" s="814">
        <v>30</v>
      </c>
      <c r="B33" s="813">
        <v>0</v>
      </c>
      <c r="C33" s="812">
        <f t="shared" si="0"/>
        <v>0</v>
      </c>
      <c r="D33" s="813">
        <v>0</v>
      </c>
      <c r="E33" s="812">
        <f t="shared" si="1"/>
        <v>0</v>
      </c>
      <c r="F33" s="813">
        <v>0</v>
      </c>
      <c r="G33" s="812">
        <f t="shared" si="2"/>
        <v>0</v>
      </c>
    </row>
    <row r="34" spans="1:7" ht="21" thickBot="1">
      <c r="A34" s="814">
        <v>31</v>
      </c>
      <c r="B34" s="813">
        <v>0</v>
      </c>
      <c r="C34" s="812">
        <f t="shared" si="0"/>
        <v>0</v>
      </c>
      <c r="D34" s="813">
        <v>0</v>
      </c>
      <c r="E34" s="812">
        <f t="shared" si="1"/>
        <v>0</v>
      </c>
      <c r="F34" s="813">
        <v>0</v>
      </c>
      <c r="G34" s="812">
        <f t="shared" si="2"/>
        <v>0</v>
      </c>
    </row>
    <row r="35" spans="1:7" ht="20.25">
      <c r="A35" s="810" t="s">
        <v>55</v>
      </c>
      <c r="B35" s="811"/>
      <c r="C35" s="810">
        <f>SUM(C4:C34)</f>
        <v>0</v>
      </c>
      <c r="D35" s="811"/>
      <c r="E35" s="810">
        <f>SUM(E4:E34)</f>
        <v>0</v>
      </c>
      <c r="F35" s="811"/>
      <c r="G35" s="810">
        <f>SUM(G4:G34)</f>
        <v>0</v>
      </c>
    </row>
  </sheetData>
  <sheetProtection algorithmName="SHA-512" hashValue="gxMWpfRu0M7oS5ugXPFy1dj96sFXhk8CtltpgDhCrNfyZLbNgyN1UpZY9c+1YBfHplhK1jcMgiu45BkZJ//scA==" saltValue="On9BjF6jdsPuMHHpMZAaeg==" spinCount="100000" sheet="1" objects="1" scenarios="1" formatCells="0" formatColumns="0" formatRows="0" insertColumns="0" insertRows="0" insertHyperlinks="0" deleteColumns="0" deleteRows="0" sort="0" autoFilter="0" pivotTables="0"/>
  <mergeCells count="4">
    <mergeCell ref="B1:C1"/>
    <mergeCell ref="D1:E1"/>
    <mergeCell ref="F1:G1"/>
    <mergeCell ref="A1:A2"/>
  </mergeCells>
  <conditionalFormatting sqref="E3">
    <cfRule type="cellIs" dxfId="49" priority="9" stopIfTrue="1" operator="greaterThan">
      <formula>2000</formula>
    </cfRule>
  </conditionalFormatting>
  <conditionalFormatting sqref="E3">
    <cfRule type="cellIs" dxfId="48" priority="8" stopIfTrue="1" operator="greaterThan">
      <formula>1000</formula>
    </cfRule>
  </conditionalFormatting>
  <conditionalFormatting sqref="E3">
    <cfRule type="cellIs" dxfId="47" priority="7" stopIfTrue="1" operator="greaterThan">
      <formula>2000</formula>
    </cfRule>
  </conditionalFormatting>
  <conditionalFormatting sqref="E3">
    <cfRule type="cellIs" dxfId="46" priority="6" stopIfTrue="1" operator="greaterThan">
      <formula>1000</formula>
    </cfRule>
  </conditionalFormatting>
  <conditionalFormatting sqref="E3">
    <cfRule type="cellIs" dxfId="45" priority="5" stopIfTrue="1" operator="greaterThan">
      <formula>2000</formula>
    </cfRule>
  </conditionalFormatting>
  <conditionalFormatting sqref="E3">
    <cfRule type="cellIs" dxfId="44" priority="4" stopIfTrue="1" operator="greaterThan">
      <formula>1000</formula>
    </cfRule>
  </conditionalFormatting>
  <conditionalFormatting sqref="E3">
    <cfRule type="cellIs" dxfId="43" priority="3" stopIfTrue="1" operator="greaterThan">
      <formula>2000</formula>
    </cfRule>
  </conditionalFormatting>
  <conditionalFormatting sqref="E3">
    <cfRule type="cellIs" dxfId="42" priority="2" stopIfTrue="1" operator="greaterThan">
      <formula>1000</formula>
    </cfRule>
  </conditionalFormatting>
  <conditionalFormatting sqref="G3">
    <cfRule type="cellIs" dxfId="41" priority="1" stopIfTrue="1" operator="greaterThan">
      <formula>200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60" zoomScaleNormal="60" zoomScaleSheetLayoutView="40" workbookViewId="0">
      <pane xSplit="1" ySplit="5" topLeftCell="B14" activePane="bottomRight" state="frozen"/>
      <selection pane="bottomRight" activeCell="E7" sqref="E7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64">
        <f>Elect!A1</f>
        <v>44927</v>
      </c>
      <c r="B1" s="579"/>
      <c r="C1" s="580"/>
      <c r="D1" s="855"/>
      <c r="E1" s="855"/>
      <c r="F1" s="855"/>
      <c r="G1" s="855"/>
      <c r="H1" s="855"/>
      <c r="I1" s="855"/>
      <c r="J1" s="855"/>
      <c r="K1" s="855"/>
      <c r="L1" s="855"/>
      <c r="M1" s="855"/>
      <c r="N1" s="855"/>
      <c r="O1" s="581"/>
      <c r="P1" s="866"/>
      <c r="Q1" s="866"/>
      <c r="R1" s="866"/>
      <c r="S1" s="2"/>
      <c r="T1" s="582" t="s">
        <v>56</v>
      </c>
      <c r="U1" s="566"/>
      <c r="V1" s="565">
        <v>4</v>
      </c>
      <c r="W1" s="564" t="s">
        <v>57</v>
      </c>
      <c r="X1" s="583"/>
      <c r="Y1" s="584"/>
      <c r="Z1" s="566"/>
    </row>
    <row r="2" spans="1:26" ht="39.75" customHeight="1" thickBot="1">
      <c r="A2" s="865"/>
      <c r="B2" s="586"/>
      <c r="C2" s="580"/>
      <c r="O2" s="581"/>
      <c r="P2" s="867"/>
      <c r="Q2" s="867"/>
      <c r="R2" s="867"/>
    </row>
    <row r="3" spans="1:26" s="3" customFormat="1" ht="42" customHeight="1" thickBot="1">
      <c r="A3" s="856" t="s">
        <v>1</v>
      </c>
      <c r="B3" s="587"/>
      <c r="C3" s="588"/>
      <c r="D3" s="588"/>
      <c r="E3" s="589" t="s">
        <v>58</v>
      </c>
      <c r="F3" s="588"/>
      <c r="G3" s="588"/>
      <c r="H3" s="590"/>
      <c r="I3" s="886" t="s">
        <v>59</v>
      </c>
      <c r="J3" s="887"/>
      <c r="K3" s="887"/>
      <c r="L3" s="887"/>
      <c r="M3" s="888"/>
      <c r="N3" s="878" t="s">
        <v>60</v>
      </c>
      <c r="O3" s="879"/>
      <c r="P3" s="859" t="s">
        <v>61</v>
      </c>
      <c r="Q3" s="859"/>
      <c r="R3" s="859" t="s">
        <v>62</v>
      </c>
      <c r="S3" s="859"/>
      <c r="T3" s="874" t="s">
        <v>63</v>
      </c>
      <c r="U3" s="870" t="s">
        <v>64</v>
      </c>
      <c r="V3" s="870" t="s">
        <v>65</v>
      </c>
      <c r="W3" s="870" t="s">
        <v>66</v>
      </c>
      <c r="X3" s="871" t="s">
        <v>67</v>
      </c>
      <c r="Y3" s="591" t="s">
        <v>68</v>
      </c>
      <c r="Z3" s="592" t="s">
        <v>68</v>
      </c>
    </row>
    <row r="4" spans="1:26" s="3" customFormat="1" ht="45" customHeight="1" thickBot="1">
      <c r="A4" s="857"/>
      <c r="B4" s="880" t="s">
        <v>69</v>
      </c>
      <c r="C4" s="881"/>
      <c r="D4" s="882" t="s">
        <v>70</v>
      </c>
      <c r="E4" s="883"/>
      <c r="F4" s="882" t="s">
        <v>71</v>
      </c>
      <c r="G4" s="883"/>
      <c r="H4" s="862" t="s">
        <v>72</v>
      </c>
      <c r="I4" s="884" t="s">
        <v>73</v>
      </c>
      <c r="J4" s="885"/>
      <c r="K4" s="884" t="s">
        <v>74</v>
      </c>
      <c r="L4" s="885"/>
      <c r="M4" s="792"/>
      <c r="N4" s="862" t="s">
        <v>75</v>
      </c>
      <c r="O4" s="862" t="s">
        <v>76</v>
      </c>
      <c r="P4" s="860" t="s">
        <v>77</v>
      </c>
      <c r="Q4" s="860" t="s">
        <v>78</v>
      </c>
      <c r="R4" s="860" t="s">
        <v>77</v>
      </c>
      <c r="S4" s="860" t="s">
        <v>78</v>
      </c>
      <c r="T4" s="875"/>
      <c r="U4" s="860"/>
      <c r="V4" s="860"/>
      <c r="W4" s="860"/>
      <c r="X4" s="872"/>
      <c r="Y4" s="868" t="s">
        <v>79</v>
      </c>
      <c r="Z4" s="853" t="s">
        <v>80</v>
      </c>
    </row>
    <row r="5" spans="1:26" s="3" customFormat="1" ht="48.75" customHeight="1" thickBot="1">
      <c r="A5" s="858"/>
      <c r="B5" s="593" t="s">
        <v>81</v>
      </c>
      <c r="C5" s="791" t="s">
        <v>82</v>
      </c>
      <c r="D5" s="594" t="s">
        <v>81</v>
      </c>
      <c r="E5" s="791" t="s">
        <v>82</v>
      </c>
      <c r="F5" s="594" t="s">
        <v>81</v>
      </c>
      <c r="G5" s="791" t="s">
        <v>82</v>
      </c>
      <c r="H5" s="863"/>
      <c r="I5" s="725" t="s">
        <v>81</v>
      </c>
      <c r="J5" s="726"/>
      <c r="K5" s="725" t="s">
        <v>81</v>
      </c>
      <c r="L5" s="726"/>
      <c r="M5" s="724"/>
      <c r="N5" s="861"/>
      <c r="O5" s="861"/>
      <c r="P5" s="861"/>
      <c r="Q5" s="861"/>
      <c r="R5" s="861"/>
      <c r="S5" s="861"/>
      <c r="T5" s="876"/>
      <c r="U5" s="861"/>
      <c r="V5" s="861"/>
      <c r="W5" s="861"/>
      <c r="X5" s="873"/>
      <c r="Y5" s="869"/>
      <c r="Z5" s="854"/>
    </row>
    <row r="6" spans="1:26" s="3" customFormat="1" ht="36.75" customHeight="1">
      <c r="A6" s="595"/>
      <c r="B6" s="767">
        <v>90625.916666666701</v>
      </c>
      <c r="C6" s="636">
        <f t="shared" ref="C6:C37" si="0">IF(B6&gt;=B5,B6-B5,0)*10*0.58</f>
        <v>0</v>
      </c>
      <c r="D6" s="770">
        <v>14017.7</v>
      </c>
      <c r="E6" s="636">
        <f t="shared" ref="E6:E37" si="1">IF(D6&gt;=D5,D6-D5,0)*10*0.58</f>
        <v>0</v>
      </c>
      <c r="F6" s="766">
        <v>68296.583333333299</v>
      </c>
      <c r="G6" s="636">
        <f>IF(F6&gt;=F5,F6-F5,0)*0.58</f>
        <v>0</v>
      </c>
      <c r="H6" s="708"/>
      <c r="I6" s="3">
        <v>322</v>
      </c>
      <c r="J6" s="723"/>
      <c r="K6" s="3">
        <v>5583</v>
      </c>
      <c r="L6" s="723"/>
      <c r="M6" s="723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90654</v>
      </c>
      <c r="C7" s="636">
        <f t="shared" si="0"/>
        <v>162.88333333313639</v>
      </c>
      <c r="D7" s="770">
        <v>14043</v>
      </c>
      <c r="E7" s="636">
        <f t="shared" si="1"/>
        <v>146.73999999999577</v>
      </c>
      <c r="F7" s="766">
        <v>68510</v>
      </c>
      <c r="G7" s="636">
        <f t="shared" ref="G7:G31" si="2">IF(F7&gt;=F6,F7-F6,0)*0.58</f>
        <v>123.78166666668635</v>
      </c>
      <c r="H7" s="636">
        <f t="shared" ref="H7:H37" si="3">C7+E7+G7</f>
        <v>433.40499999981853</v>
      </c>
      <c r="I7" s="766"/>
      <c r="J7" s="636"/>
      <c r="K7" s="808"/>
      <c r="L7" s="636"/>
      <c r="M7" s="636"/>
      <c r="N7" s="109"/>
      <c r="O7" s="535">
        <f>IF(N7&gt;=N6,N7-N6,0)</f>
        <v>0</v>
      </c>
      <c r="P7" s="109"/>
      <c r="Q7" s="436">
        <f>(H7-O7)*0.58</f>
        <v>251.37489999989472</v>
      </c>
      <c r="R7" s="109"/>
      <c r="S7" s="436">
        <f>IF(R7-R6&gt;0,R7-R6,0)</f>
        <v>0</v>
      </c>
      <c r="T7" s="706">
        <f>Elect!BT6</f>
        <v>238</v>
      </c>
      <c r="U7" s="604">
        <f>H7/T7</f>
        <v>1.8210294117639434</v>
      </c>
      <c r="V7" s="706">
        <f>Elect!BV6</f>
        <v>0</v>
      </c>
      <c r="W7" s="604" t="e">
        <f>H7/V7</f>
        <v>#DIV/0!</v>
      </c>
      <c r="X7" s="429">
        <f>H7*V1</f>
        <v>1733.6199999992741</v>
      </c>
      <c r="Y7" s="604">
        <f>IF(X7&gt;0,X7/T7,0)</f>
        <v>7.2841176470557736</v>
      </c>
      <c r="Z7" s="607">
        <v>0</v>
      </c>
    </row>
    <row r="8" spans="1:26" s="3" customFormat="1" ht="36.75" customHeight="1">
      <c r="A8" s="595">
        <v>2</v>
      </c>
      <c r="B8" s="767">
        <v>90666</v>
      </c>
      <c r="C8" s="636">
        <f t="shared" si="0"/>
        <v>69.599999999999994</v>
      </c>
      <c r="D8" s="770">
        <v>14058</v>
      </c>
      <c r="E8" s="636">
        <f t="shared" si="1"/>
        <v>87</v>
      </c>
      <c r="F8" s="766">
        <v>68685</v>
      </c>
      <c r="G8" s="636">
        <f t="shared" si="2"/>
        <v>101.5</v>
      </c>
      <c r="H8" s="636">
        <f t="shared" si="3"/>
        <v>258.10000000000002</v>
      </c>
      <c r="I8" s="766"/>
      <c r="J8" s="636"/>
      <c r="K8" s="808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149.69800000000001</v>
      </c>
      <c r="R8" s="109"/>
      <c r="S8" s="436">
        <f t="shared" ref="S8:S37" si="6">IF(R8-R7&gt;0,R8-R7,0)</f>
        <v>0</v>
      </c>
      <c r="T8" s="706">
        <f>Elect!BT7</f>
        <v>227</v>
      </c>
      <c r="U8" s="604">
        <f t="shared" ref="U8:U37" si="7">H8/T8</f>
        <v>1.1370044052863437</v>
      </c>
      <c r="V8" s="706">
        <f>Elect!BV7</f>
        <v>0</v>
      </c>
      <c r="W8" s="604" t="e">
        <f t="shared" ref="W8:W37" si="8">H8/V8</f>
        <v>#DIV/0!</v>
      </c>
      <c r="X8" s="429">
        <f>H8*V1</f>
        <v>1032.4000000000001</v>
      </c>
      <c r="Y8" s="604">
        <f>IF(X8&gt;0,X8/T8,0)</f>
        <v>4.5480176211453749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90684</v>
      </c>
      <c r="C9" s="636">
        <f t="shared" si="0"/>
        <v>104.39999999999999</v>
      </c>
      <c r="D9" s="770">
        <v>14080</v>
      </c>
      <c r="E9" s="636">
        <f t="shared" si="1"/>
        <v>127.6</v>
      </c>
      <c r="F9" s="766">
        <v>68876</v>
      </c>
      <c r="G9" s="636">
        <f t="shared" si="2"/>
        <v>110.77999999999999</v>
      </c>
      <c r="H9" s="636">
        <f t="shared" si="3"/>
        <v>342.78</v>
      </c>
      <c r="I9" s="766"/>
      <c r="J9" s="636"/>
      <c r="K9" s="808"/>
      <c r="L9" s="636"/>
      <c r="M9" s="636"/>
      <c r="N9" s="109"/>
      <c r="O9" s="535">
        <f t="shared" si="4"/>
        <v>0</v>
      </c>
      <c r="P9" s="109"/>
      <c r="Q9" s="436">
        <f t="shared" si="5"/>
        <v>198.81239999999997</v>
      </c>
      <c r="R9" s="109"/>
      <c r="S9" s="436">
        <f t="shared" si="6"/>
        <v>0</v>
      </c>
      <c r="T9" s="706">
        <f>Elect!BT8</f>
        <v>213</v>
      </c>
      <c r="U9" s="604">
        <f t="shared" si="7"/>
        <v>1.6092957746478871</v>
      </c>
      <c r="V9" s="706">
        <f>Elect!BV8</f>
        <v>0</v>
      </c>
      <c r="W9" s="604" t="e">
        <f t="shared" si="8"/>
        <v>#DIV/0!</v>
      </c>
      <c r="X9" s="429">
        <f>H9*V1</f>
        <v>1371.12</v>
      </c>
      <c r="Y9" s="604">
        <f t="shared" ref="Y9:Y37" si="9">IF(X9&gt;0,X9/T9,0)</f>
        <v>6.4371830985915484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90700</v>
      </c>
      <c r="C10" s="636">
        <f t="shared" si="0"/>
        <v>92.8</v>
      </c>
      <c r="D10" s="770">
        <v>14099</v>
      </c>
      <c r="E10" s="636">
        <f t="shared" si="1"/>
        <v>110.19999999999999</v>
      </c>
      <c r="F10" s="766">
        <v>69063</v>
      </c>
      <c r="G10" s="636">
        <f t="shared" si="2"/>
        <v>108.46</v>
      </c>
      <c r="H10" s="636">
        <f t="shared" si="3"/>
        <v>311.45999999999998</v>
      </c>
      <c r="I10" s="766"/>
      <c r="J10" s="636"/>
      <c r="K10" s="808"/>
      <c r="L10" s="636"/>
      <c r="M10" s="636"/>
      <c r="N10" s="109"/>
      <c r="O10" s="535">
        <f t="shared" si="4"/>
        <v>0</v>
      </c>
      <c r="P10" s="109"/>
      <c r="Q10" s="436">
        <f t="shared" si="5"/>
        <v>180.64679999999998</v>
      </c>
      <c r="R10" s="109"/>
      <c r="S10" s="436">
        <f t="shared" si="6"/>
        <v>0</v>
      </c>
      <c r="T10" s="706">
        <f>Elect!BT9</f>
        <v>202</v>
      </c>
      <c r="U10" s="604">
        <f t="shared" si="7"/>
        <v>1.5418811881188117</v>
      </c>
      <c r="V10" s="706">
        <f>Elect!BV9</f>
        <v>0</v>
      </c>
      <c r="W10" s="604" t="e">
        <f t="shared" si="8"/>
        <v>#DIV/0!</v>
      </c>
      <c r="X10" s="429">
        <f>H10*V1</f>
        <v>1245.8399999999999</v>
      </c>
      <c r="Y10" s="604">
        <f t="shared" si="9"/>
        <v>6.1675247524752468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90719</v>
      </c>
      <c r="C11" s="636">
        <f t="shared" si="0"/>
        <v>110.19999999999999</v>
      </c>
      <c r="D11" s="770">
        <v>14120</v>
      </c>
      <c r="E11" s="636">
        <f t="shared" si="1"/>
        <v>121.8</v>
      </c>
      <c r="F11" s="766">
        <v>69270</v>
      </c>
      <c r="G11" s="636">
        <f t="shared" si="2"/>
        <v>120.05999999999999</v>
      </c>
      <c r="H11" s="636">
        <f t="shared" si="3"/>
        <v>352.06</v>
      </c>
      <c r="I11" s="766"/>
      <c r="J11" s="636"/>
      <c r="K11" s="808"/>
      <c r="L11" s="636"/>
      <c r="M11" s="636"/>
      <c r="N11" s="109"/>
      <c r="O11" s="535">
        <f t="shared" si="4"/>
        <v>0</v>
      </c>
      <c r="P11" s="109"/>
      <c r="Q11" s="436">
        <f t="shared" si="5"/>
        <v>204.19479999999999</v>
      </c>
      <c r="R11" s="109"/>
      <c r="S11" s="436">
        <f t="shared" si="6"/>
        <v>0</v>
      </c>
      <c r="T11" s="706">
        <f>Elect!BT10</f>
        <v>196</v>
      </c>
      <c r="U11" s="604">
        <f t="shared" si="7"/>
        <v>1.7962244897959183</v>
      </c>
      <c r="V11" s="706">
        <f>Elect!BV10</f>
        <v>0</v>
      </c>
      <c r="W11" s="604" t="e">
        <f t="shared" si="8"/>
        <v>#DIV/0!</v>
      </c>
      <c r="X11" s="429">
        <f>H11*V1</f>
        <v>1408.24</v>
      </c>
      <c r="Y11" s="604">
        <f t="shared" si="9"/>
        <v>7.1848979591836732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90739</v>
      </c>
      <c r="C12" s="636">
        <f t="shared" si="0"/>
        <v>115.99999999999999</v>
      </c>
      <c r="D12" s="770">
        <v>14144</v>
      </c>
      <c r="E12" s="636">
        <f t="shared" si="1"/>
        <v>139.19999999999999</v>
      </c>
      <c r="F12" s="766">
        <v>69450</v>
      </c>
      <c r="G12" s="636">
        <f t="shared" si="2"/>
        <v>104.39999999999999</v>
      </c>
      <c r="H12" s="636">
        <f t="shared" si="3"/>
        <v>359.59999999999997</v>
      </c>
      <c r="I12" s="766"/>
      <c r="J12" s="636"/>
      <c r="K12" s="808"/>
      <c r="L12" s="636"/>
      <c r="M12" s="636"/>
      <c r="N12" s="109"/>
      <c r="O12" s="535">
        <f t="shared" si="4"/>
        <v>0</v>
      </c>
      <c r="P12" s="109"/>
      <c r="Q12" s="436">
        <f t="shared" si="5"/>
        <v>208.56799999999996</v>
      </c>
      <c r="R12" s="109"/>
      <c r="S12" s="436">
        <f t="shared" si="6"/>
        <v>0</v>
      </c>
      <c r="T12" s="706">
        <f>Elect!BT11</f>
        <v>214</v>
      </c>
      <c r="U12" s="604">
        <f t="shared" si="7"/>
        <v>1.6803738317757009</v>
      </c>
      <c r="V12" s="706">
        <f>Elect!BV11</f>
        <v>0</v>
      </c>
      <c r="W12" s="604" t="e">
        <f t="shared" si="8"/>
        <v>#DIV/0!</v>
      </c>
      <c r="X12" s="429">
        <f>H12*V1</f>
        <v>1438.3999999999999</v>
      </c>
      <c r="Y12" s="604">
        <f t="shared" si="9"/>
        <v>6.7214953271028035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90763</v>
      </c>
      <c r="C13" s="636">
        <f t="shared" si="0"/>
        <v>139.19999999999999</v>
      </c>
      <c r="D13" s="770">
        <v>14173</v>
      </c>
      <c r="E13" s="636">
        <f t="shared" si="1"/>
        <v>168.2</v>
      </c>
      <c r="F13" s="766">
        <v>69641</v>
      </c>
      <c r="G13" s="636">
        <f t="shared" si="2"/>
        <v>110.77999999999999</v>
      </c>
      <c r="H13" s="636">
        <f t="shared" si="3"/>
        <v>418.17999999999995</v>
      </c>
      <c r="I13" s="766"/>
      <c r="J13" s="636"/>
      <c r="K13" s="808"/>
      <c r="L13" s="636"/>
      <c r="M13" s="636"/>
      <c r="N13" s="109"/>
      <c r="O13" s="535">
        <f t="shared" si="4"/>
        <v>0</v>
      </c>
      <c r="P13" s="109"/>
      <c r="Q13" s="436">
        <f t="shared" si="5"/>
        <v>242.54439999999997</v>
      </c>
      <c r="R13" s="109"/>
      <c r="S13" s="436">
        <f t="shared" si="6"/>
        <v>0</v>
      </c>
      <c r="T13" s="706">
        <f>Elect!BT12</f>
        <v>254</v>
      </c>
      <c r="U13" s="604">
        <f t="shared" si="7"/>
        <v>1.6463779527559053</v>
      </c>
      <c r="V13" s="706">
        <f>Elect!BV12</f>
        <v>0</v>
      </c>
      <c r="W13" s="604" t="e">
        <f t="shared" si="8"/>
        <v>#DIV/0!</v>
      </c>
      <c r="X13" s="429">
        <f>H13*V1</f>
        <v>1672.7199999999998</v>
      </c>
      <c r="Y13" s="604">
        <f t="shared" si="9"/>
        <v>6.585511811023621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90787</v>
      </c>
      <c r="C14" s="636">
        <f>IF(B14&gt;=B13,B14-B13,0)*10*0.58</f>
        <v>139.19999999999999</v>
      </c>
      <c r="D14" s="770">
        <v>14203</v>
      </c>
      <c r="E14" s="636">
        <f t="shared" si="1"/>
        <v>174</v>
      </c>
      <c r="F14" s="766">
        <v>69835</v>
      </c>
      <c r="G14" s="636">
        <f t="shared" si="2"/>
        <v>112.52</v>
      </c>
      <c r="H14" s="636">
        <f t="shared" si="3"/>
        <v>425.71999999999997</v>
      </c>
      <c r="I14" s="766"/>
      <c r="J14" s="636"/>
      <c r="K14" s="808"/>
      <c r="L14" s="636"/>
      <c r="M14" s="636"/>
      <c r="N14" s="109"/>
      <c r="O14" s="535">
        <f t="shared" si="4"/>
        <v>0</v>
      </c>
      <c r="P14" s="109"/>
      <c r="Q14" s="436">
        <f t="shared" si="5"/>
        <v>246.91759999999996</v>
      </c>
      <c r="R14" s="109"/>
      <c r="S14" s="436">
        <f t="shared" si="6"/>
        <v>0</v>
      </c>
      <c r="T14" s="706">
        <f>Elect!BT13</f>
        <v>239</v>
      </c>
      <c r="U14" s="604">
        <f t="shared" si="7"/>
        <v>1.7812552301255229</v>
      </c>
      <c r="V14" s="706">
        <f>Elect!BV13</f>
        <v>0</v>
      </c>
      <c r="W14" s="604" t="e">
        <f t="shared" si="8"/>
        <v>#DIV/0!</v>
      </c>
      <c r="X14" s="429">
        <f>H14*V1</f>
        <v>1702.8799999999999</v>
      </c>
      <c r="Y14" s="604">
        <f t="shared" si="9"/>
        <v>7.1250209205020916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90813</v>
      </c>
      <c r="C15" s="636">
        <f>IF(B15&gt;=B14,B15-B14,0)*10*0.58</f>
        <v>150.79999999999998</v>
      </c>
      <c r="D15" s="770">
        <v>14234</v>
      </c>
      <c r="E15" s="636">
        <f t="shared" si="1"/>
        <v>179.79999999999998</v>
      </c>
      <c r="F15" s="766">
        <v>70026</v>
      </c>
      <c r="G15" s="636">
        <f t="shared" si="2"/>
        <v>110.77999999999999</v>
      </c>
      <c r="H15" s="636">
        <f t="shared" si="3"/>
        <v>441.37999999999994</v>
      </c>
      <c r="I15" s="766"/>
      <c r="J15" s="636"/>
      <c r="K15" s="808"/>
      <c r="L15" s="636"/>
      <c r="M15" s="636"/>
      <c r="N15" s="109"/>
      <c r="O15" s="535">
        <f t="shared" si="4"/>
        <v>0</v>
      </c>
      <c r="P15" s="109"/>
      <c r="Q15" s="436">
        <f t="shared" si="5"/>
        <v>256.00039999999996</v>
      </c>
      <c r="R15" s="109"/>
      <c r="S15" s="436">
        <f t="shared" si="6"/>
        <v>0</v>
      </c>
      <c r="T15" s="706">
        <f>Elect!BT14</f>
        <v>220</v>
      </c>
      <c r="U15" s="604">
        <f t="shared" si="7"/>
        <v>2.006272727272727</v>
      </c>
      <c r="V15" s="706">
        <f>Elect!BV14</f>
        <v>0</v>
      </c>
      <c r="W15" s="604" t="e">
        <f t="shared" si="8"/>
        <v>#DIV/0!</v>
      </c>
      <c r="X15" s="429">
        <f>H15*V1</f>
        <v>1765.5199999999998</v>
      </c>
      <c r="Y15" s="604">
        <f t="shared" si="9"/>
        <v>8.0250909090909079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90837</v>
      </c>
      <c r="C16" s="636">
        <f>IF(B16&gt;=B15,B16-B15,0)*10*0.58</f>
        <v>139.19999999999999</v>
      </c>
      <c r="D16" s="770">
        <v>14263</v>
      </c>
      <c r="E16" s="636">
        <f t="shared" si="1"/>
        <v>168.2</v>
      </c>
      <c r="F16" s="766">
        <v>70208</v>
      </c>
      <c r="G16" s="636">
        <f t="shared" si="2"/>
        <v>105.55999999999999</v>
      </c>
      <c r="H16" s="636">
        <f t="shared" si="3"/>
        <v>412.96</v>
      </c>
      <c r="I16" s="766"/>
      <c r="J16" s="636"/>
      <c r="K16" s="808"/>
      <c r="L16" s="636"/>
      <c r="M16" s="636"/>
      <c r="N16" s="109"/>
      <c r="O16" s="535">
        <f t="shared" si="4"/>
        <v>0</v>
      </c>
      <c r="P16" s="109"/>
      <c r="Q16" s="436">
        <f t="shared" si="5"/>
        <v>239.51679999999996</v>
      </c>
      <c r="R16" s="109"/>
      <c r="S16" s="436">
        <f t="shared" si="6"/>
        <v>0</v>
      </c>
      <c r="T16" s="706">
        <f>Elect!BT15</f>
        <v>185</v>
      </c>
      <c r="U16" s="604">
        <f t="shared" si="7"/>
        <v>2.2322162162162162</v>
      </c>
      <c r="V16" s="706">
        <f>Elect!BV15</f>
        <v>0</v>
      </c>
      <c r="W16" s="604" t="e">
        <f t="shared" si="8"/>
        <v>#DIV/0!</v>
      </c>
      <c r="X16" s="429">
        <f>H16*V1</f>
        <v>1651.84</v>
      </c>
      <c r="Y16" s="604">
        <f t="shared" si="9"/>
        <v>8.928864864864865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90862</v>
      </c>
      <c r="C17" s="636">
        <f t="shared" si="0"/>
        <v>145</v>
      </c>
      <c r="D17" s="770">
        <v>14293.1</v>
      </c>
      <c r="E17" s="636">
        <f t="shared" si="1"/>
        <v>174.58000000000209</v>
      </c>
      <c r="F17" s="766">
        <v>70402.3</v>
      </c>
      <c r="G17" s="636">
        <f t="shared" si="2"/>
        <v>112.69400000000168</v>
      </c>
      <c r="H17" s="636">
        <f t="shared" si="3"/>
        <v>432.27400000000375</v>
      </c>
      <c r="I17" s="766"/>
      <c r="J17" s="636"/>
      <c r="K17" s="808"/>
      <c r="L17" s="636"/>
      <c r="M17" s="636"/>
      <c r="N17" s="109"/>
      <c r="O17" s="535">
        <f t="shared" si="4"/>
        <v>0</v>
      </c>
      <c r="P17" s="109"/>
      <c r="Q17" s="436">
        <f t="shared" si="5"/>
        <v>250.71892000000216</v>
      </c>
      <c r="R17" s="109"/>
      <c r="S17" s="436">
        <f t="shared" si="6"/>
        <v>0</v>
      </c>
      <c r="T17" s="706">
        <f>Elect!BT16</f>
        <v>156</v>
      </c>
      <c r="U17" s="604">
        <f t="shared" si="7"/>
        <v>2.7709871794872036</v>
      </c>
      <c r="V17" s="706">
        <f>Elect!BV16</f>
        <v>0</v>
      </c>
      <c r="W17" s="604" t="e">
        <f t="shared" si="8"/>
        <v>#DIV/0!</v>
      </c>
      <c r="X17" s="429">
        <f>H17*V1</f>
        <v>1729.096000000015</v>
      </c>
      <c r="Y17" s="604">
        <f t="shared" si="9"/>
        <v>11.083948717948815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90886.8</v>
      </c>
      <c r="C18" s="636">
        <f t="shared" si="0"/>
        <v>143.84000000001686</v>
      </c>
      <c r="D18" s="770">
        <v>14323</v>
      </c>
      <c r="E18" s="636">
        <f t="shared" si="1"/>
        <v>173.41999999999788</v>
      </c>
      <c r="F18" s="766">
        <v>70592.399999999994</v>
      </c>
      <c r="G18" s="636">
        <f t="shared" si="2"/>
        <v>110.25799999999492</v>
      </c>
      <c r="H18" s="636">
        <f t="shared" si="3"/>
        <v>427.51800000000969</v>
      </c>
      <c r="I18" s="766"/>
      <c r="J18" s="636"/>
      <c r="K18" s="808"/>
      <c r="L18" s="636"/>
      <c r="M18" s="636"/>
      <c r="N18" s="109"/>
      <c r="O18" s="535">
        <f t="shared" si="4"/>
        <v>0</v>
      </c>
      <c r="P18" s="109"/>
      <c r="Q18" s="436">
        <f t="shared" si="5"/>
        <v>247.9604400000056</v>
      </c>
      <c r="R18" s="109"/>
      <c r="S18" s="436">
        <f t="shared" si="6"/>
        <v>0</v>
      </c>
      <c r="T18" s="706">
        <f>Elect!BT17</f>
        <v>199</v>
      </c>
      <c r="U18" s="604">
        <f t="shared" si="7"/>
        <v>2.148331658291506</v>
      </c>
      <c r="V18" s="706">
        <f>Elect!BV17</f>
        <v>0</v>
      </c>
      <c r="W18" s="604" t="e">
        <f t="shared" si="8"/>
        <v>#DIV/0!</v>
      </c>
      <c r="X18" s="429">
        <f>H18*V1</f>
        <v>1710.0720000000388</v>
      </c>
      <c r="Y18" s="604">
        <f t="shared" si="9"/>
        <v>8.5933266331660239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90906</v>
      </c>
      <c r="C19" s="636">
        <f t="shared" si="0"/>
        <v>111.35999999998312</v>
      </c>
      <c r="D19" s="770">
        <v>14346</v>
      </c>
      <c r="E19" s="636">
        <f t="shared" si="1"/>
        <v>133.39999999999998</v>
      </c>
      <c r="F19" s="766">
        <v>70705</v>
      </c>
      <c r="G19" s="636">
        <f t="shared" si="2"/>
        <v>65.308000000003375</v>
      </c>
      <c r="H19" s="636">
        <f t="shared" si="3"/>
        <v>310.06799999998645</v>
      </c>
      <c r="I19" s="766"/>
      <c r="J19" s="636"/>
      <c r="K19" s="808"/>
      <c r="L19" s="636"/>
      <c r="M19" s="636"/>
      <c r="N19" s="109"/>
      <c r="O19" s="535">
        <f t="shared" si="4"/>
        <v>0</v>
      </c>
      <c r="P19" s="109"/>
      <c r="Q19" s="436">
        <f t="shared" si="5"/>
        <v>179.83943999999212</v>
      </c>
      <c r="R19" s="109"/>
      <c r="S19" s="436">
        <f t="shared" si="6"/>
        <v>0</v>
      </c>
      <c r="T19" s="706">
        <f>Elect!BT18</f>
        <v>212</v>
      </c>
      <c r="U19" s="604">
        <f t="shared" si="7"/>
        <v>1.4625849056603135</v>
      </c>
      <c r="V19" s="706">
        <f>Elect!BV18</f>
        <v>0</v>
      </c>
      <c r="W19" s="604" t="e">
        <f t="shared" si="8"/>
        <v>#DIV/0!</v>
      </c>
      <c r="X19" s="429">
        <f>H19*V1</f>
        <v>1240.2719999999458</v>
      </c>
      <c r="Y19" s="604">
        <f t="shared" si="9"/>
        <v>5.8503396226412541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90929</v>
      </c>
      <c r="C20" s="636">
        <f t="shared" si="0"/>
        <v>133.39999999999998</v>
      </c>
      <c r="D20" s="770">
        <v>14374</v>
      </c>
      <c r="E20" s="636">
        <f t="shared" si="1"/>
        <v>162.39999999999998</v>
      </c>
      <c r="F20" s="766">
        <v>70950</v>
      </c>
      <c r="G20" s="636">
        <f t="shared" si="2"/>
        <v>142.1</v>
      </c>
      <c r="H20" s="636">
        <f t="shared" si="3"/>
        <v>437.9</v>
      </c>
      <c r="I20" s="766"/>
      <c r="J20" s="636"/>
      <c r="K20" s="808"/>
      <c r="L20" s="636"/>
      <c r="M20" s="636"/>
      <c r="N20" s="109"/>
      <c r="O20" s="535">
        <f t="shared" si="4"/>
        <v>0</v>
      </c>
      <c r="P20" s="109"/>
      <c r="Q20" s="436">
        <f t="shared" si="5"/>
        <v>253.98199999999997</v>
      </c>
      <c r="R20" s="109"/>
      <c r="S20" s="436">
        <f t="shared" si="6"/>
        <v>0</v>
      </c>
      <c r="T20" s="706">
        <f>Elect!BT19</f>
        <v>238</v>
      </c>
      <c r="U20" s="604">
        <f t="shared" si="7"/>
        <v>1.8399159663865545</v>
      </c>
      <c r="V20" s="706">
        <f>Elect!BV19</f>
        <v>0</v>
      </c>
      <c r="W20" s="604" t="e">
        <f t="shared" si="8"/>
        <v>#DIV/0!</v>
      </c>
      <c r="X20" s="429">
        <f>H20*V1</f>
        <v>1751.6</v>
      </c>
      <c r="Y20" s="604">
        <f t="shared" si="9"/>
        <v>7.3596638655462181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90951</v>
      </c>
      <c r="C21" s="636">
        <f t="shared" si="0"/>
        <v>127.6</v>
      </c>
      <c r="D21" s="770">
        <v>14399</v>
      </c>
      <c r="E21" s="636">
        <f t="shared" si="1"/>
        <v>145</v>
      </c>
      <c r="F21" s="766">
        <v>71150</v>
      </c>
      <c r="G21" s="636">
        <f t="shared" si="2"/>
        <v>115.99999999999999</v>
      </c>
      <c r="H21" s="636">
        <f t="shared" si="3"/>
        <v>388.6</v>
      </c>
      <c r="I21" s="766"/>
      <c r="J21" s="636"/>
      <c r="K21" s="808"/>
      <c r="L21" s="636"/>
      <c r="M21" s="636"/>
      <c r="N21" s="109"/>
      <c r="O21" s="535">
        <f t="shared" si="4"/>
        <v>0</v>
      </c>
      <c r="P21" s="109"/>
      <c r="Q21" s="436">
        <f t="shared" si="5"/>
        <v>225.38800000000001</v>
      </c>
      <c r="R21" s="109"/>
      <c r="S21" s="436">
        <f t="shared" si="6"/>
        <v>0</v>
      </c>
      <c r="T21" s="706">
        <f>Elect!BT20</f>
        <v>229</v>
      </c>
      <c r="U21" s="604">
        <f t="shared" si="7"/>
        <v>1.6969432314410482</v>
      </c>
      <c r="V21" s="706">
        <f>Elect!BV20</f>
        <v>0</v>
      </c>
      <c r="W21" s="604" t="e">
        <f t="shared" si="8"/>
        <v>#DIV/0!</v>
      </c>
      <c r="X21" s="429">
        <f>H21*V1</f>
        <v>1554.4</v>
      </c>
      <c r="Y21" s="604">
        <f t="shared" si="9"/>
        <v>6.7877729257641928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90966</v>
      </c>
      <c r="C22" s="636">
        <f>IF(B22&gt;=B21,B22-B21,0)*10*0.58</f>
        <v>87</v>
      </c>
      <c r="D22" s="770">
        <v>14417</v>
      </c>
      <c r="E22" s="636">
        <f t="shared" si="1"/>
        <v>104.39999999999999</v>
      </c>
      <c r="F22" s="766">
        <v>71347</v>
      </c>
      <c r="G22" s="636">
        <f t="shared" si="2"/>
        <v>114.25999999999999</v>
      </c>
      <c r="H22" s="636">
        <f t="shared" si="3"/>
        <v>305.65999999999997</v>
      </c>
      <c r="I22" s="766"/>
      <c r="J22" s="636"/>
      <c r="K22" s="808"/>
      <c r="L22" s="636"/>
      <c r="M22" s="636"/>
      <c r="N22" s="109"/>
      <c r="O22" s="535">
        <f t="shared" si="4"/>
        <v>0</v>
      </c>
      <c r="P22" s="109"/>
      <c r="Q22" s="436">
        <f t="shared" si="5"/>
        <v>177.28279999999998</v>
      </c>
      <c r="R22" s="109"/>
      <c r="S22" s="436">
        <f t="shared" si="6"/>
        <v>0</v>
      </c>
      <c r="T22" s="706">
        <f>Elect!BT21</f>
        <v>213</v>
      </c>
      <c r="U22" s="604">
        <f t="shared" si="7"/>
        <v>1.4350234741784036</v>
      </c>
      <c r="V22" s="706">
        <f>Elect!BV21</f>
        <v>0</v>
      </c>
      <c r="W22" s="604" t="e">
        <f t="shared" si="8"/>
        <v>#DIV/0!</v>
      </c>
      <c r="X22" s="429">
        <f>H22*V1</f>
        <v>1222.6399999999999</v>
      </c>
      <c r="Y22" s="604">
        <f t="shared" si="9"/>
        <v>5.7400938967136144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90983</v>
      </c>
      <c r="C23" s="636">
        <f>IF(B23&gt;=B22,B23-B22,0)*10*0.58</f>
        <v>98.6</v>
      </c>
      <c r="D23" s="770">
        <v>14436</v>
      </c>
      <c r="E23" s="636">
        <f t="shared" si="1"/>
        <v>110.19999999999999</v>
      </c>
      <c r="F23" s="766">
        <v>71548</v>
      </c>
      <c r="G23" s="636">
        <f t="shared" si="2"/>
        <v>116.58</v>
      </c>
      <c r="H23" s="636">
        <f t="shared" si="3"/>
        <v>325.38</v>
      </c>
      <c r="I23" s="766"/>
      <c r="J23" s="636"/>
      <c r="K23" s="808"/>
      <c r="L23" s="636"/>
      <c r="M23" s="636"/>
      <c r="N23" s="109"/>
      <c r="O23" s="535">
        <f t="shared" si="4"/>
        <v>0</v>
      </c>
      <c r="P23" s="109"/>
      <c r="Q23" s="436">
        <f t="shared" si="5"/>
        <v>188.72039999999998</v>
      </c>
      <c r="R23" s="109"/>
      <c r="S23" s="436">
        <f t="shared" si="6"/>
        <v>0</v>
      </c>
      <c r="T23" s="706">
        <f>Elect!BT22</f>
        <v>198</v>
      </c>
      <c r="U23" s="604">
        <f t="shared" si="7"/>
        <v>1.6433333333333333</v>
      </c>
      <c r="V23" s="706">
        <f>Elect!BV22</f>
        <v>0</v>
      </c>
      <c r="W23" s="604" t="e">
        <f t="shared" si="8"/>
        <v>#DIV/0!</v>
      </c>
      <c r="X23" s="429">
        <f>H23*V1</f>
        <v>1301.52</v>
      </c>
      <c r="Y23" s="604">
        <f t="shared" si="9"/>
        <v>6.5733333333333333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91002</v>
      </c>
      <c r="C24" s="636">
        <f>IF(B24&gt;=B23,B24-B23,0)*10*0.58</f>
        <v>110.19999999999999</v>
      </c>
      <c r="D24" s="770">
        <v>14457</v>
      </c>
      <c r="E24" s="636">
        <f t="shared" si="1"/>
        <v>121.8</v>
      </c>
      <c r="F24" s="766">
        <v>71780</v>
      </c>
      <c r="G24" s="636">
        <f t="shared" si="2"/>
        <v>134.56</v>
      </c>
      <c r="H24" s="636">
        <f t="shared" si="3"/>
        <v>366.56</v>
      </c>
      <c r="I24" s="766"/>
      <c r="J24" s="636"/>
      <c r="K24" s="808"/>
      <c r="L24" s="636"/>
      <c r="M24" s="636"/>
      <c r="N24" s="109"/>
      <c r="O24" s="535">
        <f t="shared" si="4"/>
        <v>0</v>
      </c>
      <c r="P24" s="109"/>
      <c r="Q24" s="436">
        <f t="shared" si="5"/>
        <v>212.60479999999998</v>
      </c>
      <c r="R24" s="109"/>
      <c r="S24" s="436">
        <f t="shared" si="6"/>
        <v>0</v>
      </c>
      <c r="T24" s="706">
        <f>Elect!BT23</f>
        <v>170</v>
      </c>
      <c r="U24" s="604">
        <f t="shared" si="7"/>
        <v>2.1562352941176472</v>
      </c>
      <c r="V24" s="706">
        <f>Elect!BV23</f>
        <v>0</v>
      </c>
      <c r="W24" s="604" t="e">
        <f t="shared" si="8"/>
        <v>#DIV/0!</v>
      </c>
      <c r="X24" s="429">
        <f>H24*V1</f>
        <v>1466.24</v>
      </c>
      <c r="Y24" s="604">
        <f t="shared" si="9"/>
        <v>8.624941176470589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91016</v>
      </c>
      <c r="C25" s="636">
        <f>IF(B25&gt;=B24,B25-B24,0)*10*0.58</f>
        <v>81.199999999999989</v>
      </c>
      <c r="D25" s="770">
        <v>14473</v>
      </c>
      <c r="E25" s="636">
        <f t="shared" si="1"/>
        <v>92.8</v>
      </c>
      <c r="F25" s="766">
        <v>71957</v>
      </c>
      <c r="G25" s="636">
        <f t="shared" si="2"/>
        <v>102.66</v>
      </c>
      <c r="H25" s="636">
        <f t="shared" si="3"/>
        <v>276.65999999999997</v>
      </c>
      <c r="I25" s="766"/>
      <c r="J25" s="636"/>
      <c r="K25" s="808"/>
      <c r="L25" s="636"/>
      <c r="M25" s="636"/>
      <c r="N25" s="109"/>
      <c r="O25" s="535">
        <f t="shared" si="4"/>
        <v>0</v>
      </c>
      <c r="P25" s="109"/>
      <c r="Q25" s="436">
        <f t="shared" si="5"/>
        <v>160.46279999999996</v>
      </c>
      <c r="R25" s="109"/>
      <c r="S25" s="436">
        <f t="shared" si="6"/>
        <v>0</v>
      </c>
      <c r="T25" s="706">
        <f>Elect!BT24</f>
        <v>206</v>
      </c>
      <c r="U25" s="604">
        <f t="shared" si="7"/>
        <v>1.3430097087378638</v>
      </c>
      <c r="V25" s="706">
        <f>Elect!BV24</f>
        <v>0</v>
      </c>
      <c r="W25" s="604" t="e">
        <f t="shared" si="8"/>
        <v>#DIV/0!</v>
      </c>
      <c r="X25" s="429">
        <f>H25*V1</f>
        <v>1106.6399999999999</v>
      </c>
      <c r="Y25" s="604">
        <f t="shared" si="9"/>
        <v>5.3720388349514554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91032</v>
      </c>
      <c r="C26" s="636">
        <f t="shared" si="0"/>
        <v>92.8</v>
      </c>
      <c r="D26" s="770">
        <v>14491</v>
      </c>
      <c r="E26" s="636">
        <f t="shared" si="1"/>
        <v>104.39999999999999</v>
      </c>
      <c r="F26" s="766">
        <v>72155</v>
      </c>
      <c r="G26" s="636">
        <f t="shared" si="2"/>
        <v>114.83999999999999</v>
      </c>
      <c r="H26" s="636">
        <f t="shared" si="3"/>
        <v>312.03999999999996</v>
      </c>
      <c r="I26" s="766"/>
      <c r="J26" s="636"/>
      <c r="K26" s="808"/>
      <c r="L26" s="636"/>
      <c r="M26" s="636"/>
      <c r="N26" s="109"/>
      <c r="O26" s="535">
        <f t="shared" si="4"/>
        <v>0</v>
      </c>
      <c r="P26" s="109"/>
      <c r="Q26" s="436">
        <f t="shared" si="5"/>
        <v>180.98319999999995</v>
      </c>
      <c r="R26" s="109"/>
      <c r="S26" s="436">
        <f t="shared" si="6"/>
        <v>0</v>
      </c>
      <c r="T26" s="706">
        <f>Elect!BT25</f>
        <v>228</v>
      </c>
      <c r="U26" s="604">
        <f t="shared" si="7"/>
        <v>1.3685964912280699</v>
      </c>
      <c r="V26" s="706">
        <f>Elect!BV25</f>
        <v>0</v>
      </c>
      <c r="W26" s="604" t="e">
        <f t="shared" si="8"/>
        <v>#DIV/0!</v>
      </c>
      <c r="X26" s="429">
        <f>H26*V1</f>
        <v>1248.1599999999999</v>
      </c>
      <c r="Y26" s="604">
        <f t="shared" si="9"/>
        <v>5.4743859649122797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7">
        <v>91050</v>
      </c>
      <c r="C27" s="636">
        <f t="shared" si="0"/>
        <v>104.39999999999999</v>
      </c>
      <c r="D27" s="770">
        <v>14510</v>
      </c>
      <c r="E27" s="636">
        <f t="shared" si="1"/>
        <v>110.19999999999999</v>
      </c>
      <c r="F27" s="766">
        <v>72376</v>
      </c>
      <c r="G27" s="636">
        <f t="shared" si="2"/>
        <v>128.17999999999998</v>
      </c>
      <c r="H27" s="636">
        <f t="shared" si="3"/>
        <v>342.78</v>
      </c>
      <c r="I27" s="766"/>
      <c r="J27" s="636"/>
      <c r="K27" s="808"/>
      <c r="L27" s="636"/>
      <c r="M27" s="636"/>
      <c r="N27" s="109"/>
      <c r="O27" s="535">
        <f t="shared" si="4"/>
        <v>0</v>
      </c>
      <c r="P27" s="109"/>
      <c r="Q27" s="436">
        <f t="shared" si="5"/>
        <v>198.81239999999997</v>
      </c>
      <c r="R27" s="109"/>
      <c r="S27" s="436">
        <f t="shared" si="6"/>
        <v>0</v>
      </c>
      <c r="T27" s="706">
        <f>Elect!BT26</f>
        <v>248</v>
      </c>
      <c r="U27" s="604">
        <f t="shared" si="7"/>
        <v>1.3821774193548386</v>
      </c>
      <c r="V27" s="706">
        <f>Elect!BV26</f>
        <v>0</v>
      </c>
      <c r="W27" s="604" t="e">
        <f t="shared" si="8"/>
        <v>#DIV/0!</v>
      </c>
      <c r="X27" s="429">
        <f>H27*V1</f>
        <v>1371.12</v>
      </c>
      <c r="Y27" s="604">
        <f t="shared" si="9"/>
        <v>5.5287096774193545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91064</v>
      </c>
      <c r="C28" s="636">
        <f>IF(B28&gt;=B27,B28-B27,0)*10*0.58</f>
        <v>81.199999999999989</v>
      </c>
      <c r="D28" s="770">
        <v>14527</v>
      </c>
      <c r="E28" s="636">
        <f t="shared" si="1"/>
        <v>98.6</v>
      </c>
      <c r="F28" s="766">
        <v>72577</v>
      </c>
      <c r="G28" s="636">
        <f t="shared" si="2"/>
        <v>116.58</v>
      </c>
      <c r="H28" s="636">
        <f t="shared" si="3"/>
        <v>296.38</v>
      </c>
      <c r="I28" s="766"/>
      <c r="J28" s="636"/>
      <c r="K28" s="808"/>
      <c r="L28" s="636"/>
      <c r="M28" s="636"/>
      <c r="N28" s="109"/>
      <c r="O28" s="535">
        <f t="shared" si="4"/>
        <v>0</v>
      </c>
      <c r="P28" s="109"/>
      <c r="Q28" s="436">
        <f t="shared" si="5"/>
        <v>171.90039999999999</v>
      </c>
      <c r="R28" s="109"/>
      <c r="S28" s="436">
        <f t="shared" si="6"/>
        <v>0</v>
      </c>
      <c r="T28" s="706">
        <f>Elect!BT27</f>
        <v>225</v>
      </c>
      <c r="U28" s="604">
        <f t="shared" si="7"/>
        <v>1.3172444444444444</v>
      </c>
      <c r="V28" s="706">
        <f>Elect!BV27</f>
        <v>0</v>
      </c>
      <c r="W28" s="604" t="e">
        <f t="shared" si="8"/>
        <v>#DIV/0!</v>
      </c>
      <c r="X28" s="429">
        <f>H28*V1</f>
        <v>1185.52</v>
      </c>
      <c r="Y28" s="604">
        <f t="shared" si="9"/>
        <v>5.2689777777777778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91081</v>
      </c>
      <c r="C29" s="636">
        <f>IF(B29&gt;=B28,B29-B28,0)*10*0.58</f>
        <v>98.6</v>
      </c>
      <c r="D29" s="770">
        <v>14545</v>
      </c>
      <c r="E29" s="636">
        <f t="shared" si="1"/>
        <v>104.39999999999999</v>
      </c>
      <c r="F29" s="766">
        <v>72772</v>
      </c>
      <c r="G29" s="636">
        <f t="shared" si="2"/>
        <v>113.1</v>
      </c>
      <c r="H29" s="636">
        <f t="shared" si="3"/>
        <v>316.10000000000002</v>
      </c>
      <c r="I29" s="766"/>
      <c r="J29" s="636"/>
      <c r="K29" s="808"/>
      <c r="L29" s="636"/>
      <c r="M29" s="636"/>
      <c r="N29" s="109"/>
      <c r="O29" s="535">
        <f t="shared" si="4"/>
        <v>0</v>
      </c>
      <c r="P29" s="109"/>
      <c r="Q29" s="436">
        <f t="shared" si="5"/>
        <v>183.33799999999999</v>
      </c>
      <c r="R29" s="458"/>
      <c r="S29" s="436">
        <f t="shared" si="6"/>
        <v>0</v>
      </c>
      <c r="T29" s="706">
        <f>Elect!BT28</f>
        <v>201</v>
      </c>
      <c r="U29" s="604">
        <f t="shared" si="7"/>
        <v>1.5726368159203981</v>
      </c>
      <c r="V29" s="706">
        <f>Elect!BV28</f>
        <v>0</v>
      </c>
      <c r="W29" s="604" t="e">
        <f t="shared" si="8"/>
        <v>#DIV/0!</v>
      </c>
      <c r="X29" s="429">
        <f>H29*V1</f>
        <v>1264.4000000000001</v>
      </c>
      <c r="Y29" s="604">
        <f t="shared" si="9"/>
        <v>6.2905472636815922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91098</v>
      </c>
      <c r="C30" s="636">
        <f t="shared" si="0"/>
        <v>98.6</v>
      </c>
      <c r="D30" s="770">
        <v>14565</v>
      </c>
      <c r="E30" s="636">
        <f t="shared" si="1"/>
        <v>115.99999999999999</v>
      </c>
      <c r="F30" s="766">
        <v>72981</v>
      </c>
      <c r="G30" s="636">
        <f t="shared" si="2"/>
        <v>121.21999999999998</v>
      </c>
      <c r="H30" s="636">
        <f t="shared" si="3"/>
        <v>335.81999999999994</v>
      </c>
      <c r="I30" s="766"/>
      <c r="J30" s="636"/>
      <c r="K30" s="808"/>
      <c r="L30" s="636"/>
      <c r="M30" s="636"/>
      <c r="N30" s="109"/>
      <c r="O30" s="535">
        <f t="shared" si="4"/>
        <v>0</v>
      </c>
      <c r="P30" s="109"/>
      <c r="Q30" s="436">
        <f t="shared" si="5"/>
        <v>194.77559999999994</v>
      </c>
      <c r="R30" s="458"/>
      <c r="S30" s="436">
        <f t="shared" si="6"/>
        <v>0</v>
      </c>
      <c r="T30" s="706">
        <f>Elect!BT29</f>
        <v>196</v>
      </c>
      <c r="U30" s="604">
        <f t="shared" si="7"/>
        <v>1.7133673469387751</v>
      </c>
      <c r="V30" s="706">
        <f>Elect!BV29</f>
        <v>0</v>
      </c>
      <c r="W30" s="604" t="e">
        <f t="shared" si="8"/>
        <v>#DIV/0!</v>
      </c>
      <c r="X30" s="429">
        <f>H30*V1</f>
        <v>1343.2799999999997</v>
      </c>
      <c r="Y30" s="604">
        <f t="shared" si="9"/>
        <v>6.8534693877551005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91113</v>
      </c>
      <c r="C31" s="636">
        <f t="shared" si="0"/>
        <v>87</v>
      </c>
      <c r="D31" s="770">
        <v>14587</v>
      </c>
      <c r="E31" s="636">
        <f t="shared" si="1"/>
        <v>127.6</v>
      </c>
      <c r="F31" s="766">
        <v>73191</v>
      </c>
      <c r="G31" s="636">
        <f t="shared" si="2"/>
        <v>121.8</v>
      </c>
      <c r="H31" s="636">
        <f t="shared" si="3"/>
        <v>336.4</v>
      </c>
      <c r="I31" s="766"/>
      <c r="J31" s="636"/>
      <c r="K31" s="808"/>
      <c r="L31" s="636"/>
      <c r="M31" s="636"/>
      <c r="N31" s="109"/>
      <c r="O31" s="535">
        <f t="shared" si="4"/>
        <v>0</v>
      </c>
      <c r="P31" s="109"/>
      <c r="Q31" s="436">
        <f t="shared" si="5"/>
        <v>195.11199999999997</v>
      </c>
      <c r="R31" s="458"/>
      <c r="S31" s="436">
        <f t="shared" si="6"/>
        <v>0</v>
      </c>
      <c r="T31" s="706">
        <f>Elect!BT30</f>
        <v>143</v>
      </c>
      <c r="U31" s="604">
        <f t="shared" si="7"/>
        <v>2.3524475524475523</v>
      </c>
      <c r="V31" s="706">
        <f>Elect!BV30</f>
        <v>0</v>
      </c>
      <c r="W31" s="604" t="e">
        <f t="shared" si="8"/>
        <v>#DIV/0!</v>
      </c>
      <c r="X31" s="429">
        <f>H31*V1</f>
        <v>1345.6</v>
      </c>
      <c r="Y31" s="604">
        <f t="shared" si="9"/>
        <v>9.4097902097902093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91135</v>
      </c>
      <c r="C32" s="636">
        <f>IF(B32&gt;=B31,B32-B31,0)*10*0.58</f>
        <v>127.6</v>
      </c>
      <c r="D32" s="770">
        <v>14601</v>
      </c>
      <c r="E32" s="636">
        <f t="shared" si="1"/>
        <v>81.199999999999989</v>
      </c>
      <c r="F32" s="766">
        <v>73408</v>
      </c>
      <c r="G32" s="636">
        <f t="shared" ref="G32:G35" si="12">IF(F32&gt;=F31,F32-F31,0)*0.58</f>
        <v>125.85999999999999</v>
      </c>
      <c r="H32" s="636">
        <f t="shared" si="3"/>
        <v>334.65999999999997</v>
      </c>
      <c r="I32" s="766"/>
      <c r="J32" s="636"/>
      <c r="K32" s="808"/>
      <c r="L32" s="636"/>
      <c r="M32" s="636"/>
      <c r="N32" s="109"/>
      <c r="O32" s="535">
        <f t="shared" si="4"/>
        <v>0</v>
      </c>
      <c r="P32" s="109"/>
      <c r="Q32" s="436">
        <f t="shared" si="5"/>
        <v>194.10279999999997</v>
      </c>
      <c r="R32" s="458"/>
      <c r="S32" s="436">
        <f t="shared" si="6"/>
        <v>0</v>
      </c>
      <c r="T32" s="706">
        <f>Elect!BT31</f>
        <v>163</v>
      </c>
      <c r="U32" s="604">
        <f t="shared" si="7"/>
        <v>2.053128834355828</v>
      </c>
      <c r="V32" s="706">
        <f>Elect!BV31</f>
        <v>0</v>
      </c>
      <c r="W32" s="604" t="e">
        <f t="shared" si="8"/>
        <v>#DIV/0!</v>
      </c>
      <c r="X32" s="429">
        <f>H32*V1</f>
        <v>1338.6399999999999</v>
      </c>
      <c r="Y32" s="604">
        <f t="shared" si="9"/>
        <v>8.2125153374233122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91145</v>
      </c>
      <c r="C33" s="636">
        <f t="shared" si="0"/>
        <v>57.999999999999993</v>
      </c>
      <c r="D33" s="770">
        <v>14619</v>
      </c>
      <c r="E33" s="636">
        <f t="shared" si="1"/>
        <v>104.39999999999999</v>
      </c>
      <c r="F33" s="766">
        <v>73623</v>
      </c>
      <c r="G33" s="636">
        <f t="shared" si="12"/>
        <v>124.69999999999999</v>
      </c>
      <c r="H33" s="636">
        <f t="shared" si="3"/>
        <v>287.09999999999997</v>
      </c>
      <c r="I33" s="766"/>
      <c r="J33" s="636"/>
      <c r="K33" s="808"/>
      <c r="L33" s="636"/>
      <c r="M33" s="636"/>
      <c r="N33" s="109"/>
      <c r="O33" s="535">
        <f t="shared" si="4"/>
        <v>0</v>
      </c>
      <c r="P33" s="109"/>
      <c r="Q33" s="436">
        <f t="shared" si="5"/>
        <v>166.51799999999997</v>
      </c>
      <c r="R33" s="458"/>
      <c r="S33" s="436">
        <f t="shared" si="6"/>
        <v>0</v>
      </c>
      <c r="T33" s="706">
        <f>Elect!BT32</f>
        <v>207</v>
      </c>
      <c r="U33" s="604">
        <f t="shared" si="7"/>
        <v>1.3869565217391302</v>
      </c>
      <c r="V33" s="706">
        <f>Elect!BV32</f>
        <v>0</v>
      </c>
      <c r="W33" s="604" t="e">
        <f t="shared" si="8"/>
        <v>#DIV/0!</v>
      </c>
      <c r="X33" s="429">
        <f>H33*V1</f>
        <v>1148.3999999999999</v>
      </c>
      <c r="Y33" s="604">
        <f t="shared" si="9"/>
        <v>5.5478260869565208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91162</v>
      </c>
      <c r="C34" s="636">
        <f t="shared" si="0"/>
        <v>98.6</v>
      </c>
      <c r="D34" s="770">
        <v>14638</v>
      </c>
      <c r="E34" s="636">
        <f t="shared" si="1"/>
        <v>110.19999999999999</v>
      </c>
      <c r="F34" s="766">
        <v>73851</v>
      </c>
      <c r="G34" s="636">
        <f t="shared" si="12"/>
        <v>132.23999999999998</v>
      </c>
      <c r="H34" s="636">
        <f t="shared" si="3"/>
        <v>341.03999999999996</v>
      </c>
      <c r="I34" s="766"/>
      <c r="J34" s="636"/>
      <c r="K34" s="808"/>
      <c r="L34" s="636"/>
      <c r="M34" s="636"/>
      <c r="N34" s="109"/>
      <c r="O34" s="535">
        <f t="shared" si="4"/>
        <v>0</v>
      </c>
      <c r="P34" s="109"/>
      <c r="Q34" s="436">
        <f t="shared" si="5"/>
        <v>197.80319999999998</v>
      </c>
      <c r="R34" s="458"/>
      <c r="S34" s="436">
        <f t="shared" si="6"/>
        <v>0</v>
      </c>
      <c r="T34" s="706">
        <f>Elect!BT33</f>
        <v>225</v>
      </c>
      <c r="U34" s="604">
        <f t="shared" si="7"/>
        <v>1.5157333333333332</v>
      </c>
      <c r="V34" s="706">
        <f>Elect!BV33</f>
        <v>0</v>
      </c>
      <c r="W34" s="604" t="e">
        <f t="shared" si="8"/>
        <v>#DIV/0!</v>
      </c>
      <c r="X34" s="429">
        <f>H34*V1</f>
        <v>1364.1599999999999</v>
      </c>
      <c r="Y34" s="604">
        <f t="shared" si="9"/>
        <v>6.0629333333333326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91177</v>
      </c>
      <c r="C35" s="636">
        <f t="shared" si="0"/>
        <v>87</v>
      </c>
      <c r="D35" s="770">
        <v>14655</v>
      </c>
      <c r="E35" s="636">
        <f t="shared" si="1"/>
        <v>98.6</v>
      </c>
      <c r="F35" s="766">
        <v>74035</v>
      </c>
      <c r="G35" s="636">
        <f t="shared" si="12"/>
        <v>106.72</v>
      </c>
      <c r="H35" s="636">
        <f t="shared" si="3"/>
        <v>292.32</v>
      </c>
      <c r="I35" s="766"/>
      <c r="J35" s="636"/>
      <c r="K35" s="808"/>
      <c r="L35" s="636"/>
      <c r="M35" s="636"/>
      <c r="N35" s="109"/>
      <c r="O35" s="535">
        <f t="shared" si="4"/>
        <v>0</v>
      </c>
      <c r="P35" s="526"/>
      <c r="Q35" s="436">
        <f t="shared" si="5"/>
        <v>169.54559999999998</v>
      </c>
      <c r="R35" s="458"/>
      <c r="S35" s="436">
        <f t="shared" si="6"/>
        <v>0</v>
      </c>
      <c r="T35" s="706">
        <f>Elect!BT34</f>
        <v>241</v>
      </c>
      <c r="U35" s="604">
        <f t="shared" si="7"/>
        <v>1.2129460580912863</v>
      </c>
      <c r="V35" s="706">
        <f>Elect!BV34</f>
        <v>0</v>
      </c>
      <c r="W35" s="604" t="e">
        <f t="shared" si="8"/>
        <v>#DIV/0!</v>
      </c>
      <c r="X35" s="429">
        <f>H35*V1</f>
        <v>1169.28</v>
      </c>
      <c r="Y35" s="604">
        <f t="shared" si="9"/>
        <v>4.8517842323651452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7">
        <v>91198</v>
      </c>
      <c r="C36" s="636">
        <f t="shared" si="0"/>
        <v>121.8</v>
      </c>
      <c r="D36" s="770">
        <v>14680</v>
      </c>
      <c r="E36" s="636">
        <f t="shared" si="1"/>
        <v>145</v>
      </c>
      <c r="F36" s="766">
        <v>74220</v>
      </c>
      <c r="G36" s="636">
        <f>IF(F36&gt;=F35,F36-F35,0)*0.58</f>
        <v>107.3</v>
      </c>
      <c r="H36" s="636">
        <f t="shared" si="3"/>
        <v>374.1</v>
      </c>
      <c r="I36" s="766">
        <v>331</v>
      </c>
      <c r="J36" s="636"/>
      <c r="K36" s="766">
        <v>5727</v>
      </c>
      <c r="L36" s="636"/>
      <c r="M36" s="636"/>
      <c r="N36" s="109"/>
      <c r="O36" s="535">
        <f t="shared" si="4"/>
        <v>0</v>
      </c>
      <c r="P36" s="526"/>
      <c r="Q36" s="436">
        <f t="shared" si="5"/>
        <v>216.97800000000001</v>
      </c>
      <c r="R36" s="458"/>
      <c r="S36" s="436">
        <f t="shared" si="6"/>
        <v>0</v>
      </c>
      <c r="T36" s="706">
        <f>Elect!BT35</f>
        <v>250</v>
      </c>
      <c r="U36" s="604">
        <f t="shared" si="7"/>
        <v>1.4964000000000002</v>
      </c>
      <c r="V36" s="706">
        <f>Elect!BV35</f>
        <v>0</v>
      </c>
      <c r="W36" s="604" t="e">
        <f t="shared" si="8"/>
        <v>#DIV/0!</v>
      </c>
      <c r="X36" s="429">
        <f>H36*V1</f>
        <v>1496.4</v>
      </c>
      <c r="Y36" s="604">
        <f t="shared" si="9"/>
        <v>5.9856000000000007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7">
        <v>91217</v>
      </c>
      <c r="C37" s="636">
        <f t="shared" si="0"/>
        <v>110.19999999999999</v>
      </c>
      <c r="D37" s="770">
        <v>14703</v>
      </c>
      <c r="E37" s="636">
        <f t="shared" si="1"/>
        <v>133.39999999999998</v>
      </c>
      <c r="F37" s="766">
        <v>74439</v>
      </c>
      <c r="G37" s="636">
        <f>IF(F37&gt;=F36,F37-F36,0)*0.58</f>
        <v>127.02</v>
      </c>
      <c r="H37" s="636">
        <f t="shared" si="3"/>
        <v>370.61999999999995</v>
      </c>
      <c r="J37" s="722"/>
      <c r="L37" s="722"/>
      <c r="M37" s="722"/>
      <c r="N37" s="526"/>
      <c r="O37" s="535">
        <f t="shared" si="4"/>
        <v>0</v>
      </c>
      <c r="P37" s="526"/>
      <c r="Q37" s="436">
        <f t="shared" si="5"/>
        <v>214.95959999999997</v>
      </c>
      <c r="R37" s="721"/>
      <c r="S37" s="436">
        <f t="shared" si="6"/>
        <v>0</v>
      </c>
      <c r="T37" s="706">
        <f>Elect!BT36</f>
        <v>250</v>
      </c>
      <c r="U37" s="604">
        <f t="shared" si="7"/>
        <v>1.4824799999999998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83</v>
      </c>
      <c r="B38" s="800"/>
      <c r="C38" s="727">
        <f>SUM(C7:C37)</f>
        <v>3428.2833333331355</v>
      </c>
      <c r="D38" s="538"/>
      <c r="E38" s="727">
        <f>SUM(E7:E37)</f>
        <v>3974.7399999999957</v>
      </c>
      <c r="F38" s="766"/>
      <c r="G38" s="727">
        <f>SUM(G7:G37)</f>
        <v>3562.6016666666856</v>
      </c>
      <c r="H38" s="727">
        <f>SUM(H7:H37)</f>
        <v>10965.624999999818</v>
      </c>
      <c r="I38" s="727"/>
      <c r="J38" s="542"/>
      <c r="K38" s="727"/>
      <c r="L38" s="542"/>
      <c r="M38" s="542"/>
      <c r="N38" s="538"/>
      <c r="O38" s="542">
        <f>SUM(O7:O36)</f>
        <v>0</v>
      </c>
      <c r="P38" s="538"/>
      <c r="Q38" s="542">
        <f>SUM(Q7:Q34)</f>
        <v>5758.579299999893</v>
      </c>
      <c r="R38" s="538"/>
      <c r="S38" s="542">
        <f>SUM(S7:S34)</f>
        <v>0</v>
      </c>
      <c r="T38" s="543">
        <f>SUM(T7:T36)</f>
        <v>6336</v>
      </c>
      <c r="U38" s="605">
        <f>IF(H38&gt;0,H38/T38,0)</f>
        <v>1.7306857638888602</v>
      </c>
      <c r="V38" s="659">
        <f>SUM(V7:V36)</f>
        <v>0</v>
      </c>
      <c r="W38" s="605" t="e">
        <f>IF(H38&gt;0,H38/V38,0)</f>
        <v>#DIV/0!</v>
      </c>
      <c r="X38" s="608">
        <f>SUM(X7:X36)</f>
        <v>42380.019999999269</v>
      </c>
      <c r="Y38" s="605">
        <f t="shared" ref="Y38:Y44" si="13">IF(X38&gt;0,X38/T38,0)</f>
        <v>6.6887657828281677</v>
      </c>
      <c r="Z38" s="609" t="e">
        <f t="shared" ref="Z38:Z44" si="14">IF(X38&gt;0,X38/V38,0)</f>
        <v>#DIV/0!</v>
      </c>
    </row>
    <row r="39" spans="1:26" s="3" customFormat="1" ht="36.75" customHeight="1">
      <c r="A39" s="545" t="s">
        <v>84</v>
      </c>
      <c r="B39" s="800"/>
      <c r="C39" s="547">
        <f>C38/B48</f>
        <v>114.27611111110451</v>
      </c>
      <c r="D39" s="539"/>
      <c r="E39" s="547">
        <f>E38/B48</f>
        <v>132.49133333333319</v>
      </c>
      <c r="F39" s="766"/>
      <c r="G39" s="547">
        <f>G38/B48</f>
        <v>118.75338888888952</v>
      </c>
      <c r="H39" s="547">
        <f>H38/B48</f>
        <v>365.52083333332729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191.95264333332977</v>
      </c>
      <c r="R39" s="539"/>
      <c r="S39" s="547" t="e">
        <f>S38/C48</f>
        <v>#DIV/0!</v>
      </c>
      <c r="T39" s="548">
        <f>T38/B48</f>
        <v>211.2</v>
      </c>
      <c r="U39" s="606">
        <f>IF(H39&gt;0,H39/T39,0)</f>
        <v>1.7306857638888604</v>
      </c>
      <c r="V39" s="619">
        <f>V38/B48</f>
        <v>0</v>
      </c>
      <c r="W39" s="605" t="e">
        <f>IF(H39&gt;0,H39/V39,0)</f>
        <v>#DIV/0!</v>
      </c>
      <c r="X39" s="610">
        <f>X38/B48</f>
        <v>1412.667333333309</v>
      </c>
      <c r="Y39" s="606">
        <f t="shared" si="13"/>
        <v>6.6887657828281677</v>
      </c>
      <c r="Z39" s="611" t="e">
        <f t="shared" si="14"/>
        <v>#DIV/0!</v>
      </c>
    </row>
    <row r="40" spans="1:26" s="3" customFormat="1" ht="36.75" customHeight="1">
      <c r="A40" s="597" t="s">
        <v>85</v>
      </c>
      <c r="B40" s="801"/>
      <c r="C40" s="612"/>
      <c r="D40" s="612"/>
      <c r="E40" s="613"/>
      <c r="F40" s="766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3"/>
        <v>0</v>
      </c>
      <c r="Z40" s="609">
        <f t="shared" si="14"/>
        <v>0</v>
      </c>
    </row>
    <row r="41" spans="1:26" s="3" customFormat="1" ht="36.75" customHeight="1">
      <c r="A41" s="598" t="s">
        <v>86</v>
      </c>
      <c r="B41" s="802"/>
      <c r="C41" s="618"/>
      <c r="D41" s="618"/>
      <c r="E41" s="539"/>
      <c r="F41" s="766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3"/>
        <v>#REF!</v>
      </c>
      <c r="Z41" s="611" t="e">
        <f t="shared" si="14"/>
        <v>#REF!</v>
      </c>
    </row>
    <row r="42" spans="1:26" s="628" customFormat="1" ht="42.75" customHeight="1">
      <c r="A42" s="599" t="s">
        <v>87</v>
      </c>
      <c r="B42" s="621"/>
      <c r="C42" s="621"/>
      <c r="D42" s="622"/>
      <c r="E42" s="621"/>
      <c r="F42" s="766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88</v>
      </c>
      <c r="B43" s="629"/>
      <c r="C43" s="629"/>
      <c r="D43" s="629"/>
      <c r="E43" s="629"/>
      <c r="F43" s="766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3"/>
        <v>0</v>
      </c>
      <c r="Z43" s="633">
        <f t="shared" si="14"/>
        <v>0</v>
      </c>
    </row>
    <row r="44" spans="1:26" ht="36" customHeight="1">
      <c r="A44" s="601" t="s">
        <v>89</v>
      </c>
      <c r="B44" s="634"/>
      <c r="C44" s="635"/>
      <c r="D44" s="634"/>
      <c r="E44" s="634"/>
      <c r="F44" s="766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3"/>
        <v>#VALUE!</v>
      </c>
      <c r="Z44" s="554" t="e">
        <f t="shared" si="14"/>
        <v>#VALUE!</v>
      </c>
    </row>
    <row r="45" spans="1:26" ht="36" customHeight="1">
      <c r="A45" s="602" t="s">
        <v>90</v>
      </c>
      <c r="B45" s="638"/>
      <c r="C45" s="639"/>
      <c r="D45" s="638"/>
      <c r="E45" s="638"/>
      <c r="F45" s="766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91</v>
      </c>
      <c r="B46" s="538"/>
      <c r="C46" s="553"/>
      <c r="D46" s="538"/>
      <c r="E46" s="538"/>
      <c r="F46" s="766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>
      <c r="A47" s="545" t="s">
        <v>92</v>
      </c>
      <c r="B47" s="539"/>
      <c r="C47" s="555"/>
      <c r="D47" s="539"/>
      <c r="E47" s="539"/>
      <c r="F47" s="766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93</v>
      </c>
      <c r="B48" s="106">
        <f>COUNTIF(B7:B36,"&gt;0")</f>
        <v>30</v>
      </c>
      <c r="C48" s="106"/>
      <c r="D48" s="651"/>
      <c r="E48" s="651"/>
      <c r="F48" s="766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77" t="s">
        <v>58</v>
      </c>
      <c r="B136" s="877"/>
      <c r="C136" s="877"/>
      <c r="D136" s="877"/>
      <c r="E136" s="877"/>
      <c r="F136" s="877"/>
      <c r="G136" s="877"/>
      <c r="H136" s="877"/>
      <c r="I136" s="877"/>
      <c r="J136" s="877"/>
      <c r="K136" s="877"/>
      <c r="L136" s="877"/>
      <c r="M136" s="877"/>
      <c r="N136" s="877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40" priority="7" stopIfTrue="1" operator="greaterThan">
      <formula>500</formula>
    </cfRule>
  </conditionalFormatting>
  <conditionalFormatting sqref="C6:C37 E6:E37">
    <cfRule type="cellIs" dxfId="39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C38:C39 E38:E39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F7" activePane="bottomRight" state="frozen"/>
      <selection pane="bottomRight" activeCell="I7" sqref="I7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89">
        <f>Elect!A1</f>
        <v>44927</v>
      </c>
      <c r="E1" s="891" t="s">
        <v>49</v>
      </c>
      <c r="H1" s="564" t="s">
        <v>94</v>
      </c>
      <c r="I1" s="667"/>
      <c r="J1" s="565">
        <v>3.9</v>
      </c>
    </row>
    <row r="2" spans="1:13" ht="23.25" customHeight="1">
      <c r="A2" s="889"/>
      <c r="C2" s="27"/>
      <c r="E2" s="891"/>
      <c r="G2" s="27"/>
      <c r="H2" s="27"/>
      <c r="I2" s="27"/>
      <c r="K2" s="529"/>
      <c r="L2" s="528"/>
      <c r="M2" s="385"/>
    </row>
    <row r="3" spans="1:13" ht="21" customHeight="1" thickBot="1">
      <c r="A3" s="890"/>
      <c r="B3" s="27"/>
      <c r="C3" s="27"/>
      <c r="D3" s="27"/>
      <c r="E3" s="892"/>
      <c r="F3" s="27"/>
      <c r="G3" s="27"/>
      <c r="H3" s="27"/>
      <c r="I3" s="27"/>
    </row>
    <row r="4" spans="1:13" ht="53.25" customHeight="1">
      <c r="A4" s="660" t="s">
        <v>95</v>
      </c>
      <c r="B4" s="893" t="s">
        <v>96</v>
      </c>
      <c r="C4" s="894"/>
      <c r="D4" s="893" t="s">
        <v>97</v>
      </c>
      <c r="E4" s="894"/>
      <c r="F4" s="893" t="s">
        <v>98</v>
      </c>
      <c r="G4" s="894"/>
      <c r="H4" s="534" t="s">
        <v>99</v>
      </c>
      <c r="I4" s="534" t="s">
        <v>100</v>
      </c>
      <c r="J4" s="533" t="s">
        <v>101</v>
      </c>
      <c r="K4" s="733" t="s">
        <v>102</v>
      </c>
      <c r="L4" s="23"/>
      <c r="M4" s="23"/>
    </row>
    <row r="5" spans="1:13" ht="26.25" customHeight="1" thickBot="1">
      <c r="A5" s="661"/>
      <c r="B5" s="137" t="s">
        <v>53</v>
      </c>
      <c r="C5" s="138" t="s">
        <v>54</v>
      </c>
      <c r="D5" s="137" t="s">
        <v>53</v>
      </c>
      <c r="E5" s="138" t="s">
        <v>54</v>
      </c>
      <c r="F5" s="137" t="s">
        <v>53</v>
      </c>
      <c r="G5" s="138" t="s">
        <v>54</v>
      </c>
      <c r="H5" s="25" t="s">
        <v>103</v>
      </c>
      <c r="I5" s="25" t="s">
        <v>103</v>
      </c>
      <c r="J5" s="25" t="s">
        <v>103</v>
      </c>
      <c r="K5" s="138" t="s">
        <v>54</v>
      </c>
      <c r="L5" s="23"/>
      <c r="M5" s="23"/>
    </row>
    <row r="6" spans="1:13" s="3" customFormat="1" ht="41.25" customHeight="1">
      <c r="A6" s="662"/>
      <c r="B6" s="763">
        <v>8451913.5833333302</v>
      </c>
      <c r="C6" s="636">
        <f t="shared" ref="C6:C14" si="0">IF(B6&gt;=B5,B6-B5,0)*1.06</f>
        <v>0</v>
      </c>
      <c r="D6" s="770">
        <v>614831.13888888794</v>
      </c>
      <c r="E6" s="636">
        <f>IF(D6&gt;=D5,D6-D5,0)*0.7</f>
        <v>0</v>
      </c>
      <c r="F6" s="770">
        <v>632071.73148148099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>
        <v>8455243</v>
      </c>
      <c r="C7" s="636">
        <f t="shared" si="0"/>
        <v>3529.1816666699574</v>
      </c>
      <c r="D7" s="770">
        <v>615553</v>
      </c>
      <c r="E7" s="636">
        <f t="shared" ref="E7:E35" si="2">IF(D7&gt;=D6,D7-D6,0)*0.7</f>
        <v>505.30277777843872</v>
      </c>
      <c r="F7" s="770">
        <v>632194</v>
      </c>
      <c r="G7" s="636">
        <f t="shared" si="1"/>
        <v>122.26851851900574</v>
      </c>
      <c r="H7" s="636">
        <f>(E7*0.55)*1.61</f>
        <v>447.44560972280755</v>
      </c>
      <c r="I7" s="636">
        <f>C7*J1</f>
        <v>13763.808500012834</v>
      </c>
      <c r="J7" s="636">
        <f>G7*J1</f>
        <v>476.84722222412239</v>
      </c>
      <c r="K7" s="692">
        <f t="shared" ref="K7:K37" si="3">C7+E7</f>
        <v>4034.4844444483961</v>
      </c>
    </row>
    <row r="8" spans="1:13" s="3" customFormat="1" ht="41.25" customHeight="1">
      <c r="A8" s="662">
        <v>2</v>
      </c>
      <c r="B8" s="763">
        <v>8456774</v>
      </c>
      <c r="C8" s="636">
        <f t="shared" si="0"/>
        <v>1622.8600000000001</v>
      </c>
      <c r="D8" s="770">
        <v>616044</v>
      </c>
      <c r="E8" s="636">
        <f t="shared" si="2"/>
        <v>343.7</v>
      </c>
      <c r="F8" s="770">
        <v>632269</v>
      </c>
      <c r="G8" s="636">
        <f t="shared" si="1"/>
        <v>75</v>
      </c>
      <c r="H8" s="636">
        <f t="shared" ref="H8:H37" si="4">(E8*0.55)*1.61</f>
        <v>304.34635000000003</v>
      </c>
      <c r="I8" s="636">
        <f>C8*J1</f>
        <v>6329.1540000000005</v>
      </c>
      <c r="J8" s="636">
        <f>G8*J1</f>
        <v>292.5</v>
      </c>
      <c r="K8" s="692">
        <f t="shared" si="3"/>
        <v>1966.5600000000002</v>
      </c>
    </row>
    <row r="9" spans="1:13" s="3" customFormat="1" ht="41.25" customHeight="1">
      <c r="A9" s="662">
        <v>3</v>
      </c>
      <c r="B9" s="763">
        <v>8458394</v>
      </c>
      <c r="C9" s="636">
        <f t="shared" si="0"/>
        <v>1717.2</v>
      </c>
      <c r="D9" s="770">
        <v>616591</v>
      </c>
      <c r="E9" s="636">
        <f t="shared" si="2"/>
        <v>382.9</v>
      </c>
      <c r="F9" s="770">
        <v>632364</v>
      </c>
      <c r="G9" s="636">
        <f t="shared" si="1"/>
        <v>95</v>
      </c>
      <c r="H9" s="636">
        <f>(E9*0.55)*1.61</f>
        <v>339.05795000000001</v>
      </c>
      <c r="I9" s="636">
        <f>C9*J1</f>
        <v>6697.08</v>
      </c>
      <c r="J9" s="636">
        <f>G9*J1</f>
        <v>370.5</v>
      </c>
      <c r="K9" s="692">
        <f>C9+E9</f>
        <v>2100.1</v>
      </c>
    </row>
    <row r="10" spans="1:13" s="3" customFormat="1" ht="41.25" customHeight="1">
      <c r="A10" s="662">
        <v>4</v>
      </c>
      <c r="B10" s="763">
        <v>8460180</v>
      </c>
      <c r="C10" s="636">
        <f>IF(B10&gt;=B9,B10-B9,0)*1.06</f>
        <v>1893.16</v>
      </c>
      <c r="D10" s="770">
        <v>617132</v>
      </c>
      <c r="E10" s="636">
        <f t="shared" si="2"/>
        <v>378.7</v>
      </c>
      <c r="F10" s="770">
        <v>632468</v>
      </c>
      <c r="G10" s="636">
        <f t="shared" si="1"/>
        <v>104</v>
      </c>
      <c r="H10" s="636">
        <f>(E10*0.55)*1.61</f>
        <v>335.33885000000004</v>
      </c>
      <c r="I10" s="636">
        <f>C10*J1</f>
        <v>7383.3240000000005</v>
      </c>
      <c r="J10" s="636">
        <f>G10*J1</f>
        <v>405.59999999999997</v>
      </c>
      <c r="K10" s="692">
        <f t="shared" si="3"/>
        <v>2271.86</v>
      </c>
    </row>
    <row r="11" spans="1:13" s="3" customFormat="1" ht="41.25" customHeight="1">
      <c r="A11" s="662">
        <v>5</v>
      </c>
      <c r="B11" s="763">
        <v>8461649</v>
      </c>
      <c r="C11" s="636">
        <f>IF(B11&gt;=B10,B11-B10,0)*1.06</f>
        <v>1557.14</v>
      </c>
      <c r="D11" s="770">
        <v>617727</v>
      </c>
      <c r="E11" s="636">
        <f t="shared" si="2"/>
        <v>416.5</v>
      </c>
      <c r="F11" s="770">
        <v>632559</v>
      </c>
      <c r="G11" s="636">
        <f t="shared" si="1"/>
        <v>91</v>
      </c>
      <c r="H11" s="636">
        <f t="shared" si="4"/>
        <v>368.81075000000004</v>
      </c>
      <c r="I11" s="636">
        <f>C11*J1</f>
        <v>6072.8460000000005</v>
      </c>
      <c r="J11" s="636">
        <f>G11*J1</f>
        <v>354.9</v>
      </c>
      <c r="K11" s="692">
        <f t="shared" si="3"/>
        <v>1973.64</v>
      </c>
    </row>
    <row r="12" spans="1:13" s="3" customFormat="1" ht="41.25" customHeight="1">
      <c r="A12" s="662">
        <v>6</v>
      </c>
      <c r="B12" s="763">
        <v>8463299</v>
      </c>
      <c r="C12" s="636">
        <f>IF(B12&gt;=B11,B12-B11,0)*1.06</f>
        <v>1749</v>
      </c>
      <c r="D12" s="770">
        <v>618241</v>
      </c>
      <c r="E12" s="636">
        <f t="shared" si="2"/>
        <v>359.79999999999995</v>
      </c>
      <c r="F12" s="770">
        <v>632642</v>
      </c>
      <c r="G12" s="636">
        <f t="shared" si="1"/>
        <v>83</v>
      </c>
      <c r="H12" s="636">
        <f t="shared" si="4"/>
        <v>318.60289999999998</v>
      </c>
      <c r="I12" s="636">
        <f>C12*J1</f>
        <v>6821.0999999999995</v>
      </c>
      <c r="J12" s="636">
        <f>G12*J1</f>
        <v>323.7</v>
      </c>
      <c r="K12" s="692">
        <f t="shared" si="3"/>
        <v>2108.8000000000002</v>
      </c>
    </row>
    <row r="13" spans="1:13" s="3" customFormat="1" ht="41.25" customHeight="1">
      <c r="A13" s="662">
        <v>7</v>
      </c>
      <c r="B13" s="763">
        <v>8464878</v>
      </c>
      <c r="C13" s="636">
        <f>IF(B13&gt;=B12,B13-B12,0)*1.06</f>
        <v>1673.74</v>
      </c>
      <c r="D13" s="770">
        <v>618818</v>
      </c>
      <c r="E13" s="636">
        <f t="shared" si="2"/>
        <v>403.9</v>
      </c>
      <c r="F13" s="770">
        <v>632748</v>
      </c>
      <c r="G13" s="636">
        <f t="shared" si="1"/>
        <v>106</v>
      </c>
      <c r="H13" s="636">
        <f t="shared" si="4"/>
        <v>357.65345000000002</v>
      </c>
      <c r="I13" s="636">
        <f>C13*J1</f>
        <v>6527.5860000000002</v>
      </c>
      <c r="J13" s="636">
        <f>G13*J1</f>
        <v>413.4</v>
      </c>
      <c r="K13" s="692">
        <f t="shared" si="3"/>
        <v>2077.64</v>
      </c>
    </row>
    <row r="14" spans="1:13" s="3" customFormat="1" ht="41.25" customHeight="1">
      <c r="A14" s="662">
        <v>8</v>
      </c>
      <c r="B14" s="763">
        <v>8466522</v>
      </c>
      <c r="C14" s="636">
        <f t="shared" si="0"/>
        <v>1742.64</v>
      </c>
      <c r="D14" s="770">
        <v>619380</v>
      </c>
      <c r="E14" s="636">
        <f t="shared" si="2"/>
        <v>393.4</v>
      </c>
      <c r="F14" s="770">
        <v>632838</v>
      </c>
      <c r="G14" s="636">
        <f t="shared" si="1"/>
        <v>90</v>
      </c>
      <c r="H14" s="636">
        <f t="shared" si="4"/>
        <v>348.35570000000001</v>
      </c>
      <c r="I14" s="636">
        <f>C14*J1</f>
        <v>6796.2960000000003</v>
      </c>
      <c r="J14" s="636">
        <f>G14*J1</f>
        <v>351</v>
      </c>
      <c r="K14" s="692">
        <f t="shared" si="3"/>
        <v>2136.04</v>
      </c>
    </row>
    <row r="15" spans="1:13" s="3" customFormat="1" ht="41.25" customHeight="1">
      <c r="A15" s="662">
        <v>9</v>
      </c>
      <c r="B15" s="763">
        <v>8468168</v>
      </c>
      <c r="C15" s="636">
        <f t="shared" ref="C15:C26" si="5">IF(B15&gt;=B14,B15-B14,0)*1.06</f>
        <v>1744.76</v>
      </c>
      <c r="D15" s="770">
        <v>619928</v>
      </c>
      <c r="E15" s="636">
        <f t="shared" si="2"/>
        <v>383.59999999999997</v>
      </c>
      <c r="F15" s="770">
        <v>632949</v>
      </c>
      <c r="G15" s="636">
        <f t="shared" si="1"/>
        <v>111</v>
      </c>
      <c r="H15" s="636">
        <f t="shared" si="4"/>
        <v>339.67779999999999</v>
      </c>
      <c r="I15" s="636">
        <f>C15*J1</f>
        <v>6804.5639999999994</v>
      </c>
      <c r="J15" s="636">
        <f>G15*J1</f>
        <v>432.9</v>
      </c>
      <c r="K15" s="692">
        <f t="shared" si="3"/>
        <v>2128.36</v>
      </c>
    </row>
    <row r="16" spans="1:13" s="3" customFormat="1" ht="41.25" customHeight="1">
      <c r="A16" s="662">
        <v>10</v>
      </c>
      <c r="B16" s="763">
        <v>8469842</v>
      </c>
      <c r="C16" s="636">
        <f t="shared" si="5"/>
        <v>1774.44</v>
      </c>
      <c r="D16" s="770">
        <v>620466</v>
      </c>
      <c r="E16" s="636">
        <f t="shared" si="2"/>
        <v>376.59999999999997</v>
      </c>
      <c r="F16" s="770">
        <v>633048</v>
      </c>
      <c r="G16" s="636">
        <f t="shared" si="1"/>
        <v>99</v>
      </c>
      <c r="H16" s="636">
        <f t="shared" si="4"/>
        <v>333.47930000000002</v>
      </c>
      <c r="I16" s="636">
        <f>C16*J1</f>
        <v>6920.3159999999998</v>
      </c>
      <c r="J16" s="636">
        <f>G16*J1</f>
        <v>386.09999999999997</v>
      </c>
      <c r="K16" s="692">
        <f t="shared" si="3"/>
        <v>2151.04</v>
      </c>
    </row>
    <row r="17" spans="1:11" s="3" customFormat="1" ht="41.25" customHeight="1">
      <c r="A17" s="662">
        <v>11</v>
      </c>
      <c r="B17" s="763">
        <v>8471487</v>
      </c>
      <c r="C17" s="636">
        <f t="shared" si="5"/>
        <v>1743.7</v>
      </c>
      <c r="D17" s="770">
        <v>621021</v>
      </c>
      <c r="E17" s="636">
        <f t="shared" si="2"/>
        <v>388.5</v>
      </c>
      <c r="F17" s="770">
        <v>633148.5</v>
      </c>
      <c r="G17" s="636">
        <f t="shared" si="1"/>
        <v>100.5</v>
      </c>
      <c r="H17" s="636">
        <f t="shared" si="4"/>
        <v>344.01675000000006</v>
      </c>
      <c r="I17" s="636">
        <f>C17*J1</f>
        <v>6800.43</v>
      </c>
      <c r="J17" s="636">
        <f>G17*J1</f>
        <v>391.95</v>
      </c>
      <c r="K17" s="692">
        <f t="shared" si="3"/>
        <v>2132.1999999999998</v>
      </c>
    </row>
    <row r="18" spans="1:11" s="3" customFormat="1" ht="41.25" customHeight="1">
      <c r="A18" s="662">
        <v>12</v>
      </c>
      <c r="B18" s="763">
        <v>8473140.8000000007</v>
      </c>
      <c r="C18" s="636">
        <f t="shared" si="5"/>
        <v>1753.0280000007899</v>
      </c>
      <c r="D18" s="770">
        <v>621570.19999999995</v>
      </c>
      <c r="E18" s="636">
        <f t="shared" si="2"/>
        <v>384.43999999996737</v>
      </c>
      <c r="F18" s="770">
        <v>633249.6</v>
      </c>
      <c r="G18" s="636">
        <f t="shared" ref="G18:G20" si="6">IF(F18&gt;=F17,F18-F17,0)</f>
        <v>101.09999999997672</v>
      </c>
      <c r="H18" s="636">
        <f t="shared" si="4"/>
        <v>340.42161999997114</v>
      </c>
      <c r="I18" s="636">
        <f>C18*J1</f>
        <v>6836.8092000030802</v>
      </c>
      <c r="J18" s="636">
        <f>G18*J1</f>
        <v>394.28999999990918</v>
      </c>
      <c r="K18" s="692">
        <f t="shared" si="3"/>
        <v>2137.4680000007575</v>
      </c>
    </row>
    <row r="19" spans="1:11" s="3" customFormat="1" ht="41.25" customHeight="1">
      <c r="A19" s="662">
        <v>13</v>
      </c>
      <c r="B19" s="763">
        <v>8474563</v>
      </c>
      <c r="C19" s="636">
        <f>IF(B19&gt;=B18,B19-B18,0)*1.06</f>
        <v>1507.5319999992103</v>
      </c>
      <c r="D19" s="770">
        <v>622105</v>
      </c>
      <c r="E19" s="636">
        <f>IF(D19&gt;=D18,D19-D18,0)*0.7</f>
        <v>374.36000000003258</v>
      </c>
      <c r="F19" s="770">
        <v>633330</v>
      </c>
      <c r="G19" s="636">
        <f t="shared" si="6"/>
        <v>80.400000000023283</v>
      </c>
      <c r="H19" s="636">
        <f t="shared" si="4"/>
        <v>331.4957800000289</v>
      </c>
      <c r="I19" s="636">
        <f>C19*J1</f>
        <v>5879.37479999692</v>
      </c>
      <c r="J19" s="636">
        <f>G19*J1</f>
        <v>313.56000000009078</v>
      </c>
      <c r="K19" s="692">
        <f t="shared" si="3"/>
        <v>1881.8919999992429</v>
      </c>
    </row>
    <row r="20" spans="1:11" s="3" customFormat="1" ht="41.25" customHeight="1">
      <c r="A20" s="662">
        <v>14</v>
      </c>
      <c r="B20" s="763">
        <v>8476134</v>
      </c>
      <c r="C20" s="636">
        <f>IF(B20&gt;=B19,B20-B19,0)*1.06</f>
        <v>1665.26</v>
      </c>
      <c r="D20" s="770">
        <v>622698</v>
      </c>
      <c r="E20" s="636">
        <f>IF(D20&gt;=D19,D20-D19,0)*0.7</f>
        <v>415.09999999999997</v>
      </c>
      <c r="F20" s="770">
        <v>633442</v>
      </c>
      <c r="G20" s="636">
        <f t="shared" si="6"/>
        <v>112</v>
      </c>
      <c r="H20" s="636">
        <f t="shared" si="4"/>
        <v>367.57105000000001</v>
      </c>
      <c r="I20" s="636">
        <f>C20*J1</f>
        <v>6494.5140000000001</v>
      </c>
      <c r="J20" s="636">
        <f>G20*J1</f>
        <v>436.8</v>
      </c>
      <c r="K20" s="692">
        <f t="shared" si="3"/>
        <v>2080.36</v>
      </c>
    </row>
    <row r="21" spans="1:11" s="3" customFormat="1" ht="41.25" customHeight="1">
      <c r="A21" s="662">
        <v>15</v>
      </c>
      <c r="B21" s="763">
        <v>8477679</v>
      </c>
      <c r="C21" s="636">
        <f>IF(B21&gt;=B20,B21-B20,0)*1.06</f>
        <v>1637.7</v>
      </c>
      <c r="D21" s="770">
        <v>623244</v>
      </c>
      <c r="E21" s="636">
        <f>IF(D21&gt;=D20,D21-D20,0)*0.7</f>
        <v>382.2</v>
      </c>
      <c r="F21" s="770">
        <v>633541</v>
      </c>
      <c r="G21" s="636">
        <f t="shared" ref="G21:G37" si="7">IF(F21&gt;=F20,F21-F20,0)</f>
        <v>99</v>
      </c>
      <c r="H21" s="636">
        <f t="shared" si="4"/>
        <v>338.43810000000002</v>
      </c>
      <c r="I21" s="636">
        <f>C21*J1</f>
        <v>6387.03</v>
      </c>
      <c r="J21" s="636">
        <f>G21*J1</f>
        <v>386.09999999999997</v>
      </c>
      <c r="K21" s="692">
        <f t="shared" si="3"/>
        <v>2019.9</v>
      </c>
    </row>
    <row r="22" spans="1:11" s="3" customFormat="1" ht="41.25" customHeight="1">
      <c r="A22" s="662">
        <v>16</v>
      </c>
      <c r="B22" s="763">
        <v>8479262</v>
      </c>
      <c r="C22" s="636">
        <f t="shared" si="5"/>
        <v>1677.98</v>
      </c>
      <c r="D22" s="770">
        <v>623793</v>
      </c>
      <c r="E22" s="636">
        <f t="shared" si="2"/>
        <v>384.29999999999995</v>
      </c>
      <c r="F22" s="770">
        <v>633639</v>
      </c>
      <c r="G22" s="636">
        <f t="shared" si="7"/>
        <v>98</v>
      </c>
      <c r="H22" s="636">
        <f t="shared" si="4"/>
        <v>340.29764999999998</v>
      </c>
      <c r="I22" s="636">
        <f>C22*J1</f>
        <v>6544.1220000000003</v>
      </c>
      <c r="J22" s="636">
        <f>G22*J1</f>
        <v>382.2</v>
      </c>
      <c r="K22" s="692">
        <f t="shared" si="3"/>
        <v>2062.2799999999997</v>
      </c>
    </row>
    <row r="23" spans="1:11" s="3" customFormat="1" ht="41.25" customHeight="1">
      <c r="A23" s="662">
        <v>17</v>
      </c>
      <c r="B23" s="763">
        <v>8481323</v>
      </c>
      <c r="C23" s="636">
        <f t="shared" si="5"/>
        <v>2184.6600000000003</v>
      </c>
      <c r="D23" s="770">
        <v>624345</v>
      </c>
      <c r="E23" s="636">
        <f t="shared" si="2"/>
        <v>386.4</v>
      </c>
      <c r="F23" s="770">
        <v>633730</v>
      </c>
      <c r="G23" s="636">
        <f t="shared" si="7"/>
        <v>91</v>
      </c>
      <c r="H23" s="636">
        <f t="shared" si="4"/>
        <v>342.15720000000005</v>
      </c>
      <c r="I23" s="636">
        <f>C23*J1</f>
        <v>8520.1740000000009</v>
      </c>
      <c r="J23" s="636">
        <f>G23*J1</f>
        <v>354.9</v>
      </c>
      <c r="K23" s="692">
        <f t="shared" si="3"/>
        <v>2571.0600000000004</v>
      </c>
    </row>
    <row r="24" spans="1:11" s="3" customFormat="1" ht="41.25" customHeight="1">
      <c r="A24" s="662">
        <v>18</v>
      </c>
      <c r="B24" s="763">
        <v>8482592</v>
      </c>
      <c r="C24" s="636">
        <f t="shared" si="5"/>
        <v>1345.14</v>
      </c>
      <c r="D24" s="770">
        <v>625013</v>
      </c>
      <c r="E24" s="636">
        <f t="shared" si="2"/>
        <v>467.59999999999997</v>
      </c>
      <c r="F24" s="770">
        <v>633832</v>
      </c>
      <c r="G24" s="636">
        <f t="shared" si="7"/>
        <v>102</v>
      </c>
      <c r="H24" s="636">
        <f t="shared" si="4"/>
        <v>414.05980000000005</v>
      </c>
      <c r="I24" s="636">
        <f>C24*J1</f>
        <v>5246.0460000000003</v>
      </c>
      <c r="J24" s="636">
        <f>G24*J1</f>
        <v>397.8</v>
      </c>
      <c r="K24" s="692">
        <f t="shared" si="3"/>
        <v>1812.74</v>
      </c>
    </row>
    <row r="25" spans="1:11" s="3" customFormat="1" ht="41.25" customHeight="1">
      <c r="A25" s="662">
        <v>19</v>
      </c>
      <c r="B25" s="763">
        <v>8483992</v>
      </c>
      <c r="C25" s="636">
        <f t="shared" si="5"/>
        <v>1484</v>
      </c>
      <c r="D25" s="770">
        <v>625557</v>
      </c>
      <c r="E25" s="636">
        <f t="shared" si="2"/>
        <v>380.79999999999995</v>
      </c>
      <c r="F25" s="770">
        <v>633914</v>
      </c>
      <c r="G25" s="636">
        <f t="shared" si="7"/>
        <v>82</v>
      </c>
      <c r="H25" s="636">
        <f t="shared" si="4"/>
        <v>337.19839999999999</v>
      </c>
      <c r="I25" s="636">
        <f>C25*J1</f>
        <v>5787.5999999999995</v>
      </c>
      <c r="J25" s="636">
        <f>G25*J1</f>
        <v>319.8</v>
      </c>
      <c r="K25" s="692">
        <f t="shared" si="3"/>
        <v>1864.8</v>
      </c>
    </row>
    <row r="26" spans="1:11" s="3" customFormat="1" ht="41.25" customHeight="1">
      <c r="A26" s="662">
        <v>20</v>
      </c>
      <c r="B26" s="763">
        <v>8485406</v>
      </c>
      <c r="C26" s="636">
        <f t="shared" si="5"/>
        <v>1498.8400000000001</v>
      </c>
      <c r="D26" s="770">
        <v>626063</v>
      </c>
      <c r="E26" s="636">
        <f t="shared" si="2"/>
        <v>354.2</v>
      </c>
      <c r="F26" s="770">
        <v>633998</v>
      </c>
      <c r="G26" s="636">
        <f t="shared" si="7"/>
        <v>84</v>
      </c>
      <c r="H26" s="636">
        <f t="shared" si="4"/>
        <v>313.64410000000004</v>
      </c>
      <c r="I26" s="636">
        <f>C26*J1</f>
        <v>5845.4760000000006</v>
      </c>
      <c r="J26" s="636">
        <f>G26*J1</f>
        <v>327.59999999999997</v>
      </c>
      <c r="K26" s="692">
        <f t="shared" si="3"/>
        <v>1853.0400000000002</v>
      </c>
    </row>
    <row r="27" spans="1:11" s="3" customFormat="1" ht="41.25" customHeight="1">
      <c r="A27" s="662">
        <v>21</v>
      </c>
      <c r="B27" s="763">
        <v>8486965</v>
      </c>
      <c r="C27" s="636">
        <f t="shared" ref="C27:C32" si="8">IF(B27&gt;=B26,B27-B26,0)*1.06</f>
        <v>1652.5400000000002</v>
      </c>
      <c r="D27" s="770">
        <v>626642</v>
      </c>
      <c r="E27" s="636">
        <f t="shared" si="2"/>
        <v>405.29999999999995</v>
      </c>
      <c r="F27" s="770">
        <v>634097</v>
      </c>
      <c r="G27" s="636">
        <f t="shared" si="7"/>
        <v>99</v>
      </c>
      <c r="H27" s="636">
        <f t="shared" si="4"/>
        <v>358.89314999999999</v>
      </c>
      <c r="I27" s="636">
        <f>C27*J1</f>
        <v>6444.9060000000009</v>
      </c>
      <c r="J27" s="636">
        <f>G27*J1</f>
        <v>386.09999999999997</v>
      </c>
      <c r="K27" s="692">
        <f t="shared" si="3"/>
        <v>2057.84</v>
      </c>
    </row>
    <row r="28" spans="1:11" s="3" customFormat="1" ht="41.25" customHeight="1">
      <c r="A28" s="662">
        <v>22</v>
      </c>
      <c r="B28" s="763">
        <v>8488568</v>
      </c>
      <c r="C28" s="636">
        <f t="shared" si="8"/>
        <v>1699.18</v>
      </c>
      <c r="D28" s="770">
        <v>627182</v>
      </c>
      <c r="E28" s="636">
        <f t="shared" si="2"/>
        <v>378</v>
      </c>
      <c r="F28" s="770">
        <v>634190</v>
      </c>
      <c r="G28" s="636">
        <f t="shared" si="7"/>
        <v>93</v>
      </c>
      <c r="H28" s="636">
        <f>(E28*0.55)*1.61</f>
        <v>334.71900000000005</v>
      </c>
      <c r="I28" s="636">
        <f>C28*J1</f>
        <v>6626.8019999999997</v>
      </c>
      <c r="J28" s="636">
        <f>G28*J1</f>
        <v>362.7</v>
      </c>
      <c r="K28" s="692"/>
    </row>
    <row r="29" spans="1:11" s="3" customFormat="1" ht="41.25" customHeight="1">
      <c r="A29" s="662">
        <v>23</v>
      </c>
      <c r="B29" s="763">
        <v>8490033</v>
      </c>
      <c r="C29" s="636">
        <f t="shared" si="8"/>
        <v>1552.9</v>
      </c>
      <c r="D29" s="770">
        <v>627775</v>
      </c>
      <c r="E29" s="636">
        <f t="shared" si="2"/>
        <v>415.09999999999997</v>
      </c>
      <c r="F29" s="770">
        <v>634279</v>
      </c>
      <c r="G29" s="636">
        <f t="shared" si="7"/>
        <v>89</v>
      </c>
      <c r="H29" s="636">
        <f>(E29*0.55)*1.61</f>
        <v>367.57105000000001</v>
      </c>
      <c r="I29" s="636">
        <f>C29*J1</f>
        <v>6056.31</v>
      </c>
      <c r="J29" s="636">
        <f>G29*J1</f>
        <v>347.09999999999997</v>
      </c>
      <c r="K29" s="692">
        <f t="shared" si="3"/>
        <v>1968</v>
      </c>
    </row>
    <row r="30" spans="1:11" s="3" customFormat="1" ht="41.25" customHeight="1">
      <c r="A30" s="662">
        <v>24</v>
      </c>
      <c r="B30" s="763">
        <v>8491568</v>
      </c>
      <c r="C30" s="636">
        <f t="shared" si="8"/>
        <v>1627.1000000000001</v>
      </c>
      <c r="D30" s="770">
        <v>628356</v>
      </c>
      <c r="E30" s="636">
        <f t="shared" si="2"/>
        <v>406.7</v>
      </c>
      <c r="F30" s="770">
        <v>634370.66666666698</v>
      </c>
      <c r="G30" s="636">
        <f t="shared" si="7"/>
        <v>91.666666666977108</v>
      </c>
      <c r="H30" s="636">
        <f>(E30*0.55)*1.61</f>
        <v>360.13285000000002</v>
      </c>
      <c r="I30" s="636">
        <f>C30*J1</f>
        <v>6345.6900000000005</v>
      </c>
      <c r="J30" s="636">
        <f>G30*J1</f>
        <v>357.50000000121071</v>
      </c>
      <c r="K30" s="692">
        <f t="shared" si="3"/>
        <v>2033.8000000000002</v>
      </c>
    </row>
    <row r="31" spans="1:11" s="3" customFormat="1" ht="41.25" customHeight="1">
      <c r="A31" s="662">
        <v>25</v>
      </c>
      <c r="B31" s="763">
        <v>8493064</v>
      </c>
      <c r="C31" s="636">
        <f t="shared" si="8"/>
        <v>1585.76</v>
      </c>
      <c r="D31" s="770">
        <v>628886</v>
      </c>
      <c r="E31" s="636">
        <f t="shared" si="2"/>
        <v>371</v>
      </c>
      <c r="F31" s="770">
        <v>634454</v>
      </c>
      <c r="G31" s="636">
        <f t="shared" si="7"/>
        <v>83.333333333022892</v>
      </c>
      <c r="H31" s="636">
        <f t="shared" si="4"/>
        <v>328.52050000000003</v>
      </c>
      <c r="I31" s="636">
        <f>C31*J3</f>
        <v>0</v>
      </c>
      <c r="J31" s="636">
        <f>G31*J1</f>
        <v>324.99999999878929</v>
      </c>
      <c r="K31" s="692">
        <f t="shared" si="3"/>
        <v>1956.76</v>
      </c>
    </row>
    <row r="32" spans="1:11" s="3" customFormat="1" ht="41.25" customHeight="1">
      <c r="A32" s="662">
        <v>26</v>
      </c>
      <c r="B32" s="763">
        <v>8494749</v>
      </c>
      <c r="C32" s="636">
        <f t="shared" si="8"/>
        <v>1786.1000000000001</v>
      </c>
      <c r="D32" s="770">
        <v>629492</v>
      </c>
      <c r="E32" s="636">
        <f t="shared" si="2"/>
        <v>424.2</v>
      </c>
      <c r="F32" s="770">
        <v>634563</v>
      </c>
      <c r="G32" s="636">
        <f t="shared" si="7"/>
        <v>109</v>
      </c>
      <c r="H32" s="636">
        <f t="shared" si="4"/>
        <v>375.62910000000005</v>
      </c>
      <c r="I32" s="636">
        <f>C32*J1</f>
        <v>6965.79</v>
      </c>
      <c r="J32" s="636">
        <f>G32*J1</f>
        <v>425.09999999999997</v>
      </c>
      <c r="K32" s="692">
        <f t="shared" si="3"/>
        <v>2210.3000000000002</v>
      </c>
    </row>
    <row r="33" spans="1:13" s="205" customFormat="1" ht="41.25" customHeight="1">
      <c r="A33" s="663">
        <v>27</v>
      </c>
      <c r="B33" s="763">
        <v>8496190</v>
      </c>
      <c r="C33" s="636">
        <f t="shared" ref="C33:C37" si="9">IF(B33&gt;=B32,B33-B32,0)*1.06</f>
        <v>1527.46</v>
      </c>
      <c r="D33" s="770">
        <v>630023</v>
      </c>
      <c r="E33" s="636">
        <f t="shared" si="2"/>
        <v>371.7</v>
      </c>
      <c r="F33" s="770">
        <v>634670</v>
      </c>
      <c r="G33" s="636">
        <f t="shared" si="7"/>
        <v>107</v>
      </c>
      <c r="H33" s="636">
        <f t="shared" si="4"/>
        <v>329.14035000000001</v>
      </c>
      <c r="I33" s="636">
        <f>C33*J1</f>
        <v>5957.0940000000001</v>
      </c>
      <c r="J33" s="636">
        <f>G33*J1</f>
        <v>417.3</v>
      </c>
      <c r="K33" s="692">
        <f t="shared" si="3"/>
        <v>1899.16</v>
      </c>
    </row>
    <row r="34" spans="1:13" s="205" customFormat="1" ht="41.25" customHeight="1">
      <c r="A34" s="663">
        <v>28</v>
      </c>
      <c r="B34" s="763">
        <v>8497743</v>
      </c>
      <c r="C34" s="636">
        <f t="shared" si="9"/>
        <v>1646.18</v>
      </c>
      <c r="D34" s="770">
        <v>630640</v>
      </c>
      <c r="E34" s="636">
        <f t="shared" si="2"/>
        <v>431.9</v>
      </c>
      <c r="F34" s="770">
        <v>634788</v>
      </c>
      <c r="G34" s="636">
        <f t="shared" si="7"/>
        <v>118</v>
      </c>
      <c r="H34" s="636">
        <f t="shared" si="4"/>
        <v>382.44745000000006</v>
      </c>
      <c r="I34" s="636">
        <f>C34*J1</f>
        <v>6420.1019999999999</v>
      </c>
      <c r="J34" s="636">
        <f>G34*J1</f>
        <v>460.2</v>
      </c>
      <c r="K34" s="692">
        <f t="shared" si="3"/>
        <v>2078.08</v>
      </c>
    </row>
    <row r="35" spans="1:13" s="205" customFormat="1" ht="41.25" customHeight="1">
      <c r="A35" s="662">
        <v>29</v>
      </c>
      <c r="B35" s="763">
        <v>8499051</v>
      </c>
      <c r="C35" s="636">
        <f t="shared" si="9"/>
        <v>1386.48</v>
      </c>
      <c r="D35" s="770">
        <v>631699</v>
      </c>
      <c r="E35" s="636">
        <f t="shared" si="2"/>
        <v>741.3</v>
      </c>
      <c r="F35" s="770">
        <v>634930</v>
      </c>
      <c r="G35" s="636">
        <f t="shared" si="7"/>
        <v>142</v>
      </c>
      <c r="H35" s="636">
        <f t="shared" si="4"/>
        <v>656.42115000000013</v>
      </c>
      <c r="I35" s="636">
        <f>C35*J1</f>
        <v>5407.2719999999999</v>
      </c>
      <c r="J35" s="636">
        <f>G35*J1</f>
        <v>553.79999999999995</v>
      </c>
      <c r="K35" s="692">
        <f t="shared" si="3"/>
        <v>2127.7799999999997</v>
      </c>
    </row>
    <row r="36" spans="1:13" s="205" customFormat="1" ht="41.25" customHeight="1">
      <c r="A36" s="663">
        <v>30</v>
      </c>
      <c r="B36" s="763">
        <v>8500816</v>
      </c>
      <c r="C36" s="636">
        <f t="shared" si="9"/>
        <v>1870.9</v>
      </c>
      <c r="D36" s="770">
        <v>631723</v>
      </c>
      <c r="E36" s="636">
        <f>IF(D36&gt;=D35,D36-D35,0)*0.7</f>
        <v>16.799999999999997</v>
      </c>
      <c r="F36" s="770">
        <v>634977</v>
      </c>
      <c r="G36" s="636">
        <f t="shared" si="7"/>
        <v>47</v>
      </c>
      <c r="H36" s="636">
        <f t="shared" si="4"/>
        <v>14.876399999999999</v>
      </c>
      <c r="I36" s="636">
        <f>C36*J1</f>
        <v>7296.51</v>
      </c>
      <c r="J36" s="636">
        <f>G36*J1</f>
        <v>183.29999999999998</v>
      </c>
      <c r="K36" s="692">
        <f t="shared" si="3"/>
        <v>1887.7</v>
      </c>
    </row>
    <row r="37" spans="1:13" s="205" customFormat="1" ht="41.25" customHeight="1">
      <c r="A37" s="663">
        <v>31</v>
      </c>
      <c r="B37" s="763">
        <v>8502573</v>
      </c>
      <c r="C37" s="636">
        <f t="shared" si="9"/>
        <v>1862.42</v>
      </c>
      <c r="D37" s="770">
        <v>632460</v>
      </c>
      <c r="E37" s="636">
        <f>IF(D37&gt;=D36,D37-D36,0)*0.7</f>
        <v>515.9</v>
      </c>
      <c r="F37" s="770">
        <v>635107</v>
      </c>
      <c r="G37" s="636">
        <f t="shared" si="7"/>
        <v>130</v>
      </c>
      <c r="H37" s="636">
        <f t="shared" si="4"/>
        <v>456.82945000000001</v>
      </c>
      <c r="I37" s="636">
        <f>C37*J1</f>
        <v>7263.4380000000001</v>
      </c>
      <c r="J37" s="636">
        <f>G37*J1</f>
        <v>507</v>
      </c>
      <c r="K37" s="692">
        <f t="shared" si="3"/>
        <v>2378.3200000000002</v>
      </c>
    </row>
    <row r="38" spans="1:13" s="205" customFormat="1" ht="41.25" customHeight="1">
      <c r="A38" s="664" t="s">
        <v>83</v>
      </c>
      <c r="B38" s="687"/>
      <c r="C38" s="688">
        <f>SUM(C7:C37)</f>
        <v>53698.981666669963</v>
      </c>
      <c r="D38" s="687"/>
      <c r="E38" s="688">
        <f>SUM(E7:E37)</f>
        <v>12340.202777778439</v>
      </c>
      <c r="F38" s="687"/>
      <c r="G38" s="688">
        <f>SUM(G7:G37)</f>
        <v>3035.2685185190057</v>
      </c>
      <c r="H38" s="689">
        <f>SUM(H6:H37)</f>
        <v>10927.249559722808</v>
      </c>
      <c r="I38" s="689">
        <f>SUM(I6:I37)</f>
        <v>203241.56450001284</v>
      </c>
      <c r="J38" s="689">
        <f>SUM(J6:J37)</f>
        <v>11837.547222224122</v>
      </c>
      <c r="K38" s="734">
        <f>SUM(K6:K37)</f>
        <v>63962.004444448408</v>
      </c>
    </row>
    <row r="39" spans="1:13" s="205" customFormat="1" ht="41.25" customHeight="1" thickBot="1">
      <c r="A39" s="665" t="s">
        <v>104</v>
      </c>
      <c r="B39" s="690"/>
      <c r="C39" s="691">
        <f>C38/A42</f>
        <v>1789.9660555556654</v>
      </c>
      <c r="D39" s="690"/>
      <c r="E39" s="691">
        <f>E38/A42</f>
        <v>411.34009259261461</v>
      </c>
      <c r="F39" s="690"/>
      <c r="G39" s="691">
        <f>G38/A42</f>
        <v>101.17561728396686</v>
      </c>
      <c r="H39" s="691">
        <f>H38/A42</f>
        <v>364.24165199076026</v>
      </c>
      <c r="I39" s="691">
        <f>I38/A42</f>
        <v>6774.7188166670949</v>
      </c>
      <c r="J39" s="691">
        <f>J38/A42</f>
        <v>394.58490740747072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93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38" priority="18" stopIfTrue="1" operator="greaterThan">
      <formula>2000</formula>
    </cfRule>
  </conditionalFormatting>
  <conditionalFormatting sqref="E7:E37">
    <cfRule type="cellIs" dxfId="37" priority="16" stopIfTrue="1" operator="greaterThan">
      <formula>1000</formula>
    </cfRule>
  </conditionalFormatting>
  <conditionalFormatting sqref="G7:G37">
    <cfRule type="cellIs" dxfId="36" priority="15" stopIfTrue="1" operator="greaterThan">
      <formula>200</formula>
    </cfRule>
  </conditionalFormatting>
  <conditionalFormatting sqref="C6 E6:E37">
    <cfRule type="cellIs" dxfId="35" priority="13" stopIfTrue="1" operator="greaterThan">
      <formula>2000</formula>
    </cfRule>
  </conditionalFormatting>
  <conditionalFormatting sqref="E6:E37">
    <cfRule type="cellIs" dxfId="34" priority="12" stopIfTrue="1" operator="greaterThan">
      <formula>1000</formula>
    </cfRule>
  </conditionalFormatting>
  <conditionalFormatting sqref="C6 E6:E37">
    <cfRule type="cellIs" dxfId="33" priority="11" stopIfTrue="1" operator="greaterThan">
      <formula>2000</formula>
    </cfRule>
  </conditionalFormatting>
  <conditionalFormatting sqref="E6:E37">
    <cfRule type="cellIs" dxfId="32" priority="10" stopIfTrue="1" operator="greaterThan">
      <formula>1000</formula>
    </cfRule>
  </conditionalFormatting>
  <conditionalFormatting sqref="C6 E6:E37">
    <cfRule type="cellIs" dxfId="31" priority="9" stopIfTrue="1" operator="greaterThan">
      <formula>2000</formula>
    </cfRule>
  </conditionalFormatting>
  <conditionalFormatting sqref="E6:E37">
    <cfRule type="cellIs" dxfId="30" priority="8" stopIfTrue="1" operator="greaterThan">
      <formula>1000</formula>
    </cfRule>
  </conditionalFormatting>
  <conditionalFormatting sqref="C6 E6:E37">
    <cfRule type="cellIs" dxfId="29" priority="7" stopIfTrue="1" operator="greaterThan">
      <formula>2000</formula>
    </cfRule>
  </conditionalFormatting>
  <conditionalFormatting sqref="E6:E37">
    <cfRule type="cellIs" dxfId="28" priority="6" stopIfTrue="1" operator="greaterThan">
      <formula>1000</formula>
    </cfRule>
  </conditionalFormatting>
  <conditionalFormatting sqref="G6">
    <cfRule type="cellIs" dxfId="27" priority="5" stopIfTrue="1" operator="greaterThan">
      <formula>200</formula>
    </cfRule>
  </conditionalFormatting>
  <conditionalFormatting sqref="C7:C37 E7:E37">
    <cfRule type="cellIs" dxfId="26" priority="4" stopIfTrue="1" operator="greaterThan">
      <formula>2000</formula>
    </cfRule>
  </conditionalFormatting>
  <conditionalFormatting sqref="E7:E37">
    <cfRule type="cellIs" dxfId="25" priority="3" stopIfTrue="1" operator="greaterThan">
      <formula>1000</formula>
    </cfRule>
  </conditionalFormatting>
  <conditionalFormatting sqref="C7:C37 E7:E37">
    <cfRule type="cellIs" dxfId="24" priority="2" stopIfTrue="1" operator="greaterThan">
      <formula>2000</formula>
    </cfRule>
  </conditionalFormatting>
  <conditionalFormatting sqref="E7:E37">
    <cfRule type="cellIs" dxfId="23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22">
        <f>Elect!A1</f>
        <v>44927</v>
      </c>
      <c r="B1" s="168"/>
      <c r="C1" s="168"/>
      <c r="H1" s="139"/>
      <c r="I1" s="140"/>
      <c r="J1" s="141"/>
      <c r="K1" s="141"/>
      <c r="L1" s="924" t="s">
        <v>105</v>
      </c>
      <c r="M1" s="924"/>
      <c r="N1" s="924"/>
      <c r="P1" s="925">
        <f>Elect!A1</f>
        <v>44927</v>
      </c>
      <c r="Q1" s="925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23"/>
      <c r="B2" s="909" t="s">
        <v>106</v>
      </c>
      <c r="C2" s="910"/>
      <c r="D2" s="910"/>
      <c r="E2" s="910"/>
      <c r="F2" s="910"/>
      <c r="G2" s="926"/>
      <c r="H2" s="909" t="s">
        <v>58</v>
      </c>
      <c r="I2" s="910"/>
      <c r="J2" s="910"/>
      <c r="K2" s="910"/>
      <c r="L2" s="910"/>
      <c r="M2" s="910"/>
      <c r="N2" s="910"/>
      <c r="O2" s="910"/>
      <c r="P2" s="926"/>
      <c r="Q2" s="147"/>
      <c r="R2" s="793"/>
      <c r="S2" s="148"/>
      <c r="T2" s="149"/>
      <c r="U2" s="150" t="s">
        <v>107</v>
      </c>
      <c r="V2" s="149"/>
      <c r="W2" s="149"/>
      <c r="X2" s="149"/>
      <c r="Y2" s="149"/>
      <c r="Z2" s="796"/>
      <c r="AA2" s="795"/>
      <c r="AB2" s="151"/>
      <c r="AC2" s="169" t="s">
        <v>108</v>
      </c>
      <c r="AD2" s="794"/>
      <c r="AE2" s="797"/>
      <c r="AF2" s="152"/>
      <c r="AG2" s="897" t="s">
        <v>49</v>
      </c>
      <c r="AH2" s="898"/>
      <c r="AI2" s="898"/>
      <c r="AJ2" s="354" t="s">
        <v>109</v>
      </c>
      <c r="AK2" s="903" t="s">
        <v>110</v>
      </c>
      <c r="AL2" s="905" t="s">
        <v>111</v>
      </c>
      <c r="AM2" s="905" t="s">
        <v>112</v>
      </c>
      <c r="AN2" s="895" t="s">
        <v>113</v>
      </c>
      <c r="AO2" s="913" t="s">
        <v>114</v>
      </c>
      <c r="AP2" s="914" t="s">
        <v>115</v>
      </c>
      <c r="AQ2" s="916" t="s">
        <v>116</v>
      </c>
      <c r="AR2" s="918" t="s">
        <v>117</v>
      </c>
      <c r="AS2" s="920" t="s">
        <v>115</v>
      </c>
      <c r="AT2" s="911" t="s">
        <v>118</v>
      </c>
      <c r="AU2" s="912"/>
      <c r="AV2" s="909" t="s">
        <v>119</v>
      </c>
      <c r="AW2" s="910"/>
      <c r="AX2" s="172"/>
      <c r="AY2" s="173"/>
      <c r="AZ2" s="174" t="s">
        <v>120</v>
      </c>
      <c r="BA2" s="174"/>
      <c r="BB2" s="175"/>
      <c r="BC2" s="155"/>
      <c r="BD2" s="153"/>
      <c r="BE2" s="793" t="s">
        <v>121</v>
      </c>
      <c r="BF2" s="793"/>
      <c r="BG2" s="154"/>
      <c r="BH2" s="174"/>
      <c r="BI2" s="174"/>
      <c r="BJ2" s="174" t="s">
        <v>122</v>
      </c>
      <c r="BK2" s="174"/>
      <c r="BL2" s="175"/>
      <c r="BM2" s="793"/>
      <c r="BN2" s="793"/>
      <c r="BO2" s="793" t="s">
        <v>123</v>
      </c>
      <c r="BP2" s="793"/>
      <c r="BQ2" s="154"/>
    </row>
    <row r="3" spans="1:69" ht="174.75" customHeight="1" thickBot="1">
      <c r="A3" s="156" t="s">
        <v>124</v>
      </c>
      <c r="B3" s="927" t="s">
        <v>125</v>
      </c>
      <c r="C3" s="928"/>
      <c r="D3" s="929" t="s">
        <v>126</v>
      </c>
      <c r="E3" s="930"/>
      <c r="F3" s="931" t="s">
        <v>127</v>
      </c>
      <c r="G3" s="932"/>
      <c r="H3" s="931" t="s">
        <v>128</v>
      </c>
      <c r="I3" s="932"/>
      <c r="J3" s="933" t="s">
        <v>129</v>
      </c>
      <c r="K3" s="934"/>
      <c r="L3" s="935" t="s">
        <v>130</v>
      </c>
      <c r="M3" s="936"/>
      <c r="N3" s="152" t="s">
        <v>131</v>
      </c>
      <c r="O3" s="899" t="s">
        <v>72</v>
      </c>
      <c r="P3" s="900"/>
      <c r="Q3" s="899" t="s">
        <v>132</v>
      </c>
      <c r="R3" s="900"/>
      <c r="S3" s="901" t="s">
        <v>133</v>
      </c>
      <c r="T3" s="902"/>
      <c r="U3" s="901" t="s">
        <v>134</v>
      </c>
      <c r="V3" s="902"/>
      <c r="W3" s="907" t="s">
        <v>135</v>
      </c>
      <c r="X3" s="908"/>
      <c r="Y3" s="901" t="s">
        <v>136</v>
      </c>
      <c r="Z3" s="902"/>
      <c r="AA3" s="907" t="s">
        <v>137</v>
      </c>
      <c r="AB3" s="908"/>
      <c r="AC3" s="901" t="s">
        <v>138</v>
      </c>
      <c r="AD3" s="902"/>
      <c r="AE3" s="157" t="s">
        <v>139</v>
      </c>
      <c r="AF3" s="386" t="s">
        <v>140</v>
      </c>
      <c r="AG3" s="181" t="s">
        <v>141</v>
      </c>
      <c r="AH3" s="158" t="s">
        <v>142</v>
      </c>
      <c r="AI3" s="159" t="s">
        <v>78</v>
      </c>
      <c r="AJ3" s="355">
        <v>0</v>
      </c>
      <c r="AK3" s="904"/>
      <c r="AL3" s="906"/>
      <c r="AM3" s="906"/>
      <c r="AN3" s="896"/>
      <c r="AO3" s="973"/>
      <c r="AP3" s="915"/>
      <c r="AQ3" s="917"/>
      <c r="AR3" s="919"/>
      <c r="AS3" s="921"/>
      <c r="AT3" s="161" t="s">
        <v>143</v>
      </c>
      <c r="AU3" s="161" t="s">
        <v>144</v>
      </c>
      <c r="AV3" s="160" t="s">
        <v>63</v>
      </c>
      <c r="AW3" s="162" t="s">
        <v>65</v>
      </c>
      <c r="AX3" s="176" t="s">
        <v>64</v>
      </c>
      <c r="AY3" s="177" t="s">
        <v>66</v>
      </c>
      <c r="AZ3" s="356" t="s">
        <v>67</v>
      </c>
      <c r="BA3" s="178" t="s">
        <v>145</v>
      </c>
      <c r="BB3" s="179" t="s">
        <v>146</v>
      </c>
      <c r="BC3" s="387" t="s">
        <v>64</v>
      </c>
      <c r="BD3" s="388" t="s">
        <v>66</v>
      </c>
      <c r="BE3" s="357" t="s">
        <v>67</v>
      </c>
      <c r="BF3" s="164" t="s">
        <v>145</v>
      </c>
      <c r="BG3" s="165" t="s">
        <v>146</v>
      </c>
      <c r="BH3" s="177" t="s">
        <v>64</v>
      </c>
      <c r="BI3" s="177" t="s">
        <v>66</v>
      </c>
      <c r="BJ3" s="356" t="s">
        <v>67</v>
      </c>
      <c r="BK3" s="178" t="s">
        <v>145</v>
      </c>
      <c r="BL3" s="179" t="s">
        <v>146</v>
      </c>
      <c r="BM3" s="163" t="s">
        <v>64</v>
      </c>
      <c r="BN3" s="163" t="s">
        <v>66</v>
      </c>
      <c r="BO3" s="357" t="s">
        <v>67</v>
      </c>
      <c r="BP3" s="164" t="s">
        <v>145</v>
      </c>
      <c r="BQ3" s="165" t="s">
        <v>146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6443.944444399327</v>
      </c>
      <c r="D5" s="461">
        <v>0</v>
      </c>
      <c r="E5" s="460">
        <f>Elect!M6</f>
        <v>1741</v>
      </c>
      <c r="F5" s="461">
        <v>20</v>
      </c>
      <c r="G5" s="460">
        <f>Elect!O6</f>
        <v>2000.8333333330229</v>
      </c>
      <c r="H5" s="461">
        <v>800</v>
      </c>
      <c r="I5" s="460">
        <f>Water!C7</f>
        <v>162.88333333313639</v>
      </c>
      <c r="J5" s="461">
        <v>0</v>
      </c>
      <c r="K5" s="460">
        <f>Water!E7</f>
        <v>146.73999999999577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433.40499999981853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251.37489999989472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3529.1816666699574</v>
      </c>
      <c r="AI5" s="465" t="e">
        <f>Gas!#REF!</f>
        <v>#REF!</v>
      </c>
      <c r="AJ5" s="466">
        <f>Gas!J7</f>
        <v>476.84722222412239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149.33333333302289</v>
      </c>
      <c r="AU5" s="460">
        <f>Elect!BP6</f>
        <v>170</v>
      </c>
      <c r="AV5" s="460" t="e">
        <f>Elect!#REF!</f>
        <v>#REF!</v>
      </c>
      <c r="AW5" s="460">
        <f>Elect!BR6</f>
        <v>149.33333333302289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1.8210294117639434</v>
      </c>
      <c r="BN5" s="477" t="e">
        <f>Water!W7</f>
        <v>#DIV/0!</v>
      </c>
      <c r="BO5" s="472">
        <f>Water!X7</f>
        <v>1733.6199999992741</v>
      </c>
      <c r="BP5" s="477">
        <f>Water!Y7</f>
        <v>7.2841176470557736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6181</v>
      </c>
      <c r="D6" s="461">
        <v>0</v>
      </c>
      <c r="E6" s="460">
        <f>Elect!M7</f>
        <v>2110</v>
      </c>
      <c r="F6" s="461">
        <v>20</v>
      </c>
      <c r="G6" s="460">
        <f>Elect!O7</f>
        <v>1875</v>
      </c>
      <c r="H6" s="461">
        <v>936</v>
      </c>
      <c r="I6" s="460">
        <f>Water!C8</f>
        <v>69.599999999999994</v>
      </c>
      <c r="J6" s="461">
        <v>0</v>
      </c>
      <c r="K6" s="460">
        <f>Water!E8</f>
        <v>87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258.10000000000002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149.69800000000001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8455243</v>
      </c>
      <c r="AH6" s="464">
        <f>Gas!C8</f>
        <v>1622.8600000000001</v>
      </c>
      <c r="AI6" s="465" t="e">
        <f>Gas!#REF!</f>
        <v>#REF!</v>
      </c>
      <c r="AJ6" s="466">
        <f>Gas!J8</f>
        <v>292.5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151</v>
      </c>
      <c r="AU6" s="460">
        <f>Elect!BP7</f>
        <v>133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566724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1.1370044052863437</v>
      </c>
      <c r="BN6" s="477" t="e">
        <f>Water!W8</f>
        <v>#DIV/0!</v>
      </c>
      <c r="BO6" s="472">
        <f>Water!X8</f>
        <v>1032.4000000000001</v>
      </c>
      <c r="BP6" s="477">
        <f>Water!Y8</f>
        <v>4.5480176211453749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6253</v>
      </c>
      <c r="D7" s="461">
        <v>0</v>
      </c>
      <c r="E7" s="460">
        <f>Elect!M8</f>
        <v>2264</v>
      </c>
      <c r="F7" s="461">
        <v>20</v>
      </c>
      <c r="G7" s="460">
        <f>Elect!O8</f>
        <v>2037</v>
      </c>
      <c r="H7" s="461">
        <v>685</v>
      </c>
      <c r="I7" s="460">
        <f>Water!C9</f>
        <v>104.39999999999999</v>
      </c>
      <c r="J7" s="461">
        <v>0</v>
      </c>
      <c r="K7" s="460">
        <f>Water!E9</f>
        <v>127.6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342.78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198.81239999999997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8458394</v>
      </c>
      <c r="AH7" s="464">
        <f>Gas!C9</f>
        <v>1717.2</v>
      </c>
      <c r="AI7" s="465" t="e">
        <f>Gas!#REF!</f>
        <v>#REF!</v>
      </c>
      <c r="AJ7" s="466">
        <f>Gas!J9</f>
        <v>370.5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156</v>
      </c>
      <c r="AU7" s="460">
        <f>Elect!BP8</f>
        <v>146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566880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1.6092957746478871</v>
      </c>
      <c r="BN7" s="477" t="e">
        <f>Water!W9</f>
        <v>#DIV/0!</v>
      </c>
      <c r="BO7" s="472">
        <f>Water!X9</f>
        <v>1371.12</v>
      </c>
      <c r="BP7" s="477">
        <f>Water!Y9</f>
        <v>6.4371830985915484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5829</v>
      </c>
      <c r="D8" s="461">
        <v>0</v>
      </c>
      <c r="E8" s="460">
        <f>Elect!M9</f>
        <v>2366</v>
      </c>
      <c r="F8" s="461">
        <v>20</v>
      </c>
      <c r="G8" s="460">
        <f>Elect!O9</f>
        <v>2023</v>
      </c>
      <c r="H8" s="461">
        <v>786</v>
      </c>
      <c r="I8" s="460">
        <f>Water!C10</f>
        <v>92.8</v>
      </c>
      <c r="J8" s="461">
        <v>0</v>
      </c>
      <c r="K8" s="460">
        <f>Water!E10</f>
        <v>110.19999999999999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311.45999999999998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180.64679999999998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8460180</v>
      </c>
      <c r="AH8" s="464">
        <f>Gas!C10</f>
        <v>1893.16</v>
      </c>
      <c r="AI8" s="465" t="e">
        <f>Gas!#REF!</f>
        <v>#REF!</v>
      </c>
      <c r="AJ8" s="466">
        <f>Gas!J10</f>
        <v>405.59999999999997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107</v>
      </c>
      <c r="AU8" s="460">
        <f>Elect!BP9</f>
        <v>112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566987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1.5418811881188117</v>
      </c>
      <c r="BN8" s="477" t="e">
        <f>Water!W10</f>
        <v>#DIV/0!</v>
      </c>
      <c r="BO8" s="472">
        <f>Water!X10</f>
        <v>1245.8399999999999</v>
      </c>
      <c r="BP8" s="477">
        <f>Water!Y10</f>
        <v>6.1675247524752468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6773</v>
      </c>
      <c r="D9" s="461">
        <v>0</v>
      </c>
      <c r="E9" s="460">
        <f>Elect!M10</f>
        <v>2435</v>
      </c>
      <c r="F9" s="461">
        <v>20</v>
      </c>
      <c r="G9" s="460">
        <f>Elect!O10</f>
        <v>2180</v>
      </c>
      <c r="H9" s="461">
        <v>789</v>
      </c>
      <c r="I9" s="460">
        <f>Water!C11</f>
        <v>110.19999999999999</v>
      </c>
      <c r="J9" s="461">
        <v>0</v>
      </c>
      <c r="K9" s="460">
        <f>Water!E11</f>
        <v>121.8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352.06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204.19479999999999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8461649</v>
      </c>
      <c r="AH9" s="464">
        <f>Gas!C11</f>
        <v>1557.14</v>
      </c>
      <c r="AI9" s="465" t="e">
        <f>Gas!#REF!</f>
        <v>#REF!</v>
      </c>
      <c r="AJ9" s="466">
        <f>Gas!J11</f>
        <v>354.9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151</v>
      </c>
      <c r="AU9" s="460">
        <f>Elect!BP10</f>
        <v>130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567138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1.7962244897959183</v>
      </c>
      <c r="BN9" s="477" t="e">
        <f>Water!W11</f>
        <v>#DIV/0!</v>
      </c>
      <c r="BO9" s="472">
        <f>Water!X11</f>
        <v>1408.24</v>
      </c>
      <c r="BP9" s="477">
        <f>Water!Y11</f>
        <v>7.1848979591836732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6934</v>
      </c>
      <c r="D10" s="461">
        <v>0</v>
      </c>
      <c r="E10" s="460">
        <f>Elect!M11</f>
        <v>1943</v>
      </c>
      <c r="F10" s="461">
        <v>20</v>
      </c>
      <c r="G10" s="460">
        <f>Elect!O11</f>
        <v>1857</v>
      </c>
      <c r="H10" s="461">
        <v>805</v>
      </c>
      <c r="I10" s="460">
        <f>Water!C12</f>
        <v>115.99999999999999</v>
      </c>
      <c r="J10" s="461">
        <v>0</v>
      </c>
      <c r="K10" s="460">
        <f>Water!E12</f>
        <v>139.19999999999999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359.59999999999997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208.56799999999996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8463299</v>
      </c>
      <c r="AH10" s="464">
        <f>Gas!C12</f>
        <v>1749</v>
      </c>
      <c r="AI10" s="465" t="e">
        <f>Gas!#REF!</f>
        <v>#REF!</v>
      </c>
      <c r="AJ10" s="466">
        <f>Gas!J12</f>
        <v>323.7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144</v>
      </c>
      <c r="AU10" s="460">
        <f>Elect!BP11</f>
        <v>152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567282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1.6803738317757009</v>
      </c>
      <c r="BN10" s="477" t="e">
        <f>Water!W12</f>
        <v>#DIV/0!</v>
      </c>
      <c r="BO10" s="472">
        <f>Water!X12</f>
        <v>1438.3999999999999</v>
      </c>
      <c r="BP10" s="477">
        <f>Water!Y12</f>
        <v>6.7214953271028035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7377</v>
      </c>
      <c r="D11" s="461">
        <v>0</v>
      </c>
      <c r="E11" s="460">
        <f>Elect!M12</f>
        <v>2115</v>
      </c>
      <c r="F11" s="461">
        <v>20</v>
      </c>
      <c r="G11" s="460">
        <f>Elect!O12</f>
        <v>1832</v>
      </c>
      <c r="H11" s="461">
        <v>871</v>
      </c>
      <c r="I11" s="460">
        <f>Water!C13</f>
        <v>139.19999999999999</v>
      </c>
      <c r="J11" s="461">
        <v>0</v>
      </c>
      <c r="K11" s="460">
        <f>Water!E13</f>
        <v>168.2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418.17999999999995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242.54439999999997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8464878</v>
      </c>
      <c r="AH11" s="464">
        <f>Gas!C13</f>
        <v>1673.74</v>
      </c>
      <c r="AI11" s="465" t="e">
        <f>Gas!#REF!</f>
        <v>#REF!</v>
      </c>
      <c r="AJ11" s="466">
        <f>Gas!J13</f>
        <v>413.4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135</v>
      </c>
      <c r="AU11" s="460">
        <f>Elect!BP12</f>
        <v>139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567417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1.6463779527559053</v>
      </c>
      <c r="BN11" s="477" t="e">
        <f>Water!W13</f>
        <v>#DIV/0!</v>
      </c>
      <c r="BO11" s="472">
        <f>Water!X13</f>
        <v>1672.7199999999998</v>
      </c>
      <c r="BP11" s="477">
        <f>Water!Y13</f>
        <v>6.585511811023621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5450</v>
      </c>
      <c r="D12" s="461">
        <v>0</v>
      </c>
      <c r="E12" s="460">
        <f>Elect!M13</f>
        <v>2125</v>
      </c>
      <c r="F12" s="461">
        <v>20</v>
      </c>
      <c r="G12" s="460">
        <f>Elect!O13</f>
        <v>2113</v>
      </c>
      <c r="H12" s="461">
        <v>963</v>
      </c>
      <c r="I12" s="460">
        <f>Water!C14</f>
        <v>139.19999999999999</v>
      </c>
      <c r="J12" s="461">
        <v>0</v>
      </c>
      <c r="K12" s="460">
        <f>Water!E14</f>
        <v>174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425.71999999999997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246.91759999999996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8466522</v>
      </c>
      <c r="AH12" s="464">
        <f>Gas!C14</f>
        <v>1742.64</v>
      </c>
      <c r="AI12" s="465" t="e">
        <f>Gas!#REF!</f>
        <v>#REF!</v>
      </c>
      <c r="AJ12" s="466">
        <f>Gas!J14</f>
        <v>351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93</v>
      </c>
      <c r="AU12" s="460">
        <f>Elect!BP13</f>
        <v>94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567510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1.7812552301255229</v>
      </c>
      <c r="BN12" s="477" t="e">
        <f>Water!W14</f>
        <v>#DIV/0!</v>
      </c>
      <c r="BO12" s="472">
        <f>Water!X14</f>
        <v>1702.8799999999999</v>
      </c>
      <c r="BP12" s="477">
        <f>Water!Y14</f>
        <v>7.1250209205020916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6568</v>
      </c>
      <c r="D13" s="461">
        <v>0</v>
      </c>
      <c r="E13" s="460">
        <f>Elect!M14</f>
        <v>2906</v>
      </c>
      <c r="F13" s="461">
        <v>20</v>
      </c>
      <c r="G13" s="460">
        <f>Elect!O14</f>
        <v>3150</v>
      </c>
      <c r="H13" s="461">
        <v>790</v>
      </c>
      <c r="I13" s="460">
        <f>Water!C15</f>
        <v>150.79999999999998</v>
      </c>
      <c r="J13" s="461">
        <v>0</v>
      </c>
      <c r="K13" s="460">
        <f>Water!E15</f>
        <v>179.79999999999998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441.37999999999994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256.00039999999996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8468168</v>
      </c>
      <c r="AH13" s="464">
        <f>Gas!C15</f>
        <v>1744.76</v>
      </c>
      <c r="AI13" s="465" t="e">
        <f>Gas!#REF!</f>
        <v>#REF!</v>
      </c>
      <c r="AJ13" s="466">
        <f>Gas!J15</f>
        <v>432.9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130</v>
      </c>
      <c r="AU13" s="460">
        <f>Elect!BP14</f>
        <v>124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567640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2.006272727272727</v>
      </c>
      <c r="BN13" s="477" t="e">
        <f>Water!W15</f>
        <v>#DIV/0!</v>
      </c>
      <c r="BO13" s="472">
        <f>Water!X15</f>
        <v>1765.5199999999998</v>
      </c>
      <c r="BP13" s="477">
        <f>Water!Y15</f>
        <v>8.0250909090909079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4747</v>
      </c>
      <c r="D14" s="461">
        <v>0</v>
      </c>
      <c r="E14" s="460">
        <f>Elect!M15</f>
        <v>2190</v>
      </c>
      <c r="F14" s="461">
        <v>20</v>
      </c>
      <c r="G14" s="460">
        <f>Elect!O15</f>
        <v>2281</v>
      </c>
      <c r="H14" s="461">
        <v>792</v>
      </c>
      <c r="I14" s="460">
        <f>Water!C16</f>
        <v>139.19999999999999</v>
      </c>
      <c r="J14" s="461">
        <v>0</v>
      </c>
      <c r="K14" s="460">
        <f>Water!E16</f>
        <v>168.2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412.96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239.51679999999996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8469842</v>
      </c>
      <c r="AH14" s="464">
        <f>Gas!C16</f>
        <v>1774.44</v>
      </c>
      <c r="AI14" s="465" t="e">
        <f>Gas!#REF!</f>
        <v>#REF!</v>
      </c>
      <c r="AJ14" s="466">
        <f>Gas!J16</f>
        <v>386.09999999999997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131</v>
      </c>
      <c r="AU14" s="460">
        <f>Elect!BP15</f>
        <v>102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567771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2.2322162162162162</v>
      </c>
      <c r="BN14" s="477" t="e">
        <f>Water!W16</f>
        <v>#DIV/0!</v>
      </c>
      <c r="BO14" s="472">
        <f>Water!X16</f>
        <v>1651.84</v>
      </c>
      <c r="BP14" s="477">
        <f>Water!Y16</f>
        <v>8.928864864864865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8905</v>
      </c>
      <c r="D15" s="461">
        <v>0</v>
      </c>
      <c r="E15" s="460">
        <f>Elect!M16</f>
        <v>1993</v>
      </c>
      <c r="F15" s="461">
        <v>20</v>
      </c>
      <c r="G15" s="460">
        <f>Elect!O16</f>
        <v>2111</v>
      </c>
      <c r="H15" s="461">
        <v>817</v>
      </c>
      <c r="I15" s="460">
        <f>Water!C17</f>
        <v>145</v>
      </c>
      <c r="J15" s="461">
        <v>0</v>
      </c>
      <c r="K15" s="460">
        <f>Water!E17</f>
        <v>174.58000000000209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432.27400000000375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250.71892000000216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1743.7</v>
      </c>
      <c r="AI15" s="465" t="e">
        <f>Gas!#REF!</f>
        <v>#REF!</v>
      </c>
      <c r="AJ15" s="466">
        <f>Gas!J17</f>
        <v>391.95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127</v>
      </c>
      <c r="AU15" s="460">
        <f>Elect!BP16</f>
        <v>120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567898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2.7709871794872036</v>
      </c>
      <c r="BN15" s="477" t="e">
        <f>Water!W17</f>
        <v>#DIV/0!</v>
      </c>
      <c r="BO15" s="472">
        <f>Water!X17</f>
        <v>1729.096000000015</v>
      </c>
      <c r="BP15" s="477">
        <f>Water!Y17</f>
        <v>11.083948717948815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5252</v>
      </c>
      <c r="D16" s="461">
        <v>0</v>
      </c>
      <c r="E16" s="460">
        <f>Elect!M17</f>
        <v>2779</v>
      </c>
      <c r="F16" s="461">
        <v>20</v>
      </c>
      <c r="G16" s="460">
        <f>Elect!O17</f>
        <v>2549</v>
      </c>
      <c r="H16" s="461">
        <v>907</v>
      </c>
      <c r="I16" s="460">
        <f>Water!C18</f>
        <v>143.84000000001686</v>
      </c>
      <c r="J16" s="461">
        <v>0</v>
      </c>
      <c r="K16" s="460">
        <f>Water!E18</f>
        <v>173.41999999999788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427.51800000000969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247.9604400000056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8473140.8000000007</v>
      </c>
      <c r="AH16" s="464">
        <f>Gas!C18</f>
        <v>1753.0280000007899</v>
      </c>
      <c r="AI16" s="465" t="e">
        <f>Gas!#REF!</f>
        <v>#REF!</v>
      </c>
      <c r="AJ16" s="466">
        <f>Gas!J18</f>
        <v>394.28999999990918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146</v>
      </c>
      <c r="AU16" s="460">
        <f>Elect!BP17</f>
        <v>138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568044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2.148331658291506</v>
      </c>
      <c r="BN16" s="477" t="e">
        <f>Water!W18</f>
        <v>#DIV/0!</v>
      </c>
      <c r="BO16" s="472">
        <f>Water!X18</f>
        <v>1710.0720000000388</v>
      </c>
      <c r="BP16" s="477">
        <f>Water!Y18</f>
        <v>8.5933266331660239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8745</v>
      </c>
      <c r="D17" s="461">
        <v>0</v>
      </c>
      <c r="E17" s="460">
        <f>Elect!M18</f>
        <v>2297</v>
      </c>
      <c r="F17" s="461">
        <v>20</v>
      </c>
      <c r="G17" s="460">
        <f>Elect!O18</f>
        <v>2196</v>
      </c>
      <c r="H17" s="461">
        <v>812</v>
      </c>
      <c r="I17" s="460">
        <f>Water!C19</f>
        <v>111.35999999998312</v>
      </c>
      <c r="J17" s="461">
        <v>0</v>
      </c>
      <c r="K17" s="460">
        <f>Water!E19</f>
        <v>133.39999999999998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310.06799999998645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179.83943999999212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8474563</v>
      </c>
      <c r="AH17" s="464">
        <f>Gas!C19</f>
        <v>1507.5319999992103</v>
      </c>
      <c r="AI17" s="465" t="e">
        <f>Gas!#REF!</f>
        <v>#REF!</v>
      </c>
      <c r="AJ17" s="466">
        <f>Gas!J19</f>
        <v>313.56000000009078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104</v>
      </c>
      <c r="AU17" s="460">
        <f>Elect!BP18</f>
        <v>103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568148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1.4625849056603135</v>
      </c>
      <c r="BN17" s="477" t="e">
        <f>Water!W19</f>
        <v>#DIV/0!</v>
      </c>
      <c r="BO17" s="472">
        <f>Water!X19</f>
        <v>1240.2719999999458</v>
      </c>
      <c r="BP17" s="477">
        <f>Water!Y19</f>
        <v>5.8503396226412541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5469</v>
      </c>
      <c r="D18" s="461">
        <v>0</v>
      </c>
      <c r="E18" s="460">
        <f>Elect!M19</f>
        <v>2371</v>
      </c>
      <c r="F18" s="461">
        <v>30</v>
      </c>
      <c r="G18" s="460">
        <f>Elect!O19</f>
        <v>2389</v>
      </c>
      <c r="H18" s="461">
        <v>810</v>
      </c>
      <c r="I18" s="460">
        <f>Water!C20</f>
        <v>133.39999999999998</v>
      </c>
      <c r="J18" s="461">
        <v>0</v>
      </c>
      <c r="K18" s="460">
        <f>Water!E20</f>
        <v>162.39999999999998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437.9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253.98199999999997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8476134</v>
      </c>
      <c r="AH18" s="464">
        <f>Gas!C20</f>
        <v>1665.26</v>
      </c>
      <c r="AI18" s="465" t="e">
        <f>Gas!#REF!</f>
        <v>#REF!</v>
      </c>
      <c r="AJ18" s="466">
        <f>Gas!J20</f>
        <v>436.8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121</v>
      </c>
      <c r="AU18" s="460">
        <f>Elect!BP19</f>
        <v>126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566573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1.8399159663865545</v>
      </c>
      <c r="BN18" s="477" t="e">
        <f>Water!W20</f>
        <v>#DIV/0!</v>
      </c>
      <c r="BO18" s="472">
        <f>Water!X20</f>
        <v>1751.6</v>
      </c>
      <c r="BP18" s="477">
        <f>Water!Y20</f>
        <v>7.3596638655462181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6355</v>
      </c>
      <c r="D19" s="461">
        <v>0</v>
      </c>
      <c r="E19" s="460">
        <f>Elect!M20</f>
        <v>2093</v>
      </c>
      <c r="F19" s="461">
        <v>20</v>
      </c>
      <c r="G19" s="460">
        <f>Elect!O20</f>
        <v>2105</v>
      </c>
      <c r="H19" s="461">
        <v>841</v>
      </c>
      <c r="I19" s="460">
        <f>Water!C21</f>
        <v>127.6</v>
      </c>
      <c r="J19" s="461">
        <v>0</v>
      </c>
      <c r="K19" s="460">
        <f>Water!E21</f>
        <v>145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388.6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225.38800000000001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8477679</v>
      </c>
      <c r="AH19" s="464">
        <f>Gas!C21</f>
        <v>1637.7</v>
      </c>
      <c r="AI19" s="465" t="e">
        <f>Gas!#REF!</f>
        <v>#REF!</v>
      </c>
      <c r="AJ19" s="466">
        <f>Gas!J21</f>
        <v>386.09999999999997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115</v>
      </c>
      <c r="AU19" s="460">
        <f>Elect!BP20</f>
        <v>113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568384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1.6969432314410482</v>
      </c>
      <c r="BN19" s="477" t="e">
        <f>Water!W21</f>
        <v>#DIV/0!</v>
      </c>
      <c r="BO19" s="472">
        <f>Water!X21</f>
        <v>1554.4</v>
      </c>
      <c r="BP19" s="477">
        <f>Water!Y21</f>
        <v>6.7877729257641928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6678</v>
      </c>
      <c r="D20" s="461">
        <v>0</v>
      </c>
      <c r="E20" s="460">
        <f>Elect!M21</f>
        <v>2857</v>
      </c>
      <c r="F20" s="461">
        <v>20</v>
      </c>
      <c r="G20" s="460">
        <f>Elect!O21</f>
        <v>2801</v>
      </c>
      <c r="H20" s="461">
        <v>932</v>
      </c>
      <c r="I20" s="460">
        <f>Water!C22</f>
        <v>87</v>
      </c>
      <c r="J20" s="461">
        <v>0</v>
      </c>
      <c r="K20" s="460">
        <f>Water!E22</f>
        <v>104.39999999999999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305.65999999999997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177.28279999999998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8479262</v>
      </c>
      <c r="AH20" s="464">
        <f>Gas!C22</f>
        <v>1677.98</v>
      </c>
      <c r="AI20" s="465" t="e">
        <f>Gas!#REF!</f>
        <v>#REF!</v>
      </c>
      <c r="AJ20" s="466">
        <f>Gas!J22</f>
        <v>382.2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129</v>
      </c>
      <c r="AU20" s="460">
        <f>Elect!BP21</f>
        <v>140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568513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1.4350234741784036</v>
      </c>
      <c r="BN20" s="477" t="e">
        <f>Water!W22</f>
        <v>#DIV/0!</v>
      </c>
      <c r="BO20" s="472">
        <f>Water!X22</f>
        <v>1222.6399999999999</v>
      </c>
      <c r="BP20" s="477">
        <f>Water!Y22</f>
        <v>5.7400938967136144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6754</v>
      </c>
      <c r="D21" s="461">
        <v>0</v>
      </c>
      <c r="E21" s="460">
        <f>Elect!M22</f>
        <v>2027</v>
      </c>
      <c r="F21" s="461">
        <v>20</v>
      </c>
      <c r="G21" s="460">
        <f>Elect!O22</f>
        <v>2047</v>
      </c>
      <c r="H21" s="461">
        <v>972</v>
      </c>
      <c r="I21" s="460">
        <f>Water!C23</f>
        <v>98.6</v>
      </c>
      <c r="J21" s="461">
        <v>0</v>
      </c>
      <c r="K21" s="460">
        <f>Water!E23</f>
        <v>110.19999999999999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325.38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188.72039999999998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8481323</v>
      </c>
      <c r="AH21" s="464">
        <f>Gas!C23</f>
        <v>2184.6600000000003</v>
      </c>
      <c r="AI21" s="465" t="e">
        <f>Gas!#REF!</f>
        <v>#REF!</v>
      </c>
      <c r="AJ21" s="466">
        <f>Gas!J23</f>
        <v>354.9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129</v>
      </c>
      <c r="AU21" s="460">
        <f>Elect!BP22</f>
        <v>131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1.6433333333333333</v>
      </c>
      <c r="BN21" s="477" t="e">
        <f>Water!W23</f>
        <v>#DIV/0!</v>
      </c>
      <c r="BO21" s="472">
        <f>Water!X23</f>
        <v>1301.52</v>
      </c>
      <c r="BP21" s="477">
        <f>Water!Y23</f>
        <v>6.5733333333333333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7905</v>
      </c>
      <c r="D22" s="461">
        <v>0</v>
      </c>
      <c r="E22" s="460">
        <f>Elect!M23</f>
        <v>2478</v>
      </c>
      <c r="F22" s="461">
        <v>20</v>
      </c>
      <c r="G22" s="460">
        <f>Elect!O23</f>
        <v>2489</v>
      </c>
      <c r="H22" s="461">
        <v>864</v>
      </c>
      <c r="I22" s="460">
        <f>Water!C24</f>
        <v>110.19999999999999</v>
      </c>
      <c r="J22" s="461">
        <v>0</v>
      </c>
      <c r="K22" s="460">
        <f>Water!E24</f>
        <v>121.8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366.56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212.60479999999998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8482592</v>
      </c>
      <c r="AH22" s="464">
        <f>Gas!C24</f>
        <v>1345.14</v>
      </c>
      <c r="AI22" s="465" t="e">
        <f>Gas!#REF!</f>
        <v>#REF!</v>
      </c>
      <c r="AJ22" s="466">
        <f>Gas!J24</f>
        <v>397.8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122</v>
      </c>
      <c r="AU22" s="460">
        <f>Elect!BP23</f>
        <v>130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568764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2.1562352941176472</v>
      </c>
      <c r="BN22" s="477" t="e">
        <f>Water!W24</f>
        <v>#DIV/0!</v>
      </c>
      <c r="BO22" s="472">
        <f>Water!X24</f>
        <v>1466.24</v>
      </c>
      <c r="BP22" s="477">
        <f>Water!Y24</f>
        <v>8.624941176470589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4666</v>
      </c>
      <c r="D23" s="461">
        <v>0</v>
      </c>
      <c r="E23" s="460">
        <f>Elect!M24</f>
        <v>1855</v>
      </c>
      <c r="F23" s="461">
        <v>30</v>
      </c>
      <c r="G23" s="460">
        <f>Elect!O24</f>
        <v>1884</v>
      </c>
      <c r="H23" s="461">
        <v>894</v>
      </c>
      <c r="I23" s="460">
        <f>Water!C25</f>
        <v>81.199999999999989</v>
      </c>
      <c r="J23" s="461">
        <v>0</v>
      </c>
      <c r="K23" s="460">
        <f>Water!E25</f>
        <v>92.8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276.65999999999997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160.46279999999996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8483992</v>
      </c>
      <c r="AH23" s="464">
        <f>Gas!C25</f>
        <v>1484</v>
      </c>
      <c r="AI23" s="465" t="e">
        <f>Gas!#REF!</f>
        <v>#REF!</v>
      </c>
      <c r="AJ23" s="466">
        <f>Gas!J25</f>
        <v>319.8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116</v>
      </c>
      <c r="AU23" s="460">
        <f>Elect!BP24</f>
        <v>121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568880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1.3430097087378638</v>
      </c>
      <c r="BN23" s="477" t="e">
        <f>Water!W25</f>
        <v>#DIV/0!</v>
      </c>
      <c r="BO23" s="472">
        <f>Water!X25</f>
        <v>1106.6399999999999</v>
      </c>
      <c r="BP23" s="477">
        <f>Water!Y25</f>
        <v>5.3720388349514554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6708</v>
      </c>
      <c r="D24" s="461">
        <v>0</v>
      </c>
      <c r="E24" s="460">
        <f>Elect!M25</f>
        <v>2217</v>
      </c>
      <c r="F24" s="461">
        <v>20</v>
      </c>
      <c r="G24" s="460">
        <f>Elect!O25</f>
        <v>2328</v>
      </c>
      <c r="H24" s="461">
        <v>944</v>
      </c>
      <c r="I24" s="460">
        <f>Water!C26</f>
        <v>92.8</v>
      </c>
      <c r="J24" s="461">
        <v>0</v>
      </c>
      <c r="K24" s="460">
        <f>Water!E26</f>
        <v>104.39999999999999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312.03999999999996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180.98319999999995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8485406</v>
      </c>
      <c r="AH24" s="464">
        <f>Gas!C26</f>
        <v>1498.8400000000001</v>
      </c>
      <c r="AI24" s="465" t="e">
        <f>Gas!#REF!</f>
        <v>#REF!</v>
      </c>
      <c r="AJ24" s="466">
        <f>Gas!J26</f>
        <v>327.59999999999997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144</v>
      </c>
      <c r="AU24" s="460">
        <f>Elect!BP25</f>
        <v>156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569024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1.3685964912280699</v>
      </c>
      <c r="BN24" s="477" t="e">
        <f>Water!W26</f>
        <v>#DIV/0!</v>
      </c>
      <c r="BO24" s="472">
        <f>Water!X26</f>
        <v>1248.1599999999999</v>
      </c>
      <c r="BP24" s="477">
        <f>Water!Y26</f>
        <v>5.4743859649122797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5866</v>
      </c>
      <c r="D25" s="461">
        <v>0</v>
      </c>
      <c r="E25" s="460">
        <f>Elect!M26</f>
        <v>2042</v>
      </c>
      <c r="F25" s="461">
        <v>20</v>
      </c>
      <c r="G25" s="460">
        <f>Elect!O26</f>
        <v>2446</v>
      </c>
      <c r="H25" s="461">
        <v>916</v>
      </c>
      <c r="I25" s="460">
        <f>Water!C27</f>
        <v>104.39999999999999</v>
      </c>
      <c r="J25" s="461">
        <v>0</v>
      </c>
      <c r="K25" s="460">
        <f>Water!E27</f>
        <v>110.19999999999999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342.78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198.81239999999997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8486965</v>
      </c>
      <c r="AH25" s="464">
        <f>Gas!C27</f>
        <v>1652.5400000000002</v>
      </c>
      <c r="AI25" s="465" t="e">
        <f>Gas!#REF!</f>
        <v>#REF!</v>
      </c>
      <c r="AJ25" s="466">
        <f>Gas!J27</f>
        <v>386.09999999999997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93</v>
      </c>
      <c r="AU25" s="460">
        <f>Elect!BP26</f>
        <v>97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569117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1.3821774193548386</v>
      </c>
      <c r="BN25" s="477" t="e">
        <f>Water!W27</f>
        <v>#DIV/0!</v>
      </c>
      <c r="BO25" s="472">
        <f>Water!X27</f>
        <v>1371.12</v>
      </c>
      <c r="BP25" s="477">
        <f>Water!Y27</f>
        <v>5.5287096774193545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6243</v>
      </c>
      <c r="D26" s="461">
        <v>0</v>
      </c>
      <c r="E26" s="460">
        <f>Elect!M27</f>
        <v>2058</v>
      </c>
      <c r="F26" s="461">
        <v>20</v>
      </c>
      <c r="G26" s="460">
        <f>Elect!O27</f>
        <v>2450</v>
      </c>
      <c r="H26" s="461">
        <v>931</v>
      </c>
      <c r="I26" s="460">
        <f>Water!C28</f>
        <v>81.199999999999989</v>
      </c>
      <c r="J26" s="461">
        <v>0</v>
      </c>
      <c r="K26" s="460">
        <f>Water!E28</f>
        <v>98.6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296.38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171.90039999999999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8488568</v>
      </c>
      <c r="AH26" s="464">
        <f>Gas!C28</f>
        <v>1699.18</v>
      </c>
      <c r="AI26" s="465" t="e">
        <f>Gas!#REF!</f>
        <v>#REF!</v>
      </c>
      <c r="AJ26" s="466">
        <f>Gas!J28</f>
        <v>362.7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156</v>
      </c>
      <c r="AU26" s="460">
        <f>Elect!BP27</f>
        <v>130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569273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1.3172444444444444</v>
      </c>
      <c r="BN26" s="477" t="e">
        <f>Water!W28</f>
        <v>#DIV/0!</v>
      </c>
      <c r="BO26" s="472">
        <f>Water!X28</f>
        <v>1185.52</v>
      </c>
      <c r="BP26" s="477">
        <f>Water!Y28</f>
        <v>5.2689777777777778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6595</v>
      </c>
      <c r="D27" s="461">
        <v>0</v>
      </c>
      <c r="E27" s="460">
        <f>Elect!M28</f>
        <v>2119</v>
      </c>
      <c r="F27" s="461">
        <v>30</v>
      </c>
      <c r="G27" s="460">
        <f>Elect!O28</f>
        <v>2604</v>
      </c>
      <c r="H27" s="461">
        <v>1009</v>
      </c>
      <c r="I27" s="460">
        <f>Water!C29</f>
        <v>98.6</v>
      </c>
      <c r="J27" s="461">
        <v>0</v>
      </c>
      <c r="K27" s="460">
        <f>Water!E29</f>
        <v>104.39999999999999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316.10000000000002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183.33799999999999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8490033</v>
      </c>
      <c r="AH27" s="464">
        <f>Gas!C29</f>
        <v>1552.9</v>
      </c>
      <c r="AI27" s="465" t="e">
        <f>Gas!#REF!</f>
        <v>#REF!</v>
      </c>
      <c r="AJ27" s="466">
        <f>Gas!J29</f>
        <v>347.09999999999997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116</v>
      </c>
      <c r="AU27" s="460">
        <f>Elect!BP28</f>
        <v>130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569389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1.5726368159203981</v>
      </c>
      <c r="BN27" s="477" t="e">
        <f>Water!W29</f>
        <v>#DIV/0!</v>
      </c>
      <c r="BO27" s="472">
        <f>Water!X29</f>
        <v>1264.4000000000001</v>
      </c>
      <c r="BP27" s="477">
        <f>Water!Y29</f>
        <v>6.2905472636815922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6368</v>
      </c>
      <c r="D28" s="461">
        <v>0</v>
      </c>
      <c r="E28" s="460">
        <f>Elect!M29</f>
        <v>2033</v>
      </c>
      <c r="F28" s="461">
        <v>20</v>
      </c>
      <c r="G28" s="460">
        <f>Elect!O29</f>
        <v>2384</v>
      </c>
      <c r="H28" s="461">
        <v>891</v>
      </c>
      <c r="I28" s="460">
        <f>Water!C30</f>
        <v>98.6</v>
      </c>
      <c r="J28" s="461">
        <v>0</v>
      </c>
      <c r="K28" s="460">
        <f>Water!E30</f>
        <v>115.99999999999999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335.81999999999994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194.77559999999994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8491568</v>
      </c>
      <c r="AH28" s="464">
        <f>Gas!C30</f>
        <v>1627.1000000000001</v>
      </c>
      <c r="AI28" s="465" t="e">
        <f>Gas!#REF!</f>
        <v>#REF!</v>
      </c>
      <c r="AJ28" s="466">
        <f>Gas!J30</f>
        <v>357.50000000121071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140</v>
      </c>
      <c r="AU28" s="460">
        <f>Elect!BP29</f>
        <v>129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569529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1.7133673469387751</v>
      </c>
      <c r="BN28" s="477" t="e">
        <f>Water!W30</f>
        <v>#DIV/0!</v>
      </c>
      <c r="BO28" s="472">
        <f>Water!X30</f>
        <v>1343.2799999999997</v>
      </c>
      <c r="BP28" s="477">
        <f>Water!Y30</f>
        <v>6.8534693877551005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6091</v>
      </c>
      <c r="D29" s="461">
        <v>0</v>
      </c>
      <c r="E29" s="460">
        <f>Elect!M30</f>
        <v>2040</v>
      </c>
      <c r="F29" s="461">
        <v>20</v>
      </c>
      <c r="G29" s="460">
        <f>Elect!O30</f>
        <v>2380</v>
      </c>
      <c r="H29" s="461">
        <v>1008</v>
      </c>
      <c r="I29" s="460">
        <f>Water!C31</f>
        <v>87</v>
      </c>
      <c r="J29" s="461">
        <v>0</v>
      </c>
      <c r="K29" s="460">
        <f>Water!E31</f>
        <v>127.6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336.4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195.11199999999997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8493064</v>
      </c>
      <c r="AH29" s="464">
        <f>Gas!C31</f>
        <v>1585.76</v>
      </c>
      <c r="AI29" s="465" t="e">
        <f>Gas!#REF!</f>
        <v>#REF!</v>
      </c>
      <c r="AJ29" s="466">
        <f>Gas!J31</f>
        <v>324.99999999878929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154</v>
      </c>
      <c r="AU29" s="460">
        <f>Elect!BP30</f>
        <v>129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569683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2.3524475524475523</v>
      </c>
      <c r="BN29" s="477" t="e">
        <f>Water!W31</f>
        <v>#DIV/0!</v>
      </c>
      <c r="BO29" s="472">
        <f>Water!X31</f>
        <v>1345.6</v>
      </c>
      <c r="BP29" s="477">
        <f>Water!Y31</f>
        <v>9.4097902097902093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5750</v>
      </c>
      <c r="D30" s="461">
        <v>0</v>
      </c>
      <c r="E30" s="460">
        <f>Elect!M31</f>
        <v>2062</v>
      </c>
      <c r="F30" s="461">
        <v>20</v>
      </c>
      <c r="G30" s="460">
        <f>Elect!O31</f>
        <v>2233</v>
      </c>
      <c r="H30" s="461">
        <v>760</v>
      </c>
      <c r="I30" s="460">
        <f>Water!C32</f>
        <v>127.6</v>
      </c>
      <c r="J30" s="461">
        <v>0</v>
      </c>
      <c r="K30" s="460">
        <f>Water!E32</f>
        <v>81.199999999999989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334.65999999999997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194.10279999999997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8494749</v>
      </c>
      <c r="AH30" s="464">
        <f>Gas!C32</f>
        <v>1786.1000000000001</v>
      </c>
      <c r="AI30" s="465" t="e">
        <f>Gas!#REF!</f>
        <v>#REF!</v>
      </c>
      <c r="AJ30" s="466">
        <f>Gas!J32</f>
        <v>425.09999999999997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154</v>
      </c>
      <c r="AU30" s="460">
        <f>Elect!BP31</f>
        <v>129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569837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2.053128834355828</v>
      </c>
      <c r="BN30" s="477" t="e">
        <f>Water!W32</f>
        <v>#DIV/0!</v>
      </c>
      <c r="BO30" s="472">
        <f>Water!X32</f>
        <v>1338.6399999999999</v>
      </c>
      <c r="BP30" s="477">
        <f>Water!Y32</f>
        <v>8.2125153374233122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5829</v>
      </c>
      <c r="D31" s="461">
        <v>0</v>
      </c>
      <c r="E31" s="460">
        <f>Elect!M32</f>
        <v>2055</v>
      </c>
      <c r="F31" s="461">
        <v>30</v>
      </c>
      <c r="G31" s="460">
        <f>Elect!O32</f>
        <v>2280</v>
      </c>
      <c r="H31" s="461">
        <v>1010</v>
      </c>
      <c r="I31" s="460">
        <f>Water!C33</f>
        <v>57.999999999999993</v>
      </c>
      <c r="J31" s="461">
        <v>0</v>
      </c>
      <c r="K31" s="460">
        <f>Water!E33</f>
        <v>104.39999999999999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287.09999999999997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166.51799999999997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8496190</v>
      </c>
      <c r="AH31" s="464">
        <f>Gas!C33</f>
        <v>1527.46</v>
      </c>
      <c r="AI31" s="465" t="e">
        <f>Gas!#REF!</f>
        <v>#REF!</v>
      </c>
      <c r="AJ31" s="466">
        <f>Gas!J33</f>
        <v>417.3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116</v>
      </c>
      <c r="AU31" s="460">
        <f>Elect!BP32</f>
        <v>129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569953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1.3869565217391302</v>
      </c>
      <c r="BN31" s="477" t="e">
        <f>Water!W33</f>
        <v>#DIV/0!</v>
      </c>
      <c r="BO31" s="472">
        <f>Water!X33</f>
        <v>1148.3999999999999</v>
      </c>
      <c r="BP31" s="477">
        <f>Water!Y33</f>
        <v>5.5478260869565208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6011</v>
      </c>
      <c r="D32" s="482">
        <v>0</v>
      </c>
      <c r="E32" s="481">
        <f>Elect!M33</f>
        <v>2093</v>
      </c>
      <c r="F32" s="482">
        <v>20</v>
      </c>
      <c r="G32" s="481">
        <f>Elect!O33</f>
        <v>2206</v>
      </c>
      <c r="H32" s="482">
        <v>1008</v>
      </c>
      <c r="I32" s="481">
        <f>Water!C34</f>
        <v>98.6</v>
      </c>
      <c r="J32" s="482">
        <v>0</v>
      </c>
      <c r="K32" s="481">
        <f>Water!E34</f>
        <v>110.19999999999999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341.03999999999996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197.80319999999998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8497743</v>
      </c>
      <c r="AH32" s="485">
        <f>Gas!C34</f>
        <v>1646.18</v>
      </c>
      <c r="AI32" s="486" t="e">
        <f>Gas!#REF!</f>
        <v>#REF!</v>
      </c>
      <c r="AJ32" s="487">
        <f>Gas!J34</f>
        <v>460.2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156</v>
      </c>
      <c r="AU32" s="481">
        <f>Elect!BP33</f>
        <v>131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570109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1.5157333333333332</v>
      </c>
      <c r="BN32" s="498" t="e">
        <f>Water!W34</f>
        <v>#DIV/0!</v>
      </c>
      <c r="BO32" s="493">
        <f>Water!X34</f>
        <v>1364.1599999999999</v>
      </c>
      <c r="BP32" s="498">
        <f>Water!Y34</f>
        <v>6.0629333333333326</v>
      </c>
      <c r="BQ32" s="499" t="e">
        <f>Water!Z34</f>
        <v>#DIV/0!</v>
      </c>
    </row>
    <row r="33" spans="1:98" s="521" customFormat="1" ht="72" customHeight="1">
      <c r="A33" s="443" t="s">
        <v>83</v>
      </c>
      <c r="B33" s="500">
        <v>931200</v>
      </c>
      <c r="C33" s="501">
        <f>Elect!J34</f>
        <v>6308</v>
      </c>
      <c r="D33" s="502">
        <v>0</v>
      </c>
      <c r="E33" s="501">
        <f>Elect!M34</f>
        <v>2053</v>
      </c>
      <c r="F33" s="502">
        <v>600</v>
      </c>
      <c r="G33" s="501">
        <f>Elect!O34</f>
        <v>2253</v>
      </c>
      <c r="H33" s="502">
        <v>24543</v>
      </c>
      <c r="I33" s="501">
        <f>Water!C38</f>
        <v>3428.2833333331355</v>
      </c>
      <c r="J33" s="502">
        <v>0</v>
      </c>
      <c r="K33" s="501">
        <f>Water!E39</f>
        <v>132.49133333333319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10965.624999999818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5758.579299999893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53698.981666669963</v>
      </c>
      <c r="AI33" s="506" t="e">
        <f>Gas!#REF!</f>
        <v>#REF!</v>
      </c>
      <c r="AJ33" s="507">
        <f>Gas!J38</f>
        <v>11837.547222224122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156</v>
      </c>
      <c r="AU33" s="506">
        <f>Elect!BP34</f>
        <v>118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570265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1.7306857638888602</v>
      </c>
      <c r="BN33" s="518" t="e">
        <f>Water!W38</f>
        <v>#DIV/0!</v>
      </c>
      <c r="BO33" s="513">
        <f>Water!X38</f>
        <v>42380.019999999269</v>
      </c>
      <c r="BP33" s="518">
        <f>Water!Y38</f>
        <v>6.6887657828281677</v>
      </c>
      <c r="BQ33" s="519" t="e">
        <f>Water!Z38</f>
        <v>#DIV/0!</v>
      </c>
    </row>
    <row r="34" spans="1:98" s="523" customFormat="1" ht="72" customHeight="1" thickBot="1">
      <c r="A34" s="444" t="s">
        <v>84</v>
      </c>
      <c r="B34" s="500">
        <v>33257.142857142855</v>
      </c>
      <c r="C34" s="501">
        <f>Elect!J35</f>
        <v>6499</v>
      </c>
      <c r="D34" s="502">
        <v>0</v>
      </c>
      <c r="E34" s="501">
        <f>Elect!M35</f>
        <v>2175</v>
      </c>
      <c r="F34" s="502">
        <v>21.428571428571427</v>
      </c>
      <c r="G34" s="501">
        <f>Elect!O35</f>
        <v>2199</v>
      </c>
      <c r="H34" s="502">
        <v>876.53571428571433</v>
      </c>
      <c r="I34" s="501">
        <f>Water!C39</f>
        <v>114.27611111110451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365.52083333332729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191.95264333332977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1789.9660555556654</v>
      </c>
      <c r="AI34" s="506" t="e">
        <f>Gas!#REF!</f>
        <v>#REF!</v>
      </c>
      <c r="AJ34" s="507">
        <f>Gas!J39</f>
        <v>394.58490740747072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156</v>
      </c>
      <c r="AU34" s="506">
        <f>Elect!BP35</f>
        <v>0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570421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1.7306857638888604</v>
      </c>
      <c r="BN34" s="518" t="e">
        <f>Water!W39</f>
        <v>#DIV/0!</v>
      </c>
      <c r="BO34" s="513">
        <f>Water!X39</f>
        <v>1412.667333333309</v>
      </c>
      <c r="BP34" s="518">
        <f>Water!Y39</f>
        <v>6.6887657828281677</v>
      </c>
      <c r="BQ34" s="519" t="e">
        <f>Water!Z39</f>
        <v>#DIV/0!</v>
      </c>
    </row>
    <row r="35" spans="1:98" s="523" customFormat="1" ht="72" customHeight="1">
      <c r="A35" s="445" t="s">
        <v>85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566423.66666666698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86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87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88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89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90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147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148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37" t="s">
        <v>149</v>
      </c>
      <c r="B4" s="937"/>
      <c r="C4" s="937"/>
      <c r="D4" s="937"/>
      <c r="E4" s="937"/>
      <c r="F4" s="937"/>
      <c r="G4" s="108">
        <f>Elect!A1</f>
        <v>44927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150</v>
      </c>
      <c r="B7" s="99" t="s">
        <v>151</v>
      </c>
      <c r="C7" s="99" t="s">
        <v>152</v>
      </c>
      <c r="D7" s="99" t="s">
        <v>151</v>
      </c>
      <c r="E7" s="99" t="s">
        <v>152</v>
      </c>
      <c r="F7" s="99" t="s">
        <v>153</v>
      </c>
      <c r="G7" s="100" t="s">
        <v>154</v>
      </c>
      <c r="H7" s="100" t="s">
        <v>155</v>
      </c>
      <c r="I7" s="99" t="s">
        <v>83</v>
      </c>
      <c r="J7" s="101" t="s">
        <v>83</v>
      </c>
    </row>
    <row r="8" spans="1:10" ht="13.5" thickBot="1">
      <c r="A8" s="102"/>
      <c r="B8" s="103" t="s">
        <v>156</v>
      </c>
      <c r="C8" s="103" t="s">
        <v>156</v>
      </c>
      <c r="D8" s="103" t="s">
        <v>157</v>
      </c>
      <c r="E8" s="103" t="s">
        <v>157</v>
      </c>
      <c r="F8" s="104" t="s">
        <v>158</v>
      </c>
      <c r="G8" s="103" t="s">
        <v>12</v>
      </c>
      <c r="H8" s="103"/>
      <c r="I8" s="104" t="s">
        <v>159</v>
      </c>
      <c r="J8" s="105" t="s">
        <v>160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161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161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38"/>
      <c r="B3" s="940">
        <f>Elect!A1</f>
        <v>44927</v>
      </c>
      <c r="C3" s="941"/>
      <c r="D3" s="941"/>
      <c r="E3" s="942"/>
    </row>
    <row r="4" spans="1:5" ht="14.25" customHeight="1" thickBot="1">
      <c r="A4" s="939"/>
      <c r="B4" s="943" t="s">
        <v>12</v>
      </c>
      <c r="C4" s="944"/>
      <c r="D4" s="945" t="s">
        <v>162</v>
      </c>
      <c r="E4" s="946"/>
    </row>
    <row r="5" spans="1:5" ht="13.5" thickBot="1">
      <c r="A5" s="34" t="s">
        <v>163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164</v>
      </c>
      <c r="B6" s="38"/>
      <c r="C6" s="39"/>
      <c r="D6" s="40"/>
      <c r="E6" s="41"/>
    </row>
    <row r="7" spans="1:5" ht="13.5" thickBot="1">
      <c r="A7" s="117" t="s">
        <v>165</v>
      </c>
      <c r="B7" s="42"/>
      <c r="C7" s="43" t="s">
        <v>166</v>
      </c>
      <c r="D7" s="42" t="s">
        <v>166</v>
      </c>
      <c r="E7" s="43" t="s">
        <v>166</v>
      </c>
    </row>
    <row r="8" spans="1:5">
      <c r="A8" s="118" t="s">
        <v>167</v>
      </c>
      <c r="B8" s="42"/>
      <c r="C8" s="43" t="s">
        <v>166</v>
      </c>
      <c r="D8" s="44" t="s">
        <v>166</v>
      </c>
      <c r="E8" s="45" t="s">
        <v>166</v>
      </c>
    </row>
    <row r="9" spans="1:5" ht="13.5" thickBot="1">
      <c r="A9" s="118" t="s">
        <v>168</v>
      </c>
      <c r="B9" s="359"/>
      <c r="C9" s="360" t="s">
        <v>166</v>
      </c>
      <c r="D9" s="44" t="s">
        <v>166</v>
      </c>
      <c r="E9" s="45" t="s">
        <v>166</v>
      </c>
    </row>
    <row r="10" spans="1:5" ht="13.5" thickBot="1">
      <c r="A10" s="119" t="s">
        <v>169</v>
      </c>
      <c r="B10" s="76"/>
      <c r="C10" s="361"/>
      <c r="D10" s="48"/>
      <c r="E10" s="47"/>
    </row>
    <row r="11" spans="1:5" ht="13.5" thickBot="1">
      <c r="A11" s="362" t="s">
        <v>170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171</v>
      </c>
      <c r="B12" s="366"/>
      <c r="C12" s="366" t="s">
        <v>166</v>
      </c>
      <c r="D12" s="52">
        <v>0</v>
      </c>
      <c r="E12" s="53" t="e">
        <v>#REF!</v>
      </c>
    </row>
    <row r="13" spans="1:5" ht="13.5" thickBot="1">
      <c r="A13" s="120" t="s">
        <v>172</v>
      </c>
      <c r="B13" s="76"/>
      <c r="C13" s="77"/>
      <c r="D13" s="42" t="s">
        <v>166</v>
      </c>
      <c r="E13" s="43" t="s">
        <v>166</v>
      </c>
    </row>
    <row r="14" spans="1:5">
      <c r="A14" s="117" t="s">
        <v>173</v>
      </c>
      <c r="B14" s="42"/>
      <c r="C14" s="63" t="s">
        <v>166</v>
      </c>
      <c r="D14" s="55"/>
      <c r="E14" s="56"/>
    </row>
    <row r="15" spans="1:5" ht="13.5" thickBot="1">
      <c r="A15" s="118" t="s">
        <v>174</v>
      </c>
      <c r="B15" s="44"/>
      <c r="C15" s="54" t="s">
        <v>166</v>
      </c>
      <c r="D15" s="58"/>
      <c r="E15" s="59"/>
    </row>
    <row r="16" spans="1:5" ht="13.5" thickBot="1">
      <c r="A16" s="118" t="s">
        <v>175</v>
      </c>
      <c r="B16" s="44"/>
      <c r="C16" s="54" t="s">
        <v>166</v>
      </c>
      <c r="D16" s="61"/>
      <c r="E16" s="62"/>
    </row>
    <row r="17" spans="1:5">
      <c r="A17" s="118" t="s">
        <v>176</v>
      </c>
      <c r="B17" s="44"/>
      <c r="C17" s="54" t="s">
        <v>166</v>
      </c>
      <c r="D17" s="44" t="s">
        <v>166</v>
      </c>
      <c r="E17" s="54" t="s">
        <v>166</v>
      </c>
    </row>
    <row r="18" spans="1:5">
      <c r="A18" s="118" t="s">
        <v>177</v>
      </c>
      <c r="B18" s="44"/>
      <c r="C18" s="54" t="s">
        <v>166</v>
      </c>
      <c r="D18" s="44" t="s">
        <v>166</v>
      </c>
      <c r="E18" s="54" t="s">
        <v>166</v>
      </c>
    </row>
    <row r="19" spans="1:5">
      <c r="A19" s="118" t="s">
        <v>178</v>
      </c>
      <c r="B19" s="44"/>
      <c r="C19" s="54" t="s">
        <v>166</v>
      </c>
      <c r="D19" s="44" t="s">
        <v>166</v>
      </c>
      <c r="E19" s="54" t="s">
        <v>166</v>
      </c>
    </row>
    <row r="20" spans="1:5">
      <c r="A20" s="118" t="s">
        <v>179</v>
      </c>
      <c r="B20" s="44"/>
      <c r="C20" s="64" t="e">
        <f>#REF!</f>
        <v>#REF!</v>
      </c>
      <c r="D20" s="44" t="s">
        <v>166</v>
      </c>
      <c r="E20" s="54" t="s">
        <v>166</v>
      </c>
    </row>
    <row r="21" spans="1:5">
      <c r="A21" s="118" t="s">
        <v>180</v>
      </c>
      <c r="B21" s="44"/>
      <c r="C21" s="54" t="s">
        <v>166</v>
      </c>
      <c r="D21" s="44" t="s">
        <v>166</v>
      </c>
      <c r="E21" s="54" t="s">
        <v>166</v>
      </c>
    </row>
    <row r="22" spans="1:5">
      <c r="A22" s="118" t="s">
        <v>181</v>
      </c>
      <c r="B22" s="44"/>
      <c r="C22" s="54">
        <f>Water!S38</f>
        <v>0</v>
      </c>
      <c r="D22" s="44" t="s">
        <v>166</v>
      </c>
      <c r="E22" s="54" t="s">
        <v>166</v>
      </c>
    </row>
    <row r="23" spans="1:5" ht="13.5" thickBot="1">
      <c r="A23" s="121" t="s">
        <v>182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183</v>
      </c>
      <c r="B24" s="49"/>
      <c r="C24" s="60"/>
      <c r="D24" s="55" t="s">
        <v>166</v>
      </c>
      <c r="E24" s="56" t="s">
        <v>166</v>
      </c>
    </row>
    <row r="25" spans="1:5">
      <c r="A25" s="123" t="s">
        <v>184</v>
      </c>
      <c r="B25" s="42"/>
      <c r="C25" s="67">
        <f>Elect!J34</f>
        <v>6308</v>
      </c>
      <c r="D25" s="55">
        <v>12266</v>
      </c>
      <c r="E25" s="66">
        <v>814</v>
      </c>
    </row>
    <row r="26" spans="1:5" ht="13.5" thickBot="1">
      <c r="A26" s="128" t="s">
        <v>185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186</v>
      </c>
      <c r="B27" s="44"/>
      <c r="C27" s="69">
        <f>Water!H38</f>
        <v>10965.624999999818</v>
      </c>
      <c r="D27" s="61"/>
      <c r="E27" s="62"/>
    </row>
    <row r="28" spans="1:5">
      <c r="A28" s="124" t="s">
        <v>187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188</v>
      </c>
      <c r="B29" s="44"/>
      <c r="C29" s="45" t="s">
        <v>166</v>
      </c>
      <c r="D29" s="70">
        <v>28880</v>
      </c>
      <c r="E29" s="66">
        <v>32980</v>
      </c>
    </row>
    <row r="30" spans="1:5" ht="13.5" thickBot="1">
      <c r="A30" s="125" t="s">
        <v>189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190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191</v>
      </c>
      <c r="B32" s="76"/>
      <c r="C32" s="77"/>
      <c r="D32" s="71" t="e">
        <v>#REF!</v>
      </c>
      <c r="E32" s="56" t="s">
        <v>166</v>
      </c>
    </row>
    <row r="33" spans="1:6" ht="13.5" thickBot="1">
      <c r="A33" s="123" t="s">
        <v>192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193</v>
      </c>
      <c r="B34" s="44"/>
      <c r="C34" s="69">
        <f>YTD!Q5</f>
        <v>0</v>
      </c>
      <c r="D34" s="74"/>
      <c r="E34" s="75"/>
    </row>
    <row r="35" spans="1:6" ht="13.5" thickBot="1">
      <c r="A35" s="124" t="s">
        <v>194</v>
      </c>
      <c r="B35" s="44"/>
      <c r="C35" s="69">
        <f>YTD!Q6</f>
        <v>0</v>
      </c>
      <c r="D35" s="61"/>
      <c r="E35" s="62"/>
    </row>
    <row r="36" spans="1:6">
      <c r="A36" s="128" t="s">
        <v>195</v>
      </c>
      <c r="B36" s="44"/>
      <c r="C36" s="82"/>
      <c r="D36" s="78" t="e">
        <v>#REF!</v>
      </c>
      <c r="E36" s="66" t="e">
        <v>#REF!</v>
      </c>
    </row>
    <row r="37" spans="1:6">
      <c r="A37" s="128" t="s">
        <v>196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197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198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199</v>
      </c>
      <c r="B40" s="76"/>
      <c r="C40" s="77"/>
      <c r="D40" s="55">
        <v>1583714</v>
      </c>
      <c r="E40" s="66">
        <v>1940567</v>
      </c>
    </row>
    <row r="41" spans="1:6">
      <c r="A41" s="367" t="s">
        <v>200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201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202</v>
      </c>
      <c r="B43" s="130"/>
      <c r="C43" s="64">
        <f>Water!X38</f>
        <v>42380.019999999269</v>
      </c>
      <c r="D43" s="58">
        <v>112</v>
      </c>
      <c r="E43" s="66">
        <v>97.529999999999944</v>
      </c>
    </row>
    <row r="44" spans="1:6" ht="13.5" thickBot="1">
      <c r="A44" s="129" t="s">
        <v>203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204</v>
      </c>
      <c r="B45" s="131"/>
      <c r="C45" s="54" t="s">
        <v>166</v>
      </c>
      <c r="D45" s="78">
        <v>2138156.84</v>
      </c>
      <c r="E45" s="66" t="e">
        <v>#REF!</v>
      </c>
    </row>
    <row r="46" spans="1:6" ht="13.5" thickBot="1">
      <c r="A46" s="132" t="s">
        <v>205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206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207</v>
      </c>
      <c r="B48" s="197"/>
      <c r="C48" s="89"/>
      <c r="D48" s="65">
        <v>330278</v>
      </c>
      <c r="E48" s="66" t="e">
        <v>#REF!</v>
      </c>
    </row>
    <row r="49" spans="1:6">
      <c r="A49" s="202" t="s">
        <v>208</v>
      </c>
      <c r="B49" s="195"/>
      <c r="C49" s="203">
        <v>6</v>
      </c>
      <c r="D49" s="44" t="s">
        <v>166</v>
      </c>
      <c r="E49" s="54" t="s">
        <v>166</v>
      </c>
    </row>
    <row r="50" spans="1:6" ht="13.5" thickBot="1">
      <c r="A50" s="222" t="s">
        <v>63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209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210</v>
      </c>
      <c r="B52" s="131"/>
      <c r="C52" s="54">
        <v>75064</v>
      </c>
      <c r="D52" s="61"/>
      <c r="E52" s="62"/>
    </row>
    <row r="53" spans="1:6" ht="13.5" thickBot="1">
      <c r="A53" s="204" t="s">
        <v>211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212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213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214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215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>
        <f>Elect!A1</f>
        <v>44927</v>
      </c>
      <c r="C1" s="774"/>
      <c r="D1" s="774"/>
      <c r="E1" s="774"/>
      <c r="F1" s="774"/>
      <c r="G1" s="774"/>
      <c r="H1" s="211" t="s">
        <v>216</v>
      </c>
      <c r="I1" s="774"/>
      <c r="J1" s="774"/>
      <c r="K1" s="774"/>
      <c r="L1" s="774"/>
      <c r="M1" s="774"/>
      <c r="N1" s="774"/>
      <c r="Q1" s="732"/>
      <c r="R1" s="732"/>
      <c r="S1" s="732"/>
      <c r="T1" s="732"/>
      <c r="U1" s="732"/>
      <c r="V1" s="732"/>
      <c r="W1" s="732"/>
      <c r="X1" s="732"/>
      <c r="Y1" s="732"/>
      <c r="Z1" s="732"/>
      <c r="AA1" s="732"/>
      <c r="AB1" s="732"/>
      <c r="AC1" s="732"/>
      <c r="AD1" s="732"/>
      <c r="AE1" s="732"/>
      <c r="AF1" s="732"/>
      <c r="AG1" s="732"/>
      <c r="AH1" s="732"/>
      <c r="AI1" s="732"/>
      <c r="AJ1" s="732"/>
      <c r="AK1" s="732"/>
      <c r="AL1" s="732"/>
      <c r="AM1" s="732"/>
      <c r="AN1" s="732"/>
      <c r="AO1" s="732"/>
      <c r="AP1" s="732"/>
      <c r="AQ1" s="732"/>
      <c r="AR1" s="732"/>
      <c r="AS1" s="732"/>
      <c r="AT1" s="732"/>
      <c r="AU1" s="732"/>
      <c r="AV1" s="732"/>
      <c r="AW1" s="732"/>
      <c r="AX1" s="732"/>
      <c r="AY1" s="732"/>
      <c r="AZ1" s="732"/>
      <c r="BA1" s="732"/>
      <c r="BB1" s="732"/>
      <c r="BC1" s="732"/>
      <c r="BD1" s="732"/>
      <c r="BE1" s="732"/>
      <c r="BF1" s="732"/>
      <c r="BG1" s="732"/>
      <c r="BH1" s="732"/>
      <c r="BI1" s="732"/>
      <c r="BJ1" s="732"/>
      <c r="BK1" s="732"/>
      <c r="BL1" s="732"/>
      <c r="BM1" s="732"/>
      <c r="BN1" s="732"/>
      <c r="BO1" s="732"/>
      <c r="BP1" s="732"/>
      <c r="BQ1" s="732"/>
      <c r="BR1" s="732"/>
      <c r="BS1" s="732"/>
      <c r="BT1" s="732"/>
      <c r="BU1" s="732"/>
      <c r="BV1" s="732"/>
      <c r="BW1" s="732"/>
      <c r="BX1" s="732"/>
      <c r="BY1" s="732"/>
      <c r="BZ1" s="732"/>
      <c r="CA1" s="732"/>
      <c r="CB1" s="732"/>
      <c r="CC1" s="732"/>
      <c r="CD1" s="732"/>
      <c r="CE1" s="732"/>
      <c r="CF1" s="732"/>
      <c r="CG1" s="732"/>
      <c r="CH1" s="732"/>
      <c r="CI1" s="732"/>
      <c r="CJ1" s="732"/>
      <c r="CK1" s="732"/>
      <c r="CL1" s="732"/>
      <c r="CM1" s="732"/>
      <c r="CN1" s="732"/>
      <c r="CO1" s="732"/>
      <c r="CP1" s="732"/>
      <c r="CQ1" s="732"/>
      <c r="CR1" s="732"/>
      <c r="CS1" s="732"/>
      <c r="CT1" s="732"/>
      <c r="CU1" s="732"/>
      <c r="CV1" s="732"/>
      <c r="CW1" s="732"/>
      <c r="CX1" s="732"/>
      <c r="CY1" s="732"/>
      <c r="CZ1" s="732"/>
      <c r="DA1" s="732"/>
      <c r="DB1" s="732"/>
      <c r="DC1" s="732"/>
      <c r="DD1" s="732"/>
      <c r="DE1" s="732"/>
      <c r="DF1" s="732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732"/>
      <c r="AB2" s="732"/>
      <c r="AC2" s="732"/>
      <c r="AD2" s="732"/>
      <c r="AE2" s="732"/>
      <c r="AF2" s="732"/>
      <c r="AG2" s="732"/>
      <c r="AH2" s="732"/>
      <c r="AI2" s="732"/>
      <c r="AJ2" s="732"/>
      <c r="AK2" s="732"/>
      <c r="AL2" s="732"/>
      <c r="AM2" s="732"/>
      <c r="AN2" s="732"/>
      <c r="AO2" s="732"/>
      <c r="AP2" s="732"/>
      <c r="AQ2" s="732"/>
      <c r="AR2" s="732"/>
      <c r="AS2" s="732"/>
      <c r="AT2" s="732"/>
      <c r="AU2" s="732"/>
      <c r="AV2" s="732"/>
      <c r="AW2" s="732"/>
      <c r="AX2" s="732"/>
      <c r="AY2" s="732"/>
      <c r="AZ2" s="732"/>
      <c r="BA2" s="732"/>
      <c r="BB2" s="732"/>
      <c r="BC2" s="732"/>
      <c r="BD2" s="732"/>
      <c r="BE2" s="732"/>
      <c r="BF2" s="732"/>
      <c r="BG2" s="732"/>
      <c r="BH2" s="732"/>
      <c r="BI2" s="732"/>
      <c r="BJ2" s="732"/>
      <c r="BK2" s="732"/>
      <c r="BL2" s="732"/>
      <c r="BM2" s="732"/>
      <c r="BN2" s="732"/>
      <c r="BO2" s="732"/>
      <c r="BP2" s="732"/>
      <c r="BQ2" s="732"/>
      <c r="BR2" s="732"/>
      <c r="BS2" s="732"/>
      <c r="BT2" s="732"/>
      <c r="BU2" s="732"/>
      <c r="BV2" s="732"/>
      <c r="BW2" s="732"/>
      <c r="BX2" s="732"/>
      <c r="BY2" s="732"/>
      <c r="BZ2" s="732"/>
      <c r="CA2" s="732"/>
      <c r="CB2" s="732"/>
      <c r="CC2" s="732"/>
      <c r="CD2" s="732"/>
      <c r="CE2" s="732"/>
      <c r="CF2" s="732"/>
      <c r="CG2" s="732"/>
      <c r="CH2" s="732"/>
      <c r="CI2" s="732"/>
      <c r="CJ2" s="732"/>
      <c r="CK2" s="732"/>
      <c r="CL2" s="732"/>
      <c r="CM2" s="732"/>
      <c r="CN2" s="732"/>
      <c r="CO2" s="732"/>
      <c r="CP2" s="732"/>
      <c r="CQ2" s="732"/>
      <c r="CR2" s="732"/>
      <c r="CS2" s="732"/>
      <c r="CT2" s="732"/>
      <c r="CU2" s="732"/>
      <c r="CV2" s="732"/>
      <c r="CW2" s="732"/>
      <c r="CX2" s="732"/>
      <c r="CY2" s="732"/>
      <c r="CZ2" s="732"/>
      <c r="DA2" s="732"/>
      <c r="DB2" s="732"/>
      <c r="DC2" s="732"/>
      <c r="DD2" s="732"/>
      <c r="DE2" s="732"/>
      <c r="DF2" s="732"/>
    </row>
    <row r="3" spans="1:110" ht="24" customHeight="1" thickTop="1" thickBot="1">
      <c r="A3" s="292"/>
      <c r="B3" s="293"/>
      <c r="C3" s="227" t="s">
        <v>217</v>
      </c>
      <c r="D3" s="227" t="s">
        <v>218</v>
      </c>
      <c r="E3" s="227" t="s">
        <v>219</v>
      </c>
      <c r="F3" s="227" t="s">
        <v>220</v>
      </c>
      <c r="G3" s="227" t="s">
        <v>221</v>
      </c>
      <c r="H3" s="227" t="s">
        <v>222</v>
      </c>
      <c r="I3" s="227" t="s">
        <v>223</v>
      </c>
      <c r="J3" s="227" t="s">
        <v>224</v>
      </c>
      <c r="K3" s="227" t="s">
        <v>225</v>
      </c>
      <c r="L3" s="227" t="s">
        <v>226</v>
      </c>
      <c r="M3" s="227" t="s">
        <v>227</v>
      </c>
      <c r="N3" s="227" t="s">
        <v>228</v>
      </c>
      <c r="O3" s="228" t="s">
        <v>229</v>
      </c>
      <c r="P3" s="229" t="s">
        <v>230</v>
      </c>
      <c r="Q3" s="230" t="s">
        <v>231</v>
      </c>
      <c r="R3" s="218"/>
      <c r="S3" s="218"/>
      <c r="T3" s="218"/>
      <c r="U3" s="218"/>
      <c r="V3" s="218"/>
      <c r="W3" s="218"/>
      <c r="X3" s="218"/>
      <c r="Y3" s="732"/>
      <c r="Z3" s="732"/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  <c r="BW3" s="732"/>
      <c r="BX3" s="732"/>
      <c r="BY3" s="732"/>
      <c r="BZ3" s="732"/>
      <c r="CA3" s="732"/>
      <c r="CB3" s="732"/>
      <c r="CC3" s="732"/>
      <c r="CD3" s="732"/>
      <c r="CE3" s="732"/>
      <c r="CF3" s="732"/>
      <c r="CG3" s="732"/>
      <c r="CH3" s="732"/>
      <c r="CI3" s="732"/>
      <c r="CJ3" s="732"/>
      <c r="CK3" s="732"/>
      <c r="CL3" s="732"/>
      <c r="CM3" s="732"/>
      <c r="CN3" s="732"/>
      <c r="CO3" s="732"/>
      <c r="CP3" s="732"/>
      <c r="CQ3" s="732"/>
      <c r="CR3" s="732"/>
      <c r="CS3" s="732"/>
      <c r="CT3" s="732"/>
      <c r="CU3" s="732"/>
      <c r="CV3" s="732"/>
      <c r="CW3" s="732"/>
      <c r="CX3" s="732"/>
      <c r="CY3" s="732"/>
      <c r="CZ3" s="732"/>
      <c r="DA3" s="732"/>
      <c r="DB3" s="732"/>
      <c r="DC3" s="732"/>
      <c r="DD3" s="732"/>
      <c r="DE3" s="732"/>
      <c r="DF3" s="732"/>
    </row>
    <row r="4" spans="1:110" ht="23.25">
      <c r="A4" s="294" t="s">
        <v>232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233</v>
      </c>
      <c r="B5" s="296"/>
      <c r="C5" s="234">
        <v>25072</v>
      </c>
      <c r="D5" s="380">
        <f>Elect!BP34</f>
        <v>118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25190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234</v>
      </c>
      <c r="B6" s="298"/>
      <c r="C6" s="235">
        <v>50662</v>
      </c>
      <c r="D6" s="235">
        <f>Elect!BR34</f>
        <v>156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50818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235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236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237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238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239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240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241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242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243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244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245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246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247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248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249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250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251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252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253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254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255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256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257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258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259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260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261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262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263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264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265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266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267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268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269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270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271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272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273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274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275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276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277</v>
      </c>
      <c r="B51" s="312" t="s">
        <v>278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279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280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281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282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283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284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285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286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287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288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289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290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291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292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293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2"/>
      <c r="Z66" s="732"/>
    </row>
    <row r="67" spans="1:110" s="10" customFormat="1" ht="15.75" hidden="1">
      <c r="A67" s="319" t="s">
        <v>294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2"/>
      <c r="Z67" s="732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732"/>
      <c r="AY68" s="732"/>
      <c r="AZ68" s="732"/>
      <c r="BA68" s="732"/>
      <c r="BB68" s="732"/>
      <c r="BC68" s="732"/>
      <c r="BD68" s="732"/>
      <c r="BE68" s="732"/>
      <c r="BF68" s="732"/>
      <c r="BG68" s="732"/>
      <c r="BH68" s="732"/>
      <c r="BI68" s="732"/>
      <c r="BJ68" s="732"/>
      <c r="BK68" s="732"/>
      <c r="BL68" s="732"/>
      <c r="BM68" s="732"/>
      <c r="BN68" s="732"/>
      <c r="BO68" s="732"/>
      <c r="BP68" s="732"/>
      <c r="BQ68" s="732"/>
      <c r="BR68" s="732"/>
      <c r="BS68" s="732"/>
      <c r="BT68" s="732"/>
      <c r="BU68" s="732"/>
      <c r="BV68" s="732"/>
      <c r="BW68" s="732"/>
      <c r="BX68" s="732"/>
      <c r="BY68" s="732"/>
      <c r="BZ68" s="732"/>
      <c r="CA68" s="732"/>
      <c r="CB68" s="732"/>
      <c r="CC68" s="732"/>
      <c r="CD68" s="732"/>
      <c r="CE68" s="732"/>
      <c r="CF68" s="732"/>
      <c r="CG68" s="732"/>
      <c r="CH68" s="732"/>
      <c r="CI68" s="732"/>
      <c r="CJ68" s="732"/>
      <c r="CK68" s="732"/>
      <c r="CL68" s="732"/>
      <c r="CM68" s="732"/>
      <c r="CN68" s="732"/>
      <c r="CO68" s="732"/>
      <c r="CP68" s="732"/>
      <c r="CQ68" s="732"/>
      <c r="CR68" s="732"/>
      <c r="CS68" s="732"/>
      <c r="CT68" s="732"/>
      <c r="CU68" s="732"/>
      <c r="CV68" s="732"/>
      <c r="CW68" s="732"/>
      <c r="CX68" s="732"/>
      <c r="CY68" s="732"/>
      <c r="CZ68" s="732"/>
      <c r="DA68" s="732"/>
      <c r="DB68" s="732"/>
      <c r="DC68" s="732"/>
      <c r="DD68" s="732"/>
      <c r="DE68" s="732"/>
      <c r="DF68" s="732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  <c r="BW69" s="732"/>
      <c r="BX69" s="732"/>
      <c r="BY69" s="732"/>
      <c r="BZ69" s="732"/>
      <c r="CA69" s="732"/>
      <c r="CB69" s="732"/>
      <c r="CC69" s="732"/>
      <c r="CD69" s="732"/>
      <c r="CE69" s="732"/>
      <c r="CF69" s="732"/>
      <c r="CG69" s="732"/>
      <c r="CH69" s="732"/>
      <c r="CI69" s="732"/>
      <c r="CJ69" s="732"/>
      <c r="CK69" s="732"/>
      <c r="CL69" s="732"/>
      <c r="CM69" s="732"/>
      <c r="CN69" s="732"/>
      <c r="CO69" s="732"/>
      <c r="CP69" s="732"/>
      <c r="CQ69" s="732"/>
      <c r="CR69" s="732"/>
      <c r="CS69" s="732"/>
      <c r="CT69" s="732"/>
      <c r="CU69" s="732"/>
      <c r="CV69" s="732"/>
      <c r="CW69" s="732"/>
      <c r="CX69" s="732"/>
      <c r="CY69" s="732"/>
      <c r="CZ69" s="732"/>
      <c r="DA69" s="732"/>
      <c r="DB69" s="732"/>
      <c r="DC69" s="732"/>
      <c r="DD69" s="732"/>
      <c r="DE69" s="732"/>
      <c r="DF69" s="732"/>
    </row>
    <row r="70" spans="1:110" s="10" customFormat="1" ht="15.75" hidden="1">
      <c r="A70" s="320" t="s">
        <v>295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2"/>
      <c r="Z70" s="732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2"/>
      <c r="AX71" s="732"/>
      <c r="AY71" s="732"/>
      <c r="AZ71" s="732"/>
      <c r="BA71" s="732"/>
      <c r="BB71" s="732"/>
      <c r="BC71" s="732"/>
      <c r="BD71" s="732"/>
      <c r="BE71" s="732"/>
      <c r="BF71" s="732"/>
      <c r="BG71" s="732"/>
      <c r="BH71" s="732"/>
      <c r="BI71" s="732"/>
      <c r="BJ71" s="732"/>
      <c r="BK71" s="732"/>
      <c r="BL71" s="732"/>
      <c r="BM71" s="732"/>
      <c r="BN71" s="732"/>
      <c r="BO71" s="732"/>
      <c r="BP71" s="732"/>
      <c r="BQ71" s="732"/>
      <c r="BR71" s="732"/>
      <c r="BS71" s="732"/>
      <c r="BT71" s="732"/>
      <c r="BU71" s="732"/>
      <c r="BV71" s="732"/>
      <c r="BW71" s="732"/>
      <c r="BX71" s="732"/>
      <c r="BY71" s="732"/>
      <c r="BZ71" s="732"/>
      <c r="CA71" s="732"/>
      <c r="CB71" s="732"/>
      <c r="CC71" s="732"/>
      <c r="CD71" s="732"/>
      <c r="CE71" s="732"/>
      <c r="CF71" s="732"/>
      <c r="CG71" s="732"/>
      <c r="CH71" s="732"/>
      <c r="CI71" s="732"/>
      <c r="CJ71" s="732"/>
      <c r="CK71" s="732"/>
      <c r="CL71" s="732"/>
      <c r="CM71" s="732"/>
      <c r="CN71" s="732"/>
      <c r="CO71" s="732"/>
      <c r="CP71" s="732"/>
      <c r="CQ71" s="732"/>
      <c r="CR71" s="732"/>
      <c r="CS71" s="732"/>
      <c r="CT71" s="732"/>
      <c r="CU71" s="732"/>
      <c r="CV71" s="732"/>
      <c r="CW71" s="732"/>
      <c r="CX71" s="732"/>
      <c r="CY71" s="732"/>
      <c r="CZ71" s="732"/>
      <c r="DA71" s="732"/>
      <c r="DB71" s="732"/>
      <c r="DC71" s="732"/>
      <c r="DD71" s="732"/>
      <c r="DE71" s="732"/>
      <c r="DF71" s="732"/>
    </row>
    <row r="72" spans="1:110" s="10" customFormat="1" ht="16.5" hidden="1" thickBot="1">
      <c r="A72" s="321" t="s">
        <v>296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2"/>
      <c r="Z72" s="732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2"/>
      <c r="Z73" s="732"/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  <c r="BW73" s="732"/>
      <c r="BX73" s="732"/>
      <c r="BY73" s="732"/>
      <c r="BZ73" s="732"/>
      <c r="CA73" s="732"/>
      <c r="CB73" s="732"/>
      <c r="CC73" s="732"/>
      <c r="CD73" s="732"/>
      <c r="CE73" s="732"/>
      <c r="CF73" s="732"/>
      <c r="CG73" s="732"/>
      <c r="CH73" s="732"/>
      <c r="CI73" s="732"/>
      <c r="CJ73" s="732"/>
      <c r="CK73" s="732"/>
      <c r="CL73" s="732"/>
      <c r="CM73" s="732"/>
      <c r="CN73" s="732"/>
      <c r="CO73" s="732"/>
      <c r="CP73" s="732"/>
      <c r="CQ73" s="732"/>
      <c r="CR73" s="732"/>
      <c r="CS73" s="732"/>
      <c r="CT73" s="732"/>
      <c r="CU73" s="732"/>
      <c r="CV73" s="732"/>
      <c r="CW73" s="732"/>
      <c r="CX73" s="732"/>
      <c r="CY73" s="732"/>
      <c r="CZ73" s="732"/>
      <c r="DA73" s="732"/>
      <c r="DB73" s="732"/>
      <c r="DC73" s="732"/>
      <c r="DD73" s="732"/>
      <c r="DE73" s="732"/>
      <c r="DF73" s="732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2"/>
      <c r="Z74" s="732"/>
      <c r="AA74" s="732"/>
      <c r="AB74" s="732"/>
      <c r="AC74" s="732"/>
      <c r="AD74" s="732"/>
      <c r="AE74" s="732"/>
      <c r="AF74" s="732"/>
      <c r="AG74" s="732"/>
      <c r="AH74" s="732"/>
      <c r="AI74" s="732"/>
      <c r="AJ74" s="732"/>
      <c r="AK74" s="732"/>
      <c r="AL74" s="732"/>
      <c r="AM74" s="732"/>
      <c r="AN74" s="732"/>
      <c r="AO74" s="732"/>
      <c r="AP74" s="732"/>
      <c r="AQ74" s="732"/>
      <c r="AR74" s="732"/>
      <c r="AS74" s="732"/>
      <c r="AT74" s="732"/>
      <c r="AU74" s="732"/>
      <c r="AV74" s="732"/>
      <c r="AW74" s="732"/>
      <c r="AX74" s="732"/>
      <c r="AY74" s="732"/>
      <c r="AZ74" s="732"/>
      <c r="BA74" s="732"/>
      <c r="BB74" s="732"/>
      <c r="BC74" s="732"/>
      <c r="BD74" s="732"/>
      <c r="BE74" s="732"/>
      <c r="BF74" s="732"/>
      <c r="BG74" s="732"/>
      <c r="BH74" s="732"/>
      <c r="BI74" s="732"/>
      <c r="BJ74" s="732"/>
      <c r="BK74" s="732"/>
      <c r="BL74" s="732"/>
      <c r="BM74" s="732"/>
      <c r="BN74" s="732"/>
      <c r="BO74" s="732"/>
      <c r="BP74" s="732"/>
      <c r="BQ74" s="732"/>
      <c r="BR74" s="732"/>
      <c r="BS74" s="732"/>
      <c r="BT74" s="732"/>
      <c r="BU74" s="732"/>
      <c r="BV74" s="732"/>
      <c r="BW74" s="732"/>
      <c r="BX74" s="732"/>
      <c r="BY74" s="732"/>
      <c r="BZ74" s="732"/>
      <c r="CA74" s="732"/>
      <c r="CB74" s="732"/>
      <c r="CC74" s="732"/>
      <c r="CD74" s="732"/>
      <c r="CE74" s="732"/>
      <c r="CF74" s="732"/>
      <c r="CG74" s="732"/>
      <c r="CH74" s="732"/>
      <c r="CI74" s="732"/>
      <c r="CJ74" s="732"/>
      <c r="CK74" s="732"/>
      <c r="CL74" s="732"/>
      <c r="CM74" s="732"/>
      <c r="CN74" s="732"/>
      <c r="CO74" s="732"/>
      <c r="CP74" s="732"/>
      <c r="CQ74" s="732"/>
      <c r="CR74" s="732"/>
      <c r="CS74" s="732"/>
      <c r="CT74" s="732"/>
      <c r="CU74" s="732"/>
      <c r="CV74" s="732"/>
      <c r="CW74" s="732"/>
      <c r="CX74" s="732"/>
      <c r="CY74" s="732"/>
      <c r="CZ74" s="732"/>
      <c r="DA74" s="732"/>
      <c r="DB74" s="732"/>
      <c r="DC74" s="732"/>
      <c r="DD74" s="732"/>
      <c r="DE74" s="732"/>
      <c r="DF74" s="732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2"/>
      <c r="Z75" s="732"/>
      <c r="AA75" s="732"/>
      <c r="AB75" s="732"/>
      <c r="AC75" s="732"/>
      <c r="AD75" s="732"/>
      <c r="AE75" s="732"/>
      <c r="AF75" s="732"/>
      <c r="AG75" s="732"/>
      <c r="AH75" s="732"/>
      <c r="AI75" s="732"/>
      <c r="AJ75" s="732"/>
      <c r="AK75" s="732"/>
      <c r="AL75" s="732"/>
      <c r="AM75" s="732"/>
      <c r="AN75" s="732"/>
      <c r="AO75" s="732"/>
      <c r="AP75" s="732"/>
      <c r="AQ75" s="732"/>
      <c r="AR75" s="732"/>
      <c r="AS75" s="732"/>
      <c r="AT75" s="732"/>
      <c r="AU75" s="732"/>
      <c r="AV75" s="732"/>
      <c r="AW75" s="732"/>
      <c r="AX75" s="732"/>
      <c r="AY75" s="732"/>
      <c r="AZ75" s="732"/>
      <c r="BA75" s="732"/>
      <c r="BB75" s="732"/>
      <c r="BC75" s="732"/>
      <c r="BD75" s="732"/>
      <c r="BE75" s="732"/>
      <c r="BF75" s="732"/>
      <c r="BG75" s="732"/>
      <c r="BH75" s="732"/>
      <c r="BI75" s="732"/>
      <c r="BJ75" s="732"/>
      <c r="BK75" s="732"/>
      <c r="BL75" s="732"/>
      <c r="BM75" s="732"/>
      <c r="BN75" s="732"/>
      <c r="BO75" s="732"/>
      <c r="BP75" s="732"/>
      <c r="BQ75" s="732"/>
      <c r="BR75" s="732"/>
      <c r="BS75" s="732"/>
      <c r="BT75" s="732"/>
      <c r="BU75" s="732"/>
      <c r="BV75" s="732"/>
      <c r="BW75" s="732"/>
      <c r="BX75" s="732"/>
      <c r="BY75" s="732"/>
      <c r="BZ75" s="732"/>
      <c r="CA75" s="732"/>
      <c r="CB75" s="732"/>
      <c r="CC75" s="732"/>
      <c r="CD75" s="732"/>
      <c r="CE75" s="732"/>
      <c r="CF75" s="732"/>
      <c r="CG75" s="732"/>
      <c r="CH75" s="732"/>
      <c r="CI75" s="732"/>
      <c r="CJ75" s="732"/>
      <c r="CK75" s="732"/>
      <c r="CL75" s="732"/>
      <c r="CM75" s="732"/>
      <c r="CN75" s="732"/>
      <c r="CO75" s="732"/>
      <c r="CP75" s="732"/>
      <c r="CQ75" s="732"/>
      <c r="CR75" s="732"/>
      <c r="CS75" s="732"/>
      <c r="CT75" s="732"/>
      <c r="CU75" s="732"/>
      <c r="CV75" s="732"/>
      <c r="CW75" s="732"/>
      <c r="CX75" s="732"/>
      <c r="CY75" s="732"/>
      <c r="CZ75" s="732"/>
      <c r="DA75" s="732"/>
      <c r="DB75" s="732"/>
      <c r="DC75" s="732"/>
      <c r="DD75" s="732"/>
      <c r="DE75" s="732"/>
      <c r="DF75" s="732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2"/>
      <c r="Z76" s="732"/>
      <c r="AA76" s="732"/>
      <c r="AB76" s="732"/>
      <c r="AC76" s="732"/>
      <c r="AD76" s="732"/>
      <c r="AE76" s="732"/>
      <c r="AF76" s="732"/>
      <c r="AG76" s="732"/>
      <c r="AH76" s="732"/>
      <c r="AI76" s="732"/>
      <c r="AJ76" s="732"/>
      <c r="AK76" s="732"/>
      <c r="AL76" s="732"/>
      <c r="AM76" s="732"/>
      <c r="AN76" s="732"/>
      <c r="AO76" s="732"/>
      <c r="AP76" s="732"/>
      <c r="AQ76" s="732"/>
      <c r="AR76" s="732"/>
      <c r="AS76" s="732"/>
      <c r="AT76" s="732"/>
      <c r="AU76" s="732"/>
      <c r="AV76" s="732"/>
      <c r="AW76" s="732"/>
      <c r="AX76" s="732"/>
      <c r="AY76" s="732"/>
      <c r="AZ76" s="732"/>
      <c r="BA76" s="732"/>
      <c r="BB76" s="732"/>
      <c r="BC76" s="732"/>
      <c r="BD76" s="732"/>
      <c r="BE76" s="732"/>
      <c r="BF76" s="732"/>
      <c r="BG76" s="732"/>
      <c r="BH76" s="732"/>
      <c r="BI76" s="732"/>
      <c r="BJ76" s="732"/>
      <c r="BK76" s="732"/>
      <c r="BL76" s="732"/>
      <c r="BM76" s="732"/>
      <c r="BN76" s="732"/>
      <c r="BO76" s="732"/>
      <c r="BP76" s="732"/>
      <c r="BQ76" s="732"/>
      <c r="BR76" s="732"/>
      <c r="BS76" s="732"/>
      <c r="BT76" s="732"/>
      <c r="BU76" s="732"/>
      <c r="BV76" s="732"/>
      <c r="BW76" s="732"/>
      <c r="BX76" s="732"/>
      <c r="BY76" s="732"/>
      <c r="BZ76" s="732"/>
      <c r="CA76" s="732"/>
      <c r="CB76" s="732"/>
      <c r="CC76" s="732"/>
      <c r="CD76" s="732"/>
      <c r="CE76" s="732"/>
      <c r="CF76" s="732"/>
      <c r="CG76" s="732"/>
      <c r="CH76" s="732"/>
      <c r="CI76" s="732"/>
      <c r="CJ76" s="732"/>
      <c r="CK76" s="732"/>
      <c r="CL76" s="732"/>
      <c r="CM76" s="732"/>
      <c r="CN76" s="732"/>
      <c r="CO76" s="732"/>
      <c r="CP76" s="732"/>
      <c r="CQ76" s="732"/>
      <c r="CR76" s="732"/>
      <c r="CS76" s="732"/>
      <c r="CT76" s="732"/>
      <c r="CU76" s="732"/>
      <c r="CV76" s="732"/>
      <c r="CW76" s="732"/>
      <c r="CX76" s="732"/>
      <c r="CY76" s="732"/>
      <c r="CZ76" s="732"/>
      <c r="DA76" s="732"/>
      <c r="DB76" s="732"/>
      <c r="DC76" s="732"/>
      <c r="DD76" s="732"/>
      <c r="DE76" s="732"/>
      <c r="DF76" s="732"/>
    </row>
    <row r="77" spans="1:110" ht="15.75" hidden="1">
      <c r="A77" s="320" t="s">
        <v>297</v>
      </c>
      <c r="B77" s="320" t="s">
        <v>298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2"/>
      <c r="Z77" s="732"/>
      <c r="AA77" s="732"/>
      <c r="AB77" s="732"/>
      <c r="AC77" s="732"/>
      <c r="AD77" s="732"/>
      <c r="AE77" s="732"/>
      <c r="AF77" s="732"/>
      <c r="AG77" s="732"/>
      <c r="AH77" s="732"/>
      <c r="AI77" s="732"/>
      <c r="AJ77" s="732"/>
      <c r="AK77" s="732"/>
      <c r="AL77" s="732"/>
      <c r="AM77" s="732"/>
      <c r="AN77" s="732"/>
      <c r="AO77" s="732"/>
      <c r="AP77" s="732"/>
      <c r="AQ77" s="732"/>
      <c r="AR77" s="732"/>
      <c r="AS77" s="732"/>
      <c r="AT77" s="732"/>
      <c r="AU77" s="732"/>
      <c r="AV77" s="732"/>
      <c r="AW77" s="732"/>
      <c r="AX77" s="732"/>
      <c r="AY77" s="732"/>
      <c r="AZ77" s="732"/>
      <c r="BA77" s="732"/>
      <c r="BB77" s="732"/>
      <c r="BC77" s="732"/>
      <c r="BD77" s="732"/>
      <c r="BE77" s="732"/>
      <c r="BF77" s="732"/>
      <c r="BG77" s="732"/>
      <c r="BH77" s="732"/>
      <c r="BI77" s="732"/>
      <c r="BJ77" s="732"/>
      <c r="BK77" s="732"/>
      <c r="BL77" s="732"/>
      <c r="BM77" s="732"/>
      <c r="BN77" s="732"/>
      <c r="BO77" s="732"/>
      <c r="BP77" s="732"/>
      <c r="BQ77" s="732"/>
      <c r="BR77" s="732"/>
      <c r="BS77" s="732"/>
      <c r="BT77" s="732"/>
      <c r="BU77" s="732"/>
      <c r="BV77" s="732"/>
      <c r="BW77" s="732"/>
      <c r="BX77" s="732"/>
      <c r="BY77" s="732"/>
      <c r="BZ77" s="732"/>
      <c r="CA77" s="732"/>
      <c r="CB77" s="732"/>
      <c r="CC77" s="732"/>
      <c r="CD77" s="732"/>
      <c r="CE77" s="732"/>
      <c r="CF77" s="732"/>
      <c r="CG77" s="732"/>
      <c r="CH77" s="732"/>
      <c r="CI77" s="732"/>
      <c r="CJ77" s="732"/>
      <c r="CK77" s="732"/>
      <c r="CL77" s="732"/>
      <c r="CM77" s="732"/>
      <c r="CN77" s="732"/>
      <c r="CO77" s="732"/>
      <c r="CP77" s="732"/>
      <c r="CQ77" s="732"/>
      <c r="CR77" s="732"/>
      <c r="CS77" s="732"/>
      <c r="CT77" s="732"/>
      <c r="CU77" s="732"/>
      <c r="CV77" s="732"/>
      <c r="CW77" s="732"/>
      <c r="CX77" s="732"/>
      <c r="CY77" s="732"/>
      <c r="CZ77" s="732"/>
      <c r="DA77" s="732"/>
      <c r="DB77" s="732"/>
      <c r="DC77" s="732"/>
      <c r="DD77" s="732"/>
      <c r="DE77" s="732"/>
      <c r="DF77" s="732"/>
    </row>
    <row r="78" spans="1:110" ht="15.75" hidden="1">
      <c r="A78" s="320" t="s">
        <v>299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2"/>
      <c r="Z78" s="732"/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  <c r="BW78" s="732"/>
      <c r="BX78" s="732"/>
      <c r="BY78" s="732"/>
      <c r="BZ78" s="732"/>
      <c r="CA78" s="732"/>
      <c r="CB78" s="732"/>
      <c r="CC78" s="732"/>
      <c r="CD78" s="732"/>
      <c r="CE78" s="732"/>
      <c r="CF78" s="732"/>
      <c r="CG78" s="732"/>
      <c r="CH78" s="732"/>
      <c r="CI78" s="732"/>
      <c r="CJ78" s="732"/>
      <c r="CK78" s="732"/>
      <c r="CL78" s="732"/>
      <c r="CM78" s="732"/>
      <c r="CN78" s="732"/>
      <c r="CO78" s="732"/>
      <c r="CP78" s="732"/>
      <c r="CQ78" s="732"/>
      <c r="CR78" s="732"/>
      <c r="CS78" s="732"/>
      <c r="CT78" s="732"/>
      <c r="CU78" s="732"/>
      <c r="CV78" s="732"/>
      <c r="CW78" s="732"/>
      <c r="CX78" s="732"/>
      <c r="CY78" s="732"/>
      <c r="CZ78" s="732"/>
      <c r="DA78" s="732"/>
      <c r="DB78" s="732"/>
      <c r="DC78" s="732"/>
      <c r="DD78" s="732"/>
      <c r="DE78" s="732"/>
      <c r="DF78" s="732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2"/>
      <c r="Z79" s="732"/>
      <c r="AA79" s="732"/>
      <c r="AB79" s="732"/>
      <c r="AC79" s="732"/>
      <c r="AD79" s="732"/>
      <c r="AE79" s="732"/>
      <c r="AF79" s="732"/>
      <c r="AG79" s="732"/>
      <c r="AH79" s="732"/>
      <c r="AI79" s="732"/>
      <c r="AJ79" s="732"/>
      <c r="AK79" s="732"/>
      <c r="AL79" s="732"/>
      <c r="AM79" s="732"/>
      <c r="AN79" s="732"/>
      <c r="AO79" s="732"/>
      <c r="AP79" s="732"/>
      <c r="AQ79" s="732"/>
      <c r="AR79" s="732"/>
      <c r="AS79" s="732"/>
      <c r="AT79" s="732"/>
      <c r="AU79" s="732"/>
      <c r="AV79" s="732"/>
      <c r="AW79" s="732"/>
      <c r="AX79" s="732"/>
      <c r="AY79" s="732"/>
      <c r="AZ79" s="732"/>
      <c r="BA79" s="732"/>
      <c r="BB79" s="732"/>
      <c r="BC79" s="732"/>
      <c r="BD79" s="732"/>
      <c r="BE79" s="732"/>
      <c r="BF79" s="732"/>
      <c r="BG79" s="732"/>
      <c r="BH79" s="732"/>
      <c r="BI79" s="732"/>
      <c r="BJ79" s="732"/>
      <c r="BK79" s="732"/>
      <c r="BL79" s="732"/>
      <c r="BM79" s="732"/>
      <c r="BN79" s="732"/>
      <c r="BO79" s="732"/>
      <c r="BP79" s="732"/>
      <c r="BQ79" s="732"/>
      <c r="BR79" s="732"/>
      <c r="BS79" s="732"/>
      <c r="BT79" s="732"/>
      <c r="BU79" s="732"/>
      <c r="BV79" s="732"/>
      <c r="BW79" s="732"/>
      <c r="BX79" s="732"/>
      <c r="BY79" s="732"/>
      <c r="BZ79" s="732"/>
      <c r="CA79" s="732"/>
      <c r="CB79" s="732"/>
      <c r="CC79" s="732"/>
      <c r="CD79" s="732"/>
      <c r="CE79" s="732"/>
      <c r="CF79" s="732"/>
      <c r="CG79" s="732"/>
      <c r="CH79" s="732"/>
      <c r="CI79" s="732"/>
      <c r="CJ79" s="732"/>
      <c r="CK79" s="732"/>
      <c r="CL79" s="732"/>
      <c r="CM79" s="732"/>
      <c r="CN79" s="732"/>
      <c r="CO79" s="732"/>
      <c r="CP79" s="732"/>
      <c r="CQ79" s="732"/>
      <c r="CR79" s="732"/>
      <c r="CS79" s="732"/>
      <c r="CT79" s="732"/>
      <c r="CU79" s="732"/>
      <c r="CV79" s="732"/>
      <c r="CW79" s="732"/>
      <c r="CX79" s="732"/>
      <c r="CY79" s="732"/>
      <c r="CZ79" s="732"/>
      <c r="DA79" s="732"/>
      <c r="DB79" s="732"/>
      <c r="DC79" s="732"/>
      <c r="DD79" s="732"/>
      <c r="DE79" s="732"/>
      <c r="DF79" s="732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2"/>
      <c r="Z80" s="732"/>
      <c r="AA80" s="732"/>
      <c r="AB80" s="732"/>
      <c r="AC80" s="732"/>
      <c r="AD80" s="732"/>
      <c r="AE80" s="732"/>
      <c r="AF80" s="732"/>
      <c r="AG80" s="732"/>
      <c r="AH80" s="732"/>
      <c r="AI80" s="732"/>
      <c r="AJ80" s="732"/>
      <c r="AK80" s="732"/>
      <c r="AL80" s="732"/>
      <c r="AM80" s="732"/>
      <c r="AN80" s="732"/>
      <c r="AO80" s="732"/>
      <c r="AP80" s="732"/>
      <c r="AQ80" s="732"/>
      <c r="AR80" s="732"/>
      <c r="AS80" s="732"/>
      <c r="AT80" s="732"/>
      <c r="AU80" s="732"/>
      <c r="AV80" s="732"/>
      <c r="AW80" s="732"/>
      <c r="AX80" s="732"/>
      <c r="AY80" s="732"/>
      <c r="AZ80" s="732"/>
      <c r="BA80" s="732"/>
      <c r="BB80" s="732"/>
      <c r="BC80" s="732"/>
      <c r="BD80" s="732"/>
      <c r="BE80" s="732"/>
      <c r="BF80" s="732"/>
      <c r="BG80" s="732"/>
      <c r="BH80" s="732"/>
      <c r="BI80" s="732"/>
      <c r="BJ80" s="732"/>
      <c r="BK80" s="732"/>
      <c r="BL80" s="732"/>
      <c r="BM80" s="732"/>
      <c r="BN80" s="732"/>
      <c r="BO80" s="732"/>
      <c r="BP80" s="732"/>
      <c r="BQ80" s="732"/>
      <c r="BR80" s="732"/>
      <c r="BS80" s="732"/>
      <c r="BT80" s="732"/>
      <c r="BU80" s="732"/>
      <c r="BV80" s="732"/>
      <c r="BW80" s="732"/>
      <c r="BX80" s="732"/>
      <c r="BY80" s="732"/>
      <c r="BZ80" s="732"/>
      <c r="CA80" s="732"/>
      <c r="CB80" s="732"/>
      <c r="CC80" s="732"/>
      <c r="CD80" s="732"/>
      <c r="CE80" s="732"/>
      <c r="CF80" s="732"/>
      <c r="CG80" s="732"/>
      <c r="CH80" s="732"/>
      <c r="CI80" s="732"/>
      <c r="CJ80" s="732"/>
      <c r="CK80" s="732"/>
      <c r="CL80" s="732"/>
      <c r="CM80" s="732"/>
      <c r="CN80" s="732"/>
      <c r="CO80" s="732"/>
      <c r="CP80" s="732"/>
      <c r="CQ80" s="732"/>
      <c r="CR80" s="732"/>
      <c r="CS80" s="732"/>
      <c r="CT80" s="732"/>
      <c r="CU80" s="732"/>
      <c r="CV80" s="732"/>
      <c r="CW80" s="732"/>
      <c r="CX80" s="732"/>
      <c r="CY80" s="732"/>
      <c r="CZ80" s="732"/>
      <c r="DA80" s="732"/>
      <c r="DB80" s="732"/>
      <c r="DC80" s="732"/>
      <c r="DD80" s="732"/>
      <c r="DE80" s="732"/>
      <c r="DF80" s="732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297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299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297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299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300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301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302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242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243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244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245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246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247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248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249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250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251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252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253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254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255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256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257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303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259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260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261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262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263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264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265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266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267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268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269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270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271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272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273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274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275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276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277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279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280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281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282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283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304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285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286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287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291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292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305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302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242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243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244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245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246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247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248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249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250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251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252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253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254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255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256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257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303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259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260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261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262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263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264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265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266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267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268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269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270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271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272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273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274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275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276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277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279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280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281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282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283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304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285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286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287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291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292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306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307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308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309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310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311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312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313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314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315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316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317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318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285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319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248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249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250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251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252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253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254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255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256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257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303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259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260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261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262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263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264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265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266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267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268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269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270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271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272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273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274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275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276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277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279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280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281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282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283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304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285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286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287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288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289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291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320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248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249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250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251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252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253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254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255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256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257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303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259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260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261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262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263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264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265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266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267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268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269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270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271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272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273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274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275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276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277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279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280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281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282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283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304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285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286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287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288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289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291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2"/>
      <c r="S2336" s="732"/>
      <c r="T2336" s="732"/>
      <c r="U2336" s="732"/>
      <c r="V2336" s="732"/>
      <c r="W2336" s="732"/>
      <c r="X2336" s="732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2"/>
      <c r="S2337" s="732"/>
      <c r="T2337" s="732"/>
      <c r="U2337" s="732"/>
      <c r="V2337" s="732"/>
      <c r="W2337" s="732"/>
      <c r="X2337" s="732"/>
      <c r="Y2337" s="732"/>
      <c r="Z2337" s="732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321</v>
      </c>
      <c r="I2338" s="214"/>
      <c r="J2338" s="774"/>
      <c r="K2338" s="774"/>
      <c r="L2338" s="774"/>
      <c r="M2338" s="774"/>
      <c r="N2338" s="774"/>
      <c r="Q2338" s="732"/>
      <c r="R2338" s="732"/>
      <c r="S2338" s="732"/>
      <c r="T2338" s="732"/>
      <c r="U2338" s="732"/>
      <c r="V2338" s="732"/>
      <c r="W2338" s="732"/>
      <c r="X2338" s="732"/>
      <c r="Y2338" s="732"/>
      <c r="Z2338" s="732"/>
    </row>
    <row r="2339" spans="1:26" ht="13.5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2"/>
      <c r="R2339" s="732"/>
      <c r="S2339" s="732"/>
      <c r="T2339" s="732"/>
      <c r="U2339" s="732"/>
      <c r="V2339" s="732"/>
      <c r="W2339" s="732"/>
      <c r="X2339" s="732"/>
      <c r="Y2339" s="732"/>
      <c r="Z2339" s="732"/>
    </row>
    <row r="2340" spans="1:26" s="219" customFormat="1" ht="27.75" customHeight="1" thickTop="1" thickBot="1">
      <c r="A2340" s="324"/>
      <c r="B2340" s="325"/>
      <c r="C2340" s="268" t="s">
        <v>217</v>
      </c>
      <c r="D2340" s="268" t="s">
        <v>218</v>
      </c>
      <c r="E2340" s="268" t="s">
        <v>219</v>
      </c>
      <c r="F2340" s="268" t="s">
        <v>220</v>
      </c>
      <c r="G2340" s="268" t="s">
        <v>221</v>
      </c>
      <c r="H2340" s="268" t="s">
        <v>222</v>
      </c>
      <c r="I2340" s="268" t="s">
        <v>223</v>
      </c>
      <c r="J2340" s="268" t="s">
        <v>224</v>
      </c>
      <c r="K2340" s="268" t="s">
        <v>225</v>
      </c>
      <c r="L2340" s="268" t="s">
        <v>226</v>
      </c>
      <c r="M2340" s="268" t="s">
        <v>227</v>
      </c>
      <c r="N2340" s="269" t="s">
        <v>228</v>
      </c>
      <c r="O2340" s="226" t="s">
        <v>322</v>
      </c>
      <c r="P2340" s="270" t="s">
        <v>230</v>
      </c>
      <c r="Q2340" s="230" t="s">
        <v>323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5" thickTop="1">
      <c r="A2341" s="326" t="s">
        <v>233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234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241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2"/>
      <c r="Z2343" s="732"/>
    </row>
    <row r="2344" spans="1:26" s="219" customFormat="1" ht="15.75">
      <c r="A2344" s="330" t="s">
        <v>302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324</v>
      </c>
      <c r="B2345" s="782" t="s">
        <v>325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326</v>
      </c>
      <c r="B2346" s="782" t="s">
        <v>325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327</v>
      </c>
      <c r="B2347" s="782" t="s">
        <v>325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328</v>
      </c>
      <c r="B2348" s="782" t="s">
        <v>325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246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2"/>
      <c r="S2350" s="732"/>
      <c r="T2350" s="732"/>
      <c r="U2350" s="732"/>
      <c r="V2350" s="732"/>
      <c r="W2350" s="732"/>
      <c r="X2350" s="732"/>
      <c r="Y2350" s="732"/>
      <c r="Z2350" s="732"/>
    </row>
    <row r="2351" spans="1:26" s="10" customFormat="1" ht="17.25" thickTop="1" thickBot="1">
      <c r="A2351" s="334" t="s">
        <v>291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2"/>
      <c r="Z2351" s="732"/>
    </row>
    <row r="2352" spans="1:26" s="10" customFormat="1" ht="17.25" thickTop="1" thickBot="1">
      <c r="A2352" s="336" t="s">
        <v>292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2"/>
      <c r="Z2352" s="732"/>
    </row>
    <row r="2353" spans="1:26" s="10" customFormat="1" ht="19.5" customHeight="1" thickBot="1">
      <c r="A2353" s="337" t="s">
        <v>293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2"/>
      <c r="Z2353" s="732"/>
    </row>
    <row r="2354" spans="1:26" ht="13.5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2"/>
      <c r="V2354" s="732"/>
      <c r="W2354" s="732"/>
      <c r="X2354" s="732"/>
      <c r="Y2354" s="732"/>
      <c r="Z2354" s="732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329</v>
      </c>
      <c r="I2355" s="214"/>
      <c r="J2355" s="774"/>
      <c r="K2355" s="774"/>
      <c r="L2355" s="774"/>
      <c r="M2355" s="774"/>
      <c r="N2355" s="774"/>
      <c r="Q2355" s="732"/>
      <c r="R2355" s="732"/>
      <c r="S2355" s="732"/>
      <c r="T2355" s="732"/>
      <c r="U2355" s="732"/>
      <c r="V2355" s="732"/>
      <c r="W2355" s="732"/>
      <c r="X2355" s="732"/>
      <c r="Y2355" s="732"/>
      <c r="Z2355" s="732"/>
    </row>
    <row r="2356" spans="1:26" ht="13.5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2"/>
      <c r="R2356" s="732"/>
      <c r="S2356" s="732"/>
      <c r="T2356" s="732"/>
      <c r="U2356" s="732"/>
      <c r="V2356" s="732"/>
      <c r="W2356" s="732"/>
      <c r="X2356" s="732"/>
      <c r="Y2356" s="732"/>
      <c r="Z2356" s="732"/>
    </row>
    <row r="2357" spans="1:26" s="219" customFormat="1" ht="27.75" customHeight="1" thickTop="1" thickBot="1">
      <c r="A2357" s="324"/>
      <c r="B2357" s="325"/>
      <c r="C2357" s="268" t="s">
        <v>217</v>
      </c>
      <c r="D2357" s="268" t="s">
        <v>218</v>
      </c>
      <c r="E2357" s="268" t="s">
        <v>219</v>
      </c>
      <c r="F2357" s="268" t="s">
        <v>220</v>
      </c>
      <c r="G2357" s="268" t="s">
        <v>221</v>
      </c>
      <c r="H2357" s="268" t="s">
        <v>222</v>
      </c>
      <c r="I2357" s="268" t="s">
        <v>223</v>
      </c>
      <c r="J2357" s="268" t="s">
        <v>224</v>
      </c>
      <c r="K2357" s="268" t="s">
        <v>225</v>
      </c>
      <c r="L2357" s="268" t="s">
        <v>226</v>
      </c>
      <c r="M2357" s="268" t="s">
        <v>227</v>
      </c>
      <c r="N2357" s="269" t="s">
        <v>228</v>
      </c>
      <c r="O2357" s="226" t="s">
        <v>322</v>
      </c>
      <c r="P2357" s="270" t="s">
        <v>230</v>
      </c>
      <c r="Q2357" s="230" t="s">
        <v>323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5" thickTop="1">
      <c r="A2358" s="326" t="s">
        <v>233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234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241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2"/>
      <c r="Z2360" s="732"/>
    </row>
    <row r="2361" spans="1:26" s="219" customFormat="1" ht="15.75">
      <c r="A2361" s="330" t="s">
        <v>302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324</v>
      </c>
      <c r="B2362" s="782" t="s">
        <v>325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326</v>
      </c>
      <c r="B2363" s="782" t="s">
        <v>325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327</v>
      </c>
      <c r="B2364" s="782" t="s">
        <v>325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328</v>
      </c>
      <c r="B2365" s="782" t="s">
        <v>325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246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2"/>
      <c r="S2367" s="732"/>
      <c r="T2367" s="732"/>
      <c r="U2367" s="732"/>
      <c r="V2367" s="732"/>
      <c r="W2367" s="732"/>
      <c r="X2367" s="732"/>
      <c r="Y2367" s="732"/>
      <c r="Z2367" s="732"/>
    </row>
    <row r="2368" spans="1:26" s="10" customFormat="1" ht="17.25" thickTop="1" thickBot="1">
      <c r="A2368" s="334" t="s">
        <v>291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2"/>
      <c r="Z2368" s="732"/>
    </row>
    <row r="2369" spans="1:26" s="10" customFormat="1" ht="17.25" thickTop="1" thickBot="1">
      <c r="A2369" s="336" t="s">
        <v>292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2"/>
      <c r="Z2369" s="732"/>
    </row>
    <row r="2370" spans="1:26" s="10" customFormat="1" ht="19.5" customHeight="1" thickBot="1">
      <c r="A2370" s="337" t="s">
        <v>293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2"/>
      <c r="Z2370" s="732"/>
    </row>
    <row r="2371" spans="1:26" ht="13.5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2"/>
      <c r="R2371" s="732"/>
      <c r="S2371" s="732"/>
      <c r="T2371" s="732"/>
      <c r="U2371" s="732"/>
      <c r="V2371" s="732"/>
      <c r="W2371" s="732"/>
      <c r="X2371" s="732"/>
      <c r="Y2371" s="732"/>
      <c r="Z2371" s="73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I5" activePane="bottomRight" state="frozen"/>
      <selection pane="bottomRight" activeCell="A3" sqref="A3:A4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18.85546875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969">
        <v>44927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91" t="s">
        <v>14</v>
      </c>
      <c r="N1" s="891"/>
      <c r="O1" s="891"/>
      <c r="Q1" s="891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786"/>
      <c r="BK1" s="530"/>
      <c r="BL1" s="530"/>
      <c r="BM1" s="786"/>
      <c r="BN1" s="786"/>
      <c r="BO1" s="528"/>
      <c r="BP1" s="947" t="s">
        <v>330</v>
      </c>
      <c r="BQ1" s="948"/>
      <c r="BR1" s="565">
        <v>1.6</v>
      </c>
      <c r="BS1" s="562" t="s">
        <v>331</v>
      </c>
      <c r="BT1" s="563"/>
      <c r="BU1" s="949" t="s">
        <v>332</v>
      </c>
      <c r="BV1" s="950"/>
      <c r="BW1" s="565">
        <v>500</v>
      </c>
      <c r="BX1" s="947" t="s">
        <v>333</v>
      </c>
      <c r="BY1" s="948"/>
      <c r="BZ1" s="565">
        <v>1.1499999999999999</v>
      </c>
    </row>
    <row r="2" spans="1:78" ht="28.5" hidden="1" customHeight="1" thickBot="1">
      <c r="A2" s="970"/>
      <c r="B2" s="114"/>
      <c r="C2" s="28"/>
      <c r="D2" s="28"/>
      <c r="E2" s="189"/>
      <c r="F2" s="189"/>
      <c r="I2" s="190"/>
      <c r="M2" s="892"/>
      <c r="N2" s="892"/>
      <c r="O2" s="892"/>
      <c r="Q2" s="892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12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947"/>
      <c r="BQ2" s="948"/>
      <c r="BR2" s="565"/>
      <c r="BS2" s="567" t="s">
        <v>334</v>
      </c>
      <c r="BT2" s="568"/>
      <c r="BU2" s="949" t="s">
        <v>335</v>
      </c>
      <c r="BV2" s="950"/>
      <c r="BW2" s="569"/>
      <c r="BX2" s="947" t="s">
        <v>336</v>
      </c>
      <c r="BY2" s="948"/>
      <c r="BZ2" s="565">
        <v>30</v>
      </c>
    </row>
    <row r="3" spans="1:78" s="205" customFormat="1" ht="37.5" customHeight="1">
      <c r="A3" s="954" t="s">
        <v>124</v>
      </c>
      <c r="B3" s="956" t="s">
        <v>337</v>
      </c>
      <c r="C3" s="957"/>
      <c r="D3" s="951" t="s">
        <v>126</v>
      </c>
      <c r="E3" s="951"/>
      <c r="F3" s="951" t="s">
        <v>127</v>
      </c>
      <c r="G3" s="951"/>
      <c r="H3" s="971" t="s">
        <v>338</v>
      </c>
      <c r="I3" s="570" t="s">
        <v>339</v>
      </c>
      <c r="J3" s="536"/>
      <c r="K3" s="789"/>
      <c r="L3" s="951"/>
      <c r="M3" s="951"/>
      <c r="N3" s="951"/>
      <c r="O3" s="951"/>
      <c r="P3" s="951"/>
      <c r="Q3" s="951"/>
      <c r="R3" s="960" t="s">
        <v>340</v>
      </c>
      <c r="S3" s="960"/>
      <c r="T3" s="960"/>
      <c r="U3" s="961"/>
      <c r="V3" s="962" t="s">
        <v>341</v>
      </c>
      <c r="W3" s="963"/>
      <c r="X3" s="963"/>
      <c r="Y3" s="963"/>
      <c r="Z3" s="963"/>
      <c r="AA3" s="963"/>
      <c r="AB3" s="963"/>
      <c r="AC3" s="963"/>
      <c r="AD3" s="963"/>
      <c r="AE3" s="963"/>
      <c r="AF3" s="963"/>
      <c r="AG3" s="963"/>
      <c r="AH3" s="963"/>
      <c r="AI3" s="963"/>
      <c r="AJ3" s="963"/>
      <c r="AK3" s="963"/>
      <c r="AL3" s="963"/>
      <c r="AM3" s="963"/>
      <c r="AN3" s="964"/>
      <c r="AO3" s="968" t="s">
        <v>342</v>
      </c>
      <c r="AP3" s="960"/>
      <c r="AQ3" s="960"/>
      <c r="AR3" s="960"/>
      <c r="AS3" s="960"/>
      <c r="AT3" s="960"/>
      <c r="AU3" s="960"/>
      <c r="AV3" s="960"/>
      <c r="AW3" s="960"/>
      <c r="AX3" s="960"/>
      <c r="AY3" s="960"/>
      <c r="AZ3" s="960"/>
      <c r="BA3" s="960"/>
      <c r="BB3" s="960"/>
      <c r="BC3" s="960"/>
      <c r="BD3" s="960"/>
      <c r="BE3" s="960"/>
      <c r="BF3" s="960"/>
      <c r="BG3" s="960"/>
      <c r="BH3" s="960"/>
      <c r="BI3" s="960"/>
      <c r="BJ3" s="961"/>
      <c r="BK3" s="965" t="s">
        <v>343</v>
      </c>
      <c r="BL3" s="966"/>
      <c r="BM3" s="966"/>
      <c r="BN3" s="966"/>
      <c r="BO3" s="966"/>
      <c r="BP3" s="966"/>
      <c r="BQ3" s="966"/>
      <c r="BR3" s="967"/>
      <c r="BS3" s="958" t="s">
        <v>344</v>
      </c>
      <c r="BT3" s="790" t="s">
        <v>345</v>
      </c>
      <c r="BU3" s="790" t="s">
        <v>346</v>
      </c>
      <c r="BV3" s="790" t="s">
        <v>345</v>
      </c>
      <c r="BW3" s="790" t="s">
        <v>346</v>
      </c>
      <c r="BX3" s="951" t="s">
        <v>347</v>
      </c>
      <c r="BY3" s="571" t="s">
        <v>68</v>
      </c>
      <c r="BZ3" s="572" t="s">
        <v>68</v>
      </c>
    </row>
    <row r="4" spans="1:78" s="205" customFormat="1" ht="55.5" customHeight="1" thickBot="1">
      <c r="A4" s="955"/>
      <c r="B4" s="573" t="s">
        <v>348</v>
      </c>
      <c r="C4" s="574" t="s">
        <v>349</v>
      </c>
      <c r="D4" s="537" t="s">
        <v>348</v>
      </c>
      <c r="E4" s="574" t="s">
        <v>350</v>
      </c>
      <c r="F4" s="537" t="s">
        <v>351</v>
      </c>
      <c r="G4" s="574" t="s">
        <v>352</v>
      </c>
      <c r="H4" s="972"/>
      <c r="I4" s="575" t="s">
        <v>353</v>
      </c>
      <c r="J4" s="537" t="s">
        <v>354</v>
      </c>
      <c r="K4" s="537" t="s">
        <v>355</v>
      </c>
      <c r="L4" s="788" t="s">
        <v>356</v>
      </c>
      <c r="M4" s="537" t="s">
        <v>354</v>
      </c>
      <c r="N4" s="537" t="s">
        <v>357</v>
      </c>
      <c r="O4" s="537" t="s">
        <v>354</v>
      </c>
      <c r="P4" s="576" t="s">
        <v>358</v>
      </c>
      <c r="Q4" s="788" t="s">
        <v>359</v>
      </c>
      <c r="R4" s="686" t="s">
        <v>360</v>
      </c>
      <c r="S4" s="537" t="s">
        <v>354</v>
      </c>
      <c r="T4" s="686" t="s">
        <v>361</v>
      </c>
      <c r="U4" s="537" t="s">
        <v>354</v>
      </c>
      <c r="V4" s="548" t="s">
        <v>362</v>
      </c>
      <c r="W4" s="788" t="s">
        <v>363</v>
      </c>
      <c r="X4" s="548" t="s">
        <v>364</v>
      </c>
      <c r="Y4" s="788" t="s">
        <v>363</v>
      </c>
      <c r="Z4" s="713" t="s">
        <v>365</v>
      </c>
      <c r="AA4" s="788" t="s">
        <v>363</v>
      </c>
      <c r="AB4" s="548" t="s">
        <v>366</v>
      </c>
      <c r="AC4" s="788" t="s">
        <v>363</v>
      </c>
      <c r="AD4" s="548" t="s">
        <v>367</v>
      </c>
      <c r="AE4" s="788" t="s">
        <v>363</v>
      </c>
      <c r="AF4" s="548" t="s">
        <v>368</v>
      </c>
      <c r="AG4" s="788" t="s">
        <v>363</v>
      </c>
      <c r="AH4" s="548" t="s">
        <v>369</v>
      </c>
      <c r="AI4" s="788" t="s">
        <v>363</v>
      </c>
      <c r="AJ4" s="548" t="s">
        <v>370</v>
      </c>
      <c r="AK4" s="788" t="s">
        <v>363</v>
      </c>
      <c r="AL4" s="686" t="s">
        <v>371</v>
      </c>
      <c r="AM4" s="788" t="s">
        <v>363</v>
      </c>
      <c r="AN4" s="576" t="s">
        <v>372</v>
      </c>
      <c r="AO4" s="788" t="s">
        <v>373</v>
      </c>
      <c r="AP4" s="537" t="s">
        <v>354</v>
      </c>
      <c r="AQ4" s="788" t="s">
        <v>374</v>
      </c>
      <c r="AR4" s="537" t="s">
        <v>354</v>
      </c>
      <c r="AS4" s="788" t="s">
        <v>375</v>
      </c>
      <c r="AT4" s="537" t="s">
        <v>354</v>
      </c>
      <c r="AU4" s="788" t="s">
        <v>376</v>
      </c>
      <c r="AV4" s="537" t="s">
        <v>354</v>
      </c>
      <c r="AW4" s="537" t="s">
        <v>377</v>
      </c>
      <c r="AX4" s="537" t="s">
        <v>354</v>
      </c>
      <c r="AY4" s="788" t="s">
        <v>378</v>
      </c>
      <c r="AZ4" s="537" t="s">
        <v>354</v>
      </c>
      <c r="BA4" s="537" t="s">
        <v>379</v>
      </c>
      <c r="BB4" s="537" t="s">
        <v>354</v>
      </c>
      <c r="BC4" s="788" t="s">
        <v>380</v>
      </c>
      <c r="BD4" s="537" t="s">
        <v>354</v>
      </c>
      <c r="BE4" s="537" t="s">
        <v>381</v>
      </c>
      <c r="BF4" s="537" t="s">
        <v>354</v>
      </c>
      <c r="BG4" s="537" t="s">
        <v>382</v>
      </c>
      <c r="BH4" s="537" t="s">
        <v>354</v>
      </c>
      <c r="BI4" s="576" t="s">
        <v>383</v>
      </c>
      <c r="BJ4" s="576" t="s">
        <v>384</v>
      </c>
      <c r="BK4" s="788" t="s">
        <v>385</v>
      </c>
      <c r="BL4" s="537" t="s">
        <v>354</v>
      </c>
      <c r="BM4" s="537" t="s">
        <v>386</v>
      </c>
      <c r="BN4" s="537" t="s">
        <v>354</v>
      </c>
      <c r="BO4" s="537" t="s">
        <v>387</v>
      </c>
      <c r="BP4" s="537" t="s">
        <v>354</v>
      </c>
      <c r="BQ4" s="537" t="s">
        <v>388</v>
      </c>
      <c r="BR4" s="537" t="s">
        <v>354</v>
      </c>
      <c r="BS4" s="959"/>
      <c r="BT4" s="537" t="s">
        <v>389</v>
      </c>
      <c r="BU4" s="537" t="s">
        <v>390</v>
      </c>
      <c r="BV4" s="537" t="s">
        <v>391</v>
      </c>
      <c r="BW4" s="537" t="s">
        <v>391</v>
      </c>
      <c r="BX4" s="952"/>
      <c r="BY4" s="577" t="s">
        <v>79</v>
      </c>
      <c r="BZ4" s="578" t="s">
        <v>80</v>
      </c>
    </row>
    <row r="5" spans="1:78" s="385" customFormat="1" ht="39" customHeight="1">
      <c r="A5" s="525" t="s">
        <v>392</v>
      </c>
      <c r="B5" s="431"/>
      <c r="C5" s="432"/>
      <c r="D5" s="432"/>
      <c r="E5" s="432"/>
      <c r="F5" s="432"/>
      <c r="G5" s="432"/>
      <c r="H5" s="433"/>
      <c r="I5" s="769">
        <v>25793313.055555601</v>
      </c>
      <c r="J5" s="636">
        <f>IF(I5&gt;=I4,I5-I4,0)</f>
        <v>0</v>
      </c>
      <c r="K5" s="636">
        <f>M5+O5</f>
        <v>0</v>
      </c>
      <c r="L5" s="769">
        <v>336740</v>
      </c>
      <c r="M5" s="636">
        <f>IF(L5&gt;=L4,L5-L4,0)</f>
        <v>0</v>
      </c>
      <c r="N5" s="769">
        <v>356217.16666666698</v>
      </c>
      <c r="O5" s="636">
        <f t="shared" ref="O5:O36" si="0">IF(N5&gt;=N4,N5-N4,0)</f>
        <v>0</v>
      </c>
      <c r="P5" s="769">
        <v>227682.83333333299</v>
      </c>
      <c r="Q5" s="636">
        <f>IF(P5&gt;=P4,P5-P4,0)*30</f>
        <v>0</v>
      </c>
      <c r="R5" s="768">
        <v>230535.33333333299</v>
      </c>
      <c r="S5" s="636">
        <f>IF(R5&gt;=R4,R5-R4,0)</f>
        <v>0</v>
      </c>
      <c r="T5" s="768">
        <v>420593.16666666698</v>
      </c>
      <c r="U5" s="636">
        <f t="shared" ref="U5:U27" si="1">IF(T5&gt;=T4,T5-T4,0)</f>
        <v>0</v>
      </c>
      <c r="V5" s="768">
        <v>771151.16666666698</v>
      </c>
      <c r="W5" s="636">
        <f t="shared" ref="W5:W36" si="2">IF(V5&gt;=V4,V5-V4,0)*0.53</f>
        <v>0</v>
      </c>
      <c r="X5" s="769">
        <v>837372</v>
      </c>
      <c r="Y5" s="636">
        <f t="shared" ref="Y5:Y36" si="3">IF(X5&gt;=X4,X5-X4,0)*0.53</f>
        <v>0</v>
      </c>
      <c r="Z5" s="768">
        <v>871759</v>
      </c>
      <c r="AA5" s="636">
        <f t="shared" ref="AA5:AA36" si="4">IF(Z5&gt;=Z4,Z5-Z4,0)*0.53</f>
        <v>0</v>
      </c>
      <c r="AB5" s="768">
        <v>184962</v>
      </c>
      <c r="AC5" s="636">
        <f>IF(AB5&gt;=AB4,AB5-AB4,0)*0.53</f>
        <v>0</v>
      </c>
      <c r="AD5" s="768">
        <v>862567.16666666698</v>
      </c>
      <c r="AE5" s="636">
        <f>IF(AD5&gt;=AD4,AD5-AD4,0)*0.53</f>
        <v>0</v>
      </c>
      <c r="AF5" s="768">
        <v>1010228.33333333</v>
      </c>
      <c r="AG5" s="636">
        <f t="shared" ref="AG5:AG12" si="5">IF(AF5&gt;=AF4,AF5-AF4,0)*0.53</f>
        <v>0</v>
      </c>
      <c r="AH5" s="768">
        <v>432610.83333333302</v>
      </c>
      <c r="AI5" s="636">
        <f t="shared" ref="AI5:AI36" si="6">IF(AH5&gt;=AH4,AH5-AH4,0)*0.53</f>
        <v>0</v>
      </c>
      <c r="AJ5" s="768">
        <v>639862.66666666698</v>
      </c>
      <c r="AK5" s="636">
        <f t="shared" ref="AK5:AK12" si="7">IF(AJ5&gt;=AJ4,AJ5-AJ4,0)*0.53</f>
        <v>0</v>
      </c>
      <c r="AL5" s="768">
        <v>574068.5</v>
      </c>
      <c r="AM5" s="636">
        <f t="shared" ref="AM5:AM36" si="8">IF(AL5&gt;=AL4,AL5-AL4,0)*0.53</f>
        <v>0</v>
      </c>
      <c r="AN5" s="636">
        <f>W5+Y5+AA5+AC5+AE5+AG5+AI5+AK5+AM5</f>
        <v>0</v>
      </c>
      <c r="AO5" s="768">
        <v>8202187.5</v>
      </c>
      <c r="AP5" s="636">
        <f>IF(AO5&gt;=AO4,AO5-AO4,0)*0.1125</f>
        <v>0</v>
      </c>
      <c r="AQ5" s="768">
        <v>756306.66666666698</v>
      </c>
      <c r="AR5" s="636">
        <f t="shared" ref="AR5:AR36" si="9">IF(AQ5&gt;=AQ4,AQ5-AQ4,0)</f>
        <v>0</v>
      </c>
      <c r="AS5" s="769">
        <v>20032.833333333299</v>
      </c>
      <c r="AT5" s="636">
        <f>IF(AS5&gt;=AS4,AS5-AS4,0)</f>
        <v>0</v>
      </c>
      <c r="AU5" s="768">
        <v>827173.16666666698</v>
      </c>
      <c r="AV5" s="636">
        <f t="shared" ref="AV5:AV36" si="10">IF(AU5&gt;=AU4,AU5-AU4,0)</f>
        <v>0</v>
      </c>
      <c r="AW5" s="768">
        <v>2906034.8333333302</v>
      </c>
      <c r="AX5" s="636">
        <f t="shared" ref="AX5:AX36" si="11">IF(AW5&gt;=AW4,AW5-AW4,0)</f>
        <v>0</v>
      </c>
      <c r="AY5" s="769">
        <v>233682.33333333299</v>
      </c>
      <c r="AZ5" s="636">
        <f t="shared" ref="AZ5:AZ18" si="12">IF(AY5&gt;=AY4,AY5-AY4,0)</f>
        <v>0</v>
      </c>
      <c r="BA5" s="768">
        <v>20942278.833333299</v>
      </c>
      <c r="BB5" s="636">
        <f t="shared" ref="BB5:BF36" si="13">IF(BA5&gt;=BA4,BA5-BA4,0)</f>
        <v>0</v>
      </c>
      <c r="BC5" s="768">
        <v>646362.83333333302</v>
      </c>
      <c r="BD5" s="636">
        <f t="shared" si="13"/>
        <v>0</v>
      </c>
      <c r="BE5" s="768">
        <v>46252</v>
      </c>
      <c r="BF5" s="636">
        <f t="shared" si="13"/>
        <v>0</v>
      </c>
      <c r="BG5" s="769">
        <v>26325411.333333299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1500331.83333333</v>
      </c>
      <c r="BL5" s="636">
        <f t="shared" ref="BL5:BL36" si="14">IF(BK5&gt;=BK4,BK5-BK4,0)</f>
        <v>0</v>
      </c>
      <c r="BM5" s="768">
        <v>4339068.8333333302</v>
      </c>
      <c r="BN5" s="636">
        <f t="shared" ref="BN5:BN36" si="15">IF(BM5&gt;=BM4,BM5-BM4,0)</f>
        <v>0</v>
      </c>
      <c r="BO5" s="768">
        <v>453738</v>
      </c>
      <c r="BP5" s="636">
        <f t="shared" ref="BP5:BP36" si="16">IF(BO5&gt;=BO4,BO5-BO4,0)</f>
        <v>0</v>
      </c>
      <c r="BQ5" s="768">
        <v>566423.66666666698</v>
      </c>
      <c r="BR5" s="636">
        <f t="shared" ref="BR5:BR11" si="17">IF(BQ5&gt;=BQ4,BQ5-BQ4,0)</f>
        <v>0</v>
      </c>
      <c r="BS5" s="768"/>
      <c r="BT5" s="693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25799757</v>
      </c>
      <c r="J6" s="636">
        <f t="shared" ref="J6:J36" si="18">IF(I6&gt;=I5,I6-I5,0)</f>
        <v>6443.944444399327</v>
      </c>
      <c r="K6" s="636">
        <f t="shared" ref="K6:K36" si="19">M6+O6</f>
        <v>3741.8333333330229</v>
      </c>
      <c r="L6" s="769">
        <v>338481</v>
      </c>
      <c r="M6" s="636">
        <f>IF(L6&gt;=L5,L6-L5,0)</f>
        <v>1741</v>
      </c>
      <c r="N6" s="769">
        <v>358218</v>
      </c>
      <c r="O6" s="636">
        <f>IF(N6&gt;=N5,N6-N5,0)</f>
        <v>2000.8333333330229</v>
      </c>
      <c r="P6" s="769">
        <v>227697</v>
      </c>
      <c r="Q6" s="636">
        <f>IF(P6&gt;=P5,P6-P5,0)*30</f>
        <v>425.00000001018634</v>
      </c>
      <c r="R6" s="768">
        <v>230676</v>
      </c>
      <c r="S6" s="636">
        <f>IF(R6&gt;=R5,R6-R5,0)</f>
        <v>140.66666666700621</v>
      </c>
      <c r="T6" s="768">
        <v>420893</v>
      </c>
      <c r="U6" s="636">
        <f t="shared" si="1"/>
        <v>299.83333333302289</v>
      </c>
      <c r="V6" s="768">
        <v>774466</v>
      </c>
      <c r="W6" s="636">
        <f t="shared" si="2"/>
        <v>1756.8616666665023</v>
      </c>
      <c r="X6" s="769">
        <v>837372</v>
      </c>
      <c r="Y6" s="636">
        <f t="shared" si="3"/>
        <v>0</v>
      </c>
      <c r="Z6" s="768">
        <v>871759</v>
      </c>
      <c r="AA6" s="636">
        <f t="shared" si="4"/>
        <v>0</v>
      </c>
      <c r="AB6" s="768">
        <v>184962</v>
      </c>
      <c r="AC6" s="636">
        <f>IF(AB6&gt;=AB5,AB6-AB5,0)*0.53</f>
        <v>0</v>
      </c>
      <c r="AD6" s="768">
        <v>862592</v>
      </c>
      <c r="AE6" s="636">
        <f t="shared" ref="AE6:AE36" si="20">IF(AD6&gt;=AD5,AD6-AD5,0)*0.53</f>
        <v>13.161666666502134</v>
      </c>
      <c r="AF6" s="768">
        <v>1010252</v>
      </c>
      <c r="AG6" s="636">
        <f t="shared" si="5"/>
        <v>12.543333335102071</v>
      </c>
      <c r="AH6" s="769">
        <v>433201</v>
      </c>
      <c r="AI6" s="636">
        <f t="shared" si="6"/>
        <v>312.78833333349786</v>
      </c>
      <c r="AJ6" s="769">
        <v>647708</v>
      </c>
      <c r="AK6" s="636">
        <f t="shared" si="7"/>
        <v>4158.026666666502</v>
      </c>
      <c r="AL6" s="768">
        <v>574293</v>
      </c>
      <c r="AM6" s="636">
        <f t="shared" si="8"/>
        <v>118.985</v>
      </c>
      <c r="AN6" s="636">
        <f t="shared" ref="AN6:AN36" si="21">W6+Y6+AA6+AC6+AE6+AG6+AI6+AK6+AM6</f>
        <v>6372.3666666681065</v>
      </c>
      <c r="AO6" s="768">
        <v>8203187</v>
      </c>
      <c r="AP6" s="636">
        <f t="shared" ref="AP6:AP36" si="22">IF(AO6&gt;=AO5,AO6-AO5,0)*0.1125</f>
        <v>112.44375000000001</v>
      </c>
      <c r="AQ6" s="768">
        <v>756469</v>
      </c>
      <c r="AR6" s="636">
        <f t="shared" si="9"/>
        <v>162.33333333302289</v>
      </c>
      <c r="AS6" s="768">
        <v>20126</v>
      </c>
      <c r="AT6" s="636">
        <f t="shared" ref="AT6:AT34" si="23">IF(AS6&gt;=AS5,AS6-AS5,0)</f>
        <v>93.166666666700621</v>
      </c>
      <c r="AU6" s="710">
        <v>827214</v>
      </c>
      <c r="AV6" s="636">
        <f t="shared" si="10"/>
        <v>40.833333333022892</v>
      </c>
      <c r="AW6" s="769">
        <v>2906878</v>
      </c>
      <c r="AX6" s="636">
        <f t="shared" si="11"/>
        <v>843.16666666977108</v>
      </c>
      <c r="AY6" s="768">
        <v>233693</v>
      </c>
      <c r="AZ6" s="636">
        <f t="shared" si="12"/>
        <v>10.666666667006211</v>
      </c>
      <c r="BA6" s="769">
        <v>20947517</v>
      </c>
      <c r="BB6" s="636">
        <f t="shared" si="13"/>
        <v>5238.166666701436</v>
      </c>
      <c r="BC6" s="768">
        <v>646596</v>
      </c>
      <c r="BD6" s="636">
        <f t="shared" si="13"/>
        <v>233.16666666697711</v>
      </c>
      <c r="BE6" s="768">
        <v>46296</v>
      </c>
      <c r="BF6" s="636">
        <f t="shared" si="13"/>
        <v>44</v>
      </c>
      <c r="BG6" s="768">
        <v>26332179</v>
      </c>
      <c r="BH6" s="636">
        <f t="shared" ref="BH6:BH36" si="24">IF(BG6&gt;=BG5,BG6-BG5,0)-(0.45*BN6)-(0.45*BP6)-BR6</f>
        <v>6109.3083333670165</v>
      </c>
      <c r="BI6" s="636">
        <f t="shared" ref="BI6:BI36" si="25">AP6+AR6+AT6+AV6+AX6+AZ6+BB6+BD6+BF6+BH6</f>
        <v>12887.252083404954</v>
      </c>
      <c r="BJ6" s="636">
        <f t="shared" ref="BJ6:BJ36" si="26">BI6+AN6</f>
        <v>19259.618750073059</v>
      </c>
      <c r="BK6" s="769">
        <v>1500557</v>
      </c>
      <c r="BL6" s="636">
        <f t="shared" si="14"/>
        <v>225.16666667000391</v>
      </c>
      <c r="BM6" s="769">
        <v>4340030</v>
      </c>
      <c r="BN6" s="636">
        <f t="shared" si="15"/>
        <v>961.16666666977108</v>
      </c>
      <c r="BO6" s="769">
        <v>453908</v>
      </c>
      <c r="BP6" s="636">
        <f t="shared" si="16"/>
        <v>170</v>
      </c>
      <c r="BQ6" s="768">
        <v>566573</v>
      </c>
      <c r="BR6" s="636">
        <f t="shared" si="17"/>
        <v>149.33333333302289</v>
      </c>
      <c r="BS6" s="692">
        <f t="shared" ref="BS6:BS36" si="27">J6+Q6+AN6+BI6</f>
        <v>26128.563194482573</v>
      </c>
      <c r="BT6" s="693">
        <v>238</v>
      </c>
      <c r="BU6" s="692" t="e">
        <f t="shared" ref="BU6:BU12" si="28">IF(BS6&gt;0,BS6/BT5,0)</f>
        <v>#DIV/0!</v>
      </c>
      <c r="BV6" s="693"/>
      <c r="BW6" s="692" t="e">
        <f t="shared" ref="BW6:BW36" si="29">IF(BS6&gt;0,BS6/BV6,0)</f>
        <v>#DIV/0!</v>
      </c>
      <c r="BX6" s="692">
        <f>((BS6-Q6)*$BZ$1)+(Q6*$BR$1)</f>
        <v>30239.09767365954</v>
      </c>
      <c r="BY6" s="692" t="e">
        <f t="shared" ref="BY6:BY15" si="30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25805938</v>
      </c>
      <c r="J7" s="636">
        <f t="shared" si="18"/>
        <v>6181</v>
      </c>
      <c r="K7" s="636">
        <f t="shared" si="19"/>
        <v>3985</v>
      </c>
      <c r="L7" s="769">
        <v>340591</v>
      </c>
      <c r="M7" s="636">
        <f>IF(L7&gt;=L6,L7-L6,0)</f>
        <v>2110</v>
      </c>
      <c r="N7" s="769">
        <v>360093</v>
      </c>
      <c r="O7" s="636">
        <f>IF(N7&gt;=N6,N7-N6,0)</f>
        <v>1875</v>
      </c>
      <c r="P7" s="769">
        <v>227713</v>
      </c>
      <c r="Q7" s="636">
        <f t="shared" ref="Q7:Q18" si="31">IF(P7&gt;=P6,P7-P6,0)*30</f>
        <v>480</v>
      </c>
      <c r="R7" s="768">
        <v>230814</v>
      </c>
      <c r="S7" s="636">
        <f t="shared" ref="S7:S20" si="32">IF(R7&gt;=R6,R7-R6,0)</f>
        <v>138</v>
      </c>
      <c r="T7" s="768">
        <v>421128</v>
      </c>
      <c r="U7" s="636">
        <f t="shared" si="1"/>
        <v>235</v>
      </c>
      <c r="V7" s="768">
        <v>778406</v>
      </c>
      <c r="W7" s="636">
        <f t="shared" si="2"/>
        <v>2088.2000000000003</v>
      </c>
      <c r="X7" s="769">
        <v>837372</v>
      </c>
      <c r="Y7" s="636">
        <f t="shared" si="3"/>
        <v>0</v>
      </c>
      <c r="Z7" s="768">
        <v>871759</v>
      </c>
      <c r="AA7" s="636">
        <f t="shared" si="4"/>
        <v>0</v>
      </c>
      <c r="AB7" s="768">
        <v>184962</v>
      </c>
      <c r="AC7" s="636">
        <f t="shared" ref="AC7:AC36" si="33">IF(AB7&gt;=AB6,AB7-AB6,0)*0.53</f>
        <v>0</v>
      </c>
      <c r="AD7" s="768">
        <v>862621</v>
      </c>
      <c r="AE7" s="636">
        <f t="shared" si="20"/>
        <v>15.370000000000001</v>
      </c>
      <c r="AF7" s="768">
        <v>1010279</v>
      </c>
      <c r="AG7" s="636">
        <f t="shared" si="5"/>
        <v>14.31</v>
      </c>
      <c r="AH7" s="769">
        <v>433714</v>
      </c>
      <c r="AI7" s="636">
        <f t="shared" si="6"/>
        <v>271.89</v>
      </c>
      <c r="AJ7" s="769">
        <v>652057</v>
      </c>
      <c r="AK7" s="636">
        <f t="shared" si="7"/>
        <v>2304.9700000000003</v>
      </c>
      <c r="AL7" s="768">
        <v>574506</v>
      </c>
      <c r="AM7" s="636">
        <f t="shared" si="8"/>
        <v>112.89</v>
      </c>
      <c r="AN7" s="636">
        <f t="shared" si="21"/>
        <v>4807.63</v>
      </c>
      <c r="AO7" s="768">
        <v>8203527</v>
      </c>
      <c r="AP7" s="636">
        <f t="shared" si="22"/>
        <v>38.25</v>
      </c>
      <c r="AQ7" s="768">
        <v>756663</v>
      </c>
      <c r="AR7" s="636">
        <f t="shared" si="9"/>
        <v>194</v>
      </c>
      <c r="AS7" s="769">
        <v>20222</v>
      </c>
      <c r="AT7" s="636">
        <f t="shared" si="23"/>
        <v>96</v>
      </c>
      <c r="AU7" s="710">
        <v>827257</v>
      </c>
      <c r="AV7" s="636">
        <f t="shared" si="10"/>
        <v>43</v>
      </c>
      <c r="AW7" s="769">
        <v>2907833</v>
      </c>
      <c r="AX7" s="636">
        <f t="shared" si="11"/>
        <v>955</v>
      </c>
      <c r="AY7" s="768">
        <v>233703</v>
      </c>
      <c r="AZ7" s="636">
        <f t="shared" si="12"/>
        <v>10</v>
      </c>
      <c r="BA7" s="769">
        <v>20952571</v>
      </c>
      <c r="BB7" s="636">
        <f t="shared" si="13"/>
        <v>5054</v>
      </c>
      <c r="BC7" s="768">
        <v>646817</v>
      </c>
      <c r="BD7" s="636">
        <f t="shared" si="13"/>
        <v>221</v>
      </c>
      <c r="BE7" s="768">
        <v>46341</v>
      </c>
      <c r="BF7" s="636">
        <f t="shared" si="13"/>
        <v>45</v>
      </c>
      <c r="BG7" s="769">
        <v>26338194</v>
      </c>
      <c r="BH7" s="636">
        <f t="shared" si="24"/>
        <v>5300.5999999999995</v>
      </c>
      <c r="BI7" s="636">
        <f t="shared" si="25"/>
        <v>11956.849999999999</v>
      </c>
      <c r="BJ7" s="636">
        <f t="shared" si="26"/>
        <v>16764.48</v>
      </c>
      <c r="BK7" s="769">
        <v>1500720</v>
      </c>
      <c r="BL7" s="636">
        <f t="shared" si="14"/>
        <v>163</v>
      </c>
      <c r="BM7" s="769">
        <v>4341149</v>
      </c>
      <c r="BN7" s="636">
        <f t="shared" si="15"/>
        <v>1119</v>
      </c>
      <c r="BO7" s="769">
        <v>454041</v>
      </c>
      <c r="BP7" s="636">
        <f t="shared" si="16"/>
        <v>133</v>
      </c>
      <c r="BQ7" s="768">
        <v>566724</v>
      </c>
      <c r="BR7" s="636">
        <f t="shared" si="17"/>
        <v>151</v>
      </c>
      <c r="BS7" s="692">
        <f t="shared" si="27"/>
        <v>23425.48</v>
      </c>
      <c r="BT7" s="693">
        <v>227</v>
      </c>
      <c r="BU7" s="692">
        <f t="shared" si="28"/>
        <v>98.426386554621843</v>
      </c>
      <c r="BV7" s="693"/>
      <c r="BW7" s="692" t="e">
        <f t="shared" si="29"/>
        <v>#DIV/0!</v>
      </c>
      <c r="BX7" s="692">
        <f t="shared" ref="BX7:BX36" si="34">((BS7-Q7)*$BZ$1)+(Q7*$BR$1)</f>
        <v>27155.301999999996</v>
      </c>
      <c r="BY7" s="692">
        <f t="shared" si="30"/>
        <v>114.09790756302519</v>
      </c>
      <c r="BZ7" s="694" t="e">
        <f t="shared" ref="BZ7:BZ36" si="35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6">IF(+B8-B7&gt;0,B8-B7,(B8-B7)&gt;0)*800</f>
        <v>0</v>
      </c>
      <c r="D8" s="432"/>
      <c r="E8" s="432">
        <f t="shared" ref="E8:E29" si="37">IF(+D8-D7&gt;0,D8-D7,(D8-D7)&gt;0)*80</f>
        <v>0</v>
      </c>
      <c r="F8" s="432"/>
      <c r="G8" s="432">
        <f t="shared" ref="G8:G29" si="38">IF(+F8-F7&gt;0,F8-F7,(F8-F7)&gt;0)*10</f>
        <v>0</v>
      </c>
      <c r="H8" s="433">
        <v>57</v>
      </c>
      <c r="I8" s="769">
        <v>25812191</v>
      </c>
      <c r="J8" s="636">
        <f t="shared" si="18"/>
        <v>6253</v>
      </c>
      <c r="K8" s="636">
        <f t="shared" si="19"/>
        <v>4301</v>
      </c>
      <c r="L8" s="769">
        <v>342855</v>
      </c>
      <c r="M8" s="636">
        <f>IF(L8&gt;=L7,L8-L7,0)</f>
        <v>2264</v>
      </c>
      <c r="N8" s="769">
        <v>362130</v>
      </c>
      <c r="O8" s="636">
        <f t="shared" ref="O8:O27" si="39">IF(N8&gt;=N7,N8-N7,0)</f>
        <v>2037</v>
      </c>
      <c r="P8" s="769">
        <v>227731</v>
      </c>
      <c r="Q8" s="636">
        <f t="shared" si="31"/>
        <v>540</v>
      </c>
      <c r="R8" s="769">
        <v>230965</v>
      </c>
      <c r="S8" s="636">
        <f t="shared" si="32"/>
        <v>151</v>
      </c>
      <c r="T8" s="768">
        <v>421391</v>
      </c>
      <c r="U8" s="636">
        <f t="shared" si="1"/>
        <v>263</v>
      </c>
      <c r="V8" s="768">
        <v>782771</v>
      </c>
      <c r="W8" s="636">
        <f t="shared" si="2"/>
        <v>2313.4500000000003</v>
      </c>
      <c r="X8" s="769">
        <v>837372</v>
      </c>
      <c r="Y8" s="636">
        <f t="shared" si="3"/>
        <v>0</v>
      </c>
      <c r="Z8" s="768">
        <v>871759</v>
      </c>
      <c r="AA8" s="636">
        <f t="shared" si="4"/>
        <v>0</v>
      </c>
      <c r="AB8" s="768">
        <v>184962</v>
      </c>
      <c r="AC8" s="636">
        <f t="shared" si="33"/>
        <v>0</v>
      </c>
      <c r="AD8" s="768">
        <v>862648</v>
      </c>
      <c r="AE8" s="636">
        <f t="shared" si="20"/>
        <v>14.31</v>
      </c>
      <c r="AF8" s="768">
        <v>1010304</v>
      </c>
      <c r="AG8" s="636">
        <f t="shared" si="5"/>
        <v>13.25</v>
      </c>
      <c r="AH8" s="768">
        <v>434270</v>
      </c>
      <c r="AI8" s="636">
        <f t="shared" si="6"/>
        <v>294.68</v>
      </c>
      <c r="AJ8" s="768">
        <v>656836</v>
      </c>
      <c r="AK8" s="636">
        <f t="shared" si="7"/>
        <v>2532.8700000000003</v>
      </c>
      <c r="AL8" s="768">
        <v>574736</v>
      </c>
      <c r="AM8" s="636">
        <f t="shared" si="8"/>
        <v>121.9</v>
      </c>
      <c r="AN8" s="636">
        <f t="shared" si="21"/>
        <v>5290.46</v>
      </c>
      <c r="AO8" s="768">
        <v>8203781</v>
      </c>
      <c r="AP8" s="636">
        <f t="shared" si="22"/>
        <v>28.574999999999999</v>
      </c>
      <c r="AQ8" s="769">
        <v>756852</v>
      </c>
      <c r="AR8" s="636">
        <f t="shared" si="9"/>
        <v>189</v>
      </c>
      <c r="AS8" s="768">
        <v>20314</v>
      </c>
      <c r="AT8" s="636">
        <f t="shared" si="23"/>
        <v>92</v>
      </c>
      <c r="AU8" s="768">
        <v>827304</v>
      </c>
      <c r="AV8" s="636">
        <f>IF(AU8&gt;=AU7,AU8-AU7,0)</f>
        <v>47</v>
      </c>
      <c r="AW8" s="768">
        <v>2908840</v>
      </c>
      <c r="AX8" s="636">
        <f t="shared" si="11"/>
        <v>1007</v>
      </c>
      <c r="AY8" s="768">
        <v>233714</v>
      </c>
      <c r="AZ8" s="636">
        <f t="shared" si="12"/>
        <v>11</v>
      </c>
      <c r="BA8" s="768">
        <v>20957700</v>
      </c>
      <c r="BB8" s="636">
        <f t="shared" si="13"/>
        <v>5129</v>
      </c>
      <c r="BC8" s="768">
        <v>647065</v>
      </c>
      <c r="BD8" s="636">
        <f t="shared" si="13"/>
        <v>248</v>
      </c>
      <c r="BE8" s="768">
        <v>46391</v>
      </c>
      <c r="BF8" s="636">
        <f t="shared" si="13"/>
        <v>50</v>
      </c>
      <c r="BG8" s="769">
        <v>26345194</v>
      </c>
      <c r="BH8" s="636">
        <f t="shared" si="24"/>
        <v>6195.55</v>
      </c>
      <c r="BI8" s="636">
        <f t="shared" si="25"/>
        <v>12997.125</v>
      </c>
      <c r="BJ8" s="636">
        <f t="shared" si="26"/>
        <v>18287.584999999999</v>
      </c>
      <c r="BK8" s="769">
        <v>1501044</v>
      </c>
      <c r="BL8" s="636">
        <f t="shared" si="14"/>
        <v>324</v>
      </c>
      <c r="BM8" s="768">
        <v>4342444</v>
      </c>
      <c r="BN8" s="636">
        <f t="shared" si="15"/>
        <v>1295</v>
      </c>
      <c r="BO8" s="768">
        <v>454187</v>
      </c>
      <c r="BP8" s="636">
        <f t="shared" si="16"/>
        <v>146</v>
      </c>
      <c r="BQ8" s="768">
        <v>566880</v>
      </c>
      <c r="BR8" s="636">
        <f t="shared" si="17"/>
        <v>156</v>
      </c>
      <c r="BS8" s="692">
        <f t="shared" si="27"/>
        <v>25080.584999999999</v>
      </c>
      <c r="BT8" s="693">
        <v>213</v>
      </c>
      <c r="BU8" s="692">
        <f t="shared" si="28"/>
        <v>110.48715859030837</v>
      </c>
      <c r="BV8" s="693"/>
      <c r="BW8" s="692" t="e">
        <f t="shared" si="29"/>
        <v>#DIV/0!</v>
      </c>
      <c r="BX8" s="692">
        <f t="shared" si="34"/>
        <v>29085.672749999998</v>
      </c>
      <c r="BY8" s="692">
        <f t="shared" si="30"/>
        <v>128.1307169603524</v>
      </c>
      <c r="BZ8" s="694" t="e">
        <f t="shared" si="35"/>
        <v>#DIV/0!</v>
      </c>
    </row>
    <row r="9" spans="1:78" s="385" customFormat="1" ht="33.75" customHeight="1">
      <c r="A9" s="430">
        <v>4</v>
      </c>
      <c r="B9" s="431"/>
      <c r="C9" s="432">
        <f t="shared" si="36"/>
        <v>0</v>
      </c>
      <c r="D9" s="432"/>
      <c r="E9" s="432">
        <f t="shared" si="37"/>
        <v>0</v>
      </c>
      <c r="F9" s="432"/>
      <c r="G9" s="432">
        <f t="shared" si="38"/>
        <v>0</v>
      </c>
      <c r="H9" s="433"/>
      <c r="I9" s="769">
        <v>25818020</v>
      </c>
      <c r="J9" s="636">
        <f>IF(I9&gt;=I8,I9-I8,0)</f>
        <v>5829</v>
      </c>
      <c r="K9" s="636">
        <f t="shared" si="19"/>
        <v>4389</v>
      </c>
      <c r="L9" s="769">
        <v>345221</v>
      </c>
      <c r="M9" s="636">
        <f t="shared" ref="M9:M28" si="40">IF(L9&gt;=L8,L9-L8,0)</f>
        <v>2366</v>
      </c>
      <c r="N9" s="769">
        <v>364153</v>
      </c>
      <c r="O9" s="636">
        <f t="shared" si="39"/>
        <v>2023</v>
      </c>
      <c r="P9" s="769">
        <v>227749</v>
      </c>
      <c r="Q9" s="636">
        <f t="shared" si="31"/>
        <v>540</v>
      </c>
      <c r="R9" s="768">
        <v>231103</v>
      </c>
      <c r="S9" s="636">
        <f t="shared" si="32"/>
        <v>138</v>
      </c>
      <c r="T9" s="768">
        <v>421630</v>
      </c>
      <c r="U9" s="636">
        <f t="shared" si="1"/>
        <v>239</v>
      </c>
      <c r="V9" s="768">
        <v>787231</v>
      </c>
      <c r="W9" s="636">
        <f t="shared" si="2"/>
        <v>2363.8000000000002</v>
      </c>
      <c r="X9" s="769">
        <v>837372</v>
      </c>
      <c r="Y9" s="636">
        <f t="shared" si="3"/>
        <v>0</v>
      </c>
      <c r="Z9" s="768">
        <v>871759</v>
      </c>
      <c r="AA9" s="636">
        <f t="shared" si="4"/>
        <v>0</v>
      </c>
      <c r="AB9" s="768">
        <v>184962</v>
      </c>
      <c r="AC9" s="636">
        <f t="shared" si="33"/>
        <v>0</v>
      </c>
      <c r="AD9" s="768">
        <v>862671</v>
      </c>
      <c r="AE9" s="636">
        <f t="shared" si="20"/>
        <v>12.190000000000001</v>
      </c>
      <c r="AF9" s="768">
        <v>1010326</v>
      </c>
      <c r="AG9" s="636">
        <f t="shared" si="5"/>
        <v>11.66</v>
      </c>
      <c r="AH9" s="769">
        <v>434827</v>
      </c>
      <c r="AI9" s="636">
        <f t="shared" si="6"/>
        <v>295.21000000000004</v>
      </c>
      <c r="AJ9" s="769">
        <v>661765</v>
      </c>
      <c r="AK9" s="636">
        <f t="shared" si="7"/>
        <v>2612.3700000000003</v>
      </c>
      <c r="AL9" s="768">
        <v>574973</v>
      </c>
      <c r="AM9" s="636">
        <f t="shared" si="8"/>
        <v>125.61</v>
      </c>
      <c r="AN9" s="636">
        <f t="shared" si="21"/>
        <v>5420.84</v>
      </c>
      <c r="AO9" s="768">
        <v>8203871</v>
      </c>
      <c r="AP9" s="636">
        <f t="shared" si="22"/>
        <v>10.125</v>
      </c>
      <c r="AQ9" s="768">
        <v>757055</v>
      </c>
      <c r="AR9" s="636">
        <f t="shared" si="9"/>
        <v>203</v>
      </c>
      <c r="AS9" s="768">
        <v>20385</v>
      </c>
      <c r="AT9" s="636">
        <f t="shared" si="23"/>
        <v>71</v>
      </c>
      <c r="AU9" s="710">
        <v>827352</v>
      </c>
      <c r="AV9" s="636">
        <f>IF(AU9&gt;=AU8,AU9-AU8,0)</f>
        <v>48</v>
      </c>
      <c r="AW9" s="769">
        <v>2909875</v>
      </c>
      <c r="AX9" s="636">
        <f t="shared" si="11"/>
        <v>1035</v>
      </c>
      <c r="AY9" s="768">
        <v>233724</v>
      </c>
      <c r="AZ9" s="636">
        <f t="shared" si="12"/>
        <v>10</v>
      </c>
      <c r="BA9" s="769">
        <v>20962779</v>
      </c>
      <c r="BB9" s="636">
        <f t="shared" si="13"/>
        <v>5079</v>
      </c>
      <c r="BC9" s="768">
        <v>647260</v>
      </c>
      <c r="BD9" s="636">
        <f t="shared" si="13"/>
        <v>195</v>
      </c>
      <c r="BE9" s="768">
        <v>46441</v>
      </c>
      <c r="BF9" s="636">
        <f t="shared" si="13"/>
        <v>50</v>
      </c>
      <c r="BG9" s="769">
        <v>26350434</v>
      </c>
      <c r="BH9" s="636">
        <f t="shared" si="24"/>
        <v>4672.2000000000007</v>
      </c>
      <c r="BI9" s="636">
        <f t="shared" si="25"/>
        <v>11373.325000000001</v>
      </c>
      <c r="BJ9" s="636">
        <f t="shared" si="26"/>
        <v>16794.165000000001</v>
      </c>
      <c r="BK9" s="769">
        <v>1501303</v>
      </c>
      <c r="BL9" s="636">
        <f t="shared" si="14"/>
        <v>259</v>
      </c>
      <c r="BM9" s="769">
        <v>4343356</v>
      </c>
      <c r="BN9" s="636">
        <f t="shared" si="15"/>
        <v>912</v>
      </c>
      <c r="BO9" s="769">
        <v>454299</v>
      </c>
      <c r="BP9" s="636">
        <f t="shared" si="16"/>
        <v>112</v>
      </c>
      <c r="BQ9" s="768">
        <v>566987</v>
      </c>
      <c r="BR9" s="636">
        <f t="shared" si="17"/>
        <v>107</v>
      </c>
      <c r="BS9" s="692">
        <f t="shared" si="27"/>
        <v>23163.165000000001</v>
      </c>
      <c r="BT9" s="693">
        <v>202</v>
      </c>
      <c r="BU9" s="692">
        <f t="shared" si="28"/>
        <v>108.74725352112677</v>
      </c>
      <c r="BV9" s="693"/>
      <c r="BW9" s="692" t="e">
        <f t="shared" si="29"/>
        <v>#DIV/0!</v>
      </c>
      <c r="BX9" s="692">
        <f t="shared" si="34"/>
        <v>26880.639749999998</v>
      </c>
      <c r="BY9" s="692">
        <f t="shared" si="30"/>
        <v>126.20018661971831</v>
      </c>
      <c r="BZ9" s="694" t="e">
        <f t="shared" si="35"/>
        <v>#DIV/0!</v>
      </c>
    </row>
    <row r="10" spans="1:78" s="457" customFormat="1" ht="33.75" customHeight="1">
      <c r="A10" s="430">
        <v>5</v>
      </c>
      <c r="B10" s="455"/>
      <c r="C10" s="768">
        <f t="shared" si="36"/>
        <v>0</v>
      </c>
      <c r="D10" s="768"/>
      <c r="E10" s="768">
        <f t="shared" si="37"/>
        <v>0</v>
      </c>
      <c r="F10" s="768"/>
      <c r="G10" s="768">
        <f t="shared" si="38"/>
        <v>0</v>
      </c>
      <c r="H10" s="456">
        <v>58</v>
      </c>
      <c r="I10" s="769">
        <v>25824793</v>
      </c>
      <c r="J10" s="636">
        <f>IF(I10&gt;=I9,I10-I9,0)</f>
        <v>6773</v>
      </c>
      <c r="K10" s="636">
        <f t="shared" si="19"/>
        <v>4615</v>
      </c>
      <c r="L10" s="769">
        <v>347656</v>
      </c>
      <c r="M10" s="636">
        <f t="shared" si="40"/>
        <v>2435</v>
      </c>
      <c r="N10" s="769">
        <v>366333</v>
      </c>
      <c r="O10" s="636">
        <f t="shared" si="39"/>
        <v>2180</v>
      </c>
      <c r="P10" s="769">
        <v>227768</v>
      </c>
      <c r="Q10" s="636">
        <f t="shared" si="31"/>
        <v>570</v>
      </c>
      <c r="R10" s="768">
        <v>231265</v>
      </c>
      <c r="S10" s="636">
        <f t="shared" si="32"/>
        <v>162</v>
      </c>
      <c r="T10" s="768">
        <v>421915</v>
      </c>
      <c r="U10" s="636">
        <f t="shared" si="1"/>
        <v>285</v>
      </c>
      <c r="V10" s="768">
        <v>790085</v>
      </c>
      <c r="W10" s="636">
        <f t="shared" si="2"/>
        <v>1512.6200000000001</v>
      </c>
      <c r="X10" s="769">
        <v>839916</v>
      </c>
      <c r="Y10" s="636">
        <f t="shared" si="3"/>
        <v>1348.3200000000002</v>
      </c>
      <c r="Z10" s="768">
        <v>871759</v>
      </c>
      <c r="AA10" s="636">
        <f t="shared" si="4"/>
        <v>0</v>
      </c>
      <c r="AB10" s="768">
        <v>184962</v>
      </c>
      <c r="AC10" s="636">
        <f t="shared" si="33"/>
        <v>0</v>
      </c>
      <c r="AD10" s="768">
        <v>862695</v>
      </c>
      <c r="AE10" s="636">
        <f t="shared" si="20"/>
        <v>12.72</v>
      </c>
      <c r="AF10" s="768">
        <v>1010349</v>
      </c>
      <c r="AG10" s="636">
        <f t="shared" si="5"/>
        <v>12.190000000000001</v>
      </c>
      <c r="AH10" s="769">
        <v>435188</v>
      </c>
      <c r="AI10" s="636">
        <f t="shared" si="6"/>
        <v>191.33</v>
      </c>
      <c r="AJ10" s="769">
        <v>665960</v>
      </c>
      <c r="AK10" s="636">
        <f t="shared" si="7"/>
        <v>2223.35</v>
      </c>
      <c r="AL10" s="768">
        <v>575206</v>
      </c>
      <c r="AM10" s="636">
        <f t="shared" si="8"/>
        <v>123.49000000000001</v>
      </c>
      <c r="AN10" s="636">
        <f t="shared" si="21"/>
        <v>5424.02</v>
      </c>
      <c r="AO10" s="768">
        <v>8204856</v>
      </c>
      <c r="AP10" s="636">
        <f t="shared" si="22"/>
        <v>110.8125</v>
      </c>
      <c r="AQ10" s="768">
        <v>757256</v>
      </c>
      <c r="AR10" s="636">
        <f t="shared" si="9"/>
        <v>201</v>
      </c>
      <c r="AS10" s="769">
        <v>20481</v>
      </c>
      <c r="AT10" s="636">
        <f t="shared" si="23"/>
        <v>96</v>
      </c>
      <c r="AU10" s="710">
        <v>827399</v>
      </c>
      <c r="AV10" s="636">
        <f>IF(AU10&gt;=AU9,AU10-AU9,0)</f>
        <v>47</v>
      </c>
      <c r="AW10" s="769">
        <v>2910866</v>
      </c>
      <c r="AX10" s="636">
        <f t="shared" si="11"/>
        <v>991</v>
      </c>
      <c r="AY10" s="769">
        <v>233736</v>
      </c>
      <c r="AZ10" s="636">
        <f t="shared" si="12"/>
        <v>12</v>
      </c>
      <c r="BA10" s="768">
        <v>20967609</v>
      </c>
      <c r="BB10" s="636">
        <f t="shared" si="13"/>
        <v>4830</v>
      </c>
      <c r="BC10" s="768">
        <v>647504</v>
      </c>
      <c r="BD10" s="636">
        <f t="shared" si="13"/>
        <v>244</v>
      </c>
      <c r="BE10" s="768">
        <v>46517</v>
      </c>
      <c r="BF10" s="636">
        <f t="shared" si="13"/>
        <v>76</v>
      </c>
      <c r="BG10" s="769">
        <v>26356276</v>
      </c>
      <c r="BH10" s="636">
        <f t="shared" si="24"/>
        <v>5146.95</v>
      </c>
      <c r="BI10" s="636">
        <f t="shared" si="25"/>
        <v>11754.762500000001</v>
      </c>
      <c r="BJ10" s="636">
        <f t="shared" si="26"/>
        <v>17178.782500000001</v>
      </c>
      <c r="BK10" s="769">
        <v>1501395</v>
      </c>
      <c r="BL10" s="636">
        <f t="shared" si="14"/>
        <v>92</v>
      </c>
      <c r="BM10" s="769">
        <v>4344435</v>
      </c>
      <c r="BN10" s="636">
        <f t="shared" si="15"/>
        <v>1079</v>
      </c>
      <c r="BO10" s="707">
        <v>454429</v>
      </c>
      <c r="BP10" s="636">
        <f t="shared" si="16"/>
        <v>130</v>
      </c>
      <c r="BQ10" s="768">
        <v>567138</v>
      </c>
      <c r="BR10" s="636">
        <f t="shared" si="17"/>
        <v>151</v>
      </c>
      <c r="BS10" s="692">
        <f t="shared" si="27"/>
        <v>24521.782500000001</v>
      </c>
      <c r="BT10" s="693">
        <v>196</v>
      </c>
      <c r="BU10" s="692">
        <f t="shared" si="28"/>
        <v>121.39496287128713</v>
      </c>
      <c r="BV10" s="693"/>
      <c r="BW10" s="692" t="e">
        <f t="shared" si="29"/>
        <v>#DIV/0!</v>
      </c>
      <c r="BX10" s="692">
        <f t="shared" si="34"/>
        <v>28456.549875000001</v>
      </c>
      <c r="BY10" s="692">
        <f t="shared" si="30"/>
        <v>140.87400928217821</v>
      </c>
      <c r="BZ10" s="694" t="e">
        <f t="shared" si="35"/>
        <v>#DIV/0!</v>
      </c>
    </row>
    <row r="11" spans="1:78" s="385" customFormat="1" ht="33.75" customHeight="1">
      <c r="A11" s="430">
        <v>6</v>
      </c>
      <c r="B11" s="431"/>
      <c r="C11" s="432">
        <f t="shared" si="36"/>
        <v>0</v>
      </c>
      <c r="D11" s="432"/>
      <c r="E11" s="432">
        <f t="shared" si="37"/>
        <v>0</v>
      </c>
      <c r="F11" s="432"/>
      <c r="G11" s="432">
        <f t="shared" si="38"/>
        <v>0</v>
      </c>
      <c r="H11" s="433"/>
      <c r="I11" s="769">
        <v>25831727</v>
      </c>
      <c r="J11" s="636">
        <f>IF(I11&gt;=I10,I11-I10,0)</f>
        <v>6934</v>
      </c>
      <c r="K11" s="636">
        <f t="shared" si="19"/>
        <v>3800</v>
      </c>
      <c r="L11" s="769">
        <v>349599</v>
      </c>
      <c r="M11" s="636">
        <f t="shared" si="40"/>
        <v>1943</v>
      </c>
      <c r="N11" s="768">
        <v>368190</v>
      </c>
      <c r="O11" s="636">
        <f t="shared" si="39"/>
        <v>1857</v>
      </c>
      <c r="P11" s="769">
        <v>227787</v>
      </c>
      <c r="Q11" s="636">
        <f t="shared" si="31"/>
        <v>570</v>
      </c>
      <c r="R11" s="768">
        <v>231400</v>
      </c>
      <c r="S11" s="636">
        <f t="shared" si="32"/>
        <v>135</v>
      </c>
      <c r="T11" s="768">
        <v>422155</v>
      </c>
      <c r="U11" s="636">
        <f t="shared" si="1"/>
        <v>240</v>
      </c>
      <c r="V11" s="768">
        <v>794873</v>
      </c>
      <c r="W11" s="636">
        <f t="shared" si="2"/>
        <v>2537.6400000000003</v>
      </c>
      <c r="X11" s="769">
        <v>839916</v>
      </c>
      <c r="Y11" s="636">
        <f t="shared" si="3"/>
        <v>0</v>
      </c>
      <c r="Z11" s="768">
        <v>871759</v>
      </c>
      <c r="AA11" s="636">
        <f t="shared" si="4"/>
        <v>0</v>
      </c>
      <c r="AB11" s="768">
        <v>184962</v>
      </c>
      <c r="AC11" s="636">
        <f>IF(AB11&gt;=AB10,AB11-AB10,0)*0.53</f>
        <v>0</v>
      </c>
      <c r="AD11" s="768">
        <v>862725</v>
      </c>
      <c r="AE11" s="636">
        <f t="shared" si="20"/>
        <v>15.9</v>
      </c>
      <c r="AF11" s="768">
        <v>1010377</v>
      </c>
      <c r="AG11" s="636">
        <f t="shared" si="5"/>
        <v>14.84</v>
      </c>
      <c r="AH11" s="768">
        <v>435474</v>
      </c>
      <c r="AI11" s="636">
        <f t="shared" si="6"/>
        <v>151.58000000000001</v>
      </c>
      <c r="AJ11" s="768">
        <v>669389</v>
      </c>
      <c r="AK11" s="636">
        <f t="shared" si="7"/>
        <v>1817.3700000000001</v>
      </c>
      <c r="AL11" s="768">
        <v>575391</v>
      </c>
      <c r="AM11" s="636">
        <f t="shared" si="8"/>
        <v>98.050000000000011</v>
      </c>
      <c r="AN11" s="636">
        <f t="shared" si="21"/>
        <v>4635.380000000001</v>
      </c>
      <c r="AO11" s="707">
        <v>8205964</v>
      </c>
      <c r="AP11" s="636">
        <f t="shared" si="22"/>
        <v>124.65</v>
      </c>
      <c r="AQ11" s="768">
        <v>757430</v>
      </c>
      <c r="AR11" s="636">
        <f t="shared" si="9"/>
        <v>174</v>
      </c>
      <c r="AS11" s="769">
        <v>20618</v>
      </c>
      <c r="AT11" s="636">
        <f t="shared" si="23"/>
        <v>137</v>
      </c>
      <c r="AU11" s="769">
        <v>827434</v>
      </c>
      <c r="AV11" s="636">
        <f t="shared" si="10"/>
        <v>35</v>
      </c>
      <c r="AW11" s="768">
        <v>2911650</v>
      </c>
      <c r="AX11" s="636">
        <f t="shared" si="11"/>
        <v>784</v>
      </c>
      <c r="AY11" s="769">
        <v>233746</v>
      </c>
      <c r="AZ11" s="636">
        <f t="shared" si="12"/>
        <v>10</v>
      </c>
      <c r="BA11" s="769">
        <v>20973355</v>
      </c>
      <c r="BB11" s="636">
        <f t="shared" si="13"/>
        <v>5746</v>
      </c>
      <c r="BC11" s="768">
        <v>647791</v>
      </c>
      <c r="BD11" s="636">
        <f t="shared" si="13"/>
        <v>287</v>
      </c>
      <c r="BE11" s="768">
        <v>46600</v>
      </c>
      <c r="BF11" s="636">
        <f t="shared" si="13"/>
        <v>83</v>
      </c>
      <c r="BG11" s="769">
        <v>26363287</v>
      </c>
      <c r="BH11" s="636">
        <f t="shared" si="24"/>
        <v>6243.3</v>
      </c>
      <c r="BI11" s="636">
        <f t="shared" si="25"/>
        <v>13623.95</v>
      </c>
      <c r="BJ11" s="636">
        <f t="shared" si="26"/>
        <v>18259.330000000002</v>
      </c>
      <c r="BK11" s="769">
        <v>1501489</v>
      </c>
      <c r="BL11" s="636">
        <f t="shared" si="14"/>
        <v>94</v>
      </c>
      <c r="BM11" s="769">
        <v>4345669</v>
      </c>
      <c r="BN11" s="636">
        <f t="shared" si="15"/>
        <v>1234</v>
      </c>
      <c r="BO11" s="768">
        <v>454581</v>
      </c>
      <c r="BP11" s="636">
        <f t="shared" si="16"/>
        <v>152</v>
      </c>
      <c r="BQ11" s="769">
        <v>567282</v>
      </c>
      <c r="BR11" s="636">
        <f t="shared" si="17"/>
        <v>144</v>
      </c>
      <c r="BS11" s="692">
        <f t="shared" si="27"/>
        <v>25763.33</v>
      </c>
      <c r="BT11" s="693">
        <v>214</v>
      </c>
      <c r="BU11" s="692">
        <f t="shared" si="28"/>
        <v>131.44556122448981</v>
      </c>
      <c r="BV11" s="693"/>
      <c r="BW11" s="692" t="e">
        <f t="shared" si="29"/>
        <v>#DIV/0!</v>
      </c>
      <c r="BX11" s="692">
        <f t="shared" si="34"/>
        <v>29884.3295</v>
      </c>
      <c r="BY11" s="692">
        <f t="shared" si="30"/>
        <v>152.47106887755103</v>
      </c>
      <c r="BZ11" s="694" t="e">
        <f t="shared" si="35"/>
        <v>#DIV/0!</v>
      </c>
    </row>
    <row r="12" spans="1:78" s="385" customFormat="1" ht="33.75" customHeight="1">
      <c r="A12" s="430">
        <v>7</v>
      </c>
      <c r="B12" s="431"/>
      <c r="C12" s="432">
        <f t="shared" si="36"/>
        <v>0</v>
      </c>
      <c r="D12" s="432"/>
      <c r="E12" s="432">
        <f t="shared" si="37"/>
        <v>0</v>
      </c>
      <c r="F12" s="432"/>
      <c r="G12" s="432">
        <f t="shared" si="38"/>
        <v>0</v>
      </c>
      <c r="H12" s="433">
        <v>59</v>
      </c>
      <c r="I12" s="769">
        <v>25839104</v>
      </c>
      <c r="J12" s="636">
        <f>IF(I12&gt;=I11,I12-I11,0)</f>
        <v>7377</v>
      </c>
      <c r="K12" s="636">
        <f t="shared" si="19"/>
        <v>3947</v>
      </c>
      <c r="L12" s="769">
        <v>351714</v>
      </c>
      <c r="M12" s="636">
        <f t="shared" si="40"/>
        <v>2115</v>
      </c>
      <c r="N12" s="769">
        <v>370022</v>
      </c>
      <c r="O12" s="636">
        <f t="shared" si="39"/>
        <v>1832</v>
      </c>
      <c r="P12" s="769">
        <v>227807</v>
      </c>
      <c r="Q12" s="636">
        <f t="shared" si="31"/>
        <v>600</v>
      </c>
      <c r="R12" s="768">
        <v>231535</v>
      </c>
      <c r="S12" s="636">
        <f t="shared" si="32"/>
        <v>135</v>
      </c>
      <c r="T12" s="768">
        <v>422396</v>
      </c>
      <c r="U12" s="636">
        <f t="shared" si="1"/>
        <v>241</v>
      </c>
      <c r="V12" s="768">
        <v>799914</v>
      </c>
      <c r="W12" s="636">
        <f t="shared" si="2"/>
        <v>2671.73</v>
      </c>
      <c r="X12" s="769">
        <v>839916</v>
      </c>
      <c r="Y12" s="636">
        <f t="shared" si="3"/>
        <v>0</v>
      </c>
      <c r="Z12" s="768">
        <v>871759</v>
      </c>
      <c r="AA12" s="636">
        <f t="shared" si="4"/>
        <v>0</v>
      </c>
      <c r="AB12" s="768">
        <v>184962</v>
      </c>
      <c r="AC12" s="636">
        <f t="shared" si="33"/>
        <v>0</v>
      </c>
      <c r="AD12" s="768">
        <v>862748</v>
      </c>
      <c r="AE12" s="636">
        <f t="shared" si="20"/>
        <v>12.190000000000001</v>
      </c>
      <c r="AF12" s="768">
        <v>1010399</v>
      </c>
      <c r="AG12" s="636">
        <f t="shared" si="5"/>
        <v>11.66</v>
      </c>
      <c r="AH12" s="768">
        <v>435813</v>
      </c>
      <c r="AI12" s="636">
        <f t="shared" si="6"/>
        <v>179.67000000000002</v>
      </c>
      <c r="AJ12" s="769">
        <v>673398</v>
      </c>
      <c r="AK12" s="636">
        <f t="shared" si="7"/>
        <v>2124.77</v>
      </c>
      <c r="AL12" s="768">
        <v>575600</v>
      </c>
      <c r="AM12" s="636">
        <f t="shared" si="8"/>
        <v>110.77000000000001</v>
      </c>
      <c r="AN12" s="636">
        <f t="shared" si="21"/>
        <v>5110.7900000000009</v>
      </c>
      <c r="AO12" s="768">
        <v>8207235</v>
      </c>
      <c r="AP12" s="636">
        <f t="shared" si="22"/>
        <v>142.98750000000001</v>
      </c>
      <c r="AQ12" s="769">
        <v>757622</v>
      </c>
      <c r="AR12" s="636">
        <f t="shared" si="9"/>
        <v>192</v>
      </c>
      <c r="AS12" s="769">
        <v>20749</v>
      </c>
      <c r="AT12" s="636">
        <f t="shared" si="23"/>
        <v>131</v>
      </c>
      <c r="AU12" s="818">
        <v>827475</v>
      </c>
      <c r="AV12" s="636">
        <f t="shared" si="10"/>
        <v>41</v>
      </c>
      <c r="AW12" s="769">
        <v>2912534</v>
      </c>
      <c r="AX12" s="636">
        <f t="shared" si="11"/>
        <v>884</v>
      </c>
      <c r="AY12" s="768">
        <v>233756</v>
      </c>
      <c r="AZ12" s="636">
        <f t="shared" si="12"/>
        <v>10</v>
      </c>
      <c r="BA12" s="769">
        <v>20978915</v>
      </c>
      <c r="BB12" s="636">
        <f t="shared" si="13"/>
        <v>5560</v>
      </c>
      <c r="BC12" s="768">
        <v>648056</v>
      </c>
      <c r="BD12" s="636">
        <f t="shared" si="13"/>
        <v>265</v>
      </c>
      <c r="BE12" s="768">
        <v>46617</v>
      </c>
      <c r="BF12" s="636">
        <f t="shared" si="13"/>
        <v>17</v>
      </c>
      <c r="BG12" s="769">
        <v>26369829</v>
      </c>
      <c r="BH12" s="636">
        <f t="shared" si="24"/>
        <v>5834.15</v>
      </c>
      <c r="BI12" s="636">
        <f t="shared" si="25"/>
        <v>13077.137500000001</v>
      </c>
      <c r="BJ12" s="636">
        <f t="shared" si="26"/>
        <v>18187.927500000002</v>
      </c>
      <c r="BK12" s="769">
        <v>1501801</v>
      </c>
      <c r="BL12" s="636">
        <f t="shared" si="14"/>
        <v>312</v>
      </c>
      <c r="BM12" s="769">
        <v>4346803</v>
      </c>
      <c r="BN12" s="636">
        <f t="shared" si="15"/>
        <v>1134</v>
      </c>
      <c r="BO12" s="769">
        <v>454720</v>
      </c>
      <c r="BP12" s="636">
        <f t="shared" si="16"/>
        <v>139</v>
      </c>
      <c r="BQ12" s="768">
        <v>567417</v>
      </c>
      <c r="BR12" s="636">
        <f t="shared" ref="BR12:BR36" si="41">IF(BQ12&gt;=BQ11,BQ12-BQ11,0)</f>
        <v>135</v>
      </c>
      <c r="BS12" s="692">
        <f t="shared" si="27"/>
        <v>26164.927500000002</v>
      </c>
      <c r="BT12" s="693">
        <v>254</v>
      </c>
      <c r="BU12" s="692">
        <f t="shared" si="28"/>
        <v>122.2660163551402</v>
      </c>
      <c r="BV12" s="693"/>
      <c r="BW12" s="692" t="e">
        <f t="shared" si="29"/>
        <v>#DIV/0!</v>
      </c>
      <c r="BX12" s="692">
        <f t="shared" si="34"/>
        <v>30359.666624999998</v>
      </c>
      <c r="BY12" s="692">
        <f t="shared" si="30"/>
        <v>141.86760105140186</v>
      </c>
      <c r="BZ12" s="694" t="e">
        <f t="shared" si="35"/>
        <v>#DIV/0!</v>
      </c>
    </row>
    <row r="13" spans="1:78" s="385" customFormat="1" ht="33.75" customHeight="1">
      <c r="A13" s="430">
        <v>8</v>
      </c>
      <c r="B13" s="431"/>
      <c r="C13" s="432">
        <f t="shared" si="36"/>
        <v>0</v>
      </c>
      <c r="D13" s="432"/>
      <c r="E13" s="432">
        <f t="shared" si="37"/>
        <v>0</v>
      </c>
      <c r="F13" s="432"/>
      <c r="G13" s="432">
        <f t="shared" si="38"/>
        <v>0</v>
      </c>
      <c r="H13" s="433"/>
      <c r="I13" s="769">
        <v>25844554</v>
      </c>
      <c r="J13" s="636">
        <f t="shared" si="18"/>
        <v>5450</v>
      </c>
      <c r="K13" s="636">
        <f t="shared" si="19"/>
        <v>4238</v>
      </c>
      <c r="L13" s="769">
        <v>353839</v>
      </c>
      <c r="M13" s="636">
        <f t="shared" si="40"/>
        <v>2125</v>
      </c>
      <c r="N13" s="769">
        <v>372135</v>
      </c>
      <c r="O13" s="636">
        <f t="shared" si="39"/>
        <v>2113</v>
      </c>
      <c r="P13" s="769">
        <v>227825</v>
      </c>
      <c r="Q13" s="636">
        <f t="shared" si="31"/>
        <v>540</v>
      </c>
      <c r="R13" s="768">
        <v>231686</v>
      </c>
      <c r="S13" s="636">
        <f t="shared" si="32"/>
        <v>151</v>
      </c>
      <c r="T13" s="768">
        <v>422667</v>
      </c>
      <c r="U13" s="636">
        <f t="shared" si="1"/>
        <v>271</v>
      </c>
      <c r="V13" s="768">
        <v>803857</v>
      </c>
      <c r="W13" s="636">
        <f t="shared" si="2"/>
        <v>2089.79</v>
      </c>
      <c r="X13" s="769">
        <v>839916</v>
      </c>
      <c r="Y13" s="636">
        <f t="shared" si="3"/>
        <v>0</v>
      </c>
      <c r="Z13" s="768">
        <v>871759</v>
      </c>
      <c r="AA13" s="636">
        <f t="shared" si="4"/>
        <v>0</v>
      </c>
      <c r="AB13" s="768">
        <v>184962</v>
      </c>
      <c r="AC13" s="636">
        <f t="shared" si="33"/>
        <v>0</v>
      </c>
      <c r="AD13" s="768">
        <v>862773</v>
      </c>
      <c r="AE13" s="636">
        <f t="shared" si="20"/>
        <v>13.25</v>
      </c>
      <c r="AF13" s="768">
        <v>1010422</v>
      </c>
      <c r="AG13" s="636">
        <f t="shared" ref="AG13:AG36" si="42">IF(AF13&gt;=AF12,AF13-AF12,0)*0.53</f>
        <v>12.190000000000001</v>
      </c>
      <c r="AH13" s="769">
        <v>436073</v>
      </c>
      <c r="AI13" s="636">
        <f t="shared" si="6"/>
        <v>137.80000000000001</v>
      </c>
      <c r="AJ13" s="769">
        <v>677539</v>
      </c>
      <c r="AK13" s="636">
        <f t="shared" ref="AK13" si="43">IF(AJ13&gt;=AJ12,AJ13-AJ12,0)*0.53</f>
        <v>2194.73</v>
      </c>
      <c r="AL13" s="768">
        <v>575798</v>
      </c>
      <c r="AM13" s="636">
        <f t="shared" si="8"/>
        <v>104.94000000000001</v>
      </c>
      <c r="AN13" s="636">
        <f t="shared" si="21"/>
        <v>4552.7</v>
      </c>
      <c r="AO13" s="768">
        <v>8208189</v>
      </c>
      <c r="AP13" s="636">
        <f t="shared" si="22"/>
        <v>107.325</v>
      </c>
      <c r="AQ13" s="768">
        <v>757798</v>
      </c>
      <c r="AR13" s="636">
        <f t="shared" si="9"/>
        <v>176</v>
      </c>
      <c r="AS13" s="769">
        <v>20839</v>
      </c>
      <c r="AT13" s="636">
        <f t="shared" si="23"/>
        <v>90</v>
      </c>
      <c r="AU13" s="769">
        <v>827517</v>
      </c>
      <c r="AV13" s="636">
        <f t="shared" si="10"/>
        <v>42</v>
      </c>
      <c r="AW13" s="769">
        <v>2913459</v>
      </c>
      <c r="AX13" s="636">
        <f t="shared" si="11"/>
        <v>925</v>
      </c>
      <c r="AY13" s="769">
        <v>233767</v>
      </c>
      <c r="AZ13" s="636">
        <f t="shared" si="12"/>
        <v>11</v>
      </c>
      <c r="BA13" s="769">
        <v>20983683</v>
      </c>
      <c r="BB13" s="636">
        <f t="shared" si="13"/>
        <v>4768</v>
      </c>
      <c r="BC13" s="768">
        <v>648240</v>
      </c>
      <c r="BD13" s="636">
        <f t="shared" si="13"/>
        <v>184</v>
      </c>
      <c r="BE13" s="768">
        <v>46662</v>
      </c>
      <c r="BF13" s="636">
        <f t="shared" si="13"/>
        <v>45</v>
      </c>
      <c r="BG13" s="769">
        <v>26375702</v>
      </c>
      <c r="BH13" s="636">
        <f t="shared" si="24"/>
        <v>5366.45</v>
      </c>
      <c r="BI13" s="636">
        <f t="shared" si="25"/>
        <v>11714.775</v>
      </c>
      <c r="BJ13" s="636">
        <f t="shared" si="26"/>
        <v>16267.474999999999</v>
      </c>
      <c r="BK13" s="769">
        <v>1502024</v>
      </c>
      <c r="BL13" s="636">
        <f t="shared" si="14"/>
        <v>223</v>
      </c>
      <c r="BM13" s="769">
        <v>4347628</v>
      </c>
      <c r="BN13" s="636">
        <f t="shared" si="15"/>
        <v>825</v>
      </c>
      <c r="BO13" s="769">
        <v>454814</v>
      </c>
      <c r="BP13" s="636">
        <f t="shared" si="16"/>
        <v>94</v>
      </c>
      <c r="BQ13" s="769">
        <v>567510</v>
      </c>
      <c r="BR13" s="636">
        <f t="shared" si="41"/>
        <v>93</v>
      </c>
      <c r="BS13" s="692">
        <f t="shared" si="27"/>
        <v>22257.474999999999</v>
      </c>
      <c r="BT13" s="693">
        <v>239</v>
      </c>
      <c r="BU13" s="692">
        <f t="shared" ref="BU13:BU19" si="44">IF(BS13&gt;0,BS13/BT12,0)</f>
        <v>87.627854330708658</v>
      </c>
      <c r="BV13" s="693"/>
      <c r="BW13" s="692" t="e">
        <f t="shared" si="29"/>
        <v>#DIV/0!</v>
      </c>
      <c r="BX13" s="692">
        <f t="shared" si="34"/>
        <v>25839.096249999995</v>
      </c>
      <c r="BY13" s="692">
        <f t="shared" si="30"/>
        <v>101.72872539370077</v>
      </c>
      <c r="BZ13" s="694" t="e">
        <f t="shared" si="35"/>
        <v>#DIV/0!</v>
      </c>
    </row>
    <row r="14" spans="1:78" s="385" customFormat="1" ht="33.75" customHeight="1">
      <c r="A14" s="430">
        <v>9</v>
      </c>
      <c r="B14" s="431"/>
      <c r="C14" s="432">
        <f t="shared" si="36"/>
        <v>0</v>
      </c>
      <c r="D14" s="432"/>
      <c r="E14" s="432">
        <f t="shared" si="37"/>
        <v>0</v>
      </c>
      <c r="F14" s="432"/>
      <c r="G14" s="432">
        <f t="shared" si="38"/>
        <v>0</v>
      </c>
      <c r="H14" s="433">
        <v>60</v>
      </c>
      <c r="I14" s="769">
        <v>25851122</v>
      </c>
      <c r="J14" s="636">
        <f t="shared" si="18"/>
        <v>6568</v>
      </c>
      <c r="K14" s="636">
        <f t="shared" si="19"/>
        <v>6056</v>
      </c>
      <c r="L14" s="769">
        <v>356745</v>
      </c>
      <c r="M14" s="636">
        <f t="shared" si="40"/>
        <v>2906</v>
      </c>
      <c r="N14" s="769">
        <v>375285</v>
      </c>
      <c r="O14" s="636">
        <f t="shared" si="39"/>
        <v>3150</v>
      </c>
      <c r="P14" s="769">
        <v>227844</v>
      </c>
      <c r="Q14" s="636">
        <f t="shared" si="31"/>
        <v>570</v>
      </c>
      <c r="R14" s="768">
        <v>231825</v>
      </c>
      <c r="S14" s="636">
        <f t="shared" si="32"/>
        <v>139</v>
      </c>
      <c r="T14" s="768">
        <v>422904</v>
      </c>
      <c r="U14" s="636">
        <f t="shared" si="1"/>
        <v>237</v>
      </c>
      <c r="V14" s="768">
        <v>808693</v>
      </c>
      <c r="W14" s="636">
        <f t="shared" si="2"/>
        <v>2563.08</v>
      </c>
      <c r="X14" s="769">
        <v>839693</v>
      </c>
      <c r="Y14" s="636">
        <f t="shared" si="3"/>
        <v>0</v>
      </c>
      <c r="Z14" s="769">
        <v>871759</v>
      </c>
      <c r="AA14" s="636">
        <f t="shared" si="4"/>
        <v>0</v>
      </c>
      <c r="AB14" s="768">
        <v>184962</v>
      </c>
      <c r="AC14" s="636">
        <f t="shared" si="33"/>
        <v>0</v>
      </c>
      <c r="AD14" s="768">
        <v>862798</v>
      </c>
      <c r="AE14" s="636">
        <f t="shared" si="20"/>
        <v>13.25</v>
      </c>
      <c r="AF14" s="768">
        <v>1010445</v>
      </c>
      <c r="AG14" s="636">
        <f t="shared" si="42"/>
        <v>12.190000000000001</v>
      </c>
      <c r="AH14" s="768">
        <v>436391</v>
      </c>
      <c r="AI14" s="636">
        <f t="shared" si="6"/>
        <v>168.54000000000002</v>
      </c>
      <c r="AJ14" s="768">
        <v>683110</v>
      </c>
      <c r="AK14" s="636">
        <f t="shared" ref="AK14:AK36" si="45">IF(AJ14&gt;=AJ13,AJ14-AJ13,0)*0.53</f>
        <v>2952.63</v>
      </c>
      <c r="AL14" s="768">
        <v>576093</v>
      </c>
      <c r="AM14" s="636">
        <f t="shared" si="8"/>
        <v>156.35</v>
      </c>
      <c r="AN14" s="636">
        <f t="shared" si="21"/>
        <v>5866.0400000000009</v>
      </c>
      <c r="AO14" s="768">
        <v>8209126</v>
      </c>
      <c r="AP14" s="636">
        <f t="shared" si="22"/>
        <v>105.41250000000001</v>
      </c>
      <c r="AQ14" s="769">
        <v>757981</v>
      </c>
      <c r="AR14" s="636">
        <f t="shared" si="9"/>
        <v>183</v>
      </c>
      <c r="AS14" s="769">
        <v>20956.333333333299</v>
      </c>
      <c r="AT14" s="636">
        <f t="shared" si="23"/>
        <v>117.33333333329938</v>
      </c>
      <c r="AU14" s="769">
        <v>827574</v>
      </c>
      <c r="AV14" s="636">
        <f t="shared" si="10"/>
        <v>57</v>
      </c>
      <c r="AW14" s="768">
        <v>2914618</v>
      </c>
      <c r="AX14" s="636">
        <f t="shared" si="11"/>
        <v>1159</v>
      </c>
      <c r="AY14" s="769">
        <v>233777</v>
      </c>
      <c r="AZ14" s="636">
        <f t="shared" si="12"/>
        <v>10</v>
      </c>
      <c r="BA14" s="769">
        <v>20988574</v>
      </c>
      <c r="BB14" s="636">
        <f t="shared" si="13"/>
        <v>4891</v>
      </c>
      <c r="BC14" s="768">
        <v>648693</v>
      </c>
      <c r="BD14" s="636">
        <f t="shared" si="13"/>
        <v>453</v>
      </c>
      <c r="BE14" s="768">
        <v>46707</v>
      </c>
      <c r="BF14" s="636">
        <f t="shared" si="13"/>
        <v>45</v>
      </c>
      <c r="BG14" s="769">
        <v>26381938</v>
      </c>
      <c r="BH14" s="636">
        <f t="shared" si="24"/>
        <v>5572.75</v>
      </c>
      <c r="BI14" s="636">
        <f t="shared" si="25"/>
        <v>12593.4958333333</v>
      </c>
      <c r="BJ14" s="636">
        <f t="shared" si="26"/>
        <v>18459.535833333299</v>
      </c>
      <c r="BK14" s="769">
        <v>1502343</v>
      </c>
      <c r="BL14" s="636">
        <f t="shared" si="14"/>
        <v>319</v>
      </c>
      <c r="BM14" s="769">
        <v>4348689</v>
      </c>
      <c r="BN14" s="636">
        <f t="shared" si="15"/>
        <v>1061</v>
      </c>
      <c r="BO14" s="769">
        <v>454938</v>
      </c>
      <c r="BP14" s="636">
        <f t="shared" si="16"/>
        <v>124</v>
      </c>
      <c r="BQ14" s="769">
        <v>567640</v>
      </c>
      <c r="BR14" s="636">
        <f t="shared" si="41"/>
        <v>130</v>
      </c>
      <c r="BS14" s="692">
        <f t="shared" si="27"/>
        <v>25597.535833333299</v>
      </c>
      <c r="BT14" s="693">
        <v>220</v>
      </c>
      <c r="BU14" s="692">
        <f t="shared" si="44"/>
        <v>107.10266039051589</v>
      </c>
      <c r="BV14" s="693"/>
      <c r="BW14" s="692" t="e">
        <f t="shared" si="29"/>
        <v>#DIV/0!</v>
      </c>
      <c r="BX14" s="692">
        <f t="shared" si="34"/>
        <v>29693.666208333292</v>
      </c>
      <c r="BY14" s="692">
        <f t="shared" si="30"/>
        <v>124.24128120641545</v>
      </c>
      <c r="BZ14" s="694" t="e">
        <f t="shared" si="35"/>
        <v>#DIV/0!</v>
      </c>
    </row>
    <row r="15" spans="1:78" s="385" customFormat="1" ht="33.75" customHeight="1">
      <c r="A15" s="430">
        <v>10</v>
      </c>
      <c r="B15" s="431"/>
      <c r="C15" s="432">
        <f t="shared" si="36"/>
        <v>0</v>
      </c>
      <c r="D15" s="432"/>
      <c r="E15" s="432">
        <f t="shared" si="37"/>
        <v>0</v>
      </c>
      <c r="F15" s="432"/>
      <c r="G15" s="432">
        <f t="shared" si="38"/>
        <v>0</v>
      </c>
      <c r="H15" s="433"/>
      <c r="I15" s="769">
        <v>25855869</v>
      </c>
      <c r="J15" s="636">
        <f t="shared" si="18"/>
        <v>4747</v>
      </c>
      <c r="K15" s="636">
        <f t="shared" si="19"/>
        <v>4471</v>
      </c>
      <c r="L15" s="769">
        <v>358935</v>
      </c>
      <c r="M15" s="636">
        <f t="shared" si="40"/>
        <v>2190</v>
      </c>
      <c r="N15" s="769">
        <v>377566</v>
      </c>
      <c r="O15" s="636">
        <f t="shared" si="39"/>
        <v>2281</v>
      </c>
      <c r="P15" s="769">
        <v>227860</v>
      </c>
      <c r="Q15" s="636">
        <f t="shared" si="31"/>
        <v>480</v>
      </c>
      <c r="R15" s="768">
        <v>231965</v>
      </c>
      <c r="S15" s="636">
        <f t="shared" si="32"/>
        <v>140</v>
      </c>
      <c r="T15" s="768">
        <v>423151</v>
      </c>
      <c r="U15" s="636">
        <f t="shared" si="1"/>
        <v>247</v>
      </c>
      <c r="V15" s="768">
        <v>812333</v>
      </c>
      <c r="W15" s="636">
        <f t="shared" si="2"/>
        <v>1929.2</v>
      </c>
      <c r="X15" s="769">
        <v>839916</v>
      </c>
      <c r="Y15" s="636">
        <f t="shared" si="3"/>
        <v>118.19000000000001</v>
      </c>
      <c r="Z15" s="768">
        <v>871759</v>
      </c>
      <c r="AA15" s="636">
        <f t="shared" si="4"/>
        <v>0</v>
      </c>
      <c r="AB15" s="768">
        <v>184962</v>
      </c>
      <c r="AC15" s="636">
        <f t="shared" si="33"/>
        <v>0</v>
      </c>
      <c r="AD15" s="768">
        <v>862821</v>
      </c>
      <c r="AE15" s="636">
        <f t="shared" si="20"/>
        <v>12.190000000000001</v>
      </c>
      <c r="AF15" s="768">
        <v>1010468</v>
      </c>
      <c r="AG15" s="636">
        <f t="shared" si="42"/>
        <v>12.190000000000001</v>
      </c>
      <c r="AH15" s="768">
        <v>436678</v>
      </c>
      <c r="AI15" s="636">
        <f t="shared" si="6"/>
        <v>152.11000000000001</v>
      </c>
      <c r="AJ15" s="769">
        <v>686878</v>
      </c>
      <c r="AK15" s="636">
        <f t="shared" si="45"/>
        <v>1997.0400000000002</v>
      </c>
      <c r="AL15" s="768">
        <v>576298</v>
      </c>
      <c r="AM15" s="636">
        <f t="shared" si="8"/>
        <v>108.65</v>
      </c>
      <c r="AN15" s="636">
        <f t="shared" si="21"/>
        <v>4329.57</v>
      </c>
      <c r="AO15" s="768">
        <v>8210173</v>
      </c>
      <c r="AP15" s="636">
        <f t="shared" si="22"/>
        <v>117.78750000000001</v>
      </c>
      <c r="AQ15" s="769">
        <v>758175</v>
      </c>
      <c r="AR15" s="636">
        <f t="shared" si="9"/>
        <v>194</v>
      </c>
      <c r="AS15" s="769">
        <v>21060</v>
      </c>
      <c r="AT15" s="636">
        <f t="shared" si="23"/>
        <v>103.66666666670062</v>
      </c>
      <c r="AU15" s="710">
        <v>827616</v>
      </c>
      <c r="AV15" s="636">
        <f t="shared" si="10"/>
        <v>42</v>
      </c>
      <c r="AW15" s="769">
        <v>2915464</v>
      </c>
      <c r="AX15" s="636">
        <f t="shared" si="11"/>
        <v>846</v>
      </c>
      <c r="AY15" s="768">
        <v>233788</v>
      </c>
      <c r="AZ15" s="636">
        <f t="shared" si="12"/>
        <v>11</v>
      </c>
      <c r="BA15" s="769">
        <v>20992125</v>
      </c>
      <c r="BB15" s="636">
        <f t="shared" si="13"/>
        <v>3551</v>
      </c>
      <c r="BC15" s="768">
        <v>648994</v>
      </c>
      <c r="BD15" s="636">
        <f t="shared" si="13"/>
        <v>301</v>
      </c>
      <c r="BE15" s="768">
        <v>46744</v>
      </c>
      <c r="BF15" s="636">
        <f t="shared" si="13"/>
        <v>37</v>
      </c>
      <c r="BG15" s="769">
        <v>26386432</v>
      </c>
      <c r="BH15" s="636">
        <f t="shared" si="24"/>
        <v>3927.85</v>
      </c>
      <c r="BI15" s="636">
        <f t="shared" si="25"/>
        <v>9131.3041666667013</v>
      </c>
      <c r="BJ15" s="636">
        <f t="shared" si="26"/>
        <v>13460.874166666701</v>
      </c>
      <c r="BK15" s="769">
        <v>1502615</v>
      </c>
      <c r="BL15" s="636">
        <f t="shared" si="14"/>
        <v>272</v>
      </c>
      <c r="BM15" s="769">
        <v>4349554</v>
      </c>
      <c r="BN15" s="636">
        <f t="shared" si="15"/>
        <v>865</v>
      </c>
      <c r="BO15" s="769">
        <v>455040</v>
      </c>
      <c r="BP15" s="636">
        <f t="shared" si="16"/>
        <v>102</v>
      </c>
      <c r="BQ15" s="768">
        <v>567771</v>
      </c>
      <c r="BR15" s="636">
        <f t="shared" si="41"/>
        <v>131</v>
      </c>
      <c r="BS15" s="692">
        <f t="shared" si="27"/>
        <v>18687.874166666701</v>
      </c>
      <c r="BT15" s="693">
        <v>185</v>
      </c>
      <c r="BU15" s="692">
        <f t="shared" si="44"/>
        <v>84.944882575757731</v>
      </c>
      <c r="BV15" s="693"/>
      <c r="BW15" s="692" t="e">
        <f t="shared" si="29"/>
        <v>#DIV/0!</v>
      </c>
      <c r="BX15" s="692">
        <f t="shared" si="34"/>
        <v>21707.055291666704</v>
      </c>
      <c r="BY15" s="692">
        <f t="shared" si="30"/>
        <v>98.668433143939566</v>
      </c>
      <c r="BZ15" s="694" t="e">
        <f t="shared" si="35"/>
        <v>#DIV/0!</v>
      </c>
    </row>
    <row r="16" spans="1:78" s="385" customFormat="1" ht="33.75" customHeight="1">
      <c r="A16" s="430">
        <v>11</v>
      </c>
      <c r="B16" s="431"/>
      <c r="C16" s="432">
        <f t="shared" si="36"/>
        <v>0</v>
      </c>
      <c r="D16" s="432"/>
      <c r="E16" s="432">
        <f t="shared" si="37"/>
        <v>0</v>
      </c>
      <c r="F16" s="432"/>
      <c r="G16" s="432">
        <f t="shared" si="38"/>
        <v>0</v>
      </c>
      <c r="H16" s="433">
        <v>61</v>
      </c>
      <c r="I16" s="769">
        <v>25864774</v>
      </c>
      <c r="J16" s="636">
        <f t="shared" si="18"/>
        <v>8905</v>
      </c>
      <c r="K16" s="636">
        <f t="shared" si="19"/>
        <v>4104</v>
      </c>
      <c r="L16" s="769">
        <v>360928</v>
      </c>
      <c r="M16" s="636">
        <f t="shared" si="40"/>
        <v>1993</v>
      </c>
      <c r="N16" s="769">
        <v>379677</v>
      </c>
      <c r="O16" s="636">
        <f t="shared" si="39"/>
        <v>2111</v>
      </c>
      <c r="P16" s="769">
        <v>227878</v>
      </c>
      <c r="Q16" s="636">
        <f t="shared" si="31"/>
        <v>540</v>
      </c>
      <c r="R16" s="768">
        <v>232114</v>
      </c>
      <c r="S16" s="636">
        <f t="shared" si="32"/>
        <v>149</v>
      </c>
      <c r="T16" s="768">
        <v>423404</v>
      </c>
      <c r="U16" s="636">
        <f t="shared" si="1"/>
        <v>253</v>
      </c>
      <c r="V16" s="768">
        <v>815800</v>
      </c>
      <c r="W16" s="636">
        <f t="shared" si="2"/>
        <v>1837.51</v>
      </c>
      <c r="X16" s="769">
        <v>839916</v>
      </c>
      <c r="Y16" s="636">
        <f t="shared" si="3"/>
        <v>0</v>
      </c>
      <c r="Z16" s="769">
        <v>871759</v>
      </c>
      <c r="AA16" s="636">
        <f t="shared" si="4"/>
        <v>0</v>
      </c>
      <c r="AB16" s="768">
        <v>184962</v>
      </c>
      <c r="AC16" s="636">
        <f t="shared" si="33"/>
        <v>0</v>
      </c>
      <c r="AD16" s="768">
        <v>862847</v>
      </c>
      <c r="AE16" s="636">
        <f t="shared" si="20"/>
        <v>13.780000000000001</v>
      </c>
      <c r="AF16" s="768">
        <v>1010492</v>
      </c>
      <c r="AG16" s="636">
        <f t="shared" si="42"/>
        <v>12.72</v>
      </c>
      <c r="AH16" s="768">
        <v>436920</v>
      </c>
      <c r="AI16" s="636">
        <f t="shared" si="6"/>
        <v>128.26000000000002</v>
      </c>
      <c r="AJ16" s="768">
        <v>690442</v>
      </c>
      <c r="AK16" s="636">
        <f t="shared" si="45"/>
        <v>1888.92</v>
      </c>
      <c r="AL16" s="768">
        <v>576482</v>
      </c>
      <c r="AM16" s="636">
        <f t="shared" si="8"/>
        <v>97.52000000000001</v>
      </c>
      <c r="AN16" s="636">
        <f t="shared" si="21"/>
        <v>3978.71</v>
      </c>
      <c r="AO16" s="768">
        <v>8210896</v>
      </c>
      <c r="AP16" s="636">
        <f t="shared" si="22"/>
        <v>81.337500000000006</v>
      </c>
      <c r="AQ16" s="768">
        <v>758374</v>
      </c>
      <c r="AR16" s="636">
        <f t="shared" si="9"/>
        <v>199</v>
      </c>
      <c r="AS16" s="769">
        <v>21167</v>
      </c>
      <c r="AT16" s="636">
        <f t="shared" si="23"/>
        <v>107</v>
      </c>
      <c r="AU16" s="768">
        <v>827655</v>
      </c>
      <c r="AV16" s="636">
        <f t="shared" si="10"/>
        <v>39</v>
      </c>
      <c r="AW16" s="768">
        <v>2916171</v>
      </c>
      <c r="AX16" s="636">
        <f t="shared" si="11"/>
        <v>707</v>
      </c>
      <c r="AY16" s="768">
        <v>233799</v>
      </c>
      <c r="AZ16" s="636">
        <f t="shared" si="12"/>
        <v>11</v>
      </c>
      <c r="BA16" s="768">
        <v>20997501</v>
      </c>
      <c r="BB16" s="636">
        <f t="shared" si="13"/>
        <v>5376</v>
      </c>
      <c r="BC16" s="768">
        <v>649030</v>
      </c>
      <c r="BD16" s="636">
        <f t="shared" si="13"/>
        <v>36</v>
      </c>
      <c r="BE16" s="768">
        <v>46794</v>
      </c>
      <c r="BF16" s="636">
        <f t="shared" si="13"/>
        <v>50</v>
      </c>
      <c r="BG16" s="769">
        <v>26392904</v>
      </c>
      <c r="BH16" s="636">
        <f t="shared" si="24"/>
        <v>5842.35</v>
      </c>
      <c r="BI16" s="636">
        <f t="shared" si="25"/>
        <v>12448.6875</v>
      </c>
      <c r="BJ16" s="636">
        <f t="shared" si="26"/>
        <v>16427.397499999999</v>
      </c>
      <c r="BK16" s="769">
        <v>1502937</v>
      </c>
      <c r="BL16" s="636">
        <f t="shared" si="14"/>
        <v>322</v>
      </c>
      <c r="BM16" s="769">
        <v>4350551</v>
      </c>
      <c r="BN16" s="636">
        <f t="shared" si="15"/>
        <v>997</v>
      </c>
      <c r="BO16" s="768">
        <v>455160</v>
      </c>
      <c r="BP16" s="636">
        <f t="shared" si="16"/>
        <v>120</v>
      </c>
      <c r="BQ16" s="768">
        <v>567898</v>
      </c>
      <c r="BR16" s="636">
        <f t="shared" si="41"/>
        <v>127</v>
      </c>
      <c r="BS16" s="692">
        <f t="shared" si="27"/>
        <v>25872.397499999999</v>
      </c>
      <c r="BT16" s="693">
        <v>156</v>
      </c>
      <c r="BU16" s="692">
        <f t="shared" si="44"/>
        <v>139.85079729729731</v>
      </c>
      <c r="BV16" s="693"/>
      <c r="BW16" s="692" t="e">
        <f t="shared" si="29"/>
        <v>#DIV/0!</v>
      </c>
      <c r="BX16" s="692">
        <f t="shared" si="34"/>
        <v>29996.257124999996</v>
      </c>
      <c r="BY16" s="692">
        <f>IF(BX16&gt;0,BX16/BT15,0)</f>
        <v>162.14193040540539</v>
      </c>
      <c r="BZ16" s="694" t="e">
        <f t="shared" si="35"/>
        <v>#DIV/0!</v>
      </c>
    </row>
    <row r="17" spans="1:78" s="385" customFormat="1" ht="33.75" customHeight="1">
      <c r="A17" s="430">
        <v>12</v>
      </c>
      <c r="B17" s="431"/>
      <c r="C17" s="432">
        <f t="shared" si="36"/>
        <v>0</v>
      </c>
      <c r="D17" s="432"/>
      <c r="E17" s="432">
        <f t="shared" si="37"/>
        <v>0</v>
      </c>
      <c r="F17" s="432"/>
      <c r="G17" s="432">
        <f t="shared" si="38"/>
        <v>0</v>
      </c>
      <c r="H17" s="433"/>
      <c r="I17" s="769">
        <v>25870026</v>
      </c>
      <c r="J17" s="636">
        <f>IF(I17&gt;=I16,I17-I16,0)</f>
        <v>5252</v>
      </c>
      <c r="K17" s="636">
        <f t="shared" si="19"/>
        <v>5328</v>
      </c>
      <c r="L17" s="769">
        <v>363707</v>
      </c>
      <c r="M17" s="636">
        <f t="shared" si="40"/>
        <v>2779</v>
      </c>
      <c r="N17" s="769">
        <v>382226</v>
      </c>
      <c r="O17" s="636">
        <f t="shared" si="39"/>
        <v>2549</v>
      </c>
      <c r="P17" s="769">
        <v>227897</v>
      </c>
      <c r="Q17" s="636">
        <f t="shared" si="31"/>
        <v>570</v>
      </c>
      <c r="R17" s="768">
        <v>232257</v>
      </c>
      <c r="S17" s="636">
        <f t="shared" si="32"/>
        <v>143</v>
      </c>
      <c r="T17" s="768">
        <v>423651</v>
      </c>
      <c r="U17" s="636">
        <f t="shared" si="1"/>
        <v>247</v>
      </c>
      <c r="V17" s="768">
        <v>820191</v>
      </c>
      <c r="W17" s="636">
        <f t="shared" si="2"/>
        <v>2327.23</v>
      </c>
      <c r="X17" s="769">
        <v>839916</v>
      </c>
      <c r="Y17" s="636">
        <f t="shared" si="3"/>
        <v>0</v>
      </c>
      <c r="Z17" s="772">
        <v>871759</v>
      </c>
      <c r="AA17" s="636">
        <f t="shared" si="4"/>
        <v>0</v>
      </c>
      <c r="AB17" s="768">
        <v>184962</v>
      </c>
      <c r="AC17" s="636">
        <f t="shared" si="33"/>
        <v>0</v>
      </c>
      <c r="AD17" s="768">
        <v>862872</v>
      </c>
      <c r="AE17" s="636">
        <f t="shared" si="20"/>
        <v>13.25</v>
      </c>
      <c r="AF17" s="768">
        <v>1010515</v>
      </c>
      <c r="AG17" s="636">
        <f t="shared" si="42"/>
        <v>12.190000000000001</v>
      </c>
      <c r="AH17" s="768">
        <v>437223</v>
      </c>
      <c r="AI17" s="636">
        <f t="shared" si="6"/>
        <v>160.59</v>
      </c>
      <c r="AJ17" s="768">
        <v>695201</v>
      </c>
      <c r="AK17" s="636">
        <f t="shared" si="45"/>
        <v>2522.27</v>
      </c>
      <c r="AL17" s="768">
        <v>576720</v>
      </c>
      <c r="AM17" s="636">
        <f t="shared" si="8"/>
        <v>126.14</v>
      </c>
      <c r="AN17" s="636">
        <f t="shared" si="21"/>
        <v>5161.670000000001</v>
      </c>
      <c r="AO17" s="707">
        <v>8211934</v>
      </c>
      <c r="AP17" s="636">
        <f t="shared" si="22"/>
        <v>116.77500000000001</v>
      </c>
      <c r="AQ17" s="768">
        <v>758569</v>
      </c>
      <c r="AR17" s="636">
        <f t="shared" si="9"/>
        <v>195</v>
      </c>
      <c r="AS17" s="769">
        <v>21265</v>
      </c>
      <c r="AT17" s="636">
        <f t="shared" si="23"/>
        <v>98</v>
      </c>
      <c r="AU17" s="768">
        <v>827704</v>
      </c>
      <c r="AV17" s="636">
        <f t="shared" si="10"/>
        <v>49</v>
      </c>
      <c r="AW17" s="768">
        <v>2917074</v>
      </c>
      <c r="AX17" s="636">
        <f t="shared" si="11"/>
        <v>903</v>
      </c>
      <c r="AY17" s="768">
        <v>233809</v>
      </c>
      <c r="AZ17" s="636">
        <f t="shared" si="12"/>
        <v>10</v>
      </c>
      <c r="BA17" s="768">
        <v>21003143</v>
      </c>
      <c r="BB17" s="636">
        <f t="shared" si="13"/>
        <v>5642</v>
      </c>
      <c r="BC17" s="768">
        <v>649159</v>
      </c>
      <c r="BD17" s="636">
        <f t="shared" si="13"/>
        <v>129</v>
      </c>
      <c r="BE17" s="768">
        <v>46844</v>
      </c>
      <c r="BF17" s="636">
        <f t="shared" si="13"/>
        <v>50</v>
      </c>
      <c r="BG17" s="769">
        <v>26399983</v>
      </c>
      <c r="BH17" s="636">
        <f t="shared" si="24"/>
        <v>6375.45</v>
      </c>
      <c r="BI17" s="636">
        <f t="shared" si="25"/>
        <v>13568.224999999999</v>
      </c>
      <c r="BJ17" s="636">
        <f t="shared" si="26"/>
        <v>18729.895</v>
      </c>
      <c r="BK17" s="769">
        <v>1503300</v>
      </c>
      <c r="BL17" s="636">
        <f t="shared" si="14"/>
        <v>363</v>
      </c>
      <c r="BM17" s="768">
        <v>4351652</v>
      </c>
      <c r="BN17" s="636">
        <f t="shared" si="15"/>
        <v>1101</v>
      </c>
      <c r="BO17" s="707">
        <v>455298</v>
      </c>
      <c r="BP17" s="636">
        <f t="shared" si="16"/>
        <v>138</v>
      </c>
      <c r="BQ17" s="768">
        <v>568044</v>
      </c>
      <c r="BR17" s="636">
        <f t="shared" si="41"/>
        <v>146</v>
      </c>
      <c r="BS17" s="692">
        <f t="shared" si="27"/>
        <v>24551.895</v>
      </c>
      <c r="BT17" s="693">
        <v>199</v>
      </c>
      <c r="BU17" s="692">
        <f t="shared" si="44"/>
        <v>157.38394230769231</v>
      </c>
      <c r="BV17" s="693"/>
      <c r="BW17" s="692" t="e">
        <f t="shared" si="29"/>
        <v>#DIV/0!</v>
      </c>
      <c r="BX17" s="692">
        <f t="shared" si="34"/>
        <v>28491.179249999997</v>
      </c>
      <c r="BY17" s="692">
        <f>IF(BX17&gt;0,BX17/BT16,0)</f>
        <v>182.63576442307689</v>
      </c>
      <c r="BZ17" s="694" t="e">
        <f t="shared" si="35"/>
        <v>#DIV/0!</v>
      </c>
    </row>
    <row r="18" spans="1:78" s="385" customFormat="1" ht="33.75" customHeight="1">
      <c r="A18" s="430">
        <v>13</v>
      </c>
      <c r="B18" s="431"/>
      <c r="C18" s="432">
        <f t="shared" si="36"/>
        <v>0</v>
      </c>
      <c r="D18" s="432"/>
      <c r="E18" s="432">
        <f t="shared" si="37"/>
        <v>0</v>
      </c>
      <c r="F18" s="432"/>
      <c r="G18" s="432">
        <f t="shared" si="38"/>
        <v>0</v>
      </c>
      <c r="H18" s="433">
        <v>62</v>
      </c>
      <c r="I18" s="769">
        <v>25878771</v>
      </c>
      <c r="J18" s="636">
        <f t="shared" si="18"/>
        <v>8745</v>
      </c>
      <c r="K18" s="636">
        <f t="shared" si="19"/>
        <v>4493</v>
      </c>
      <c r="L18" s="769">
        <v>366004</v>
      </c>
      <c r="M18" s="636">
        <f t="shared" si="40"/>
        <v>2297</v>
      </c>
      <c r="N18" s="769">
        <v>384422</v>
      </c>
      <c r="O18" s="636">
        <f t="shared" si="39"/>
        <v>2196</v>
      </c>
      <c r="P18" s="769">
        <v>227916</v>
      </c>
      <c r="Q18" s="636">
        <f t="shared" si="31"/>
        <v>570</v>
      </c>
      <c r="R18" s="768">
        <v>232405</v>
      </c>
      <c r="S18" s="636">
        <f t="shared" si="32"/>
        <v>148</v>
      </c>
      <c r="T18" s="768">
        <v>423911</v>
      </c>
      <c r="U18" s="636">
        <f t="shared" si="1"/>
        <v>260</v>
      </c>
      <c r="V18" s="768">
        <v>823896</v>
      </c>
      <c r="W18" s="636">
        <f t="shared" si="2"/>
        <v>1963.65</v>
      </c>
      <c r="X18" s="769">
        <v>839916</v>
      </c>
      <c r="Y18" s="636">
        <f t="shared" si="3"/>
        <v>0</v>
      </c>
      <c r="Z18" s="768">
        <v>871759</v>
      </c>
      <c r="AA18" s="636">
        <f t="shared" si="4"/>
        <v>0</v>
      </c>
      <c r="AB18" s="768">
        <v>184962</v>
      </c>
      <c r="AC18" s="636">
        <f t="shared" si="33"/>
        <v>0</v>
      </c>
      <c r="AD18" s="768">
        <v>862897</v>
      </c>
      <c r="AE18" s="636">
        <f t="shared" si="20"/>
        <v>13.25</v>
      </c>
      <c r="AF18" s="768">
        <v>1010538</v>
      </c>
      <c r="AG18" s="636">
        <f t="shared" si="42"/>
        <v>12.190000000000001</v>
      </c>
      <c r="AH18" s="768">
        <v>437470</v>
      </c>
      <c r="AI18" s="636">
        <f t="shared" si="6"/>
        <v>130.91</v>
      </c>
      <c r="AJ18" s="768">
        <v>699159</v>
      </c>
      <c r="AK18" s="636">
        <f t="shared" si="45"/>
        <v>2097.7400000000002</v>
      </c>
      <c r="AL18" s="768">
        <v>576918</v>
      </c>
      <c r="AM18" s="636">
        <f t="shared" si="8"/>
        <v>104.94000000000001</v>
      </c>
      <c r="AN18" s="636">
        <f t="shared" si="21"/>
        <v>4322.6799999999994</v>
      </c>
      <c r="AO18" s="768">
        <v>8212822</v>
      </c>
      <c r="AP18" s="636">
        <f t="shared" si="22"/>
        <v>99.9</v>
      </c>
      <c r="AQ18" s="769">
        <v>758749</v>
      </c>
      <c r="AR18" s="636">
        <f t="shared" si="9"/>
        <v>180</v>
      </c>
      <c r="AS18" s="769">
        <v>21328</v>
      </c>
      <c r="AT18" s="636">
        <f t="shared" si="23"/>
        <v>63</v>
      </c>
      <c r="AU18" s="769">
        <v>827742</v>
      </c>
      <c r="AV18" s="636">
        <f t="shared" si="10"/>
        <v>38</v>
      </c>
      <c r="AW18" s="769">
        <v>2917814</v>
      </c>
      <c r="AX18" s="636">
        <f t="shared" si="11"/>
        <v>740</v>
      </c>
      <c r="AY18" s="768">
        <v>233820</v>
      </c>
      <c r="AZ18" s="636">
        <f t="shared" si="12"/>
        <v>11</v>
      </c>
      <c r="BA18" s="768">
        <v>21008257</v>
      </c>
      <c r="BB18" s="636">
        <f t="shared" si="13"/>
        <v>5114</v>
      </c>
      <c r="BC18" s="768">
        <v>649320</v>
      </c>
      <c r="BD18" s="636">
        <f t="shared" si="13"/>
        <v>161</v>
      </c>
      <c r="BE18" s="768">
        <v>46894</v>
      </c>
      <c r="BF18" s="636">
        <f t="shared" si="13"/>
        <v>50</v>
      </c>
      <c r="BG18" s="769">
        <v>26405035</v>
      </c>
      <c r="BH18" s="636">
        <f t="shared" si="24"/>
        <v>4555.5999999999995</v>
      </c>
      <c r="BI18" s="636">
        <f t="shared" si="25"/>
        <v>11012.5</v>
      </c>
      <c r="BJ18" s="636">
        <f t="shared" si="26"/>
        <v>15335.18</v>
      </c>
      <c r="BK18" s="769">
        <v>1503556</v>
      </c>
      <c r="BL18" s="636">
        <f t="shared" si="14"/>
        <v>256</v>
      </c>
      <c r="BM18" s="768">
        <v>4352421</v>
      </c>
      <c r="BN18" s="636">
        <f t="shared" si="15"/>
        <v>769</v>
      </c>
      <c r="BO18" s="768">
        <v>455401</v>
      </c>
      <c r="BP18" s="636">
        <f t="shared" si="16"/>
        <v>103</v>
      </c>
      <c r="BQ18" s="768">
        <v>568148</v>
      </c>
      <c r="BR18" s="636">
        <f t="shared" si="41"/>
        <v>104</v>
      </c>
      <c r="BS18" s="692">
        <f t="shared" si="27"/>
        <v>24650.18</v>
      </c>
      <c r="BT18" s="693">
        <v>212</v>
      </c>
      <c r="BU18" s="692">
        <f t="shared" si="44"/>
        <v>123.87025125628141</v>
      </c>
      <c r="BV18" s="693"/>
      <c r="BW18" s="692" t="e">
        <f t="shared" si="29"/>
        <v>#DIV/0!</v>
      </c>
      <c r="BX18" s="692">
        <f t="shared" si="34"/>
        <v>28604.206999999999</v>
      </c>
      <c r="BY18" s="692">
        <f>IF(BX18&gt;0,BX18/BT17,0)</f>
        <v>143.7397336683417</v>
      </c>
      <c r="BZ18" s="694" t="e">
        <f t="shared" si="35"/>
        <v>#DIV/0!</v>
      </c>
    </row>
    <row r="19" spans="1:78" s="385" customFormat="1" ht="33.75" customHeight="1">
      <c r="A19" s="430">
        <v>14</v>
      </c>
      <c r="B19" s="431"/>
      <c r="C19" s="432">
        <f t="shared" si="36"/>
        <v>0</v>
      </c>
      <c r="D19" s="432"/>
      <c r="E19" s="432">
        <f t="shared" si="37"/>
        <v>0</v>
      </c>
      <c r="F19" s="432"/>
      <c r="G19" s="432">
        <f t="shared" si="38"/>
        <v>0</v>
      </c>
      <c r="H19" s="433"/>
      <c r="I19" s="769">
        <v>25884240</v>
      </c>
      <c r="J19" s="636">
        <f t="shared" si="18"/>
        <v>5469</v>
      </c>
      <c r="K19" s="636">
        <f t="shared" si="19"/>
        <v>4760</v>
      </c>
      <c r="L19" s="769">
        <v>368375</v>
      </c>
      <c r="M19" s="636">
        <f t="shared" si="40"/>
        <v>2371</v>
      </c>
      <c r="N19" s="769">
        <v>386811</v>
      </c>
      <c r="O19" s="636">
        <f t="shared" si="39"/>
        <v>2389</v>
      </c>
      <c r="P19" s="769">
        <v>227931</v>
      </c>
      <c r="Q19" s="636">
        <f t="shared" ref="Q19:Q35" si="46">IF(P19&gt;=P18,P19-P18,0)*30</f>
        <v>450</v>
      </c>
      <c r="R19" s="768">
        <v>232550</v>
      </c>
      <c r="S19" s="636">
        <f t="shared" si="32"/>
        <v>145</v>
      </c>
      <c r="T19" s="768">
        <v>424173</v>
      </c>
      <c r="U19" s="636">
        <f t="shared" si="1"/>
        <v>262</v>
      </c>
      <c r="V19" s="768">
        <v>828058</v>
      </c>
      <c r="W19" s="636">
        <f t="shared" si="2"/>
        <v>2205.86</v>
      </c>
      <c r="X19" s="769">
        <v>839916</v>
      </c>
      <c r="Y19" s="636">
        <f t="shared" si="3"/>
        <v>0</v>
      </c>
      <c r="Z19" s="768">
        <v>871759</v>
      </c>
      <c r="AA19" s="636">
        <f t="shared" si="4"/>
        <v>0</v>
      </c>
      <c r="AB19" s="768">
        <v>184462</v>
      </c>
      <c r="AC19" s="636">
        <f t="shared" si="33"/>
        <v>0</v>
      </c>
      <c r="AD19" s="768">
        <v>862917</v>
      </c>
      <c r="AE19" s="636">
        <f t="shared" si="20"/>
        <v>10.600000000000001</v>
      </c>
      <c r="AF19" s="768">
        <v>1010556</v>
      </c>
      <c r="AG19" s="636">
        <f t="shared" si="42"/>
        <v>9.5400000000000009</v>
      </c>
      <c r="AH19" s="769">
        <v>437769</v>
      </c>
      <c r="AI19" s="636">
        <f t="shared" si="6"/>
        <v>158.47</v>
      </c>
      <c r="AJ19" s="769">
        <v>703598</v>
      </c>
      <c r="AK19" s="636">
        <f t="shared" si="45"/>
        <v>2352.67</v>
      </c>
      <c r="AL19" s="768">
        <v>577134</v>
      </c>
      <c r="AM19" s="636">
        <f t="shared" si="8"/>
        <v>114.48</v>
      </c>
      <c r="AN19" s="636">
        <f t="shared" si="21"/>
        <v>4851.619999999999</v>
      </c>
      <c r="AO19" s="768">
        <v>8213823</v>
      </c>
      <c r="AP19" s="636">
        <f t="shared" si="22"/>
        <v>112.6125</v>
      </c>
      <c r="AQ19" s="768">
        <v>758942</v>
      </c>
      <c r="AR19" s="636">
        <f t="shared" si="9"/>
        <v>193</v>
      </c>
      <c r="AS19" s="769">
        <v>21401</v>
      </c>
      <c r="AT19" s="636">
        <f t="shared" si="23"/>
        <v>73</v>
      </c>
      <c r="AU19" s="768">
        <v>827785</v>
      </c>
      <c r="AV19" s="636">
        <f t="shared" si="10"/>
        <v>43</v>
      </c>
      <c r="AW19" s="769">
        <v>2918669</v>
      </c>
      <c r="AX19" s="636">
        <f t="shared" si="11"/>
        <v>855</v>
      </c>
      <c r="AY19" s="768">
        <v>233831</v>
      </c>
      <c r="AZ19" s="636">
        <f t="shared" ref="AZ19:AZ36" si="47">IF(AY19&gt;=AY18,AY19-AY18,0)</f>
        <v>11</v>
      </c>
      <c r="BA19" s="769">
        <v>21013336</v>
      </c>
      <c r="BB19" s="636">
        <f t="shared" si="13"/>
        <v>5079</v>
      </c>
      <c r="BC19" s="768">
        <v>649514</v>
      </c>
      <c r="BD19" s="636">
        <f t="shared" si="13"/>
        <v>194</v>
      </c>
      <c r="BE19" s="768">
        <v>46926</v>
      </c>
      <c r="BF19" s="636">
        <f t="shared" si="13"/>
        <v>32</v>
      </c>
      <c r="BG19" s="769">
        <v>26410968</v>
      </c>
      <c r="BH19" s="636">
        <f t="shared" si="24"/>
        <v>5326.45</v>
      </c>
      <c r="BI19" s="636">
        <f t="shared" si="25"/>
        <v>11919.0625</v>
      </c>
      <c r="BJ19" s="636">
        <f t="shared" si="26"/>
        <v>16770.682499999999</v>
      </c>
      <c r="BK19" s="769">
        <v>1503869</v>
      </c>
      <c r="BL19" s="636">
        <f t="shared" si="14"/>
        <v>313</v>
      </c>
      <c r="BM19" s="768">
        <v>4353374</v>
      </c>
      <c r="BN19" s="636">
        <f t="shared" si="15"/>
        <v>953</v>
      </c>
      <c r="BO19" s="707">
        <v>455527</v>
      </c>
      <c r="BP19" s="636">
        <f t="shared" si="16"/>
        <v>126</v>
      </c>
      <c r="BQ19" s="769">
        <v>568269</v>
      </c>
      <c r="BR19" s="636">
        <f t="shared" si="41"/>
        <v>121</v>
      </c>
      <c r="BS19" s="692">
        <f t="shared" si="27"/>
        <v>22689.682499999999</v>
      </c>
      <c r="BT19" s="693">
        <v>238</v>
      </c>
      <c r="BU19" s="692">
        <f t="shared" si="44"/>
        <v>107.02680424528302</v>
      </c>
      <c r="BV19" s="693"/>
      <c r="BW19" s="692" t="e">
        <f t="shared" si="29"/>
        <v>#DIV/0!</v>
      </c>
      <c r="BX19" s="692">
        <f t="shared" si="34"/>
        <v>26295.634874999996</v>
      </c>
      <c r="BY19" s="692">
        <f>IF(BX19&gt;0,BX19/BT18,0)</f>
        <v>124.03601356132074</v>
      </c>
      <c r="BZ19" s="694" t="e">
        <f t="shared" si="35"/>
        <v>#DIV/0!</v>
      </c>
    </row>
    <row r="20" spans="1:78" s="385" customFormat="1" ht="33.75" customHeight="1">
      <c r="A20" s="430">
        <v>15</v>
      </c>
      <c r="B20" s="431"/>
      <c r="C20" s="432">
        <f t="shared" si="36"/>
        <v>0</v>
      </c>
      <c r="D20" s="432"/>
      <c r="E20" s="432">
        <f t="shared" si="37"/>
        <v>0</v>
      </c>
      <c r="F20" s="432"/>
      <c r="G20" s="432">
        <f t="shared" si="38"/>
        <v>0</v>
      </c>
      <c r="H20" s="433">
        <v>63</v>
      </c>
      <c r="I20" s="769">
        <v>25890595</v>
      </c>
      <c r="J20" s="636">
        <f>IF(I20&gt;=I19,I20-I19,0)</f>
        <v>6355</v>
      </c>
      <c r="K20" s="636">
        <f t="shared" si="19"/>
        <v>4198</v>
      </c>
      <c r="L20" s="769">
        <v>370468</v>
      </c>
      <c r="M20" s="636">
        <f t="shared" si="40"/>
        <v>2093</v>
      </c>
      <c r="N20" s="769">
        <v>388916</v>
      </c>
      <c r="O20" s="636">
        <f t="shared" si="39"/>
        <v>2105</v>
      </c>
      <c r="P20" s="769">
        <v>227948</v>
      </c>
      <c r="Q20" s="636">
        <f t="shared" si="46"/>
        <v>510</v>
      </c>
      <c r="R20" s="768">
        <v>232691</v>
      </c>
      <c r="S20" s="636">
        <f t="shared" si="32"/>
        <v>141</v>
      </c>
      <c r="T20" s="768">
        <v>424411</v>
      </c>
      <c r="U20" s="636">
        <f t="shared" si="1"/>
        <v>238</v>
      </c>
      <c r="V20" s="768">
        <v>831696</v>
      </c>
      <c r="W20" s="636">
        <f t="shared" si="2"/>
        <v>1928.14</v>
      </c>
      <c r="X20" s="769">
        <v>839916</v>
      </c>
      <c r="Y20" s="636">
        <f t="shared" si="3"/>
        <v>0</v>
      </c>
      <c r="Z20" s="769">
        <v>871759</v>
      </c>
      <c r="AA20" s="636">
        <f t="shared" si="4"/>
        <v>0</v>
      </c>
      <c r="AB20" s="768">
        <v>184462</v>
      </c>
      <c r="AC20" s="636">
        <f t="shared" si="33"/>
        <v>0</v>
      </c>
      <c r="AD20" s="768">
        <v>862938</v>
      </c>
      <c r="AE20" s="636">
        <f t="shared" si="20"/>
        <v>11.13</v>
      </c>
      <c r="AF20" s="768">
        <v>1010576</v>
      </c>
      <c r="AG20" s="636">
        <f t="shared" si="42"/>
        <v>10.600000000000001</v>
      </c>
      <c r="AH20" s="768">
        <v>438032</v>
      </c>
      <c r="AI20" s="636">
        <f t="shared" si="6"/>
        <v>139.39000000000001</v>
      </c>
      <c r="AJ20" s="768">
        <v>707480</v>
      </c>
      <c r="AK20" s="636">
        <f t="shared" si="45"/>
        <v>2057.46</v>
      </c>
      <c r="AL20" s="768">
        <v>577329</v>
      </c>
      <c r="AM20" s="636">
        <f t="shared" si="8"/>
        <v>103.35000000000001</v>
      </c>
      <c r="AN20" s="636">
        <f t="shared" si="21"/>
        <v>4250.0700000000006</v>
      </c>
      <c r="AO20" s="768">
        <v>8214629</v>
      </c>
      <c r="AP20" s="636">
        <f t="shared" si="22"/>
        <v>90.674999999999997</v>
      </c>
      <c r="AQ20" s="769">
        <v>759126</v>
      </c>
      <c r="AR20" s="636">
        <f t="shared" si="9"/>
        <v>184</v>
      </c>
      <c r="AS20" s="769">
        <v>21465</v>
      </c>
      <c r="AT20" s="636">
        <f>IF(AS20&gt;=AS19,AS20-AS19,0)</f>
        <v>64</v>
      </c>
      <c r="AU20" s="768">
        <v>827825</v>
      </c>
      <c r="AV20" s="636">
        <f>IF(AU20&gt;=AU19,AU20-AU19,0)</f>
        <v>40</v>
      </c>
      <c r="AW20" s="768">
        <v>2919434</v>
      </c>
      <c r="AX20" s="636">
        <f t="shared" si="11"/>
        <v>765</v>
      </c>
      <c r="AY20" s="768">
        <v>233841</v>
      </c>
      <c r="AZ20" s="636">
        <f t="shared" si="47"/>
        <v>10</v>
      </c>
      <c r="BA20" s="768">
        <v>21016790</v>
      </c>
      <c r="BB20" s="636">
        <f t="shared" si="13"/>
        <v>3454</v>
      </c>
      <c r="BC20" s="768">
        <v>649692</v>
      </c>
      <c r="BD20" s="636">
        <f t="shared" si="13"/>
        <v>178</v>
      </c>
      <c r="BE20" s="768">
        <v>46971</v>
      </c>
      <c r="BF20" s="636">
        <f t="shared" si="13"/>
        <v>45</v>
      </c>
      <c r="BG20" s="769">
        <v>26416114</v>
      </c>
      <c r="BH20" s="636">
        <f t="shared" si="24"/>
        <v>4613.3999999999996</v>
      </c>
      <c r="BI20" s="636">
        <f t="shared" si="25"/>
        <v>9444.0750000000007</v>
      </c>
      <c r="BJ20" s="636">
        <f t="shared" si="26"/>
        <v>13694.145</v>
      </c>
      <c r="BK20" s="769">
        <v>1504145</v>
      </c>
      <c r="BL20" s="636">
        <f t="shared" si="14"/>
        <v>276</v>
      </c>
      <c r="BM20" s="768">
        <v>4354189</v>
      </c>
      <c r="BN20" s="636">
        <f t="shared" si="15"/>
        <v>815</v>
      </c>
      <c r="BO20" s="768">
        <v>455640</v>
      </c>
      <c r="BP20" s="636">
        <f t="shared" si="16"/>
        <v>113</v>
      </c>
      <c r="BQ20" s="768">
        <v>568384</v>
      </c>
      <c r="BR20" s="636">
        <f t="shared" si="41"/>
        <v>115</v>
      </c>
      <c r="BS20" s="692">
        <f t="shared" si="27"/>
        <v>20559.145</v>
      </c>
      <c r="BT20" s="693">
        <v>229</v>
      </c>
      <c r="BU20" s="692">
        <f>IF(BS20&gt;0,BS20/BT20,0)</f>
        <v>89.777925764192148</v>
      </c>
      <c r="BV20" s="693"/>
      <c r="BW20" s="692" t="e">
        <f t="shared" si="29"/>
        <v>#DIV/0!</v>
      </c>
      <c r="BX20" s="692">
        <f t="shared" si="34"/>
        <v>23872.516749999999</v>
      </c>
      <c r="BY20" s="692">
        <f t="shared" ref="BY20:BY36" si="48">IF(BX20&gt;0,BX20/BT20,0)</f>
        <v>104.2467980349345</v>
      </c>
      <c r="BZ20" s="694" t="e">
        <f t="shared" si="35"/>
        <v>#DIV/0!</v>
      </c>
    </row>
    <row r="21" spans="1:78" s="385" customFormat="1" ht="33.75" customHeight="1">
      <c r="A21" s="430">
        <v>16</v>
      </c>
      <c r="B21" s="431"/>
      <c r="C21" s="432">
        <f t="shared" si="36"/>
        <v>0</v>
      </c>
      <c r="D21" s="432"/>
      <c r="E21" s="432">
        <f t="shared" si="37"/>
        <v>0</v>
      </c>
      <c r="F21" s="432"/>
      <c r="G21" s="432">
        <f t="shared" si="38"/>
        <v>0</v>
      </c>
      <c r="H21" s="433"/>
      <c r="I21" s="769">
        <v>25897273</v>
      </c>
      <c r="J21" s="636">
        <f>IF(I21&gt;=I20,I21-I20,0)</f>
        <v>6678</v>
      </c>
      <c r="K21" s="636">
        <f t="shared" si="19"/>
        <v>5658</v>
      </c>
      <c r="L21" s="769">
        <v>373325</v>
      </c>
      <c r="M21" s="636">
        <f t="shared" si="40"/>
        <v>2857</v>
      </c>
      <c r="N21" s="769">
        <v>391717</v>
      </c>
      <c r="O21" s="636">
        <f t="shared" si="39"/>
        <v>2801</v>
      </c>
      <c r="P21" s="769">
        <v>227964</v>
      </c>
      <c r="Q21" s="636">
        <f t="shared" si="46"/>
        <v>480</v>
      </c>
      <c r="R21" s="768">
        <v>232836</v>
      </c>
      <c r="S21" s="636">
        <f t="shared" ref="S21:S35" si="49">IF(R21&gt;=R20,R21-R20,0)</f>
        <v>145</v>
      </c>
      <c r="T21" s="768">
        <v>424659</v>
      </c>
      <c r="U21" s="636">
        <f t="shared" si="1"/>
        <v>248</v>
      </c>
      <c r="V21" s="768">
        <v>836165</v>
      </c>
      <c r="W21" s="636">
        <f t="shared" si="2"/>
        <v>2368.5700000000002</v>
      </c>
      <c r="X21" s="769">
        <v>839916</v>
      </c>
      <c r="Y21" s="636">
        <f t="shared" si="3"/>
        <v>0</v>
      </c>
      <c r="Z21" s="769">
        <v>871759</v>
      </c>
      <c r="AA21" s="636">
        <f t="shared" si="4"/>
        <v>0</v>
      </c>
      <c r="AB21" s="768">
        <v>184462</v>
      </c>
      <c r="AC21" s="636">
        <f t="shared" si="33"/>
        <v>0</v>
      </c>
      <c r="AD21" s="768">
        <v>862964</v>
      </c>
      <c r="AE21" s="636">
        <f t="shared" si="20"/>
        <v>13.780000000000001</v>
      </c>
      <c r="AF21" s="768">
        <v>1010600</v>
      </c>
      <c r="AG21" s="636">
        <f t="shared" si="42"/>
        <v>12.72</v>
      </c>
      <c r="AH21" s="769">
        <v>438380</v>
      </c>
      <c r="AI21" s="636">
        <f t="shared" si="6"/>
        <v>184.44</v>
      </c>
      <c r="AJ21" s="769">
        <v>712589</v>
      </c>
      <c r="AK21" s="636">
        <f t="shared" si="45"/>
        <v>2707.77</v>
      </c>
      <c r="AL21" s="768">
        <v>577592</v>
      </c>
      <c r="AM21" s="636">
        <f t="shared" si="8"/>
        <v>139.39000000000001</v>
      </c>
      <c r="AN21" s="636">
        <f t="shared" si="21"/>
        <v>5426.670000000001</v>
      </c>
      <c r="AO21" s="768">
        <v>8215593</v>
      </c>
      <c r="AP21" s="636">
        <f t="shared" si="22"/>
        <v>108.45</v>
      </c>
      <c r="AQ21" s="768">
        <v>759321</v>
      </c>
      <c r="AR21" s="636">
        <f t="shared" si="9"/>
        <v>195</v>
      </c>
      <c r="AS21" s="769">
        <v>21546</v>
      </c>
      <c r="AT21" s="636">
        <f>IF(AS21&gt;=AS20,AS21-AS20,0)</f>
        <v>81</v>
      </c>
      <c r="AU21" s="768">
        <v>827877</v>
      </c>
      <c r="AV21" s="636">
        <f>IF(AU21&gt;=AU20,AU21-AU20,0)</f>
        <v>52</v>
      </c>
      <c r="AW21" s="768">
        <v>2920431</v>
      </c>
      <c r="AX21" s="636">
        <f t="shared" si="11"/>
        <v>997</v>
      </c>
      <c r="AY21" s="769">
        <v>233851</v>
      </c>
      <c r="AZ21" s="636">
        <f t="shared" si="47"/>
        <v>10</v>
      </c>
      <c r="BA21" s="769">
        <v>21022415</v>
      </c>
      <c r="BB21" s="636">
        <f t="shared" si="13"/>
        <v>5625</v>
      </c>
      <c r="BC21" s="768">
        <v>649941</v>
      </c>
      <c r="BD21" s="636">
        <f t="shared" si="13"/>
        <v>249</v>
      </c>
      <c r="BE21" s="768">
        <v>47021</v>
      </c>
      <c r="BF21" s="636">
        <f t="shared" si="13"/>
        <v>50</v>
      </c>
      <c r="BG21" s="769">
        <v>26422452</v>
      </c>
      <c r="BH21" s="636">
        <f t="shared" si="24"/>
        <v>5674.4</v>
      </c>
      <c r="BI21" s="636">
        <f t="shared" si="25"/>
        <v>13041.849999999999</v>
      </c>
      <c r="BJ21" s="636">
        <f t="shared" si="26"/>
        <v>18468.52</v>
      </c>
      <c r="BK21" s="769">
        <v>1504482</v>
      </c>
      <c r="BL21" s="636">
        <f t="shared" si="14"/>
        <v>337</v>
      </c>
      <c r="BM21" s="768">
        <v>4355237</v>
      </c>
      <c r="BN21" s="636">
        <f t="shared" si="15"/>
        <v>1048</v>
      </c>
      <c r="BO21" s="768">
        <v>455780</v>
      </c>
      <c r="BP21" s="636">
        <f t="shared" si="16"/>
        <v>140</v>
      </c>
      <c r="BQ21" s="768">
        <v>568513</v>
      </c>
      <c r="BR21" s="636">
        <f t="shared" si="41"/>
        <v>129</v>
      </c>
      <c r="BS21" s="692">
        <f t="shared" si="27"/>
        <v>25626.52</v>
      </c>
      <c r="BT21" s="693">
        <v>213</v>
      </c>
      <c r="BU21" s="692">
        <f t="shared" ref="BU21:BU36" si="50">IF(BS21&gt;0,BS21/BT21,0)</f>
        <v>120.31230046948357</v>
      </c>
      <c r="BV21" s="693"/>
      <c r="BW21" s="692" t="e">
        <f t="shared" si="29"/>
        <v>#DIV/0!</v>
      </c>
      <c r="BX21" s="692">
        <f t="shared" si="34"/>
        <v>29686.498</v>
      </c>
      <c r="BY21" s="692">
        <f t="shared" si="48"/>
        <v>139.37323004694835</v>
      </c>
      <c r="BZ21" s="694" t="e">
        <f t="shared" si="35"/>
        <v>#DIV/0!</v>
      </c>
    </row>
    <row r="22" spans="1:78" s="385" customFormat="1" ht="33.75" customHeight="1">
      <c r="A22" s="430">
        <v>17</v>
      </c>
      <c r="B22" s="431"/>
      <c r="C22" s="432">
        <f t="shared" si="36"/>
        <v>0</v>
      </c>
      <c r="D22" s="432"/>
      <c r="E22" s="432">
        <f t="shared" si="37"/>
        <v>0</v>
      </c>
      <c r="F22" s="432"/>
      <c r="G22" s="432">
        <f t="shared" si="38"/>
        <v>0</v>
      </c>
      <c r="H22" s="433">
        <v>64</v>
      </c>
      <c r="I22" s="769">
        <v>25904027</v>
      </c>
      <c r="J22" s="636">
        <f t="shared" ref="J22:J31" si="51">IF(I22&gt;=I21,I22-I21,0)</f>
        <v>6754</v>
      </c>
      <c r="K22" s="636">
        <f t="shared" si="19"/>
        <v>4074</v>
      </c>
      <c r="L22" s="769">
        <v>375352</v>
      </c>
      <c r="M22" s="636">
        <f t="shared" si="40"/>
        <v>2027</v>
      </c>
      <c r="N22" s="769">
        <v>393764</v>
      </c>
      <c r="O22" s="636">
        <f t="shared" si="39"/>
        <v>2047</v>
      </c>
      <c r="P22" s="769">
        <v>227980</v>
      </c>
      <c r="Q22" s="636">
        <f t="shared" si="46"/>
        <v>480</v>
      </c>
      <c r="R22" s="768">
        <v>232982</v>
      </c>
      <c r="S22" s="636">
        <f t="shared" si="49"/>
        <v>146</v>
      </c>
      <c r="T22" s="768">
        <v>424905</v>
      </c>
      <c r="U22" s="636">
        <f t="shared" si="1"/>
        <v>246</v>
      </c>
      <c r="V22" s="768">
        <v>838918</v>
      </c>
      <c r="W22" s="636">
        <f t="shared" ref="W22:W28" si="52">IF(V22&gt;=V21,V22-V21,0)*0.53</f>
        <v>1459.0900000000001</v>
      </c>
      <c r="X22" s="769">
        <v>839916</v>
      </c>
      <c r="Y22" s="636">
        <f t="shared" si="3"/>
        <v>0</v>
      </c>
      <c r="Z22" s="768">
        <v>871759</v>
      </c>
      <c r="AA22" s="636">
        <f t="shared" si="4"/>
        <v>0</v>
      </c>
      <c r="AB22" s="768">
        <v>184462</v>
      </c>
      <c r="AC22" s="636">
        <f t="shared" si="33"/>
        <v>0</v>
      </c>
      <c r="AD22" s="768">
        <v>862988</v>
      </c>
      <c r="AE22" s="636">
        <f t="shared" si="20"/>
        <v>12.72</v>
      </c>
      <c r="AF22" s="768">
        <v>1010623</v>
      </c>
      <c r="AG22" s="636">
        <f t="shared" si="42"/>
        <v>12.190000000000001</v>
      </c>
      <c r="AH22" s="769">
        <v>438716</v>
      </c>
      <c r="AI22" s="636">
        <f t="shared" si="6"/>
        <v>178.08</v>
      </c>
      <c r="AJ22" s="769">
        <v>716386</v>
      </c>
      <c r="AK22" s="636">
        <f t="shared" si="45"/>
        <v>2012.41</v>
      </c>
      <c r="AL22" s="768">
        <v>577785</v>
      </c>
      <c r="AM22" s="636">
        <f t="shared" si="8"/>
        <v>102.29</v>
      </c>
      <c r="AN22" s="636">
        <f t="shared" si="21"/>
        <v>3776.78</v>
      </c>
      <c r="AO22" s="768">
        <v>8216497</v>
      </c>
      <c r="AP22" s="636">
        <f t="shared" si="22"/>
        <v>101.7</v>
      </c>
      <c r="AQ22" s="768">
        <v>759507</v>
      </c>
      <c r="AR22" s="636">
        <f t="shared" si="9"/>
        <v>186</v>
      </c>
      <c r="AS22" s="769">
        <v>21649</v>
      </c>
      <c r="AT22" s="636">
        <f t="shared" si="23"/>
        <v>103</v>
      </c>
      <c r="AU22" s="768">
        <v>827914</v>
      </c>
      <c r="AV22" s="636">
        <f t="shared" si="10"/>
        <v>37</v>
      </c>
      <c r="AW22" s="769">
        <v>2921152</v>
      </c>
      <c r="AX22" s="636">
        <f t="shared" si="11"/>
        <v>721</v>
      </c>
      <c r="AY22" s="769">
        <v>233862</v>
      </c>
      <c r="AZ22" s="636">
        <f t="shared" si="47"/>
        <v>11</v>
      </c>
      <c r="BA22" s="769">
        <v>21026490</v>
      </c>
      <c r="BB22" s="636">
        <f t="shared" si="13"/>
        <v>4075</v>
      </c>
      <c r="BC22" s="768">
        <v>650166</v>
      </c>
      <c r="BD22" s="636">
        <f t="shared" si="13"/>
        <v>225</v>
      </c>
      <c r="BE22" s="768">
        <v>47071</v>
      </c>
      <c r="BF22" s="636">
        <f t="shared" si="13"/>
        <v>50</v>
      </c>
      <c r="BG22" s="769">
        <v>26428354</v>
      </c>
      <c r="BH22" s="636">
        <f t="shared" si="24"/>
        <v>5251.9000000000005</v>
      </c>
      <c r="BI22" s="636">
        <f t="shared" si="25"/>
        <v>10761.6</v>
      </c>
      <c r="BJ22" s="636">
        <f t="shared" si="26"/>
        <v>14538.380000000001</v>
      </c>
      <c r="BK22" s="769">
        <v>1504767</v>
      </c>
      <c r="BL22" s="636">
        <f t="shared" si="14"/>
        <v>285</v>
      </c>
      <c r="BM22" s="768">
        <v>4356264</v>
      </c>
      <c r="BN22" s="636">
        <f t="shared" si="15"/>
        <v>1027</v>
      </c>
      <c r="BO22" s="707">
        <v>455911</v>
      </c>
      <c r="BP22" s="636">
        <f t="shared" si="16"/>
        <v>131</v>
      </c>
      <c r="BQ22" s="769">
        <v>568642</v>
      </c>
      <c r="BR22" s="636">
        <f t="shared" si="41"/>
        <v>129</v>
      </c>
      <c r="BS22" s="692">
        <f t="shared" si="27"/>
        <v>21772.38</v>
      </c>
      <c r="BT22" s="693">
        <v>198</v>
      </c>
      <c r="BU22" s="692">
        <f t="shared" si="50"/>
        <v>109.96151515151516</v>
      </c>
      <c r="BV22" s="693"/>
      <c r="BW22" s="692" t="e">
        <f t="shared" si="29"/>
        <v>#DIV/0!</v>
      </c>
      <c r="BX22" s="692">
        <f t="shared" si="34"/>
        <v>25254.237000000001</v>
      </c>
      <c r="BY22" s="692">
        <f t="shared" si="48"/>
        <v>127.54665151515152</v>
      </c>
      <c r="BZ22" s="694" t="e">
        <f t="shared" si="35"/>
        <v>#DIV/0!</v>
      </c>
    </row>
    <row r="23" spans="1:78" s="385" customFormat="1" ht="33.75" customHeight="1">
      <c r="A23" s="430">
        <v>18</v>
      </c>
      <c r="B23" s="431"/>
      <c r="C23" s="432">
        <f t="shared" si="36"/>
        <v>0</v>
      </c>
      <c r="D23" s="432"/>
      <c r="E23" s="432">
        <f t="shared" si="37"/>
        <v>0</v>
      </c>
      <c r="F23" s="432"/>
      <c r="G23" s="432">
        <f t="shared" si="38"/>
        <v>0</v>
      </c>
      <c r="H23" s="433"/>
      <c r="I23" s="769">
        <v>25911932</v>
      </c>
      <c r="J23" s="636">
        <f t="shared" si="51"/>
        <v>7905</v>
      </c>
      <c r="K23" s="636">
        <f t="shared" si="19"/>
        <v>4967</v>
      </c>
      <c r="L23" s="769">
        <v>377830</v>
      </c>
      <c r="M23" s="636">
        <f t="shared" si="40"/>
        <v>2478</v>
      </c>
      <c r="N23" s="769">
        <v>396253</v>
      </c>
      <c r="O23" s="636">
        <f t="shared" si="39"/>
        <v>2489</v>
      </c>
      <c r="P23" s="769">
        <v>227993</v>
      </c>
      <c r="Q23" s="636">
        <f t="shared" si="46"/>
        <v>390</v>
      </c>
      <c r="R23" s="768">
        <v>233121</v>
      </c>
      <c r="S23" s="636">
        <f t="shared" si="49"/>
        <v>139</v>
      </c>
      <c r="T23" s="768">
        <v>425146</v>
      </c>
      <c r="U23" s="636">
        <f t="shared" si="1"/>
        <v>241</v>
      </c>
      <c r="V23" s="768">
        <v>842372</v>
      </c>
      <c r="W23" s="636">
        <f t="shared" si="52"/>
        <v>1830.6200000000001</v>
      </c>
      <c r="X23" s="769">
        <v>839916</v>
      </c>
      <c r="Y23" s="636">
        <f t="shared" si="3"/>
        <v>0</v>
      </c>
      <c r="Z23" s="772">
        <v>871759</v>
      </c>
      <c r="AA23" s="636">
        <f t="shared" si="4"/>
        <v>0</v>
      </c>
      <c r="AB23" s="768">
        <v>184462</v>
      </c>
      <c r="AC23" s="636">
        <f t="shared" si="33"/>
        <v>0</v>
      </c>
      <c r="AD23" s="768">
        <v>863013</v>
      </c>
      <c r="AE23" s="636">
        <f t="shared" si="20"/>
        <v>13.25</v>
      </c>
      <c r="AF23" s="768">
        <v>1010647</v>
      </c>
      <c r="AG23" s="636">
        <f t="shared" si="42"/>
        <v>12.72</v>
      </c>
      <c r="AH23" s="768">
        <v>439211</v>
      </c>
      <c r="AI23" s="636">
        <f t="shared" si="6"/>
        <v>262.35000000000002</v>
      </c>
      <c r="AJ23" s="768">
        <v>721047</v>
      </c>
      <c r="AK23" s="636">
        <f t="shared" si="45"/>
        <v>2470.33</v>
      </c>
      <c r="AL23" s="768">
        <v>578018</v>
      </c>
      <c r="AM23" s="636">
        <f t="shared" si="8"/>
        <v>123.49000000000001</v>
      </c>
      <c r="AN23" s="636">
        <f t="shared" si="21"/>
        <v>4712.76</v>
      </c>
      <c r="AO23" s="707">
        <v>8217446</v>
      </c>
      <c r="AP23" s="636">
        <f t="shared" si="22"/>
        <v>106.7625</v>
      </c>
      <c r="AQ23" s="768">
        <v>759693</v>
      </c>
      <c r="AR23" s="636">
        <f t="shared" si="9"/>
        <v>186</v>
      </c>
      <c r="AS23" s="768">
        <v>21753</v>
      </c>
      <c r="AT23" s="636">
        <f t="shared" si="23"/>
        <v>104</v>
      </c>
      <c r="AU23" s="768">
        <v>827960</v>
      </c>
      <c r="AV23" s="636">
        <f t="shared" si="10"/>
        <v>46</v>
      </c>
      <c r="AW23" s="768">
        <v>2922041</v>
      </c>
      <c r="AX23" s="636">
        <f t="shared" si="11"/>
        <v>889</v>
      </c>
      <c r="AY23" s="769">
        <v>233872</v>
      </c>
      <c r="AZ23" s="636">
        <f t="shared" si="47"/>
        <v>10</v>
      </c>
      <c r="BA23" s="768">
        <v>21031418</v>
      </c>
      <c r="BB23" s="636">
        <f t="shared" si="13"/>
        <v>4928</v>
      </c>
      <c r="BC23" s="768">
        <v>650397</v>
      </c>
      <c r="BD23" s="636">
        <f t="shared" si="13"/>
        <v>231</v>
      </c>
      <c r="BE23" s="768">
        <v>47108</v>
      </c>
      <c r="BF23" s="636">
        <f t="shared" si="13"/>
        <v>37</v>
      </c>
      <c r="BG23" s="769">
        <v>26434209</v>
      </c>
      <c r="BH23" s="636">
        <f t="shared" si="24"/>
        <v>5224.95</v>
      </c>
      <c r="BI23" s="636">
        <f t="shared" si="25"/>
        <v>11762.7125</v>
      </c>
      <c r="BJ23" s="636">
        <f t="shared" si="26"/>
        <v>16475.4725</v>
      </c>
      <c r="BK23" s="769">
        <v>1505029</v>
      </c>
      <c r="BL23" s="636">
        <f t="shared" si="14"/>
        <v>262</v>
      </c>
      <c r="BM23" s="768">
        <v>4357263</v>
      </c>
      <c r="BN23" s="636">
        <f t="shared" si="15"/>
        <v>999</v>
      </c>
      <c r="BO23" s="768">
        <v>456041</v>
      </c>
      <c r="BP23" s="636">
        <f t="shared" si="16"/>
        <v>130</v>
      </c>
      <c r="BQ23" s="769">
        <v>568764</v>
      </c>
      <c r="BR23" s="636">
        <f t="shared" si="41"/>
        <v>122</v>
      </c>
      <c r="BS23" s="692">
        <f t="shared" si="27"/>
        <v>24770.4725</v>
      </c>
      <c r="BT23" s="693">
        <v>170</v>
      </c>
      <c r="BU23" s="692">
        <f t="shared" si="50"/>
        <v>145.70866176470588</v>
      </c>
      <c r="BV23" s="693"/>
      <c r="BW23" s="692" t="e">
        <f t="shared" si="29"/>
        <v>#DIV/0!</v>
      </c>
      <c r="BX23" s="692">
        <f t="shared" si="34"/>
        <v>28661.543374999997</v>
      </c>
      <c r="BY23" s="692">
        <f t="shared" si="48"/>
        <v>168.59731397058823</v>
      </c>
      <c r="BZ23" s="694" t="e">
        <f t="shared" si="35"/>
        <v>#DIV/0!</v>
      </c>
    </row>
    <row r="24" spans="1:78" s="385" customFormat="1" ht="33.75" customHeight="1">
      <c r="A24" s="430">
        <v>19</v>
      </c>
      <c r="B24" s="431"/>
      <c r="C24" s="432">
        <f t="shared" si="36"/>
        <v>0</v>
      </c>
      <c r="D24" s="432"/>
      <c r="E24" s="432">
        <f t="shared" si="37"/>
        <v>0</v>
      </c>
      <c r="F24" s="432"/>
      <c r="G24" s="432">
        <f t="shared" si="38"/>
        <v>0</v>
      </c>
      <c r="H24" s="433">
        <v>65</v>
      </c>
      <c r="I24" s="769">
        <v>25916598</v>
      </c>
      <c r="J24" s="636">
        <f t="shared" si="51"/>
        <v>4666</v>
      </c>
      <c r="K24" s="636">
        <f t="shared" si="19"/>
        <v>3739</v>
      </c>
      <c r="L24" s="769">
        <v>379685</v>
      </c>
      <c r="M24" s="636">
        <f t="shared" si="40"/>
        <v>1855</v>
      </c>
      <c r="N24" s="769">
        <v>398137</v>
      </c>
      <c r="O24" s="636">
        <f t="shared" si="39"/>
        <v>1884</v>
      </c>
      <c r="P24" s="769">
        <v>228008</v>
      </c>
      <c r="Q24" s="636">
        <f>IF(P24&gt;=P23,P24-P23,0)*30</f>
        <v>450</v>
      </c>
      <c r="R24" s="768">
        <v>233262</v>
      </c>
      <c r="S24" s="636">
        <f t="shared" si="49"/>
        <v>141</v>
      </c>
      <c r="T24" s="768">
        <v>425397</v>
      </c>
      <c r="U24" s="636">
        <f t="shared" si="1"/>
        <v>251</v>
      </c>
      <c r="V24" s="768">
        <v>845270</v>
      </c>
      <c r="W24" s="636">
        <f t="shared" si="52"/>
        <v>1535.94</v>
      </c>
      <c r="X24" s="769">
        <v>839916</v>
      </c>
      <c r="Y24" s="636">
        <f t="shared" si="3"/>
        <v>0</v>
      </c>
      <c r="Z24" s="769">
        <v>871759</v>
      </c>
      <c r="AA24" s="636">
        <f t="shared" si="4"/>
        <v>0</v>
      </c>
      <c r="AB24" s="768">
        <v>184962</v>
      </c>
      <c r="AC24" s="636">
        <f t="shared" si="33"/>
        <v>265</v>
      </c>
      <c r="AD24" s="768">
        <v>863042</v>
      </c>
      <c r="AE24" s="636">
        <f t="shared" si="20"/>
        <v>15.370000000000001</v>
      </c>
      <c r="AF24" s="768">
        <v>1010674</v>
      </c>
      <c r="AG24" s="636">
        <f t="shared" si="42"/>
        <v>14.31</v>
      </c>
      <c r="AH24" s="769">
        <v>439612</v>
      </c>
      <c r="AI24" s="636">
        <f t="shared" si="6"/>
        <v>212.53</v>
      </c>
      <c r="AJ24" s="769">
        <v>724708</v>
      </c>
      <c r="AK24" s="636">
        <f t="shared" si="45"/>
        <v>1940.3300000000002</v>
      </c>
      <c r="AL24" s="768">
        <v>578206</v>
      </c>
      <c r="AM24" s="636">
        <f t="shared" si="8"/>
        <v>99.64</v>
      </c>
      <c r="AN24" s="636">
        <f t="shared" si="21"/>
        <v>4083.12</v>
      </c>
      <c r="AO24" s="768">
        <v>8218926</v>
      </c>
      <c r="AP24" s="636">
        <f t="shared" si="22"/>
        <v>166.5</v>
      </c>
      <c r="AQ24" s="769">
        <v>759871</v>
      </c>
      <c r="AR24" s="636">
        <f t="shared" si="9"/>
        <v>178</v>
      </c>
      <c r="AS24" s="769">
        <v>21846</v>
      </c>
      <c r="AT24" s="636">
        <f t="shared" si="23"/>
        <v>93</v>
      </c>
      <c r="AU24" s="768">
        <v>827996</v>
      </c>
      <c r="AV24" s="636">
        <f t="shared" si="10"/>
        <v>36</v>
      </c>
      <c r="AW24" s="768">
        <v>2922754</v>
      </c>
      <c r="AX24" s="636">
        <f t="shared" si="11"/>
        <v>713</v>
      </c>
      <c r="AY24" s="769">
        <v>233883</v>
      </c>
      <c r="AZ24" s="636">
        <f t="shared" si="47"/>
        <v>11</v>
      </c>
      <c r="BA24" s="768">
        <v>21036346</v>
      </c>
      <c r="BB24" s="636">
        <f t="shared" si="13"/>
        <v>4928</v>
      </c>
      <c r="BC24" s="768">
        <v>650609</v>
      </c>
      <c r="BD24" s="636">
        <f t="shared" si="13"/>
        <v>212</v>
      </c>
      <c r="BE24" s="768">
        <v>47158</v>
      </c>
      <c r="BF24" s="636">
        <f t="shared" si="13"/>
        <v>50</v>
      </c>
      <c r="BG24" s="769">
        <v>26439825</v>
      </c>
      <c r="BH24" s="636">
        <f t="shared" si="24"/>
        <v>5026.6000000000004</v>
      </c>
      <c r="BI24" s="636">
        <f t="shared" si="25"/>
        <v>11414.1</v>
      </c>
      <c r="BJ24" s="636">
        <f t="shared" si="26"/>
        <v>15497.220000000001</v>
      </c>
      <c r="BK24" s="769">
        <v>1505276</v>
      </c>
      <c r="BL24" s="636">
        <f t="shared" si="14"/>
        <v>247</v>
      </c>
      <c r="BM24" s="769">
        <v>4358194</v>
      </c>
      <c r="BN24" s="636">
        <f t="shared" si="15"/>
        <v>931</v>
      </c>
      <c r="BO24" s="768">
        <v>456162</v>
      </c>
      <c r="BP24" s="636">
        <f t="shared" si="16"/>
        <v>121</v>
      </c>
      <c r="BQ24" s="769">
        <v>568880</v>
      </c>
      <c r="BR24" s="636">
        <f t="shared" si="41"/>
        <v>116</v>
      </c>
      <c r="BS24" s="692">
        <f t="shared" si="27"/>
        <v>20613.22</v>
      </c>
      <c r="BT24" s="693">
        <v>206</v>
      </c>
      <c r="BU24" s="692">
        <f t="shared" si="50"/>
        <v>100.06417475728156</v>
      </c>
      <c r="BV24" s="693"/>
      <c r="BW24" s="692" t="e">
        <f t="shared" si="29"/>
        <v>#DIV/0!</v>
      </c>
      <c r="BX24" s="692">
        <f t="shared" si="34"/>
        <v>23907.703000000001</v>
      </c>
      <c r="BY24" s="692">
        <f t="shared" si="48"/>
        <v>116.05681067961166</v>
      </c>
      <c r="BZ24" s="694" t="e">
        <f t="shared" si="35"/>
        <v>#DIV/0!</v>
      </c>
    </row>
    <row r="25" spans="1:78" s="385" customFormat="1" ht="33.75" customHeight="1">
      <c r="A25" s="430">
        <v>20</v>
      </c>
      <c r="B25" s="431"/>
      <c r="C25" s="432">
        <f t="shared" si="36"/>
        <v>0</v>
      </c>
      <c r="D25" s="432"/>
      <c r="E25" s="432">
        <f t="shared" si="37"/>
        <v>0</v>
      </c>
      <c r="F25" s="432"/>
      <c r="G25" s="432">
        <f t="shared" si="38"/>
        <v>0</v>
      </c>
      <c r="H25" s="433"/>
      <c r="I25" s="769">
        <v>25923306</v>
      </c>
      <c r="J25" s="636">
        <f t="shared" si="51"/>
        <v>6708</v>
      </c>
      <c r="K25" s="636">
        <f t="shared" si="19"/>
        <v>4545</v>
      </c>
      <c r="L25" s="769">
        <v>381902</v>
      </c>
      <c r="M25" s="636">
        <f t="shared" si="40"/>
        <v>2217</v>
      </c>
      <c r="N25" s="769">
        <v>400465</v>
      </c>
      <c r="O25" s="636">
        <f t="shared" si="39"/>
        <v>2328</v>
      </c>
      <c r="P25" s="769">
        <v>228025</v>
      </c>
      <c r="Q25" s="636">
        <f t="shared" si="46"/>
        <v>510</v>
      </c>
      <c r="R25" s="768">
        <v>233408</v>
      </c>
      <c r="S25" s="636">
        <f t="shared" si="49"/>
        <v>146</v>
      </c>
      <c r="T25" s="768">
        <v>425653</v>
      </c>
      <c r="U25" s="636">
        <f t="shared" si="1"/>
        <v>256</v>
      </c>
      <c r="V25" s="768">
        <v>848661</v>
      </c>
      <c r="W25" s="636">
        <f t="shared" si="52"/>
        <v>1797.23</v>
      </c>
      <c r="X25" s="769">
        <v>839916</v>
      </c>
      <c r="Y25" s="636">
        <f t="shared" si="3"/>
        <v>0</v>
      </c>
      <c r="Z25" s="772">
        <v>871759</v>
      </c>
      <c r="AA25" s="636">
        <f t="shared" si="4"/>
        <v>0</v>
      </c>
      <c r="AB25" s="768">
        <v>184962</v>
      </c>
      <c r="AC25" s="636">
        <f t="shared" si="33"/>
        <v>0</v>
      </c>
      <c r="AD25" s="768">
        <v>863064</v>
      </c>
      <c r="AE25" s="636">
        <f t="shared" si="20"/>
        <v>11.66</v>
      </c>
      <c r="AF25" s="768">
        <v>1010695</v>
      </c>
      <c r="AG25" s="636">
        <f t="shared" si="42"/>
        <v>11.13</v>
      </c>
      <c r="AH25" s="769">
        <v>440067</v>
      </c>
      <c r="AI25" s="636">
        <f t="shared" si="6"/>
        <v>241.15</v>
      </c>
      <c r="AJ25" s="769">
        <v>728972</v>
      </c>
      <c r="AK25" s="636">
        <f t="shared" si="45"/>
        <v>2259.92</v>
      </c>
      <c r="AL25" s="768">
        <v>578421</v>
      </c>
      <c r="AM25" s="636">
        <f t="shared" si="8"/>
        <v>113.95</v>
      </c>
      <c r="AN25" s="636">
        <f t="shared" si="21"/>
        <v>4435.04</v>
      </c>
      <c r="AO25" s="768">
        <v>8220582</v>
      </c>
      <c r="AP25" s="636">
        <f t="shared" si="22"/>
        <v>186.3</v>
      </c>
      <c r="AQ25" s="768">
        <v>760092</v>
      </c>
      <c r="AR25" s="636">
        <f>IF(AQ25&gt;=AQ24,AQ25-AQ24,0)</f>
        <v>221</v>
      </c>
      <c r="AS25" s="769">
        <v>21938</v>
      </c>
      <c r="AT25" s="636">
        <f t="shared" si="23"/>
        <v>92</v>
      </c>
      <c r="AU25" s="768">
        <v>828036</v>
      </c>
      <c r="AV25" s="636">
        <f t="shared" si="10"/>
        <v>40</v>
      </c>
      <c r="AW25" s="769">
        <v>2923561</v>
      </c>
      <c r="AX25" s="636">
        <f t="shared" si="11"/>
        <v>807</v>
      </c>
      <c r="AY25" s="769">
        <v>233893</v>
      </c>
      <c r="AZ25" s="636">
        <f t="shared" si="47"/>
        <v>10</v>
      </c>
      <c r="BA25" s="768">
        <v>21041824</v>
      </c>
      <c r="BB25" s="636">
        <f t="shared" si="13"/>
        <v>5478</v>
      </c>
      <c r="BC25" s="768">
        <v>650849</v>
      </c>
      <c r="BD25" s="636">
        <f t="shared" si="13"/>
        <v>240</v>
      </c>
      <c r="BE25" s="768">
        <v>47201</v>
      </c>
      <c r="BF25" s="636">
        <f t="shared" si="13"/>
        <v>43</v>
      </c>
      <c r="BG25" s="769">
        <v>26446948</v>
      </c>
      <c r="BH25" s="636">
        <f t="shared" si="24"/>
        <v>6416.95</v>
      </c>
      <c r="BI25" s="636">
        <f t="shared" si="25"/>
        <v>13534.25</v>
      </c>
      <c r="BJ25" s="636">
        <f t="shared" si="26"/>
        <v>17969.29</v>
      </c>
      <c r="BK25" s="769">
        <v>1505591</v>
      </c>
      <c r="BL25" s="636">
        <f t="shared" si="14"/>
        <v>315</v>
      </c>
      <c r="BM25" s="769">
        <v>4359287</v>
      </c>
      <c r="BN25" s="636">
        <f t="shared" si="15"/>
        <v>1093</v>
      </c>
      <c r="BO25" s="707">
        <v>456318</v>
      </c>
      <c r="BP25" s="636">
        <f t="shared" si="16"/>
        <v>156</v>
      </c>
      <c r="BQ25" s="768">
        <v>569024</v>
      </c>
      <c r="BR25" s="636">
        <f t="shared" si="41"/>
        <v>144</v>
      </c>
      <c r="BS25" s="692">
        <f t="shared" si="27"/>
        <v>25187.29</v>
      </c>
      <c r="BT25" s="693">
        <v>228</v>
      </c>
      <c r="BU25" s="692">
        <f t="shared" si="50"/>
        <v>110.4705701754386</v>
      </c>
      <c r="BV25" s="693"/>
      <c r="BW25" s="692" t="e">
        <f t="shared" si="29"/>
        <v>#DIV/0!</v>
      </c>
      <c r="BX25" s="692">
        <f t="shared" si="34"/>
        <v>29194.8835</v>
      </c>
      <c r="BY25" s="692">
        <f t="shared" si="48"/>
        <v>128.04773464912282</v>
      </c>
      <c r="BZ25" s="694" t="e">
        <f t="shared" si="35"/>
        <v>#DIV/0!</v>
      </c>
    </row>
    <row r="26" spans="1:78" s="385" customFormat="1" ht="33.75" customHeight="1">
      <c r="A26" s="430">
        <v>21</v>
      </c>
      <c r="B26" s="431"/>
      <c r="C26" s="432">
        <f t="shared" si="36"/>
        <v>0</v>
      </c>
      <c r="D26" s="432"/>
      <c r="E26" s="432">
        <f t="shared" si="37"/>
        <v>0</v>
      </c>
      <c r="F26" s="432"/>
      <c r="G26" s="432">
        <f t="shared" si="38"/>
        <v>0</v>
      </c>
      <c r="H26" s="433">
        <v>66</v>
      </c>
      <c r="I26" s="769">
        <v>25929172</v>
      </c>
      <c r="J26" s="636">
        <f t="shared" si="51"/>
        <v>5866</v>
      </c>
      <c r="K26" s="636">
        <f t="shared" si="19"/>
        <v>4488</v>
      </c>
      <c r="L26" s="769">
        <v>383944</v>
      </c>
      <c r="M26" s="636">
        <f t="shared" si="40"/>
        <v>2042</v>
      </c>
      <c r="N26" s="769">
        <v>402911</v>
      </c>
      <c r="O26" s="636">
        <f t="shared" si="39"/>
        <v>2446</v>
      </c>
      <c r="P26" s="769">
        <v>228040</v>
      </c>
      <c r="Q26" s="636">
        <f t="shared" si="46"/>
        <v>450</v>
      </c>
      <c r="R26" s="768">
        <v>233539</v>
      </c>
      <c r="S26" s="636">
        <f t="shared" si="49"/>
        <v>131</v>
      </c>
      <c r="T26" s="768">
        <v>425890</v>
      </c>
      <c r="U26" s="636">
        <f t="shared" si="1"/>
        <v>237</v>
      </c>
      <c r="V26" s="768">
        <v>851989</v>
      </c>
      <c r="W26" s="636">
        <f t="shared" si="52"/>
        <v>1763.8400000000001</v>
      </c>
      <c r="X26" s="769">
        <v>835921</v>
      </c>
      <c r="Y26" s="636">
        <f t="shared" si="3"/>
        <v>0</v>
      </c>
      <c r="Z26" s="769">
        <v>871759</v>
      </c>
      <c r="AA26" s="636">
        <f t="shared" si="4"/>
        <v>0</v>
      </c>
      <c r="AB26" s="768">
        <v>183991</v>
      </c>
      <c r="AC26" s="636">
        <f t="shared" si="33"/>
        <v>0</v>
      </c>
      <c r="AD26" s="768">
        <v>863082</v>
      </c>
      <c r="AE26" s="636">
        <f t="shared" si="20"/>
        <v>9.5400000000000009</v>
      </c>
      <c r="AF26" s="768">
        <v>1010712</v>
      </c>
      <c r="AG26" s="636">
        <f t="shared" si="42"/>
        <v>9.01</v>
      </c>
      <c r="AH26" s="768">
        <v>440520</v>
      </c>
      <c r="AI26" s="636">
        <f t="shared" si="6"/>
        <v>240.09</v>
      </c>
      <c r="AJ26" s="768">
        <v>733200</v>
      </c>
      <c r="AK26" s="636">
        <f t="shared" si="45"/>
        <v>2240.84</v>
      </c>
      <c r="AL26" s="768">
        <v>578632</v>
      </c>
      <c r="AM26" s="636">
        <f t="shared" si="8"/>
        <v>111.83000000000001</v>
      </c>
      <c r="AN26" s="636">
        <f t="shared" si="21"/>
        <v>4375.1499999999996</v>
      </c>
      <c r="AO26" s="707">
        <v>8222075</v>
      </c>
      <c r="AP26" s="636">
        <f t="shared" si="22"/>
        <v>167.96250000000001</v>
      </c>
      <c r="AQ26" s="768">
        <v>760284</v>
      </c>
      <c r="AR26" s="636">
        <f>IF(AQ26&gt;=AQ25,AQ26-AQ25,0)</f>
        <v>192</v>
      </c>
      <c r="AS26" s="768">
        <v>22019</v>
      </c>
      <c r="AT26" s="636">
        <f t="shared" si="23"/>
        <v>81</v>
      </c>
      <c r="AU26" s="768">
        <v>828076</v>
      </c>
      <c r="AV26" s="636">
        <f t="shared" si="10"/>
        <v>40</v>
      </c>
      <c r="AW26" s="768">
        <v>2924342</v>
      </c>
      <c r="AX26" s="636">
        <f t="shared" si="11"/>
        <v>781</v>
      </c>
      <c r="AY26" s="769">
        <v>233900</v>
      </c>
      <c r="AZ26" s="636">
        <f t="shared" si="47"/>
        <v>7</v>
      </c>
      <c r="BA26" s="768">
        <v>21045749</v>
      </c>
      <c r="BB26" s="636">
        <f t="shared" si="13"/>
        <v>3925</v>
      </c>
      <c r="BC26" s="768">
        <v>651015</v>
      </c>
      <c r="BD26" s="636">
        <f t="shared" si="13"/>
        <v>166</v>
      </c>
      <c r="BE26" s="768">
        <v>47243</v>
      </c>
      <c r="BF26" s="636">
        <f t="shared" si="13"/>
        <v>42</v>
      </c>
      <c r="BG26" s="769">
        <v>26451400</v>
      </c>
      <c r="BH26" s="636">
        <f t="shared" si="24"/>
        <v>4003.9500000000007</v>
      </c>
      <c r="BI26" s="636">
        <f t="shared" si="25"/>
        <v>9405.9125000000004</v>
      </c>
      <c r="BJ26" s="636">
        <f t="shared" si="26"/>
        <v>13781.0625</v>
      </c>
      <c r="BK26" s="769">
        <v>1505780</v>
      </c>
      <c r="BL26" s="636">
        <f t="shared" si="14"/>
        <v>189</v>
      </c>
      <c r="BM26" s="768">
        <v>4359979</v>
      </c>
      <c r="BN26" s="636">
        <f t="shared" si="15"/>
        <v>692</v>
      </c>
      <c r="BO26" s="768">
        <v>456415</v>
      </c>
      <c r="BP26" s="636">
        <f t="shared" si="16"/>
        <v>97</v>
      </c>
      <c r="BQ26" s="769">
        <v>569117</v>
      </c>
      <c r="BR26" s="636">
        <f t="shared" si="41"/>
        <v>93</v>
      </c>
      <c r="BS26" s="692">
        <f t="shared" si="27"/>
        <v>20097.0625</v>
      </c>
      <c r="BT26" s="693">
        <v>248</v>
      </c>
      <c r="BU26" s="692">
        <f t="shared" si="50"/>
        <v>81.03654233870968</v>
      </c>
      <c r="BV26" s="693"/>
      <c r="BW26" s="692" t="e">
        <f t="shared" si="29"/>
        <v>#DIV/0!</v>
      </c>
      <c r="BX26" s="692">
        <f t="shared" si="34"/>
        <v>23314.121874999997</v>
      </c>
      <c r="BY26" s="692">
        <f t="shared" si="48"/>
        <v>94.008555947580632</v>
      </c>
      <c r="BZ26" s="694" t="e">
        <f t="shared" si="35"/>
        <v>#DIV/0!</v>
      </c>
    </row>
    <row r="27" spans="1:78" s="385" customFormat="1" ht="33.75" customHeight="1">
      <c r="A27" s="430">
        <v>22</v>
      </c>
      <c r="B27" s="431"/>
      <c r="C27" s="432">
        <f t="shared" si="36"/>
        <v>0</v>
      </c>
      <c r="D27" s="432"/>
      <c r="E27" s="432">
        <f t="shared" si="37"/>
        <v>0</v>
      </c>
      <c r="F27" s="432"/>
      <c r="G27" s="432">
        <f t="shared" si="38"/>
        <v>0</v>
      </c>
      <c r="H27" s="433"/>
      <c r="I27" s="769">
        <v>25935415</v>
      </c>
      <c r="J27" s="636">
        <f t="shared" si="51"/>
        <v>6243</v>
      </c>
      <c r="K27" s="636">
        <f t="shared" si="19"/>
        <v>4508</v>
      </c>
      <c r="L27" s="769">
        <v>386002</v>
      </c>
      <c r="M27" s="636">
        <f t="shared" si="40"/>
        <v>2058</v>
      </c>
      <c r="N27" s="769">
        <v>405361</v>
      </c>
      <c r="O27" s="636">
        <f t="shared" si="39"/>
        <v>2450</v>
      </c>
      <c r="P27" s="769">
        <v>228054</v>
      </c>
      <c r="Q27" s="636">
        <f>IF(P27&gt;=P26,P27-P26,0)*30</f>
        <v>420</v>
      </c>
      <c r="R27" s="768">
        <v>233682</v>
      </c>
      <c r="S27" s="636">
        <f>IF(R27&gt;=R26,R27-R26,0)</f>
        <v>143</v>
      </c>
      <c r="T27" s="768">
        <v>426152</v>
      </c>
      <c r="U27" s="636">
        <f t="shared" si="1"/>
        <v>262</v>
      </c>
      <c r="V27" s="768">
        <v>855412</v>
      </c>
      <c r="W27" s="636">
        <f t="shared" si="52"/>
        <v>1814.19</v>
      </c>
      <c r="X27" s="769">
        <v>839916</v>
      </c>
      <c r="Y27" s="636">
        <f t="shared" si="3"/>
        <v>2117.35</v>
      </c>
      <c r="Z27" s="768">
        <v>871759</v>
      </c>
      <c r="AA27" s="636">
        <f t="shared" si="4"/>
        <v>0</v>
      </c>
      <c r="AB27" s="768">
        <v>184962</v>
      </c>
      <c r="AC27" s="636">
        <f t="shared" si="33"/>
        <v>514.63</v>
      </c>
      <c r="AD27" s="768">
        <v>863105</v>
      </c>
      <c r="AE27" s="636">
        <f t="shared" si="20"/>
        <v>12.190000000000001</v>
      </c>
      <c r="AF27" s="768">
        <v>1010734</v>
      </c>
      <c r="AG27" s="636">
        <f t="shared" si="42"/>
        <v>11.66</v>
      </c>
      <c r="AH27" s="769">
        <v>441006</v>
      </c>
      <c r="AI27" s="636">
        <f t="shared" si="6"/>
        <v>257.58000000000004</v>
      </c>
      <c r="AJ27" s="768">
        <v>737441</v>
      </c>
      <c r="AK27" s="636">
        <f t="shared" si="45"/>
        <v>2247.73</v>
      </c>
      <c r="AL27" s="768">
        <v>578846</v>
      </c>
      <c r="AM27" s="636">
        <f t="shared" si="8"/>
        <v>113.42</v>
      </c>
      <c r="AN27" s="636">
        <f t="shared" si="21"/>
        <v>7088.75</v>
      </c>
      <c r="AO27" s="768">
        <v>8223618</v>
      </c>
      <c r="AP27" s="636">
        <f t="shared" si="22"/>
        <v>173.58750000000001</v>
      </c>
      <c r="AQ27" s="768">
        <v>760484</v>
      </c>
      <c r="AR27" s="636">
        <f>IF(AQ27&gt;=AQ26,AQ27-AQ26,0)</f>
        <v>200</v>
      </c>
      <c r="AS27" s="769">
        <v>22117</v>
      </c>
      <c r="AT27" s="636">
        <f t="shared" si="23"/>
        <v>98</v>
      </c>
      <c r="AU27" s="768">
        <v>828118</v>
      </c>
      <c r="AV27" s="636">
        <f t="shared" si="10"/>
        <v>42</v>
      </c>
      <c r="AW27" s="768">
        <v>2925137</v>
      </c>
      <c r="AX27" s="636">
        <f t="shared" si="11"/>
        <v>795</v>
      </c>
      <c r="AY27" s="769">
        <v>233914</v>
      </c>
      <c r="AZ27" s="636">
        <f t="shared" si="47"/>
        <v>14</v>
      </c>
      <c r="BA27" s="768">
        <v>21050579</v>
      </c>
      <c r="BB27" s="636">
        <f t="shared" si="13"/>
        <v>4830</v>
      </c>
      <c r="BC27" s="768">
        <v>651236</v>
      </c>
      <c r="BD27" s="636">
        <f t="shared" si="13"/>
        <v>221</v>
      </c>
      <c r="BE27" s="768">
        <v>47293</v>
      </c>
      <c r="BF27" s="636">
        <f t="shared" si="13"/>
        <v>50</v>
      </c>
      <c r="BG27" s="769">
        <v>26457378</v>
      </c>
      <c r="BH27" s="636">
        <f t="shared" si="24"/>
        <v>5347.7</v>
      </c>
      <c r="BI27" s="636">
        <f t="shared" si="25"/>
        <v>11771.287499999999</v>
      </c>
      <c r="BJ27" s="636">
        <f t="shared" si="26"/>
        <v>18860.037499999999</v>
      </c>
      <c r="BK27" s="769">
        <v>1506056</v>
      </c>
      <c r="BL27" s="636">
        <f t="shared" si="14"/>
        <v>276</v>
      </c>
      <c r="BM27" s="768">
        <v>4360903</v>
      </c>
      <c r="BN27" s="636">
        <f t="shared" si="15"/>
        <v>924</v>
      </c>
      <c r="BO27" s="768">
        <v>456545</v>
      </c>
      <c r="BP27" s="636">
        <f t="shared" si="16"/>
        <v>130</v>
      </c>
      <c r="BQ27" s="769">
        <v>569273</v>
      </c>
      <c r="BR27" s="636">
        <f t="shared" si="41"/>
        <v>156</v>
      </c>
      <c r="BS27" s="692">
        <f t="shared" si="27"/>
        <v>25523.037499999999</v>
      </c>
      <c r="BT27" s="693">
        <v>225</v>
      </c>
      <c r="BU27" s="692">
        <f t="shared" si="50"/>
        <v>113.43572222222221</v>
      </c>
      <c r="BV27" s="693"/>
      <c r="BW27" s="692" t="e">
        <f t="shared" si="29"/>
        <v>#DIV/0!</v>
      </c>
      <c r="BX27" s="692">
        <f t="shared" si="34"/>
        <v>29540.493124999997</v>
      </c>
      <c r="BY27" s="692">
        <f t="shared" si="48"/>
        <v>131.29108055555554</v>
      </c>
      <c r="BZ27" s="694" t="e">
        <f t="shared" si="35"/>
        <v>#DIV/0!</v>
      </c>
    </row>
    <row r="28" spans="1:78" s="385" customFormat="1" ht="33.75" customHeight="1">
      <c r="A28" s="430">
        <v>23</v>
      </c>
      <c r="B28" s="431"/>
      <c r="C28" s="432">
        <f t="shared" si="36"/>
        <v>0</v>
      </c>
      <c r="D28" s="432"/>
      <c r="E28" s="432">
        <f t="shared" si="37"/>
        <v>0</v>
      </c>
      <c r="F28" s="432"/>
      <c r="G28" s="432">
        <f t="shared" si="38"/>
        <v>0</v>
      </c>
      <c r="H28" s="433">
        <v>67</v>
      </c>
      <c r="I28" s="769">
        <v>25942010</v>
      </c>
      <c r="J28" s="636">
        <f t="shared" si="51"/>
        <v>6595</v>
      </c>
      <c r="K28" s="636">
        <f t="shared" si="19"/>
        <v>4723</v>
      </c>
      <c r="L28" s="769">
        <v>388121</v>
      </c>
      <c r="M28" s="636">
        <f t="shared" si="40"/>
        <v>2119</v>
      </c>
      <c r="N28" s="769">
        <v>407965</v>
      </c>
      <c r="O28" s="636">
        <f t="shared" si="0"/>
        <v>2604</v>
      </c>
      <c r="P28" s="769">
        <v>228072</v>
      </c>
      <c r="Q28" s="636">
        <f t="shared" si="46"/>
        <v>540</v>
      </c>
      <c r="R28" s="768">
        <v>233825</v>
      </c>
      <c r="S28" s="636">
        <f>IF(R28&gt;=R27,R28-R27,0)</f>
        <v>143</v>
      </c>
      <c r="T28" s="768">
        <v>426413</v>
      </c>
      <c r="U28" s="636">
        <f>IF(T28&gt;=T27,T28-T27,0)</f>
        <v>261</v>
      </c>
      <c r="V28" s="768">
        <v>859168</v>
      </c>
      <c r="W28" s="636">
        <f t="shared" si="52"/>
        <v>1990.68</v>
      </c>
      <c r="X28" s="769">
        <v>839916</v>
      </c>
      <c r="Y28" s="636">
        <f t="shared" si="3"/>
        <v>0</v>
      </c>
      <c r="Z28" s="768">
        <v>871759</v>
      </c>
      <c r="AA28" s="636">
        <f t="shared" si="4"/>
        <v>0</v>
      </c>
      <c r="AB28" s="768">
        <v>184962</v>
      </c>
      <c r="AC28" s="636">
        <f t="shared" si="33"/>
        <v>0</v>
      </c>
      <c r="AD28" s="768">
        <v>863129</v>
      </c>
      <c r="AE28" s="636">
        <f t="shared" si="20"/>
        <v>12.72</v>
      </c>
      <c r="AF28" s="768">
        <v>1010756</v>
      </c>
      <c r="AG28" s="636">
        <f t="shared" si="42"/>
        <v>11.66</v>
      </c>
      <c r="AH28" s="769">
        <v>441544</v>
      </c>
      <c r="AI28" s="636">
        <f t="shared" si="6"/>
        <v>285.14</v>
      </c>
      <c r="AJ28" s="769">
        <v>741742</v>
      </c>
      <c r="AK28" s="636">
        <f t="shared" si="45"/>
        <v>2279.5300000000002</v>
      </c>
      <c r="AL28" s="768">
        <v>579064</v>
      </c>
      <c r="AM28" s="636">
        <f t="shared" si="8"/>
        <v>115.54</v>
      </c>
      <c r="AN28" s="636">
        <f t="shared" si="21"/>
        <v>4695.2700000000004</v>
      </c>
      <c r="AO28" s="768">
        <v>8225151</v>
      </c>
      <c r="AP28" s="636">
        <f t="shared" si="22"/>
        <v>172.46250000000001</v>
      </c>
      <c r="AQ28" s="768">
        <v>760683</v>
      </c>
      <c r="AR28" s="636">
        <f>IF(AQ28&gt;=AQ27,AQ28-AQ27,0)</f>
        <v>199</v>
      </c>
      <c r="AS28" s="769">
        <v>22222</v>
      </c>
      <c r="AT28" s="636">
        <f t="shared" si="23"/>
        <v>105</v>
      </c>
      <c r="AU28" s="768">
        <v>828160</v>
      </c>
      <c r="AV28" s="636">
        <f t="shared" si="10"/>
        <v>42</v>
      </c>
      <c r="AW28" s="768">
        <v>2925944</v>
      </c>
      <c r="AX28" s="636">
        <f t="shared" si="11"/>
        <v>807</v>
      </c>
      <c r="AY28" s="768">
        <v>233924</v>
      </c>
      <c r="AZ28" s="636">
        <f t="shared" si="47"/>
        <v>10</v>
      </c>
      <c r="BA28" s="768">
        <v>21055444</v>
      </c>
      <c r="BB28" s="636">
        <f t="shared" si="13"/>
        <v>4865</v>
      </c>
      <c r="BC28" s="768">
        <v>651472</v>
      </c>
      <c r="BD28" s="636">
        <f t="shared" si="13"/>
        <v>236</v>
      </c>
      <c r="BE28" s="768">
        <v>47343</v>
      </c>
      <c r="BF28" s="636">
        <f t="shared" si="13"/>
        <v>50</v>
      </c>
      <c r="BG28" s="769">
        <v>26463607</v>
      </c>
      <c r="BH28" s="636">
        <f t="shared" si="24"/>
        <v>5633.3</v>
      </c>
      <c r="BI28" s="636">
        <f t="shared" si="25"/>
        <v>12119.762500000001</v>
      </c>
      <c r="BJ28" s="636">
        <f t="shared" si="26"/>
        <v>16815.032500000001</v>
      </c>
      <c r="BK28" s="769">
        <v>1506333</v>
      </c>
      <c r="BL28" s="636">
        <f t="shared" si="14"/>
        <v>277</v>
      </c>
      <c r="BM28" s="768">
        <v>4361839</v>
      </c>
      <c r="BN28" s="636">
        <f t="shared" si="15"/>
        <v>936</v>
      </c>
      <c r="BO28" s="768">
        <v>456675</v>
      </c>
      <c r="BP28" s="636">
        <f t="shared" si="16"/>
        <v>130</v>
      </c>
      <c r="BQ28" s="768">
        <v>569389</v>
      </c>
      <c r="BR28" s="636">
        <f t="shared" si="41"/>
        <v>116</v>
      </c>
      <c r="BS28" s="692">
        <f t="shared" si="27"/>
        <v>23950.032500000001</v>
      </c>
      <c r="BT28" s="693">
        <v>201</v>
      </c>
      <c r="BU28" s="692">
        <f t="shared" si="50"/>
        <v>119.15439054726369</v>
      </c>
      <c r="BV28" s="693"/>
      <c r="BW28" s="692" t="e">
        <f t="shared" si="29"/>
        <v>#DIV/0!</v>
      </c>
      <c r="BX28" s="692">
        <f t="shared" si="34"/>
        <v>27785.537375</v>
      </c>
      <c r="BY28" s="692">
        <f t="shared" si="48"/>
        <v>138.23650435323384</v>
      </c>
      <c r="BZ28" s="694" t="e">
        <f t="shared" si="35"/>
        <v>#DIV/0!</v>
      </c>
    </row>
    <row r="29" spans="1:78" s="385" customFormat="1" ht="33.75" customHeight="1">
      <c r="A29" s="430">
        <v>24</v>
      </c>
      <c r="B29" s="431"/>
      <c r="C29" s="432">
        <f t="shared" si="36"/>
        <v>0</v>
      </c>
      <c r="D29" s="432"/>
      <c r="E29" s="432">
        <f t="shared" si="37"/>
        <v>0</v>
      </c>
      <c r="F29" s="432"/>
      <c r="G29" s="432">
        <f t="shared" si="38"/>
        <v>0</v>
      </c>
      <c r="H29" s="433"/>
      <c r="I29" s="769">
        <v>25948378</v>
      </c>
      <c r="J29" s="636">
        <f t="shared" si="51"/>
        <v>6368</v>
      </c>
      <c r="K29" s="636">
        <f t="shared" si="19"/>
        <v>4417</v>
      </c>
      <c r="L29" s="769">
        <v>390154</v>
      </c>
      <c r="M29" s="636">
        <f t="shared" ref="M29:M36" si="53">IF(L29&gt;=L28,L29-L28,0)</f>
        <v>2033</v>
      </c>
      <c r="N29" s="769">
        <v>410349</v>
      </c>
      <c r="O29" s="636">
        <f t="shared" si="0"/>
        <v>2384</v>
      </c>
      <c r="P29" s="769">
        <v>228088</v>
      </c>
      <c r="Q29" s="636">
        <f t="shared" si="46"/>
        <v>480</v>
      </c>
      <c r="R29" s="768">
        <v>233968</v>
      </c>
      <c r="S29" s="636">
        <f>IF(R29&gt;=R28,R29-R28,0)</f>
        <v>143</v>
      </c>
      <c r="T29" s="768">
        <v>426694</v>
      </c>
      <c r="U29" s="636">
        <f t="shared" ref="U29:U36" si="54">IF(T29&gt;=T28,T29-T28,0)</f>
        <v>281</v>
      </c>
      <c r="V29" s="768">
        <v>863569</v>
      </c>
      <c r="W29" s="636">
        <f t="shared" si="2"/>
        <v>2332.5300000000002</v>
      </c>
      <c r="X29" s="769">
        <v>839916</v>
      </c>
      <c r="Y29" s="636">
        <f t="shared" si="3"/>
        <v>0</v>
      </c>
      <c r="Z29" s="768">
        <v>871759</v>
      </c>
      <c r="AA29" s="636">
        <f t="shared" si="4"/>
        <v>0</v>
      </c>
      <c r="AB29" s="768">
        <v>184962</v>
      </c>
      <c r="AC29" s="636">
        <f t="shared" si="33"/>
        <v>0</v>
      </c>
      <c r="AD29" s="768">
        <v>863153</v>
      </c>
      <c r="AE29" s="636">
        <f t="shared" si="20"/>
        <v>12.72</v>
      </c>
      <c r="AF29" s="768">
        <v>1010779</v>
      </c>
      <c r="AG29" s="636">
        <f t="shared" si="42"/>
        <v>12.190000000000001</v>
      </c>
      <c r="AH29" s="768">
        <v>442062</v>
      </c>
      <c r="AI29" s="636">
        <f t="shared" si="6"/>
        <v>274.54000000000002</v>
      </c>
      <c r="AJ29" s="768">
        <v>745755</v>
      </c>
      <c r="AK29" s="636">
        <f t="shared" si="45"/>
        <v>2126.8900000000003</v>
      </c>
      <c r="AL29" s="768">
        <v>579279</v>
      </c>
      <c r="AM29" s="636">
        <f t="shared" si="8"/>
        <v>113.95</v>
      </c>
      <c r="AN29" s="636">
        <f t="shared" si="21"/>
        <v>4872.8200000000006</v>
      </c>
      <c r="AO29" s="768">
        <v>8226710</v>
      </c>
      <c r="AP29" s="636">
        <f t="shared" si="22"/>
        <v>175.38750000000002</v>
      </c>
      <c r="AQ29" s="768">
        <v>760882</v>
      </c>
      <c r="AR29" s="636">
        <f t="shared" si="9"/>
        <v>199</v>
      </c>
      <c r="AS29" s="768">
        <v>22326</v>
      </c>
      <c r="AT29" s="636">
        <f t="shared" si="23"/>
        <v>104</v>
      </c>
      <c r="AU29" s="768">
        <v>828202</v>
      </c>
      <c r="AV29" s="636">
        <f t="shared" si="10"/>
        <v>42</v>
      </c>
      <c r="AW29" s="768">
        <v>2926749</v>
      </c>
      <c r="AX29" s="636">
        <f t="shared" si="11"/>
        <v>805</v>
      </c>
      <c r="AY29" s="768">
        <v>233935</v>
      </c>
      <c r="AZ29" s="636">
        <f t="shared" si="47"/>
        <v>11</v>
      </c>
      <c r="BA29" s="768">
        <v>21060162</v>
      </c>
      <c r="BB29" s="636">
        <f t="shared" si="13"/>
        <v>4718</v>
      </c>
      <c r="BC29" s="768">
        <v>651727</v>
      </c>
      <c r="BD29" s="636">
        <f t="shared" si="13"/>
        <v>255</v>
      </c>
      <c r="BE29" s="768">
        <v>47393</v>
      </c>
      <c r="BF29" s="636">
        <f t="shared" si="13"/>
        <v>50</v>
      </c>
      <c r="BG29" s="769">
        <v>26469850</v>
      </c>
      <c r="BH29" s="636">
        <f t="shared" si="24"/>
        <v>5585.95</v>
      </c>
      <c r="BI29" s="636">
        <f t="shared" si="25"/>
        <v>11945.3375</v>
      </c>
      <c r="BJ29" s="636">
        <f t="shared" si="26"/>
        <v>16818.157500000001</v>
      </c>
      <c r="BK29" s="769">
        <v>1506609</v>
      </c>
      <c r="BL29" s="636">
        <f t="shared" si="14"/>
        <v>276</v>
      </c>
      <c r="BM29" s="768">
        <v>4362859</v>
      </c>
      <c r="BN29" s="636">
        <f t="shared" si="15"/>
        <v>1020</v>
      </c>
      <c r="BO29" s="807">
        <v>456804</v>
      </c>
      <c r="BP29" s="636">
        <f t="shared" si="16"/>
        <v>129</v>
      </c>
      <c r="BQ29" s="769">
        <v>569529</v>
      </c>
      <c r="BR29" s="636">
        <f t="shared" si="41"/>
        <v>140</v>
      </c>
      <c r="BS29" s="692">
        <f t="shared" si="27"/>
        <v>23666.157500000001</v>
      </c>
      <c r="BT29" s="693">
        <v>196</v>
      </c>
      <c r="BU29" s="692">
        <f t="shared" si="50"/>
        <v>120.74570153061225</v>
      </c>
      <c r="BV29" s="693"/>
      <c r="BW29" s="692" t="e">
        <f t="shared" si="29"/>
        <v>#DIV/0!</v>
      </c>
      <c r="BX29" s="692">
        <f t="shared" si="34"/>
        <v>27432.081125000001</v>
      </c>
      <c r="BY29" s="692">
        <f t="shared" si="48"/>
        <v>139.95959757653063</v>
      </c>
      <c r="BZ29" s="694" t="e">
        <f t="shared" si="35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69">
        <v>25954469</v>
      </c>
      <c r="J30" s="636">
        <f t="shared" si="51"/>
        <v>6091</v>
      </c>
      <c r="K30" s="636">
        <f t="shared" si="19"/>
        <v>4420</v>
      </c>
      <c r="L30" s="769">
        <v>392194</v>
      </c>
      <c r="M30" s="636">
        <f t="shared" si="53"/>
        <v>2040</v>
      </c>
      <c r="N30" s="769">
        <v>412729</v>
      </c>
      <c r="O30" s="636">
        <f t="shared" si="0"/>
        <v>2380</v>
      </c>
      <c r="P30" s="769">
        <v>228103</v>
      </c>
      <c r="Q30" s="636">
        <f t="shared" si="46"/>
        <v>450</v>
      </c>
      <c r="R30" s="768">
        <v>234112</v>
      </c>
      <c r="S30" s="636">
        <f>IF(R30&gt;=R29,R30-R29,0)</f>
        <v>144</v>
      </c>
      <c r="T30" s="768">
        <v>426969</v>
      </c>
      <c r="U30" s="636">
        <f t="shared" si="54"/>
        <v>275</v>
      </c>
      <c r="V30" s="768">
        <v>866688</v>
      </c>
      <c r="W30" s="636">
        <f>IF(V30&gt;=V29,V30-V29,0)*0.53</f>
        <v>1653.0700000000002</v>
      </c>
      <c r="X30" s="769">
        <v>839916</v>
      </c>
      <c r="Y30" s="636">
        <f t="shared" si="3"/>
        <v>0</v>
      </c>
      <c r="Z30" s="768">
        <v>871759</v>
      </c>
      <c r="AA30" s="636">
        <f t="shared" si="4"/>
        <v>0</v>
      </c>
      <c r="AB30" s="768">
        <v>184962</v>
      </c>
      <c r="AC30" s="636">
        <f t="shared" si="33"/>
        <v>0</v>
      </c>
      <c r="AD30" s="768">
        <v>863177</v>
      </c>
      <c r="AE30" s="636">
        <f t="shared" si="20"/>
        <v>12.72</v>
      </c>
      <c r="AF30" s="768">
        <v>1010801</v>
      </c>
      <c r="AG30" s="636">
        <f t="shared" si="42"/>
        <v>11.66</v>
      </c>
      <c r="AH30" s="768">
        <v>442502</v>
      </c>
      <c r="AI30" s="636">
        <f t="shared" si="6"/>
        <v>233.20000000000002</v>
      </c>
      <c r="AJ30" s="768">
        <v>749234</v>
      </c>
      <c r="AK30" s="636">
        <f t="shared" si="45"/>
        <v>1843.8700000000001</v>
      </c>
      <c r="AL30" s="768">
        <v>579496</v>
      </c>
      <c r="AM30" s="636">
        <f t="shared" si="8"/>
        <v>115.01</v>
      </c>
      <c r="AN30" s="636">
        <f t="shared" si="21"/>
        <v>3869.5300000000007</v>
      </c>
      <c r="AO30" s="707">
        <v>8228155</v>
      </c>
      <c r="AP30" s="636">
        <f t="shared" si="22"/>
        <v>162.5625</v>
      </c>
      <c r="AQ30" s="769">
        <v>761101</v>
      </c>
      <c r="AR30" s="636">
        <f t="shared" si="9"/>
        <v>219</v>
      </c>
      <c r="AS30" s="768">
        <v>22408</v>
      </c>
      <c r="AT30" s="636">
        <f t="shared" si="23"/>
        <v>82</v>
      </c>
      <c r="AU30" s="768">
        <v>828244</v>
      </c>
      <c r="AV30" s="636">
        <f t="shared" si="10"/>
        <v>42</v>
      </c>
      <c r="AW30" s="768">
        <v>2927528</v>
      </c>
      <c r="AX30" s="636">
        <f t="shared" si="11"/>
        <v>779</v>
      </c>
      <c r="AY30" s="768">
        <v>233945</v>
      </c>
      <c r="AZ30" s="636">
        <f t="shared" si="47"/>
        <v>10</v>
      </c>
      <c r="BA30" s="768">
        <v>21064970</v>
      </c>
      <c r="BB30" s="636">
        <f t="shared" si="13"/>
        <v>4808</v>
      </c>
      <c r="BC30" s="768">
        <v>652010</v>
      </c>
      <c r="BD30" s="636">
        <f t="shared" si="13"/>
        <v>283</v>
      </c>
      <c r="BE30" s="768">
        <v>47443</v>
      </c>
      <c r="BF30" s="636">
        <f t="shared" si="13"/>
        <v>50</v>
      </c>
      <c r="BG30" s="769">
        <v>26476137</v>
      </c>
      <c r="BH30" s="636">
        <f t="shared" si="24"/>
        <v>5624.95</v>
      </c>
      <c r="BI30" s="636">
        <f t="shared" si="25"/>
        <v>12060.512500000001</v>
      </c>
      <c r="BJ30" s="636">
        <f t="shared" si="26"/>
        <v>15930.042500000001</v>
      </c>
      <c r="BK30" s="769">
        <v>1506887</v>
      </c>
      <c r="BL30" s="636">
        <f t="shared" si="14"/>
        <v>278</v>
      </c>
      <c r="BM30" s="768">
        <v>4363859</v>
      </c>
      <c r="BN30" s="805">
        <f t="shared" si="15"/>
        <v>1000</v>
      </c>
      <c r="BO30" s="803">
        <v>456933</v>
      </c>
      <c r="BP30" s="806">
        <f t="shared" si="16"/>
        <v>129</v>
      </c>
      <c r="BQ30" s="768">
        <v>569683</v>
      </c>
      <c r="BR30" s="636">
        <f t="shared" si="41"/>
        <v>154</v>
      </c>
      <c r="BS30" s="692">
        <f t="shared" si="27"/>
        <v>22471.042500000003</v>
      </c>
      <c r="BT30" s="693">
        <v>143</v>
      </c>
      <c r="BU30" s="692">
        <f t="shared" si="50"/>
        <v>157.14015734265737</v>
      </c>
      <c r="BV30" s="693"/>
      <c r="BW30" s="692" t="e">
        <f t="shared" si="29"/>
        <v>#DIV/0!</v>
      </c>
      <c r="BX30" s="692">
        <f t="shared" si="34"/>
        <v>26044.198875000002</v>
      </c>
      <c r="BY30" s="692">
        <f t="shared" si="48"/>
        <v>182.12726486013986</v>
      </c>
      <c r="BZ30" s="694" t="e">
        <f t="shared" si="35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69">
        <v>25960219</v>
      </c>
      <c r="J31" s="636">
        <f t="shared" si="51"/>
        <v>5750</v>
      </c>
      <c r="K31" s="636">
        <f t="shared" si="19"/>
        <v>4295</v>
      </c>
      <c r="L31" s="769">
        <v>394256</v>
      </c>
      <c r="M31" s="636">
        <f t="shared" si="53"/>
        <v>2062</v>
      </c>
      <c r="N31" s="769">
        <v>414962</v>
      </c>
      <c r="O31" s="636">
        <f t="shared" si="0"/>
        <v>2233</v>
      </c>
      <c r="P31" s="769">
        <v>228120</v>
      </c>
      <c r="Q31" s="636">
        <f t="shared" si="46"/>
        <v>510</v>
      </c>
      <c r="R31" s="768">
        <v>234254</v>
      </c>
      <c r="S31" s="636">
        <f t="shared" si="49"/>
        <v>142</v>
      </c>
      <c r="T31" s="768">
        <v>427245</v>
      </c>
      <c r="U31" s="636">
        <f t="shared" si="54"/>
        <v>276</v>
      </c>
      <c r="V31" s="768">
        <v>870410</v>
      </c>
      <c r="W31" s="636">
        <f>IF(V31&gt;=V30,V31-V30,0)*0.53</f>
        <v>1972.66</v>
      </c>
      <c r="X31" s="769">
        <v>839916</v>
      </c>
      <c r="Y31" s="636">
        <f t="shared" si="3"/>
        <v>0</v>
      </c>
      <c r="Z31" s="768">
        <v>871759</v>
      </c>
      <c r="AA31" s="636">
        <f t="shared" si="4"/>
        <v>0</v>
      </c>
      <c r="AB31" s="768">
        <v>184962</v>
      </c>
      <c r="AC31" s="636">
        <f t="shared" si="33"/>
        <v>0</v>
      </c>
      <c r="AD31" s="768">
        <v>863201</v>
      </c>
      <c r="AE31" s="636">
        <f t="shared" si="20"/>
        <v>12.72</v>
      </c>
      <c r="AF31" s="768">
        <v>1010824</v>
      </c>
      <c r="AG31" s="636">
        <f t="shared" si="42"/>
        <v>12.190000000000001</v>
      </c>
      <c r="AH31" s="769">
        <v>442938</v>
      </c>
      <c r="AI31" s="636">
        <f t="shared" si="6"/>
        <v>231.08</v>
      </c>
      <c r="AJ31" s="769">
        <v>753065</v>
      </c>
      <c r="AK31" s="636">
        <f t="shared" si="45"/>
        <v>2030.43</v>
      </c>
      <c r="AL31" s="768">
        <v>579712</v>
      </c>
      <c r="AM31" s="636">
        <f t="shared" si="8"/>
        <v>114.48</v>
      </c>
      <c r="AN31" s="636">
        <f t="shared" si="21"/>
        <v>4373.5599999999995</v>
      </c>
      <c r="AO31" s="768">
        <v>8229413</v>
      </c>
      <c r="AP31" s="636">
        <f t="shared" si="22"/>
        <v>141.52500000000001</v>
      </c>
      <c r="AQ31" s="768">
        <v>761299</v>
      </c>
      <c r="AR31" s="636">
        <f t="shared" si="9"/>
        <v>198</v>
      </c>
      <c r="AS31" s="768">
        <v>22486</v>
      </c>
      <c r="AT31" s="636">
        <f t="shared" si="23"/>
        <v>78</v>
      </c>
      <c r="AU31" s="768">
        <v>828285</v>
      </c>
      <c r="AV31" s="636">
        <f t="shared" si="10"/>
        <v>41</v>
      </c>
      <c r="AW31" s="768">
        <v>2928290</v>
      </c>
      <c r="AX31" s="636">
        <f t="shared" si="11"/>
        <v>762</v>
      </c>
      <c r="AY31" s="769">
        <v>233956</v>
      </c>
      <c r="AZ31" s="636">
        <f t="shared" si="47"/>
        <v>11</v>
      </c>
      <c r="BA31" s="768">
        <v>21069332</v>
      </c>
      <c r="BB31" s="636">
        <f t="shared" si="13"/>
        <v>4362</v>
      </c>
      <c r="BC31" s="768">
        <v>652295</v>
      </c>
      <c r="BD31" s="636">
        <f t="shared" si="13"/>
        <v>285</v>
      </c>
      <c r="BE31" s="768">
        <v>47493</v>
      </c>
      <c r="BF31" s="636">
        <f t="shared" si="13"/>
        <v>50</v>
      </c>
      <c r="BG31" s="768">
        <v>26482363</v>
      </c>
      <c r="BH31" s="636">
        <f t="shared" si="24"/>
        <v>5552.7</v>
      </c>
      <c r="BI31" s="636">
        <f t="shared" si="25"/>
        <v>11481.224999999999</v>
      </c>
      <c r="BJ31" s="636">
        <f t="shared" si="26"/>
        <v>15854.784999999998</v>
      </c>
      <c r="BK31" s="769">
        <v>1507164</v>
      </c>
      <c r="BL31" s="636">
        <f t="shared" si="14"/>
        <v>277</v>
      </c>
      <c r="BM31" s="769">
        <v>4364884</v>
      </c>
      <c r="BN31" s="805">
        <f t="shared" si="15"/>
        <v>1025</v>
      </c>
      <c r="BO31" s="804">
        <v>457062</v>
      </c>
      <c r="BP31" s="806">
        <f t="shared" si="16"/>
        <v>129</v>
      </c>
      <c r="BQ31" s="768">
        <v>569837</v>
      </c>
      <c r="BR31" s="636">
        <f t="shared" si="41"/>
        <v>154</v>
      </c>
      <c r="BS31" s="692">
        <f t="shared" si="27"/>
        <v>22114.784999999996</v>
      </c>
      <c r="BT31" s="693">
        <v>163</v>
      </c>
      <c r="BU31" s="692">
        <f t="shared" si="50"/>
        <v>135.67352760736193</v>
      </c>
      <c r="BV31" s="693"/>
      <c r="BW31" s="692" t="e">
        <f t="shared" si="29"/>
        <v>#DIV/0!</v>
      </c>
      <c r="BX31" s="692">
        <f t="shared" si="34"/>
        <v>25661.502749999992</v>
      </c>
      <c r="BY31" s="692">
        <f t="shared" si="48"/>
        <v>157.43253220858892</v>
      </c>
      <c r="BZ31" s="694" t="e">
        <f t="shared" si="35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69">
        <v>25966048</v>
      </c>
      <c r="J32" s="636">
        <f t="shared" si="18"/>
        <v>5829</v>
      </c>
      <c r="K32" s="636">
        <f t="shared" si="19"/>
        <v>4335</v>
      </c>
      <c r="L32" s="769">
        <v>396311</v>
      </c>
      <c r="M32" s="636">
        <f t="shared" si="53"/>
        <v>2055</v>
      </c>
      <c r="N32" s="769">
        <v>417242</v>
      </c>
      <c r="O32" s="636">
        <f t="shared" si="0"/>
        <v>2280</v>
      </c>
      <c r="P32" s="769">
        <v>228134</v>
      </c>
      <c r="Q32" s="636">
        <f t="shared" si="46"/>
        <v>420</v>
      </c>
      <c r="R32" s="768">
        <v>234398</v>
      </c>
      <c r="S32" s="636">
        <f t="shared" si="49"/>
        <v>144</v>
      </c>
      <c r="T32" s="768">
        <v>427520</v>
      </c>
      <c r="U32" s="636">
        <f t="shared" si="54"/>
        <v>275</v>
      </c>
      <c r="V32" s="768">
        <v>874483</v>
      </c>
      <c r="W32" s="636">
        <f>IF(V32&gt;=V31,V32-V31,0)*0.53</f>
        <v>2158.69</v>
      </c>
      <c r="X32" s="769">
        <v>839916</v>
      </c>
      <c r="Y32" s="636">
        <f t="shared" si="3"/>
        <v>0</v>
      </c>
      <c r="Z32" s="768">
        <v>871759</v>
      </c>
      <c r="AA32" s="636">
        <f t="shared" si="4"/>
        <v>0</v>
      </c>
      <c r="AB32" s="768">
        <v>184962</v>
      </c>
      <c r="AC32" s="636">
        <f t="shared" si="33"/>
        <v>0</v>
      </c>
      <c r="AD32" s="768">
        <v>863226</v>
      </c>
      <c r="AE32" s="636">
        <f t="shared" si="20"/>
        <v>13.25</v>
      </c>
      <c r="AF32" s="768">
        <v>1010847</v>
      </c>
      <c r="AG32" s="636">
        <f t="shared" si="42"/>
        <v>12.190000000000001</v>
      </c>
      <c r="AH32" s="768">
        <v>443429</v>
      </c>
      <c r="AI32" s="636">
        <f t="shared" si="6"/>
        <v>260.23</v>
      </c>
      <c r="AJ32" s="768">
        <v>757587</v>
      </c>
      <c r="AK32" s="636">
        <f t="shared" si="45"/>
        <v>2396.6600000000003</v>
      </c>
      <c r="AL32" s="768">
        <v>579928</v>
      </c>
      <c r="AM32" s="636">
        <f t="shared" si="8"/>
        <v>114.48</v>
      </c>
      <c r="AN32" s="636">
        <f t="shared" si="21"/>
        <v>4955.5</v>
      </c>
      <c r="AO32" s="768">
        <v>8230814</v>
      </c>
      <c r="AP32" s="636">
        <f t="shared" si="22"/>
        <v>157.61250000000001</v>
      </c>
      <c r="AQ32" s="769">
        <v>761480</v>
      </c>
      <c r="AR32" s="636">
        <f t="shared" si="9"/>
        <v>181</v>
      </c>
      <c r="AS32" s="768">
        <v>22574</v>
      </c>
      <c r="AT32" s="636">
        <f t="shared" si="23"/>
        <v>88</v>
      </c>
      <c r="AU32" s="768">
        <v>828325</v>
      </c>
      <c r="AV32" s="636">
        <f t="shared" si="10"/>
        <v>40</v>
      </c>
      <c r="AW32" s="768">
        <v>2929069</v>
      </c>
      <c r="AX32" s="636">
        <f t="shared" si="11"/>
        <v>779</v>
      </c>
      <c r="AY32" s="769">
        <v>233966</v>
      </c>
      <c r="AZ32" s="636">
        <f t="shared" si="47"/>
        <v>10</v>
      </c>
      <c r="BA32" s="768">
        <v>21074239</v>
      </c>
      <c r="BB32" s="636">
        <f t="shared" si="13"/>
        <v>4907</v>
      </c>
      <c r="BC32" s="768">
        <v>652525</v>
      </c>
      <c r="BD32" s="636">
        <f t="shared" si="13"/>
        <v>230</v>
      </c>
      <c r="BE32" s="768">
        <v>47543</v>
      </c>
      <c r="BF32" s="636">
        <f t="shared" si="13"/>
        <v>50</v>
      </c>
      <c r="BG32" s="769">
        <v>26488452</v>
      </c>
      <c r="BH32" s="636">
        <f t="shared" si="24"/>
        <v>5472.15</v>
      </c>
      <c r="BI32" s="636">
        <f t="shared" si="25"/>
        <v>11914.762500000001</v>
      </c>
      <c r="BJ32" s="636">
        <f t="shared" si="26"/>
        <v>16870.262500000001</v>
      </c>
      <c r="BK32" s="769">
        <v>1507443</v>
      </c>
      <c r="BL32" s="636">
        <f t="shared" si="14"/>
        <v>279</v>
      </c>
      <c r="BM32" s="769">
        <v>4365868</v>
      </c>
      <c r="BN32" s="805">
        <f t="shared" si="15"/>
        <v>984</v>
      </c>
      <c r="BO32" s="804">
        <v>457191</v>
      </c>
      <c r="BP32" s="806">
        <f t="shared" si="16"/>
        <v>129</v>
      </c>
      <c r="BQ32" s="768">
        <v>569953</v>
      </c>
      <c r="BR32" s="636">
        <f t="shared" si="41"/>
        <v>116</v>
      </c>
      <c r="BS32" s="692">
        <f t="shared" si="27"/>
        <v>23119.262500000001</v>
      </c>
      <c r="BT32" s="693">
        <v>207</v>
      </c>
      <c r="BU32" s="692">
        <f t="shared" si="50"/>
        <v>111.68725845410628</v>
      </c>
      <c r="BV32" s="695"/>
      <c r="BW32" s="692" t="e">
        <f t="shared" si="29"/>
        <v>#DIV/0!</v>
      </c>
      <c r="BX32" s="692">
        <f t="shared" si="34"/>
        <v>26776.151875</v>
      </c>
      <c r="BY32" s="692">
        <f t="shared" si="48"/>
        <v>129.35339070048309</v>
      </c>
      <c r="BZ32" s="694" t="e">
        <f t="shared" si="35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69">
        <v>25972059</v>
      </c>
      <c r="J33" s="636">
        <f t="shared" si="18"/>
        <v>6011</v>
      </c>
      <c r="K33" s="636">
        <f t="shared" si="19"/>
        <v>4299</v>
      </c>
      <c r="L33" s="769">
        <v>398404</v>
      </c>
      <c r="M33" s="636">
        <f t="shared" si="53"/>
        <v>2093</v>
      </c>
      <c r="N33" s="769">
        <v>419448</v>
      </c>
      <c r="O33" s="636">
        <f t="shared" si="0"/>
        <v>2206</v>
      </c>
      <c r="P33" s="769">
        <v>228148</v>
      </c>
      <c r="Q33" s="636">
        <f t="shared" si="46"/>
        <v>420</v>
      </c>
      <c r="R33" s="768">
        <v>234541</v>
      </c>
      <c r="S33" s="636">
        <f t="shared" si="49"/>
        <v>143</v>
      </c>
      <c r="T33" s="768">
        <v>427789</v>
      </c>
      <c r="U33" s="636">
        <f t="shared" si="54"/>
        <v>269</v>
      </c>
      <c r="V33" s="768">
        <v>879167</v>
      </c>
      <c r="W33" s="636">
        <f t="shared" si="2"/>
        <v>2482.52</v>
      </c>
      <c r="X33" s="769">
        <v>839916</v>
      </c>
      <c r="Y33" s="636">
        <f t="shared" si="3"/>
        <v>0</v>
      </c>
      <c r="Z33" s="768">
        <v>871759</v>
      </c>
      <c r="AA33" s="636">
        <f t="shared" si="4"/>
        <v>0</v>
      </c>
      <c r="AB33" s="768">
        <v>184962</v>
      </c>
      <c r="AC33" s="636">
        <f t="shared" si="33"/>
        <v>0</v>
      </c>
      <c r="AD33" s="768">
        <v>863251</v>
      </c>
      <c r="AE33" s="636">
        <f t="shared" si="20"/>
        <v>13.25</v>
      </c>
      <c r="AF33" s="768">
        <v>1010871</v>
      </c>
      <c r="AG33" s="636">
        <f t="shared" si="42"/>
        <v>12.72</v>
      </c>
      <c r="AH33" s="768">
        <v>443974</v>
      </c>
      <c r="AI33" s="636">
        <f t="shared" si="6"/>
        <v>288.85000000000002</v>
      </c>
      <c r="AJ33" s="768">
        <v>762098</v>
      </c>
      <c r="AK33" s="636">
        <f t="shared" si="45"/>
        <v>2390.83</v>
      </c>
      <c r="AL33" s="768">
        <v>580142</v>
      </c>
      <c r="AM33" s="636">
        <f t="shared" si="8"/>
        <v>113.42</v>
      </c>
      <c r="AN33" s="636">
        <f t="shared" si="21"/>
        <v>5301.59</v>
      </c>
      <c r="AO33" s="768">
        <v>8232299</v>
      </c>
      <c r="AP33" s="636">
        <f t="shared" si="22"/>
        <v>167.0625</v>
      </c>
      <c r="AQ33" s="768">
        <v>761691</v>
      </c>
      <c r="AR33" s="636">
        <f t="shared" si="9"/>
        <v>211</v>
      </c>
      <c r="AS33" s="769">
        <v>22698</v>
      </c>
      <c r="AT33" s="636">
        <f t="shared" si="23"/>
        <v>124</v>
      </c>
      <c r="AU33" s="768">
        <v>828366</v>
      </c>
      <c r="AV33" s="636">
        <f t="shared" si="10"/>
        <v>41</v>
      </c>
      <c r="AW33" s="768">
        <v>2929891</v>
      </c>
      <c r="AX33" s="636">
        <f t="shared" si="11"/>
        <v>822</v>
      </c>
      <c r="AY33" s="769">
        <v>233977</v>
      </c>
      <c r="AZ33" s="636">
        <f t="shared" si="47"/>
        <v>11</v>
      </c>
      <c r="BA33" s="768">
        <v>21079460</v>
      </c>
      <c r="BB33" s="636">
        <f t="shared" si="13"/>
        <v>5221</v>
      </c>
      <c r="BC33" s="768">
        <v>652781</v>
      </c>
      <c r="BD33" s="636">
        <f t="shared" si="13"/>
        <v>256</v>
      </c>
      <c r="BE33" s="768">
        <v>47560</v>
      </c>
      <c r="BF33" s="636">
        <f t="shared" si="13"/>
        <v>17</v>
      </c>
      <c r="BG33" s="769">
        <v>26494295</v>
      </c>
      <c r="BH33" s="636">
        <f t="shared" si="24"/>
        <v>5186.1500000000005</v>
      </c>
      <c r="BI33" s="636">
        <f t="shared" si="25"/>
        <v>12056.212500000001</v>
      </c>
      <c r="BJ33" s="636">
        <f t="shared" si="26"/>
        <v>17357.802500000002</v>
      </c>
      <c r="BK33" s="769">
        <v>1507720</v>
      </c>
      <c r="BL33" s="636">
        <f t="shared" si="14"/>
        <v>277</v>
      </c>
      <c r="BM33" s="768">
        <v>4366850</v>
      </c>
      <c r="BN33" s="805">
        <f t="shared" si="15"/>
        <v>982</v>
      </c>
      <c r="BO33" s="768">
        <v>457322</v>
      </c>
      <c r="BP33" s="806">
        <f t="shared" si="16"/>
        <v>131</v>
      </c>
      <c r="BQ33" s="768">
        <v>570109</v>
      </c>
      <c r="BR33" s="636">
        <f t="shared" si="41"/>
        <v>156</v>
      </c>
      <c r="BS33" s="692">
        <f t="shared" si="27"/>
        <v>23788.802500000002</v>
      </c>
      <c r="BT33" s="693">
        <v>225</v>
      </c>
      <c r="BU33" s="692">
        <f t="shared" si="50"/>
        <v>105.72801111111112</v>
      </c>
      <c r="BV33" s="693"/>
      <c r="BW33" s="692" t="e">
        <f t="shared" si="29"/>
        <v>#DIV/0!</v>
      </c>
      <c r="BX33" s="692">
        <f t="shared" si="34"/>
        <v>27546.122875000001</v>
      </c>
      <c r="BY33" s="692">
        <f t="shared" si="48"/>
        <v>122.42721277777778</v>
      </c>
      <c r="BZ33" s="694" t="e">
        <f t="shared" si="35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69">
        <v>25978367</v>
      </c>
      <c r="J34" s="636">
        <f t="shared" si="18"/>
        <v>6308</v>
      </c>
      <c r="K34" s="636">
        <f t="shared" si="19"/>
        <v>4306</v>
      </c>
      <c r="L34" s="769">
        <v>400457</v>
      </c>
      <c r="M34" s="636">
        <f t="shared" si="53"/>
        <v>2053</v>
      </c>
      <c r="N34" s="769">
        <v>421701</v>
      </c>
      <c r="O34" s="636">
        <f t="shared" si="0"/>
        <v>2253</v>
      </c>
      <c r="P34" s="769">
        <v>228165</v>
      </c>
      <c r="Q34" s="636">
        <f t="shared" si="46"/>
        <v>510</v>
      </c>
      <c r="R34" s="768">
        <v>234684</v>
      </c>
      <c r="S34" s="636">
        <f t="shared" si="49"/>
        <v>143</v>
      </c>
      <c r="T34" s="768">
        <v>428045</v>
      </c>
      <c r="U34" s="636">
        <f t="shared" si="54"/>
        <v>256</v>
      </c>
      <c r="V34" s="768">
        <v>884417</v>
      </c>
      <c r="W34" s="636">
        <f t="shared" si="2"/>
        <v>2782.5</v>
      </c>
      <c r="X34" s="769">
        <v>839916</v>
      </c>
      <c r="Y34" s="636">
        <f t="shared" si="3"/>
        <v>0</v>
      </c>
      <c r="Z34" s="768">
        <v>871759</v>
      </c>
      <c r="AA34" s="636">
        <f t="shared" si="4"/>
        <v>0</v>
      </c>
      <c r="AB34" s="768">
        <v>184962</v>
      </c>
      <c r="AC34" s="636">
        <f t="shared" si="33"/>
        <v>0</v>
      </c>
      <c r="AD34" s="768">
        <v>863275</v>
      </c>
      <c r="AE34" s="636">
        <f t="shared" si="20"/>
        <v>12.72</v>
      </c>
      <c r="AF34" s="768">
        <v>1010894</v>
      </c>
      <c r="AG34" s="636">
        <f t="shared" si="42"/>
        <v>12.190000000000001</v>
      </c>
      <c r="AH34" s="769">
        <v>444521</v>
      </c>
      <c r="AI34" s="636">
        <f t="shared" si="6"/>
        <v>289.91000000000003</v>
      </c>
      <c r="AJ34" s="769">
        <v>766374</v>
      </c>
      <c r="AK34" s="636">
        <f t="shared" si="45"/>
        <v>2266.2800000000002</v>
      </c>
      <c r="AL34" s="768">
        <v>580357</v>
      </c>
      <c r="AM34" s="636">
        <f t="shared" si="8"/>
        <v>113.95</v>
      </c>
      <c r="AN34" s="636">
        <f t="shared" si="21"/>
        <v>5477.55</v>
      </c>
      <c r="AO34" s="707">
        <v>8233859</v>
      </c>
      <c r="AP34" s="636">
        <f t="shared" si="22"/>
        <v>175.5</v>
      </c>
      <c r="AQ34" s="769">
        <v>761895</v>
      </c>
      <c r="AR34" s="636">
        <f t="shared" si="9"/>
        <v>204</v>
      </c>
      <c r="AS34" s="768">
        <v>22831</v>
      </c>
      <c r="AT34" s="636">
        <f t="shared" si="23"/>
        <v>133</v>
      </c>
      <c r="AU34" s="768">
        <v>828408</v>
      </c>
      <c r="AV34" s="636">
        <f t="shared" si="10"/>
        <v>42</v>
      </c>
      <c r="AW34" s="768">
        <v>2930771</v>
      </c>
      <c r="AX34" s="636">
        <f t="shared" si="11"/>
        <v>880</v>
      </c>
      <c r="AY34" s="768">
        <v>233987</v>
      </c>
      <c r="AZ34" s="636">
        <f t="shared" si="47"/>
        <v>10</v>
      </c>
      <c r="BA34" s="768">
        <v>21084475</v>
      </c>
      <c r="BB34" s="636">
        <f t="shared" si="13"/>
        <v>5015</v>
      </c>
      <c r="BC34" s="768">
        <v>653007</v>
      </c>
      <c r="BD34" s="636">
        <f t="shared" si="13"/>
        <v>226</v>
      </c>
      <c r="BE34" s="768">
        <v>47608</v>
      </c>
      <c r="BF34" s="636">
        <f t="shared" si="13"/>
        <v>48</v>
      </c>
      <c r="BG34" s="768">
        <v>26500303</v>
      </c>
      <c r="BH34" s="636">
        <f t="shared" si="24"/>
        <v>5357</v>
      </c>
      <c r="BI34" s="636">
        <f t="shared" si="25"/>
        <v>12090.5</v>
      </c>
      <c r="BJ34" s="636">
        <f t="shared" si="26"/>
        <v>17568.05</v>
      </c>
      <c r="BK34" s="769">
        <v>1507888</v>
      </c>
      <c r="BL34" s="636">
        <f t="shared" si="14"/>
        <v>168</v>
      </c>
      <c r="BM34" s="769">
        <v>4367832</v>
      </c>
      <c r="BN34" s="805">
        <f t="shared" si="15"/>
        <v>982</v>
      </c>
      <c r="BO34" s="768">
        <v>457440</v>
      </c>
      <c r="BP34" s="806">
        <f t="shared" si="16"/>
        <v>118</v>
      </c>
      <c r="BQ34" s="769">
        <v>570265</v>
      </c>
      <c r="BR34" s="636">
        <f t="shared" si="41"/>
        <v>156</v>
      </c>
      <c r="BS34" s="692">
        <f t="shared" si="27"/>
        <v>24386.05</v>
      </c>
      <c r="BT34" s="693">
        <v>241</v>
      </c>
      <c r="BU34" s="692">
        <f t="shared" si="50"/>
        <v>101.18692946058091</v>
      </c>
      <c r="BV34" s="693"/>
      <c r="BW34" s="692" t="e">
        <f t="shared" si="29"/>
        <v>#DIV/0!</v>
      </c>
      <c r="BX34" s="692">
        <f t="shared" si="34"/>
        <v>28273.457499999997</v>
      </c>
      <c r="BY34" s="692">
        <f t="shared" si="48"/>
        <v>117.31725103734439</v>
      </c>
      <c r="BZ34" s="694" t="e">
        <f t="shared" si="35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69">
        <v>25984866</v>
      </c>
      <c r="J35" s="636">
        <f t="shared" si="18"/>
        <v>6499</v>
      </c>
      <c r="K35" s="636">
        <f t="shared" si="19"/>
        <v>4374</v>
      </c>
      <c r="L35" s="769">
        <v>402632</v>
      </c>
      <c r="M35" s="636">
        <f t="shared" si="53"/>
        <v>2175</v>
      </c>
      <c r="N35" s="769">
        <v>423900</v>
      </c>
      <c r="O35" s="636">
        <f t="shared" si="0"/>
        <v>2199</v>
      </c>
      <c r="P35" s="769">
        <v>228179</v>
      </c>
      <c r="Q35" s="636">
        <f t="shared" si="46"/>
        <v>420</v>
      </c>
      <c r="R35" s="768">
        <v>234828</v>
      </c>
      <c r="S35" s="636">
        <f t="shared" si="49"/>
        <v>144</v>
      </c>
      <c r="T35" s="768">
        <v>428294</v>
      </c>
      <c r="U35" s="636">
        <f t="shared" si="54"/>
        <v>249</v>
      </c>
      <c r="V35" s="768">
        <v>889823</v>
      </c>
      <c r="W35" s="636">
        <f t="shared" si="2"/>
        <v>2865.1800000000003</v>
      </c>
      <c r="X35" s="769">
        <v>839916</v>
      </c>
      <c r="Y35" s="636">
        <f t="shared" si="3"/>
        <v>0</v>
      </c>
      <c r="Z35" s="768">
        <v>871759</v>
      </c>
      <c r="AA35" s="636">
        <f t="shared" si="4"/>
        <v>0</v>
      </c>
      <c r="AB35" s="768">
        <v>184962</v>
      </c>
      <c r="AC35" s="636">
        <f t="shared" si="33"/>
        <v>0</v>
      </c>
      <c r="AD35" s="768">
        <v>863299</v>
      </c>
      <c r="AE35" s="636">
        <f t="shared" si="20"/>
        <v>12.72</v>
      </c>
      <c r="AF35" s="768">
        <v>1010917</v>
      </c>
      <c r="AG35" s="636">
        <f t="shared" si="42"/>
        <v>12.190000000000001</v>
      </c>
      <c r="AH35" s="768">
        <v>444923</v>
      </c>
      <c r="AI35" s="636">
        <f t="shared" si="6"/>
        <v>213.06</v>
      </c>
      <c r="AJ35" s="768">
        <v>770696</v>
      </c>
      <c r="AK35" s="636">
        <f t="shared" si="45"/>
        <v>2290.6600000000003</v>
      </c>
      <c r="AL35" s="768">
        <v>580576</v>
      </c>
      <c r="AM35" s="636">
        <f t="shared" si="8"/>
        <v>116.07000000000001</v>
      </c>
      <c r="AN35" s="636">
        <f t="shared" si="21"/>
        <v>5509.88</v>
      </c>
      <c r="AO35" s="768">
        <v>8235315</v>
      </c>
      <c r="AP35" s="636">
        <f t="shared" si="22"/>
        <v>163.80000000000001</v>
      </c>
      <c r="AQ35" s="769">
        <v>762089</v>
      </c>
      <c r="AR35" s="636">
        <f t="shared" si="9"/>
        <v>194</v>
      </c>
      <c r="AS35" s="768">
        <v>22977</v>
      </c>
      <c r="AT35" s="636">
        <f>IF(AS35&gt;=AS34,AS35-AS34,0)</f>
        <v>146</v>
      </c>
      <c r="AU35" s="768">
        <v>828451</v>
      </c>
      <c r="AV35" s="636">
        <f t="shared" si="10"/>
        <v>43</v>
      </c>
      <c r="AW35" s="768">
        <v>2931605</v>
      </c>
      <c r="AX35" s="636">
        <f t="shared" si="11"/>
        <v>834</v>
      </c>
      <c r="AY35" s="769">
        <v>234138</v>
      </c>
      <c r="AZ35" s="636">
        <f t="shared" si="47"/>
        <v>151</v>
      </c>
      <c r="BA35" s="768">
        <v>21089165</v>
      </c>
      <c r="BB35" s="636">
        <f t="shared" si="13"/>
        <v>4690</v>
      </c>
      <c r="BC35" s="768">
        <v>653248</v>
      </c>
      <c r="BD35" s="636">
        <f t="shared" si="13"/>
        <v>241</v>
      </c>
      <c r="BE35" s="768">
        <v>47653</v>
      </c>
      <c r="BF35" s="636">
        <f t="shared" si="13"/>
        <v>45</v>
      </c>
      <c r="BG35" s="769">
        <v>26506593</v>
      </c>
      <c r="BH35" s="636">
        <f t="shared" si="24"/>
        <v>5672.75</v>
      </c>
      <c r="BI35" s="636">
        <f t="shared" si="25"/>
        <v>12180.55</v>
      </c>
      <c r="BJ35" s="636">
        <f t="shared" si="26"/>
        <v>17690.43</v>
      </c>
      <c r="BK35" s="769">
        <v>1508166</v>
      </c>
      <c r="BL35" s="636">
        <f t="shared" si="14"/>
        <v>278</v>
      </c>
      <c r="BM35" s="769">
        <v>4368857</v>
      </c>
      <c r="BN35" s="805">
        <f t="shared" si="15"/>
        <v>1025</v>
      </c>
      <c r="BO35" s="804">
        <v>457269</v>
      </c>
      <c r="BP35" s="806">
        <f t="shared" si="16"/>
        <v>0</v>
      </c>
      <c r="BQ35" s="768">
        <v>570421</v>
      </c>
      <c r="BR35" s="636">
        <f t="shared" si="41"/>
        <v>156</v>
      </c>
      <c r="BS35" s="692">
        <f t="shared" si="27"/>
        <v>24609.43</v>
      </c>
      <c r="BT35" s="693">
        <v>250</v>
      </c>
      <c r="BU35" s="692">
        <f t="shared" si="50"/>
        <v>98.437719999999999</v>
      </c>
      <c r="BV35" s="693"/>
      <c r="BW35" s="692" t="e">
        <f t="shared" si="29"/>
        <v>#DIV/0!</v>
      </c>
      <c r="BX35" s="692">
        <f t="shared" si="34"/>
        <v>28489.844499999999</v>
      </c>
      <c r="BY35" s="692">
        <f t="shared" si="48"/>
        <v>113.959378</v>
      </c>
      <c r="BZ35" s="694" t="e">
        <f t="shared" si="35"/>
        <v>#DIV/0!</v>
      </c>
    </row>
    <row r="36" spans="1:78" ht="33.75" customHeight="1">
      <c r="A36" s="111">
        <v>31</v>
      </c>
      <c r="B36" s="717"/>
      <c r="C36" s="718"/>
      <c r="D36" s="718"/>
      <c r="E36" s="718"/>
      <c r="F36" s="718"/>
      <c r="G36" s="718"/>
      <c r="H36" s="719"/>
      <c r="I36" s="769">
        <v>25991237.666666701</v>
      </c>
      <c r="J36" s="636">
        <f t="shared" si="18"/>
        <v>6371.666666701436</v>
      </c>
      <c r="K36" s="636">
        <f t="shared" si="19"/>
        <v>4328.6666666669771</v>
      </c>
      <c r="L36" s="769">
        <v>404725.66666666698</v>
      </c>
      <c r="M36" s="636">
        <f t="shared" si="53"/>
        <v>2093.6666666669771</v>
      </c>
      <c r="N36" s="769">
        <v>426135</v>
      </c>
      <c r="O36" s="636">
        <f t="shared" si="0"/>
        <v>2235</v>
      </c>
      <c r="P36" s="769">
        <v>228195</v>
      </c>
      <c r="Q36" s="636">
        <f>IF(P36&gt;=P35,P36-P35,0)*30</f>
        <v>480</v>
      </c>
      <c r="R36" s="768">
        <v>234971.33333333299</v>
      </c>
      <c r="S36" s="636">
        <f>IF(R36&gt;=R35,R36-R35,0)</f>
        <v>143.33333333299379</v>
      </c>
      <c r="T36" s="768">
        <v>428547.66666666698</v>
      </c>
      <c r="U36" s="636">
        <f t="shared" si="54"/>
        <v>253.66666666697711</v>
      </c>
      <c r="V36" s="768">
        <v>895229</v>
      </c>
      <c r="W36" s="636">
        <f t="shared" si="2"/>
        <v>2865.1800000000003</v>
      </c>
      <c r="X36" s="769">
        <v>839916</v>
      </c>
      <c r="Y36" s="636">
        <f t="shared" si="3"/>
        <v>0</v>
      </c>
      <c r="Z36" s="768">
        <v>871759</v>
      </c>
      <c r="AA36" s="636">
        <f t="shared" si="4"/>
        <v>0</v>
      </c>
      <c r="AB36" s="768">
        <v>184962</v>
      </c>
      <c r="AC36" s="636">
        <f t="shared" si="33"/>
        <v>0</v>
      </c>
      <c r="AD36" s="768">
        <v>863299</v>
      </c>
      <c r="AE36" s="636">
        <f t="shared" si="20"/>
        <v>0</v>
      </c>
      <c r="AF36" s="768">
        <v>1010940</v>
      </c>
      <c r="AG36" s="636">
        <f t="shared" si="42"/>
        <v>12.190000000000001</v>
      </c>
      <c r="AH36" s="768">
        <v>445421.66666666698</v>
      </c>
      <c r="AI36" s="636">
        <f t="shared" si="6"/>
        <v>264.29333333349786</v>
      </c>
      <c r="AJ36" s="768">
        <v>774987.33333333302</v>
      </c>
      <c r="AK36" s="636">
        <f t="shared" si="45"/>
        <v>2274.4066666665021</v>
      </c>
      <c r="AL36" s="768">
        <v>580792.33333333302</v>
      </c>
      <c r="AM36" s="636">
        <f t="shared" si="8"/>
        <v>114.65666666650213</v>
      </c>
      <c r="AN36" s="636">
        <f t="shared" si="21"/>
        <v>5530.7266666665018</v>
      </c>
      <c r="AO36" s="707">
        <v>8236771</v>
      </c>
      <c r="AP36" s="636">
        <f t="shared" si="22"/>
        <v>163.80000000000001</v>
      </c>
      <c r="AQ36" s="768">
        <v>762289.66666666698</v>
      </c>
      <c r="AR36" s="636">
        <f t="shared" si="9"/>
        <v>200.66666666697711</v>
      </c>
      <c r="AS36" s="769">
        <v>23114.333333333299</v>
      </c>
      <c r="AT36" s="636">
        <f>IF(AS36&gt;=AS35,AS36-AS35,0)</f>
        <v>137.33333333329938</v>
      </c>
      <c r="AU36" s="768">
        <v>828493.33333333302</v>
      </c>
      <c r="AV36" s="636">
        <f t="shared" si="10"/>
        <v>42.333333333022892</v>
      </c>
      <c r="AW36" s="768">
        <v>2932469.6666666698</v>
      </c>
      <c r="AX36" s="636">
        <f t="shared" si="11"/>
        <v>864.66666666977108</v>
      </c>
      <c r="AY36" s="769">
        <v>234195</v>
      </c>
      <c r="AZ36" s="636">
        <f t="shared" si="47"/>
        <v>57</v>
      </c>
      <c r="BA36" s="768">
        <v>21094071.666666701</v>
      </c>
      <c r="BB36" s="636">
        <f t="shared" si="13"/>
        <v>4906.666666701436</v>
      </c>
      <c r="BC36" s="768">
        <v>653479</v>
      </c>
      <c r="BD36" s="636">
        <f t="shared" si="13"/>
        <v>231</v>
      </c>
      <c r="BE36" s="768">
        <v>47700</v>
      </c>
      <c r="BF36" s="636">
        <f t="shared" si="13"/>
        <v>47</v>
      </c>
      <c r="BG36" s="769">
        <v>26512695</v>
      </c>
      <c r="BH36" s="636">
        <f t="shared" si="24"/>
        <v>5487.9000000012566</v>
      </c>
      <c r="BI36" s="636">
        <f t="shared" si="25"/>
        <v>12138.366666705762</v>
      </c>
      <c r="BJ36" s="636">
        <f t="shared" si="26"/>
        <v>17669.093333372264</v>
      </c>
      <c r="BK36" s="769">
        <v>1508370.66666667</v>
      </c>
      <c r="BL36" s="636">
        <f t="shared" si="14"/>
        <v>204.66666667000391</v>
      </c>
      <c r="BM36" s="768">
        <v>4369853.3333333302</v>
      </c>
      <c r="BN36" s="805">
        <f t="shared" si="15"/>
        <v>996.33333333022892</v>
      </c>
      <c r="BO36" s="768">
        <v>457290.66666666698</v>
      </c>
      <c r="BP36" s="806">
        <f t="shared" si="16"/>
        <v>21.666666666977108</v>
      </c>
      <c r="BQ36" s="768">
        <v>570577</v>
      </c>
      <c r="BR36" s="636">
        <f t="shared" si="41"/>
        <v>156</v>
      </c>
      <c r="BS36" s="692">
        <f t="shared" si="27"/>
        <v>24520.7600000737</v>
      </c>
      <c r="BT36" s="693">
        <v>250</v>
      </c>
      <c r="BU36" s="692">
        <f t="shared" si="50"/>
        <v>98.083040000294801</v>
      </c>
      <c r="BV36" s="720"/>
      <c r="BW36" s="692" t="e">
        <f t="shared" si="29"/>
        <v>#DIV/0!</v>
      </c>
      <c r="BX36" s="692">
        <f t="shared" si="34"/>
        <v>28414.874000084754</v>
      </c>
      <c r="BY36" s="692">
        <f t="shared" si="48"/>
        <v>113.65949600033902</v>
      </c>
      <c r="BZ36" s="694" t="e">
        <f t="shared" si="35"/>
        <v>#DIV/0!</v>
      </c>
    </row>
    <row r="37" spans="1:78" s="3" customFormat="1" ht="36.75" customHeight="1">
      <c r="A37" s="541" t="s">
        <v>83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1">
        <f>SUM(J6:J36)</f>
        <v>197924.61111110076</v>
      </c>
      <c r="K37" s="711">
        <f>SUM(K6:K36)</f>
        <v>137903.5</v>
      </c>
      <c r="L37" s="696"/>
      <c r="M37" s="552">
        <f>SUM(M6:M36)</f>
        <v>67985.666666666977</v>
      </c>
      <c r="N37" s="696"/>
      <c r="O37" s="552">
        <f>SUM(O6:O36)</f>
        <v>69917.833333333023</v>
      </c>
      <c r="P37" s="696"/>
      <c r="Q37" s="552">
        <f>SUM(Q6:Q36)</f>
        <v>15365.000000010186</v>
      </c>
      <c r="R37" s="715"/>
      <c r="S37" s="552">
        <f>SUM(S6:S36)</f>
        <v>4436</v>
      </c>
      <c r="T37" s="715"/>
      <c r="U37" s="552">
        <f>SUM(U6:U36)</f>
        <v>7954.5</v>
      </c>
      <c r="V37" s="696"/>
      <c r="W37" s="552">
        <f>SUM(W6:W36)</f>
        <v>65761.251666666532</v>
      </c>
      <c r="X37" s="768"/>
      <c r="Y37" s="552">
        <f>SUM(Y5:Y36)</f>
        <v>3583.86</v>
      </c>
      <c r="Z37" s="712"/>
      <c r="AA37" s="711">
        <f>SUM(AA6:AA36)</f>
        <v>0</v>
      </c>
      <c r="AB37" s="696"/>
      <c r="AC37" s="552">
        <f>SUM(AC6:AC36)</f>
        <v>779.63</v>
      </c>
      <c r="AD37" s="784"/>
      <c r="AE37" s="711">
        <f>SUM(AE6:AE36)</f>
        <v>387.87166666650234</v>
      </c>
      <c r="AF37" s="784"/>
      <c r="AG37" s="711">
        <f>SUM(AG6:AG36)</f>
        <v>377.18333333510213</v>
      </c>
      <c r="AH37" s="697"/>
      <c r="AI37" s="552">
        <f>SUM(AI6:AI36)</f>
        <v>6789.741666666996</v>
      </c>
      <c r="AJ37" s="697"/>
      <c r="AK37" s="552">
        <f>SUM(AK6:AK36)</f>
        <v>71616.073333333028</v>
      </c>
      <c r="AL37" s="822"/>
      <c r="AM37" s="552">
        <f>SUM(AM6:AM36)</f>
        <v>3563.631666666502</v>
      </c>
      <c r="AN37" s="820">
        <f>SUM(AN6:AN36)</f>
        <v>152859.2433333346</v>
      </c>
      <c r="AO37" s="819"/>
      <c r="AP37" s="784">
        <f>SUM(AP6:AP36)</f>
        <v>3890.6437500000011</v>
      </c>
      <c r="AQ37" s="697"/>
      <c r="AR37" s="552">
        <f>SUM(AR6:AR36)</f>
        <v>5983</v>
      </c>
      <c r="AS37" s="697"/>
      <c r="AT37" s="552">
        <f>SUM(AT6:AT36)</f>
        <v>3081.5</v>
      </c>
      <c r="AU37" s="697"/>
      <c r="AV37" s="552">
        <f>SUM(AV6:AV36)</f>
        <v>1320.1666666660458</v>
      </c>
      <c r="AW37" s="697"/>
      <c r="AX37" s="552">
        <f>SUM(AX6:AX36)</f>
        <v>26434.833333339542</v>
      </c>
      <c r="AY37" s="697"/>
      <c r="AZ37" s="552">
        <f>SUM(AZ6:AZ36)</f>
        <v>512.66666666700621</v>
      </c>
      <c r="BA37" s="697"/>
      <c r="BB37" s="552">
        <f>SUM(BB6:BB36)</f>
        <v>151792.83333340287</v>
      </c>
      <c r="BC37" s="784"/>
      <c r="BD37" s="552">
        <f>SUM(BD6:BD36)</f>
        <v>7116.1666666669771</v>
      </c>
      <c r="BE37" s="784"/>
      <c r="BF37" s="552">
        <f>SUM(BF6:BF36)</f>
        <v>1448</v>
      </c>
      <c r="BG37" s="697"/>
      <c r="BH37" s="711">
        <f>SUM(BH6:BH36)</f>
        <v>167601.65833336825</v>
      </c>
      <c r="BI37" s="711">
        <f>SUM(BI6:BI36)</f>
        <v>369181.46875011077</v>
      </c>
      <c r="BJ37" s="711">
        <f>SUM(BJ6:BJ36)</f>
        <v>522040.71208344516</v>
      </c>
      <c r="BK37" s="696"/>
      <c r="BL37" s="552">
        <f>SUM(BL6:BL36)</f>
        <v>8038.8333333400078</v>
      </c>
      <c r="BM37" s="697"/>
      <c r="BN37" s="552">
        <f>SUM(BN6:BN36)</f>
        <v>30784.5</v>
      </c>
      <c r="BO37" s="773"/>
      <c r="BP37" s="552">
        <f>SUM(BP6:BP36)</f>
        <v>3723.6666666669771</v>
      </c>
      <c r="BQ37" s="697"/>
      <c r="BR37" s="552">
        <f>SUM(BR6:BR36)</f>
        <v>4153.3333333330229</v>
      </c>
      <c r="BS37" s="552">
        <f>SUM(BS6:BS36)</f>
        <v>735330.32319455629</v>
      </c>
      <c r="BT37" s="698">
        <f>SUM(BT6:BT36)</f>
        <v>6586</v>
      </c>
      <c r="BU37" s="699">
        <f>IF(BS37&gt;0,BS37/BT37,0)</f>
        <v>111.65051976838085</v>
      </c>
      <c r="BV37" s="698">
        <f>SUM(BV6:BV35)</f>
        <v>0</v>
      </c>
      <c r="BW37" s="699" t="e">
        <f>IF(BS37&gt;0,BS37/BV37,0)</f>
        <v>#DIV/0!</v>
      </c>
      <c r="BX37" s="544">
        <f>SUM(BX6:BX35)</f>
        <v>824129.24767365947</v>
      </c>
      <c r="BY37" s="699">
        <f>IF(BX37&gt;0,BX37/BT37,0)</f>
        <v>125.13350253168228</v>
      </c>
      <c r="BZ37" s="700" t="e">
        <f>IF(BX37&gt;0,BX37/BV37,0)</f>
        <v>#DIV/0!</v>
      </c>
    </row>
    <row r="38" spans="1:78" s="3" customFormat="1" ht="36.75" customHeight="1">
      <c r="A38" s="545" t="s">
        <v>84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6597.4870370366925</v>
      </c>
      <c r="K38" s="701">
        <f>K37/J39</f>
        <v>4596.7833333333338</v>
      </c>
      <c r="L38" s="702"/>
      <c r="M38" s="701">
        <f>M37/J39</f>
        <v>2266.1888888888993</v>
      </c>
      <c r="N38" s="702"/>
      <c r="O38" s="701">
        <f>O37/J39</f>
        <v>2330.594444444434</v>
      </c>
      <c r="P38" s="702"/>
      <c r="Q38" s="701">
        <f>Q37/J39</f>
        <v>512.16666666700621</v>
      </c>
      <c r="R38" s="716"/>
      <c r="S38" s="701">
        <f>S37/J39</f>
        <v>147.86666666666667</v>
      </c>
      <c r="T38" s="716"/>
      <c r="U38" s="701">
        <f>U37/J39</f>
        <v>265.14999999999998</v>
      </c>
      <c r="V38" s="702"/>
      <c r="W38" s="701">
        <f>W37/J39</f>
        <v>2192.0417222222177</v>
      </c>
      <c r="X38" s="702"/>
      <c r="Y38" s="701">
        <f>Y37/J39</f>
        <v>119.462</v>
      </c>
      <c r="Z38" s="703"/>
      <c r="AA38" s="701">
        <f>AA37/J39</f>
        <v>0</v>
      </c>
      <c r="AB38" s="702"/>
      <c r="AC38" s="701">
        <f>AC37/J39</f>
        <v>25.987666666666666</v>
      </c>
      <c r="AD38" s="783"/>
      <c r="AE38" s="701">
        <f>AE37/J39</f>
        <v>12.929055555550077</v>
      </c>
      <c r="AF38" s="783"/>
      <c r="AG38" s="701">
        <f>AG37/J39</f>
        <v>12.572777777836738</v>
      </c>
      <c r="AH38" s="704"/>
      <c r="AI38" s="701">
        <f>AI37/J39</f>
        <v>226.32472222223319</v>
      </c>
      <c r="AJ38" s="704"/>
      <c r="AK38" s="701">
        <f>AK37/J39</f>
        <v>2387.2024444444341</v>
      </c>
      <c r="AL38" s="701"/>
      <c r="AM38" s="701">
        <f>AM37/J39</f>
        <v>118.78772222221673</v>
      </c>
      <c r="AN38" s="701">
        <f>AN37/J39</f>
        <v>5095.3081111111533</v>
      </c>
      <c r="AO38" s="821"/>
      <c r="AP38" s="701">
        <f>AP37/J39</f>
        <v>129.68812500000004</v>
      </c>
      <c r="AQ38" s="704"/>
      <c r="AR38" s="701">
        <f>AR37/J39</f>
        <v>199.43333333333334</v>
      </c>
      <c r="AS38" s="704"/>
      <c r="AT38" s="701">
        <f>AT37/J39</f>
        <v>102.71666666666667</v>
      </c>
      <c r="AU38" s="704"/>
      <c r="AV38" s="701">
        <f>AV37/J39</f>
        <v>44.005555555534862</v>
      </c>
      <c r="AW38" s="704"/>
      <c r="AX38" s="701">
        <f>AX37/J39</f>
        <v>881.16111111131806</v>
      </c>
      <c r="AY38" s="704"/>
      <c r="AZ38" s="701">
        <f>AZ37/J39</f>
        <v>17.088888888900208</v>
      </c>
      <c r="BA38" s="704"/>
      <c r="BB38" s="701">
        <f>BB37/J39</f>
        <v>5059.7611111134293</v>
      </c>
      <c r="BC38" s="783"/>
      <c r="BD38" s="701">
        <f>BD37/J39</f>
        <v>237.20555555556589</v>
      </c>
      <c r="BE38" s="783"/>
      <c r="BF38" s="701">
        <f>BF37/J39</f>
        <v>48.266666666666666</v>
      </c>
      <c r="BG38" s="704"/>
      <c r="BH38" s="701">
        <f>BH37/J39</f>
        <v>5586.7219444456086</v>
      </c>
      <c r="BI38" s="701"/>
      <c r="BJ38" s="701"/>
      <c r="BK38" s="702"/>
      <c r="BL38" s="701">
        <f>BL37/J39</f>
        <v>267.96111111133359</v>
      </c>
      <c r="BM38" s="704"/>
      <c r="BN38" s="701">
        <f>BN37/J39</f>
        <v>1026.1500000000001</v>
      </c>
      <c r="BO38" s="704"/>
      <c r="BP38" s="701">
        <f>BP37/J39</f>
        <v>124.12222222223257</v>
      </c>
      <c r="BQ38" s="704"/>
      <c r="BR38" s="701">
        <f>BR37/J39</f>
        <v>138.44444444443408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93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393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953"/>
      <c r="B45" s="953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22" priority="161" stopIfTrue="1" operator="greaterThan">
      <formula>400</formula>
    </cfRule>
  </conditionalFormatting>
  <conditionalFormatting sqref="BN5:BN36 AI5:AI36">
    <cfRule type="cellIs" dxfId="21" priority="159" stopIfTrue="1" operator="greaterThan">
      <formula>2000</formula>
    </cfRule>
  </conditionalFormatting>
  <conditionalFormatting sqref="AR5:AR36 AX5:AX36 BL5:BL36 AV5:AV36 AT5:AT36">
    <cfRule type="cellIs" dxfId="20" priority="158" stopIfTrue="1" operator="greaterThan">
      <formula>1400</formula>
    </cfRule>
  </conditionalFormatting>
  <conditionalFormatting sqref="BH5:BH36 BB5:BB36 BD5:BD36 BF5:BF36">
    <cfRule type="cellIs" dxfId="19" priority="157" stopIfTrue="1" operator="greaterThan">
      <formula>8000</formula>
    </cfRule>
  </conditionalFormatting>
  <conditionalFormatting sqref="AZ5:AZ36">
    <cfRule type="cellIs" dxfId="18" priority="155" stopIfTrue="1" operator="greaterThan">
      <formula>700</formula>
    </cfRule>
  </conditionalFormatting>
  <conditionalFormatting sqref="AK5:AK12 AK14:AK36">
    <cfRule type="cellIs" dxfId="17" priority="153" stopIfTrue="1" operator="greaterThan">
      <formula>5000</formula>
    </cfRule>
  </conditionalFormatting>
  <conditionalFormatting sqref="Y5:Y36 AA5:AA36 AC5:AC36 AE5:AE36 AG5:AG36 W5:W36">
    <cfRule type="cellIs" dxfId="16" priority="151" stopIfTrue="1" operator="greaterThan">
      <formula>4000</formula>
    </cfRule>
  </conditionalFormatting>
  <conditionalFormatting sqref="S5:S36 U5:U36">
    <cfRule type="cellIs" dxfId="15" priority="147" stopIfTrue="1" operator="greaterThan">
      <formula>300</formula>
    </cfRule>
  </conditionalFormatting>
  <conditionalFormatting sqref="Q5:Q36">
    <cfRule type="cellIs" dxfId="14" priority="145" stopIfTrue="1" operator="greaterThan">
      <formula>1500</formula>
    </cfRule>
  </conditionalFormatting>
  <conditionalFormatting sqref="O5:O36">
    <cfRule type="cellIs" dxfId="13" priority="144" stopIfTrue="1" operator="greaterThan">
      <formula>6000</formula>
    </cfRule>
  </conditionalFormatting>
  <conditionalFormatting sqref="M5:M36">
    <cfRule type="cellIs" dxfId="12" priority="143" stopIfTrue="1" operator="greaterThan">
      <formula>3000</formula>
    </cfRule>
  </conditionalFormatting>
  <conditionalFormatting sqref="J5:J36">
    <cfRule type="cellIs" dxfId="11" priority="142" stopIfTrue="1" operator="greaterThan">
      <formula>12000</formula>
    </cfRule>
  </conditionalFormatting>
  <conditionalFormatting sqref="AP5:AP36">
    <cfRule type="cellIs" dxfId="10" priority="138" stopIfTrue="1" operator="greaterThan">
      <formula>2500</formula>
    </cfRule>
  </conditionalFormatting>
  <conditionalFormatting sqref="BT8:BT36">
    <cfRule type="cellIs" dxfId="9" priority="12" operator="greaterThan">
      <formula>262</formula>
    </cfRule>
  </conditionalFormatting>
  <conditionalFormatting sqref="BT5 BT7:BT36">
    <cfRule type="cellIs" dxfId="8" priority="11" operator="greaterThan">
      <formula>262</formula>
    </cfRule>
  </conditionalFormatting>
  <conditionalFormatting sqref="BT24:BT31 BT34:BT36">
    <cfRule type="cellIs" dxfId="7" priority="10" operator="greaterThan">
      <formula>262</formula>
    </cfRule>
  </conditionalFormatting>
  <conditionalFormatting sqref="BT24:BT31 BT34:BT36">
    <cfRule type="cellIs" dxfId="6" priority="9" operator="greaterThan">
      <formula>262</formula>
    </cfRule>
  </conditionalFormatting>
  <conditionalFormatting sqref="AM5:AM36">
    <cfRule type="cellIs" dxfId="5" priority="5" stopIfTrue="1" operator="greaterThan">
      <formula>4000</formula>
    </cfRule>
  </conditionalFormatting>
  <conditionalFormatting sqref="AK13">
    <cfRule type="cellIs" dxfId="4" priority="6" stopIfTrue="1" operator="greaterThan">
      <formula>4000</formula>
    </cfRule>
  </conditionalFormatting>
  <conditionalFormatting sqref="BT6">
    <cfRule type="cellIs" dxfId="3" priority="4" operator="greaterThan">
      <formula>262</formula>
    </cfRule>
  </conditionalFormatting>
  <conditionalFormatting sqref="BT5">
    <cfRule type="cellIs" dxfId="2" priority="3" operator="greaterThan">
      <formula>262</formula>
    </cfRule>
  </conditionalFormatting>
  <conditionalFormatting sqref="BT5">
    <cfRule type="cellIs" dxfId="1" priority="2" operator="greaterThan">
      <formula>262</formula>
    </cfRule>
  </conditionalFormatting>
  <conditionalFormatting sqref="BT5">
    <cfRule type="cellIs" dxfId="0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  <ignoredErrors>
    <ignoredError sqref="BY25" evalError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18" zoomScaleSheetLayoutView="100" workbookViewId="0">
      <selection activeCell="K17" sqref="K17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394</v>
      </c>
      <c r="F6" s="669"/>
      <c r="G6" s="668"/>
      <c r="H6" s="670">
        <f>Elect!A1</f>
        <v>44927</v>
      </c>
      <c r="I6" s="668"/>
      <c r="J6" s="668"/>
      <c r="K6" s="668"/>
    </row>
    <row r="9" spans="2:13" ht="13.5" customHeight="1">
      <c r="B9" s="823" t="s">
        <v>395</v>
      </c>
      <c r="C9" s="824"/>
      <c r="D9" s="824"/>
      <c r="E9" s="824"/>
      <c r="F9" s="824"/>
      <c r="G9" s="824"/>
      <c r="H9" s="824"/>
      <c r="I9" s="824"/>
      <c r="J9" s="824"/>
      <c r="K9" s="824"/>
      <c r="L9" s="824"/>
      <c r="M9" s="824"/>
    </row>
    <row r="10" spans="2:13" ht="13.5" customHeight="1" thickBot="1">
      <c r="B10" s="825"/>
      <c r="C10" s="826"/>
      <c r="D10" s="826"/>
      <c r="E10" s="826"/>
      <c r="F10" s="826"/>
      <c r="G10" s="826"/>
      <c r="H10" s="826"/>
      <c r="I10" s="826"/>
      <c r="J10" s="826"/>
      <c r="K10" s="826"/>
      <c r="L10" s="826"/>
      <c r="M10" s="826"/>
    </row>
    <row r="11" spans="2:13" ht="16.5" thickBot="1">
      <c r="B11" s="836" t="s">
        <v>396</v>
      </c>
      <c r="C11" s="836"/>
      <c r="D11" s="836" t="s">
        <v>397</v>
      </c>
      <c r="E11" s="836"/>
      <c r="F11" s="836" t="s">
        <v>398</v>
      </c>
      <c r="G11" s="836"/>
      <c r="H11" s="834" t="s">
        <v>399</v>
      </c>
      <c r="I11" s="835"/>
      <c r="J11" s="834" t="s">
        <v>400</v>
      </c>
      <c r="K11" s="835"/>
      <c r="L11" s="834" t="s">
        <v>401</v>
      </c>
      <c r="M11" s="835"/>
    </row>
    <row r="12" spans="2:13" ht="16.5" thickBot="1">
      <c r="B12" s="671" t="s">
        <v>402</v>
      </c>
      <c r="C12" s="671" t="s">
        <v>403</v>
      </c>
      <c r="D12" s="671" t="s">
        <v>402</v>
      </c>
      <c r="E12" s="671" t="s">
        <v>403</v>
      </c>
      <c r="F12" s="671" t="s">
        <v>402</v>
      </c>
      <c r="G12" s="671" t="s">
        <v>403</v>
      </c>
      <c r="H12" s="671" t="s">
        <v>402</v>
      </c>
      <c r="I12" s="671" t="s">
        <v>403</v>
      </c>
      <c r="J12" s="671" t="s">
        <v>402</v>
      </c>
      <c r="K12" s="671" t="s">
        <v>403</v>
      </c>
      <c r="L12" s="671" t="s">
        <v>402</v>
      </c>
      <c r="M12" s="671" t="s">
        <v>403</v>
      </c>
    </row>
    <row r="13" spans="2:13">
      <c r="B13" s="672">
        <f>Elect!AN37</f>
        <v>152859.2433333346</v>
      </c>
      <c r="C13" s="758">
        <f>(B13*1.15)+(2879*60*0.72)</f>
        <v>300160.92983333475</v>
      </c>
      <c r="D13" s="672">
        <f>Elect!J37</f>
        <v>197924.61111110076</v>
      </c>
      <c r="E13" s="758">
        <f>(D13*1.15)+(573*60)+10000</f>
        <v>271993.3027777659</v>
      </c>
      <c r="F13" s="672">
        <f>Elect!BI37</f>
        <v>369181.46875011077</v>
      </c>
      <c r="G13" s="758">
        <f>(F13*1.15)</f>
        <v>424558.68906262732</v>
      </c>
      <c r="H13" s="672">
        <f>Elect!Q37</f>
        <v>15365.000000010186</v>
      </c>
      <c r="I13" s="758">
        <f>H13*1.6+1500</f>
        <v>26084.000000016298</v>
      </c>
      <c r="J13" s="799">
        <f>B13+D13+F13+H13</f>
        <v>735330.3231945564</v>
      </c>
      <c r="K13" s="759">
        <f>G13+E13+C13+I13</f>
        <v>1022796.9216737443</v>
      </c>
      <c r="L13" s="799">
        <f>B13+F13</f>
        <v>522040.7120834454</v>
      </c>
      <c r="M13" s="760">
        <f>C13+G13</f>
        <v>724719.61889596214</v>
      </c>
    </row>
    <row r="16" spans="2:13" ht="0.75" customHeight="1" thickBot="1">
      <c r="K16">
        <f>K18</f>
        <v>1390005.9910070912</v>
      </c>
    </row>
    <row r="17" spans="4:11" ht="13.5" customHeight="1">
      <c r="E17" s="827" t="s">
        <v>404</v>
      </c>
      <c r="F17" s="828"/>
      <c r="J17" s="756" t="s">
        <v>405</v>
      </c>
      <c r="K17" s="757">
        <f>K13/J13</f>
        <v>1.3909353244543528</v>
      </c>
    </row>
    <row r="18" spans="4:11" ht="34.5" customHeight="1" thickBot="1">
      <c r="E18" s="829"/>
      <c r="F18" s="830"/>
      <c r="J18" s="756" t="s">
        <v>406</v>
      </c>
      <c r="K18" s="761">
        <f>K13+F20+F27+G35</f>
        <v>1390005.9910070912</v>
      </c>
    </row>
    <row r="19" spans="4:11" ht="13.5" thickBot="1">
      <c r="E19" s="674" t="s">
        <v>407</v>
      </c>
      <c r="F19" s="674" t="s">
        <v>403</v>
      </c>
    </row>
    <row r="20" spans="4:11" ht="13.5" thickBot="1">
      <c r="E20" s="831">
        <f>Water!H38</f>
        <v>10965.624999999818</v>
      </c>
      <c r="F20" s="833">
        <f>E20*10</f>
        <v>109656.24999999818</v>
      </c>
    </row>
    <row r="21" spans="4:11" ht="13.5" thickBot="1">
      <c r="E21" s="832"/>
      <c r="F21" s="833"/>
    </row>
    <row r="23" spans="4:11" ht="13.5" thickBot="1"/>
    <row r="24" spans="4:11" ht="13.5" thickBot="1">
      <c r="E24" s="837" t="s">
        <v>408</v>
      </c>
      <c r="F24" s="837"/>
    </row>
    <row r="25" spans="4:11" ht="11.25" customHeight="1" thickBot="1">
      <c r="E25" s="837"/>
      <c r="F25" s="837"/>
      <c r="H25" s="83"/>
    </row>
    <row r="26" spans="4:11" ht="13.5" thickBot="1">
      <c r="E26" s="674" t="s">
        <v>407</v>
      </c>
      <c r="F26" s="674" t="s">
        <v>403</v>
      </c>
    </row>
    <row r="27" spans="4:11" ht="13.5" thickBot="1">
      <c r="E27" s="832">
        <f>Gas!C38</f>
        <v>53698.981666669963</v>
      </c>
      <c r="F27" s="833">
        <f>E27*3.9</f>
        <v>209426.02850001285</v>
      </c>
    </row>
    <row r="28" spans="4:11" ht="13.5" thickBot="1">
      <c r="E28" s="832"/>
      <c r="F28" s="833"/>
    </row>
    <row r="30" spans="4:11" ht="13.5" thickBot="1"/>
    <row r="31" spans="4:11" ht="20.25">
      <c r="D31" s="838" t="s">
        <v>409</v>
      </c>
      <c r="E31" s="839"/>
      <c r="F31" s="839"/>
      <c r="G31" s="840"/>
      <c r="H31" s="676"/>
      <c r="I31" s="676"/>
    </row>
    <row r="32" spans="4:11" ht="20.25">
      <c r="D32" s="823"/>
      <c r="E32" s="824"/>
      <c r="F32" s="824"/>
      <c r="G32" s="841"/>
      <c r="H32" s="676"/>
      <c r="I32" s="676"/>
    </row>
    <row r="33" spans="3:9">
      <c r="D33" s="677" t="s">
        <v>410</v>
      </c>
      <c r="E33" s="677" t="s">
        <v>411</v>
      </c>
      <c r="F33" s="677" t="s">
        <v>412</v>
      </c>
      <c r="G33" s="677" t="s">
        <v>403</v>
      </c>
      <c r="H33" s="678"/>
      <c r="I33" s="678"/>
    </row>
    <row r="34" spans="3:9">
      <c r="C34" s="739"/>
      <c r="D34" s="682">
        <f>Gas!D6</f>
        <v>614831.13888888794</v>
      </c>
      <c r="E34" s="682">
        <f>Gas!D36</f>
        <v>631723</v>
      </c>
      <c r="F34" s="714">
        <f>Gas!E38</f>
        <v>12340.202777778439</v>
      </c>
      <c r="G34" s="798">
        <f>F34*3.9</f>
        <v>48126.790833335908</v>
      </c>
      <c r="H34" s="680"/>
      <c r="I34" s="680"/>
    </row>
    <row r="35" spans="3:9" ht="18">
      <c r="D35" s="845" t="s">
        <v>413</v>
      </c>
      <c r="E35" s="845"/>
      <c r="F35" s="845"/>
      <c r="G35" s="798">
        <f>G34</f>
        <v>48126.790833335908</v>
      </c>
      <c r="H35" s="33"/>
      <c r="I35" s="33"/>
    </row>
    <row r="37" spans="3:9" ht="13.5" thickBot="1"/>
    <row r="38" spans="3:9" ht="20.25">
      <c r="D38" s="838" t="s">
        <v>414</v>
      </c>
      <c r="E38" s="839"/>
      <c r="F38" s="839"/>
      <c r="G38" s="840"/>
      <c r="H38" s="676"/>
      <c r="I38" s="676"/>
    </row>
    <row r="39" spans="3:9" ht="20.25">
      <c r="D39" s="823"/>
      <c r="E39" s="824"/>
      <c r="F39" s="824"/>
      <c r="G39" s="841"/>
      <c r="H39" s="676"/>
      <c r="I39" s="676"/>
    </row>
    <row r="40" spans="3:9" ht="18.75" customHeight="1">
      <c r="D40" s="677" t="s">
        <v>410</v>
      </c>
      <c r="E40" s="677" t="s">
        <v>411</v>
      </c>
      <c r="F40" s="677" t="s">
        <v>402</v>
      </c>
      <c r="G40" s="677" t="s">
        <v>403</v>
      </c>
      <c r="H40" s="678"/>
      <c r="I40" s="678"/>
    </row>
    <row r="41" spans="3:9">
      <c r="C41" s="679" t="s">
        <v>360</v>
      </c>
      <c r="D41" s="683">
        <f>Elect!R5</f>
        <v>230535.33333333299</v>
      </c>
      <c r="E41" s="762">
        <f>Elect!R36</f>
        <v>234971.33333333299</v>
      </c>
      <c r="F41" s="684">
        <f>E41-D41</f>
        <v>4436</v>
      </c>
      <c r="G41" s="764">
        <f>F41*1.15</f>
        <v>5101.3999999999996</v>
      </c>
      <c r="H41" s="685"/>
      <c r="I41" s="685"/>
    </row>
    <row r="42" spans="3:9">
      <c r="C42" s="679" t="s">
        <v>361</v>
      </c>
      <c r="D42" s="683">
        <f>Elect!T5</f>
        <v>420593.16666666698</v>
      </c>
      <c r="E42" s="683">
        <f>Elect!T36</f>
        <v>428547.66666666698</v>
      </c>
      <c r="F42" s="684">
        <f>E42-D42</f>
        <v>7954.5</v>
      </c>
      <c r="G42" s="764">
        <f>F42*1.15</f>
        <v>9147.6749999999993</v>
      </c>
      <c r="H42" s="685"/>
      <c r="I42" s="685"/>
    </row>
    <row r="43" spans="3:9" ht="18">
      <c r="D43" s="842" t="s">
        <v>413</v>
      </c>
      <c r="E43" s="843"/>
      <c r="F43" s="844"/>
      <c r="G43" s="765">
        <f>G42+G41</f>
        <v>14249.074999999999</v>
      </c>
      <c r="H43" s="33"/>
      <c r="I43" s="33"/>
    </row>
    <row r="44" spans="3:9">
      <c r="F44" s="225"/>
    </row>
    <row r="48" spans="3:9" ht="13.5" thickBot="1"/>
    <row r="49" spans="3:7">
      <c r="D49" s="838" t="s">
        <v>415</v>
      </c>
      <c r="E49" s="839"/>
      <c r="F49" s="839"/>
      <c r="G49" s="840"/>
    </row>
    <row r="50" spans="3:7" ht="13.5" thickBot="1">
      <c r="D50" s="823"/>
      <c r="E50" s="824"/>
      <c r="F50" s="824"/>
      <c r="G50" s="841"/>
    </row>
    <row r="51" spans="3:7" ht="13.5" thickBot="1">
      <c r="D51" s="677" t="s">
        <v>410</v>
      </c>
      <c r="E51" s="677" t="s">
        <v>411</v>
      </c>
      <c r="F51" s="677" t="s">
        <v>407</v>
      </c>
      <c r="G51" s="677" t="s">
        <v>403</v>
      </c>
    </row>
    <row r="52" spans="3:7" ht="13.5" thickBot="1">
      <c r="C52" s="679" t="s">
        <v>416</v>
      </c>
      <c r="D52" s="682">
        <v>322</v>
      </c>
      <c r="E52" s="683">
        <v>331</v>
      </c>
      <c r="F52" s="799">
        <v>9</v>
      </c>
      <c r="G52" s="675">
        <f>F52*10</f>
        <v>90</v>
      </c>
    </row>
    <row r="53" spans="3:7" ht="13.5" thickBot="1">
      <c r="C53" s="679" t="s">
        <v>417</v>
      </c>
      <c r="D53" s="683">
        <v>5583</v>
      </c>
      <c r="E53" s="683">
        <v>5727</v>
      </c>
      <c r="F53" s="684">
        <v>144</v>
      </c>
      <c r="G53" s="673">
        <f>F53*10</f>
        <v>1440</v>
      </c>
    </row>
    <row r="54" spans="3:7" ht="18.75" thickBot="1">
      <c r="D54" s="842" t="s">
        <v>413</v>
      </c>
      <c r="E54" s="843"/>
      <c r="F54" s="844"/>
      <c r="G54" s="681">
        <f>G52+G53</f>
        <v>1530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CDCC65-FA18-4236-BA43-DA774CC164A7}"/>
</file>

<file path=customXml/itemProps2.xml><?xml version="1.0" encoding="utf-8"?>
<ds:datastoreItem xmlns:ds="http://schemas.openxmlformats.org/officeDocument/2006/customXml" ds:itemID="{C84BCC85-6B82-491C-B493-C004743EA634}"/>
</file>

<file path=customXml/itemProps3.xml><?xml version="1.0" encoding="utf-8"?>
<ds:datastoreItem xmlns:ds="http://schemas.openxmlformats.org/officeDocument/2006/customXml" ds:itemID="{4D3130CD-D410-4CE4-A243-9F17F1661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2023-02-22T09:20:12Z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