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c r="G33" i="1"/>
  <c r="E33" i="1"/>
  <c r="AH33" i="2" l="1"/>
  <c r="AG33" i="2"/>
  <c r="AF33" i="2"/>
  <c r="W33" i="2"/>
  <c r="V33" i="2"/>
  <c r="Q33" i="2" l="1"/>
  <c r="P33" i="2"/>
  <c r="O33" i="2"/>
  <c r="N33" i="2"/>
  <c r="M33" i="2"/>
  <c r="J33" i="2" l="1"/>
  <c r="I33" i="2"/>
  <c r="H33" i="2"/>
  <c r="G33" i="2"/>
  <c r="F33" i="2"/>
  <c r="E33" i="2"/>
  <c r="D33" i="2"/>
  <c r="C33" i="2"/>
  <c r="B33" i="2"/>
  <c r="AH32" i="2" l="1"/>
  <c r="AG32" i="2"/>
  <c r="AF32" i="2"/>
  <c r="AH31" i="2"/>
  <c r="AG31" i="2"/>
  <c r="AF31" i="2"/>
  <c r="W32" i="2"/>
  <c r="V32" i="2"/>
  <c r="W31" i="2"/>
  <c r="V31" i="2"/>
  <c r="Q32" i="2" l="1"/>
  <c r="P32" i="2"/>
  <c r="Q31" i="2"/>
  <c r="P31" i="2"/>
  <c r="O32" i="2"/>
  <c r="N32" i="2"/>
  <c r="M32" i="2"/>
  <c r="O31" i="2"/>
  <c r="N31" i="2"/>
  <c r="M31" i="2"/>
  <c r="J32" i="2" l="1"/>
  <c r="I32" i="2"/>
  <c r="H32" i="2"/>
  <c r="G32" i="2"/>
  <c r="F32" i="2"/>
  <c r="E32" i="2"/>
  <c r="D32" i="2"/>
  <c r="C32" i="2"/>
  <c r="B32" i="2"/>
  <c r="J31" i="2"/>
  <c r="I31" i="2"/>
  <c r="H31" i="2"/>
  <c r="G31" i="2"/>
  <c r="F31" i="2"/>
  <c r="E31" i="2"/>
  <c r="D31" i="2"/>
  <c r="C31" i="2"/>
  <c r="B31" i="2"/>
  <c r="AH30" i="2" l="1"/>
  <c r="AG30" i="2"/>
  <c r="AF30" i="2"/>
  <c r="W30" i="2"/>
  <c r="V30" i="2"/>
  <c r="Q30" i="2" l="1"/>
  <c r="P30" i="2"/>
  <c r="O30" i="2"/>
  <c r="N30" i="2"/>
  <c r="M30" i="2"/>
  <c r="J30" i="2" l="1"/>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c r="I28" i="2"/>
  <c r="H28" i="2"/>
  <c r="G28" i="2"/>
  <c r="F28" i="2"/>
  <c r="E28" i="2"/>
  <c r="D28" i="2"/>
  <c r="C28" i="2"/>
  <c r="B28" i="2"/>
  <c r="AH27" i="2" l="1"/>
  <c r="AG27" i="2"/>
  <c r="AF27" i="2"/>
  <c r="W27" i="2"/>
  <c r="V27" i="2"/>
  <c r="Q27" i="2" l="1"/>
  <c r="P27" i="2"/>
  <c r="O27" i="2"/>
  <c r="N27" i="2"/>
  <c r="M27" i="2"/>
  <c r="J27" i="2" l="1"/>
  <c r="I27" i="2"/>
  <c r="H27" i="2"/>
  <c r="G27" i="2"/>
  <c r="F27" i="2"/>
  <c r="E27" i="2"/>
  <c r="D27" i="2"/>
  <c r="C27" i="2"/>
  <c r="B27" i="2"/>
  <c r="AH26" i="2" l="1"/>
  <c r="AG26" i="2"/>
  <c r="W26" i="2"/>
  <c r="AF26" i="2"/>
  <c r="V26" i="2"/>
  <c r="Q26" i="2" l="1"/>
  <c r="P26" i="2"/>
  <c r="O26" i="2"/>
  <c r="N26" i="2"/>
  <c r="M26" i="2"/>
  <c r="J26" i="2" l="1"/>
  <c r="I26" i="2"/>
  <c r="H26" i="2"/>
  <c r="G26" i="2"/>
  <c r="F26" i="2"/>
  <c r="E26" i="2"/>
  <c r="D26" i="2"/>
  <c r="C26" i="2"/>
  <c r="B26" i="2"/>
  <c r="AH25" i="2" l="1"/>
  <c r="AG25" i="2"/>
  <c r="AF25" i="2"/>
  <c r="AH24" i="2"/>
  <c r="AG24" i="2"/>
  <c r="AF24" i="2"/>
  <c r="W25" i="2"/>
  <c r="V25" i="2"/>
  <c r="W24" i="2"/>
  <c r="V24" i="2"/>
  <c r="Q25" i="2" l="1"/>
  <c r="P25" i="2"/>
  <c r="Q24" i="2"/>
  <c r="P24" i="2"/>
  <c r="O25" i="2"/>
  <c r="N25" i="2"/>
  <c r="M25" i="2"/>
  <c r="O24" i="2"/>
  <c r="N24" i="2"/>
  <c r="M24" i="2"/>
  <c r="J25" i="2" l="1"/>
  <c r="I25" i="2"/>
  <c r="H25" i="2"/>
  <c r="G25" i="2"/>
  <c r="F25" i="2"/>
  <c r="E25" i="2"/>
  <c r="D25" i="2"/>
  <c r="C25" i="2"/>
  <c r="B25" i="2"/>
  <c r="J24" i="2"/>
  <c r="I24" i="2"/>
  <c r="H24" i="2"/>
  <c r="G24" i="2"/>
  <c r="F24" i="2"/>
  <c r="E24" i="2"/>
  <c r="D24" i="2"/>
  <c r="C24" i="2"/>
  <c r="B24" i="2"/>
  <c r="AH23" i="2" l="1"/>
  <c r="AG23" i="2"/>
  <c r="AF23" i="2"/>
  <c r="W23" i="2"/>
  <c r="V23" i="2"/>
  <c r="Q23" i="2" l="1"/>
  <c r="P23" i="2"/>
  <c r="O23" i="2"/>
  <c r="N23" i="2"/>
  <c r="M23" i="2"/>
  <c r="J23" i="2" l="1"/>
  <c r="I23" i="2"/>
  <c r="H23" i="2"/>
  <c r="G23" i="2"/>
  <c r="F23" i="2"/>
  <c r="E23" i="2"/>
  <c r="D23" i="2"/>
  <c r="C23" i="2"/>
  <c r="B23" i="2"/>
  <c r="AH22" i="2" l="1"/>
  <c r="AG22" i="2"/>
  <c r="AF22" i="2"/>
  <c r="W22" i="2"/>
  <c r="V22" i="2"/>
  <c r="Q22" i="2" l="1"/>
  <c r="P22" i="2"/>
  <c r="O22" i="2"/>
  <c r="N22" i="2"/>
  <c r="M22" i="2"/>
  <c r="J22" i="2" l="1"/>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AH17" i="2"/>
  <c r="AG17" i="2"/>
  <c r="AF17" i="2"/>
  <c r="W18" i="2"/>
  <c r="V18" i="2"/>
  <c r="W17" i="2"/>
  <c r="V17" i="2"/>
  <c r="Q18" i="2" l="1"/>
  <c r="P18" i="2"/>
  <c r="Q17" i="2"/>
  <c r="P17" i="2"/>
  <c r="O18" i="2"/>
  <c r="N18" i="2"/>
  <c r="M18" i="2"/>
  <c r="O17" i="2"/>
  <c r="N17" i="2"/>
  <c r="M17" i="2"/>
  <c r="J18" i="2"/>
  <c r="I18" i="2"/>
  <c r="H18" i="2"/>
  <c r="G18" i="2"/>
  <c r="F18" i="2"/>
  <c r="E18" i="2"/>
  <c r="D18" i="2"/>
  <c r="C18" i="2"/>
  <c r="B18" i="2"/>
  <c r="J17" i="2"/>
  <c r="I17" i="2"/>
  <c r="H17" i="2"/>
  <c r="G17" i="2"/>
  <c r="F17" i="2"/>
  <c r="E17" i="2"/>
  <c r="D17" i="2"/>
  <c r="C17" i="2"/>
  <c r="B17" i="2"/>
  <c r="AH16" i="2" l="1"/>
  <c r="AG16" i="2"/>
  <c r="AF16" i="2"/>
  <c r="W16" i="2"/>
  <c r="V16" i="2"/>
  <c r="Q16" i="2" l="1"/>
  <c r="P16" i="2"/>
  <c r="O16" i="2"/>
  <c r="N16" i="2"/>
  <c r="M16" i="2"/>
  <c r="J16" i="2" l="1"/>
  <c r="I16" i="2"/>
  <c r="H16" i="2"/>
  <c r="G16" i="2"/>
  <c r="F16" i="2"/>
  <c r="E16" i="2"/>
  <c r="D16" i="2"/>
  <c r="C16" i="2"/>
  <c r="B16" i="2"/>
  <c r="AH15" i="2" l="1"/>
  <c r="AG15" i="2"/>
  <c r="AF15" i="2"/>
  <c r="W15" i="2"/>
  <c r="V15" i="2"/>
  <c r="Q15" i="2"/>
  <c r="P15" i="2"/>
  <c r="O15" i="2"/>
  <c r="N15" i="2"/>
  <c r="M15" i="2"/>
  <c r="J15" i="2" l="1"/>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l="1"/>
  <c r="I13" i="2"/>
  <c r="H13" i="2"/>
  <c r="G13" i="2"/>
  <c r="F13" i="2"/>
  <c r="E13" i="2"/>
  <c r="D13" i="2"/>
  <c r="C13" i="2"/>
  <c r="B13" i="2"/>
  <c r="AH12" i="2" l="1"/>
  <c r="AG12" i="2"/>
  <c r="AF12" i="2"/>
  <c r="W12" i="2"/>
  <c r="V12" i="2"/>
  <c r="Q12" i="2" l="1"/>
  <c r="P12" i="2"/>
  <c r="O12" i="2"/>
  <c r="N12" i="2"/>
  <c r="M12" i="2"/>
  <c r="J12" i="2" l="1"/>
  <c r="I12" i="2"/>
  <c r="H12" i="2"/>
  <c r="G12" i="2"/>
  <c r="F12" i="2"/>
  <c r="E12" i="2"/>
  <c r="D12" i="2"/>
  <c r="C12" i="2"/>
  <c r="B12" i="2"/>
  <c r="AH11" i="2" l="1"/>
  <c r="AG11" i="2"/>
  <c r="AF11" i="2"/>
  <c r="AH10" i="2"/>
  <c r="AG10" i="2"/>
  <c r="AF10" i="2"/>
  <c r="W11" i="2" l="1"/>
  <c r="V11" i="2"/>
  <c r="W10" i="2"/>
  <c r="V10" i="2"/>
  <c r="Q11" i="2" l="1"/>
  <c r="P11" i="2"/>
  <c r="Q10" i="2"/>
  <c r="P10" i="2"/>
  <c r="O11" i="2"/>
  <c r="N11" i="2"/>
  <c r="M11" i="2"/>
  <c r="O10" i="2"/>
  <c r="N10" i="2"/>
  <c r="M10" i="2"/>
  <c r="J11" i="2" l="1"/>
  <c r="I11" i="2"/>
  <c r="H11" i="2"/>
  <c r="G11" i="2"/>
  <c r="F11" i="2"/>
  <c r="E11" i="2"/>
  <c r="D11" i="2"/>
  <c r="C11" i="2"/>
  <c r="B11" i="2"/>
  <c r="J10" i="2"/>
  <c r="I10" i="2"/>
  <c r="H10" i="2"/>
  <c r="G10" i="2"/>
  <c r="F10" i="2"/>
  <c r="E10" i="2"/>
  <c r="D10" i="2"/>
  <c r="C10" i="2"/>
  <c r="B10" i="2"/>
  <c r="AH9" i="2" l="1"/>
  <c r="AG9" i="2"/>
  <c r="AF9" i="2"/>
  <c r="AD9" i="2"/>
  <c r="W9" i="2"/>
  <c r="V9" i="2"/>
  <c r="Q9" i="2" l="1"/>
  <c r="P9" i="2"/>
  <c r="O9" i="2"/>
  <c r="N9" i="2"/>
  <c r="M9" i="2"/>
  <c r="J9" i="2" l="1"/>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W7" i="2"/>
  <c r="V7" i="2"/>
  <c r="Q7" i="2" l="1"/>
  <c r="P7" i="2"/>
  <c r="O7" i="2"/>
  <c r="N7" i="2"/>
  <c r="M7" i="2"/>
  <c r="J7" i="2" l="1"/>
  <c r="I7" i="2"/>
  <c r="H7" i="2"/>
  <c r="G7" i="2"/>
  <c r="F7" i="2"/>
  <c r="E7" i="2"/>
  <c r="D7" i="2"/>
  <c r="C7" i="2"/>
  <c r="B7" i="2"/>
  <c r="AM35" i="2" l="1"/>
  <c r="AM36" i="2"/>
  <c r="AM6" i="2"/>
  <c r="AH6" i="2"/>
  <c r="AG6" i="2"/>
  <c r="AF6" i="2"/>
  <c r="AE35" i="2"/>
  <c r="AE36" i="2"/>
  <c r="AE6" i="2"/>
  <c r="W6" i="2"/>
  <c r="V6" i="2"/>
  <c r="Q6" i="2" l="1"/>
  <c r="P6" i="2"/>
  <c r="O6" i="2"/>
  <c r="N6" i="2"/>
  <c r="M6" i="2"/>
  <c r="J6" i="2" l="1"/>
  <c r="I6" i="2"/>
  <c r="H6" i="2"/>
  <c r="G6" i="2"/>
  <c r="F6" i="2"/>
  <c r="E6" i="2"/>
  <c r="D6" i="2"/>
  <c r="C6" i="2"/>
  <c r="B6" i="2"/>
  <c r="H37" i="2" l="1"/>
  <c r="J37" i="2"/>
  <c r="I37" i="2"/>
  <c r="M31" i="1" l="1"/>
  <c r="N31" i="1"/>
  <c r="M32" i="1"/>
  <c r="N32" i="1"/>
  <c r="B31" i="1"/>
  <c r="B32" i="1"/>
  <c r="U31" i="3"/>
  <c r="V31" i="3"/>
  <c r="W31" i="3"/>
  <c r="Y31" i="3"/>
  <c r="U32" i="3"/>
  <c r="V32" i="3"/>
  <c r="W32" i="3"/>
  <c r="Y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C36" i="2"/>
  <c r="AD36" i="2" s="1"/>
  <c r="Z35" i="2"/>
  <c r="AA35" i="2" s="1"/>
  <c r="Z36" i="2"/>
  <c r="AA36" i="2" s="1"/>
  <c r="T35" i="2"/>
  <c r="U35" i="2" s="1"/>
  <c r="T36" i="2"/>
  <c r="N32" i="3" s="1"/>
  <c r="R35" i="2"/>
  <c r="O31" i="3" s="1"/>
  <c r="S35" i="2"/>
  <c r="R36" i="2"/>
  <c r="O32" i="3" s="1"/>
  <c r="S36" i="2"/>
  <c r="K35" i="2"/>
  <c r="L35" i="2" s="1"/>
  <c r="K36" i="2"/>
  <c r="L36" i="2" s="1"/>
  <c r="X32" i="3" l="1"/>
  <c r="AL36" i="2"/>
  <c r="AL35" i="2"/>
  <c r="X31" i="3"/>
  <c r="T32" i="3"/>
  <c r="I32" i="1" s="1"/>
  <c r="T31" i="3"/>
  <c r="AO35" i="2"/>
  <c r="P32" i="3"/>
  <c r="G32" i="1" s="1"/>
  <c r="P31" i="3"/>
  <c r="G31" i="1" s="1"/>
  <c r="S32" i="3"/>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1" i="1" l="1"/>
  <c r="AI6" i="2"/>
  <c r="AC6" i="2"/>
  <c r="AN37" i="2" l="1"/>
  <c r="AH37" i="2"/>
  <c r="AG37" i="2"/>
  <c r="AF37" i="2"/>
  <c r="G37" i="2"/>
  <c r="D37" i="2"/>
  <c r="Z33" i="3"/>
  <c r="Z7" i="2"/>
  <c r="K6" i="2" l="1"/>
  <c r="L6" i="2" l="1"/>
  <c r="Y30" i="3"/>
  <c r="M30" i="1" s="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N33" i="1" l="1"/>
  <c r="Z9" i="2"/>
  <c r="P5" i="3" s="1"/>
  <c r="G5" i="1" s="1"/>
  <c r="Z10" i="2"/>
  <c r="AA10" i="2" s="1"/>
  <c r="Z11" i="2"/>
  <c r="AA11" i="2" s="1"/>
  <c r="Z12" i="2"/>
  <c r="Z13" i="2"/>
  <c r="AA13" i="2" s="1"/>
  <c r="Z14" i="2"/>
  <c r="AA14" i="2" s="1"/>
  <c r="Z15" i="2"/>
  <c r="AA15" i="2" s="1"/>
  <c r="Z16" i="2"/>
  <c r="AA16" i="2" s="1"/>
  <c r="AD17" i="2"/>
  <c r="AE17" i="2" s="1"/>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E9" i="2"/>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24" i="3" l="1"/>
  <c r="N3" i="3"/>
  <c r="P28" i="3"/>
  <c r="G28" i="1" s="1"/>
  <c r="K28" i="1"/>
  <c r="U32" i="2"/>
  <c r="T23" i="3"/>
  <c r="AL25" i="2"/>
  <c r="AM25" i="2" s="1"/>
  <c r="P17" i="3"/>
  <c r="G17" i="1" s="1"/>
  <c r="U19" i="2"/>
  <c r="AO19" i="2" s="1"/>
  <c r="P15" i="3"/>
  <c r="S15" i="3" s="1"/>
  <c r="U15" i="2"/>
  <c r="P9" i="3"/>
  <c r="G9" i="1" s="1"/>
  <c r="P27" i="3"/>
  <c r="S27" i="3" s="1"/>
  <c r="P19" i="3"/>
  <c r="G19" i="1" s="1"/>
  <c r="T28" i="3"/>
  <c r="T27" i="3"/>
  <c r="N19" i="3"/>
  <c r="K19" i="1" s="1"/>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AO30" i="2" s="1"/>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G15" i="1"/>
  <c r="P29" i="3"/>
  <c r="AA9" i="2"/>
  <c r="AO9" i="2" s="1"/>
  <c r="S17" i="3"/>
  <c r="P10" i="3"/>
  <c r="P25" i="3"/>
  <c r="G25" i="1" s="1"/>
  <c r="N9" i="3"/>
  <c r="K9" i="1" s="1"/>
  <c r="N16" i="3"/>
  <c r="K16" i="1" s="1"/>
  <c r="AO15" i="2"/>
  <c r="K3" i="1"/>
  <c r="N27" i="3"/>
  <c r="K27" i="1" s="1"/>
  <c r="K26" i="1"/>
  <c r="K13" i="1"/>
  <c r="N23" i="3"/>
  <c r="K23" i="1" s="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T4" i="3"/>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S28" i="3" l="1"/>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<sst xmlns="http://schemas.openxmlformats.org/spreadsheetml/2006/main" count="220" uniqueCount="103">
  <si>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</si>
  <si>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</si>
  <si>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</si>
  <si>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</si>
  <si>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</si>
  <si>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</si>
  <si>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</si>
  <si>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</si>
  <si>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</si>
  <si>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</si>
  <si>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</si>
  <si>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</si>
  <si>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</si>
  <si>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</si>
  <si>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</si>
  <si>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</si>
  <si>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</si>
  <si>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</si>
  <si>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</si>
  <si>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</si>
  <si>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</si>
  <si>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</si>
  <si>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</si>
  <si>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</si>
  <si>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</si>
  <si>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</si>
  <si>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</si>
  <si>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</si>
  <si>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</si>
  <si>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</si>
  <si>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</si>
  <si>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</si>
  <si>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</si>
  <si>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</si>
  <si>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</si>
  <si>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</si>
  <si>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</si>
  <si>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</si>
  <si>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</si>
  <si>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</si>
  <si>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</si>
  <si>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</si>
  <si>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</si>
  <si>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</si>
  <si>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</si>
  <si>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</si>
  <si>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</si>
  <si>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</si>
  <si>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</si>
  <si>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</si>
  <si>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</si>
  <si>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</si>
  <si>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</si>
  <si>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</si>
  <si>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</si>
  <si>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</si>
  <si>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</si>
  <si>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</si>
  <si>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</si>
  <si>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</si>
  <si>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</si>
  <si>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</si>
  <si>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</si>
  <si>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</si>
  <si>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</si>
  <si>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</si>
  <si>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</si>
  <si>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</si>
  <si>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</si>
  <si>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</si>
  <si>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</si>
  <si>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</si>
  <si>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</si>
  <si>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</si>
  <si>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</si>
  <si>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</si>
  <si>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</si>
  <si>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</si>
  <si>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</si>
  <si>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</si>
  <si>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</si>
  <si>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</si>
  <si>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</si>
  <si>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</si>
  <si>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</si>
  <si>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</si>
  <si>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</si>
  <si>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</si>
  <si>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</si>
  <si>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</si>
  <si>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</si>
  <si>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</si>
  <si>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</si>
  <si>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</si>
  <si>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</si>
  <si>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</si>
  <si>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</si>
  <si>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</si>
  <si>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</si>
  <si>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</si>
  <si>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</si>
  <si>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</si>
  <si>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0.327795/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</si>
</sst>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5">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4" fontId="0" fillId="0" borderId="1" xfId="0" applyNumberFormat="1" applyFill="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S11" sqref="S11"/>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2</v>
      </c>
      <c r="D2" s="107">
        <v>2022</v>
      </c>
      <c r="E2" s="101">
        <f>Submetering!E2+Submetering!F2+Submetering!G2+Submetering!H2+Submetering!I2+Submetering!J2+Submetering!K2</f>
        <v>31272</v>
      </c>
      <c r="F2" s="109">
        <v>0.2</v>
      </c>
      <c r="G2" s="101">
        <f>Submetering!P2</f>
        <v>702</v>
      </c>
      <c r="H2" s="109">
        <v>6.47</v>
      </c>
      <c r="I2" s="101">
        <f>Submetering!T2-Submetering!T2*15%-Submetering!X2</f>
        <v>10689.193600002909</v>
      </c>
      <c r="J2" s="100">
        <v>0.21</v>
      </c>
      <c r="K2" s="101">
        <f>Submetering!N2-Submetering!O2</f>
        <v>87.210000000003674</v>
      </c>
      <c r="L2" s="109">
        <v>7.84</v>
      </c>
      <c r="M2" s="101">
        <v>128</v>
      </c>
      <c r="N2" s="102">
        <f>Submetering!Z2</f>
        <v>169</v>
      </c>
    </row>
    <row r="3" spans="1:15" x14ac:dyDescent="0.25">
      <c r="A3" s="110" t="s">
        <v>80</v>
      </c>
      <c r="B3" s="72">
        <f>B2+1</f>
        <v>2</v>
      </c>
      <c r="C3" s="73">
        <v>2</v>
      </c>
      <c r="D3" s="72">
        <v>2022</v>
      </c>
      <c r="E3" s="71">
        <f>Submetering!E3+Submetering!F3+Submetering!G3+Submetering!H3+Submetering!I3+Submetering!J3+Submetering!K3</f>
        <v>31410</v>
      </c>
      <c r="F3" s="74">
        <v>0.2</v>
      </c>
      <c r="G3" s="71">
        <f>Submetering!P3</f>
        <v>728</v>
      </c>
      <c r="H3" s="74">
        <v>6.47</v>
      </c>
      <c r="I3" s="71">
        <f>Submetering!T3-Submetering!T3*15%-Submetering!X3</f>
        <v>10174.404799997086</v>
      </c>
      <c r="J3" s="70">
        <v>0.21</v>
      </c>
      <c r="K3" s="71">
        <f>Submetering!N3-Submetering!O3</f>
        <v>133.65800000000036</v>
      </c>
      <c r="L3" s="74">
        <v>7.84</v>
      </c>
      <c r="M3" s="71">
        <v>140</v>
      </c>
      <c r="N3" s="104">
        <f>Submetering!Z3</f>
        <v>186</v>
      </c>
    </row>
    <row r="4" spans="1:15" x14ac:dyDescent="0.25">
      <c r="A4" s="110" t="s">
        <v>80</v>
      </c>
      <c r="B4" s="72">
        <f t="shared" ref="B4:B32" si="0">B3+1</f>
        <v>3</v>
      </c>
      <c r="C4" s="73">
        <v>2</v>
      </c>
      <c r="D4" s="72">
        <v>2022</v>
      </c>
      <c r="E4" s="71">
        <f>Submetering!E4+Submetering!F4+Submetering!G4+Submetering!H4+Submetering!I4+Submetering!J4+Submetering!K4</f>
        <v>32872</v>
      </c>
      <c r="F4" s="74">
        <v>0.2</v>
      </c>
      <c r="G4" s="71">
        <f>Submetering!P4</f>
        <v>795</v>
      </c>
      <c r="H4" s="74">
        <v>6.47</v>
      </c>
      <c r="I4" s="71">
        <f>Submetering!T4-Submetering!T4*15%-Submetering!X4</f>
        <v>12725.252000001456</v>
      </c>
      <c r="J4" s="70">
        <v>0.21</v>
      </c>
      <c r="K4" s="71">
        <f>Submetering!N4-Submetering!O4</f>
        <v>151.22499999999764</v>
      </c>
      <c r="L4" s="74">
        <v>7.84</v>
      </c>
      <c r="M4" s="71">
        <v>184</v>
      </c>
      <c r="N4" s="104">
        <f>Submetering!Z4</f>
        <v>231</v>
      </c>
    </row>
    <row r="5" spans="1:15" x14ac:dyDescent="0.25">
      <c r="A5" s="110" t="s">
        <v>80</v>
      </c>
      <c r="B5" s="72">
        <f t="shared" si="0"/>
        <v>4</v>
      </c>
      <c r="C5" s="73">
        <v>2</v>
      </c>
      <c r="D5" s="72">
        <v>2022</v>
      </c>
      <c r="E5" s="71">
        <f>Submetering!E5+Submetering!F5+Submetering!G5+Submetering!H5+Submetering!I5+Submetering!J5+Submetering!K5</f>
        <v>31283</v>
      </c>
      <c r="F5" s="74">
        <v>0.2</v>
      </c>
      <c r="G5" s="71">
        <f>Submetering!P5</f>
        <v>771</v>
      </c>
      <c r="H5" s="74">
        <v>6.47</v>
      </c>
      <c r="I5" s="71">
        <f>Submetering!T5-Submetering!T5*15%-Submetering!X5</f>
        <v>13118.412000000004</v>
      </c>
      <c r="J5" s="70">
        <v>0.21</v>
      </c>
      <c r="K5" s="81">
        <f>Submetering!N5-Submetering!O5</f>
        <v>125.75800000000072</v>
      </c>
      <c r="L5" s="74">
        <v>7.84</v>
      </c>
      <c r="M5" s="71">
        <v>168</v>
      </c>
      <c r="N5" s="104">
        <f>Submetering!Z5</f>
        <v>211</v>
      </c>
    </row>
    <row r="6" spans="1:15" x14ac:dyDescent="0.25">
      <c r="A6" s="110" t="s">
        <v>80</v>
      </c>
      <c r="B6" s="72">
        <f t="shared" si="0"/>
        <v>5</v>
      </c>
      <c r="C6" s="73">
        <v>2</v>
      </c>
      <c r="D6" s="72">
        <v>2022</v>
      </c>
      <c r="E6" s="71">
        <f>Submetering!E6+Submetering!F6+Submetering!G6+Submetering!H6+Submetering!I6+Submetering!J6+Submetering!K6</f>
        <v>31453</v>
      </c>
      <c r="F6" s="74">
        <v>0.2</v>
      </c>
      <c r="G6" s="71">
        <f>Submetering!P6</f>
        <v>798</v>
      </c>
      <c r="H6" s="74">
        <v>6.47</v>
      </c>
      <c r="I6" s="71">
        <f>Submetering!T6-Submetering!T6*15%-Submetering!X6</f>
        <v>12312.866199998549</v>
      </c>
      <c r="J6" s="70">
        <v>0.21</v>
      </c>
      <c r="K6" s="71">
        <f>Submetering!N6-Submetering!O6</f>
        <v>120.69099999999798</v>
      </c>
      <c r="L6" s="74">
        <v>7.84</v>
      </c>
      <c r="M6" s="71">
        <v>172</v>
      </c>
      <c r="N6" s="104">
        <f>Submetering!Z6</f>
        <v>223</v>
      </c>
    </row>
    <row r="7" spans="1:15" x14ac:dyDescent="0.25">
      <c r="A7" s="110" t="s">
        <v>80</v>
      </c>
      <c r="B7" s="72">
        <f t="shared" si="0"/>
        <v>6</v>
      </c>
      <c r="C7" s="73">
        <v>2</v>
      </c>
      <c r="D7" s="72">
        <v>2022</v>
      </c>
      <c r="E7" s="71">
        <f>Submetering!E7+Submetering!F7+Submetering!G7+Submetering!H7+Submetering!I7+Submetering!J7+Submetering!K7</f>
        <v>32367</v>
      </c>
      <c r="F7" s="74">
        <v>0.2</v>
      </c>
      <c r="G7" s="71">
        <f>Submetering!P7</f>
        <v>774</v>
      </c>
      <c r="H7" s="74">
        <v>6.47</v>
      </c>
      <c r="I7" s="71">
        <f>Submetering!T7-Submetering!T7*15%-Submetering!X7</f>
        <v>10394.380199997089</v>
      </c>
      <c r="J7" s="70">
        <v>0.21</v>
      </c>
      <c r="K7" s="71">
        <f>Submetering!N7-Submetering!O7</f>
        <v>144.81200000000354</v>
      </c>
      <c r="L7" s="74">
        <v>7.84</v>
      </c>
      <c r="M7" s="71">
        <v>183</v>
      </c>
      <c r="N7" s="104">
        <f>Submetering!Z7</f>
        <v>239</v>
      </c>
    </row>
    <row r="8" spans="1:15" x14ac:dyDescent="0.25">
      <c r="A8" s="110" t="s">
        <v>80</v>
      </c>
      <c r="B8" s="72">
        <f t="shared" si="0"/>
        <v>7</v>
      </c>
      <c r="C8" s="73">
        <v>2</v>
      </c>
      <c r="D8" s="72">
        <v>2022</v>
      </c>
      <c r="E8" s="71">
        <f>Submetering!E8+Submetering!F8+Submetering!G8+Submetering!H8+Submetering!I8+Submetering!J8+Submetering!K8</f>
        <v>33214</v>
      </c>
      <c r="F8" s="74">
        <v>0.2</v>
      </c>
      <c r="G8" s="71">
        <f>Submetering!P8</f>
        <v>781</v>
      </c>
      <c r="H8" s="74">
        <v>6.47</v>
      </c>
      <c r="I8" s="71">
        <f>Submetering!T8-Submetering!T8*15%-Submetering!X8</f>
        <v>8704.5582000029099</v>
      </c>
      <c r="J8" s="70">
        <v>0.21</v>
      </c>
      <c r="K8" s="71">
        <f>Submetering!N8-Submetering!O8</f>
        <v>159.66099999999733</v>
      </c>
      <c r="L8" s="74">
        <v>7.84</v>
      </c>
      <c r="M8" s="71">
        <v>182</v>
      </c>
      <c r="N8" s="104">
        <f>Submetering!Z8</f>
        <v>242</v>
      </c>
    </row>
    <row r="9" spans="1:15" x14ac:dyDescent="0.25">
      <c r="A9" s="110" t="s">
        <v>80</v>
      </c>
      <c r="B9" s="72">
        <f t="shared" si="0"/>
        <v>8</v>
      </c>
      <c r="C9" s="73">
        <v>2</v>
      </c>
      <c r="D9" s="72">
        <v>2022</v>
      </c>
      <c r="E9" s="71">
        <f>Submetering!E9+Submetering!F9+Submetering!G9+Submetering!H9+Submetering!I9+Submetering!J9+Submetering!K9</f>
        <v>32679</v>
      </c>
      <c r="F9" s="74">
        <v>0.2</v>
      </c>
      <c r="G9" s="71">
        <f>Submetering!P9</f>
        <v>838</v>
      </c>
      <c r="H9" s="74">
        <v>6.47</v>
      </c>
      <c r="I9" s="71">
        <f>Submetering!T9-Submetering!T9*15%-Submetering!X9</f>
        <v>5997.2047999999995</v>
      </c>
      <c r="J9" s="70">
        <v>0.21</v>
      </c>
      <c r="K9" s="71">
        <f>Submetering!N9-Submetering!O9</f>
        <v>144.21100000000206</v>
      </c>
      <c r="L9" s="74">
        <v>7.84</v>
      </c>
      <c r="M9" s="71">
        <v>187</v>
      </c>
      <c r="N9" s="104">
        <f>Submetering!Z9</f>
        <v>252</v>
      </c>
      <c r="O9" s="1" t="s">
        <v>12</v>
      </c>
    </row>
    <row r="10" spans="1:15" x14ac:dyDescent="0.25">
      <c r="A10" s="110" t="s">
        <v>80</v>
      </c>
      <c r="B10" s="72">
        <f t="shared" si="0"/>
        <v>9</v>
      </c>
      <c r="C10" s="73">
        <v>2</v>
      </c>
      <c r="D10" s="72">
        <v>2022</v>
      </c>
      <c r="E10" s="71">
        <f>Submetering!E10+Submetering!F10+Submetering!G10+Submetering!H10+Submetering!I10+Submetering!J10+Submetering!K10</f>
        <v>32150</v>
      </c>
      <c r="F10" s="74">
        <v>0.2</v>
      </c>
      <c r="G10" s="71">
        <f>Submetering!P10</f>
        <v>789</v>
      </c>
      <c r="H10" s="74">
        <v>6.47</v>
      </c>
      <c r="I10" s="71">
        <f>Submetering!T10-Submetering!T10*15%-Submetering!X10</f>
        <v>9423.9479999999967</v>
      </c>
      <c r="J10" s="70">
        <v>0.21</v>
      </c>
      <c r="K10" s="71">
        <f>Submetering!N10-Submetering!O10</f>
        <v>124.29299999999876</v>
      </c>
      <c r="L10" s="74">
        <v>7.84</v>
      </c>
      <c r="M10" s="71">
        <v>189</v>
      </c>
      <c r="N10" s="104">
        <f>Submetering!Z10</f>
        <v>244</v>
      </c>
    </row>
    <row r="11" spans="1:15" x14ac:dyDescent="0.25">
      <c r="A11" s="110" t="s">
        <v>80</v>
      </c>
      <c r="B11" s="72">
        <f t="shared" si="0"/>
        <v>10</v>
      </c>
      <c r="C11" s="73">
        <v>2</v>
      </c>
      <c r="D11" s="72">
        <v>2022</v>
      </c>
      <c r="E11" s="71">
        <f>Submetering!E11+Submetering!F11+Submetering!G11+Submetering!H11+Submetering!I11+Submetering!J11+Submetering!K11</f>
        <v>30778</v>
      </c>
      <c r="F11" s="74">
        <v>0.2</v>
      </c>
      <c r="G11" s="71">
        <f>Submetering!P11</f>
        <v>757</v>
      </c>
      <c r="H11" s="74">
        <v>6.47</v>
      </c>
      <c r="I11" s="71">
        <f>Submetering!T11-Submetering!T11*15%-Submetering!X11</f>
        <v>11287.540200002906</v>
      </c>
      <c r="J11" s="70">
        <v>0.21</v>
      </c>
      <c r="K11" s="71">
        <f>Submetering!N11-Submetering!O11</f>
        <v>148.88299999999799</v>
      </c>
      <c r="L11" s="74">
        <v>7.84</v>
      </c>
      <c r="M11" s="71">
        <v>168</v>
      </c>
      <c r="N11" s="104">
        <f>Submetering!Z11</f>
        <v>218</v>
      </c>
    </row>
    <row r="12" spans="1:15" x14ac:dyDescent="0.25">
      <c r="A12" s="110" t="s">
        <v>80</v>
      </c>
      <c r="B12" s="72">
        <f t="shared" si="0"/>
        <v>11</v>
      </c>
      <c r="C12" s="73">
        <v>2</v>
      </c>
      <c r="D12" s="72">
        <v>2022</v>
      </c>
      <c r="E12" s="71">
        <f>Submetering!E12+Submetering!F12+Submetering!G12+Submetering!H12+Submetering!I12+Submetering!J12+Submetering!K12</f>
        <v>30790</v>
      </c>
      <c r="F12" s="74">
        <v>0.2</v>
      </c>
      <c r="G12" s="71">
        <f>Submetering!P12</f>
        <v>700</v>
      </c>
      <c r="H12" s="74">
        <v>6.47</v>
      </c>
      <c r="I12" s="71">
        <f>Submetering!T12-Submetering!T12*15%-Submetering!X12</f>
        <v>11089.152600000001</v>
      </c>
      <c r="J12" s="70">
        <v>0.21</v>
      </c>
      <c r="K12" s="71">
        <f>Submetering!N12-Submetering!O12</f>
        <v>134.02000000000407</v>
      </c>
      <c r="L12" s="74">
        <v>7.84</v>
      </c>
      <c r="M12" s="71">
        <v>174</v>
      </c>
      <c r="N12" s="104">
        <f>Submetering!Z12</f>
        <v>237</v>
      </c>
    </row>
    <row r="13" spans="1:15" x14ac:dyDescent="0.25">
      <c r="A13" s="110" t="s">
        <v>80</v>
      </c>
      <c r="B13" s="72">
        <f t="shared" si="0"/>
        <v>12</v>
      </c>
      <c r="C13" s="73">
        <v>2</v>
      </c>
      <c r="D13" s="72">
        <v>2022</v>
      </c>
      <c r="E13" s="71">
        <f>Submetering!E13+Submetering!F13+Submetering!G13+Submetering!H13+Submetering!I13+Submetering!J13+Submetering!K13</f>
        <v>30684</v>
      </c>
      <c r="F13" s="74">
        <v>0.2</v>
      </c>
      <c r="G13" s="71">
        <f>Submetering!P13</f>
        <v>789</v>
      </c>
      <c r="H13" s="74">
        <v>6.47</v>
      </c>
      <c r="I13" s="71">
        <f>Submetering!T13-Submetering!T13*15%-Submetering!X13</f>
        <v>11612.825199997089</v>
      </c>
      <c r="J13" s="70">
        <v>0.21</v>
      </c>
      <c r="K13" s="71">
        <f>Submetering!N13-Submetering!O13</f>
        <v>129.81299999999737</v>
      </c>
      <c r="L13" s="74">
        <v>7.84</v>
      </c>
      <c r="M13" s="71">
        <v>170</v>
      </c>
      <c r="N13" s="104">
        <f>Submetering!Z13</f>
        <v>248</v>
      </c>
    </row>
    <row r="14" spans="1:15" x14ac:dyDescent="0.25">
      <c r="A14" s="110" t="s">
        <v>80</v>
      </c>
      <c r="B14" s="72">
        <f t="shared" si="0"/>
        <v>13</v>
      </c>
      <c r="C14" s="73">
        <v>2</v>
      </c>
      <c r="D14" s="72">
        <v>2022</v>
      </c>
      <c r="E14" s="71">
        <f>Submetering!E14+Submetering!F14+Submetering!G14+Submetering!H14+Submetering!I14+Submetering!J14+Submetering!K14</f>
        <v>31861</v>
      </c>
      <c r="F14" s="74">
        <v>0.2</v>
      </c>
      <c r="G14" s="71">
        <f>Submetering!P14</f>
        <v>738</v>
      </c>
      <c r="H14" s="74">
        <v>6.47</v>
      </c>
      <c r="I14" s="71">
        <f>Submetering!T14-Submetering!T14*15%-Submetering!X14</f>
        <v>7578.410400002911</v>
      </c>
      <c r="J14" s="70">
        <v>0.21</v>
      </c>
      <c r="K14" s="71">
        <f>Submetering!N14-Submetering!O14</f>
        <v>116.17000000000098</v>
      </c>
      <c r="L14" s="74">
        <v>7.84</v>
      </c>
      <c r="M14" s="71">
        <v>134</v>
      </c>
      <c r="N14" s="104">
        <f>Submetering!Z14</f>
        <v>187</v>
      </c>
    </row>
    <row r="15" spans="1:15" x14ac:dyDescent="0.25">
      <c r="A15" s="110" t="s">
        <v>80</v>
      </c>
      <c r="B15" s="72">
        <f t="shared" si="0"/>
        <v>14</v>
      </c>
      <c r="C15" s="73">
        <v>2</v>
      </c>
      <c r="D15" s="72">
        <v>2022</v>
      </c>
      <c r="E15" s="71">
        <f>Submetering!E15+Submetering!F15+Submetering!G15+Submetering!H15+Submetering!I15+Submetering!J15+Submetering!K15</f>
        <v>32716</v>
      </c>
      <c r="F15" s="74">
        <v>0.2</v>
      </c>
      <c r="G15" s="71">
        <f>Submetering!P15</f>
        <v>703</v>
      </c>
      <c r="H15" s="74">
        <v>6.47</v>
      </c>
      <c r="I15" s="71">
        <f>Submetering!T15-Submetering!T15*15%-Submetering!X15</f>
        <v>8762.604599997092</v>
      </c>
      <c r="J15" s="70">
        <v>0.21</v>
      </c>
      <c r="K15" s="81">
        <f>Submetering!N15-Submetering!O15</f>
        <v>145.32899999999881</v>
      </c>
      <c r="L15" s="74">
        <v>7.84</v>
      </c>
      <c r="M15" s="71">
        <v>144</v>
      </c>
      <c r="N15" s="104">
        <f>Submetering!Z15</f>
        <v>207</v>
      </c>
    </row>
    <row r="16" spans="1:15" x14ac:dyDescent="0.25">
      <c r="A16" s="110" t="s">
        <v>80</v>
      </c>
      <c r="B16" s="72">
        <f t="shared" si="0"/>
        <v>15</v>
      </c>
      <c r="C16" s="73">
        <v>2</v>
      </c>
      <c r="D16" s="72">
        <v>2022</v>
      </c>
      <c r="E16" s="71">
        <f>Submetering!E16+Submetering!F16+Submetering!G16+Submetering!H16+Submetering!I16+Submetering!J16+Submetering!K16</f>
        <v>31129</v>
      </c>
      <c r="F16" s="74">
        <v>0.2</v>
      </c>
      <c r="G16" s="71">
        <f>Submetering!P16</f>
        <v>680</v>
      </c>
      <c r="H16" s="74">
        <v>6.47</v>
      </c>
      <c r="I16" s="71">
        <f>Submetering!T16-Submetering!T16*15%-Submetering!X16</f>
        <v>13317.939599998543</v>
      </c>
      <c r="J16" s="70">
        <v>0.21</v>
      </c>
      <c r="K16" s="71">
        <f>Submetering!N16-Submetering!O16</f>
        <v>100.63200000000143</v>
      </c>
      <c r="L16" s="74">
        <v>7.84</v>
      </c>
      <c r="M16" s="71">
        <v>134</v>
      </c>
      <c r="N16" s="104">
        <f>Submetering!Z16</f>
        <v>190</v>
      </c>
    </row>
    <row r="17" spans="1:14" x14ac:dyDescent="0.25">
      <c r="A17" s="110" t="s">
        <v>80</v>
      </c>
      <c r="B17" s="72">
        <f t="shared" si="0"/>
        <v>16</v>
      </c>
      <c r="C17" s="73">
        <v>2</v>
      </c>
      <c r="D17" s="72">
        <v>2022</v>
      </c>
      <c r="E17" s="71">
        <f>Submetering!E17+Submetering!F17+Submetering!G17+Submetering!H17+Submetering!I17+Submetering!J17+Submetering!K17</f>
        <v>31182</v>
      </c>
      <c r="F17" s="74">
        <v>0.2</v>
      </c>
      <c r="G17" s="71">
        <f>Submetering!P17</f>
        <v>752</v>
      </c>
      <c r="H17" s="74">
        <v>6.47</v>
      </c>
      <c r="I17" s="71">
        <f>Submetering!T17-Submetering!T17*15%-Submetering!X17</f>
        <v>11426.196800002916</v>
      </c>
      <c r="J17" s="70">
        <v>0.21</v>
      </c>
      <c r="K17" s="71">
        <f>Submetering!N17-Submetering!O17</f>
        <v>99.825000000000728</v>
      </c>
      <c r="L17" s="74">
        <v>7.84</v>
      </c>
      <c r="M17" s="71">
        <v>145</v>
      </c>
      <c r="N17" s="104">
        <f>Submetering!Z17</f>
        <v>198</v>
      </c>
    </row>
    <row r="18" spans="1:14" x14ac:dyDescent="0.25">
      <c r="A18" s="110" t="s">
        <v>80</v>
      </c>
      <c r="B18" s="72">
        <f t="shared" si="0"/>
        <v>17</v>
      </c>
      <c r="C18" s="73">
        <v>2</v>
      </c>
      <c r="D18" s="72">
        <v>2022</v>
      </c>
      <c r="E18" s="71">
        <f>Submetering!E18+Submetering!F18+Submetering!G18+Submetering!H18+Submetering!I18+Submetering!J18+Submetering!K18</f>
        <v>31184</v>
      </c>
      <c r="F18" s="74">
        <v>0.2</v>
      </c>
      <c r="G18" s="71">
        <f>Submetering!P18</f>
        <v>746</v>
      </c>
      <c r="H18" s="74">
        <v>6.47</v>
      </c>
      <c r="I18" s="71">
        <f>Submetering!T18-Submetering!T18*15%-Submetering!X18</f>
        <v>9364.2169999970865</v>
      </c>
      <c r="J18" s="70">
        <v>0.21</v>
      </c>
      <c r="K18" s="71">
        <f>Submetering!N18-Submetering!O18</f>
        <v>113.58899999999903</v>
      </c>
      <c r="L18" s="74">
        <v>7.84</v>
      </c>
      <c r="M18" s="71">
        <v>126</v>
      </c>
      <c r="N18" s="104">
        <f>Submetering!Z18</f>
        <v>176</v>
      </c>
    </row>
    <row r="19" spans="1:14" x14ac:dyDescent="0.25">
      <c r="A19" s="110" t="s">
        <v>80</v>
      </c>
      <c r="B19" s="72">
        <f t="shared" si="0"/>
        <v>18</v>
      </c>
      <c r="C19" s="73">
        <v>2</v>
      </c>
      <c r="D19" s="72">
        <v>2022</v>
      </c>
      <c r="E19" s="71">
        <f>Submetering!E19+Submetering!F19+Submetering!G19+Submetering!H19+Submetering!I19+Submetering!J19+Submetering!K19</f>
        <v>31302</v>
      </c>
      <c r="F19" s="74">
        <v>0.2</v>
      </c>
      <c r="G19" s="71">
        <f>Submetering!P19</f>
        <v>744</v>
      </c>
      <c r="H19" s="74">
        <v>6.47</v>
      </c>
      <c r="I19" s="71">
        <f>Submetering!T19-Submetering!T19*15%-Submetering!X19</f>
        <v>10601.538400001453</v>
      </c>
      <c r="J19" s="70">
        <v>0.21</v>
      </c>
      <c r="K19" s="71">
        <f>Submetering!N19-Submetering!O19</f>
        <v>152.43099999999777</v>
      </c>
      <c r="L19" s="74">
        <v>7.84</v>
      </c>
      <c r="M19" s="71">
        <v>136</v>
      </c>
      <c r="N19" s="104">
        <f>Submetering!Z19</f>
        <v>204</v>
      </c>
    </row>
    <row r="20" spans="1:14" x14ac:dyDescent="0.25">
      <c r="A20" s="110" t="s">
        <v>80</v>
      </c>
      <c r="B20" s="72">
        <f t="shared" si="0"/>
        <v>19</v>
      </c>
      <c r="C20" s="73">
        <v>2</v>
      </c>
      <c r="D20" s="72">
        <v>2022</v>
      </c>
      <c r="E20" s="71">
        <f>Submetering!E20+Submetering!F20+Submetering!G20+Submetering!H20+Submetering!I20+Submetering!J20+Submetering!K20</f>
        <v>31766</v>
      </c>
      <c r="F20" s="74">
        <v>0.2</v>
      </c>
      <c r="G20" s="71">
        <f>Submetering!P20</f>
        <v>774</v>
      </c>
      <c r="H20" s="74">
        <v>6.47</v>
      </c>
      <c r="I20" s="71">
        <f>Submetering!T20-Submetering!T20*15%-Submetering!X20</f>
        <v>10719.079600002915</v>
      </c>
      <c r="J20" s="70">
        <v>0.21</v>
      </c>
      <c r="K20" s="71">
        <f>Submetering!N20-Submetering!O20</f>
        <v>90.646000000002459</v>
      </c>
      <c r="L20" s="74">
        <v>7.84</v>
      </c>
      <c r="M20" s="71">
        <v>161</v>
      </c>
      <c r="N20" s="104">
        <f>Submetering!Z20</f>
        <v>230</v>
      </c>
    </row>
    <row r="21" spans="1:14" x14ac:dyDescent="0.25">
      <c r="A21" s="110" t="s">
        <v>80</v>
      </c>
      <c r="B21" s="72">
        <f t="shared" si="0"/>
        <v>20</v>
      </c>
      <c r="C21" s="73">
        <v>2</v>
      </c>
      <c r="D21" s="72">
        <v>2022</v>
      </c>
      <c r="E21" s="71">
        <f>Submetering!E21+Submetering!F21+Submetering!G21+Submetering!H21+Submetering!I21+Submetering!J21+Submetering!K21</f>
        <v>29372</v>
      </c>
      <c r="F21" s="74">
        <v>0.2</v>
      </c>
      <c r="G21" s="71">
        <f>Submetering!P21</f>
        <v>773</v>
      </c>
      <c r="H21" s="74">
        <v>6.47</v>
      </c>
      <c r="I21" s="71">
        <f>Submetering!T21-Submetering!T21*15%-Submetering!X21</f>
        <v>15062.850599997088</v>
      </c>
      <c r="J21" s="70">
        <v>0.21</v>
      </c>
      <c r="K21" s="71">
        <f>Submetering!N21-Submetering!O21</f>
        <v>153.03200000000106</v>
      </c>
      <c r="L21" s="74">
        <v>7.84</v>
      </c>
      <c r="M21" s="71">
        <v>161</v>
      </c>
      <c r="N21" s="104">
        <f>Submetering!Z21</f>
        <v>214</v>
      </c>
    </row>
    <row r="22" spans="1:14" x14ac:dyDescent="0.25">
      <c r="A22" s="110" t="s">
        <v>80</v>
      </c>
      <c r="B22" s="72">
        <f t="shared" si="0"/>
        <v>21</v>
      </c>
      <c r="C22" s="73">
        <v>2</v>
      </c>
      <c r="D22" s="72">
        <v>2022</v>
      </c>
      <c r="E22" s="71">
        <f>Submetering!E22+Submetering!F22+Submetering!G22+Submetering!H22+Submetering!I22+Submetering!J22+Submetering!K22</f>
        <v>31056</v>
      </c>
      <c r="F22" s="74">
        <v>0.2</v>
      </c>
      <c r="G22" s="71">
        <f>Submetering!P22</f>
        <v>807</v>
      </c>
      <c r="H22" s="74">
        <v>6.47</v>
      </c>
      <c r="I22" s="71">
        <f>Submetering!T22-Submetering!T22*15%-Submetering!X22</f>
        <v>12163.241000000002</v>
      </c>
      <c r="J22" s="70">
        <v>0.21</v>
      </c>
      <c r="K22" s="71">
        <f>Submetering!N22-Submetering!O22</f>
        <v>135.77499999999964</v>
      </c>
      <c r="L22" s="74">
        <v>7.84</v>
      </c>
      <c r="M22" s="71">
        <v>154</v>
      </c>
      <c r="N22" s="104">
        <f>Submetering!Z22</f>
        <v>195</v>
      </c>
    </row>
    <row r="23" spans="1:14" x14ac:dyDescent="0.25">
      <c r="A23" s="110" t="s">
        <v>80</v>
      </c>
      <c r="B23" s="72">
        <f t="shared" si="0"/>
        <v>22</v>
      </c>
      <c r="C23" s="73">
        <v>2</v>
      </c>
      <c r="D23" s="72">
        <v>2022</v>
      </c>
      <c r="E23" s="71">
        <f>Submetering!E23+Submetering!F23+Submetering!G23+Submetering!H23+Submetering!I23+Submetering!J23+Submetering!K23</f>
        <v>33037</v>
      </c>
      <c r="F23" s="74">
        <v>0.2</v>
      </c>
      <c r="G23" s="71">
        <f>Submetering!P23</f>
        <v>773</v>
      </c>
      <c r="H23" s="74">
        <v>6.47</v>
      </c>
      <c r="I23" s="71">
        <f>Submetering!T23-Submetering!T23*15%-Submetering!X23</f>
        <v>7940.0720000000001</v>
      </c>
      <c r="J23" s="70">
        <v>0.21</v>
      </c>
      <c r="K23" s="71">
        <f>Submetering!N23-Submetering!O23</f>
        <v>127.68599999999969</v>
      </c>
      <c r="L23" s="74">
        <v>7.84</v>
      </c>
      <c r="M23" s="71">
        <v>185</v>
      </c>
      <c r="N23" s="104">
        <f>Submetering!Z23</f>
        <v>236</v>
      </c>
    </row>
    <row r="24" spans="1:14" x14ac:dyDescent="0.25">
      <c r="A24" s="110" t="s">
        <v>80</v>
      </c>
      <c r="B24" s="72">
        <f t="shared" si="0"/>
        <v>23</v>
      </c>
      <c r="C24" s="73">
        <v>2</v>
      </c>
      <c r="D24" s="72">
        <v>2022</v>
      </c>
      <c r="E24" s="71">
        <f>Submetering!E24+Submetering!F24+Submetering!G24+Submetering!H24+Submetering!I24+Submetering!J24+Submetering!K24</f>
        <v>31599</v>
      </c>
      <c r="F24" s="74">
        <v>0.2</v>
      </c>
      <c r="G24" s="71">
        <f>Submetering!P24</f>
        <v>829</v>
      </c>
      <c r="H24" s="74">
        <v>6.47</v>
      </c>
      <c r="I24" s="71">
        <f>Submetering!T24-Submetering!T24*15%-Submetering!X24</f>
        <v>10368.900000000001</v>
      </c>
      <c r="J24" s="70">
        <v>0.21</v>
      </c>
      <c r="K24" s="71">
        <f>Submetering!N24-Submetering!O24</f>
        <v>141.30099999999948</v>
      </c>
      <c r="L24" s="74">
        <v>7.84</v>
      </c>
      <c r="M24" s="71">
        <v>184</v>
      </c>
      <c r="N24" s="104">
        <f>Submetering!Z24</f>
        <v>238</v>
      </c>
    </row>
    <row r="25" spans="1:14" x14ac:dyDescent="0.25">
      <c r="A25" s="110" t="s">
        <v>80</v>
      </c>
      <c r="B25" s="72">
        <f t="shared" si="0"/>
        <v>24</v>
      </c>
      <c r="C25" s="73">
        <v>2</v>
      </c>
      <c r="D25" s="72">
        <v>2022</v>
      </c>
      <c r="E25" s="71">
        <f>Submetering!E25+Submetering!F25+Submetering!G25+Submetering!H25+Submetering!I25+Submetering!J25+Submetering!K25</f>
        <v>31796</v>
      </c>
      <c r="F25" s="74">
        <v>0.2</v>
      </c>
      <c r="G25" s="71">
        <f>Submetering!P25</f>
        <v>862</v>
      </c>
      <c r="H25" s="74">
        <v>6.47</v>
      </c>
      <c r="I25" s="71">
        <f>Submetering!T25-Submetering!T25*15%-Submetering!X25</f>
        <v>11074.723000002909</v>
      </c>
      <c r="J25" s="70">
        <v>0.21</v>
      </c>
      <c r="K25" s="71">
        <f>Submetering!N25-Submetering!O25</f>
        <v>140.82300000000032</v>
      </c>
      <c r="L25" s="74">
        <v>7.84</v>
      </c>
      <c r="M25" s="71">
        <v>183</v>
      </c>
      <c r="N25" s="104">
        <f>Submetering!Z25</f>
        <v>242</v>
      </c>
    </row>
    <row r="26" spans="1:14" x14ac:dyDescent="0.25">
      <c r="A26" s="110" t="s">
        <v>80</v>
      </c>
      <c r="B26" s="72">
        <f>B25+1</f>
        <v>25</v>
      </c>
      <c r="C26" s="73">
        <v>2</v>
      </c>
      <c r="D26" s="72">
        <v>2022</v>
      </c>
      <c r="E26" s="71">
        <f>Submetering!E26+Submetering!F26+Submetering!G26+Submetering!H26+Submetering!I26+Submetering!J26+Submetering!K26</f>
        <v>31490</v>
      </c>
      <c r="F26" s="74">
        <v>0.2</v>
      </c>
      <c r="G26" s="71">
        <f>Submetering!P26</f>
        <v>853</v>
      </c>
      <c r="H26" s="74">
        <v>6.47</v>
      </c>
      <c r="I26" s="71">
        <f>Submetering!T26-Submetering!T26*15%-Submetering!X26</f>
        <v>13017.312999995636</v>
      </c>
      <c r="J26" s="70">
        <v>0.21</v>
      </c>
      <c r="K26" s="71">
        <f>Submetering!N26-Submetering!O26</f>
        <v>148.89199999999892</v>
      </c>
      <c r="L26" s="74">
        <v>7.84</v>
      </c>
      <c r="M26" s="71">
        <v>188</v>
      </c>
      <c r="N26" s="104">
        <f>Submetering!Z26</f>
        <v>268</v>
      </c>
    </row>
    <row r="27" spans="1:14" x14ac:dyDescent="0.25">
      <c r="A27" s="110" t="s">
        <v>80</v>
      </c>
      <c r="B27" s="72">
        <f t="shared" si="0"/>
        <v>26</v>
      </c>
      <c r="C27" s="73">
        <v>2</v>
      </c>
      <c r="D27" s="72">
        <v>2022</v>
      </c>
      <c r="E27" s="71">
        <f>Submetering!E27+Submetering!F27+Submetering!G27+Submetering!H27+Submetering!I27+Submetering!J27+Submetering!K27</f>
        <v>30607</v>
      </c>
      <c r="F27" s="74">
        <v>0.2</v>
      </c>
      <c r="G27" s="71">
        <f>Submetering!P27</f>
        <v>913</v>
      </c>
      <c r="H27" s="74">
        <v>6.47</v>
      </c>
      <c r="I27" s="71">
        <f>Submetering!T27-Submetering!T27*15%-Submetering!X27</f>
        <v>14138.982799999998</v>
      </c>
      <c r="J27" s="70">
        <v>0.21</v>
      </c>
      <c r="K27" s="71">
        <f>Submetering!N27-Submetering!O27</f>
        <v>146.75900000000183</v>
      </c>
      <c r="L27" s="74">
        <v>7.84</v>
      </c>
      <c r="M27" s="71">
        <v>148</v>
      </c>
      <c r="N27" s="104">
        <f>Submetering!Z27</f>
        <v>237</v>
      </c>
    </row>
    <row r="28" spans="1:14" x14ac:dyDescent="0.25">
      <c r="A28" s="110" t="s">
        <v>80</v>
      </c>
      <c r="B28" s="72">
        <f t="shared" si="0"/>
        <v>27</v>
      </c>
      <c r="C28" s="73">
        <v>2</v>
      </c>
      <c r="D28" s="72">
        <v>2022</v>
      </c>
      <c r="E28" s="71">
        <f>Submetering!E28+Submetering!F28+Submetering!G28+Submetering!H28+Submetering!I28+Submetering!J28+Submetering!K28</f>
        <v>30269</v>
      </c>
      <c r="F28" s="74">
        <v>0.2</v>
      </c>
      <c r="G28" s="71">
        <f>Submetering!P28</f>
        <v>758</v>
      </c>
      <c r="H28" s="74">
        <v>6.47</v>
      </c>
      <c r="I28" s="71">
        <f>Submetering!T28-Submetering!T28*15%-Submetering!X28</f>
        <v>14786.564200002911</v>
      </c>
      <c r="J28" s="70">
        <v>0.21</v>
      </c>
      <c r="K28" s="71">
        <f>Submetering!N28-Submetering!O28</f>
        <v>122.67199999999957</v>
      </c>
      <c r="L28" s="74">
        <v>7.84</v>
      </c>
      <c r="M28" s="71">
        <v>140</v>
      </c>
      <c r="N28" s="104">
        <f>Submetering!Z28</f>
        <v>218</v>
      </c>
    </row>
    <row r="29" spans="1:14" x14ac:dyDescent="0.25">
      <c r="A29" s="110" t="s">
        <v>80</v>
      </c>
      <c r="B29" s="72">
        <f t="shared" si="0"/>
        <v>28</v>
      </c>
      <c r="C29" s="73">
        <v>2</v>
      </c>
      <c r="D29" s="72">
        <v>2022</v>
      </c>
      <c r="E29" s="71">
        <f>Submetering!E29+Submetering!F29+Submetering!G29+Submetering!H29+Submetering!I29+Submetering!J29+Submetering!K29</f>
        <v>31820</v>
      </c>
      <c r="F29" s="74">
        <v>0.2</v>
      </c>
      <c r="G29" s="71">
        <f>Submetering!P29</f>
        <v>786</v>
      </c>
      <c r="H29" s="74">
        <v>6.47</v>
      </c>
      <c r="I29" s="71">
        <f>Submetering!T29-Submetering!T29*15%-Submetering!X29</f>
        <v>16420.937999998547</v>
      </c>
      <c r="J29" s="70">
        <v>0.21</v>
      </c>
      <c r="K29" s="71">
        <f>Submetering!N29-Submetering!O29</f>
        <v>135.6050000000032</v>
      </c>
      <c r="L29" s="74">
        <v>7.84</v>
      </c>
      <c r="M29" s="71">
        <v>177</v>
      </c>
      <c r="N29" s="104">
        <f>Submetering!Z29</f>
        <v>251</v>
      </c>
    </row>
    <row r="30" spans="1:14" x14ac:dyDescent="0.25">
      <c r="A30" s="110" t="s">
        <v>80</v>
      </c>
      <c r="B30" s="72">
        <f t="shared" si="0"/>
        <v>29</v>
      </c>
      <c r="C30" s="73">
        <v>2</v>
      </c>
      <c r="D30" s="72">
        <v>2022</v>
      </c>
      <c r="E30" s="71">
        <f>Submetering!E30+Submetering!F30+Submetering!G30+Submetering!H30+Submetering!I30+Submetering!J30+Submetering!K30</f>
        <v>0</v>
      </c>
      <c r="F30" s="74">
        <v>0.2</v>
      </c>
      <c r="G30" s="71" t="str">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x14ac:dyDescent="0.25">
      <c r="A31" s="110" t="s">
        <v>80</v>
      </c>
      <c r="B31" s="72">
        <f t="shared" si="0"/>
        <v>30</v>
      </c>
      <c r="C31" s="73">
        <v>2</v>
      </c>
      <c r="D31" s="72">
        <v>2022</v>
      </c>
      <c r="E31" s="71">
        <f>Submetering!E31+Submetering!F31+Submetering!G31+Submetering!H31+Submetering!I31+Submetering!J31+Submetering!K31</f>
        <v>0</v>
      </c>
      <c r="F31" s="74">
        <v>0.2</v>
      </c>
      <c r="G31" s="71">
        <f>Submetering!P31</f>
        <v>0</v>
      </c>
      <c r="H31" s="74">
        <v>6.47</v>
      </c>
      <c r="I31" s="71">
        <f>Submetering!T31-Submetering!T31*15%-Submetering!X31</f>
        <v>0</v>
      </c>
      <c r="J31" s="70">
        <v>0.21</v>
      </c>
      <c r="K31" s="71">
        <f>Submetering!N31-Submetering!O31</f>
        <v>0</v>
      </c>
      <c r="L31" s="74">
        <v>7.84</v>
      </c>
      <c r="M31" s="71">
        <f>Submetering!Y31</f>
        <v>0</v>
      </c>
      <c r="N31" s="104">
        <f>Submetering!Z31</f>
        <v>0</v>
      </c>
    </row>
    <row r="32" spans="1:14" x14ac:dyDescent="0.25">
      <c r="A32" s="110" t="s">
        <v>80</v>
      </c>
      <c r="B32" s="72">
        <f t="shared" si="0"/>
        <v>31</v>
      </c>
      <c r="C32" s="73">
        <v>2</v>
      </c>
      <c r="D32" s="72">
        <v>2022</v>
      </c>
      <c r="E32" s="71">
        <f>Submetering!E32+Submetering!F32+Submetering!G32+Submetering!H32+Submetering!I32+Submetering!J32+Submetering!K32</f>
        <v>0</v>
      </c>
      <c r="F32" s="74">
        <v>0.2</v>
      </c>
      <c r="G32" s="71">
        <f>Submetering!P32</f>
        <v>0</v>
      </c>
      <c r="H32" s="74">
        <v>6.47</v>
      </c>
      <c r="I32" s="71">
        <f>Submetering!T32-Submetering!T32*15%-Submetering!X32</f>
        <v>0</v>
      </c>
      <c r="J32" s="70">
        <v>0.21</v>
      </c>
      <c r="K32" s="71">
        <f>Submetering!N32-Submetering!O32</f>
        <v>0</v>
      </c>
      <c r="L32" s="74">
        <v>7.84</v>
      </c>
      <c r="M32" s="71">
        <f>Submetering!Y32</f>
        <v>0</v>
      </c>
      <c r="N32" s="104">
        <f>Submetering!Z32</f>
        <v>0</v>
      </c>
    </row>
    <row r="33" spans="5:14" x14ac:dyDescent="0.25">
      <c r="E33" s="4">
        <f>SUM(E2:E32)</f>
        <v>883138</v>
      </c>
      <c r="G33" s="4">
        <f>SUM(G2:G32)</f>
        <v>21713</v>
      </c>
      <c r="I33" s="4">
        <f>SUM(I2:I32)</f>
        <v>314273.30880000006</v>
      </c>
      <c r="K33" s="4">
        <f>SUM(K2:K32)</f>
        <v>3675.4020000000064</v>
      </c>
      <c r="M33" s="4">
        <f>SUM(M2:M32)</f>
        <v>4545</v>
      </c>
      <c r="N33" s="4">
        <f>SUM(N2:N32)</f>
        <v>6191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G2" activePane="bottomRight" state="frozen"/>
      <selection pane="topRight" activeCell="C1" sqref="C1"/>
      <selection pane="bottomLeft" activeCell="A2" sqref="A2"/>
      <selection pane="bottomRight" activeCell="Y2" sqref="Y2:Y29"/>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2</v>
      </c>
      <c r="D2" s="99">
        <v>2022</v>
      </c>
      <c r="E2" s="101">
        <f>'FS-AD Daily '!B6</f>
        <v>5883</v>
      </c>
      <c r="F2" s="101">
        <f>'FS-AD Daily '!C6</f>
        <v>4743</v>
      </c>
      <c r="G2" s="101">
        <f>'FS-AD Daily '!D6</f>
        <v>885</v>
      </c>
      <c r="H2" s="101">
        <f>'FS-AD Daily '!E6</f>
        <v>6858</v>
      </c>
      <c r="I2" s="101">
        <f>'FS-AD Daily '!F6</f>
        <v>5841</v>
      </c>
      <c r="J2" s="101">
        <f>'FS-AD Daily '!G6</f>
        <v>3289</v>
      </c>
      <c r="K2" s="101">
        <f>'FS-AD Daily '!H6</f>
        <v>3773</v>
      </c>
      <c r="L2" s="101">
        <f>'FS-AD Daily '!I6</f>
        <v>2357</v>
      </c>
      <c r="M2" s="101">
        <f>'FS-AD Daily '!J6</f>
        <v>6650</v>
      </c>
      <c r="N2" s="101">
        <f>'FS-AD Daily '!T6</f>
        <v>167.03100000000268</v>
      </c>
      <c r="O2" s="101">
        <f>'FS-AD Daily '!R6</f>
        <v>79.820999999999003</v>
      </c>
      <c r="P2" s="101">
        <f>'FS-AD Daily '!Z6</f>
        <v>702</v>
      </c>
      <c r="Q2" s="101">
        <f>'FS-AD Daily '!V6</f>
        <v>164.79999999998836</v>
      </c>
      <c r="R2" s="101">
        <f>'FS-AD Daily '!W6</f>
        <v>177.39999999999418</v>
      </c>
      <c r="S2" s="101">
        <f>P2-Q2-R2</f>
        <v>359.80000000001746</v>
      </c>
      <c r="T2" s="101">
        <f>'FS-AD Daily '!AD6*3.516</f>
        <v>42810.815999999999</v>
      </c>
      <c r="U2" s="101">
        <f>('FS-AD Daily '!AF6)*1000</f>
        <v>21899.999999994179</v>
      </c>
      <c r="V2" s="101">
        <f>('FS-AD Daily '!AG6)*1000</f>
        <v>0</v>
      </c>
      <c r="W2" s="101">
        <f>'FS-AD Daily '!AH6*1000</f>
        <v>7100.0000000021828</v>
      </c>
      <c r="X2" s="101">
        <f>('FS-AD Daily '!AK6)*1000</f>
        <v>25699.99999999709</v>
      </c>
      <c r="Y2" s="101">
        <v>128</v>
      </c>
      <c r="Z2" s="102">
        <v>169</v>
      </c>
    </row>
    <row r="3" spans="1:26" x14ac:dyDescent="0.25">
      <c r="A3" s="103" t="s">
        <v>80</v>
      </c>
      <c r="B3" s="69">
        <f>B2+1</f>
        <v>2</v>
      </c>
      <c r="C3" s="70">
        <v>2</v>
      </c>
      <c r="D3" s="69">
        <v>2022</v>
      </c>
      <c r="E3" s="71">
        <f>'FS-AD Daily '!B7</f>
        <v>6176</v>
      </c>
      <c r="F3" s="71">
        <f>'FS-AD Daily '!C7</f>
        <v>4634</v>
      </c>
      <c r="G3" s="71">
        <f>'FS-AD Daily '!D7</f>
        <v>842</v>
      </c>
      <c r="H3" s="71">
        <f>'FS-AD Daily '!E7</f>
        <v>6808</v>
      </c>
      <c r="I3" s="71">
        <f>'FS-AD Daily '!F7</f>
        <v>5761</v>
      </c>
      <c r="J3" s="71">
        <f>'FS-AD Daily '!G7</f>
        <v>3431</v>
      </c>
      <c r="K3" s="71">
        <f>'FS-AD Daily '!H7</f>
        <v>3758</v>
      </c>
      <c r="L3" s="71">
        <f>'FS-AD Daily '!I7</f>
        <v>2282</v>
      </c>
      <c r="M3" s="71">
        <f>'FS-AD Daily '!J7</f>
        <v>6951</v>
      </c>
      <c r="N3" s="71">
        <f>'FS-AD Daily '!T7</f>
        <v>211.27100000000064</v>
      </c>
      <c r="O3" s="71">
        <f>'FS-AD Daily '!R7</f>
        <v>77.613000000000284</v>
      </c>
      <c r="P3" s="71">
        <f>'FS-AD Daily '!Z7</f>
        <v>728</v>
      </c>
      <c r="Q3" s="71">
        <f>'FS-AD Daily '!V7</f>
        <v>185</v>
      </c>
      <c r="R3" s="71">
        <f>'FS-AD Daily '!W7</f>
        <v>158.98000000001048</v>
      </c>
      <c r="S3" s="71">
        <f t="shared" ref="S3:S30" si="0">P3-Q3-R3</f>
        <v>384.01999999998952</v>
      </c>
      <c r="T3" s="71">
        <f>'FS-AD Daily '!AD7*3.516</f>
        <v>39969.887999999999</v>
      </c>
      <c r="U3" s="71">
        <f>('FS-AD Daily '!AF7)*1000</f>
        <v>19600.000000005821</v>
      </c>
      <c r="V3" s="71">
        <f>('FS-AD Daily '!AG7)*1000</f>
        <v>0</v>
      </c>
      <c r="W3" s="71">
        <f>'FS-AD Daily '!AH7*1000</f>
        <v>7000</v>
      </c>
      <c r="X3" s="71">
        <f>('FS-AD Daily '!AK7)*1000</f>
        <v>23800.00000000291</v>
      </c>
      <c r="Y3" s="71">
        <v>140</v>
      </c>
      <c r="Z3" s="104">
        <v>186</v>
      </c>
    </row>
    <row r="4" spans="1:26" x14ac:dyDescent="0.25">
      <c r="A4" s="103" t="s">
        <v>80</v>
      </c>
      <c r="B4" s="69">
        <f t="shared" ref="B4:B32" si="1">B3+1</f>
        <v>3</v>
      </c>
      <c r="C4" s="70">
        <v>2</v>
      </c>
      <c r="D4" s="69">
        <v>2022</v>
      </c>
      <c r="E4" s="71">
        <f>'FS-AD Daily '!B8</f>
        <v>6861</v>
      </c>
      <c r="F4" s="71">
        <f>'FS-AD Daily '!C8</f>
        <v>4996</v>
      </c>
      <c r="G4" s="71">
        <f>'FS-AD Daily '!D8</f>
        <v>882</v>
      </c>
      <c r="H4" s="71">
        <f>'FS-AD Daily '!E8</f>
        <v>6901</v>
      </c>
      <c r="I4" s="71">
        <f>'FS-AD Daily '!F8</f>
        <v>5955</v>
      </c>
      <c r="J4" s="71">
        <f>'FS-AD Daily '!G8</f>
        <v>3444</v>
      </c>
      <c r="K4" s="71">
        <f>'FS-AD Daily '!H8</f>
        <v>3833</v>
      </c>
      <c r="L4" s="71">
        <f>'FS-AD Daily '!I8</f>
        <v>2378</v>
      </c>
      <c r="M4" s="71">
        <f>'FS-AD Daily '!J8</f>
        <v>6874</v>
      </c>
      <c r="N4" s="71">
        <f>'FS-AD Daily '!T8</f>
        <v>223.41499999999724</v>
      </c>
      <c r="O4" s="71">
        <f>'FS-AD Daily '!R8</f>
        <v>72.1899999999996</v>
      </c>
      <c r="P4" s="71">
        <f>'FS-AD Daily '!Z8</f>
        <v>795</v>
      </c>
      <c r="Q4" s="71">
        <f>'FS-AD Daily '!V8</f>
        <v>219.40000000002328</v>
      </c>
      <c r="R4" s="71">
        <f>'FS-AD Daily '!W8</f>
        <v>173.44000000000233</v>
      </c>
      <c r="S4" s="71">
        <f t="shared" si="0"/>
        <v>402.15999999997439</v>
      </c>
      <c r="T4" s="71">
        <f>'FS-AD Daily '!AD8*3.516</f>
        <v>41559.120000000003</v>
      </c>
      <c r="U4" s="71">
        <f>('FS-AD Daily '!AF8)*1000</f>
        <v>20800.00000000291</v>
      </c>
      <c r="V4" s="71">
        <f>('FS-AD Daily '!AG8)*1000</f>
        <v>0</v>
      </c>
      <c r="W4" s="71">
        <f>'FS-AD Daily '!AH8*1000</f>
        <v>7000</v>
      </c>
      <c r="X4" s="71">
        <f>('FS-AD Daily '!AK8)*1000</f>
        <v>22599.999999998545</v>
      </c>
      <c r="Y4" s="71">
        <v>184</v>
      </c>
      <c r="Z4" s="104">
        <v>231</v>
      </c>
    </row>
    <row r="5" spans="1:26" x14ac:dyDescent="0.25">
      <c r="A5" s="103" t="s">
        <v>80</v>
      </c>
      <c r="B5" s="69">
        <f t="shared" si="1"/>
        <v>4</v>
      </c>
      <c r="C5" s="70">
        <v>2</v>
      </c>
      <c r="D5" s="69">
        <v>2022</v>
      </c>
      <c r="E5" s="71">
        <f>'FS-AD Daily '!B9</f>
        <v>6041</v>
      </c>
      <c r="F5" s="71">
        <f>'FS-AD Daily '!C9</f>
        <v>4928</v>
      </c>
      <c r="G5" s="71">
        <f>'FS-AD Daily '!D9</f>
        <v>964</v>
      </c>
      <c r="H5" s="71">
        <f>'FS-AD Daily '!E9</f>
        <v>6840</v>
      </c>
      <c r="I5" s="71">
        <f>'FS-AD Daily '!F9</f>
        <v>5644</v>
      </c>
      <c r="J5" s="71">
        <f>'FS-AD Daily '!G9</f>
        <v>3175</v>
      </c>
      <c r="K5" s="71">
        <f>'FS-AD Daily '!H9</f>
        <v>3691</v>
      </c>
      <c r="L5" s="71">
        <f>'FS-AD Daily '!I9</f>
        <v>2239</v>
      </c>
      <c r="M5" s="71">
        <f>'FS-AD Daily '!J9</f>
        <v>7151</v>
      </c>
      <c r="N5" s="71">
        <f>'FS-AD Daily '!T9</f>
        <v>203.68500000000131</v>
      </c>
      <c r="O5" s="71">
        <f>'FS-AD Daily '!R9</f>
        <v>77.927000000000589</v>
      </c>
      <c r="P5" s="71">
        <f>'FS-AD Daily '!Z9</f>
        <v>771</v>
      </c>
      <c r="Q5" s="71">
        <f>'FS-AD Daily '!V9</f>
        <v>218.5</v>
      </c>
      <c r="R5" s="71">
        <f>'FS-AD Daily '!W9</f>
        <v>178.79999999998836</v>
      </c>
      <c r="S5" s="71">
        <f t="shared" si="0"/>
        <v>373.70000000001164</v>
      </c>
      <c r="T5" s="71">
        <f>'FS-AD Daily '!AD9*3.516</f>
        <v>43668.72</v>
      </c>
      <c r="U5" s="71">
        <f>('FS-AD Daily '!AF9)*1000</f>
        <v>22000</v>
      </c>
      <c r="V5" s="71">
        <f>('FS-AD Daily '!AG9)*1000</f>
        <v>0</v>
      </c>
      <c r="W5" s="71">
        <f>'FS-AD Daily '!AH9*1000</f>
        <v>7000</v>
      </c>
      <c r="X5" s="71">
        <f>('FS-AD Daily '!AK9)*1000</f>
        <v>24000</v>
      </c>
      <c r="Y5" s="71">
        <v>168</v>
      </c>
      <c r="Z5" s="104">
        <v>211</v>
      </c>
    </row>
    <row r="6" spans="1:26" x14ac:dyDescent="0.25">
      <c r="A6" s="103" t="s">
        <v>80</v>
      </c>
      <c r="B6" s="69">
        <f t="shared" si="1"/>
        <v>5</v>
      </c>
      <c r="C6" s="70">
        <v>2</v>
      </c>
      <c r="D6" s="69">
        <v>2022</v>
      </c>
      <c r="E6" s="71">
        <f>'FS-AD Daily '!B10</f>
        <v>6385</v>
      </c>
      <c r="F6" s="71">
        <f>'FS-AD Daily '!C10</f>
        <v>4530</v>
      </c>
      <c r="G6" s="71">
        <f>'FS-AD Daily '!D10</f>
        <v>1006</v>
      </c>
      <c r="H6" s="71">
        <f>'FS-AD Daily '!E10</f>
        <v>6870</v>
      </c>
      <c r="I6" s="71">
        <f>'FS-AD Daily '!F10</f>
        <v>5847</v>
      </c>
      <c r="J6" s="71">
        <f>'FS-AD Daily '!G10</f>
        <v>3075</v>
      </c>
      <c r="K6" s="71">
        <f>'FS-AD Daily '!H10</f>
        <v>3740</v>
      </c>
      <c r="L6" s="71">
        <f>'FS-AD Daily '!I10</f>
        <v>2178</v>
      </c>
      <c r="M6" s="71">
        <f>'FS-AD Daily '!J10</f>
        <v>7304</v>
      </c>
      <c r="N6" s="71">
        <f>'FS-AD Daily '!T10</f>
        <v>202.75399999999718</v>
      </c>
      <c r="O6" s="71">
        <f>'FS-AD Daily '!R10</f>
        <v>82.062999999999192</v>
      </c>
      <c r="P6" s="71">
        <f>'FS-AD Daily '!Z10</f>
        <v>798</v>
      </c>
      <c r="Q6" s="71">
        <f>'FS-AD Daily '!V10</f>
        <v>239.5</v>
      </c>
      <c r="R6" s="71">
        <f>'FS-AD Daily '!W10</f>
        <v>177.72000000000116</v>
      </c>
      <c r="S6" s="71">
        <f t="shared" si="0"/>
        <v>380.77999999999884</v>
      </c>
      <c r="T6" s="71">
        <f>'FS-AD Daily '!AD10*3.516</f>
        <v>42603.372000000003</v>
      </c>
      <c r="U6" s="71">
        <f>('FS-AD Daily '!AF10)*1000</f>
        <v>21699.99999999709</v>
      </c>
      <c r="V6" s="71">
        <f>('FS-AD Daily '!AG10)*1000</f>
        <v>0</v>
      </c>
      <c r="W6" s="71">
        <f>'FS-AD Daily '!AH10*1000</f>
        <v>7099.9999999985448</v>
      </c>
      <c r="X6" s="71">
        <f>('FS-AD Daily '!AK10)*1000</f>
        <v>23900.000000001455</v>
      </c>
      <c r="Y6" s="71">
        <v>172</v>
      </c>
      <c r="Z6" s="104">
        <v>223</v>
      </c>
    </row>
    <row r="7" spans="1:26" x14ac:dyDescent="0.25">
      <c r="A7" s="103" t="s">
        <v>80</v>
      </c>
      <c r="B7" s="69">
        <f t="shared" si="1"/>
        <v>6</v>
      </c>
      <c r="C7" s="70">
        <v>2</v>
      </c>
      <c r="D7" s="69">
        <v>2022</v>
      </c>
      <c r="E7" s="71">
        <f>'FS-AD Daily '!B11</f>
        <v>8019</v>
      </c>
      <c r="F7" s="71">
        <f>'FS-AD Daily '!C11</f>
        <v>4493</v>
      </c>
      <c r="G7" s="71">
        <f>'FS-AD Daily '!D11</f>
        <v>970</v>
      </c>
      <c r="H7" s="71">
        <f>'FS-AD Daily '!E11</f>
        <v>6596</v>
      </c>
      <c r="I7" s="71">
        <f>'FS-AD Daily '!F11</f>
        <v>5665</v>
      </c>
      <c r="J7" s="71">
        <f>'FS-AD Daily '!G11</f>
        <v>2947</v>
      </c>
      <c r="K7" s="71">
        <f>'FS-AD Daily '!H11</f>
        <v>3677</v>
      </c>
      <c r="L7" s="71">
        <f>'FS-AD Daily '!I11</f>
        <v>2316</v>
      </c>
      <c r="M7" s="71">
        <f>'FS-AD Daily '!J11</f>
        <v>7202</v>
      </c>
      <c r="N7" s="71">
        <f>'FS-AD Daily '!T11</f>
        <v>215.29000000000269</v>
      </c>
      <c r="O7" s="71">
        <f>'FS-AD Daily '!R11</f>
        <v>70.477999999999156</v>
      </c>
      <c r="P7" s="71">
        <f>'FS-AD Daily '!Z11</f>
        <v>774</v>
      </c>
      <c r="Q7" s="71">
        <f>'FS-AD Daily '!V11</f>
        <v>221.5</v>
      </c>
      <c r="R7" s="71">
        <f>'FS-AD Daily '!W11</f>
        <v>165.58999999999651</v>
      </c>
      <c r="S7" s="71">
        <f t="shared" si="0"/>
        <v>386.91000000000349</v>
      </c>
      <c r="T7" s="71">
        <f>'FS-AD Daily '!AD11*3.516</f>
        <v>39052.212</v>
      </c>
      <c r="U7" s="71">
        <f>('FS-AD Daily '!AF11)*1000</f>
        <v>20000</v>
      </c>
      <c r="V7" s="71">
        <f>('FS-AD Daily '!AG11)*1000</f>
        <v>0</v>
      </c>
      <c r="W7" s="71">
        <f>'FS-AD Daily '!AH11*1000</f>
        <v>6000</v>
      </c>
      <c r="X7" s="71">
        <f>('FS-AD Daily '!AK11)*1000</f>
        <v>22800.00000000291</v>
      </c>
      <c r="Y7" s="71">
        <v>183</v>
      </c>
      <c r="Z7" s="104">
        <v>239</v>
      </c>
    </row>
    <row r="8" spans="1:26" x14ac:dyDescent="0.25">
      <c r="A8" s="103" t="s">
        <v>80</v>
      </c>
      <c r="B8" s="69">
        <f t="shared" si="1"/>
        <v>7</v>
      </c>
      <c r="C8" s="70">
        <v>2</v>
      </c>
      <c r="D8" s="69">
        <v>2022</v>
      </c>
      <c r="E8" s="71">
        <f>'FS-AD Daily '!B12</f>
        <v>8334</v>
      </c>
      <c r="F8" s="71">
        <f>'FS-AD Daily '!C12</f>
        <v>4781</v>
      </c>
      <c r="G8" s="71">
        <f>'FS-AD Daily '!D12</f>
        <v>919</v>
      </c>
      <c r="H8" s="71">
        <f>'FS-AD Daily '!E12</f>
        <v>6718</v>
      </c>
      <c r="I8" s="71">
        <f>'FS-AD Daily '!F12</f>
        <v>5700</v>
      </c>
      <c r="J8" s="71">
        <f>'FS-AD Daily '!G12</f>
        <v>3024</v>
      </c>
      <c r="K8" s="71">
        <f>'FS-AD Daily '!H12</f>
        <v>3738</v>
      </c>
      <c r="L8" s="71">
        <f>'FS-AD Daily '!I12</f>
        <v>2210</v>
      </c>
      <c r="M8" s="71">
        <f>'FS-AD Daily '!J12</f>
        <v>6901</v>
      </c>
      <c r="N8" s="71">
        <f>'FS-AD Daily '!T12</f>
        <v>227.68899999999849</v>
      </c>
      <c r="O8" s="71">
        <f>'FS-AD Daily '!R12</f>
        <v>68.028000000001157</v>
      </c>
      <c r="P8" s="71">
        <f>'FS-AD Daily '!Z12</f>
        <v>781</v>
      </c>
      <c r="Q8" s="71">
        <f>'FS-AD Daily '!V12</f>
        <v>221</v>
      </c>
      <c r="R8" s="71">
        <f>'FS-AD Daily '!W12</f>
        <v>186.14000000001397</v>
      </c>
      <c r="S8" s="71">
        <f t="shared" si="0"/>
        <v>373.85999999998603</v>
      </c>
      <c r="T8" s="71">
        <f>'FS-AD Daily '!AD12*3.516</f>
        <v>32828.892</v>
      </c>
      <c r="U8" s="71">
        <f>('FS-AD Daily '!AF12)*1000</f>
        <v>17699.99999999709</v>
      </c>
      <c r="V8" s="71">
        <f>('FS-AD Daily '!AG12)*1000</f>
        <v>0</v>
      </c>
      <c r="W8" s="71">
        <f>'FS-AD Daily '!AH12*1000</f>
        <v>6000</v>
      </c>
      <c r="X8" s="71">
        <f>('FS-AD Daily '!AK12)*1000</f>
        <v>19199.99999999709</v>
      </c>
      <c r="Y8" s="71">
        <v>182</v>
      </c>
      <c r="Z8" s="104">
        <v>242</v>
      </c>
    </row>
    <row r="9" spans="1:26" x14ac:dyDescent="0.25">
      <c r="A9" s="103" t="s">
        <v>80</v>
      </c>
      <c r="B9" s="69">
        <f t="shared" si="1"/>
        <v>8</v>
      </c>
      <c r="C9" s="70">
        <v>2</v>
      </c>
      <c r="D9" s="69">
        <v>2022</v>
      </c>
      <c r="E9" s="71">
        <f>'FS-AD Daily '!B13</f>
        <v>8326</v>
      </c>
      <c r="F9" s="71">
        <f>'FS-AD Daily '!C13</f>
        <v>4462</v>
      </c>
      <c r="G9" s="71">
        <f>'FS-AD Daily '!D13</f>
        <v>946</v>
      </c>
      <c r="H9" s="71">
        <f>'FS-AD Daily '!E13</f>
        <v>6684</v>
      </c>
      <c r="I9" s="71">
        <f>'FS-AD Daily '!F13</f>
        <v>5668</v>
      </c>
      <c r="J9" s="71">
        <f>'FS-AD Daily '!G13</f>
        <v>2854</v>
      </c>
      <c r="K9" s="71">
        <f>'FS-AD Daily '!H13</f>
        <v>3739</v>
      </c>
      <c r="L9" s="71">
        <f>'FS-AD Daily '!I13</f>
        <v>2248</v>
      </c>
      <c r="M9" s="71">
        <f>'FS-AD Daily '!J13</f>
        <v>6933</v>
      </c>
      <c r="N9" s="71">
        <f>'FS-AD Daily '!T13</f>
        <v>220.70500000000175</v>
      </c>
      <c r="O9" s="71">
        <f>'FS-AD Daily '!R13</f>
        <v>76.493999999999687</v>
      </c>
      <c r="P9" s="71">
        <f>'FS-AD Daily '!Z13</f>
        <v>838</v>
      </c>
      <c r="Q9" s="71">
        <f>'FS-AD Daily '!V13</f>
        <v>218</v>
      </c>
      <c r="R9" s="71">
        <f>'FS-AD Daily '!W13</f>
        <v>187.85999999998603</v>
      </c>
      <c r="S9" s="71">
        <f t="shared" si="0"/>
        <v>432.14000000001397</v>
      </c>
      <c r="T9" s="71">
        <f>'FS-AD Daily '!AD13*3.516</f>
        <v>32937.887999999999</v>
      </c>
      <c r="U9" s="71">
        <f>('FS-AD Daily '!AF13)*1000</f>
        <v>16300.00000000291</v>
      </c>
      <c r="V9" s="71">
        <f>('FS-AD Daily '!AG13)*1000</f>
        <v>0</v>
      </c>
      <c r="W9" s="71">
        <f>'FS-AD Daily '!AH13*1000</f>
        <v>6599.9999999985448</v>
      </c>
      <c r="X9" s="71">
        <f>('FS-AD Daily '!AK13)*1000</f>
        <v>22000</v>
      </c>
      <c r="Y9" s="71">
        <v>187</v>
      </c>
      <c r="Z9" s="104">
        <v>252</v>
      </c>
    </row>
    <row r="10" spans="1:26" x14ac:dyDescent="0.25">
      <c r="A10" s="103" t="s">
        <v>80</v>
      </c>
      <c r="B10" s="69">
        <f t="shared" si="1"/>
        <v>9</v>
      </c>
      <c r="C10" s="70">
        <v>2</v>
      </c>
      <c r="D10" s="69">
        <v>2022</v>
      </c>
      <c r="E10" s="71">
        <f>'FS-AD Daily '!B14</f>
        <v>7519</v>
      </c>
      <c r="F10" s="71">
        <f>'FS-AD Daily '!C14</f>
        <v>4511</v>
      </c>
      <c r="G10" s="71">
        <f>'FS-AD Daily '!D14</f>
        <v>916</v>
      </c>
      <c r="H10" s="71">
        <f>'FS-AD Daily '!E14</f>
        <v>6899</v>
      </c>
      <c r="I10" s="71">
        <f>'FS-AD Daily '!F14</f>
        <v>5743</v>
      </c>
      <c r="J10" s="71">
        <f>'FS-AD Daily '!G14</f>
        <v>2763</v>
      </c>
      <c r="K10" s="71">
        <f>'FS-AD Daily '!H14</f>
        <v>3799</v>
      </c>
      <c r="L10" s="71">
        <f>'FS-AD Daily '!I14</f>
        <v>2290</v>
      </c>
      <c r="M10" s="71">
        <f>'FS-AD Daily '!J14</f>
        <v>7120</v>
      </c>
      <c r="N10" s="71">
        <f>'FS-AD Daily '!T14</f>
        <v>194.5669999999991</v>
      </c>
      <c r="O10" s="71">
        <f>'FS-AD Daily '!R14</f>
        <v>70.274000000000342</v>
      </c>
      <c r="P10" s="71">
        <f>'FS-AD Daily '!Z14</f>
        <v>789</v>
      </c>
      <c r="Q10" s="71">
        <f>'FS-AD Daily '!V14</f>
        <v>216</v>
      </c>
      <c r="R10" s="71">
        <f>'FS-AD Daily '!W14</f>
        <v>189.79999999998836</v>
      </c>
      <c r="S10" s="71">
        <f t="shared" si="0"/>
        <v>383.20000000001164</v>
      </c>
      <c r="T10" s="71">
        <f>'FS-AD Daily '!AD14*3.516</f>
        <v>35792.879999999997</v>
      </c>
      <c r="U10" s="71">
        <f>('FS-AD Daily '!AF14)*1000</f>
        <v>18300.00000000291</v>
      </c>
      <c r="V10" s="71">
        <f>('FS-AD Daily '!AG14)*1000</f>
        <v>0</v>
      </c>
      <c r="W10" s="71">
        <f>'FS-AD Daily '!AH14*1000</f>
        <v>5400.0000000014552</v>
      </c>
      <c r="X10" s="71">
        <f>('FS-AD Daily '!AK14)*1000</f>
        <v>21000</v>
      </c>
      <c r="Y10" s="71">
        <v>189</v>
      </c>
      <c r="Z10" s="104">
        <v>244</v>
      </c>
    </row>
    <row r="11" spans="1:26" x14ac:dyDescent="0.25">
      <c r="A11" s="103" t="s">
        <v>80</v>
      </c>
      <c r="B11" s="69">
        <f t="shared" si="1"/>
        <v>10</v>
      </c>
      <c r="C11" s="70">
        <v>2</v>
      </c>
      <c r="D11" s="69">
        <v>2022</v>
      </c>
      <c r="E11" s="71">
        <f>'FS-AD Daily '!B15</f>
        <v>6297</v>
      </c>
      <c r="F11" s="71">
        <f>'FS-AD Daily '!C15</f>
        <v>4726</v>
      </c>
      <c r="G11" s="71">
        <f>'FS-AD Daily '!D15</f>
        <v>919</v>
      </c>
      <c r="H11" s="71">
        <f>'FS-AD Daily '!E15</f>
        <v>6806</v>
      </c>
      <c r="I11" s="71">
        <f>'FS-AD Daily '!F15</f>
        <v>5501</v>
      </c>
      <c r="J11" s="71">
        <f>'FS-AD Daily '!G15</f>
        <v>2813</v>
      </c>
      <c r="K11" s="71">
        <f>'FS-AD Daily '!H15</f>
        <v>3716</v>
      </c>
      <c r="L11" s="71">
        <f>'FS-AD Daily '!I15</f>
        <v>2244</v>
      </c>
      <c r="M11" s="71">
        <f>'FS-AD Daily '!J15</f>
        <v>7100</v>
      </c>
      <c r="N11" s="71">
        <f>'FS-AD Daily '!T15</f>
        <v>224.86199999999917</v>
      </c>
      <c r="O11" s="71">
        <f>'FS-AD Daily '!R15</f>
        <v>75.979000000001179</v>
      </c>
      <c r="P11" s="71">
        <f>'FS-AD Daily '!Z15</f>
        <v>757</v>
      </c>
      <c r="Q11" s="71">
        <f>'FS-AD Daily '!V15</f>
        <v>224.90000000002328</v>
      </c>
      <c r="R11" s="71">
        <f>'FS-AD Daily '!W15</f>
        <v>149</v>
      </c>
      <c r="S11" s="71">
        <f t="shared" si="0"/>
        <v>383.09999999997672</v>
      </c>
      <c r="T11" s="71">
        <f>'FS-AD Daily '!AD15*3.516</f>
        <v>41161.811999999998</v>
      </c>
      <c r="U11" s="71">
        <f>('FS-AD Daily '!AF15)*1000</f>
        <v>21399.999999994179</v>
      </c>
      <c r="V11" s="71">
        <f>('FS-AD Daily '!AG15)*1000</f>
        <v>0</v>
      </c>
      <c r="W11" s="71">
        <f>'FS-AD Daily '!AH15*1000</f>
        <v>7599.9999999985448</v>
      </c>
      <c r="X11" s="71">
        <f>('FS-AD Daily '!AK15)*1000</f>
        <v>23699.99999999709</v>
      </c>
      <c r="Y11" s="71">
        <v>168</v>
      </c>
      <c r="Z11" s="104">
        <v>218</v>
      </c>
    </row>
    <row r="12" spans="1:26" x14ac:dyDescent="0.25">
      <c r="A12" s="103" t="s">
        <v>80</v>
      </c>
      <c r="B12" s="69">
        <f t="shared" si="1"/>
        <v>11</v>
      </c>
      <c r="C12" s="70">
        <v>2</v>
      </c>
      <c r="D12" s="69">
        <v>2022</v>
      </c>
      <c r="E12" s="71">
        <f>'FS-AD Daily '!B16</f>
        <v>5998</v>
      </c>
      <c r="F12" s="71">
        <f>'FS-AD Daily '!C16</f>
        <v>4695</v>
      </c>
      <c r="G12" s="71">
        <f>'FS-AD Daily '!D16</f>
        <v>918</v>
      </c>
      <c r="H12" s="71">
        <f>'FS-AD Daily '!E16</f>
        <v>6915</v>
      </c>
      <c r="I12" s="71">
        <f>'FS-AD Daily '!F16</f>
        <v>5671</v>
      </c>
      <c r="J12" s="71">
        <f>'FS-AD Daily '!G16</f>
        <v>2828</v>
      </c>
      <c r="K12" s="71">
        <f>'FS-AD Daily '!H16</f>
        <v>3765</v>
      </c>
      <c r="L12" s="71">
        <f>'FS-AD Daily '!I16</f>
        <v>2279</v>
      </c>
      <c r="M12" s="71">
        <f>'FS-AD Daily '!J16</f>
        <v>7154</v>
      </c>
      <c r="N12" s="71">
        <f>'FS-AD Daily '!T16</f>
        <v>218.33800000000338</v>
      </c>
      <c r="O12" s="71">
        <f>'FS-AD Daily '!R16</f>
        <v>84.317999999999302</v>
      </c>
      <c r="P12" s="71">
        <f>'FS-AD Daily '!Z16</f>
        <v>700</v>
      </c>
      <c r="Q12" s="71">
        <f>'FS-AD Daily '!V16</f>
        <v>213</v>
      </c>
      <c r="R12" s="71">
        <f>'FS-AD Daily '!W16</f>
        <v>101</v>
      </c>
      <c r="S12" s="71">
        <f t="shared" si="0"/>
        <v>386</v>
      </c>
      <c r="T12" s="71">
        <f>'FS-AD Daily '!AD16*3.516</f>
        <v>41281.356</v>
      </c>
      <c r="U12" s="71">
        <f>('FS-AD Daily '!AF16)*1000</f>
        <v>20699.99999999709</v>
      </c>
      <c r="V12" s="71">
        <f>('FS-AD Daily '!AG16)*1000</f>
        <v>0</v>
      </c>
      <c r="W12" s="71">
        <f>'FS-AD Daily '!AH16*1000</f>
        <v>7000</v>
      </c>
      <c r="X12" s="71">
        <f>('FS-AD Daily '!AK16)*1000</f>
        <v>24000</v>
      </c>
      <c r="Y12" s="71">
        <v>174</v>
      </c>
      <c r="Z12" s="104">
        <v>237</v>
      </c>
    </row>
    <row r="13" spans="1:26" x14ac:dyDescent="0.25">
      <c r="A13" s="103" t="s">
        <v>80</v>
      </c>
      <c r="B13" s="69">
        <f t="shared" si="1"/>
        <v>12</v>
      </c>
      <c r="C13" s="70">
        <v>2</v>
      </c>
      <c r="D13" s="69">
        <v>2022</v>
      </c>
      <c r="E13" s="71">
        <f>'FS-AD Daily '!B17</f>
        <v>6439</v>
      </c>
      <c r="F13" s="71">
        <f>'FS-AD Daily '!C17</f>
        <v>4125</v>
      </c>
      <c r="G13" s="71">
        <f>'FS-AD Daily '!D17</f>
        <v>1017</v>
      </c>
      <c r="H13" s="71">
        <f>'FS-AD Daily '!E17</f>
        <v>6874</v>
      </c>
      <c r="I13" s="71">
        <f>'FS-AD Daily '!F17</f>
        <v>5643</v>
      </c>
      <c r="J13" s="71">
        <f>'FS-AD Daily '!G17</f>
        <v>2842</v>
      </c>
      <c r="K13" s="71">
        <f>'FS-AD Daily '!H17</f>
        <v>3744</v>
      </c>
      <c r="L13" s="71">
        <f>'FS-AD Daily '!I17</f>
        <v>2158</v>
      </c>
      <c r="M13" s="71">
        <f>'FS-AD Daily '!J17</f>
        <v>7280</v>
      </c>
      <c r="N13" s="71">
        <f>'FS-AD Daily '!T17</f>
        <v>216.25199999999677</v>
      </c>
      <c r="O13" s="71">
        <f>'FS-AD Daily '!R17</f>
        <v>86.438999999999396</v>
      </c>
      <c r="P13" s="71">
        <f>'FS-AD Daily '!Z17</f>
        <v>789</v>
      </c>
      <c r="Q13" s="71">
        <f>'FS-AD Daily '!V17</f>
        <v>249.29999999998836</v>
      </c>
      <c r="R13" s="71">
        <f>'FS-AD Daily '!W17</f>
        <v>164.5</v>
      </c>
      <c r="S13" s="71">
        <f t="shared" si="0"/>
        <v>375.20000000001164</v>
      </c>
      <c r="T13" s="71">
        <f>'FS-AD Daily '!AD17*3.516</f>
        <v>41073.911999999997</v>
      </c>
      <c r="U13" s="71">
        <f>('FS-AD Daily '!AF17)*1000</f>
        <v>20000</v>
      </c>
      <c r="V13" s="71">
        <f>('FS-AD Daily '!AG17)*1000</f>
        <v>0</v>
      </c>
      <c r="W13" s="71">
        <f>'FS-AD Daily '!AH17*1000</f>
        <v>6900.0000000014552</v>
      </c>
      <c r="X13" s="71">
        <f>('FS-AD Daily '!AK17)*1000</f>
        <v>23300.00000000291</v>
      </c>
      <c r="Y13" s="71">
        <v>170</v>
      </c>
      <c r="Z13" s="104">
        <v>248</v>
      </c>
    </row>
    <row r="14" spans="1:26" x14ac:dyDescent="0.25">
      <c r="A14" s="103" t="s">
        <v>80</v>
      </c>
      <c r="B14" s="69">
        <f t="shared" si="1"/>
        <v>13</v>
      </c>
      <c r="C14" s="70">
        <v>2</v>
      </c>
      <c r="D14" s="69">
        <v>2022</v>
      </c>
      <c r="E14" s="71">
        <f>'FS-AD Daily '!B18</f>
        <v>7954</v>
      </c>
      <c r="F14" s="71">
        <f>'FS-AD Daily '!C18</f>
        <v>3823</v>
      </c>
      <c r="G14" s="71">
        <f>'FS-AD Daily '!D18</f>
        <v>958</v>
      </c>
      <c r="H14" s="71">
        <f>'FS-AD Daily '!E18</f>
        <v>6753</v>
      </c>
      <c r="I14" s="71">
        <f>'FS-AD Daily '!F18</f>
        <v>5744</v>
      </c>
      <c r="J14" s="71">
        <f>'FS-AD Daily '!G18</f>
        <v>2933</v>
      </c>
      <c r="K14" s="71">
        <f>'FS-AD Daily '!H18</f>
        <v>3696</v>
      </c>
      <c r="L14" s="71">
        <f>'FS-AD Daily '!I18</f>
        <v>2257</v>
      </c>
      <c r="M14" s="71">
        <f>'FS-AD Daily '!J18</f>
        <v>7094</v>
      </c>
      <c r="N14" s="71">
        <f>'FS-AD Daily '!T18</f>
        <v>194.80500000000029</v>
      </c>
      <c r="O14" s="71">
        <f>'FS-AD Daily '!R18</f>
        <v>78.634999999999309</v>
      </c>
      <c r="P14" s="71">
        <f>'FS-AD Daily '!Z18</f>
        <v>738</v>
      </c>
      <c r="Q14" s="71">
        <f>'FS-AD Daily '!V18</f>
        <v>201.09999999997672</v>
      </c>
      <c r="R14" s="71">
        <f>'FS-AD Daily '!W18</f>
        <v>169.27000000001863</v>
      </c>
      <c r="S14" s="71">
        <f t="shared" si="0"/>
        <v>367.63000000000466</v>
      </c>
      <c r="T14" s="71">
        <f>'FS-AD Daily '!AD18*3.516</f>
        <v>35033.423999999999</v>
      </c>
      <c r="U14" s="71">
        <f>('FS-AD Daily '!AF18)*1000</f>
        <v>17500</v>
      </c>
      <c r="V14" s="71">
        <f>('FS-AD Daily '!AG18)*1000</f>
        <v>0</v>
      </c>
      <c r="W14" s="71">
        <f>'FS-AD Daily '!AH18*1000</f>
        <v>6000</v>
      </c>
      <c r="X14" s="71">
        <f>('FS-AD Daily '!AK18)*1000</f>
        <v>22199.99999999709</v>
      </c>
      <c r="Y14" s="71">
        <v>134</v>
      </c>
      <c r="Z14" s="104">
        <v>187</v>
      </c>
    </row>
    <row r="15" spans="1:26" x14ac:dyDescent="0.25">
      <c r="A15" s="103" t="s">
        <v>80</v>
      </c>
      <c r="B15" s="69">
        <f t="shared" si="1"/>
        <v>14</v>
      </c>
      <c r="C15" s="70">
        <v>2</v>
      </c>
      <c r="D15" s="69">
        <v>2022</v>
      </c>
      <c r="E15" s="71">
        <f>'FS-AD Daily '!B19</f>
        <v>7167</v>
      </c>
      <c r="F15" s="71">
        <f>'FS-AD Daily '!C19</f>
        <v>4661</v>
      </c>
      <c r="G15" s="71">
        <f>'FS-AD Daily '!D19</f>
        <v>950</v>
      </c>
      <c r="H15" s="71">
        <f>'FS-AD Daily '!E19</f>
        <v>7245</v>
      </c>
      <c r="I15" s="71">
        <f>'FS-AD Daily '!F19</f>
        <v>5890</v>
      </c>
      <c r="J15" s="71">
        <f>'FS-AD Daily '!G19</f>
        <v>2902</v>
      </c>
      <c r="K15" s="71">
        <f>'FS-AD Daily '!H19</f>
        <v>3901</v>
      </c>
      <c r="L15" s="71">
        <f>'FS-AD Daily '!I19</f>
        <v>2367</v>
      </c>
      <c r="M15" s="71">
        <f>'FS-AD Daily '!J19</f>
        <v>7253</v>
      </c>
      <c r="N15" s="71">
        <f>'FS-AD Daily '!T19</f>
        <v>228.98400000000038</v>
      </c>
      <c r="O15" s="71">
        <f>'FS-AD Daily '!R19</f>
        <v>83.655000000001564</v>
      </c>
      <c r="P15" s="71">
        <f>'FS-AD Daily '!Z19</f>
        <v>703</v>
      </c>
      <c r="Q15" s="71">
        <f>'FS-AD Daily '!V19</f>
        <v>169.5</v>
      </c>
      <c r="R15" s="71">
        <f>'FS-AD Daily '!W19</f>
        <v>149.57999999998719</v>
      </c>
      <c r="S15" s="71">
        <f t="shared" si="0"/>
        <v>383.92000000001281</v>
      </c>
      <c r="T15" s="71">
        <f>'FS-AD Daily '!AD19*3.516</f>
        <v>37132.476000000002</v>
      </c>
      <c r="U15" s="71">
        <f>('FS-AD Daily '!AF19)*1000</f>
        <v>19800.00000000291</v>
      </c>
      <c r="V15" s="71">
        <f>('FS-AD Daily '!AG19)*1000</f>
        <v>0</v>
      </c>
      <c r="W15" s="71">
        <f>'FS-AD Daily '!AH19*1000</f>
        <v>6099.9999999985448</v>
      </c>
      <c r="X15" s="71">
        <f>('FS-AD Daily '!AK19)*1000</f>
        <v>22800.00000000291</v>
      </c>
      <c r="Y15" s="71">
        <v>144</v>
      </c>
      <c r="Z15" s="104">
        <v>207</v>
      </c>
    </row>
    <row r="16" spans="1:26" x14ac:dyDescent="0.25">
      <c r="A16" s="103" t="s">
        <v>80</v>
      </c>
      <c r="B16" s="69">
        <f t="shared" si="1"/>
        <v>15</v>
      </c>
      <c r="C16" s="70">
        <v>2</v>
      </c>
      <c r="D16" s="69">
        <v>2022</v>
      </c>
      <c r="E16" s="71">
        <f>'FS-AD Daily '!B20</f>
        <v>6179</v>
      </c>
      <c r="F16" s="71">
        <f>'FS-AD Daily '!C20</f>
        <v>5001</v>
      </c>
      <c r="G16" s="71">
        <f>'FS-AD Daily '!D20</f>
        <v>966</v>
      </c>
      <c r="H16" s="71">
        <f>'FS-AD Daily '!E20</f>
        <v>6825</v>
      </c>
      <c r="I16" s="71">
        <f>'FS-AD Daily '!F20</f>
        <v>5777</v>
      </c>
      <c r="J16" s="71">
        <f>'FS-AD Daily '!G20</f>
        <v>2741</v>
      </c>
      <c r="K16" s="71">
        <f>'FS-AD Daily '!H20</f>
        <v>3640</v>
      </c>
      <c r="L16" s="71">
        <f>'FS-AD Daily '!I20</f>
        <v>2269</v>
      </c>
      <c r="M16" s="71">
        <f>'FS-AD Daily '!J20</f>
        <v>7041</v>
      </c>
      <c r="N16" s="71">
        <f>'FS-AD Daily '!T20</f>
        <v>171.76300000000083</v>
      </c>
      <c r="O16" s="71">
        <f>'FS-AD Daily '!R20</f>
        <v>71.130999999999403</v>
      </c>
      <c r="P16" s="71">
        <f>'FS-AD Daily '!Z20</f>
        <v>680</v>
      </c>
      <c r="Q16" s="71">
        <f>'FS-AD Daily '!V20</f>
        <v>207.60000000003492</v>
      </c>
      <c r="R16" s="71">
        <f>'FS-AD Daily '!W20</f>
        <v>124.42999999999302</v>
      </c>
      <c r="S16" s="71">
        <f t="shared" si="0"/>
        <v>347.96999999997206</v>
      </c>
      <c r="T16" s="71">
        <f>'FS-AD Daily '!AD20*3.516</f>
        <v>43197.576000000001</v>
      </c>
      <c r="U16" s="71">
        <f>('FS-AD Daily '!AF20)*1000</f>
        <v>22000</v>
      </c>
      <c r="V16" s="71">
        <f>('FS-AD Daily '!AG20)*1000</f>
        <v>0</v>
      </c>
      <c r="W16" s="71">
        <f>'FS-AD Daily '!AH20*1000</f>
        <v>6400.0000000014552</v>
      </c>
      <c r="X16" s="71">
        <f>('FS-AD Daily '!AK20)*1000</f>
        <v>23400.000000001455</v>
      </c>
      <c r="Y16" s="71">
        <v>134</v>
      </c>
      <c r="Z16" s="104">
        <v>190</v>
      </c>
    </row>
    <row r="17" spans="1:26" x14ac:dyDescent="0.25">
      <c r="A17" s="103" t="s">
        <v>80</v>
      </c>
      <c r="B17" s="69">
        <f t="shared" si="1"/>
        <v>16</v>
      </c>
      <c r="C17" s="70">
        <v>2</v>
      </c>
      <c r="D17" s="69">
        <v>2022</v>
      </c>
      <c r="E17" s="71">
        <f>'FS-AD Daily '!B21</f>
        <v>6294</v>
      </c>
      <c r="F17" s="71">
        <f>'FS-AD Daily '!C21</f>
        <v>5015</v>
      </c>
      <c r="G17" s="71">
        <f>'FS-AD Daily '!D21</f>
        <v>928</v>
      </c>
      <c r="H17" s="71">
        <f>'FS-AD Daily '!E21</f>
        <v>6917</v>
      </c>
      <c r="I17" s="71">
        <f>'FS-AD Daily '!F21</f>
        <v>5757</v>
      </c>
      <c r="J17" s="71">
        <f>'FS-AD Daily '!G21</f>
        <v>2713</v>
      </c>
      <c r="K17" s="71">
        <f>'FS-AD Daily '!H21</f>
        <v>3558</v>
      </c>
      <c r="L17" s="71">
        <f>'FS-AD Daily '!I21</f>
        <v>2236</v>
      </c>
      <c r="M17" s="71">
        <f>'FS-AD Daily '!J21</f>
        <v>7034</v>
      </c>
      <c r="N17" s="71">
        <f>'FS-AD Daily '!T21</f>
        <v>179.94700000000012</v>
      </c>
      <c r="O17" s="71">
        <f>'FS-AD Daily '!R21</f>
        <v>80.121999999999389</v>
      </c>
      <c r="P17" s="71">
        <f>'FS-AD Daily '!Z21</f>
        <v>752</v>
      </c>
      <c r="Q17" s="71">
        <f>'FS-AD Daily '!V21</f>
        <v>204.59999999997672</v>
      </c>
      <c r="R17" s="71">
        <f>'FS-AD Daily '!W21</f>
        <v>174.07000000000698</v>
      </c>
      <c r="S17" s="71">
        <f t="shared" si="0"/>
        <v>373.3300000000163</v>
      </c>
      <c r="T17" s="71">
        <f>'FS-AD Daily '!AD21*3.516</f>
        <v>42501.408000000003</v>
      </c>
      <c r="U17" s="71">
        <f>('FS-AD Daily '!AF21)*1000</f>
        <v>21699.99999999709</v>
      </c>
      <c r="V17" s="71">
        <f>('FS-AD Daily '!AG21)*1000</f>
        <v>0</v>
      </c>
      <c r="W17" s="71">
        <f>'FS-AD Daily '!AH21*1000</f>
        <v>6500</v>
      </c>
      <c r="X17" s="71">
        <f>('FS-AD Daily '!AK21)*1000</f>
        <v>24699.99999999709</v>
      </c>
      <c r="Y17" s="71">
        <v>145</v>
      </c>
      <c r="Z17" s="104">
        <v>198</v>
      </c>
    </row>
    <row r="18" spans="1:26" x14ac:dyDescent="0.25">
      <c r="A18" s="103" t="s">
        <v>80</v>
      </c>
      <c r="B18" s="69">
        <f t="shared" si="1"/>
        <v>17</v>
      </c>
      <c r="C18" s="70">
        <v>2</v>
      </c>
      <c r="D18" s="69">
        <v>2022</v>
      </c>
      <c r="E18" s="71">
        <f>'FS-AD Daily '!B22</f>
        <v>6851</v>
      </c>
      <c r="F18" s="71">
        <f>'FS-AD Daily '!C22</f>
        <v>4544</v>
      </c>
      <c r="G18" s="71">
        <f>'FS-AD Daily '!D22</f>
        <v>890</v>
      </c>
      <c r="H18" s="71">
        <f>'FS-AD Daily '!E22</f>
        <v>6875</v>
      </c>
      <c r="I18" s="71">
        <f>'FS-AD Daily '!F22</f>
        <v>5642</v>
      </c>
      <c r="J18" s="71">
        <f>'FS-AD Daily '!G22</f>
        <v>2726</v>
      </c>
      <c r="K18" s="71">
        <f>'FS-AD Daily '!H22</f>
        <v>3656</v>
      </c>
      <c r="L18" s="71">
        <f>'FS-AD Daily '!I22</f>
        <v>2123</v>
      </c>
      <c r="M18" s="71">
        <f>'FS-AD Daily '!J22</f>
        <v>6966</v>
      </c>
      <c r="N18" s="71">
        <f>'FS-AD Daily '!T22</f>
        <v>192.36499999999978</v>
      </c>
      <c r="O18" s="71">
        <f>'FS-AD Daily '!R22</f>
        <v>78.776000000000749</v>
      </c>
      <c r="P18" s="71">
        <f>'FS-AD Daily '!Z22</f>
        <v>746</v>
      </c>
      <c r="Q18" s="71">
        <f>'FS-AD Daily '!V22</f>
        <v>213.20000000001164</v>
      </c>
      <c r="R18" s="71">
        <f>'FS-AD Daily '!W22</f>
        <v>171.95000000001164</v>
      </c>
      <c r="S18" s="71">
        <f t="shared" si="0"/>
        <v>360.84999999997672</v>
      </c>
      <c r="T18" s="71">
        <f>'FS-AD Daily '!AD22*3.516</f>
        <v>37252.019999999997</v>
      </c>
      <c r="U18" s="71">
        <f>('FS-AD Daily '!AF22)*1000</f>
        <v>18900.000000008731</v>
      </c>
      <c r="V18" s="71">
        <f>('FS-AD Daily '!AG22)*1000</f>
        <v>0</v>
      </c>
      <c r="W18" s="71">
        <f>'FS-AD Daily '!AH22*1000</f>
        <v>5500</v>
      </c>
      <c r="X18" s="71">
        <f>('FS-AD Daily '!AK22)*1000</f>
        <v>22300.00000000291</v>
      </c>
      <c r="Y18" s="71">
        <v>126</v>
      </c>
      <c r="Z18" s="104">
        <v>176</v>
      </c>
    </row>
    <row r="19" spans="1:26" x14ac:dyDescent="0.25">
      <c r="A19" s="103" t="s">
        <v>80</v>
      </c>
      <c r="B19" s="69">
        <f t="shared" si="1"/>
        <v>18</v>
      </c>
      <c r="C19" s="70">
        <v>2</v>
      </c>
      <c r="D19" s="69">
        <v>2022</v>
      </c>
      <c r="E19" s="71">
        <f>'FS-AD Daily '!B23</f>
        <v>6390</v>
      </c>
      <c r="F19" s="71">
        <f>'FS-AD Daily '!C23</f>
        <v>4676</v>
      </c>
      <c r="G19" s="71">
        <f>'FS-AD Daily '!D23</f>
        <v>860</v>
      </c>
      <c r="H19" s="71">
        <f>'FS-AD Daily '!E23</f>
        <v>6947</v>
      </c>
      <c r="I19" s="71">
        <f>'FS-AD Daily '!F23</f>
        <v>5943</v>
      </c>
      <c r="J19" s="71">
        <f>'FS-AD Daily '!G23</f>
        <v>2772</v>
      </c>
      <c r="K19" s="71">
        <f>'FS-AD Daily '!H23</f>
        <v>3714</v>
      </c>
      <c r="L19" s="71">
        <f>'FS-AD Daily '!I23</f>
        <v>2198</v>
      </c>
      <c r="M19" s="71">
        <f>'FS-AD Daily '!J23</f>
        <v>7197</v>
      </c>
      <c r="N19" s="71">
        <f>'FS-AD Daily '!T23</f>
        <v>231.0719999999983</v>
      </c>
      <c r="O19" s="71">
        <f>'FS-AD Daily '!R23</f>
        <v>78.641000000000531</v>
      </c>
      <c r="P19" s="71">
        <f>'FS-AD Daily '!Z23</f>
        <v>744</v>
      </c>
      <c r="Q19" s="71">
        <f>'FS-AD Daily '!V23</f>
        <v>215.89999999996508</v>
      </c>
      <c r="R19" s="71">
        <f>'FS-AD Daily '!W23</f>
        <v>172.69999999998254</v>
      </c>
      <c r="S19" s="71">
        <f t="shared" si="0"/>
        <v>355.40000000005239</v>
      </c>
      <c r="T19" s="71">
        <f>'FS-AD Daily '!AD23*3.516</f>
        <v>40237.103999999999</v>
      </c>
      <c r="U19" s="71">
        <f>('FS-AD Daily '!AF23)*1000</f>
        <v>19699.99999999709</v>
      </c>
      <c r="V19" s="71">
        <f>('FS-AD Daily '!AG23)*1000</f>
        <v>0</v>
      </c>
      <c r="W19" s="71">
        <f>'FS-AD Daily '!AH23*1000</f>
        <v>6000</v>
      </c>
      <c r="X19" s="71">
        <f>('FS-AD Daily '!AK23)*1000</f>
        <v>23599.999999998545</v>
      </c>
      <c r="Y19" s="71">
        <v>136</v>
      </c>
      <c r="Z19" s="104">
        <v>204</v>
      </c>
    </row>
    <row r="20" spans="1:26" x14ac:dyDescent="0.25">
      <c r="A20" s="103" t="s">
        <v>80</v>
      </c>
      <c r="B20" s="69">
        <f t="shared" si="1"/>
        <v>19</v>
      </c>
      <c r="C20" s="70">
        <v>2</v>
      </c>
      <c r="D20" s="69">
        <v>2022</v>
      </c>
      <c r="E20" s="71">
        <f>'FS-AD Daily '!B24</f>
        <v>6167</v>
      </c>
      <c r="F20" s="71">
        <f>'FS-AD Daily '!C24</f>
        <v>4808</v>
      </c>
      <c r="G20" s="71">
        <f>'FS-AD Daily '!D24</f>
        <v>925</v>
      </c>
      <c r="H20" s="71">
        <f>'FS-AD Daily '!E24</f>
        <v>7079</v>
      </c>
      <c r="I20" s="71">
        <f>'FS-AD Daily '!F24</f>
        <v>6095</v>
      </c>
      <c r="J20" s="71">
        <f>'FS-AD Daily '!G24</f>
        <v>2924</v>
      </c>
      <c r="K20" s="71">
        <f>'FS-AD Daily '!H24</f>
        <v>3768</v>
      </c>
      <c r="L20" s="71">
        <f>'FS-AD Daily '!I24</f>
        <v>2153</v>
      </c>
      <c r="M20" s="71">
        <f>'FS-AD Daily '!J24</f>
        <v>7333</v>
      </c>
      <c r="N20" s="71">
        <f>'FS-AD Daily '!T24</f>
        <v>172.09500000000298</v>
      </c>
      <c r="O20" s="71">
        <f>'FS-AD Daily '!R24</f>
        <v>81.449000000000524</v>
      </c>
      <c r="P20" s="71">
        <f>'FS-AD Daily '!Z24</f>
        <v>774</v>
      </c>
      <c r="Q20" s="71">
        <f>'FS-AD Daily '!V24</f>
        <v>230.70000000001164</v>
      </c>
      <c r="R20" s="71">
        <f>'FS-AD Daily '!W24</f>
        <v>176.25</v>
      </c>
      <c r="S20" s="71">
        <f t="shared" si="0"/>
        <v>367.04999999998836</v>
      </c>
      <c r="T20" s="71">
        <f>'FS-AD Daily '!AD24*3.516</f>
        <v>42845.976000000002</v>
      </c>
      <c r="U20" s="71">
        <f>('FS-AD Daily '!AF24)*1000</f>
        <v>21699.99999999709</v>
      </c>
      <c r="V20" s="71">
        <f>('FS-AD Daily '!AG24)*1000</f>
        <v>0</v>
      </c>
      <c r="W20" s="71">
        <f>'FS-AD Daily '!AH24*1000</f>
        <v>6900.0000000014552</v>
      </c>
      <c r="X20" s="71">
        <f>('FS-AD Daily '!AK24)*1000</f>
        <v>25699.99999999709</v>
      </c>
      <c r="Y20" s="71">
        <v>161</v>
      </c>
      <c r="Z20" s="104">
        <v>230</v>
      </c>
    </row>
    <row r="21" spans="1:26" x14ac:dyDescent="0.25">
      <c r="A21" s="103" t="s">
        <v>80</v>
      </c>
      <c r="B21" s="69">
        <f t="shared" si="1"/>
        <v>20</v>
      </c>
      <c r="C21" s="70">
        <v>2</v>
      </c>
      <c r="D21" s="69">
        <v>2022</v>
      </c>
      <c r="E21" s="71">
        <f>'FS-AD Daily '!B25</f>
        <v>5669</v>
      </c>
      <c r="F21" s="71">
        <f>'FS-AD Daily '!C25</f>
        <v>4276</v>
      </c>
      <c r="G21" s="71">
        <f>'FS-AD Daily '!D25</f>
        <v>872</v>
      </c>
      <c r="H21" s="71">
        <f>'FS-AD Daily '!E25</f>
        <v>6968</v>
      </c>
      <c r="I21" s="71">
        <f>'FS-AD Daily '!F25</f>
        <v>5430</v>
      </c>
      <c r="J21" s="71">
        <f>'FS-AD Daily '!G25</f>
        <v>2621</v>
      </c>
      <c r="K21" s="71">
        <f>'FS-AD Daily '!H25</f>
        <v>3536</v>
      </c>
      <c r="L21" s="71">
        <f>'FS-AD Daily '!I25</f>
        <v>2180</v>
      </c>
      <c r="M21" s="71">
        <f>'FS-AD Daily '!J25</f>
        <v>7062</v>
      </c>
      <c r="N21" s="71">
        <f>'FS-AD Daily '!T25</f>
        <v>230.55799999999908</v>
      </c>
      <c r="O21" s="71">
        <f>'FS-AD Daily '!R25</f>
        <v>77.525999999998021</v>
      </c>
      <c r="P21" s="71">
        <f>'FS-AD Daily '!Z25</f>
        <v>773</v>
      </c>
      <c r="Q21" s="71">
        <f>'FS-AD Daily '!V25</f>
        <v>214.90000000002328</v>
      </c>
      <c r="R21" s="71">
        <f>'FS-AD Daily '!W25</f>
        <v>168.5</v>
      </c>
      <c r="S21" s="71">
        <f t="shared" si="0"/>
        <v>389.59999999997672</v>
      </c>
      <c r="T21" s="71">
        <f>'FS-AD Daily '!AD25*3.516</f>
        <v>46309.235999999997</v>
      </c>
      <c r="U21" s="71">
        <f>('FS-AD Daily '!AF25)*1000</f>
        <v>23300.00000000291</v>
      </c>
      <c r="V21" s="71">
        <f>('FS-AD Daily '!AG25)*1000</f>
        <v>0</v>
      </c>
      <c r="W21" s="71">
        <f>'FS-AD Daily '!AH25*1000</f>
        <v>7099.9999999985448</v>
      </c>
      <c r="X21" s="71">
        <f>('FS-AD Daily '!AK25)*1000</f>
        <v>24300.00000000291</v>
      </c>
      <c r="Y21" s="71">
        <v>161</v>
      </c>
      <c r="Z21" s="104">
        <v>214</v>
      </c>
    </row>
    <row r="22" spans="1:26" x14ac:dyDescent="0.25">
      <c r="A22" s="103" t="s">
        <v>80</v>
      </c>
      <c r="B22" s="69">
        <f t="shared" si="1"/>
        <v>21</v>
      </c>
      <c r="C22" s="70">
        <v>2</v>
      </c>
      <c r="D22" s="69">
        <v>2022</v>
      </c>
      <c r="E22" s="71">
        <f>'FS-AD Daily '!B26</f>
        <v>6627</v>
      </c>
      <c r="F22" s="71">
        <f>'FS-AD Daily '!C26</f>
        <v>4665</v>
      </c>
      <c r="G22" s="71">
        <f>'FS-AD Daily '!D26</f>
        <v>804</v>
      </c>
      <c r="H22" s="71">
        <f>'FS-AD Daily '!E26</f>
        <v>6508</v>
      </c>
      <c r="I22" s="71">
        <f>'FS-AD Daily '!F26</f>
        <v>5803</v>
      </c>
      <c r="J22" s="71">
        <f>'FS-AD Daily '!G26</f>
        <v>2869</v>
      </c>
      <c r="K22" s="71">
        <f>'FS-AD Daily '!H26</f>
        <v>3780</v>
      </c>
      <c r="L22" s="71">
        <f>'FS-AD Daily '!I26</f>
        <v>2272</v>
      </c>
      <c r="M22" s="71">
        <f>'FS-AD Daily '!J26</f>
        <v>6663</v>
      </c>
      <c r="N22" s="71">
        <f>'FS-AD Daily '!T26</f>
        <v>208.79999999999927</v>
      </c>
      <c r="O22" s="71">
        <f>'FS-AD Daily '!R26</f>
        <v>73.024999999999636</v>
      </c>
      <c r="P22" s="71">
        <f>'FS-AD Daily '!Z26</f>
        <v>807</v>
      </c>
      <c r="Q22" s="71">
        <f>'FS-AD Daily '!V26</f>
        <v>226.5</v>
      </c>
      <c r="R22" s="71">
        <f>'FS-AD Daily '!W26</f>
        <v>194.95000000001164</v>
      </c>
      <c r="S22" s="71">
        <f t="shared" si="0"/>
        <v>385.54999999998836</v>
      </c>
      <c r="T22" s="71">
        <f>'FS-AD Daily '!AD26*3.516</f>
        <v>43721.46</v>
      </c>
      <c r="U22" s="71">
        <f>('FS-AD Daily '!AF26)*1000</f>
        <v>21000</v>
      </c>
      <c r="V22" s="71">
        <f>('FS-AD Daily '!AG26)*1000</f>
        <v>0</v>
      </c>
      <c r="W22" s="71">
        <f>'FS-AD Daily '!AH26*1000</f>
        <v>6000</v>
      </c>
      <c r="X22" s="71">
        <f>('FS-AD Daily '!AK26)*1000</f>
        <v>25000</v>
      </c>
      <c r="Y22" s="71">
        <v>154</v>
      </c>
      <c r="Z22" s="104">
        <v>195</v>
      </c>
    </row>
    <row r="23" spans="1:26" x14ac:dyDescent="0.25">
      <c r="A23" s="103" t="s">
        <v>80</v>
      </c>
      <c r="B23" s="69">
        <f t="shared" si="1"/>
        <v>22</v>
      </c>
      <c r="C23" s="70">
        <v>2</v>
      </c>
      <c r="D23" s="69">
        <v>2022</v>
      </c>
      <c r="E23" s="71">
        <f>'FS-AD Daily '!B27</f>
        <v>8407</v>
      </c>
      <c r="F23" s="71">
        <f>'FS-AD Daily '!C27</f>
        <v>4788</v>
      </c>
      <c r="G23" s="71">
        <f>'FS-AD Daily '!D27</f>
        <v>890</v>
      </c>
      <c r="H23" s="71">
        <f>'FS-AD Daily '!E27</f>
        <v>6499</v>
      </c>
      <c r="I23" s="71">
        <f>'FS-AD Daily '!F27</f>
        <v>5924</v>
      </c>
      <c r="J23" s="71">
        <f>'FS-AD Daily '!G27</f>
        <v>2822</v>
      </c>
      <c r="K23" s="71">
        <f>'FS-AD Daily '!H27</f>
        <v>3707</v>
      </c>
      <c r="L23" s="71">
        <f>'FS-AD Daily '!I27</f>
        <v>2139</v>
      </c>
      <c r="M23" s="71">
        <f>'FS-AD Daily '!J27</f>
        <v>6800</v>
      </c>
      <c r="N23" s="71">
        <f>'FS-AD Daily '!T27</f>
        <v>200.44000000000051</v>
      </c>
      <c r="O23" s="71">
        <f>'FS-AD Daily '!R27</f>
        <v>72.754000000000815</v>
      </c>
      <c r="P23" s="71">
        <f>'FS-AD Daily '!Z27</f>
        <v>773</v>
      </c>
      <c r="Q23" s="71">
        <f>'FS-AD Daily '!V27</f>
        <v>207.59999999997672</v>
      </c>
      <c r="R23" s="71">
        <f>'FS-AD Daily '!W27</f>
        <v>174.25</v>
      </c>
      <c r="S23" s="71">
        <f t="shared" si="0"/>
        <v>391.15000000002328</v>
      </c>
      <c r="T23" s="71">
        <f>'FS-AD Daily '!AD27*3.516</f>
        <v>36988.32</v>
      </c>
      <c r="U23" s="71">
        <f>('FS-AD Daily '!AF27)*1000</f>
        <v>20500</v>
      </c>
      <c r="V23" s="71">
        <f>('FS-AD Daily '!AG27)*1000</f>
        <v>0</v>
      </c>
      <c r="W23" s="71">
        <f>'FS-AD Daily '!AH27*1000</f>
        <v>6799.9999999992724</v>
      </c>
      <c r="X23" s="71">
        <f>('FS-AD Daily '!AK27)*1000</f>
        <v>23500</v>
      </c>
      <c r="Y23" s="71">
        <v>185</v>
      </c>
      <c r="Z23" s="104">
        <v>236</v>
      </c>
    </row>
    <row r="24" spans="1:26" x14ac:dyDescent="0.25">
      <c r="A24" s="103" t="s">
        <v>80</v>
      </c>
      <c r="B24" s="69">
        <f t="shared" si="1"/>
        <v>23</v>
      </c>
      <c r="C24" s="70">
        <v>2</v>
      </c>
      <c r="D24" s="69">
        <v>2022</v>
      </c>
      <c r="E24" s="71">
        <f>'FS-AD Daily '!B28</f>
        <v>6718</v>
      </c>
      <c r="F24" s="71">
        <f>'FS-AD Daily '!C28</f>
        <v>4825</v>
      </c>
      <c r="G24" s="71">
        <f>'FS-AD Daily '!D28</f>
        <v>951</v>
      </c>
      <c r="H24" s="71">
        <f>'FS-AD Daily '!E28</f>
        <v>6593</v>
      </c>
      <c r="I24" s="71">
        <f>'FS-AD Daily '!F28</f>
        <v>5947</v>
      </c>
      <c r="J24" s="71">
        <f>'FS-AD Daily '!G28</f>
        <v>2800</v>
      </c>
      <c r="K24" s="71">
        <f>'FS-AD Daily '!H28</f>
        <v>3765</v>
      </c>
      <c r="L24" s="71">
        <f>'FS-AD Daily '!I28</f>
        <v>2227</v>
      </c>
      <c r="M24" s="71">
        <f>'FS-AD Daily '!J28</f>
        <v>6950</v>
      </c>
      <c r="N24" s="71">
        <f>'FS-AD Daily '!T28</f>
        <v>210.85499999999956</v>
      </c>
      <c r="O24" s="71">
        <f>'FS-AD Daily '!R28</f>
        <v>69.554000000000087</v>
      </c>
      <c r="P24" s="71">
        <f>'FS-AD Daily '!Z28</f>
        <v>829</v>
      </c>
      <c r="Q24" s="71">
        <f>'FS-AD Daily '!V28</f>
        <v>239</v>
      </c>
      <c r="R24" s="71">
        <f>'FS-AD Daily '!W28</f>
        <v>184</v>
      </c>
      <c r="S24" s="71">
        <f t="shared" si="0"/>
        <v>406</v>
      </c>
      <c r="T24" s="71">
        <f>'FS-AD Daily '!AD28*3.516</f>
        <v>40434</v>
      </c>
      <c r="U24" s="71">
        <f>('FS-AD Daily '!AF28)*1000</f>
        <v>22000</v>
      </c>
      <c r="V24" s="71">
        <f>('FS-AD Daily '!AG28)*1000</f>
        <v>0</v>
      </c>
      <c r="W24" s="71">
        <f>'FS-AD Daily '!AH28*1000</f>
        <v>6000</v>
      </c>
      <c r="X24" s="71">
        <f>('FS-AD Daily '!AK28)*1000</f>
        <v>24000</v>
      </c>
      <c r="Y24" s="71">
        <v>184</v>
      </c>
      <c r="Z24" s="104">
        <v>238</v>
      </c>
    </row>
    <row r="25" spans="1:26" x14ac:dyDescent="0.25">
      <c r="A25" s="103" t="s">
        <v>80</v>
      </c>
      <c r="B25" s="69">
        <f t="shared" si="1"/>
        <v>24</v>
      </c>
      <c r="C25" s="70">
        <v>2</v>
      </c>
      <c r="D25" s="69">
        <v>2022</v>
      </c>
      <c r="E25" s="71">
        <f>'FS-AD Daily '!B29</f>
        <v>6322</v>
      </c>
      <c r="F25" s="71">
        <f>'FS-AD Daily '!C29</f>
        <v>5225</v>
      </c>
      <c r="G25" s="71">
        <f>'FS-AD Daily '!D29</f>
        <v>944</v>
      </c>
      <c r="H25" s="71">
        <f>'FS-AD Daily '!E29</f>
        <v>6550</v>
      </c>
      <c r="I25" s="71">
        <f>'FS-AD Daily '!F29</f>
        <v>6070</v>
      </c>
      <c r="J25" s="71">
        <f>'FS-AD Daily '!G29</f>
        <v>2907</v>
      </c>
      <c r="K25" s="71">
        <f>'FS-AD Daily '!H29</f>
        <v>3778</v>
      </c>
      <c r="L25" s="71">
        <f>'FS-AD Daily '!I29</f>
        <v>2237</v>
      </c>
      <c r="M25" s="71">
        <f>'FS-AD Daily '!J29</f>
        <v>7058</v>
      </c>
      <c r="N25" s="71">
        <f>'FS-AD Daily '!T29</f>
        <v>220.17599999999948</v>
      </c>
      <c r="O25" s="71">
        <f>'FS-AD Daily '!R29</f>
        <v>79.352999999999156</v>
      </c>
      <c r="P25" s="71">
        <f>'FS-AD Daily '!Z29</f>
        <v>862</v>
      </c>
      <c r="Q25" s="71">
        <f>'FS-AD Daily '!V29</f>
        <v>273</v>
      </c>
      <c r="R25" s="71">
        <f>'FS-AD Daily '!W29</f>
        <v>182</v>
      </c>
      <c r="S25" s="71">
        <f t="shared" si="0"/>
        <v>407</v>
      </c>
      <c r="T25" s="71">
        <f>'FS-AD Daily '!AD29*3.516</f>
        <v>43264.38</v>
      </c>
      <c r="U25" s="71">
        <f>('FS-AD Daily '!AF29)*1000</f>
        <v>23000</v>
      </c>
      <c r="V25" s="71">
        <f>('FS-AD Daily '!AG29)*1000</f>
        <v>0</v>
      </c>
      <c r="W25" s="71">
        <f>'FS-AD Daily '!AH29*1000</f>
        <v>7000</v>
      </c>
      <c r="X25" s="71">
        <f>('FS-AD Daily '!AK29)*1000</f>
        <v>25699.99999999709</v>
      </c>
      <c r="Y25" s="71">
        <v>183</v>
      </c>
      <c r="Z25" s="104">
        <v>242</v>
      </c>
    </row>
    <row r="26" spans="1:26" x14ac:dyDescent="0.25">
      <c r="A26" s="103" t="s">
        <v>80</v>
      </c>
      <c r="B26" s="69">
        <f>B25+1</f>
        <v>25</v>
      </c>
      <c r="C26" s="70">
        <v>2</v>
      </c>
      <c r="D26" s="69">
        <v>2022</v>
      </c>
      <c r="E26" s="71">
        <f>'FS-AD Daily '!B30</f>
        <v>5772</v>
      </c>
      <c r="F26" s="71">
        <f>'FS-AD Daily '!C30</f>
        <v>5102</v>
      </c>
      <c r="G26" s="71">
        <f>'FS-AD Daily '!D30</f>
        <v>931</v>
      </c>
      <c r="H26" s="71">
        <f>'FS-AD Daily '!E30</f>
        <v>6669</v>
      </c>
      <c r="I26" s="71">
        <f>'FS-AD Daily '!F30</f>
        <v>6174</v>
      </c>
      <c r="J26" s="71">
        <f>'FS-AD Daily '!G30</f>
        <v>3000</v>
      </c>
      <c r="K26" s="71">
        <f>'FS-AD Daily '!H30</f>
        <v>3842</v>
      </c>
      <c r="L26" s="71">
        <f>'FS-AD Daily '!I30</f>
        <v>2140</v>
      </c>
      <c r="M26" s="71">
        <f>'FS-AD Daily '!J30</f>
        <v>6844</v>
      </c>
      <c r="N26" s="71">
        <f>'FS-AD Daily '!T30</f>
        <v>224.67000000000007</v>
      </c>
      <c r="O26" s="71">
        <f>'FS-AD Daily '!R30</f>
        <v>75.778000000001157</v>
      </c>
      <c r="P26" s="71">
        <f>'FS-AD Daily '!Z30</f>
        <v>853</v>
      </c>
      <c r="Q26" s="71">
        <f>'FS-AD Daily '!V30</f>
        <v>263</v>
      </c>
      <c r="R26" s="71">
        <f>'FS-AD Daily '!W30</f>
        <v>184</v>
      </c>
      <c r="S26" s="71">
        <f t="shared" si="0"/>
        <v>406</v>
      </c>
      <c r="T26" s="71">
        <f>'FS-AD Daily '!AD30*3.516</f>
        <v>45549.78</v>
      </c>
      <c r="U26" s="71">
        <f>('FS-AD Daily '!AF30)*1000</f>
        <v>23000</v>
      </c>
      <c r="V26" s="71">
        <f>('FS-AD Daily '!AG30)*1000</f>
        <v>0</v>
      </c>
      <c r="W26" s="71">
        <f>'FS-AD Daily '!AH30*1000</f>
        <v>6700.0000000007276</v>
      </c>
      <c r="X26" s="71">
        <f>('FS-AD Daily '!AK30)*1000</f>
        <v>25700.000000004366</v>
      </c>
      <c r="Y26" s="71">
        <v>188</v>
      </c>
      <c r="Z26" s="104">
        <v>268</v>
      </c>
    </row>
    <row r="27" spans="1:26" x14ac:dyDescent="0.25">
      <c r="A27" s="103" t="s">
        <v>80</v>
      </c>
      <c r="B27" s="69">
        <f t="shared" si="1"/>
        <v>26</v>
      </c>
      <c r="C27" s="70">
        <v>2</v>
      </c>
      <c r="D27" s="69">
        <v>2022</v>
      </c>
      <c r="E27" s="71">
        <f>'FS-AD Daily '!B31</f>
        <v>5416</v>
      </c>
      <c r="F27" s="71">
        <f>'FS-AD Daily '!C31</f>
        <v>4463</v>
      </c>
      <c r="G27" s="71">
        <f>'FS-AD Daily '!D31</f>
        <v>913</v>
      </c>
      <c r="H27" s="71">
        <f>'FS-AD Daily '!E31</f>
        <v>6686</v>
      </c>
      <c r="I27" s="71">
        <f>'FS-AD Daily '!F31</f>
        <v>6260</v>
      </c>
      <c r="J27" s="71">
        <f>'FS-AD Daily '!G31</f>
        <v>3026</v>
      </c>
      <c r="K27" s="71">
        <f>'FS-AD Daily '!H31</f>
        <v>3843</v>
      </c>
      <c r="L27" s="71">
        <f>'FS-AD Daily '!I31</f>
        <v>2053</v>
      </c>
      <c r="M27" s="71">
        <f>'FS-AD Daily '!J31</f>
        <v>7093</v>
      </c>
      <c r="N27" s="71">
        <f>'FS-AD Daily '!T31</f>
        <v>228.80400000000009</v>
      </c>
      <c r="O27" s="71">
        <f>'FS-AD Daily '!R31</f>
        <v>82.044999999998254</v>
      </c>
      <c r="P27" s="71">
        <f>'FS-AD Daily '!Z31</f>
        <v>913</v>
      </c>
      <c r="Q27" s="71">
        <f>'FS-AD Daily '!V31</f>
        <v>307.90000000002328</v>
      </c>
      <c r="R27" s="71">
        <f>'FS-AD Daily '!W31</f>
        <v>201.82000000000698</v>
      </c>
      <c r="S27" s="71">
        <f t="shared" si="0"/>
        <v>403.27999999996973</v>
      </c>
      <c r="T27" s="71">
        <f>'FS-AD Daily '!AD31*3.516</f>
        <v>47810.567999999999</v>
      </c>
      <c r="U27" s="71">
        <f>('FS-AD Daily '!AF31)*1000</f>
        <v>22000</v>
      </c>
      <c r="V27" s="71">
        <f>('FS-AD Daily '!AG31)*1000</f>
        <v>0</v>
      </c>
      <c r="W27" s="71">
        <f>'FS-AD Daily '!AH31*1000</f>
        <v>7200.0000000007276</v>
      </c>
      <c r="X27" s="71">
        <f>('FS-AD Daily '!AK31)*1000</f>
        <v>26500</v>
      </c>
      <c r="Y27" s="71">
        <v>148</v>
      </c>
      <c r="Z27" s="104">
        <v>237</v>
      </c>
    </row>
    <row r="28" spans="1:26" x14ac:dyDescent="0.25">
      <c r="A28" s="103" t="s">
        <v>80</v>
      </c>
      <c r="B28" s="69">
        <f t="shared" si="1"/>
        <v>27</v>
      </c>
      <c r="C28" s="70">
        <v>2</v>
      </c>
      <c r="D28" s="69">
        <v>2022</v>
      </c>
      <c r="E28" s="71">
        <f>'FS-AD Daily '!B32</f>
        <v>5650</v>
      </c>
      <c r="F28" s="71">
        <f>'FS-AD Daily '!C32</f>
        <v>4368</v>
      </c>
      <c r="G28" s="71">
        <f>'FS-AD Daily '!D32</f>
        <v>940</v>
      </c>
      <c r="H28" s="71">
        <f>'FS-AD Daily '!E32</f>
        <v>6697</v>
      </c>
      <c r="I28" s="71">
        <f>'FS-AD Daily '!F32</f>
        <v>5976</v>
      </c>
      <c r="J28" s="71">
        <f>'FS-AD Daily '!G32</f>
        <v>2908</v>
      </c>
      <c r="K28" s="71">
        <f>'FS-AD Daily '!H32</f>
        <v>3730</v>
      </c>
      <c r="L28" s="71">
        <f>'FS-AD Daily '!I32</f>
        <v>2153</v>
      </c>
      <c r="M28" s="71">
        <f>'FS-AD Daily '!J32</f>
        <v>7061</v>
      </c>
      <c r="N28" s="71">
        <f>'FS-AD Daily '!T32</f>
        <v>199.75200000000041</v>
      </c>
      <c r="O28" s="71">
        <f>'FS-AD Daily '!R32</f>
        <v>77.080000000000837</v>
      </c>
      <c r="P28" s="71">
        <f>'FS-AD Daily '!Z32</f>
        <v>758</v>
      </c>
      <c r="Q28" s="71">
        <f>'FS-AD Daily '!V32</f>
        <v>218.29999999998836</v>
      </c>
      <c r="R28" s="71">
        <f>'FS-AD Daily '!W32</f>
        <v>172.07000000000698</v>
      </c>
      <c r="S28" s="71">
        <f t="shared" si="0"/>
        <v>367.63000000000466</v>
      </c>
      <c r="T28" s="71">
        <f>'FS-AD Daily '!AD32*3.516</f>
        <v>47631.252</v>
      </c>
      <c r="U28" s="71">
        <f>('FS-AD Daily '!AF32)*1000</f>
        <v>21899.999999994179</v>
      </c>
      <c r="V28" s="71">
        <f>('FS-AD Daily '!AG32)*1000</f>
        <v>0</v>
      </c>
      <c r="W28" s="71">
        <f>'FS-AD Daily '!AH32*1000</f>
        <v>7799.9999999992724</v>
      </c>
      <c r="X28" s="71">
        <f>('FS-AD Daily '!AK32)*1000</f>
        <v>25699.99999999709</v>
      </c>
      <c r="Y28" s="71">
        <v>140</v>
      </c>
      <c r="Z28" s="104">
        <v>218</v>
      </c>
    </row>
    <row r="29" spans="1:26" x14ac:dyDescent="0.25">
      <c r="A29" s="103" t="s">
        <v>80</v>
      </c>
      <c r="B29" s="69">
        <f t="shared" si="1"/>
        <v>28</v>
      </c>
      <c r="C29" s="70">
        <v>2</v>
      </c>
      <c r="D29" s="69">
        <v>2022</v>
      </c>
      <c r="E29" s="71">
        <f>'FS-AD Daily '!B33</f>
        <v>6158</v>
      </c>
      <c r="F29" s="71">
        <f>'FS-AD Daily '!C33</f>
        <v>4800</v>
      </c>
      <c r="G29" s="71">
        <f>'FS-AD Daily '!D33</f>
        <v>919</v>
      </c>
      <c r="H29" s="71">
        <f>'FS-AD Daily '!E33</f>
        <v>6896</v>
      </c>
      <c r="I29" s="71">
        <f>'FS-AD Daily '!F33</f>
        <v>6139</v>
      </c>
      <c r="J29" s="71">
        <f>'FS-AD Daily '!G33</f>
        <v>3043</v>
      </c>
      <c r="K29" s="71">
        <f>'FS-AD Daily '!H33</f>
        <v>3865</v>
      </c>
      <c r="L29" s="71">
        <f>'FS-AD Daily '!I33</f>
        <v>2318</v>
      </c>
      <c r="M29" s="71">
        <f>'FS-AD Daily '!J33</f>
        <v>7097</v>
      </c>
      <c r="N29" s="71">
        <f>'FS-AD Daily '!T33</f>
        <v>206.1710000000021</v>
      </c>
      <c r="O29" s="71">
        <f>'FS-AD Daily '!R33</f>
        <v>70.565999999998894</v>
      </c>
      <c r="P29" s="71">
        <f>'FS-AD Daily '!Z33</f>
        <v>786</v>
      </c>
      <c r="Q29" s="71">
        <f>'FS-AD Daily '!V33</f>
        <v>232.40000000002328</v>
      </c>
      <c r="R29" s="71">
        <f>'FS-AD Daily '!W33</f>
        <v>176.73999999999069</v>
      </c>
      <c r="S29" s="71">
        <f t="shared" si="0"/>
        <v>376.85999999998603</v>
      </c>
      <c r="T29" s="71">
        <f>'FS-AD Daily '!AD33*3.516</f>
        <v>52142.28</v>
      </c>
      <c r="U29" s="71">
        <f>('FS-AD Daily '!AF33)*1000</f>
        <v>26200.000000011642</v>
      </c>
      <c r="V29" s="71">
        <f>('FS-AD Daily '!AG33)*1000</f>
        <v>0</v>
      </c>
      <c r="W29" s="71">
        <f>'FS-AD Daily '!AH33*1000</f>
        <v>8099.9999999985448</v>
      </c>
      <c r="X29" s="71">
        <f>('FS-AD Daily '!AK33)*1000</f>
        <v>27900.000000001455</v>
      </c>
      <c r="Y29" s="71">
        <v>177</v>
      </c>
      <c r="Z29" s="104">
        <v>251</v>
      </c>
    </row>
    <row r="30" spans="1:26" x14ac:dyDescent="0.25">
      <c r="A30" s="103" t="s">
        <v>80</v>
      </c>
      <c r="B30" s="69">
        <f t="shared" si="1"/>
        <v>29</v>
      </c>
      <c r="C30" s="70">
        <v>2</v>
      </c>
      <c r="D30" s="69">
        <v>2022</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t="str">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x14ac:dyDescent="0.25">
      <c r="A31" s="103" t="s">
        <v>80</v>
      </c>
      <c r="B31" s="69">
        <f t="shared" si="1"/>
        <v>30</v>
      </c>
      <c r="C31" s="70">
        <v>2</v>
      </c>
      <c r="D31" s="69">
        <v>2022</v>
      </c>
      <c r="E31" s="71">
        <f>'FS-AD Daily '!B35</f>
        <v>0</v>
      </c>
      <c r="F31" s="71">
        <f>'FS-AD Daily '!C35</f>
        <v>0</v>
      </c>
      <c r="G31" s="71">
        <f>'FS-AD Daily '!D35</f>
        <v>0</v>
      </c>
      <c r="H31" s="71">
        <f>'FS-AD Daily '!E35</f>
        <v>0</v>
      </c>
      <c r="I31" s="71">
        <f>'FS-AD Daily '!F35</f>
        <v>0</v>
      </c>
      <c r="J31" s="71">
        <f>'FS-AD Daily '!G35</f>
        <v>0</v>
      </c>
      <c r="K31" s="71">
        <f>'FS-AD Daily '!H35</f>
        <v>0</v>
      </c>
      <c r="L31" s="71">
        <f>'FS-AD Daily '!I35</f>
        <v>0</v>
      </c>
      <c r="M31" s="71">
        <f>'FS-AD Daily '!J35</f>
        <v>0</v>
      </c>
      <c r="N31" s="71">
        <f>'FS-AD Daily '!T35</f>
        <v>0</v>
      </c>
      <c r="O31" s="71">
        <f>'FS-AD Daily '!R35</f>
        <v>0</v>
      </c>
      <c r="P31" s="71">
        <f>'FS-AD Daily '!Z35</f>
        <v>0</v>
      </c>
      <c r="Q31" s="71">
        <f>'FS-AD Daily '!V35</f>
        <v>0</v>
      </c>
      <c r="R31" s="71">
        <f>'FS-AD Daily '!W35</f>
        <v>0</v>
      </c>
      <c r="S31" s="71">
        <f t="shared" ref="S31:S32" si="2">P31-Q31-R31</f>
        <v>0</v>
      </c>
      <c r="T31" s="71">
        <f>'FS-AD Daily '!AD35*3.516</f>
        <v>0</v>
      </c>
      <c r="U31" s="71">
        <f>('FS-AD Daily '!AF35)*1000</f>
        <v>0</v>
      </c>
      <c r="V31" s="71">
        <f>('FS-AD Daily '!AG35)*1000</f>
        <v>0</v>
      </c>
      <c r="W31" s="71">
        <f>'FS-AD Daily '!AH35*1000</f>
        <v>0</v>
      </c>
      <c r="X31" s="71">
        <f>('FS-AD Daily '!AK35)*1000</f>
        <v>0</v>
      </c>
      <c r="Y31" s="71">
        <f>'FS-AD Daily '!AN35</f>
        <v>0</v>
      </c>
      <c r="Z31" s="121"/>
    </row>
    <row r="32" spans="1:26" ht="15.75" thickBot="1" x14ac:dyDescent="0.3">
      <c r="A32" s="103" t="s">
        <v>80</v>
      </c>
      <c r="B32" s="69">
        <f t="shared" si="1"/>
        <v>31</v>
      </c>
      <c r="C32" s="70">
        <v>2</v>
      </c>
      <c r="D32" s="69">
        <v>2022</v>
      </c>
      <c r="E32" s="71">
        <f>'FS-AD Daily '!B36</f>
        <v>0</v>
      </c>
      <c r="F32" s="71">
        <f>'FS-AD Daily '!C36</f>
        <v>0</v>
      </c>
      <c r="G32" s="71">
        <f>'FS-AD Daily '!D36</f>
        <v>0</v>
      </c>
      <c r="H32" s="71">
        <f>'FS-AD Daily '!E36</f>
        <v>0</v>
      </c>
      <c r="I32" s="71">
        <f>'FS-AD Daily '!F36</f>
        <v>0</v>
      </c>
      <c r="J32" s="71">
        <f>'FS-AD Daily '!G36</f>
        <v>0</v>
      </c>
      <c r="K32" s="71">
        <f>'FS-AD Daily '!H36</f>
        <v>0</v>
      </c>
      <c r="L32" s="71">
        <f>'FS-AD Daily '!I36</f>
        <v>0</v>
      </c>
      <c r="M32" s="71">
        <f>'FS-AD Daily '!J36</f>
        <v>0</v>
      </c>
      <c r="N32" s="71">
        <f>'FS-AD Daily '!T36</f>
        <v>0</v>
      </c>
      <c r="O32" s="71">
        <f>'FS-AD Daily '!R36</f>
        <v>0</v>
      </c>
      <c r="P32" s="71">
        <f>'FS-AD Daily '!Z36</f>
        <v>0</v>
      </c>
      <c r="Q32" s="71">
        <f>'FS-AD Daily '!V36</f>
        <v>0</v>
      </c>
      <c r="R32" s="71">
        <f>'FS-AD Daily '!W36</f>
        <v>0</v>
      </c>
      <c r="S32" s="71">
        <f t="shared" si="2"/>
        <v>0</v>
      </c>
      <c r="T32" s="71">
        <f>'FS-AD Daily '!AD36*3.516</f>
        <v>0</v>
      </c>
      <c r="U32" s="71">
        <f>('FS-AD Daily '!AF36)*1000</f>
        <v>0</v>
      </c>
      <c r="V32" s="71">
        <f>('FS-AD Daily '!AG36)*1000</f>
        <v>0</v>
      </c>
      <c r="W32" s="71">
        <f>'FS-AD Daily '!AH36*1000</f>
        <v>0</v>
      </c>
      <c r="X32" s="71">
        <f>('FS-AD Daily '!AK36)*1000</f>
        <v>0</v>
      </c>
      <c r="Y32" s="71">
        <f>'FS-AD Daily '!AN36</f>
        <v>0</v>
      </c>
      <c r="Z32" s="105"/>
    </row>
    <row r="33" spans="9:26" x14ac:dyDescent="0.25">
      <c r="I33" s="4">
        <f t="shared" ref="I33:W33" si="3">SUM(I2:I32)</f>
        <v>163210</v>
      </c>
      <c r="J33" s="4">
        <f t="shared" si="3"/>
        <v>82192</v>
      </c>
      <c r="K33" s="4">
        <f t="shared" si="3"/>
        <v>104752</v>
      </c>
      <c r="L33" s="4">
        <f t="shared" si="3"/>
        <v>62501</v>
      </c>
      <c r="M33" s="4">
        <f t="shared" si="3"/>
        <v>197166</v>
      </c>
      <c r="N33" s="4">
        <f t="shared" si="3"/>
        <v>5827.1160000000036</v>
      </c>
      <c r="O33" s="4">
        <f t="shared" si="3"/>
        <v>2151.7139999999972</v>
      </c>
      <c r="P33" s="4">
        <f t="shared" si="3"/>
        <v>21713</v>
      </c>
      <c r="Q33" s="4">
        <f t="shared" si="3"/>
        <v>6216.1000000000349</v>
      </c>
      <c r="R33" s="4">
        <f t="shared" si="3"/>
        <v>4786.8099999999977</v>
      </c>
      <c r="S33" s="4">
        <f t="shared" si="3"/>
        <v>10710.089999999967</v>
      </c>
      <c r="T33" s="4">
        <f t="shared" si="3"/>
        <v>1156792.1280000003</v>
      </c>
      <c r="U33" s="4">
        <f t="shared" si="3"/>
        <v>584600.00000000582</v>
      </c>
      <c r="V33" s="4">
        <f t="shared" si="3"/>
        <v>0</v>
      </c>
      <c r="W33" s="4">
        <f t="shared" si="3"/>
        <v>186799.99999999927</v>
      </c>
      <c r="X33" s="4">
        <f>'FS-AD Daily '!U38</f>
        <v>28815.151680000046</v>
      </c>
      <c r="Y33" s="4">
        <f>SUM(Y2:Y32)</f>
        <v>4545</v>
      </c>
      <c r="Z33" s="4">
        <f>SUM(Z2:Z32)</f>
        <v>6191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85" zoomScaleNormal="85" workbookViewId="0">
      <pane ySplit="5" topLeftCell="A18" activePane="bottomLeft" state="frozen"/>
      <selection pane="bottomLeft" activeCell="AN10" sqref="AN10"/>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4" t="s">
        <v>14</v>
      </c>
      <c r="C1" s="124"/>
      <c r="D1" s="124"/>
      <c r="E1" s="124"/>
      <c r="F1" s="124"/>
      <c r="G1" s="124"/>
      <c r="H1" s="124"/>
      <c r="I1" s="124"/>
      <c r="J1" s="124"/>
      <c r="K1" s="25" t="s">
        <v>15</v>
      </c>
      <c r="L1" s="26" t="s">
        <v>16</v>
      </c>
      <c r="M1" s="27" t="s">
        <v>17</v>
      </c>
      <c r="N1" s="28" t="s">
        <v>18</v>
      </c>
      <c r="O1" s="28" t="s">
        <v>19</v>
      </c>
      <c r="P1" s="65" t="s">
        <v>20</v>
      </c>
      <c r="Q1" s="30" t="s">
        <v>21</v>
      </c>
      <c r="R1" s="31" t="s">
        <v>22</v>
      </c>
      <c r="S1" s="29" t="s">
        <v>23</v>
      </c>
      <c r="T1" s="32" t="s">
        <v>24</v>
      </c>
      <c r="U1" s="33" t="s">
        <v>25</v>
      </c>
      <c r="V1" s="32" t="s">
        <v>26</v>
      </c>
      <c r="W1" s="32" t="s">
        <v>27</v>
      </c>
      <c r="X1" s="125" t="s">
        <v>28</v>
      </c>
      <c r="Y1" s="125"/>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6" t="s">
        <v>41</v>
      </c>
      <c r="L2" s="128" t="s">
        <v>42</v>
      </c>
      <c r="M2" s="10"/>
      <c r="N2" s="10"/>
      <c r="O2" s="10"/>
      <c r="P2" s="10"/>
      <c r="Q2" s="10"/>
      <c r="R2" s="10"/>
      <c r="S2" s="130"/>
      <c r="T2" s="47"/>
      <c r="U2" s="131"/>
      <c r="V2" s="45"/>
      <c r="W2" s="45"/>
      <c r="X2" s="22">
        <v>1</v>
      </c>
      <c r="Y2" s="22">
        <v>2</v>
      </c>
      <c r="Z2" s="23"/>
      <c r="AA2" s="128" t="s">
        <v>100</v>
      </c>
      <c r="AB2" s="43"/>
      <c r="AC2" s="126" t="s">
        <v>43</v>
      </c>
      <c r="AD2" s="133"/>
      <c r="AE2" s="131" t="s">
        <v>102</v>
      </c>
      <c r="AF2" s="45"/>
      <c r="AG2" s="45"/>
      <c r="AH2" s="45"/>
      <c r="AI2" s="44"/>
      <c r="AJ2" s="44"/>
      <c r="AK2" s="44"/>
      <c r="AL2" s="44"/>
      <c r="AM2" s="131" t="s">
        <v>102</v>
      </c>
      <c r="AN2" s="134"/>
      <c r="AO2" s="132"/>
    </row>
    <row r="3" spans="1:44" ht="15" customHeight="1" x14ac:dyDescent="0.25">
      <c r="A3" s="9"/>
      <c r="B3" s="11" t="s">
        <v>44</v>
      </c>
      <c r="C3" s="11" t="s">
        <v>45</v>
      </c>
      <c r="D3" s="11" t="s">
        <v>46</v>
      </c>
      <c r="E3" s="11" t="s">
        <v>47</v>
      </c>
      <c r="F3" s="11" t="s">
        <v>48</v>
      </c>
      <c r="G3" s="11" t="s">
        <v>49</v>
      </c>
      <c r="H3" s="11" t="s">
        <v>50</v>
      </c>
      <c r="I3" s="11" t="s">
        <v>51</v>
      </c>
      <c r="J3" s="11" t="s">
        <v>52</v>
      </c>
      <c r="K3" s="127"/>
      <c r="L3" s="129"/>
      <c r="M3" s="10"/>
      <c r="N3" s="10"/>
      <c r="O3" s="10"/>
      <c r="P3" s="10"/>
      <c r="Q3" s="10"/>
      <c r="R3" s="10"/>
      <c r="S3" s="130"/>
      <c r="T3" s="47"/>
      <c r="U3" s="131"/>
      <c r="V3" s="45"/>
      <c r="W3" s="45"/>
      <c r="X3" s="11"/>
      <c r="Y3" s="11"/>
      <c r="Z3" s="12"/>
      <c r="AA3" s="128"/>
      <c r="AB3" s="43"/>
      <c r="AC3" s="126"/>
      <c r="AD3" s="133"/>
      <c r="AE3" s="131"/>
      <c r="AF3" s="45"/>
      <c r="AG3" s="45"/>
      <c r="AH3" s="45"/>
      <c r="AI3" s="13"/>
      <c r="AJ3" s="44"/>
      <c r="AK3" s="44"/>
      <c r="AL3" s="44"/>
      <c r="AM3" s="131"/>
      <c r="AN3" s="134"/>
      <c r="AO3" s="132"/>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0"/>
      <c r="T4" s="47"/>
      <c r="U4" s="131"/>
      <c r="V4" s="45"/>
      <c r="W4" s="45"/>
      <c r="X4" s="52"/>
      <c r="Y4" s="87">
        <v>990074</v>
      </c>
      <c r="Z4" s="12"/>
      <c r="AA4" s="128"/>
      <c r="AB4" s="86">
        <v>11000507</v>
      </c>
      <c r="AC4" s="126"/>
      <c r="AD4" s="133"/>
      <c r="AE4" s="131"/>
      <c r="AF4" s="45"/>
      <c r="AG4" s="45"/>
      <c r="AH4" s="45"/>
      <c r="AI4" s="43">
        <v>50926</v>
      </c>
      <c r="AJ4" s="43"/>
      <c r="AK4" s="43"/>
      <c r="AL4" s="43"/>
      <c r="AM4" s="131"/>
      <c r="AN4" s="134"/>
      <c r="AO4" s="132"/>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44593</v>
      </c>
      <c r="B6" s="86">
        <f>13409334-13403451</f>
        <v>5883</v>
      </c>
      <c r="C6" s="86">
        <f>8571749-8567006</f>
        <v>4743</v>
      </c>
      <c r="D6" s="86">
        <f>1700432-1699547</f>
        <v>885</v>
      </c>
      <c r="E6" s="86">
        <f>12855201-12848343</f>
        <v>6858</v>
      </c>
      <c r="F6" s="86">
        <f>12733068-12727227</f>
        <v>5841</v>
      </c>
      <c r="G6" s="86">
        <f>8941432-8938143</f>
        <v>3289</v>
      </c>
      <c r="H6" s="86">
        <f>9764526-9760753</f>
        <v>3773</v>
      </c>
      <c r="I6" s="86">
        <f>5693846-5691489</f>
        <v>2357</v>
      </c>
      <c r="J6" s="86">
        <f>13005944-12999294</f>
        <v>6650</v>
      </c>
      <c r="K6" s="63">
        <f>SUM(B6:H6)</f>
        <v>31272</v>
      </c>
      <c r="L6" s="40">
        <f>K6*0.2</f>
        <v>6254.4000000000005</v>
      </c>
      <c r="M6" s="83">
        <f>11658.849-11491.922</f>
        <v>166.92699999999968</v>
      </c>
      <c r="N6" s="83">
        <f>4719.731-4716.278</f>
        <v>3.4529999999995198</v>
      </c>
      <c r="O6" s="83">
        <f>10475.314-10475.165</f>
        <v>0.14899999999943248</v>
      </c>
      <c r="P6" s="82">
        <f>5556.219-5480</f>
        <v>76.219000000000051</v>
      </c>
      <c r="Q6" s="83">
        <f>27311.149-27311.045</f>
        <v>0.10400000000299769</v>
      </c>
      <c r="R6" s="84">
        <f t="shared" ref="R6:R34" si="0">N6+O6+P6</f>
        <v>79.820999999999003</v>
      </c>
      <c r="S6" s="84">
        <f t="shared" ref="S6:S34" si="1">(N6+O6+P6)*7.84</f>
        <v>625.79663999999218</v>
      </c>
      <c r="T6" s="64">
        <f t="shared" ref="T6:T34" si="2">M6+Q6</f>
        <v>167.03100000000268</v>
      </c>
      <c r="U6" s="84">
        <f>T6*7.84</f>
        <v>1309.523040000021</v>
      </c>
      <c r="V6" s="84">
        <f>397750.1-397585.3</f>
        <v>164.79999999998836</v>
      </c>
      <c r="W6" s="84">
        <f>148660.47-148483.07</f>
        <v>177.39999999999418</v>
      </c>
      <c r="X6" s="85" t="s">
        <v>63</v>
      </c>
      <c r="Y6" s="85">
        <v>990776</v>
      </c>
      <c r="Z6" s="61">
        <f>IF((Y6-Y5&lt;0), "0",Y6-Y4)</f>
        <v>702</v>
      </c>
      <c r="AA6" s="90">
        <f>Z6*6.47</f>
        <v>4541.9399999999996</v>
      </c>
      <c r="AB6" s="75">
        <v>11012683</v>
      </c>
      <c r="AC6" s="75">
        <f>AB4</f>
        <v>11000507</v>
      </c>
      <c r="AD6" s="41">
        <f t="shared" ref="AD6:AD34" si="3">IF((AB6-AC6&lt;0), "0",AB6-AC6)</f>
        <v>12176</v>
      </c>
      <c r="AE6" s="84">
        <f>AD6*0.327795</f>
        <v>3991.2319200000002</v>
      </c>
      <c r="AF6" s="84">
        <f>96379.9-96358</f>
        <v>21.899999999994179</v>
      </c>
      <c r="AG6" s="84">
        <f t="shared" ref="AG6:AG11" si="4">50692.5-50692.5</f>
        <v>0</v>
      </c>
      <c r="AH6" s="84">
        <f>30447.9-30440.8</f>
        <v>7.1000000000021828</v>
      </c>
      <c r="AI6" s="75">
        <f>AI4</f>
        <v>50926</v>
      </c>
      <c r="AJ6" s="75">
        <v>50951.7</v>
      </c>
      <c r="AK6" s="59">
        <f>IF((AJ6-AI6)&lt;0, "0",AJ6-AI6)</f>
        <v>25.69999999999709</v>
      </c>
      <c r="AL6" s="120">
        <f t="shared" ref="AL6:AL34" si="5">AK6*(284.34513609)</f>
        <v>7307.6699975121719</v>
      </c>
      <c r="AM6" s="84">
        <f>AL6*0.327795</f>
        <v>2395.4176868345025</v>
      </c>
      <c r="AN6" s="101">
        <v>128</v>
      </c>
      <c r="AO6" s="77">
        <f t="shared" ref="AO6:AO36" si="6">L6+U6+AA6+AE6</f>
        <v>16097.094960000022</v>
      </c>
    </row>
    <row r="7" spans="1:44" x14ac:dyDescent="0.25">
      <c r="A7" s="79">
        <v>44594</v>
      </c>
      <c r="B7" s="86">
        <f>13415510-13409334</f>
        <v>6176</v>
      </c>
      <c r="C7" s="86">
        <f>8576383-8571749</f>
        <v>4634</v>
      </c>
      <c r="D7" s="86">
        <f>1701274-1700432</f>
        <v>842</v>
      </c>
      <c r="E7" s="86">
        <f>12862009-12855201</f>
        <v>6808</v>
      </c>
      <c r="F7" s="86">
        <f>12738829-12733068</f>
        <v>5761</v>
      </c>
      <c r="G7" s="86">
        <f>8944863-8941432</f>
        <v>3431</v>
      </c>
      <c r="H7" s="86">
        <f>9768284-9764526</f>
        <v>3758</v>
      </c>
      <c r="I7" s="86">
        <f>5696128-5693846</f>
        <v>2282</v>
      </c>
      <c r="J7" s="86">
        <f>13012895-13005944</f>
        <v>6951</v>
      </c>
      <c r="K7" s="86">
        <f>SUM(B7:H7)</f>
        <v>31410</v>
      </c>
      <c r="L7" s="14">
        <f>K7*0.2</f>
        <v>6282</v>
      </c>
      <c r="M7" s="83">
        <f>11845.618-11658.849</f>
        <v>186.76900000000023</v>
      </c>
      <c r="N7" s="83">
        <f>4722.517-4719.731</f>
        <v>2.7860000000000582</v>
      </c>
      <c r="O7" s="83">
        <f>10475.557-10475.314</f>
        <v>0.2430000000003929</v>
      </c>
      <c r="P7" s="82">
        <f>5630.803-5556.219</f>
        <v>74.583999999999833</v>
      </c>
      <c r="Q7" s="83">
        <f>27335.651-27311.149</f>
        <v>24.502000000000407</v>
      </c>
      <c r="R7" s="83">
        <f t="shared" si="0"/>
        <v>77.613000000000284</v>
      </c>
      <c r="S7" s="83">
        <f>(N7+O7+P7)*7.84</f>
        <v>608.48592000000224</v>
      </c>
      <c r="T7" s="83">
        <f>M7+Q7</f>
        <v>211.27100000000064</v>
      </c>
      <c r="U7" s="83">
        <f>T7*7.84</f>
        <v>1656.364640000005</v>
      </c>
      <c r="V7" s="83">
        <f>397935.1-397750.1</f>
        <v>185</v>
      </c>
      <c r="W7" s="83">
        <f>148819.45-148660.47</f>
        <v>158.98000000001048</v>
      </c>
      <c r="X7" s="86" t="s">
        <v>63</v>
      </c>
      <c r="Y7" s="86">
        <v>991504</v>
      </c>
      <c r="Z7" s="5">
        <f>IF((Y7-Y6&lt;0), "0",Y7-Y6)</f>
        <v>728</v>
      </c>
      <c r="AA7" s="14">
        <f t="shared" ref="AA7:AA34" si="7">Z7*6.47</f>
        <v>4710.16</v>
      </c>
      <c r="AB7" s="87">
        <v>11024051</v>
      </c>
      <c r="AC7" s="87">
        <f>AB6</f>
        <v>11012683</v>
      </c>
      <c r="AD7" s="5">
        <f t="shared" si="3"/>
        <v>11368</v>
      </c>
      <c r="AE7" s="83">
        <f>AD7*0.327795</f>
        <v>3726.37356</v>
      </c>
      <c r="AF7" s="83">
        <f>96399.5-96379.9</f>
        <v>19.600000000005821</v>
      </c>
      <c r="AG7" s="83">
        <f t="shared" si="4"/>
        <v>0</v>
      </c>
      <c r="AH7" s="83">
        <f>30454.9-30447.9</f>
        <v>7</v>
      </c>
      <c r="AI7" s="87">
        <f>AJ6</f>
        <v>50951.7</v>
      </c>
      <c r="AJ7" s="86">
        <v>50975.5</v>
      </c>
      <c r="AK7" s="48">
        <f t="shared" ref="AK7:AK34" si="8">IF((AJ7-AI7)&lt;0, "0",AJ7-AI7)</f>
        <v>23.80000000000291</v>
      </c>
      <c r="AL7" s="89">
        <f t="shared" si="5"/>
        <v>6767.4142389428271</v>
      </c>
      <c r="AM7" s="83">
        <f>AL7*0.327795</f>
        <v>2218.3245504542642</v>
      </c>
      <c r="AN7" s="71">
        <v>140</v>
      </c>
      <c r="AO7" s="78">
        <f t="shared" si="6"/>
        <v>16374.898200000005</v>
      </c>
    </row>
    <row r="8" spans="1:44" x14ac:dyDescent="0.25">
      <c r="A8" s="79">
        <v>44595</v>
      </c>
      <c r="B8" s="86">
        <f>13422371-13415510</f>
        <v>6861</v>
      </c>
      <c r="C8" s="86">
        <f>8581379-8576383</f>
        <v>4996</v>
      </c>
      <c r="D8" s="86">
        <f>1702156-1701274</f>
        <v>882</v>
      </c>
      <c r="E8" s="86">
        <f>12868910-12862009</f>
        <v>6901</v>
      </c>
      <c r="F8" s="86">
        <f>12744784-12738829</f>
        <v>5955</v>
      </c>
      <c r="G8" s="86">
        <f>8948307-8944863</f>
        <v>3444</v>
      </c>
      <c r="H8" s="86">
        <f>9772117-9768284</f>
        <v>3833</v>
      </c>
      <c r="I8" s="86">
        <f>5698506-5696128</f>
        <v>2378</v>
      </c>
      <c r="J8" s="86">
        <f>13019769-13012895</f>
        <v>6874</v>
      </c>
      <c r="K8" s="86">
        <f>SUM(B8:H8)</f>
        <v>32872</v>
      </c>
      <c r="L8" s="14">
        <f t="shared" ref="L8:L34" si="9">K8*0.2</f>
        <v>6574.4000000000005</v>
      </c>
      <c r="M8" s="83">
        <f>12042.65-11845.618</f>
        <v>197.03199999999924</v>
      </c>
      <c r="N8" s="83">
        <f>4725.273-4722.517</f>
        <v>2.7560000000003129</v>
      </c>
      <c r="O8" s="83">
        <f>10475.769-10475.557</f>
        <v>0.21199999999953434</v>
      </c>
      <c r="P8" s="82">
        <f>5700.025-5630.803</f>
        <v>69.221999999999753</v>
      </c>
      <c r="Q8" s="83">
        <f>27362.034-27335.651</f>
        <v>26.382999999997992</v>
      </c>
      <c r="R8" s="83">
        <f t="shared" si="0"/>
        <v>72.1899999999996</v>
      </c>
      <c r="S8" s="83">
        <f>(N8+O8+P8)*7.84</f>
        <v>565.96959999999683</v>
      </c>
      <c r="T8" s="83">
        <f>M8+Q8</f>
        <v>223.41499999999724</v>
      </c>
      <c r="U8" s="83">
        <f>T8*7.84</f>
        <v>1751.5735999999783</v>
      </c>
      <c r="V8" s="83">
        <f>398154.5-397935.1</f>
        <v>219.40000000002328</v>
      </c>
      <c r="W8" s="83">
        <f>148992.89-148819.45</f>
        <v>173.44000000000233</v>
      </c>
      <c r="X8" s="86" t="s">
        <v>63</v>
      </c>
      <c r="Y8" s="86">
        <v>992299</v>
      </c>
      <c r="Z8" s="5">
        <f t="shared" ref="Z8:Z34" si="10">IF((Y8-Y7&lt;0), "0",Y8-Y7)</f>
        <v>795</v>
      </c>
      <c r="AA8" s="14">
        <f t="shared" si="7"/>
        <v>5143.6499999999996</v>
      </c>
      <c r="AB8" s="87">
        <v>11035871</v>
      </c>
      <c r="AC8" s="87">
        <f t="shared" ref="AC8:AC34" si="11">AB7</f>
        <v>11024051</v>
      </c>
      <c r="AD8" s="5">
        <f t="shared" si="3"/>
        <v>11820</v>
      </c>
      <c r="AE8" s="83">
        <f t="shared" ref="AE8:AE36" si="12">AD8*0.327795</f>
        <v>3874.5369000000001</v>
      </c>
      <c r="AF8" s="83">
        <f>96420.3-96399.5</f>
        <v>20.80000000000291</v>
      </c>
      <c r="AG8" s="83">
        <f t="shared" si="4"/>
        <v>0</v>
      </c>
      <c r="AH8" s="83">
        <f>30461.9-30454.9</f>
        <v>7</v>
      </c>
      <c r="AI8" s="87">
        <f t="shared" ref="AI8:AI36" si="13">AJ7</f>
        <v>50975.5</v>
      </c>
      <c r="AJ8" s="86">
        <v>50998.1</v>
      </c>
      <c r="AK8" s="48">
        <f t="shared" si="8"/>
        <v>22.599999999998545</v>
      </c>
      <c r="AL8" s="89">
        <f t="shared" si="5"/>
        <v>6426.2000756335856</v>
      </c>
      <c r="AM8" s="83">
        <f t="shared" ref="AM8:AM36" si="14">AL8*0.327795</f>
        <v>2106.4762537923111</v>
      </c>
      <c r="AN8" s="71">
        <v>184</v>
      </c>
      <c r="AO8" s="78">
        <f t="shared" si="6"/>
        <v>17344.16049999998</v>
      </c>
    </row>
    <row r="9" spans="1:44" x14ac:dyDescent="0.25">
      <c r="A9" s="79">
        <v>44596</v>
      </c>
      <c r="B9" s="86">
        <f>13428412-13422371</f>
        <v>6041</v>
      </c>
      <c r="C9" s="86">
        <f>8586307-8581379</f>
        <v>4928</v>
      </c>
      <c r="D9" s="86">
        <f>1703120-1702156</f>
        <v>964</v>
      </c>
      <c r="E9" s="86">
        <f>12875750-12868910</f>
        <v>6840</v>
      </c>
      <c r="F9" s="86">
        <f>12750428-12744784</f>
        <v>5644</v>
      </c>
      <c r="G9" s="86">
        <f>8951482-8948307</f>
        <v>3175</v>
      </c>
      <c r="H9" s="86">
        <f>9775808-9772117</f>
        <v>3691</v>
      </c>
      <c r="I9" s="86">
        <f>5700745-5698506</f>
        <v>2239</v>
      </c>
      <c r="J9" s="86">
        <f>13026920-13019769</f>
        <v>7151</v>
      </c>
      <c r="K9" s="86">
        <f t="shared" ref="K9:K34" si="15">SUM(B9:H9)</f>
        <v>31283</v>
      </c>
      <c r="L9" s="14">
        <f t="shared" si="9"/>
        <v>6256.6</v>
      </c>
      <c r="M9" s="83">
        <f>12235.064-12042.65</f>
        <v>192.41400000000067</v>
      </c>
      <c r="N9" s="83">
        <f>4727.906-4725.273</f>
        <v>2.6329999999998108</v>
      </c>
      <c r="O9" s="83">
        <f>10476.083-10475.769</f>
        <v>0.31400000000030559</v>
      </c>
      <c r="P9" s="82">
        <f>5775.005-5700.025</f>
        <v>74.980000000000473</v>
      </c>
      <c r="Q9" s="83">
        <f>27373.305-27362.034</f>
        <v>11.27100000000064</v>
      </c>
      <c r="R9" s="83">
        <f t="shared" si="0"/>
        <v>77.927000000000589</v>
      </c>
      <c r="S9" s="83">
        <f t="shared" si="1"/>
        <v>610.94768000000465</v>
      </c>
      <c r="T9" s="83">
        <f t="shared" si="2"/>
        <v>203.68500000000131</v>
      </c>
      <c r="U9" s="83">
        <f t="shared" ref="U9:U37" si="16">T9*7.84</f>
        <v>1596.8904000000102</v>
      </c>
      <c r="V9" s="83">
        <f>398373-398154.5</f>
        <v>218.5</v>
      </c>
      <c r="W9" s="83">
        <f>149171.69-148992.89</f>
        <v>178.79999999998836</v>
      </c>
      <c r="X9" s="86" t="s">
        <v>63</v>
      </c>
      <c r="Y9" s="86">
        <v>993070</v>
      </c>
      <c r="Z9" s="5">
        <f t="shared" si="10"/>
        <v>771</v>
      </c>
      <c r="AA9" s="14">
        <f t="shared" si="7"/>
        <v>4988.37</v>
      </c>
      <c r="AB9" s="87">
        <v>11048291</v>
      </c>
      <c r="AC9" s="87">
        <f t="shared" si="11"/>
        <v>11035871</v>
      </c>
      <c r="AD9" s="5">
        <f t="shared" si="3"/>
        <v>12420</v>
      </c>
      <c r="AE9" s="83">
        <f t="shared" si="12"/>
        <v>4071.2139000000002</v>
      </c>
      <c r="AF9" s="83">
        <f>96442.3-96420.3</f>
        <v>22</v>
      </c>
      <c r="AG9" s="83">
        <f t="shared" si="4"/>
        <v>0</v>
      </c>
      <c r="AH9" s="83">
        <f>30468.9-30461.9</f>
        <v>7</v>
      </c>
      <c r="AI9" s="87">
        <f t="shared" si="13"/>
        <v>50998.1</v>
      </c>
      <c r="AJ9" s="86">
        <v>51022.1</v>
      </c>
      <c r="AK9" s="48">
        <f t="shared" si="8"/>
        <v>24</v>
      </c>
      <c r="AL9" s="89">
        <f t="shared" si="5"/>
        <v>6824.2832661599996</v>
      </c>
      <c r="AM9" s="83">
        <f t="shared" si="14"/>
        <v>2236.965933230917</v>
      </c>
      <c r="AN9" s="71">
        <v>168</v>
      </c>
      <c r="AO9" s="78">
        <f t="shared" si="6"/>
        <v>16913.074300000011</v>
      </c>
    </row>
    <row r="10" spans="1:44" x14ac:dyDescent="0.25">
      <c r="A10" s="79">
        <v>44597</v>
      </c>
      <c r="B10" s="86">
        <f>13434797-13428412</f>
        <v>6385</v>
      </c>
      <c r="C10" s="86">
        <f>8590837-8586307</f>
        <v>4530</v>
      </c>
      <c r="D10" s="86">
        <f>1704126-1703120</f>
        <v>1006</v>
      </c>
      <c r="E10" s="86">
        <f>12882620-12875750</f>
        <v>6870</v>
      </c>
      <c r="F10" s="86">
        <f>12756275-12750428</f>
        <v>5847</v>
      </c>
      <c r="G10" s="86">
        <f>8954557-8951482</f>
        <v>3075</v>
      </c>
      <c r="H10" s="86">
        <f>9779548-9775808</f>
        <v>3740</v>
      </c>
      <c r="I10" s="86">
        <f>5702923-5700745</f>
        <v>2178</v>
      </c>
      <c r="J10" s="86">
        <f>13034224-13026920</f>
        <v>7304</v>
      </c>
      <c r="K10" s="86">
        <f t="shared" si="15"/>
        <v>31453</v>
      </c>
      <c r="L10" s="14">
        <f t="shared" si="9"/>
        <v>6290.6</v>
      </c>
      <c r="M10" s="83">
        <f>12425.345-12235.064</f>
        <v>190.28099999999904</v>
      </c>
      <c r="N10" s="83">
        <f>4730.4-4727.906</f>
        <v>2.4939999999996871</v>
      </c>
      <c r="O10" s="83">
        <f>10476.324-10476.083</f>
        <v>0.24099999999998545</v>
      </c>
      <c r="P10" s="82">
        <f>5854.333-5775.005</f>
        <v>79.32799999999952</v>
      </c>
      <c r="Q10" s="83">
        <f>27385.778-27373.305</f>
        <v>12.472999999998137</v>
      </c>
      <c r="R10" s="83">
        <f t="shared" si="0"/>
        <v>82.062999999999192</v>
      </c>
      <c r="S10" s="83">
        <f t="shared" si="1"/>
        <v>643.37391999999363</v>
      </c>
      <c r="T10" s="83">
        <f t="shared" si="2"/>
        <v>202.75399999999718</v>
      </c>
      <c r="U10" s="83">
        <f t="shared" si="16"/>
        <v>1589.5913599999778</v>
      </c>
      <c r="V10" s="83">
        <f>398612.5-398373</f>
        <v>239.5</v>
      </c>
      <c r="W10" s="83">
        <f>149349.41-149171.69</f>
        <v>177.72000000000116</v>
      </c>
      <c r="X10" s="86" t="s">
        <v>63</v>
      </c>
      <c r="Y10" s="86">
        <v>993868</v>
      </c>
      <c r="Z10" s="5">
        <f t="shared" si="10"/>
        <v>798</v>
      </c>
      <c r="AA10" s="14">
        <f t="shared" si="7"/>
        <v>5163.0599999999995</v>
      </c>
      <c r="AB10" s="87">
        <v>11060408</v>
      </c>
      <c r="AC10" s="87">
        <f t="shared" si="11"/>
        <v>11048291</v>
      </c>
      <c r="AD10" s="5">
        <f t="shared" si="3"/>
        <v>12117</v>
      </c>
      <c r="AE10" s="83">
        <f t="shared" si="12"/>
        <v>3971.8920149999999</v>
      </c>
      <c r="AF10" s="83">
        <f>96464-96442.3</f>
        <v>21.69999999999709</v>
      </c>
      <c r="AG10" s="83">
        <f t="shared" si="4"/>
        <v>0</v>
      </c>
      <c r="AH10" s="83">
        <f>30476-30468.9</f>
        <v>7.0999999999985448</v>
      </c>
      <c r="AI10" s="87">
        <f t="shared" si="13"/>
        <v>51022.1</v>
      </c>
      <c r="AJ10" s="87">
        <v>51046</v>
      </c>
      <c r="AK10" s="48">
        <f t="shared" si="8"/>
        <v>23.900000000001455</v>
      </c>
      <c r="AL10" s="89">
        <f t="shared" si="5"/>
        <v>6795.8487525514138</v>
      </c>
      <c r="AM10" s="83">
        <f t="shared" si="14"/>
        <v>2227.6452418425906</v>
      </c>
      <c r="AN10" s="71">
        <v>172</v>
      </c>
      <c r="AO10" s="78">
        <f t="shared" si="6"/>
        <v>17015.143374999978</v>
      </c>
    </row>
    <row r="11" spans="1:44" x14ac:dyDescent="0.25">
      <c r="A11" s="79">
        <v>44598</v>
      </c>
      <c r="B11" s="86">
        <f>13442816-13434797</f>
        <v>8019</v>
      </c>
      <c r="C11" s="86">
        <f>8595330-8590837</f>
        <v>4493</v>
      </c>
      <c r="D11" s="86">
        <f>1705096-1704126</f>
        <v>970</v>
      </c>
      <c r="E11" s="86">
        <f>12889216-12882620</f>
        <v>6596</v>
      </c>
      <c r="F11" s="86">
        <f>12761940-12756275</f>
        <v>5665</v>
      </c>
      <c r="G11" s="86">
        <f>8957504-8954557</f>
        <v>2947</v>
      </c>
      <c r="H11" s="86">
        <f>9783225-9779548</f>
        <v>3677</v>
      </c>
      <c r="I11" s="86">
        <f>5705239-5702923</f>
        <v>2316</v>
      </c>
      <c r="J11" s="86">
        <f>13041426-13034224</f>
        <v>7202</v>
      </c>
      <c r="K11" s="86">
        <f t="shared" si="15"/>
        <v>32367</v>
      </c>
      <c r="L11" s="14">
        <f t="shared" si="9"/>
        <v>6473.4000000000005</v>
      </c>
      <c r="M11" s="83">
        <f>12618.111-12425.345</f>
        <v>192.76600000000144</v>
      </c>
      <c r="N11" s="83">
        <f>4731.98-4730.4</f>
        <v>1.5799999999999272</v>
      </c>
      <c r="O11" s="83">
        <f>10476.444-10476.324</f>
        <v>0.11999999999898137</v>
      </c>
      <c r="P11" s="82">
        <f>5923.111-5854.333</f>
        <v>68.778000000000247</v>
      </c>
      <c r="Q11" s="83">
        <f>27408.302-27385.778</f>
        <v>22.524000000001251</v>
      </c>
      <c r="R11" s="83">
        <f t="shared" si="0"/>
        <v>70.477999999999156</v>
      </c>
      <c r="S11" s="83">
        <f t="shared" si="1"/>
        <v>552.54751999999337</v>
      </c>
      <c r="T11" s="83">
        <f t="shared" si="2"/>
        <v>215.29000000000269</v>
      </c>
      <c r="U11" s="83">
        <f t="shared" si="16"/>
        <v>1687.873600000021</v>
      </c>
      <c r="V11" s="83">
        <f>398834-398612.5</f>
        <v>221.5</v>
      </c>
      <c r="W11" s="83">
        <f>149515-149349.41</f>
        <v>165.58999999999651</v>
      </c>
      <c r="X11" s="86" t="s">
        <v>63</v>
      </c>
      <c r="Y11" s="86">
        <v>994642</v>
      </c>
      <c r="Z11" s="5">
        <f t="shared" si="10"/>
        <v>774</v>
      </c>
      <c r="AA11" s="14">
        <f t="shared" si="7"/>
        <v>5007.78</v>
      </c>
      <c r="AB11" s="87">
        <v>11071515</v>
      </c>
      <c r="AC11" s="86">
        <f t="shared" si="11"/>
        <v>11060408</v>
      </c>
      <c r="AD11" s="5">
        <f t="shared" si="3"/>
        <v>11107</v>
      </c>
      <c r="AE11" s="83">
        <f t="shared" si="12"/>
        <v>3640.8190650000001</v>
      </c>
      <c r="AF11" s="83">
        <f>96484-96464</f>
        <v>20</v>
      </c>
      <c r="AG11" s="83">
        <f t="shared" si="4"/>
        <v>0</v>
      </c>
      <c r="AH11" s="83">
        <f>30482-30476</f>
        <v>6</v>
      </c>
      <c r="AI11" s="87">
        <f t="shared" si="13"/>
        <v>51046</v>
      </c>
      <c r="AJ11" s="87">
        <v>51068.800000000003</v>
      </c>
      <c r="AK11" s="48">
        <f t="shared" si="8"/>
        <v>22.80000000000291</v>
      </c>
      <c r="AL11" s="89">
        <f t="shared" si="5"/>
        <v>6483.0691028528272</v>
      </c>
      <c r="AM11" s="83">
        <f t="shared" si="14"/>
        <v>2125.1176365696424</v>
      </c>
      <c r="AN11" s="71">
        <v>183</v>
      </c>
      <c r="AO11" s="78">
        <f t="shared" si="6"/>
        <v>16809.872665000021</v>
      </c>
    </row>
    <row r="12" spans="1:44" x14ac:dyDescent="0.25">
      <c r="A12" s="79">
        <v>44599</v>
      </c>
      <c r="B12" s="86">
        <f>13451150-13442816</f>
        <v>8334</v>
      </c>
      <c r="C12" s="86">
        <f>8600111-8595330</f>
        <v>4781</v>
      </c>
      <c r="D12" s="86">
        <f>1706015-1705096</f>
        <v>919</v>
      </c>
      <c r="E12" s="86">
        <f>12895934-12889216</f>
        <v>6718</v>
      </c>
      <c r="F12" s="86">
        <f>12767640-12761940</f>
        <v>5700</v>
      </c>
      <c r="G12" s="86">
        <f>8960528-8957504</f>
        <v>3024</v>
      </c>
      <c r="H12" s="86">
        <f>9786963-9783225</f>
        <v>3738</v>
      </c>
      <c r="I12" s="86">
        <f>5707449-5705239</f>
        <v>2210</v>
      </c>
      <c r="J12" s="86">
        <f>13048327-13041426</f>
        <v>6901</v>
      </c>
      <c r="K12" s="86">
        <f t="shared" si="15"/>
        <v>33214</v>
      </c>
      <c r="L12" s="14">
        <f t="shared" si="9"/>
        <v>6642.8</v>
      </c>
      <c r="M12" s="83">
        <f>12827.467-12618.111</f>
        <v>209.35599999999977</v>
      </c>
      <c r="N12" s="83">
        <f>4734.344-4731.98</f>
        <v>2.3640000000004875</v>
      </c>
      <c r="O12" s="83">
        <f>10476.59-10476.444</f>
        <v>0.14600000000064028</v>
      </c>
      <c r="P12" s="82">
        <f>5988.629-5923.111</f>
        <v>65.518000000000029</v>
      </c>
      <c r="Q12" s="83">
        <f>27426.635-27408.302</f>
        <v>18.332999999998719</v>
      </c>
      <c r="R12" s="83">
        <f t="shared" si="0"/>
        <v>68.028000000001157</v>
      </c>
      <c r="S12" s="83">
        <f t="shared" si="1"/>
        <v>533.33952000000909</v>
      </c>
      <c r="T12" s="83">
        <f t="shared" si="2"/>
        <v>227.68899999999849</v>
      </c>
      <c r="U12" s="83">
        <f t="shared" si="16"/>
        <v>1785.0817599999882</v>
      </c>
      <c r="V12" s="83">
        <f>399055-398834</f>
        <v>221</v>
      </c>
      <c r="W12" s="83">
        <f>149701.14-149515</f>
        <v>186.14000000001397</v>
      </c>
      <c r="X12" s="86" t="s">
        <v>63</v>
      </c>
      <c r="Y12" s="86">
        <v>995423</v>
      </c>
      <c r="Z12" s="5">
        <f t="shared" si="10"/>
        <v>781</v>
      </c>
      <c r="AA12" s="14">
        <f t="shared" si="7"/>
        <v>5053.07</v>
      </c>
      <c r="AB12" s="87">
        <v>11080852</v>
      </c>
      <c r="AC12" s="86">
        <f t="shared" si="11"/>
        <v>11071515</v>
      </c>
      <c r="AD12" s="5">
        <f t="shared" si="3"/>
        <v>9337</v>
      </c>
      <c r="AE12" s="83">
        <f t="shared" si="12"/>
        <v>3060.6219150000002</v>
      </c>
      <c r="AF12" s="83">
        <f>96501.7-96484</f>
        <v>17.69999999999709</v>
      </c>
      <c r="AG12" s="83">
        <f t="shared" ref="AG12:AG18" si="17">50692.5-50692.5</f>
        <v>0</v>
      </c>
      <c r="AH12" s="83">
        <f>30488-30482</f>
        <v>6</v>
      </c>
      <c r="AI12" s="87">
        <f t="shared" si="13"/>
        <v>51068.800000000003</v>
      </c>
      <c r="AJ12" s="87">
        <v>51088</v>
      </c>
      <c r="AK12" s="48">
        <f t="shared" si="8"/>
        <v>19.19999999999709</v>
      </c>
      <c r="AL12" s="89">
        <f t="shared" si="5"/>
        <v>5459.4266129271718</v>
      </c>
      <c r="AM12" s="83">
        <f t="shared" si="14"/>
        <v>1789.5727465844623</v>
      </c>
      <c r="AN12" s="71">
        <v>182</v>
      </c>
      <c r="AO12" s="78">
        <f t="shared" si="6"/>
        <v>16541.573674999989</v>
      </c>
    </row>
    <row r="13" spans="1:44" x14ac:dyDescent="0.25">
      <c r="A13" s="79">
        <v>44600</v>
      </c>
      <c r="B13" s="86">
        <f>13459476-13451150</f>
        <v>8326</v>
      </c>
      <c r="C13" s="86">
        <f>8604573-8600111</f>
        <v>4462</v>
      </c>
      <c r="D13" s="86">
        <f>1706961-1706015</f>
        <v>946</v>
      </c>
      <c r="E13" s="86">
        <f>12902618-12895934</f>
        <v>6684</v>
      </c>
      <c r="F13" s="86">
        <f>12773308-12767640</f>
        <v>5668</v>
      </c>
      <c r="G13" s="86">
        <f>8963382-8960528</f>
        <v>2854</v>
      </c>
      <c r="H13" s="86">
        <f>9790702-9786963</f>
        <v>3739</v>
      </c>
      <c r="I13" s="86">
        <f>5709697-5707449</f>
        <v>2248</v>
      </c>
      <c r="J13" s="86">
        <f>13055260-13048327</f>
        <v>6933</v>
      </c>
      <c r="K13" s="86">
        <f t="shared" si="15"/>
        <v>32679</v>
      </c>
      <c r="L13" s="14">
        <f t="shared" si="9"/>
        <v>6535.8</v>
      </c>
      <c r="M13" s="83">
        <f>13035.838-12827.467</f>
        <v>208.37099999999919</v>
      </c>
      <c r="N13" s="83">
        <f>4737.504-4734.344</f>
        <v>3.1599999999998545</v>
      </c>
      <c r="O13" s="83">
        <f>10476.956-10476.59</f>
        <v>0.36599999999998545</v>
      </c>
      <c r="P13" s="82">
        <f>6061.597-5988.629</f>
        <v>72.967999999999847</v>
      </c>
      <c r="Q13" s="83">
        <f>27438.969-27426.635</f>
        <v>12.334000000002561</v>
      </c>
      <c r="R13" s="83">
        <f t="shared" si="0"/>
        <v>76.493999999999687</v>
      </c>
      <c r="S13" s="83">
        <f t="shared" si="1"/>
        <v>599.71295999999757</v>
      </c>
      <c r="T13" s="83">
        <f t="shared" si="2"/>
        <v>220.70500000000175</v>
      </c>
      <c r="U13" s="83">
        <f t="shared" si="16"/>
        <v>1730.3272000000136</v>
      </c>
      <c r="V13" s="83">
        <f>399273-399055</f>
        <v>218</v>
      </c>
      <c r="W13" s="83">
        <f>149889-149701.14</f>
        <v>187.85999999998603</v>
      </c>
      <c r="X13" s="86" t="s">
        <v>63</v>
      </c>
      <c r="Y13" s="86">
        <v>996261</v>
      </c>
      <c r="Z13" s="5">
        <f t="shared" si="10"/>
        <v>838</v>
      </c>
      <c r="AA13" s="14">
        <f t="shared" si="7"/>
        <v>5421.86</v>
      </c>
      <c r="AB13" s="87">
        <v>11090220</v>
      </c>
      <c r="AC13" s="86">
        <f t="shared" si="11"/>
        <v>11080852</v>
      </c>
      <c r="AD13" s="5">
        <f t="shared" si="3"/>
        <v>9368</v>
      </c>
      <c r="AE13" s="83">
        <f t="shared" si="12"/>
        <v>3070.7835599999999</v>
      </c>
      <c r="AF13" s="83">
        <f>96518-96501.7</f>
        <v>16.30000000000291</v>
      </c>
      <c r="AG13" s="83">
        <f t="shared" si="17"/>
        <v>0</v>
      </c>
      <c r="AH13" s="83">
        <f>30494.6-30488</f>
        <v>6.5999999999985448</v>
      </c>
      <c r="AI13" s="87">
        <f t="shared" si="13"/>
        <v>51088</v>
      </c>
      <c r="AJ13" s="87">
        <v>51110</v>
      </c>
      <c r="AK13" s="48">
        <f t="shared" si="8"/>
        <v>22</v>
      </c>
      <c r="AL13" s="89">
        <f t="shared" si="5"/>
        <v>6255.5929939799998</v>
      </c>
      <c r="AM13" s="83">
        <f t="shared" si="14"/>
        <v>2050.5521054616743</v>
      </c>
      <c r="AN13" s="71">
        <v>187</v>
      </c>
      <c r="AO13" s="78">
        <f t="shared" si="6"/>
        <v>16758.770760000014</v>
      </c>
    </row>
    <row r="14" spans="1:44" x14ac:dyDescent="0.25">
      <c r="A14" s="79">
        <v>44601</v>
      </c>
      <c r="B14" s="86">
        <f>13466995-13459476</f>
        <v>7519</v>
      </c>
      <c r="C14" s="86">
        <f>8609084-8604573</f>
        <v>4511</v>
      </c>
      <c r="D14" s="86">
        <f>1707877-1706961</f>
        <v>916</v>
      </c>
      <c r="E14" s="86">
        <f>12909517-12902618</f>
        <v>6899</v>
      </c>
      <c r="F14" s="86">
        <f>12779051-12773308</f>
        <v>5743</v>
      </c>
      <c r="G14" s="86">
        <f>8966145-8963382</f>
        <v>2763</v>
      </c>
      <c r="H14" s="86">
        <f>9794501-9790702</f>
        <v>3799</v>
      </c>
      <c r="I14" s="86">
        <f>5711987-5709697</f>
        <v>2290</v>
      </c>
      <c r="J14" s="86">
        <f>13062380-13055260</f>
        <v>7120</v>
      </c>
      <c r="K14" s="86">
        <f t="shared" si="15"/>
        <v>32150</v>
      </c>
      <c r="L14" s="14">
        <f t="shared" si="9"/>
        <v>6430</v>
      </c>
      <c r="M14" s="83">
        <f>13227.521-13035.838</f>
        <v>191.6830000000009</v>
      </c>
      <c r="N14" s="83">
        <f>4739.85-4737.504</f>
        <v>2.3460000000004584</v>
      </c>
      <c r="O14" s="83">
        <f>10477.381-10476.956</f>
        <v>0.4249999999992724</v>
      </c>
      <c r="P14" s="82">
        <f>6129.1-6061.597</f>
        <v>67.503000000000611</v>
      </c>
      <c r="Q14" s="83">
        <f>27441.853-27438.969</f>
        <v>2.8839999999981956</v>
      </c>
      <c r="R14" s="83">
        <f>N14+O14+P14</f>
        <v>70.274000000000342</v>
      </c>
      <c r="S14" s="83">
        <f t="shared" si="1"/>
        <v>550.94816000000264</v>
      </c>
      <c r="T14" s="83">
        <f t="shared" si="2"/>
        <v>194.5669999999991</v>
      </c>
      <c r="U14" s="83">
        <f t="shared" si="16"/>
        <v>1525.4052799999929</v>
      </c>
      <c r="V14" s="83">
        <f>399489-399273</f>
        <v>216</v>
      </c>
      <c r="W14" s="83">
        <f>150078.8-149889</f>
        <v>189.79999999998836</v>
      </c>
      <c r="X14" s="86" t="s">
        <v>63</v>
      </c>
      <c r="Y14" s="87">
        <v>997050</v>
      </c>
      <c r="Z14" s="5">
        <f>IF((Y14-Y13&lt;0), "0",Y14-Y13)</f>
        <v>789</v>
      </c>
      <c r="AA14" s="14">
        <f t="shared" si="7"/>
        <v>5104.83</v>
      </c>
      <c r="AB14" s="87">
        <v>11100400</v>
      </c>
      <c r="AC14" s="86">
        <f t="shared" si="11"/>
        <v>11090220</v>
      </c>
      <c r="AD14" s="5">
        <f t="shared" si="3"/>
        <v>10180</v>
      </c>
      <c r="AE14" s="83">
        <f t="shared" si="12"/>
        <v>3336.9531000000002</v>
      </c>
      <c r="AF14" s="83">
        <f>96536.3-96518</f>
        <v>18.30000000000291</v>
      </c>
      <c r="AG14" s="83">
        <f t="shared" si="17"/>
        <v>0</v>
      </c>
      <c r="AH14" s="83">
        <f>30500-30494.6</f>
        <v>5.4000000000014552</v>
      </c>
      <c r="AI14" s="87">
        <f t="shared" si="13"/>
        <v>51110</v>
      </c>
      <c r="AJ14" s="87">
        <v>51131</v>
      </c>
      <c r="AK14" s="48">
        <f t="shared" si="8"/>
        <v>21</v>
      </c>
      <c r="AL14" s="89">
        <f t="shared" si="5"/>
        <v>5971.24785789</v>
      </c>
      <c r="AM14" s="83">
        <f t="shared" si="14"/>
        <v>1957.3451915770527</v>
      </c>
      <c r="AN14" s="71">
        <v>189</v>
      </c>
      <c r="AO14" s="78">
        <f t="shared" si="6"/>
        <v>16397.188379999992</v>
      </c>
    </row>
    <row r="15" spans="1:44" x14ac:dyDescent="0.25">
      <c r="A15" s="79">
        <v>44602</v>
      </c>
      <c r="B15" s="86">
        <f>13473292-13466995</f>
        <v>6297</v>
      </c>
      <c r="C15" s="86">
        <f>8613810-8609084</f>
        <v>4726</v>
      </c>
      <c r="D15" s="86">
        <f>1708796-1707877</f>
        <v>919</v>
      </c>
      <c r="E15" s="86">
        <f>12916323-12909517</f>
        <v>6806</v>
      </c>
      <c r="F15" s="86">
        <f>12784552-12779051</f>
        <v>5501</v>
      </c>
      <c r="G15" s="86">
        <f>8968958-8966145</f>
        <v>2813</v>
      </c>
      <c r="H15" s="86">
        <f>9798217-9794501</f>
        <v>3716</v>
      </c>
      <c r="I15" s="86">
        <f>5714231-5711987</f>
        <v>2244</v>
      </c>
      <c r="J15" s="86">
        <f>13069480-13062380</f>
        <v>7100</v>
      </c>
      <c r="K15" s="86">
        <f t="shared" si="15"/>
        <v>30778</v>
      </c>
      <c r="L15" s="14">
        <f t="shared" si="9"/>
        <v>6155.6</v>
      </c>
      <c r="M15" s="83">
        <f>13431.899-13227.521</f>
        <v>204.37799999999879</v>
      </c>
      <c r="N15" s="83">
        <f>4742.131-4739.85</f>
        <v>2.2809999999999491</v>
      </c>
      <c r="O15" s="83">
        <f>10477.611-10477.381</f>
        <v>0.23000000000138243</v>
      </c>
      <c r="P15" s="82">
        <f>6202.568-6129.1</f>
        <v>73.467999999999847</v>
      </c>
      <c r="Q15" s="83">
        <f>27462.337-27441.853</f>
        <v>20.484000000000378</v>
      </c>
      <c r="R15" s="83">
        <f t="shared" si="0"/>
        <v>75.979000000001179</v>
      </c>
      <c r="S15" s="83">
        <f t="shared" si="1"/>
        <v>595.67536000000928</v>
      </c>
      <c r="T15" s="83">
        <f t="shared" si="2"/>
        <v>224.86199999999917</v>
      </c>
      <c r="U15" s="83">
        <f t="shared" si="16"/>
        <v>1762.9180799999936</v>
      </c>
      <c r="V15" s="83">
        <f>399713.9-399489</f>
        <v>224.90000000002328</v>
      </c>
      <c r="W15" s="83">
        <f>150227.8-150078.8</f>
        <v>149</v>
      </c>
      <c r="X15" s="86" t="s">
        <v>63</v>
      </c>
      <c r="Y15" s="87">
        <v>997807</v>
      </c>
      <c r="Z15" s="5">
        <f t="shared" si="10"/>
        <v>757</v>
      </c>
      <c r="AA15" s="14">
        <f t="shared" si="7"/>
        <v>4897.79</v>
      </c>
      <c r="AB15" s="87">
        <v>11112107</v>
      </c>
      <c r="AC15" s="86">
        <f t="shared" si="11"/>
        <v>11100400</v>
      </c>
      <c r="AD15" s="5">
        <f t="shared" si="3"/>
        <v>11707</v>
      </c>
      <c r="AE15" s="83">
        <f t="shared" si="12"/>
        <v>3837.4960649999998</v>
      </c>
      <c r="AF15" s="83">
        <f>96557.7-96536.3</f>
        <v>21.399999999994179</v>
      </c>
      <c r="AG15" s="83">
        <f t="shared" si="17"/>
        <v>0</v>
      </c>
      <c r="AH15" s="83">
        <f>30507.6-30500</f>
        <v>7.5999999999985448</v>
      </c>
      <c r="AI15" s="87">
        <f t="shared" si="13"/>
        <v>51131</v>
      </c>
      <c r="AJ15" s="87">
        <v>51154.7</v>
      </c>
      <c r="AK15" s="48">
        <f t="shared" si="8"/>
        <v>23.69999999999709</v>
      </c>
      <c r="AL15" s="89">
        <f t="shared" si="5"/>
        <v>6738.9797253321722</v>
      </c>
      <c r="AM15" s="83">
        <f t="shared" si="14"/>
        <v>2209.0038590652593</v>
      </c>
      <c r="AN15" s="71">
        <v>168</v>
      </c>
      <c r="AO15" s="88">
        <f t="shared" si="6"/>
        <v>16653.804144999995</v>
      </c>
    </row>
    <row r="16" spans="1:44" x14ac:dyDescent="0.25">
      <c r="A16" s="79">
        <v>44603</v>
      </c>
      <c r="B16" s="86">
        <f>13479290-13473292</f>
        <v>5998</v>
      </c>
      <c r="C16" s="86">
        <f>8618505-8613810</f>
        <v>4695</v>
      </c>
      <c r="D16" s="86">
        <f>1709714-1708796</f>
        <v>918</v>
      </c>
      <c r="E16" s="86">
        <f>12923238-12916323</f>
        <v>6915</v>
      </c>
      <c r="F16" s="86">
        <f>12790223-12784552</f>
        <v>5671</v>
      </c>
      <c r="G16" s="86">
        <f>8971786-8968958</f>
        <v>2828</v>
      </c>
      <c r="H16" s="86">
        <f>9801982-9798217</f>
        <v>3765</v>
      </c>
      <c r="I16" s="86">
        <f>5716510-5714231</f>
        <v>2279</v>
      </c>
      <c r="J16" s="86">
        <f>13076634-13069480</f>
        <v>7154</v>
      </c>
      <c r="K16" s="86">
        <f t="shared" si="15"/>
        <v>30790</v>
      </c>
      <c r="L16" s="14">
        <f t="shared" si="9"/>
        <v>6158</v>
      </c>
      <c r="M16" s="83">
        <f>13633.799-13431.899</f>
        <v>201.90000000000146</v>
      </c>
      <c r="N16" s="83">
        <f>4744.48-4742.131</f>
        <v>2.3489999999992506</v>
      </c>
      <c r="O16" s="83">
        <f>10477.762-10477.611</f>
        <v>0.15099999999983993</v>
      </c>
      <c r="P16" s="82">
        <f>6284.386-6202.568</f>
        <v>81.818000000000211</v>
      </c>
      <c r="Q16" s="83">
        <f>27478.775-27462.337</f>
        <v>16.438000000001921</v>
      </c>
      <c r="R16" s="83">
        <f t="shared" si="0"/>
        <v>84.317999999999302</v>
      </c>
      <c r="S16" s="83">
        <f t="shared" si="1"/>
        <v>661.05311999999446</v>
      </c>
      <c r="T16" s="83">
        <f t="shared" si="2"/>
        <v>218.33800000000338</v>
      </c>
      <c r="U16" s="83">
        <f t="shared" si="16"/>
        <v>1711.7699200000263</v>
      </c>
      <c r="V16" s="83">
        <f>399926.9-399713.9</f>
        <v>213</v>
      </c>
      <c r="W16" s="83">
        <f>150328.8-150227.8</f>
        <v>101</v>
      </c>
      <c r="X16" s="86" t="s">
        <v>63</v>
      </c>
      <c r="Y16" s="87">
        <v>998507</v>
      </c>
      <c r="Z16" s="5">
        <f t="shared" si="10"/>
        <v>700</v>
      </c>
      <c r="AA16" s="14">
        <f t="shared" si="7"/>
        <v>4529</v>
      </c>
      <c r="AB16" s="87">
        <v>11123848</v>
      </c>
      <c r="AC16" s="86">
        <f t="shared" si="11"/>
        <v>11112107</v>
      </c>
      <c r="AD16" s="5">
        <f t="shared" si="3"/>
        <v>11741</v>
      </c>
      <c r="AE16" s="83">
        <f t="shared" si="12"/>
        <v>3848.641095</v>
      </c>
      <c r="AF16" s="83">
        <f>96578.4-96557.7</f>
        <v>20.69999999999709</v>
      </c>
      <c r="AG16" s="83">
        <f t="shared" si="17"/>
        <v>0</v>
      </c>
      <c r="AH16" s="83">
        <f>30514.6-30507.6</f>
        <v>7</v>
      </c>
      <c r="AI16" s="87">
        <f t="shared" si="13"/>
        <v>51154.7</v>
      </c>
      <c r="AJ16" s="87">
        <v>51178.7</v>
      </c>
      <c r="AK16" s="48">
        <f t="shared" si="8"/>
        <v>24</v>
      </c>
      <c r="AL16" s="89">
        <f t="shared" si="5"/>
        <v>6824.2832661599996</v>
      </c>
      <c r="AM16" s="83">
        <f t="shared" si="14"/>
        <v>2236.965933230917</v>
      </c>
      <c r="AN16" s="71">
        <v>174</v>
      </c>
      <c r="AO16" s="78">
        <f t="shared" si="6"/>
        <v>16247.411015000027</v>
      </c>
    </row>
    <row r="17" spans="1:41" x14ac:dyDescent="0.25">
      <c r="A17" s="79">
        <v>44604</v>
      </c>
      <c r="B17" s="86">
        <f>13485729-13479290</f>
        <v>6439</v>
      </c>
      <c r="C17" s="86">
        <f>8622630-8618505</f>
        <v>4125</v>
      </c>
      <c r="D17" s="86">
        <f>1710731-1709714</f>
        <v>1017</v>
      </c>
      <c r="E17" s="86">
        <f>12930112-12923238</f>
        <v>6874</v>
      </c>
      <c r="F17" s="86">
        <f>12795866-12790223</f>
        <v>5643</v>
      </c>
      <c r="G17" s="86">
        <f>8974628-8971786</f>
        <v>2842</v>
      </c>
      <c r="H17" s="86">
        <f>9805726-9801982</f>
        <v>3744</v>
      </c>
      <c r="I17" s="86">
        <f>5718668-5716510</f>
        <v>2158</v>
      </c>
      <c r="J17" s="86">
        <f>13083914-13076634</f>
        <v>7280</v>
      </c>
      <c r="K17" s="86">
        <f t="shared" si="15"/>
        <v>30684</v>
      </c>
      <c r="L17" s="14">
        <f t="shared" si="9"/>
        <v>6136.8</v>
      </c>
      <c r="M17" s="83">
        <f>13839.28-13633.799</f>
        <v>205.48099999999977</v>
      </c>
      <c r="N17" s="83">
        <f>4748.282-4744.48</f>
        <v>3.8020000000005894</v>
      </c>
      <c r="O17" s="83">
        <f>10477.954-10477.762</f>
        <v>0.19199999999909778</v>
      </c>
      <c r="P17" s="82">
        <f>6366.831-6284.386</f>
        <v>82.444999999999709</v>
      </c>
      <c r="Q17" s="83">
        <f>27489.546-27478.775</f>
        <v>10.770999999997002</v>
      </c>
      <c r="R17" s="83">
        <f t="shared" si="0"/>
        <v>86.438999999999396</v>
      </c>
      <c r="S17" s="83">
        <f t="shared" si="1"/>
        <v>677.68175999999528</v>
      </c>
      <c r="T17" s="83">
        <f t="shared" si="2"/>
        <v>216.25199999999677</v>
      </c>
      <c r="U17" s="83">
        <f t="shared" si="16"/>
        <v>1695.4156799999746</v>
      </c>
      <c r="V17" s="83">
        <f>400176.2-399926.9</f>
        <v>249.29999999998836</v>
      </c>
      <c r="W17" s="83">
        <f>150493.3-150328.8</f>
        <v>164.5</v>
      </c>
      <c r="X17" s="86" t="s">
        <v>63</v>
      </c>
      <c r="Y17" s="87">
        <v>999296</v>
      </c>
      <c r="Z17" s="5">
        <f t="shared" si="10"/>
        <v>789</v>
      </c>
      <c r="AA17" s="14">
        <f t="shared" si="7"/>
        <v>5104.83</v>
      </c>
      <c r="AB17" s="87">
        <v>11135530</v>
      </c>
      <c r="AC17" s="86">
        <f t="shared" si="11"/>
        <v>11123848</v>
      </c>
      <c r="AD17" s="5">
        <f t="shared" si="3"/>
        <v>11682</v>
      </c>
      <c r="AE17" s="83">
        <f t="shared" si="12"/>
        <v>3829.3011900000001</v>
      </c>
      <c r="AF17" s="83">
        <f>96598.4-96578.4</f>
        <v>20</v>
      </c>
      <c r="AG17" s="83">
        <f t="shared" si="17"/>
        <v>0</v>
      </c>
      <c r="AH17" s="83">
        <f>30521.5-30514.6</f>
        <v>6.9000000000014552</v>
      </c>
      <c r="AI17" s="87">
        <f t="shared" si="13"/>
        <v>51178.7</v>
      </c>
      <c r="AJ17" s="87">
        <v>51202</v>
      </c>
      <c r="AK17" s="48">
        <f t="shared" si="8"/>
        <v>23.30000000000291</v>
      </c>
      <c r="AL17" s="89">
        <f t="shared" si="5"/>
        <v>6625.2416708978271</v>
      </c>
      <c r="AM17" s="83">
        <f t="shared" si="14"/>
        <v>2171.7210935119533</v>
      </c>
      <c r="AN17" s="71">
        <v>170</v>
      </c>
      <c r="AO17" s="78">
        <f t="shared" si="6"/>
        <v>16766.346869999972</v>
      </c>
    </row>
    <row r="18" spans="1:41" x14ac:dyDescent="0.25">
      <c r="A18" s="79">
        <v>44605</v>
      </c>
      <c r="B18" s="86">
        <f>13493683-13485729</f>
        <v>7954</v>
      </c>
      <c r="C18" s="86">
        <f>8626453-8622630</f>
        <v>3823</v>
      </c>
      <c r="D18" s="86">
        <f>1711689-1710731</f>
        <v>958</v>
      </c>
      <c r="E18" s="86">
        <f>12936865-12930112</f>
        <v>6753</v>
      </c>
      <c r="F18" s="86">
        <f>12801610-12795866</f>
        <v>5744</v>
      </c>
      <c r="G18" s="86">
        <f>8977561-8974628</f>
        <v>2933</v>
      </c>
      <c r="H18" s="86">
        <f>9809422-9805726</f>
        <v>3696</v>
      </c>
      <c r="I18" s="86">
        <f>5720925-5718668</f>
        <v>2257</v>
      </c>
      <c r="J18" s="86">
        <f>13091008-13083914</f>
        <v>7094</v>
      </c>
      <c r="K18" s="86">
        <f t="shared" si="15"/>
        <v>31861</v>
      </c>
      <c r="L18" s="14">
        <f t="shared" si="9"/>
        <v>6372.2000000000007</v>
      </c>
      <c r="M18" s="83">
        <f>14018.87-13839.28</f>
        <v>179.59000000000015</v>
      </c>
      <c r="N18" s="83">
        <f>4750.426-4748.282</f>
        <v>2.1440000000002328</v>
      </c>
      <c r="O18" s="83">
        <f>10478.291-10477.954</f>
        <v>0.33699999999953434</v>
      </c>
      <c r="P18" s="82">
        <f>6442.985-6366.831</f>
        <v>76.153999999999542</v>
      </c>
      <c r="Q18" s="83">
        <f>27504.761-27489.546</f>
        <v>15.215000000000146</v>
      </c>
      <c r="R18" s="83">
        <f t="shared" si="0"/>
        <v>78.634999999999309</v>
      </c>
      <c r="S18" s="83">
        <f t="shared" si="1"/>
        <v>616.4983999999946</v>
      </c>
      <c r="T18" s="83">
        <f t="shared" si="2"/>
        <v>194.80500000000029</v>
      </c>
      <c r="U18" s="83">
        <f t="shared" si="16"/>
        <v>1527.2712000000022</v>
      </c>
      <c r="V18" s="83">
        <f>400377.3-400176.2</f>
        <v>201.09999999997672</v>
      </c>
      <c r="W18" s="83">
        <f>150662.57-150493.3</f>
        <v>169.27000000001863</v>
      </c>
      <c r="X18" s="86" t="s">
        <v>63</v>
      </c>
      <c r="Y18" s="87">
        <v>1000034</v>
      </c>
      <c r="Z18" s="5">
        <f t="shared" si="10"/>
        <v>738</v>
      </c>
      <c r="AA18" s="14">
        <f t="shared" si="7"/>
        <v>4774.8599999999997</v>
      </c>
      <c r="AB18" s="87">
        <v>11145494</v>
      </c>
      <c r="AC18" s="86">
        <f t="shared" si="11"/>
        <v>11135530</v>
      </c>
      <c r="AD18" s="5">
        <f t="shared" si="3"/>
        <v>9964</v>
      </c>
      <c r="AE18" s="83">
        <f t="shared" si="12"/>
        <v>3266.1493799999998</v>
      </c>
      <c r="AF18" s="82">
        <f>96615.9-96598.4</f>
        <v>17.5</v>
      </c>
      <c r="AG18" s="82">
        <f t="shared" si="17"/>
        <v>0</v>
      </c>
      <c r="AH18" s="82">
        <f>30527.5-30521.5</f>
        <v>6</v>
      </c>
      <c r="AI18" s="87">
        <f t="shared" si="13"/>
        <v>51202</v>
      </c>
      <c r="AJ18" s="87">
        <v>51224.2</v>
      </c>
      <c r="AK18" s="48">
        <f t="shared" si="8"/>
        <v>22.19999999999709</v>
      </c>
      <c r="AL18" s="89">
        <f t="shared" si="5"/>
        <v>6312.4620211971724</v>
      </c>
      <c r="AM18" s="83">
        <f t="shared" si="14"/>
        <v>2069.1934882383271</v>
      </c>
      <c r="AN18" s="71">
        <v>134</v>
      </c>
      <c r="AO18" s="78">
        <f t="shared" si="6"/>
        <v>15940.480580000003</v>
      </c>
    </row>
    <row r="19" spans="1:41" x14ac:dyDescent="0.25">
      <c r="A19" s="79">
        <v>44606</v>
      </c>
      <c r="B19" s="86">
        <f>13500850-13493683</f>
        <v>7167</v>
      </c>
      <c r="C19" s="86">
        <f>8631114-8626453</f>
        <v>4661</v>
      </c>
      <c r="D19" s="86">
        <f>1712639-1711689</f>
        <v>950</v>
      </c>
      <c r="E19" s="86">
        <f>12944110-12936865</f>
        <v>7245</v>
      </c>
      <c r="F19" s="86">
        <f>12807500-12801610</f>
        <v>5890</v>
      </c>
      <c r="G19" s="86">
        <f>8980463-8977561</f>
        <v>2902</v>
      </c>
      <c r="H19" s="86">
        <f>9813323-9809422</f>
        <v>3901</v>
      </c>
      <c r="I19" s="86">
        <f>5723292-5720925</f>
        <v>2367</v>
      </c>
      <c r="J19" s="86">
        <f>13098261-13091008</f>
        <v>7253</v>
      </c>
      <c r="K19" s="86">
        <f t="shared" si="15"/>
        <v>32716</v>
      </c>
      <c r="L19" s="14">
        <f t="shared" si="9"/>
        <v>6543.2000000000007</v>
      </c>
      <c r="M19" s="83">
        <f>14218.401-14018.87</f>
        <v>199.53099999999904</v>
      </c>
      <c r="N19" s="83">
        <f>4752.898-4750.426</f>
        <v>2.4719999999997526</v>
      </c>
      <c r="O19" s="83">
        <f>10478.593-10478.291</f>
        <v>0.30200000000149885</v>
      </c>
      <c r="P19" s="82">
        <f>6523.866-6442.985</f>
        <v>80.881000000000313</v>
      </c>
      <c r="Q19" s="83">
        <f>27534.214-27504.761</f>
        <v>29.453000000001339</v>
      </c>
      <c r="R19" s="83">
        <f t="shared" si="0"/>
        <v>83.655000000001564</v>
      </c>
      <c r="S19" s="83">
        <f t="shared" si="1"/>
        <v>655.85520000001225</v>
      </c>
      <c r="T19" s="83">
        <f t="shared" si="2"/>
        <v>228.98400000000038</v>
      </c>
      <c r="U19" s="83">
        <f t="shared" si="16"/>
        <v>1795.2345600000028</v>
      </c>
      <c r="V19" s="83">
        <f>400546.8-400377.3</f>
        <v>169.5</v>
      </c>
      <c r="W19" s="83">
        <f>150812.15-150662.57</f>
        <v>149.57999999998719</v>
      </c>
      <c r="X19" s="86" t="s">
        <v>63</v>
      </c>
      <c r="Y19" s="87">
        <v>1000737</v>
      </c>
      <c r="Z19" s="5">
        <f t="shared" si="10"/>
        <v>703</v>
      </c>
      <c r="AA19" s="14">
        <f t="shared" si="7"/>
        <v>4548.41</v>
      </c>
      <c r="AB19" s="87">
        <v>11156055</v>
      </c>
      <c r="AC19" s="86">
        <f t="shared" si="11"/>
        <v>11145494</v>
      </c>
      <c r="AD19" s="5">
        <f t="shared" si="3"/>
        <v>10561</v>
      </c>
      <c r="AE19" s="83">
        <f t="shared" si="12"/>
        <v>3461.842995</v>
      </c>
      <c r="AF19" s="83">
        <f>96635.7-96615.9</f>
        <v>19.80000000000291</v>
      </c>
      <c r="AG19" s="83">
        <f t="shared" ref="AG19:AG25" si="18">50692.5-50692.5</f>
        <v>0</v>
      </c>
      <c r="AH19" s="83">
        <f>30533.6-30527.5</f>
        <v>6.0999999999985448</v>
      </c>
      <c r="AI19" s="87">
        <f t="shared" si="13"/>
        <v>51224.2</v>
      </c>
      <c r="AJ19" s="87">
        <v>51247</v>
      </c>
      <c r="AK19" s="48">
        <f t="shared" si="8"/>
        <v>22.80000000000291</v>
      </c>
      <c r="AL19" s="89">
        <f t="shared" si="5"/>
        <v>6483.0691028528272</v>
      </c>
      <c r="AM19" s="83">
        <f t="shared" si="14"/>
        <v>2125.1176365696424</v>
      </c>
      <c r="AN19" s="71">
        <v>144</v>
      </c>
      <c r="AO19" s="78">
        <f t="shared" si="6"/>
        <v>16348.687555000004</v>
      </c>
    </row>
    <row r="20" spans="1:41" x14ac:dyDescent="0.25">
      <c r="A20" s="79">
        <v>44607</v>
      </c>
      <c r="B20" s="86">
        <f>13507029-13500850</f>
        <v>6179</v>
      </c>
      <c r="C20" s="86">
        <f>8636115-8631114</f>
        <v>5001</v>
      </c>
      <c r="D20" s="86">
        <f>1713605-1712639</f>
        <v>966</v>
      </c>
      <c r="E20" s="86">
        <f>12950935-12944110</f>
        <v>6825</v>
      </c>
      <c r="F20" s="86">
        <f>12813277-12807500</f>
        <v>5777</v>
      </c>
      <c r="G20" s="86">
        <f>8983204-8980463</f>
        <v>2741</v>
      </c>
      <c r="H20" s="86">
        <f>9816963-9813323</f>
        <v>3640</v>
      </c>
      <c r="I20" s="86">
        <f>5725561-5723292</f>
        <v>2269</v>
      </c>
      <c r="J20" s="86">
        <f>13105302-13098261</f>
        <v>7041</v>
      </c>
      <c r="K20" s="86">
        <f t="shared" si="15"/>
        <v>31129</v>
      </c>
      <c r="L20" s="14">
        <f t="shared" si="9"/>
        <v>6225.8</v>
      </c>
      <c r="M20" s="83">
        <f>14390.164-14218.401</f>
        <v>171.76300000000083</v>
      </c>
      <c r="N20" s="83">
        <f>4755.765-4752.898</f>
        <v>2.8670000000001892</v>
      </c>
      <c r="O20" s="83">
        <f>10478.929-10478.593</f>
        <v>0.33599999999933061</v>
      </c>
      <c r="P20" s="82">
        <f>6591.794-6523.866</f>
        <v>67.927999999999884</v>
      </c>
      <c r="Q20" s="83">
        <f>27534.214-27534.214</f>
        <v>0</v>
      </c>
      <c r="R20" s="83">
        <f t="shared" si="0"/>
        <v>71.130999999999403</v>
      </c>
      <c r="S20" s="83">
        <f t="shared" si="1"/>
        <v>557.66703999999527</v>
      </c>
      <c r="T20" s="83">
        <f t="shared" si="2"/>
        <v>171.76300000000083</v>
      </c>
      <c r="U20" s="83">
        <f t="shared" si="16"/>
        <v>1346.6219200000064</v>
      </c>
      <c r="V20" s="83">
        <f>400754.4-400546.8</f>
        <v>207.60000000003492</v>
      </c>
      <c r="W20" s="83">
        <f>150936.58-150812.15</f>
        <v>124.42999999999302</v>
      </c>
      <c r="X20" s="86" t="s">
        <v>63</v>
      </c>
      <c r="Y20" s="87">
        <v>1001417</v>
      </c>
      <c r="Z20" s="5">
        <f t="shared" si="10"/>
        <v>680</v>
      </c>
      <c r="AA20" s="14">
        <f t="shared" si="7"/>
        <v>4399.5999999999995</v>
      </c>
      <c r="AB20" s="87">
        <v>11168341</v>
      </c>
      <c r="AC20" s="86">
        <f t="shared" si="11"/>
        <v>11156055</v>
      </c>
      <c r="AD20" s="5">
        <f t="shared" si="3"/>
        <v>12286</v>
      </c>
      <c r="AE20" s="83">
        <f t="shared" si="12"/>
        <v>4027.28937</v>
      </c>
      <c r="AF20" s="83">
        <f>96657.7-96635.7</f>
        <v>22</v>
      </c>
      <c r="AG20" s="83">
        <f t="shared" si="18"/>
        <v>0</v>
      </c>
      <c r="AH20" s="83">
        <f>30540-30533.6</f>
        <v>6.4000000000014552</v>
      </c>
      <c r="AI20" s="87">
        <f t="shared" si="13"/>
        <v>51247</v>
      </c>
      <c r="AJ20" s="87">
        <v>51270.400000000001</v>
      </c>
      <c r="AK20" s="48">
        <f t="shared" si="8"/>
        <v>23.400000000001455</v>
      </c>
      <c r="AL20" s="89">
        <f t="shared" si="5"/>
        <v>6653.6761845064129</v>
      </c>
      <c r="AM20" s="83">
        <f t="shared" si="14"/>
        <v>2181.0417849002797</v>
      </c>
      <c r="AN20" s="71">
        <v>134</v>
      </c>
      <c r="AO20" s="78">
        <f t="shared" si="6"/>
        <v>15999.311290000007</v>
      </c>
    </row>
    <row r="21" spans="1:41" x14ac:dyDescent="0.25">
      <c r="A21" s="79">
        <v>44608</v>
      </c>
      <c r="B21" s="86">
        <f>13513323-13507029</f>
        <v>6294</v>
      </c>
      <c r="C21" s="86">
        <f>8641130-8636115</f>
        <v>5015</v>
      </c>
      <c r="D21" s="86">
        <f>1714533-1713605</f>
        <v>928</v>
      </c>
      <c r="E21" s="86">
        <f>12957852-12950935</f>
        <v>6917</v>
      </c>
      <c r="F21" s="86">
        <f>12819034-12813277</f>
        <v>5757</v>
      </c>
      <c r="G21" s="86">
        <f>8985917-8983204</f>
        <v>2713</v>
      </c>
      <c r="H21" s="86">
        <f>9820521-9816963</f>
        <v>3558</v>
      </c>
      <c r="I21" s="86">
        <f>5727797-5725561</f>
        <v>2236</v>
      </c>
      <c r="J21" s="86">
        <f>13112336-13105302</f>
        <v>7034</v>
      </c>
      <c r="K21" s="86">
        <f t="shared" si="15"/>
        <v>31182</v>
      </c>
      <c r="L21" s="14">
        <f t="shared" si="9"/>
        <v>6236.4000000000005</v>
      </c>
      <c r="M21" s="83">
        <f>14570.111-14390.164</f>
        <v>179.94700000000012</v>
      </c>
      <c r="N21" s="83">
        <f>4758.25-4755.765</f>
        <v>2.4849999999996726</v>
      </c>
      <c r="O21" s="83">
        <f>10479.027-10478.929</f>
        <v>9.7999999999956344E-2</v>
      </c>
      <c r="P21" s="82">
        <f>6669.333-6591.794</f>
        <v>77.53899999999976</v>
      </c>
      <c r="Q21" s="83">
        <f>27534.214-27534.214</f>
        <v>0</v>
      </c>
      <c r="R21" s="83">
        <f t="shared" si="0"/>
        <v>80.121999999999389</v>
      </c>
      <c r="S21" s="83">
        <f t="shared" si="1"/>
        <v>628.15647999999521</v>
      </c>
      <c r="T21" s="83">
        <f t="shared" si="2"/>
        <v>179.94700000000012</v>
      </c>
      <c r="U21" s="83">
        <f t="shared" si="16"/>
        <v>1410.7844800000009</v>
      </c>
      <c r="V21" s="83">
        <f>400959-400754.4</f>
        <v>204.59999999997672</v>
      </c>
      <c r="W21" s="83">
        <f>151110.65-150936.58</f>
        <v>174.07000000000698</v>
      </c>
      <c r="X21" s="86" t="s">
        <v>63</v>
      </c>
      <c r="Y21" s="87">
        <v>1002169</v>
      </c>
      <c r="Z21" s="5">
        <f t="shared" si="10"/>
        <v>752</v>
      </c>
      <c r="AA21" s="14">
        <f t="shared" si="7"/>
        <v>4865.4399999999996</v>
      </c>
      <c r="AB21" s="87">
        <v>11180429</v>
      </c>
      <c r="AC21" s="86">
        <f t="shared" si="11"/>
        <v>11168341</v>
      </c>
      <c r="AD21" s="5">
        <f t="shared" si="3"/>
        <v>12088</v>
      </c>
      <c r="AE21" s="83">
        <f t="shared" si="12"/>
        <v>3962.3859600000001</v>
      </c>
      <c r="AF21" s="83">
        <f>96679.4-96657.7</f>
        <v>21.69999999999709</v>
      </c>
      <c r="AG21" s="83">
        <f t="shared" si="18"/>
        <v>0</v>
      </c>
      <c r="AH21" s="83">
        <f>30546.5-30540</f>
        <v>6.5</v>
      </c>
      <c r="AI21" s="87">
        <f t="shared" si="13"/>
        <v>51270.400000000001</v>
      </c>
      <c r="AJ21" s="87">
        <v>51295.1</v>
      </c>
      <c r="AK21" s="48">
        <f t="shared" si="8"/>
        <v>24.69999999999709</v>
      </c>
      <c r="AL21" s="89">
        <f t="shared" si="5"/>
        <v>7023.324861422172</v>
      </c>
      <c r="AM21" s="83">
        <f t="shared" si="14"/>
        <v>2302.2107729498807</v>
      </c>
      <c r="AN21" s="71">
        <v>145</v>
      </c>
      <c r="AO21" s="78">
        <f t="shared" si="6"/>
        <v>16475.010440000002</v>
      </c>
    </row>
    <row r="22" spans="1:41" x14ac:dyDescent="0.25">
      <c r="A22" s="79">
        <v>44609</v>
      </c>
      <c r="B22" s="86">
        <f>13520174-13513323</f>
        <v>6851</v>
      </c>
      <c r="C22" s="86">
        <f>8645674-8641130</f>
        <v>4544</v>
      </c>
      <c r="D22" s="86">
        <f>1715423-1714533</f>
        <v>890</v>
      </c>
      <c r="E22" s="86">
        <f>12964727-12957852</f>
        <v>6875</v>
      </c>
      <c r="F22" s="86">
        <f>12824676-12819034</f>
        <v>5642</v>
      </c>
      <c r="G22" s="86">
        <f>8988643-8985917</f>
        <v>2726</v>
      </c>
      <c r="H22" s="86">
        <f>9824177-9820521</f>
        <v>3656</v>
      </c>
      <c r="I22" s="86">
        <f>5729920-5727797</f>
        <v>2123</v>
      </c>
      <c r="J22" s="86">
        <f>13119302-13112336</f>
        <v>6966</v>
      </c>
      <c r="K22" s="86">
        <f t="shared" si="15"/>
        <v>31184</v>
      </c>
      <c r="L22" s="14">
        <f t="shared" si="9"/>
        <v>6236.8</v>
      </c>
      <c r="M22" s="83">
        <f>14762.155-14570.111</f>
        <v>192.04399999999987</v>
      </c>
      <c r="N22" s="83">
        <f>4760.429-4758.25</f>
        <v>2.1790000000000873</v>
      </c>
      <c r="O22" s="83">
        <f>10479.039-10479.027</f>
        <v>1.2000000000625732E-2</v>
      </c>
      <c r="P22" s="82">
        <f>6745.918-6669.333</f>
        <v>76.585000000000036</v>
      </c>
      <c r="Q22" s="83">
        <f>27534.535-27534.214</f>
        <v>0.32099999999991269</v>
      </c>
      <c r="R22" s="83">
        <f t="shared" si="0"/>
        <v>78.776000000000749</v>
      </c>
      <c r="S22" s="83">
        <f t="shared" si="1"/>
        <v>617.6038400000059</v>
      </c>
      <c r="T22" s="83">
        <f t="shared" si="2"/>
        <v>192.36499999999978</v>
      </c>
      <c r="U22" s="83">
        <f t="shared" si="16"/>
        <v>1508.1415999999983</v>
      </c>
      <c r="V22" s="83">
        <f>401172.2-400959</f>
        <v>213.20000000001164</v>
      </c>
      <c r="W22" s="83">
        <f>151282.6-151110.65</f>
        <v>171.95000000001164</v>
      </c>
      <c r="X22" s="86" t="s">
        <v>63</v>
      </c>
      <c r="Y22" s="87">
        <v>1002915</v>
      </c>
      <c r="Z22" s="5">
        <f t="shared" si="10"/>
        <v>746</v>
      </c>
      <c r="AA22" s="14">
        <f t="shared" si="7"/>
        <v>4826.62</v>
      </c>
      <c r="AB22" s="87">
        <v>11191024</v>
      </c>
      <c r="AC22" s="86">
        <f t="shared" si="11"/>
        <v>11180429</v>
      </c>
      <c r="AD22" s="5">
        <f t="shared" si="3"/>
        <v>10595</v>
      </c>
      <c r="AE22" s="83">
        <f t="shared" si="12"/>
        <v>3472.9880250000001</v>
      </c>
      <c r="AF22" s="83">
        <f>96698.3-96679.4</f>
        <v>18.900000000008731</v>
      </c>
      <c r="AG22" s="83">
        <f t="shared" si="18"/>
        <v>0</v>
      </c>
      <c r="AH22" s="83">
        <f>30552-30546.5</f>
        <v>5.5</v>
      </c>
      <c r="AI22" s="87">
        <f t="shared" si="13"/>
        <v>51295.1</v>
      </c>
      <c r="AJ22" s="87">
        <v>51317.4</v>
      </c>
      <c r="AK22" s="48">
        <f t="shared" si="8"/>
        <v>22.30000000000291</v>
      </c>
      <c r="AL22" s="89">
        <f t="shared" si="5"/>
        <v>6340.8965348078273</v>
      </c>
      <c r="AM22" s="83">
        <f t="shared" si="14"/>
        <v>2078.5141796273319</v>
      </c>
      <c r="AN22" s="71">
        <v>126</v>
      </c>
      <c r="AO22" s="78">
        <f t="shared" si="6"/>
        <v>16044.549624999998</v>
      </c>
    </row>
    <row r="23" spans="1:41" x14ac:dyDescent="0.25">
      <c r="A23" s="79">
        <v>44610</v>
      </c>
      <c r="B23" s="86">
        <f>13526564-13520174</f>
        <v>6390</v>
      </c>
      <c r="C23" s="86">
        <f>8650350-8645674</f>
        <v>4676</v>
      </c>
      <c r="D23" s="86">
        <f>1716283-1715423</f>
        <v>860</v>
      </c>
      <c r="E23" s="86">
        <f>12971674-12964727</f>
        <v>6947</v>
      </c>
      <c r="F23" s="86">
        <f>12830619-12824676</f>
        <v>5943</v>
      </c>
      <c r="G23" s="86">
        <f>8991415-8988643</f>
        <v>2772</v>
      </c>
      <c r="H23" s="86">
        <f>9827891-9824177</f>
        <v>3714</v>
      </c>
      <c r="I23" s="86">
        <f>5732118-5729920</f>
        <v>2198</v>
      </c>
      <c r="J23" s="86">
        <f>13126499-13119302</f>
        <v>7197</v>
      </c>
      <c r="K23" s="86">
        <f t="shared" si="15"/>
        <v>31302</v>
      </c>
      <c r="L23" s="14">
        <f t="shared" si="9"/>
        <v>6260.4000000000005</v>
      </c>
      <c r="M23" s="83">
        <f>14960.555-14762.155</f>
        <v>198.39999999999964</v>
      </c>
      <c r="N23" s="83">
        <f>4763.47-4760.429</f>
        <v>3.0410000000001673</v>
      </c>
      <c r="O23" s="83">
        <f>10479.038-10479.039</f>
        <v>-1.0000000002037268E-3</v>
      </c>
      <c r="P23" s="82">
        <f>6821.519-6745.918</f>
        <v>75.601000000000568</v>
      </c>
      <c r="Q23" s="83">
        <f>27567.206-27534.534</f>
        <v>32.671999999998661</v>
      </c>
      <c r="R23" s="83">
        <f t="shared" si="0"/>
        <v>78.641000000000531</v>
      </c>
      <c r="S23" s="83">
        <f t="shared" si="1"/>
        <v>616.54544000000419</v>
      </c>
      <c r="T23" s="83">
        <f t="shared" si="2"/>
        <v>231.0719999999983</v>
      </c>
      <c r="U23" s="83">
        <f t="shared" si="16"/>
        <v>1811.6044799999866</v>
      </c>
      <c r="V23" s="83">
        <f>401388.1-401172.2</f>
        <v>215.89999999996508</v>
      </c>
      <c r="W23" s="83">
        <f>151455.3-151282.6</f>
        <v>172.69999999998254</v>
      </c>
      <c r="X23" s="86" t="s">
        <v>63</v>
      </c>
      <c r="Y23" s="87">
        <v>1003659</v>
      </c>
      <c r="Z23" s="5">
        <f t="shared" si="10"/>
        <v>744</v>
      </c>
      <c r="AA23" s="14">
        <f t="shared" si="7"/>
        <v>4813.6799999999994</v>
      </c>
      <c r="AB23" s="87">
        <v>11202468</v>
      </c>
      <c r="AC23" s="86">
        <f t="shared" si="11"/>
        <v>11191024</v>
      </c>
      <c r="AD23" s="5">
        <f t="shared" si="3"/>
        <v>11444</v>
      </c>
      <c r="AE23" s="83">
        <f t="shared" si="12"/>
        <v>3751.2859800000001</v>
      </c>
      <c r="AF23" s="83">
        <f>96718-96698.3</f>
        <v>19.69999999999709</v>
      </c>
      <c r="AG23" s="83">
        <f t="shared" si="18"/>
        <v>0</v>
      </c>
      <c r="AH23" s="83">
        <f>30558-30552</f>
        <v>6</v>
      </c>
      <c r="AI23" s="87">
        <f t="shared" si="13"/>
        <v>51317.4</v>
      </c>
      <c r="AJ23" s="87">
        <v>51341</v>
      </c>
      <c r="AK23" s="48">
        <f t="shared" si="8"/>
        <v>23.599999999998545</v>
      </c>
      <c r="AL23" s="89">
        <f t="shared" si="5"/>
        <v>6710.5452117235855</v>
      </c>
      <c r="AM23" s="83">
        <f t="shared" si="14"/>
        <v>2199.6831676769325</v>
      </c>
      <c r="AN23" s="71">
        <v>136</v>
      </c>
      <c r="AO23" s="78">
        <f t="shared" si="6"/>
        <v>16636.970459999986</v>
      </c>
    </row>
    <row r="24" spans="1:41" x14ac:dyDescent="0.25">
      <c r="A24" s="79">
        <v>44611</v>
      </c>
      <c r="B24" s="86">
        <f>13532731-13526564</f>
        <v>6167</v>
      </c>
      <c r="C24" s="86">
        <f>8655158-8650350</f>
        <v>4808</v>
      </c>
      <c r="D24" s="86">
        <f>1717208-1716283</f>
        <v>925</v>
      </c>
      <c r="E24" s="86">
        <f>12978753-12971674</f>
        <v>7079</v>
      </c>
      <c r="F24" s="86">
        <f>12836714-12830619</f>
        <v>6095</v>
      </c>
      <c r="G24" s="86">
        <f>8994339-8991415</f>
        <v>2924</v>
      </c>
      <c r="H24" s="86">
        <f>9831659-9827891</f>
        <v>3768</v>
      </c>
      <c r="I24" s="86">
        <f>5734271-5732118</f>
        <v>2153</v>
      </c>
      <c r="J24" s="86">
        <f>13133832-13126499</f>
        <v>7333</v>
      </c>
      <c r="K24" s="86">
        <f t="shared" si="15"/>
        <v>31766</v>
      </c>
      <c r="L24" s="14">
        <f t="shared" si="9"/>
        <v>6353.2000000000007</v>
      </c>
      <c r="M24" s="83">
        <f>15120.777-14960.555</f>
        <v>160.22199999999975</v>
      </c>
      <c r="N24" s="83">
        <f>4765.542-4763.47</f>
        <v>2.0720000000001164</v>
      </c>
      <c r="O24" s="83">
        <f>10479.129-10479.038</f>
        <v>9.1000000000349246E-2</v>
      </c>
      <c r="P24" s="82">
        <f>6900.805-6821.519</f>
        <v>79.286000000000058</v>
      </c>
      <c r="Q24" s="83">
        <f>27579.079-27567.206</f>
        <v>11.873000000003231</v>
      </c>
      <c r="R24" s="83">
        <f t="shared" si="0"/>
        <v>81.449000000000524</v>
      </c>
      <c r="S24" s="83">
        <f t="shared" si="1"/>
        <v>638.56016000000409</v>
      </c>
      <c r="T24" s="83">
        <f t="shared" si="2"/>
        <v>172.09500000000298</v>
      </c>
      <c r="U24" s="83">
        <f t="shared" si="16"/>
        <v>1349.2248000000234</v>
      </c>
      <c r="V24" s="83">
        <f>401618.8-401388.1</f>
        <v>230.70000000001164</v>
      </c>
      <c r="W24" s="83">
        <f>151631.55-151455.3</f>
        <v>176.25</v>
      </c>
      <c r="X24" s="86" t="s">
        <v>63</v>
      </c>
      <c r="Y24" s="87">
        <v>1004433</v>
      </c>
      <c r="Z24" s="5">
        <f t="shared" si="10"/>
        <v>774</v>
      </c>
      <c r="AA24" s="14">
        <f t="shared" si="7"/>
        <v>5007.78</v>
      </c>
      <c r="AB24" s="87">
        <v>11214654</v>
      </c>
      <c r="AC24" s="86">
        <f t="shared" si="11"/>
        <v>11202468</v>
      </c>
      <c r="AD24" s="5">
        <f t="shared" si="3"/>
        <v>12186</v>
      </c>
      <c r="AE24" s="83">
        <f t="shared" si="12"/>
        <v>3994.5098699999999</v>
      </c>
      <c r="AF24" s="83">
        <f>96739.7-96718</f>
        <v>21.69999999999709</v>
      </c>
      <c r="AG24" s="83">
        <f t="shared" si="18"/>
        <v>0</v>
      </c>
      <c r="AH24" s="83">
        <f>30564.9-30558</f>
        <v>6.9000000000014552</v>
      </c>
      <c r="AI24" s="87">
        <f t="shared" si="13"/>
        <v>51341</v>
      </c>
      <c r="AJ24" s="87">
        <v>51366.7</v>
      </c>
      <c r="AK24" s="48">
        <f t="shared" si="8"/>
        <v>25.69999999999709</v>
      </c>
      <c r="AL24" s="89">
        <f t="shared" si="5"/>
        <v>7307.6699975121719</v>
      </c>
      <c r="AM24" s="83">
        <f t="shared" si="14"/>
        <v>2395.4176868345025</v>
      </c>
      <c r="AN24" s="71">
        <v>161</v>
      </c>
      <c r="AO24" s="78">
        <f t="shared" si="6"/>
        <v>16704.714670000023</v>
      </c>
    </row>
    <row r="25" spans="1:41" x14ac:dyDescent="0.25">
      <c r="A25" s="79">
        <v>44612</v>
      </c>
      <c r="B25" s="86">
        <f>13538400-13532731</f>
        <v>5669</v>
      </c>
      <c r="C25" s="86">
        <f>8659434-8655158</f>
        <v>4276</v>
      </c>
      <c r="D25" s="86">
        <f>1718080-1717208</f>
        <v>872</v>
      </c>
      <c r="E25" s="86">
        <f>12985721-12978753</f>
        <v>6968</v>
      </c>
      <c r="F25" s="86">
        <f>12842144-12836714</f>
        <v>5430</v>
      </c>
      <c r="G25" s="86">
        <f>8996960-8994339</f>
        <v>2621</v>
      </c>
      <c r="H25" s="86">
        <f>9835195-9831659</f>
        <v>3536</v>
      </c>
      <c r="I25" s="86">
        <f>5736451-5734271</f>
        <v>2180</v>
      </c>
      <c r="J25" s="86">
        <f>13140894-13133832</f>
        <v>7062</v>
      </c>
      <c r="K25" s="86">
        <f t="shared" si="15"/>
        <v>29372</v>
      </c>
      <c r="L25" s="14">
        <f t="shared" si="9"/>
        <v>5874.4000000000005</v>
      </c>
      <c r="M25" s="83">
        <f>15334-15120.777</f>
        <v>213.22299999999996</v>
      </c>
      <c r="N25" s="83">
        <f>4767.474-4765.542</f>
        <v>1.931999999999789</v>
      </c>
      <c r="O25" s="83">
        <f>10479.132-10479.129</f>
        <v>2.999999998792191E-3</v>
      </c>
      <c r="P25" s="82">
        <f>6976.396-6900.805</f>
        <v>75.59099999999944</v>
      </c>
      <c r="Q25" s="83">
        <f>27596.414-27579.079</f>
        <v>17.334999999999127</v>
      </c>
      <c r="R25" s="83">
        <f t="shared" si="0"/>
        <v>77.525999999998021</v>
      </c>
      <c r="S25" s="83">
        <f t="shared" si="1"/>
        <v>607.80383999998446</v>
      </c>
      <c r="T25" s="83">
        <f t="shared" si="2"/>
        <v>230.55799999999908</v>
      </c>
      <c r="U25" s="83">
        <f t="shared" si="16"/>
        <v>1807.5747199999928</v>
      </c>
      <c r="V25" s="83">
        <f>401833.7-401618.8</f>
        <v>214.90000000002328</v>
      </c>
      <c r="W25" s="83">
        <f>151800.05-151631.55</f>
        <v>168.5</v>
      </c>
      <c r="X25" s="86" t="s">
        <v>63</v>
      </c>
      <c r="Y25" s="87">
        <v>1005206</v>
      </c>
      <c r="Z25" s="5">
        <f t="shared" si="10"/>
        <v>773</v>
      </c>
      <c r="AA25" s="14">
        <f t="shared" si="7"/>
        <v>5001.3099999999995</v>
      </c>
      <c r="AB25" s="87">
        <v>11227825</v>
      </c>
      <c r="AC25" s="86">
        <f t="shared" si="11"/>
        <v>11214654</v>
      </c>
      <c r="AD25" s="5">
        <f t="shared" si="3"/>
        <v>13171</v>
      </c>
      <c r="AE25" s="83">
        <f t="shared" si="12"/>
        <v>4317.3879450000004</v>
      </c>
      <c r="AF25" s="83">
        <f>96763-96739.7</f>
        <v>23.30000000000291</v>
      </c>
      <c r="AG25" s="83">
        <f t="shared" si="18"/>
        <v>0</v>
      </c>
      <c r="AH25" s="83">
        <f>30572-30564.9</f>
        <v>7.0999999999985448</v>
      </c>
      <c r="AI25" s="87">
        <f t="shared" si="13"/>
        <v>51366.7</v>
      </c>
      <c r="AJ25" s="87">
        <v>51391</v>
      </c>
      <c r="AK25" s="48">
        <f t="shared" si="8"/>
        <v>24.30000000000291</v>
      </c>
      <c r="AL25" s="89">
        <f t="shared" si="5"/>
        <v>6909.586806987827</v>
      </c>
      <c r="AM25" s="83">
        <f t="shared" si="14"/>
        <v>2264.9280073965747</v>
      </c>
      <c r="AN25" s="71">
        <v>161</v>
      </c>
      <c r="AO25" s="78">
        <f t="shared" si="6"/>
        <v>17000.672664999991</v>
      </c>
    </row>
    <row r="26" spans="1:41" x14ac:dyDescent="0.25">
      <c r="A26" s="79">
        <v>44613</v>
      </c>
      <c r="B26" s="86">
        <f>13545027-13538400</f>
        <v>6627</v>
      </c>
      <c r="C26" s="86">
        <f>8664099-8659434</f>
        <v>4665</v>
      </c>
      <c r="D26" s="86">
        <f>1718884-1718080</f>
        <v>804</v>
      </c>
      <c r="E26" s="86">
        <f>12992229-12985721</f>
        <v>6508</v>
      </c>
      <c r="F26" s="86">
        <f>12847947-12842144</f>
        <v>5803</v>
      </c>
      <c r="G26" s="86">
        <f>8999829-8996960</f>
        <v>2869</v>
      </c>
      <c r="H26" s="86">
        <f>9838975-9835195</f>
        <v>3780</v>
      </c>
      <c r="I26" s="86">
        <f>5738723-5736451</f>
        <v>2272</v>
      </c>
      <c r="J26" s="86">
        <f>13147557-13140894</f>
        <v>6663</v>
      </c>
      <c r="K26" s="86">
        <f t="shared" si="15"/>
        <v>31056</v>
      </c>
      <c r="L26" s="14">
        <f t="shared" si="9"/>
        <v>6211.2000000000007</v>
      </c>
      <c r="M26" s="83">
        <f>15542.8-15334</f>
        <v>208.79999999999927</v>
      </c>
      <c r="N26" s="83">
        <f>4769.347-4767.474</f>
        <v>1.8729999999995925</v>
      </c>
      <c r="O26" s="83">
        <f>10479.192-10479.132</f>
        <v>5.9999999999490683E-2</v>
      </c>
      <c r="P26" s="82">
        <f>7047.488-6976.396</f>
        <v>71.092000000000553</v>
      </c>
      <c r="Q26" s="83">
        <f>27596.414-27596.414</f>
        <v>0</v>
      </c>
      <c r="R26" s="83">
        <f t="shared" si="0"/>
        <v>73.024999999999636</v>
      </c>
      <c r="S26" s="83">
        <f t="shared" si="1"/>
        <v>572.51599999999712</v>
      </c>
      <c r="T26" s="83">
        <f t="shared" si="2"/>
        <v>208.79999999999927</v>
      </c>
      <c r="U26" s="83">
        <f t="shared" si="16"/>
        <v>1636.9919999999943</v>
      </c>
      <c r="V26" s="83">
        <f>402060.2-401833.7</f>
        <v>226.5</v>
      </c>
      <c r="W26" s="123">
        <f>151995-151800.05</f>
        <v>194.95000000001164</v>
      </c>
      <c r="X26" s="86" t="s">
        <v>63</v>
      </c>
      <c r="Y26" s="87">
        <v>1006013</v>
      </c>
      <c r="Z26" s="5">
        <f t="shared" si="10"/>
        <v>807</v>
      </c>
      <c r="AA26" s="14">
        <f t="shared" si="7"/>
        <v>5221.29</v>
      </c>
      <c r="AB26" s="87">
        <v>11240260</v>
      </c>
      <c r="AC26" s="86">
        <f t="shared" si="11"/>
        <v>11227825</v>
      </c>
      <c r="AD26" s="5">
        <f t="shared" si="3"/>
        <v>12435</v>
      </c>
      <c r="AE26" s="83">
        <f t="shared" si="12"/>
        <v>4076.1308250000002</v>
      </c>
      <c r="AF26" s="83">
        <f>96784-96763</f>
        <v>21</v>
      </c>
      <c r="AG26" s="83">
        <f t="shared" ref="AG26:AG32" si="19">50692.5-50692.5</f>
        <v>0</v>
      </c>
      <c r="AH26" s="83">
        <f>30578-30572</f>
        <v>6</v>
      </c>
      <c r="AI26" s="87">
        <f t="shared" si="13"/>
        <v>51391</v>
      </c>
      <c r="AJ26" s="87">
        <v>51416</v>
      </c>
      <c r="AK26" s="48">
        <f t="shared" si="8"/>
        <v>25</v>
      </c>
      <c r="AL26" s="89">
        <f t="shared" si="5"/>
        <v>7108.6284022499995</v>
      </c>
      <c r="AM26" s="83">
        <f t="shared" si="14"/>
        <v>2330.1728471155384</v>
      </c>
      <c r="AN26" s="71">
        <v>154</v>
      </c>
      <c r="AO26" s="78">
        <f t="shared" si="6"/>
        <v>17145.612824999997</v>
      </c>
    </row>
    <row r="27" spans="1:41" x14ac:dyDescent="0.25">
      <c r="A27" s="79">
        <v>44614</v>
      </c>
      <c r="B27" s="86">
        <f>13553434-13545027</f>
        <v>8407</v>
      </c>
      <c r="C27" s="86">
        <f>8668887-8664099</f>
        <v>4788</v>
      </c>
      <c r="D27" s="86">
        <f>1719774-1718884</f>
        <v>890</v>
      </c>
      <c r="E27" s="86">
        <f>12998728-12992229</f>
        <v>6499</v>
      </c>
      <c r="F27" s="86">
        <f>12853871-12847947</f>
        <v>5924</v>
      </c>
      <c r="G27" s="86">
        <f>9002651-8999829</f>
        <v>2822</v>
      </c>
      <c r="H27" s="86">
        <f>9842682-9838975</f>
        <v>3707</v>
      </c>
      <c r="I27" s="86">
        <f>5740862-5738723</f>
        <v>2139</v>
      </c>
      <c r="J27" s="86">
        <f>13154357-13147557</f>
        <v>6800</v>
      </c>
      <c r="K27" s="86">
        <f t="shared" si="15"/>
        <v>33037</v>
      </c>
      <c r="L27" s="14">
        <f t="shared" si="9"/>
        <v>6607.4000000000005</v>
      </c>
      <c r="M27" s="83">
        <f>15743.24-15542.8</f>
        <v>200.44000000000051</v>
      </c>
      <c r="N27" s="83">
        <f>4771.018-4769.347</f>
        <v>1.6710000000002765</v>
      </c>
      <c r="O27" s="83">
        <f>10479.212-10479.192</f>
        <v>2.0000000000436557E-2</v>
      </c>
      <c r="P27" s="82">
        <f>7118.551-7047.488</f>
        <v>71.063000000000102</v>
      </c>
      <c r="Q27" s="83">
        <f>27596.414-27596.414</f>
        <v>0</v>
      </c>
      <c r="R27" s="83">
        <f t="shared" si="0"/>
        <v>72.754000000000815</v>
      </c>
      <c r="S27" s="83">
        <f t="shared" si="1"/>
        <v>570.39136000000633</v>
      </c>
      <c r="T27" s="83">
        <f t="shared" si="2"/>
        <v>200.44000000000051</v>
      </c>
      <c r="U27" s="83">
        <f t="shared" si="16"/>
        <v>1571.449600000004</v>
      </c>
      <c r="V27" s="83">
        <f>402267.8-402060.2</f>
        <v>207.59999999997672</v>
      </c>
      <c r="W27" s="83">
        <f>152169.25-151995</f>
        <v>174.25</v>
      </c>
      <c r="X27" s="86" t="s">
        <v>63</v>
      </c>
      <c r="Y27" s="87">
        <v>1006786</v>
      </c>
      <c r="Z27" s="5">
        <f t="shared" si="10"/>
        <v>773</v>
      </c>
      <c r="AA27" s="14">
        <f t="shared" si="7"/>
        <v>5001.3099999999995</v>
      </c>
      <c r="AB27" s="87">
        <v>11250780</v>
      </c>
      <c r="AC27" s="86">
        <f t="shared" si="11"/>
        <v>11240260</v>
      </c>
      <c r="AD27" s="5">
        <f t="shared" si="3"/>
        <v>10520</v>
      </c>
      <c r="AE27" s="83">
        <f t="shared" si="12"/>
        <v>3448.4034000000001</v>
      </c>
      <c r="AF27" s="83">
        <f>96804.5-96784</f>
        <v>20.5</v>
      </c>
      <c r="AG27" s="83">
        <f t="shared" si="19"/>
        <v>0</v>
      </c>
      <c r="AH27" s="83">
        <f>30584.8-30578</f>
        <v>6.7999999999992724</v>
      </c>
      <c r="AI27" s="87">
        <f t="shared" si="13"/>
        <v>51416</v>
      </c>
      <c r="AJ27" s="87">
        <v>51439.5</v>
      </c>
      <c r="AK27" s="48">
        <f t="shared" si="8"/>
        <v>23.5</v>
      </c>
      <c r="AL27" s="89">
        <f t="shared" si="5"/>
        <v>6682.1106981149996</v>
      </c>
      <c r="AM27" s="83">
        <f t="shared" si="14"/>
        <v>2190.3624762886061</v>
      </c>
      <c r="AN27" s="71">
        <v>185</v>
      </c>
      <c r="AO27" s="78">
        <f t="shared" si="6"/>
        <v>16628.563000000006</v>
      </c>
    </row>
    <row r="28" spans="1:41" x14ac:dyDescent="0.25">
      <c r="A28" s="79">
        <v>44615</v>
      </c>
      <c r="B28" s="86">
        <f>13560152-13553434</f>
        <v>6718</v>
      </c>
      <c r="C28" s="86">
        <f>8673712-8668887</f>
        <v>4825</v>
      </c>
      <c r="D28" s="86">
        <f>1720725-1719774</f>
        <v>951</v>
      </c>
      <c r="E28" s="86">
        <f>13005321-12998728</f>
        <v>6593</v>
      </c>
      <c r="F28" s="86">
        <f>12859818-12853871</f>
        <v>5947</v>
      </c>
      <c r="G28" s="86">
        <f>9005451-9002651</f>
        <v>2800</v>
      </c>
      <c r="H28" s="86">
        <f>9846447-9842682</f>
        <v>3765</v>
      </c>
      <c r="I28" s="86">
        <f>5743089-5740862</f>
        <v>2227</v>
      </c>
      <c r="J28" s="86">
        <f>13161307-13154357</f>
        <v>6950</v>
      </c>
      <c r="K28" s="86">
        <f t="shared" si="15"/>
        <v>31599</v>
      </c>
      <c r="L28" s="14">
        <f t="shared" si="9"/>
        <v>6319.8</v>
      </c>
      <c r="M28" s="83">
        <f>15932.723-15743.24</f>
        <v>189.48300000000017</v>
      </c>
      <c r="N28" s="83">
        <f>4772.776-4771.018</f>
        <v>1.7579999999998108</v>
      </c>
      <c r="O28" s="83">
        <f>10479.223-10479.212</f>
        <v>1.1000000000422006E-2</v>
      </c>
      <c r="P28" s="82">
        <f>7186.336-7118.551</f>
        <v>67.784999999999854</v>
      </c>
      <c r="Q28" s="83">
        <f>27617.786-27596.414</f>
        <v>21.371999999999389</v>
      </c>
      <c r="R28" s="83">
        <f t="shared" si="0"/>
        <v>69.554000000000087</v>
      </c>
      <c r="S28" s="83">
        <f t="shared" si="1"/>
        <v>545.30336000000068</v>
      </c>
      <c r="T28" s="83">
        <f t="shared" si="2"/>
        <v>210.85499999999956</v>
      </c>
      <c r="U28" s="83">
        <f t="shared" si="16"/>
        <v>1653.1031999999966</v>
      </c>
      <c r="V28" s="83">
        <f>402506.8-402267.8</f>
        <v>239</v>
      </c>
      <c r="W28" s="83">
        <f>152353.25-152169.25</f>
        <v>184</v>
      </c>
      <c r="X28" s="86" t="s">
        <v>63</v>
      </c>
      <c r="Y28" s="87">
        <v>1007615</v>
      </c>
      <c r="Z28" s="5">
        <f t="shared" si="10"/>
        <v>829</v>
      </c>
      <c r="AA28" s="14">
        <f t="shared" si="7"/>
        <v>5363.63</v>
      </c>
      <c r="AB28" s="87">
        <v>11262280</v>
      </c>
      <c r="AC28" s="86">
        <f t="shared" si="11"/>
        <v>11250780</v>
      </c>
      <c r="AD28" s="5">
        <f t="shared" si="3"/>
        <v>11500</v>
      </c>
      <c r="AE28" s="83">
        <f t="shared" si="12"/>
        <v>3769.6424999999999</v>
      </c>
      <c r="AF28" s="83">
        <f>96826.5-96804.5</f>
        <v>22</v>
      </c>
      <c r="AG28" s="83">
        <f t="shared" si="19"/>
        <v>0</v>
      </c>
      <c r="AH28" s="83">
        <f>30590.8-30584.8</f>
        <v>6</v>
      </c>
      <c r="AI28" s="87">
        <f t="shared" si="13"/>
        <v>51439.5</v>
      </c>
      <c r="AJ28" s="87">
        <v>51463.5</v>
      </c>
      <c r="AK28" s="48">
        <f t="shared" si="8"/>
        <v>24</v>
      </c>
      <c r="AL28" s="89">
        <f t="shared" si="5"/>
        <v>6824.2832661599996</v>
      </c>
      <c r="AM28" s="83">
        <f t="shared" si="14"/>
        <v>2236.965933230917</v>
      </c>
      <c r="AN28" s="71">
        <v>184</v>
      </c>
      <c r="AO28" s="78">
        <f t="shared" si="6"/>
        <v>17106.1757</v>
      </c>
    </row>
    <row r="29" spans="1:41" x14ac:dyDescent="0.25">
      <c r="A29" s="79">
        <v>44616</v>
      </c>
      <c r="B29" s="86">
        <f>13566474-13560152</f>
        <v>6322</v>
      </c>
      <c r="C29" s="86">
        <f>8678937-8673712</f>
        <v>5225</v>
      </c>
      <c r="D29" s="86">
        <f>1721669-1720725</f>
        <v>944</v>
      </c>
      <c r="E29" s="86">
        <f>13011871-13005321</f>
        <v>6550</v>
      </c>
      <c r="F29" s="86">
        <f>12865888-12859818</f>
        <v>6070</v>
      </c>
      <c r="G29" s="86">
        <f>9008358-9005451</f>
        <v>2907</v>
      </c>
      <c r="H29" s="86">
        <f>9850225-9846447</f>
        <v>3778</v>
      </c>
      <c r="I29" s="86">
        <f>5745326-5743089</f>
        <v>2237</v>
      </c>
      <c r="J29" s="86">
        <f>13168365-13161307</f>
        <v>7058</v>
      </c>
      <c r="K29" s="86">
        <f t="shared" si="15"/>
        <v>31796</v>
      </c>
      <c r="L29" s="14">
        <f t="shared" si="9"/>
        <v>6359.2000000000007</v>
      </c>
      <c r="M29" s="83">
        <f>16152.899-15932.723</f>
        <v>220.17599999999948</v>
      </c>
      <c r="N29" s="83">
        <f>4775.124-4772.776</f>
        <v>2.3479999999999563</v>
      </c>
      <c r="O29" s="83">
        <f>10479.228-10479.223</f>
        <v>4.9999999991996447E-3</v>
      </c>
      <c r="P29" s="82">
        <f>7263.336-7186.336</f>
        <v>77</v>
      </c>
      <c r="Q29" s="83">
        <f>27617.786-27617.786</f>
        <v>0</v>
      </c>
      <c r="R29" s="83">
        <f t="shared" si="0"/>
        <v>79.352999999999156</v>
      </c>
      <c r="S29" s="83">
        <f t="shared" si="1"/>
        <v>622.12751999999341</v>
      </c>
      <c r="T29" s="83">
        <f t="shared" si="2"/>
        <v>220.17599999999948</v>
      </c>
      <c r="U29" s="83">
        <f t="shared" si="16"/>
        <v>1726.1798399999959</v>
      </c>
      <c r="V29" s="83">
        <f>402779.8-402506.8</f>
        <v>273</v>
      </c>
      <c r="W29" s="83">
        <f>152535.25-152353.25</f>
        <v>182</v>
      </c>
      <c r="X29" s="86" t="s">
        <v>63</v>
      </c>
      <c r="Y29" s="87">
        <v>1008477</v>
      </c>
      <c r="Z29" s="5">
        <f t="shared" si="10"/>
        <v>862</v>
      </c>
      <c r="AA29" s="14">
        <f t="shared" si="7"/>
        <v>5577.1399999999994</v>
      </c>
      <c r="AB29" s="87">
        <v>11274585</v>
      </c>
      <c r="AC29" s="86">
        <f t="shared" si="11"/>
        <v>11262280</v>
      </c>
      <c r="AD29" s="5">
        <f t="shared" si="3"/>
        <v>12305</v>
      </c>
      <c r="AE29" s="83">
        <f t="shared" si="12"/>
        <v>4033.5174750000001</v>
      </c>
      <c r="AF29" s="83">
        <f>96849.5-96826.5</f>
        <v>23</v>
      </c>
      <c r="AG29" s="83">
        <f t="shared" si="19"/>
        <v>0</v>
      </c>
      <c r="AH29" s="83">
        <f>30597.8-30590.8</f>
        <v>7</v>
      </c>
      <c r="AI29" s="87">
        <f t="shared" si="13"/>
        <v>51463.5</v>
      </c>
      <c r="AJ29" s="87">
        <v>51489.2</v>
      </c>
      <c r="AK29" s="48">
        <f t="shared" si="8"/>
        <v>25.69999999999709</v>
      </c>
      <c r="AL29" s="89">
        <f t="shared" si="5"/>
        <v>7307.6699975121719</v>
      </c>
      <c r="AM29" s="83">
        <f t="shared" si="14"/>
        <v>2395.4176868345025</v>
      </c>
      <c r="AN29" s="71">
        <v>183</v>
      </c>
      <c r="AO29" s="78">
        <f t="shared" si="6"/>
        <v>17696.037314999998</v>
      </c>
    </row>
    <row r="30" spans="1:41" x14ac:dyDescent="0.25">
      <c r="A30" s="79">
        <v>44617</v>
      </c>
      <c r="B30" s="86">
        <f>13572246-13566474</f>
        <v>5772</v>
      </c>
      <c r="C30" s="86">
        <f>8684039-8678937</f>
        <v>5102</v>
      </c>
      <c r="D30" s="86">
        <f>1722600-1721669</f>
        <v>931</v>
      </c>
      <c r="E30" s="86">
        <f>13018540-13011871</f>
        <v>6669</v>
      </c>
      <c r="F30" s="86">
        <f>12872062-12865888</f>
        <v>6174</v>
      </c>
      <c r="G30" s="86">
        <f>9011358-9008358</f>
        <v>3000</v>
      </c>
      <c r="H30" s="86">
        <f>9854067-9850225</f>
        <v>3842</v>
      </c>
      <c r="I30" s="86">
        <f>5747466-5745326</f>
        <v>2140</v>
      </c>
      <c r="J30" s="86">
        <f>13175209-13168365</f>
        <v>6844</v>
      </c>
      <c r="K30" s="86">
        <f t="shared" si="15"/>
        <v>31490</v>
      </c>
      <c r="L30" s="14">
        <f t="shared" si="9"/>
        <v>6298</v>
      </c>
      <c r="M30" s="83">
        <f>16352.091-16152.899</f>
        <v>199.19200000000092</v>
      </c>
      <c r="N30" s="83">
        <f>4777.532-4775.124</f>
        <v>2.4080000000003565</v>
      </c>
      <c r="O30" s="83">
        <f>10479.956-10479.228</f>
        <v>0.72800000000097498</v>
      </c>
      <c r="P30" s="82">
        <f>7335.978-7263.336</f>
        <v>72.641999999999825</v>
      </c>
      <c r="Q30" s="83">
        <f>27643.264-27617.786</f>
        <v>25.477999999999156</v>
      </c>
      <c r="R30" s="83">
        <f t="shared" si="0"/>
        <v>75.778000000001157</v>
      </c>
      <c r="S30" s="83">
        <f t="shared" si="1"/>
        <v>594.09952000000908</v>
      </c>
      <c r="T30" s="83">
        <f t="shared" si="2"/>
        <v>224.67000000000007</v>
      </c>
      <c r="U30" s="83">
        <f t="shared" si="16"/>
        <v>1761.4128000000005</v>
      </c>
      <c r="V30" s="83">
        <f>403042.8-402779.8</f>
        <v>263</v>
      </c>
      <c r="W30" s="83">
        <f>152719.25-152535.25</f>
        <v>184</v>
      </c>
      <c r="X30" s="86" t="s">
        <v>63</v>
      </c>
      <c r="Y30" s="87">
        <v>1009330</v>
      </c>
      <c r="Z30" s="5">
        <f t="shared" si="10"/>
        <v>853</v>
      </c>
      <c r="AA30" s="14">
        <f t="shared" si="7"/>
        <v>5518.91</v>
      </c>
      <c r="AB30" s="87">
        <v>11287540</v>
      </c>
      <c r="AC30" s="86">
        <f t="shared" si="11"/>
        <v>11274585</v>
      </c>
      <c r="AD30" s="5">
        <f t="shared" si="3"/>
        <v>12955</v>
      </c>
      <c r="AE30" s="83">
        <f t="shared" si="12"/>
        <v>4246.5842249999996</v>
      </c>
      <c r="AF30" s="83">
        <f>96872.5-96849.5</f>
        <v>23</v>
      </c>
      <c r="AG30" s="83">
        <f t="shared" si="19"/>
        <v>0</v>
      </c>
      <c r="AH30" s="83">
        <f>30604.5-30597.8</f>
        <v>6.7000000000007276</v>
      </c>
      <c r="AI30" s="87">
        <f t="shared" si="13"/>
        <v>51489.2</v>
      </c>
      <c r="AJ30" s="87">
        <v>51514.9</v>
      </c>
      <c r="AK30" s="48">
        <f t="shared" si="8"/>
        <v>25.700000000004366</v>
      </c>
      <c r="AL30" s="89">
        <f t="shared" si="5"/>
        <v>7307.669997514241</v>
      </c>
      <c r="AM30" s="83">
        <f t="shared" si="14"/>
        <v>2395.4176868351806</v>
      </c>
      <c r="AN30" s="71">
        <v>188</v>
      </c>
      <c r="AO30" s="78">
        <f t="shared" si="6"/>
        <v>17824.907025</v>
      </c>
    </row>
    <row r="31" spans="1:41" x14ac:dyDescent="0.25">
      <c r="A31" s="79">
        <v>44618</v>
      </c>
      <c r="B31" s="86">
        <f>13577662-13572246</f>
        <v>5416</v>
      </c>
      <c r="C31" s="86">
        <f>8688502-8684039</f>
        <v>4463</v>
      </c>
      <c r="D31" s="86">
        <f>1723513-1722600</f>
        <v>913</v>
      </c>
      <c r="E31" s="86">
        <f>13025226-13018540</f>
        <v>6686</v>
      </c>
      <c r="F31" s="86">
        <f>12878322-12872062</f>
        <v>6260</v>
      </c>
      <c r="G31" s="86">
        <f>9014384-9011358</f>
        <v>3026</v>
      </c>
      <c r="H31" s="86">
        <f>9857910-9854067</f>
        <v>3843</v>
      </c>
      <c r="I31" s="86">
        <f>5749519-5747466</f>
        <v>2053</v>
      </c>
      <c r="J31" s="86">
        <f>13182302-13175209</f>
        <v>7093</v>
      </c>
      <c r="K31" s="86">
        <f t="shared" si="15"/>
        <v>30607</v>
      </c>
      <c r="L31" s="14">
        <f t="shared" si="9"/>
        <v>6121.4000000000005</v>
      </c>
      <c r="M31" s="83">
        <f>16569.199-16352.091</f>
        <v>217.10800000000017</v>
      </c>
      <c r="N31" s="83">
        <f>4779.489-4777.532</f>
        <v>1.9569999999994252</v>
      </c>
      <c r="O31" s="83">
        <f>10479.998-10479.959</f>
        <v>3.8999999998850399E-2</v>
      </c>
      <c r="P31" s="82">
        <f>7416.027-7335.978</f>
        <v>80.048999999999978</v>
      </c>
      <c r="Q31" s="83">
        <f>27654.96-27643.264</f>
        <v>11.695999999999913</v>
      </c>
      <c r="R31" s="83">
        <f t="shared" si="0"/>
        <v>82.044999999998254</v>
      </c>
      <c r="S31" s="83">
        <f t="shared" si="1"/>
        <v>643.23279999998624</v>
      </c>
      <c r="T31" s="83">
        <f t="shared" si="2"/>
        <v>228.80400000000009</v>
      </c>
      <c r="U31" s="83">
        <f t="shared" si="16"/>
        <v>1793.8233600000005</v>
      </c>
      <c r="V31" s="122">
        <f>403350.7-403042.8</f>
        <v>307.90000000002328</v>
      </c>
      <c r="W31" s="122">
        <f>152921.07-152719.25</f>
        <v>201.82000000000698</v>
      </c>
      <c r="X31" s="86" t="s">
        <v>63</v>
      </c>
      <c r="Y31" s="87">
        <v>1010243</v>
      </c>
      <c r="Z31" s="5">
        <f t="shared" si="10"/>
        <v>913</v>
      </c>
      <c r="AA31" s="14">
        <f t="shared" si="7"/>
        <v>5907.11</v>
      </c>
      <c r="AB31" s="87">
        <v>11301138</v>
      </c>
      <c r="AC31" s="86">
        <f t="shared" si="11"/>
        <v>11287540</v>
      </c>
      <c r="AD31" s="5">
        <f t="shared" si="3"/>
        <v>13598</v>
      </c>
      <c r="AE31" s="83">
        <f t="shared" si="12"/>
        <v>4457.3564100000003</v>
      </c>
      <c r="AF31" s="83">
        <f>96894.5-96872.5</f>
        <v>22</v>
      </c>
      <c r="AG31" s="83">
        <f t="shared" si="19"/>
        <v>0</v>
      </c>
      <c r="AH31" s="83">
        <f>30611.7-30604.5</f>
        <v>7.2000000000007276</v>
      </c>
      <c r="AI31" s="87">
        <f t="shared" si="13"/>
        <v>51514.9</v>
      </c>
      <c r="AJ31" s="87">
        <v>51541.4</v>
      </c>
      <c r="AK31" s="48">
        <f t="shared" si="8"/>
        <v>26.5</v>
      </c>
      <c r="AL31" s="89">
        <f t="shared" si="5"/>
        <v>7535.1461063849993</v>
      </c>
      <c r="AM31" s="83">
        <f t="shared" si="14"/>
        <v>2469.9832179424707</v>
      </c>
      <c r="AN31" s="71">
        <v>148</v>
      </c>
      <c r="AO31" s="78">
        <f t="shared" si="6"/>
        <v>18279.689770000001</v>
      </c>
    </row>
    <row r="32" spans="1:41" x14ac:dyDescent="0.25">
      <c r="A32" s="79">
        <v>44619</v>
      </c>
      <c r="B32" s="86">
        <f>13583312-13577662</f>
        <v>5650</v>
      </c>
      <c r="C32" s="86">
        <f>8692870-8688502</f>
        <v>4368</v>
      </c>
      <c r="D32" s="86">
        <f>1724453-1723513</f>
        <v>940</v>
      </c>
      <c r="E32" s="86">
        <f>13031923-13025226</f>
        <v>6697</v>
      </c>
      <c r="F32" s="86">
        <f>12884298-12878322</f>
        <v>5976</v>
      </c>
      <c r="G32" s="86">
        <f>9017292-9014384</f>
        <v>2908</v>
      </c>
      <c r="H32" s="86">
        <f>9861640-9857910</f>
        <v>3730</v>
      </c>
      <c r="I32" s="86">
        <f>5751672-5749519</f>
        <v>2153</v>
      </c>
      <c r="J32" s="86">
        <f>13189363-13182302</f>
        <v>7061</v>
      </c>
      <c r="K32" s="86">
        <f t="shared" si="15"/>
        <v>30269</v>
      </c>
      <c r="L32" s="14">
        <f t="shared" si="9"/>
        <v>6053.8</v>
      </c>
      <c r="M32" s="83">
        <f>16750.999-16569.199</f>
        <v>181.79999999999927</v>
      </c>
      <c r="N32" s="83">
        <f>4781.197-4779.489</f>
        <v>1.7080000000005384</v>
      </c>
      <c r="O32" s="83">
        <f>10480.054-10479.998</f>
        <v>5.6000000000494765E-2</v>
      </c>
      <c r="P32" s="82">
        <f>7491.343-7416.027</f>
        <v>75.315999999999804</v>
      </c>
      <c r="Q32" s="83">
        <f>27672.912-27654.96</f>
        <v>17.952000000001135</v>
      </c>
      <c r="R32" s="83">
        <f t="shared" si="0"/>
        <v>77.080000000000837</v>
      </c>
      <c r="S32" s="83">
        <f t="shared" si="1"/>
        <v>604.30720000000656</v>
      </c>
      <c r="T32" s="83">
        <f t="shared" si="2"/>
        <v>199.75200000000041</v>
      </c>
      <c r="U32" s="83">
        <f t="shared" si="16"/>
        <v>1566.0556800000031</v>
      </c>
      <c r="V32" s="122">
        <f>403569-403350.7</f>
        <v>218.29999999998836</v>
      </c>
      <c r="W32" s="122">
        <f>153093.14-152921.07</f>
        <v>172.07000000000698</v>
      </c>
      <c r="X32" s="86" t="s">
        <v>63</v>
      </c>
      <c r="Y32" s="87">
        <v>1011001</v>
      </c>
      <c r="Z32" s="5">
        <f t="shared" si="10"/>
        <v>758</v>
      </c>
      <c r="AA32" s="14">
        <f t="shared" si="7"/>
        <v>4904.26</v>
      </c>
      <c r="AB32" s="87">
        <v>11314685</v>
      </c>
      <c r="AC32" s="86">
        <f t="shared" si="11"/>
        <v>11301138</v>
      </c>
      <c r="AD32" s="5">
        <f t="shared" si="3"/>
        <v>13547</v>
      </c>
      <c r="AE32" s="83">
        <f t="shared" si="12"/>
        <v>4440.6388649999999</v>
      </c>
      <c r="AF32" s="83">
        <f>96916.4-96894.5</f>
        <v>21.899999999994179</v>
      </c>
      <c r="AG32" s="83">
        <f t="shared" si="19"/>
        <v>0</v>
      </c>
      <c r="AH32" s="83">
        <f>30619.5-30611.7</f>
        <v>7.7999999999992724</v>
      </c>
      <c r="AI32" s="87">
        <f t="shared" si="13"/>
        <v>51541.4</v>
      </c>
      <c r="AJ32" s="87">
        <v>51567.1</v>
      </c>
      <c r="AK32" s="48">
        <f t="shared" si="8"/>
        <v>25.69999999999709</v>
      </c>
      <c r="AL32" s="89">
        <f t="shared" si="5"/>
        <v>7307.6699975121719</v>
      </c>
      <c r="AM32" s="83">
        <f t="shared" si="14"/>
        <v>2395.4176868345025</v>
      </c>
      <c r="AN32" s="71">
        <v>140</v>
      </c>
      <c r="AO32" s="78">
        <f t="shared" si="6"/>
        <v>16964.754545000003</v>
      </c>
    </row>
    <row r="33" spans="1:41" x14ac:dyDescent="0.25">
      <c r="A33" s="79">
        <v>44620</v>
      </c>
      <c r="B33" s="86">
        <f>13589470-13583312</f>
        <v>6158</v>
      </c>
      <c r="C33" s="86">
        <f>8697670-8692870</f>
        <v>4800</v>
      </c>
      <c r="D33" s="86">
        <f>1725372-1724453</f>
        <v>919</v>
      </c>
      <c r="E33" s="86">
        <f>13038819-13031923</f>
        <v>6896</v>
      </c>
      <c r="F33" s="86">
        <f>12890437-12884298</f>
        <v>6139</v>
      </c>
      <c r="G33" s="86">
        <f>9020335-9017292</f>
        <v>3043</v>
      </c>
      <c r="H33" s="86">
        <f>9865505-9861640</f>
        <v>3865</v>
      </c>
      <c r="I33" s="86">
        <f>5753990-5751672</f>
        <v>2318</v>
      </c>
      <c r="J33" s="86">
        <f>13196460-13189363</f>
        <v>7097</v>
      </c>
      <c r="K33" s="86">
        <f t="shared" si="15"/>
        <v>31820</v>
      </c>
      <c r="L33" s="14">
        <f t="shared" si="9"/>
        <v>6364</v>
      </c>
      <c r="M33" s="83">
        <f>16943.812-16750.999</f>
        <v>192.81300000000192</v>
      </c>
      <c r="N33" s="83">
        <f>4782.811-4781.197</f>
        <v>1.613999999999578</v>
      </c>
      <c r="O33" s="83">
        <f>10480.229-10480.054</f>
        <v>0.1749999999992724</v>
      </c>
      <c r="P33" s="82">
        <f>7560.12-7491.343</f>
        <v>68.777000000000044</v>
      </c>
      <c r="Q33" s="83">
        <f>27686.27-27672.912</f>
        <v>13.358000000000175</v>
      </c>
      <c r="R33" s="83">
        <f t="shared" si="0"/>
        <v>70.565999999998894</v>
      </c>
      <c r="S33" s="83">
        <f t="shared" si="1"/>
        <v>553.23743999999135</v>
      </c>
      <c r="T33" s="83">
        <f t="shared" si="2"/>
        <v>206.1710000000021</v>
      </c>
      <c r="U33" s="83">
        <f t="shared" si="16"/>
        <v>1616.3806400000165</v>
      </c>
      <c r="V33" s="122">
        <f>403801.4-403569</f>
        <v>232.40000000002328</v>
      </c>
      <c r="W33" s="122">
        <f>153269.88-153093.14</f>
        <v>176.73999999999069</v>
      </c>
      <c r="X33" s="86" t="s">
        <v>63</v>
      </c>
      <c r="Y33" s="87">
        <v>1011787</v>
      </c>
      <c r="Z33" s="5">
        <f t="shared" si="10"/>
        <v>786</v>
      </c>
      <c r="AA33" s="14">
        <f t="shared" si="7"/>
        <v>5085.42</v>
      </c>
      <c r="AB33" s="87">
        <v>11329515</v>
      </c>
      <c r="AC33" s="86">
        <f t="shared" si="11"/>
        <v>11314685</v>
      </c>
      <c r="AD33" s="5">
        <f t="shared" si="3"/>
        <v>14830</v>
      </c>
      <c r="AE33" s="83">
        <f t="shared" si="12"/>
        <v>4861.19985</v>
      </c>
      <c r="AF33" s="83">
        <f>96942.6-96916.4</f>
        <v>26.200000000011642</v>
      </c>
      <c r="AG33" s="83">
        <f>50692.5-50692.5</f>
        <v>0</v>
      </c>
      <c r="AH33" s="83">
        <f>30627.6-30619.5</f>
        <v>8.0999999999985448</v>
      </c>
      <c r="AI33" s="87">
        <f t="shared" si="13"/>
        <v>51567.1</v>
      </c>
      <c r="AJ33" s="87">
        <v>51595</v>
      </c>
      <c r="AK33" s="48">
        <f t="shared" si="8"/>
        <v>27.900000000001455</v>
      </c>
      <c r="AL33" s="89">
        <f t="shared" si="5"/>
        <v>7933.2292969114133</v>
      </c>
      <c r="AM33" s="83">
        <f t="shared" si="14"/>
        <v>2600.4728973810766</v>
      </c>
      <c r="AN33" s="71">
        <v>177</v>
      </c>
      <c r="AO33" s="78">
        <f t="shared" si="6"/>
        <v>17927.000490000017</v>
      </c>
    </row>
    <row r="34" spans="1:41" x14ac:dyDescent="0.25">
      <c r="A34" s="79"/>
      <c r="B34" s="86"/>
      <c r="C34" s="86"/>
      <c r="D34" s="86"/>
      <c r="E34" s="86"/>
      <c r="F34" s="86"/>
      <c r="G34" s="86"/>
      <c r="H34" s="86"/>
      <c r="I34" s="86"/>
      <c r="J34" s="86"/>
      <c r="K34" s="86">
        <f t="shared" si="15"/>
        <v>0</v>
      </c>
      <c r="L34" s="14">
        <f t="shared" si="9"/>
        <v>0</v>
      </c>
      <c r="M34" s="83"/>
      <c r="N34" s="83"/>
      <c r="O34" s="83"/>
      <c r="P34" s="82"/>
      <c r="Q34" s="83"/>
      <c r="R34" s="83">
        <f t="shared" si="0"/>
        <v>0</v>
      </c>
      <c r="S34" s="83">
        <f t="shared" si="1"/>
        <v>0</v>
      </c>
      <c r="T34" s="83">
        <f t="shared" si="2"/>
        <v>0</v>
      </c>
      <c r="U34" s="83">
        <f t="shared" si="16"/>
        <v>0</v>
      </c>
      <c r="V34" s="122"/>
      <c r="W34" s="122"/>
      <c r="X34" s="86" t="s">
        <v>63</v>
      </c>
      <c r="Y34" s="87"/>
      <c r="Z34" s="5" t="str">
        <f t="shared" si="10"/>
        <v>0</v>
      </c>
      <c r="AA34" s="14">
        <f t="shared" si="7"/>
        <v>0</v>
      </c>
      <c r="AB34" s="87"/>
      <c r="AC34" s="86">
        <f t="shared" si="11"/>
        <v>11329515</v>
      </c>
      <c r="AD34" s="5" t="str">
        <f t="shared" si="3"/>
        <v>0</v>
      </c>
      <c r="AE34" s="83">
        <f t="shared" si="12"/>
        <v>0</v>
      </c>
      <c r="AF34" s="83"/>
      <c r="AG34" s="83"/>
      <c r="AH34" s="83"/>
      <c r="AI34" s="87">
        <f t="shared" si="13"/>
        <v>51595</v>
      </c>
      <c r="AJ34" s="87"/>
      <c r="AK34" s="48" t="str">
        <f t="shared" si="8"/>
        <v>0</v>
      </c>
      <c r="AL34" s="89">
        <f t="shared" si="5"/>
        <v>0</v>
      </c>
      <c r="AM34" s="83">
        <f t="shared" si="14"/>
        <v>0</v>
      </c>
      <c r="AN34" s="5"/>
      <c r="AO34" s="78">
        <f t="shared" si="6"/>
        <v>0</v>
      </c>
    </row>
    <row r="35" spans="1:41" x14ac:dyDescent="0.25">
      <c r="A35" s="79"/>
      <c r="B35" s="86"/>
      <c r="C35" s="86"/>
      <c r="D35" s="86"/>
      <c r="E35" s="86"/>
      <c r="F35" s="86"/>
      <c r="G35" s="86"/>
      <c r="H35" s="86"/>
      <c r="I35" s="86"/>
      <c r="J35" s="86"/>
      <c r="K35" s="86">
        <f t="shared" ref="K35:K36" si="20">SUM(B35:H35)</f>
        <v>0</v>
      </c>
      <c r="L35" s="14">
        <f t="shared" ref="L35:L36" si="21">K35*0.2</f>
        <v>0</v>
      </c>
      <c r="M35" s="83"/>
      <c r="N35" s="83"/>
      <c r="O35" s="83"/>
      <c r="P35" s="82"/>
      <c r="Q35" s="83"/>
      <c r="R35" s="83">
        <f t="shared" ref="R35:R36" si="22">N35+O35+P35</f>
        <v>0</v>
      </c>
      <c r="S35" s="83">
        <f t="shared" ref="S35:S36" si="23">(N35+O35+P35)*7.84</f>
        <v>0</v>
      </c>
      <c r="T35" s="83">
        <f t="shared" ref="T35:T36" si="24">M35+Q35</f>
        <v>0</v>
      </c>
      <c r="U35" s="83">
        <f t="shared" ref="U35:U36" si="25">T35*7.84</f>
        <v>0</v>
      </c>
      <c r="V35" s="122"/>
      <c r="W35" s="122"/>
      <c r="X35" s="86" t="s">
        <v>63</v>
      </c>
      <c r="Y35" s="87"/>
      <c r="Z35" s="5">
        <f t="shared" ref="Z35:Z36" si="26">IF((Y35-Y34&lt;0), "0",Y35-Y34)</f>
        <v>0</v>
      </c>
      <c r="AA35" s="14">
        <f t="shared" ref="AA35:AA36" si="27">Z35*6.47</f>
        <v>0</v>
      </c>
      <c r="AB35" s="87"/>
      <c r="AC35" s="86">
        <f t="shared" ref="AC35:AC36" si="28">AB34</f>
        <v>0</v>
      </c>
      <c r="AD35" s="5">
        <f t="shared" ref="AD35:AD36" si="29">IF((AB35-AC35&lt;0), "0",AB35-AC35)</f>
        <v>0</v>
      </c>
      <c r="AE35" s="83">
        <f t="shared" si="12"/>
        <v>0</v>
      </c>
      <c r="AF35" s="83"/>
      <c r="AG35" s="83"/>
      <c r="AH35" s="83"/>
      <c r="AI35" s="87">
        <f t="shared" si="13"/>
        <v>0</v>
      </c>
      <c r="AJ35" s="87"/>
      <c r="AK35" s="48">
        <f t="shared" ref="AK35:AK36" si="30">IF((AJ35-AI35)&lt;0, "0",AJ35-AI35)</f>
        <v>0</v>
      </c>
      <c r="AL35" s="89">
        <f t="shared" ref="AL35:AL36" si="31">AK35*(284.34513609)</f>
        <v>0</v>
      </c>
      <c r="AM35" s="83">
        <f t="shared" si="14"/>
        <v>0</v>
      </c>
      <c r="AN35" s="5"/>
      <c r="AO35" s="78">
        <f t="shared" si="6"/>
        <v>0</v>
      </c>
    </row>
    <row r="36" spans="1:41" x14ac:dyDescent="0.25">
      <c r="A36" s="79"/>
      <c r="B36" s="86"/>
      <c r="C36" s="86"/>
      <c r="D36" s="86"/>
      <c r="E36" s="86"/>
      <c r="F36" s="86"/>
      <c r="G36" s="86"/>
      <c r="H36" s="86"/>
      <c r="I36" s="86"/>
      <c r="J36" s="86"/>
      <c r="K36" s="86">
        <f t="shared" si="20"/>
        <v>0</v>
      </c>
      <c r="L36" s="14">
        <f t="shared" si="21"/>
        <v>0</v>
      </c>
      <c r="M36" s="83"/>
      <c r="N36" s="83"/>
      <c r="O36" s="83"/>
      <c r="P36" s="82"/>
      <c r="Q36" s="83"/>
      <c r="R36" s="83">
        <f t="shared" si="22"/>
        <v>0</v>
      </c>
      <c r="S36" s="83">
        <f t="shared" si="23"/>
        <v>0</v>
      </c>
      <c r="T36" s="83">
        <f t="shared" si="24"/>
        <v>0</v>
      </c>
      <c r="U36" s="83">
        <f t="shared" si="25"/>
        <v>0</v>
      </c>
      <c r="V36" s="122"/>
      <c r="W36" s="122"/>
      <c r="X36" s="86" t="s">
        <v>63</v>
      </c>
      <c r="Y36" s="87"/>
      <c r="Z36" s="5">
        <f t="shared" si="26"/>
        <v>0</v>
      </c>
      <c r="AA36" s="14">
        <f t="shared" si="27"/>
        <v>0</v>
      </c>
      <c r="AB36" s="87"/>
      <c r="AC36" s="86">
        <f t="shared" si="28"/>
        <v>0</v>
      </c>
      <c r="AD36" s="5">
        <f t="shared" si="29"/>
        <v>0</v>
      </c>
      <c r="AE36" s="83">
        <f t="shared" si="12"/>
        <v>0</v>
      </c>
      <c r="AF36" s="83"/>
      <c r="AG36" s="83"/>
      <c r="AH36" s="83"/>
      <c r="AI36" s="87">
        <f t="shared" si="13"/>
        <v>0</v>
      </c>
      <c r="AJ36" s="87"/>
      <c r="AK36" s="48">
        <f t="shared" si="30"/>
        <v>0</v>
      </c>
      <c r="AL36" s="89">
        <f t="shared" si="31"/>
        <v>0</v>
      </c>
      <c r="AM36" s="83">
        <f t="shared" si="14"/>
        <v>0</v>
      </c>
      <c r="AN36" s="5"/>
      <c r="AO36" s="78">
        <f t="shared" si="6"/>
        <v>0</v>
      </c>
    </row>
    <row r="37" spans="1:41" x14ac:dyDescent="0.25">
      <c r="A37" s="76"/>
      <c r="D37" s="6">
        <f>SUM(D6:D36)</f>
        <v>25825</v>
      </c>
      <c r="E37" s="6" t="s">
        <v>93</v>
      </c>
      <c r="G37" s="6">
        <f t="shared" ref="G37:L37" si="32">SUM(G6:G36)</f>
        <v>82192</v>
      </c>
      <c r="H37" s="6">
        <f t="shared" si="32"/>
        <v>104752</v>
      </c>
      <c r="I37" s="6">
        <f t="shared" si="32"/>
        <v>62501</v>
      </c>
      <c r="J37" s="6">
        <f t="shared" si="32"/>
        <v>197166</v>
      </c>
      <c r="K37" s="6">
        <f t="shared" si="32"/>
        <v>883138</v>
      </c>
      <c r="L37" s="15">
        <f t="shared" si="32"/>
        <v>176627.59999999998</v>
      </c>
      <c r="R37" s="16">
        <f>SUM(R6:R36)</f>
        <v>2151.7139999999972</v>
      </c>
      <c r="T37" s="16">
        <f>SUM(T6:T36)</f>
        <v>5827.1160000000036</v>
      </c>
      <c r="U37" s="16">
        <f t="shared" si="16"/>
        <v>45684.589440000025</v>
      </c>
      <c r="Z37" s="17">
        <f>SUM(Z6:Z36)</f>
        <v>21713</v>
      </c>
      <c r="AA37" s="17">
        <f>SUM(AA6:AA36)</f>
        <v>140483.11000000002</v>
      </c>
      <c r="AD37" s="17">
        <f>SUM(AD6:AD36)</f>
        <v>329008</v>
      </c>
      <c r="AE37" s="16">
        <f>AD37*0.334569</f>
        <v>110075.87755200001</v>
      </c>
      <c r="AF37" s="16">
        <f>SUM(AF6:AF36)</f>
        <v>584.60000000000582</v>
      </c>
      <c r="AG37" s="16">
        <f>SUM(AG6:AG36)</f>
        <v>0</v>
      </c>
      <c r="AH37" s="16">
        <f>SUM(AH6:AH36)</f>
        <v>186.79999999999927</v>
      </c>
      <c r="AK37" s="42">
        <f>SUM(AK6:AK36)</f>
        <v>669</v>
      </c>
      <c r="AL37" s="42">
        <f>SUM(AL6:AL36)</f>
        <v>190226.89604420995</v>
      </c>
      <c r="AM37" s="42">
        <f>SUM(AM6:AM36)</f>
        <v>62355.425388811796</v>
      </c>
      <c r="AN37" s="42">
        <f>SUM(AN6:AN36)</f>
        <v>4545</v>
      </c>
      <c r="AO37" s="42">
        <f>SUM(AO6:AO36)</f>
        <v>470642.47680000018</v>
      </c>
    </row>
    <row r="38" spans="1:41" x14ac:dyDescent="0.25">
      <c r="D38" s="6" t="e">
        <f>#REF!*24</f>
        <v>#REF!</v>
      </c>
      <c r="E38" s="6" t="s">
        <v>1</v>
      </c>
      <c r="R38" s="16">
        <v>7.84</v>
      </c>
      <c r="T38" s="16" t="s">
        <v>99</v>
      </c>
      <c r="U38" s="16">
        <f>U37-R39</f>
        <v>28815.151680000046</v>
      </c>
    </row>
    <row r="39" spans="1:41" x14ac:dyDescent="0.25">
      <c r="D39" s="6" t="e">
        <f>D38*31</f>
        <v>#REF!</v>
      </c>
      <c r="E39" s="6" t="s">
        <v>2</v>
      </c>
      <c r="F39" s="6" t="s">
        <v>94</v>
      </c>
      <c r="G39" s="6" t="e">
        <f>D39*0.2</f>
        <v>#REF!</v>
      </c>
      <c r="R39" s="16">
        <f>R37*R38</f>
        <v>16869.437759999979</v>
      </c>
      <c r="U39" s="16">
        <f>U38/R38</f>
        <v>3675.402000000006</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B0F865-9138-4E1D-8771-8D60B0AC9DE3}">
  <ds:schemaRefs>
    <ds:schemaRef ds:uri="http://purl.org/dc/dcmitype/"/>
    <ds:schemaRef ds:uri="http://purl.org/dc/elements/1.1/"/>
    <ds:schemaRef ds:uri="http://schemas.microsoft.com/office/2006/documentManagement/types"/>
    <ds:schemaRef ds:uri="http://purl.org/dc/terms/"/>
    <ds:schemaRef ds:uri="http://schemas.microsoft.com/office/infopath/2007/PartnerControls"/>
    <ds:schemaRef ds:uri="999013b5-db2e-47f1-85a9-df7f954d7a13"/>
    <ds:schemaRef ds:uri="http://schemas.openxmlformats.org/package/2006/metadata/core-properties"/>
    <ds:schemaRef ds:uri="a21bcabd-71d1-4587-a317-3c23b4e7321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8C7322-DDD4-4103-9BFC-E4E0AA6EE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2022-03-11T12:55:17Z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