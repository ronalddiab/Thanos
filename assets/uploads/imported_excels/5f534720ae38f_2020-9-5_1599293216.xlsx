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860" yWindow="225" windowWidth="12720" windowHeight="1024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11" i="73"/>
  <c r="S5" i="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R8" s="1"/>
  <c r="R9" s="1"/>
  <c r="R10" s="1"/>
  <c r="R11" s="1"/>
  <c r="R12" s="1"/>
  <c r="R13" s="1"/>
  <c r="R14" s="1"/>
  <c r="R15" s="1"/>
  <c r="R16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S2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R17" i="3" l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16"/>
  <c r="C9" i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D9" i="1" l="1"/>
  <c r="E9" s="1"/>
  <c r="L22"/>
  <c r="AB16" i="74" l="1"/>
  <c r="AA16"/>
  <c r="C78" l="1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AB17" i="76" l="1"/>
  <c r="AB16"/>
  <c r="AB15"/>
  <c r="C13" l="1"/>
  <c r="C14" l="1"/>
  <c r="C15" l="1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Q33" i="2"/>
  <c r="AD33" i="3" s="1"/>
  <c r="AE33" s="1"/>
  <c r="AF33" s="1"/>
  <c r="AG33" s="1"/>
  <c r="AH33" s="1"/>
  <c r="Q13" i="2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R33" i="2"/>
  <c r="I23" i="76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F17" i="65"/>
  <c r="AK17" i="5"/>
  <c r="H7" i="63"/>
  <c r="AK10" i="5"/>
  <c r="H5" i="63"/>
  <c r="AK8" i="5"/>
  <c r="H18" i="63"/>
  <c r="AK21" i="5"/>
  <c r="H26" i="63"/>
  <c r="AK29" i="5"/>
  <c r="H22" i="63"/>
  <c r="AK25" i="5"/>
  <c r="F14" i="65"/>
  <c r="H25" i="63"/>
  <c r="AK28" i="5"/>
  <c r="H31" i="63"/>
  <c r="AK34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L10" l="1"/>
  <c r="M9"/>
  <c r="AA9" s="1"/>
  <c r="L11" l="1"/>
  <c r="M10"/>
  <c r="AA10" s="1"/>
  <c r="M2"/>
  <c r="L12" l="1"/>
  <c r="M11"/>
  <c r="AA11" s="1"/>
  <c r="N2"/>
  <c r="AA2"/>
  <c r="L13" l="1"/>
  <c r="M12"/>
  <c r="AA12" s="1"/>
  <c r="AB2"/>
  <c r="L14" l="1"/>
  <c r="M13"/>
  <c r="AA13" s="1"/>
  <c r="AC2"/>
  <c r="L15" l="1"/>
  <c r="M14"/>
  <c r="AA14" s="1"/>
  <c r="L16" l="1"/>
  <c r="M15"/>
  <c r="AA15" s="1"/>
  <c r="L17" l="1"/>
  <c r="M16"/>
  <c r="AA16" s="1"/>
  <c r="L18" l="1"/>
  <c r="M17"/>
  <c r="AA17" s="1"/>
  <c r="L19" l="1"/>
  <c r="M18"/>
  <c r="AA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<sst xmlns="http://schemas.openxmlformats.org/spreadsheetml/2006/main" count="652" uniqueCount="417">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</sst>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969024"/>
        <c:axId val="91970560"/>
      </c:lineChart>
      <c:catAx>
        <c:axId val="919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70560"/>
        <c:crosses val="autoZero"/>
        <c:auto val="1"/>
        <c:lblAlgn val="ctr"/>
        <c:lblOffset val="100"/>
      </c:catAx>
      <c:valAx>
        <c:axId val="91970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421"/>
          <c:w val="0.11899800868449698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991040"/>
        <c:axId val="91992832"/>
      </c:lineChart>
      <c:catAx>
        <c:axId val="919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2832"/>
        <c:crosses val="autoZero"/>
        <c:auto val="1"/>
        <c:lblAlgn val="ctr"/>
        <c:lblOffset val="100"/>
      </c:catAx>
      <c:valAx>
        <c:axId val="9199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2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44000"/>
        <c:axId val="92145536"/>
      </c:lineChart>
      <c:catAx>
        <c:axId val="921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5536"/>
        <c:crosses val="autoZero"/>
        <c:auto val="1"/>
        <c:lblAlgn val="ctr"/>
        <c:lblOffset val="100"/>
      </c:catAx>
      <c:valAx>
        <c:axId val="92145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082"/>
          <c:y val="0.62975887529635421"/>
          <c:w val="7.9124755870162669E-2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94304"/>
        <c:axId val="92195840"/>
      </c:lineChart>
      <c:catAx>
        <c:axId val="921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5840"/>
        <c:crosses val="autoZero"/>
        <c:auto val="1"/>
        <c:lblAlgn val="ctr"/>
        <c:lblOffset val="100"/>
      </c:catAx>
      <c:valAx>
        <c:axId val="92195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4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03648"/>
        <c:axId val="92361088"/>
      </c:lineChart>
      <c:catAx>
        <c:axId val="9220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1088"/>
        <c:crosses val="autoZero"/>
        <c:auto val="1"/>
        <c:lblAlgn val="ctr"/>
        <c:lblOffset val="100"/>
      </c:catAx>
      <c:valAx>
        <c:axId val="92361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0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3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18144"/>
        <c:axId val="92919680"/>
      </c:lineChart>
      <c:catAx>
        <c:axId val="929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9680"/>
        <c:crosses val="autoZero"/>
        <c:auto val="1"/>
        <c:lblAlgn val="ctr"/>
        <c:lblOffset val="100"/>
      </c:catAx>
      <c:valAx>
        <c:axId val="9291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31872"/>
        <c:axId val="92433408"/>
      </c:lineChart>
      <c:catAx>
        <c:axId val="924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3408"/>
        <c:crosses val="autoZero"/>
        <c:auto val="1"/>
        <c:lblAlgn val="ctr"/>
        <c:lblOffset val="100"/>
      </c:catAx>
      <c:valAx>
        <c:axId val="924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49024"/>
        <c:axId val="92459008"/>
      </c:lineChart>
      <c:catAx>
        <c:axId val="924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9008"/>
        <c:crosses val="autoZero"/>
        <c:auto val="1"/>
        <c:lblAlgn val="ctr"/>
        <c:lblOffset val="100"/>
      </c:catAx>
      <c:valAx>
        <c:axId val="9245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822912"/>
        <c:axId val="92828800"/>
      </c:lineChart>
      <c:catAx>
        <c:axId val="928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28800"/>
        <c:crosses val="autoZero"/>
        <c:auto val="1"/>
        <c:lblAlgn val="ctr"/>
        <c:lblOffset val="100"/>
      </c:catAx>
      <c:valAx>
        <c:axId val="92828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131"/>
          <c:w val="0.127240331517724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857088"/>
        <c:axId val="92858624"/>
      </c:lineChart>
      <c:catAx>
        <c:axId val="9285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8624"/>
        <c:crosses val="autoZero"/>
        <c:auto val="1"/>
        <c:lblAlgn val="ctr"/>
        <c:lblOffset val="100"/>
      </c:catAx>
      <c:valAx>
        <c:axId val="9285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768128"/>
        <c:axId val="92769664"/>
      </c:lineChart>
      <c:catAx>
        <c:axId val="9276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9664"/>
        <c:crosses val="autoZero"/>
        <c:auto val="1"/>
        <c:lblAlgn val="ctr"/>
        <c:lblOffset val="100"/>
      </c:catAx>
      <c:valAx>
        <c:axId val="9276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131"/>
          <c:w val="0.135416885389347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781568"/>
        <c:axId val="91169536"/>
      </c:lineChart>
      <c:catAx>
        <c:axId val="927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69536"/>
        <c:crosses val="autoZero"/>
        <c:auto val="1"/>
        <c:lblAlgn val="ctr"/>
        <c:lblOffset val="100"/>
      </c:catAx>
      <c:valAx>
        <c:axId val="91169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13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210496"/>
        <c:axId val="91212032"/>
      </c:lineChart>
      <c:catAx>
        <c:axId val="9121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2032"/>
        <c:crosses val="autoZero"/>
        <c:auto val="1"/>
        <c:lblAlgn val="ctr"/>
        <c:lblOffset val="100"/>
      </c:catAx>
      <c:valAx>
        <c:axId val="91212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421"/>
          <c:w val="0.12291688538932598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559808"/>
        <c:axId val="91561344"/>
      </c:lineChart>
      <c:catAx>
        <c:axId val="915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61344"/>
        <c:crosses val="autoZero"/>
        <c:auto val="1"/>
        <c:lblAlgn val="ctr"/>
        <c:lblOffset val="100"/>
      </c:catAx>
      <c:valAx>
        <c:axId val="9156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131"/>
          <c:w val="0.135416885389347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581440"/>
        <c:axId val="91595520"/>
      </c:lineChart>
      <c:catAx>
        <c:axId val="915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5520"/>
        <c:crosses val="autoZero"/>
        <c:auto val="1"/>
        <c:lblAlgn val="ctr"/>
        <c:lblOffset val="100"/>
      </c:catAx>
      <c:valAx>
        <c:axId val="91595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184"/>
          <c:y val="0.54325368498487869"/>
          <c:w val="0.11458355205599259"/>
          <c:h val="4.49826989619451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-851.03225806451519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143424"/>
        <c:axId val="93144960"/>
      </c:lineChart>
      <c:catAx>
        <c:axId val="9314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4960"/>
        <c:crosses val="autoZero"/>
        <c:auto val="1"/>
        <c:lblAlgn val="ctr"/>
        <c:lblOffset val="100"/>
      </c:catAx>
      <c:valAx>
        <c:axId val="93144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46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173632"/>
        <c:axId val="93175168"/>
      </c:lineChart>
      <c:catAx>
        <c:axId val="9317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5168"/>
        <c:crosses val="autoZero"/>
        <c:auto val="1"/>
        <c:lblAlgn val="ctr"/>
        <c:lblOffset val="100"/>
      </c:catAx>
      <c:valAx>
        <c:axId val="9317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421"/>
          <c:w val="0.13541688538934774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002752"/>
        <c:axId val="93020928"/>
      </c:lineChart>
      <c:catAx>
        <c:axId val="9300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0928"/>
        <c:crosses val="autoZero"/>
        <c:auto val="1"/>
        <c:lblAlgn val="ctr"/>
        <c:lblOffset val="100"/>
      </c:catAx>
      <c:valAx>
        <c:axId val="930209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421"/>
          <c:w val="9.730870597697025E-2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75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196672"/>
        <c:axId val="93198208"/>
      </c:lineChart>
      <c:catAx>
        <c:axId val="9319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8208"/>
        <c:crosses val="autoZero"/>
        <c:auto val="1"/>
        <c:lblAlgn val="ctr"/>
        <c:lblOffset val="100"/>
      </c:catAx>
      <c:valAx>
        <c:axId val="93198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226496"/>
        <c:axId val="93228032"/>
      </c:lineChart>
      <c:catAx>
        <c:axId val="932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8032"/>
        <c:crosses val="autoZero"/>
        <c:auto val="1"/>
        <c:lblAlgn val="ctr"/>
        <c:lblOffset val="100"/>
      </c:catAx>
      <c:valAx>
        <c:axId val="9322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289"/>
          <c:y val="0.62975887529635421"/>
          <c:w val="0.13250539334757044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256320"/>
        <c:axId val="93262208"/>
      </c:lineChart>
      <c:catAx>
        <c:axId val="9325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62208"/>
        <c:crosses val="autoZero"/>
        <c:auto val="1"/>
        <c:lblAlgn val="ctr"/>
        <c:lblOffset val="100"/>
      </c:catAx>
      <c:valAx>
        <c:axId val="9326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13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302784"/>
        <c:axId val="93304320"/>
      </c:lineChart>
      <c:catAx>
        <c:axId val="9330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4320"/>
        <c:crosses val="autoZero"/>
        <c:auto val="1"/>
        <c:lblAlgn val="ctr"/>
        <c:lblOffset val="100"/>
      </c:catAx>
      <c:valAx>
        <c:axId val="9330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435"/>
          <c:w val="0.123431181980925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3337472"/>
        <c:axId val="93339008"/>
      </c:lineChart>
      <c:catAx>
        <c:axId val="933374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39008"/>
        <c:crosses val="autoZero"/>
        <c:auto val="1"/>
        <c:lblAlgn val="ctr"/>
        <c:lblOffset val="100"/>
      </c:catAx>
      <c:valAx>
        <c:axId val="933390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507"/>
          <c:w val="0.156903985328212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346432"/>
        <c:axId val="93372800"/>
      </c:lineChart>
      <c:catAx>
        <c:axId val="933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2800"/>
        <c:crosses val="autoZero"/>
        <c:auto val="1"/>
        <c:lblAlgn val="ctr"/>
        <c:lblOffset val="100"/>
      </c:catAx>
      <c:valAx>
        <c:axId val="93372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421"/>
          <c:w val="0.14853578449139684"/>
          <c:h val="4.49826989619458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471104"/>
        <c:axId val="93472640"/>
      </c:lineChart>
      <c:catAx>
        <c:axId val="934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2640"/>
        <c:crosses val="autoZero"/>
        <c:auto val="1"/>
        <c:lblAlgn val="ctr"/>
        <c:lblOffset val="100"/>
      </c:catAx>
      <c:valAx>
        <c:axId val="9347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72"/>
          <c:y val="0.62975887529635421"/>
          <c:w val="0.12164948453608219"/>
          <c:h val="4.49826989619458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7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546752"/>
        <c:axId val="93552640"/>
      </c:lineChart>
      <c:catAx>
        <c:axId val="935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52640"/>
        <c:crosses val="autoZero"/>
        <c:auto val="1"/>
        <c:lblAlgn val="ctr"/>
        <c:lblOffset val="100"/>
      </c:catAx>
      <c:valAx>
        <c:axId val="93552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560192"/>
        <c:axId val="94065792"/>
      </c:lineChart>
      <c:catAx>
        <c:axId val="9356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65792"/>
        <c:crosses val="autoZero"/>
        <c:auto val="1"/>
        <c:lblAlgn val="ctr"/>
        <c:lblOffset val="100"/>
      </c:catAx>
      <c:valAx>
        <c:axId val="9406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9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4410624"/>
        <c:axId val="94412160"/>
      </c:lineChart>
      <c:catAx>
        <c:axId val="94410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2160"/>
        <c:crosses val="autoZero"/>
        <c:auto val="1"/>
        <c:lblAlgn val="ctr"/>
        <c:lblOffset val="100"/>
      </c:catAx>
      <c:valAx>
        <c:axId val="94412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5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0.10116243241536602</v>
      </c>
      <c r="G2" s="206">
        <f>-tanks!AW6</f>
        <v>155</v>
      </c>
      <c r="H2" s="338">
        <f>SUM(tanks!AV6)</f>
        <v>1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0.15568257086750553</v>
      </c>
      <c r="G3" s="206">
        <f>-tanks!AW7</f>
        <v>0</v>
      </c>
      <c r="H3" s="338">
        <f>SUM(tanks!AV7)</f>
        <v>1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0.14311714243368429</v>
      </c>
      <c r="G4" s="206">
        <f>-tanks!AW8</f>
        <v>350</v>
      </c>
      <c r="H4" s="338">
        <f>SUM(tanks!AV8)</f>
        <v>1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0.1650484174861121</v>
      </c>
      <c r="G5" s="206">
        <f>-tanks!AW9</f>
        <v>303</v>
      </c>
      <c r="H5" s="338">
        <f>SUM(tanks!AV9)</f>
        <v>1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0</v>
      </c>
      <c r="F6" s="338">
        <f>SUM('EDl log'!T8)</f>
        <v>0</v>
      </c>
      <c r="G6" s="206">
        <f>-tanks!AW10</f>
        <v>0</v>
      </c>
      <c r="H6" s="338">
        <f>SUM(tanks!AV10)</f>
        <v>1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0</v>
      </c>
      <c r="F7" s="338">
        <f>SUM('EDl log'!T9)</f>
        <v>0</v>
      </c>
      <c r="G7" s="206">
        <f>-tanks!AW11</f>
        <v>0</v>
      </c>
      <c r="H7" s="338">
        <f>SUM(tanks!AV11)</f>
        <v>1</v>
      </c>
      <c r="I7" s="10">
        <f>('B5'!AU10)*0.51</f>
        <v>0</v>
      </c>
      <c r="J7" s="317">
        <f>'B5'!AX10/0.51</f>
        <v>0.19607843137254902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1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1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1</v>
      </c>
      <c r="I10" s="10">
        <f>('B5'!AU13)*0.51</f>
        <v>0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1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1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1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1</v>
      </c>
      <c r="I14" s="10">
        <f>('B5'!AU17)*0.51</f>
        <v>0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1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1</v>
      </c>
      <c r="I16" s="10">
        <f>('B5'!AU19)*0.51</f>
        <v>0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1</v>
      </c>
      <c r="I17" s="10">
        <f>('B5'!AU20)*0.51</f>
        <v>0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1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1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1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1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1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1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1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1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1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1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1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1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1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1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0</v>
      </c>
      <c r="F6" s="206">
        <f>ELEC!K7</f>
        <v>0</v>
      </c>
      <c r="G6" s="206">
        <f>ELEC!I7</f>
        <v>0</v>
      </c>
      <c r="H6" s="206">
        <f>ELEC!E7</f>
        <v>0</v>
      </c>
      <c r="I6" s="206">
        <f>ELEC!G7</f>
        <v>0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0</v>
      </c>
      <c r="F7" s="206">
        <f>ELEC!K8</f>
        <v>0</v>
      </c>
      <c r="G7" s="206">
        <f>ELEC!I8</f>
        <v>0</v>
      </c>
      <c r="H7" s="206">
        <f>ELEC!E8</f>
        <v>0</v>
      </c>
      <c r="I7" s="206">
        <f>ELEC!G8</f>
        <v>0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U1" zoomScale="85" zoomScaleNormal="85" zoomScaleSheetLayoutView="100" workbookViewId="0">
      <pane ySplit="1" topLeftCell="A2" activePane="bottomLeft" state="frozen"/>
      <selection activeCell="C1" sqref="C1"/>
      <selection pane="bottomLeft" activeCell="AN6" sqref="AN6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</v>
      </c>
      <c r="B2" s="598">
        <f>[1]ELEC!$B$33</f>
        <v>0</v>
      </c>
      <c r="C2" s="471">
        <v>44074</v>
      </c>
      <c r="D2" s="551">
        <f>[1]ELEC!D33</f>
        <v>32168402</v>
      </c>
      <c r="E2" s="551">
        <f>[1]ELEC!E33</f>
        <v>2944</v>
      </c>
      <c r="F2" s="551">
        <f>[1]ELEC!F33</f>
        <v>3846115</v>
      </c>
      <c r="G2" s="551">
        <f>[1]ELEC!G33</f>
        <v>1023</v>
      </c>
      <c r="H2" s="551">
        <f>[1]ELEC!H33</f>
        <v>17640934</v>
      </c>
      <c r="I2" s="551">
        <f>[1]ELEC!I33</f>
        <v>1218</v>
      </c>
      <c r="J2" s="551">
        <f>[1]ELEC!J33</f>
        <v>28692174</v>
      </c>
      <c r="K2" s="551">
        <f>[1]ELEC!K33</f>
        <v>880</v>
      </c>
      <c r="L2" s="551">
        <f>[1]ELEC!L33</f>
        <v>23577646</v>
      </c>
      <c r="M2" s="551">
        <f>[1]ELEC!M33</f>
        <v>4468</v>
      </c>
      <c r="N2" s="551">
        <f>[1]ELEC!N33</f>
        <v>10533</v>
      </c>
      <c r="O2" s="551">
        <f>[1]ELEC!O33</f>
        <v>0</v>
      </c>
      <c r="P2" s="551">
        <f>[1]ELEC!P33</f>
        <v>16263</v>
      </c>
      <c r="Q2" s="551">
        <f>[1]ELEC!Q33</f>
        <v>2000</v>
      </c>
      <c r="R2" s="551">
        <f>[1]ELEC!R33</f>
        <v>8533</v>
      </c>
      <c r="S2" s="551">
        <f>[1]ELEC!S33</f>
        <v>9489</v>
      </c>
      <c r="T2" s="551">
        <f>[1]ELEC!T33</f>
        <v>12</v>
      </c>
      <c r="U2" s="551">
        <f>[1]ELEC!U33</f>
        <v>283000</v>
      </c>
      <c r="V2" s="551">
        <f>[1]ELEC!V33</f>
        <v>2952</v>
      </c>
      <c r="W2" s="551">
        <f>[1]ELEC!W33</f>
        <v>32049</v>
      </c>
      <c r="X2" s="551">
        <f>[1]ELEC!X33</f>
        <v>0</v>
      </c>
      <c r="Y2" s="551">
        <f>[1]ELEC!Y33</f>
        <v>673052</v>
      </c>
      <c r="Z2" s="551">
        <f>[1]ELEC!Z33</f>
        <v>0</v>
      </c>
      <c r="AA2" s="551">
        <f>[1]ELEC!AA33</f>
        <v>35501</v>
      </c>
      <c r="AB2" s="551">
        <f>[1]ELEC!AB33</f>
        <v>0</v>
      </c>
      <c r="AC2" s="551">
        <f>[1]ELEC!AC33</f>
        <v>875897</v>
      </c>
      <c r="AD2" s="551">
        <f>[1]ELEC!AD33</f>
        <v>0</v>
      </c>
      <c r="AE2" s="551">
        <f>[1]ELEC!AE33</f>
        <v>12</v>
      </c>
      <c r="AF2" s="551">
        <f>[1]ELEC!AF33</f>
        <v>2952</v>
      </c>
      <c r="AG2" s="551">
        <f>[1]ELEC!AG33</f>
        <v>246</v>
      </c>
      <c r="AH2" s="551">
        <f>[1]ELEC!AH33</f>
        <v>0</v>
      </c>
      <c r="AI2" s="551">
        <f>[1]ELEC!AI33</f>
        <v>-328401</v>
      </c>
      <c r="AJ2" s="551">
        <f>[1]ELEC!AJ33</f>
        <v>0</v>
      </c>
      <c r="AK2" s="551">
        <f>[1]ELEC!AK33</f>
        <v>0</v>
      </c>
      <c r="AL2" s="551">
        <f>[1]ELEC!AL33</f>
        <v>0</v>
      </c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2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2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2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2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31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f t="shared" ref="D7:D33" si="25">D6</f>
        <v>32188900</v>
      </c>
      <c r="E7" s="319">
        <f t="shared" si="13"/>
        <v>0</v>
      </c>
      <c r="F7" s="458">
        <f t="shared" ref="F7:F33" si="26">F6</f>
        <v>3849967</v>
      </c>
      <c r="G7" s="320">
        <f t="shared" si="0"/>
        <v>0</v>
      </c>
      <c r="H7" s="458">
        <f t="shared" ref="H7:H33" si="27">H6</f>
        <v>17646550</v>
      </c>
      <c r="I7" s="320">
        <f t="shared" si="14"/>
        <v>0</v>
      </c>
      <c r="J7" s="458">
        <f t="shared" ref="J7:J33" si="28">J6</f>
        <v>28696608</v>
      </c>
      <c r="K7" s="320">
        <f t="shared" si="15"/>
        <v>0</v>
      </c>
      <c r="L7" s="458">
        <f t="shared" ref="L7:L33" si="29">L6</f>
        <v>23592074</v>
      </c>
      <c r="M7" s="320">
        <f t="shared" si="16"/>
        <v>0</v>
      </c>
      <c r="N7" s="318">
        <f t="shared" si="17"/>
        <v>0</v>
      </c>
      <c r="O7" s="480">
        <f t="shared" si="1"/>
        <v>0</v>
      </c>
      <c r="P7" s="458">
        <f t="shared" ref="P7:P33" si="30">P6</f>
        <v>16279</v>
      </c>
      <c r="Q7" s="462">
        <f t="shared" si="2"/>
        <v>0</v>
      </c>
      <c r="R7" s="462">
        <f t="shared" si="21"/>
        <v>0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f t="shared" si="9"/>
        <v>35528</v>
      </c>
      <c r="AB7" s="462">
        <f t="shared" si="19"/>
        <v>0</v>
      </c>
      <c r="AC7" s="458">
        <f t="shared" si="10"/>
        <v>881970</v>
      </c>
      <c r="AD7" s="462">
        <f t="shared" si="20"/>
        <v>0</v>
      </c>
      <c r="AE7" s="485">
        <f t="shared" si="11"/>
        <v>0</v>
      </c>
      <c r="AF7" s="486">
        <f t="shared" si="12"/>
        <v>0</v>
      </c>
      <c r="AG7" s="478">
        <f t="shared" si="5"/>
        <v>0</v>
      </c>
      <c r="AI7" s="479">
        <f>R7-'EDl log'!B5</f>
        <v>-358114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f t="shared" si="25"/>
        <v>32188900</v>
      </c>
      <c r="E8" s="319">
        <f t="shared" si="13"/>
        <v>0</v>
      </c>
      <c r="F8" s="458">
        <f t="shared" si="26"/>
        <v>3849967</v>
      </c>
      <c r="G8" s="320">
        <f t="shared" si="0"/>
        <v>0</v>
      </c>
      <c r="H8" s="458">
        <f t="shared" si="27"/>
        <v>17646550</v>
      </c>
      <c r="I8" s="320">
        <f t="shared" si="14"/>
        <v>0</v>
      </c>
      <c r="J8" s="458">
        <f t="shared" si="28"/>
        <v>28696608</v>
      </c>
      <c r="K8" s="320">
        <f t="shared" si="15"/>
        <v>0</v>
      </c>
      <c r="L8" s="458">
        <f t="shared" si="29"/>
        <v>23592074</v>
      </c>
      <c r="M8" s="320">
        <f t="shared" si="16"/>
        <v>0</v>
      </c>
      <c r="N8" s="318">
        <f t="shared" si="17"/>
        <v>0</v>
      </c>
      <c r="O8" s="480">
        <f t="shared" si="1"/>
        <v>0</v>
      </c>
      <c r="P8" s="458">
        <f t="shared" si="30"/>
        <v>16279</v>
      </c>
      <c r="Q8" s="462">
        <f t="shared" si="2"/>
        <v>0</v>
      </c>
      <c r="R8" s="462">
        <f t="shared" si="21"/>
        <v>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f t="shared" si="9"/>
        <v>35528</v>
      </c>
      <c r="AB8" s="462">
        <f t="shared" si="19"/>
        <v>0</v>
      </c>
      <c r="AC8" s="458">
        <f t="shared" si="10"/>
        <v>881970</v>
      </c>
      <c r="AD8" s="462">
        <f t="shared" si="20"/>
        <v>0</v>
      </c>
      <c r="AE8" s="485">
        <f t="shared" si="11"/>
        <v>0</v>
      </c>
      <c r="AF8" s="486">
        <f t="shared" si="12"/>
        <v>0</v>
      </c>
      <c r="AG8" s="478">
        <f t="shared" si="5"/>
        <v>0</v>
      </c>
      <c r="AI8" s="479">
        <f>R8-'EDl log'!B6</f>
        <v>-362083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f t="shared" si="25"/>
        <v>32188900</v>
      </c>
      <c r="E9" s="319">
        <f t="shared" si="13"/>
        <v>0</v>
      </c>
      <c r="F9" s="458">
        <f t="shared" si="26"/>
        <v>3849967</v>
      </c>
      <c r="G9" s="320">
        <f t="shared" si="0"/>
        <v>0</v>
      </c>
      <c r="H9" s="458">
        <f t="shared" si="27"/>
        <v>17646550</v>
      </c>
      <c r="I9" s="320">
        <f t="shared" si="14"/>
        <v>0</v>
      </c>
      <c r="J9" s="458">
        <f t="shared" si="28"/>
        <v>28696608</v>
      </c>
      <c r="K9" s="320">
        <f t="shared" si="15"/>
        <v>0</v>
      </c>
      <c r="L9" s="458">
        <f t="shared" si="29"/>
        <v>23592074</v>
      </c>
      <c r="M9" s="320">
        <f t="shared" si="16"/>
        <v>0</v>
      </c>
      <c r="N9" s="318">
        <f t="shared" si="17"/>
        <v>0</v>
      </c>
      <c r="O9" s="480">
        <f t="shared" si="1"/>
        <v>0</v>
      </c>
      <c r="P9" s="458">
        <f t="shared" si="30"/>
        <v>16279</v>
      </c>
      <c r="Q9" s="462">
        <f t="shared" si="2"/>
        <v>0</v>
      </c>
      <c r="R9" s="462">
        <f t="shared" si="21"/>
        <v>0</v>
      </c>
      <c r="S9" s="458">
        <f t="shared" si="22"/>
        <v>9517</v>
      </c>
      <c r="T9" s="482">
        <f t="shared" si="3"/>
        <v>0</v>
      </c>
      <c r="U9" s="458">
        <f t="shared" si="23"/>
        <v>289529</v>
      </c>
      <c r="V9" s="462">
        <f t="shared" si="18"/>
        <v>0</v>
      </c>
      <c r="W9" s="458">
        <f t="shared" si="7"/>
        <v>32049</v>
      </c>
      <c r="X9" s="462">
        <f t="shared" ref="X9:X32" si="31">W9-W8</f>
        <v>0</v>
      </c>
      <c r="Y9" s="458">
        <f t="shared" si="8"/>
        <v>673052</v>
      </c>
      <c r="Z9" s="462">
        <f t="shared" si="24"/>
        <v>0</v>
      </c>
      <c r="AA9" s="458">
        <f t="shared" si="9"/>
        <v>35528</v>
      </c>
      <c r="AB9" s="462">
        <f t="shared" si="19"/>
        <v>0</v>
      </c>
      <c r="AC9" s="458">
        <f t="shared" si="10"/>
        <v>881970</v>
      </c>
      <c r="AD9" s="462">
        <f t="shared" si="20"/>
        <v>0</v>
      </c>
      <c r="AE9" s="485">
        <f t="shared" si="11"/>
        <v>0</v>
      </c>
      <c r="AF9" s="486">
        <f t="shared" si="12"/>
        <v>0</v>
      </c>
      <c r="AG9" s="478">
        <f t="shared" si="5"/>
        <v>0</v>
      </c>
      <c r="AI9" s="479">
        <f>R9-'EDl log'!B7</f>
        <v>-366467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f t="shared" si="25"/>
        <v>32188900</v>
      </c>
      <c r="E10" s="319">
        <f t="shared" si="13"/>
        <v>0</v>
      </c>
      <c r="F10" s="458">
        <f t="shared" si="26"/>
        <v>3849967</v>
      </c>
      <c r="G10" s="320">
        <f t="shared" si="0"/>
        <v>0</v>
      </c>
      <c r="H10" s="458">
        <f t="shared" si="27"/>
        <v>17646550</v>
      </c>
      <c r="I10" s="320">
        <f t="shared" si="14"/>
        <v>0</v>
      </c>
      <c r="J10" s="458">
        <f t="shared" si="28"/>
        <v>28696608</v>
      </c>
      <c r="K10" s="320">
        <f t="shared" si="15"/>
        <v>0</v>
      </c>
      <c r="L10" s="458">
        <f t="shared" si="29"/>
        <v>23592074</v>
      </c>
      <c r="M10" s="320">
        <f t="shared" si="16"/>
        <v>0</v>
      </c>
      <c r="N10" s="318">
        <f t="shared" si="17"/>
        <v>0</v>
      </c>
      <c r="O10" s="480">
        <f t="shared" ref="O10:O32" si="32">IF(B10&gt;0,N10/B10,0)</f>
        <v>0</v>
      </c>
      <c r="P10" s="458">
        <f t="shared" si="30"/>
        <v>16279</v>
      </c>
      <c r="Q10" s="462">
        <f t="shared" si="2"/>
        <v>0</v>
      </c>
      <c r="R10" s="462">
        <f t="shared" si="21"/>
        <v>0</v>
      </c>
      <c r="S10" s="458">
        <f t="shared" si="22"/>
        <v>9517</v>
      </c>
      <c r="T10" s="482">
        <f t="shared" si="3"/>
        <v>0</v>
      </c>
      <c r="U10" s="458">
        <f t="shared" si="23"/>
        <v>289529</v>
      </c>
      <c r="V10" s="462">
        <f t="shared" si="18"/>
        <v>0</v>
      </c>
      <c r="W10" s="458">
        <f t="shared" si="7"/>
        <v>32049</v>
      </c>
      <c r="X10" s="462">
        <f t="shared" si="31"/>
        <v>0</v>
      </c>
      <c r="Y10" s="458">
        <f t="shared" si="8"/>
        <v>673052</v>
      </c>
      <c r="Z10" s="462">
        <f t="shared" si="24"/>
        <v>0</v>
      </c>
      <c r="AA10" s="458">
        <f t="shared" si="9"/>
        <v>35528</v>
      </c>
      <c r="AB10" s="462">
        <f t="shared" si="19"/>
        <v>0</v>
      </c>
      <c r="AC10" s="458">
        <f t="shared" si="10"/>
        <v>881970</v>
      </c>
      <c r="AD10" s="462">
        <f t="shared" si="20"/>
        <v>0</v>
      </c>
      <c r="AE10" s="485">
        <f t="shared" si="11"/>
        <v>0</v>
      </c>
      <c r="AF10" s="486">
        <f t="shared" si="12"/>
        <v>0</v>
      </c>
      <c r="AG10" s="478">
        <f t="shared" ref="AG10:AG32" si="33">IF(AE10&gt;0,AF10/AE10,0)</f>
        <v>0</v>
      </c>
      <c r="AI10" s="479">
        <f>R10-'EDl log'!B8</f>
        <v>-366467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f t="shared" si="25"/>
        <v>32188900</v>
      </c>
      <c r="E11" s="319">
        <f t="shared" si="13"/>
        <v>0</v>
      </c>
      <c r="F11" s="458">
        <f t="shared" si="26"/>
        <v>3849967</v>
      </c>
      <c r="G11" s="320">
        <f t="shared" si="0"/>
        <v>0</v>
      </c>
      <c r="H11" s="458">
        <f t="shared" si="27"/>
        <v>17646550</v>
      </c>
      <c r="I11" s="320">
        <f t="shared" si="14"/>
        <v>0</v>
      </c>
      <c r="J11" s="458">
        <f t="shared" si="28"/>
        <v>28696608</v>
      </c>
      <c r="K11" s="320">
        <f t="shared" si="15"/>
        <v>0</v>
      </c>
      <c r="L11" s="458">
        <f t="shared" si="29"/>
        <v>23592074</v>
      </c>
      <c r="M11" s="320">
        <f t="shared" si="16"/>
        <v>0</v>
      </c>
      <c r="N11" s="318">
        <f>M11+K11+I11+G11+E11</f>
        <v>0</v>
      </c>
      <c r="O11" s="480">
        <f t="shared" si="32"/>
        <v>0</v>
      </c>
      <c r="P11" s="458">
        <f t="shared" si="30"/>
        <v>16279</v>
      </c>
      <c r="Q11" s="462">
        <f t="shared" si="2"/>
        <v>0</v>
      </c>
      <c r="R11" s="462">
        <f t="shared" si="21"/>
        <v>0</v>
      </c>
      <c r="S11" s="458">
        <f t="shared" si="22"/>
        <v>9517</v>
      </c>
      <c r="T11" s="482">
        <f t="shared" si="3"/>
        <v>0</v>
      </c>
      <c r="U11" s="458">
        <f t="shared" si="23"/>
        <v>289529</v>
      </c>
      <c r="V11" s="462">
        <f t="shared" si="18"/>
        <v>0</v>
      </c>
      <c r="W11" s="458">
        <f t="shared" si="7"/>
        <v>32049</v>
      </c>
      <c r="X11" s="462">
        <f t="shared" si="31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35528</v>
      </c>
      <c r="AB11" s="462">
        <f t="shared" si="19"/>
        <v>0</v>
      </c>
      <c r="AC11" s="458">
        <f t="shared" si="10"/>
        <v>881970</v>
      </c>
      <c r="AD11" s="462">
        <f t="shared" si="20"/>
        <v>0</v>
      </c>
      <c r="AE11" s="485">
        <f t="shared" si="11"/>
        <v>0</v>
      </c>
      <c r="AF11" s="486">
        <f t="shared" si="12"/>
        <v>0</v>
      </c>
      <c r="AG11" s="478">
        <f t="shared" si="33"/>
        <v>0</v>
      </c>
      <c r="AI11" s="479">
        <f>R11-'EDl log'!B9</f>
        <v>-366467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f t="shared" si="25"/>
        <v>32188900</v>
      </c>
      <c r="E12" s="319">
        <f t="shared" si="13"/>
        <v>0</v>
      </c>
      <c r="F12" s="458">
        <f t="shared" si="26"/>
        <v>3849967</v>
      </c>
      <c r="G12" s="320">
        <f t="shared" si="0"/>
        <v>0</v>
      </c>
      <c r="H12" s="458">
        <f t="shared" si="27"/>
        <v>17646550</v>
      </c>
      <c r="I12" s="320">
        <f t="shared" si="14"/>
        <v>0</v>
      </c>
      <c r="J12" s="458">
        <f t="shared" si="28"/>
        <v>28696608</v>
      </c>
      <c r="K12" s="320">
        <f t="shared" si="15"/>
        <v>0</v>
      </c>
      <c r="L12" s="458">
        <f t="shared" si="29"/>
        <v>23592074</v>
      </c>
      <c r="M12" s="320">
        <f t="shared" si="16"/>
        <v>0</v>
      </c>
      <c r="N12" s="318">
        <f>M12+K12+I12+G12+E12</f>
        <v>0</v>
      </c>
      <c r="O12" s="480">
        <f t="shared" si="32"/>
        <v>0</v>
      </c>
      <c r="P12" s="458">
        <f t="shared" si="30"/>
        <v>16279</v>
      </c>
      <c r="Q12" s="462">
        <f t="shared" si="2"/>
        <v>0</v>
      </c>
      <c r="R12" s="462">
        <f t="shared" si="21"/>
        <v>0</v>
      </c>
      <c r="S12" s="458">
        <f t="shared" si="22"/>
        <v>9517</v>
      </c>
      <c r="T12" s="482">
        <f t="shared" si="3"/>
        <v>0</v>
      </c>
      <c r="U12" s="458">
        <f t="shared" si="23"/>
        <v>289529</v>
      </c>
      <c r="V12" s="462">
        <f t="shared" si="18"/>
        <v>0</v>
      </c>
      <c r="W12" s="458">
        <f t="shared" si="7"/>
        <v>32049</v>
      </c>
      <c r="X12" s="462">
        <f t="shared" si="31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35528</v>
      </c>
      <c r="AB12" s="462">
        <f t="shared" si="19"/>
        <v>0</v>
      </c>
      <c r="AC12" s="458">
        <f t="shared" si="10"/>
        <v>881970</v>
      </c>
      <c r="AD12" s="462">
        <f t="shared" si="20"/>
        <v>0</v>
      </c>
      <c r="AE12" s="485">
        <f t="shared" si="11"/>
        <v>0</v>
      </c>
      <c r="AF12" s="486">
        <f t="shared" si="12"/>
        <v>0</v>
      </c>
      <c r="AG12" s="478">
        <f t="shared" si="33"/>
        <v>0</v>
      </c>
      <c r="AI12" s="479">
        <f>R12-'EDl log'!B10</f>
        <v>-366467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f t="shared" si="25"/>
        <v>32188900</v>
      </c>
      <c r="E13" s="319">
        <f t="shared" si="13"/>
        <v>0</v>
      </c>
      <c r="F13" s="458">
        <f t="shared" si="26"/>
        <v>3849967</v>
      </c>
      <c r="G13" s="320">
        <f t="shared" si="0"/>
        <v>0</v>
      </c>
      <c r="H13" s="458">
        <f t="shared" si="27"/>
        <v>17646550</v>
      </c>
      <c r="I13" s="320">
        <f t="shared" si="14"/>
        <v>0</v>
      </c>
      <c r="J13" s="458">
        <f t="shared" si="28"/>
        <v>28696608</v>
      </c>
      <c r="K13" s="320">
        <f t="shared" si="15"/>
        <v>0</v>
      </c>
      <c r="L13" s="458">
        <f t="shared" si="29"/>
        <v>23592074</v>
      </c>
      <c r="M13" s="320">
        <f t="shared" si="16"/>
        <v>0</v>
      </c>
      <c r="N13" s="318">
        <f t="shared" si="17"/>
        <v>0</v>
      </c>
      <c r="O13" s="480">
        <f t="shared" si="32"/>
        <v>0</v>
      </c>
      <c r="P13" s="458">
        <f t="shared" si="30"/>
        <v>16279</v>
      </c>
      <c r="Q13" s="462">
        <f t="shared" ref="Q13:Q31" si="34">(P13-P12)*1000</f>
        <v>0</v>
      </c>
      <c r="R13" s="462">
        <f t="shared" si="21"/>
        <v>0</v>
      </c>
      <c r="S13" s="458">
        <f t="shared" si="22"/>
        <v>9517</v>
      </c>
      <c r="T13" s="482">
        <f t="shared" si="3"/>
        <v>0</v>
      </c>
      <c r="U13" s="458">
        <f t="shared" si="23"/>
        <v>289529</v>
      </c>
      <c r="V13" s="462">
        <f t="shared" si="18"/>
        <v>0</v>
      </c>
      <c r="W13" s="458">
        <f t="shared" si="7"/>
        <v>32049</v>
      </c>
      <c r="X13" s="462">
        <f t="shared" si="31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35528</v>
      </c>
      <c r="AB13" s="462">
        <f t="shared" si="19"/>
        <v>0</v>
      </c>
      <c r="AC13" s="458">
        <f t="shared" si="10"/>
        <v>881970</v>
      </c>
      <c r="AD13" s="462">
        <f t="shared" si="20"/>
        <v>0</v>
      </c>
      <c r="AE13" s="485">
        <f t="shared" si="11"/>
        <v>0</v>
      </c>
      <c r="AF13" s="486">
        <f t="shared" si="12"/>
        <v>0</v>
      </c>
      <c r="AG13" s="478">
        <f t="shared" si="33"/>
        <v>0</v>
      </c>
      <c r="AI13" s="479">
        <f>R13-'EDl log'!B11</f>
        <v>-366467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f t="shared" si="25"/>
        <v>32188900</v>
      </c>
      <c r="E14" s="319">
        <f t="shared" si="13"/>
        <v>0</v>
      </c>
      <c r="F14" s="458">
        <f t="shared" si="26"/>
        <v>3849967</v>
      </c>
      <c r="G14" s="320">
        <f t="shared" si="0"/>
        <v>0</v>
      </c>
      <c r="H14" s="458">
        <f t="shared" si="27"/>
        <v>17646550</v>
      </c>
      <c r="I14" s="320">
        <f t="shared" si="14"/>
        <v>0</v>
      </c>
      <c r="J14" s="458">
        <f t="shared" si="28"/>
        <v>28696608</v>
      </c>
      <c r="K14" s="320">
        <f t="shared" si="15"/>
        <v>0</v>
      </c>
      <c r="L14" s="458">
        <f t="shared" si="29"/>
        <v>23592074</v>
      </c>
      <c r="M14" s="320">
        <f t="shared" si="16"/>
        <v>0</v>
      </c>
      <c r="N14" s="318">
        <f t="shared" si="17"/>
        <v>0</v>
      </c>
      <c r="O14" s="480">
        <f t="shared" si="32"/>
        <v>0</v>
      </c>
      <c r="P14" s="458">
        <f t="shared" si="30"/>
        <v>16279</v>
      </c>
      <c r="Q14" s="462">
        <f t="shared" si="34"/>
        <v>0</v>
      </c>
      <c r="R14" s="462">
        <f t="shared" si="21"/>
        <v>0</v>
      </c>
      <c r="S14" s="458">
        <f t="shared" si="22"/>
        <v>9517</v>
      </c>
      <c r="T14" s="482">
        <f t="shared" si="3"/>
        <v>0</v>
      </c>
      <c r="U14" s="458">
        <f t="shared" si="23"/>
        <v>289529</v>
      </c>
      <c r="V14" s="462">
        <f t="shared" si="18"/>
        <v>0</v>
      </c>
      <c r="W14" s="458">
        <f t="shared" si="7"/>
        <v>32049</v>
      </c>
      <c r="X14" s="462">
        <f t="shared" si="31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35528</v>
      </c>
      <c r="AB14" s="462">
        <f t="shared" si="19"/>
        <v>0</v>
      </c>
      <c r="AC14" s="458">
        <f t="shared" si="10"/>
        <v>881970</v>
      </c>
      <c r="AD14" s="462">
        <f t="shared" si="20"/>
        <v>0</v>
      </c>
      <c r="AE14" s="485">
        <f t="shared" si="11"/>
        <v>0</v>
      </c>
      <c r="AF14" s="486">
        <f t="shared" si="12"/>
        <v>0</v>
      </c>
      <c r="AG14" s="478">
        <f t="shared" si="33"/>
        <v>0</v>
      </c>
      <c r="AI14" s="479">
        <f>R14-'EDl log'!B12</f>
        <v>-366467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f t="shared" si="25"/>
        <v>32188900</v>
      </c>
      <c r="E15" s="319">
        <f t="shared" si="13"/>
        <v>0</v>
      </c>
      <c r="F15" s="458">
        <f t="shared" si="26"/>
        <v>3849967</v>
      </c>
      <c r="G15" s="320">
        <f t="shared" si="0"/>
        <v>0</v>
      </c>
      <c r="H15" s="458">
        <f t="shared" si="27"/>
        <v>17646550</v>
      </c>
      <c r="I15" s="320">
        <f t="shared" si="14"/>
        <v>0</v>
      </c>
      <c r="J15" s="458">
        <f t="shared" si="28"/>
        <v>28696608</v>
      </c>
      <c r="K15" s="320">
        <f t="shared" si="15"/>
        <v>0</v>
      </c>
      <c r="L15" s="458">
        <f t="shared" si="29"/>
        <v>23592074</v>
      </c>
      <c r="M15" s="320">
        <f t="shared" si="16"/>
        <v>0</v>
      </c>
      <c r="N15" s="318">
        <f t="shared" si="17"/>
        <v>0</v>
      </c>
      <c r="O15" s="480">
        <f t="shared" si="32"/>
        <v>0</v>
      </c>
      <c r="P15" s="458">
        <f t="shared" si="30"/>
        <v>16279</v>
      </c>
      <c r="Q15" s="462">
        <f>(P15-P14)*1000</f>
        <v>0</v>
      </c>
      <c r="R15" s="462">
        <f t="shared" si="21"/>
        <v>0</v>
      </c>
      <c r="S15" s="458">
        <f t="shared" si="22"/>
        <v>9517</v>
      </c>
      <c r="T15" s="482">
        <f t="shared" si="3"/>
        <v>0</v>
      </c>
      <c r="U15" s="458">
        <f t="shared" si="23"/>
        <v>289529</v>
      </c>
      <c r="V15" s="462">
        <f t="shared" si="18"/>
        <v>0</v>
      </c>
      <c r="W15" s="458">
        <f t="shared" si="7"/>
        <v>32049</v>
      </c>
      <c r="X15" s="462">
        <f t="shared" si="31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35528</v>
      </c>
      <c r="AB15" s="462">
        <f t="shared" si="19"/>
        <v>0</v>
      </c>
      <c r="AC15" s="458">
        <f t="shared" si="10"/>
        <v>881970</v>
      </c>
      <c r="AD15" s="462">
        <f t="shared" si="20"/>
        <v>0</v>
      </c>
      <c r="AE15" s="485">
        <f t="shared" si="11"/>
        <v>0</v>
      </c>
      <c r="AF15" s="486">
        <f t="shared" si="12"/>
        <v>0</v>
      </c>
      <c r="AG15" s="478">
        <f t="shared" si="33"/>
        <v>0</v>
      </c>
      <c r="AI15" s="479">
        <f>R15-'EDl log'!B13</f>
        <v>-366467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f t="shared" si="25"/>
        <v>32188900</v>
      </c>
      <c r="E16" s="319">
        <f t="shared" si="13"/>
        <v>0</v>
      </c>
      <c r="F16" s="458">
        <f t="shared" si="26"/>
        <v>3849967</v>
      </c>
      <c r="G16" s="320">
        <f t="shared" si="0"/>
        <v>0</v>
      </c>
      <c r="H16" s="458">
        <f t="shared" si="27"/>
        <v>17646550</v>
      </c>
      <c r="I16" s="320">
        <f t="shared" si="14"/>
        <v>0</v>
      </c>
      <c r="J16" s="458">
        <f t="shared" si="28"/>
        <v>28696608</v>
      </c>
      <c r="K16" s="320">
        <f t="shared" si="15"/>
        <v>0</v>
      </c>
      <c r="L16" s="458">
        <f t="shared" si="29"/>
        <v>23592074</v>
      </c>
      <c r="M16" s="320">
        <f t="shared" si="16"/>
        <v>0</v>
      </c>
      <c r="N16" s="318">
        <f t="shared" si="17"/>
        <v>0</v>
      </c>
      <c r="O16" s="480">
        <f t="shared" si="32"/>
        <v>0</v>
      </c>
      <c r="P16" s="458">
        <f t="shared" si="30"/>
        <v>16279</v>
      </c>
      <c r="Q16" s="462">
        <f>(P16-P15)*1000</f>
        <v>0</v>
      </c>
      <c r="R16" s="462">
        <f t="shared" si="21"/>
        <v>0</v>
      </c>
      <c r="S16" s="458">
        <f t="shared" si="22"/>
        <v>9517</v>
      </c>
      <c r="T16" s="482">
        <f t="shared" si="3"/>
        <v>0</v>
      </c>
      <c r="U16" s="458">
        <f t="shared" si="23"/>
        <v>289529</v>
      </c>
      <c r="V16" s="462">
        <f t="shared" si="18"/>
        <v>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35528</v>
      </c>
      <c r="AB16" s="462">
        <f>AA16-AA15</f>
        <v>0</v>
      </c>
      <c r="AC16" s="458">
        <f t="shared" si="10"/>
        <v>881970</v>
      </c>
      <c r="AD16" s="462">
        <f t="shared" si="20"/>
        <v>0</v>
      </c>
      <c r="AE16" s="485">
        <f t="shared" si="11"/>
        <v>0</v>
      </c>
      <c r="AF16" s="486">
        <f t="shared" si="12"/>
        <v>0</v>
      </c>
      <c r="AG16" s="478">
        <f t="shared" si="33"/>
        <v>0</v>
      </c>
      <c r="AI16" s="479">
        <f>R16-'EDl log'!B14</f>
        <v>-366467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f t="shared" si="25"/>
        <v>32188900</v>
      </c>
      <c r="E17" s="319">
        <f t="shared" si="13"/>
        <v>0</v>
      </c>
      <c r="F17" s="458">
        <f t="shared" si="26"/>
        <v>3849967</v>
      </c>
      <c r="G17" s="320">
        <f t="shared" si="0"/>
        <v>0</v>
      </c>
      <c r="H17" s="458">
        <f t="shared" si="27"/>
        <v>17646550</v>
      </c>
      <c r="I17" s="320">
        <f t="shared" si="14"/>
        <v>0</v>
      </c>
      <c r="J17" s="458">
        <f t="shared" si="28"/>
        <v>28696608</v>
      </c>
      <c r="K17" s="320">
        <f t="shared" si="15"/>
        <v>0</v>
      </c>
      <c r="L17" s="458">
        <f t="shared" si="29"/>
        <v>23592074</v>
      </c>
      <c r="M17" s="320">
        <f t="shared" si="16"/>
        <v>0</v>
      </c>
      <c r="N17" s="318">
        <f t="shared" si="17"/>
        <v>0</v>
      </c>
      <c r="O17" s="480">
        <f t="shared" si="32"/>
        <v>0</v>
      </c>
      <c r="P17" s="458">
        <f t="shared" si="30"/>
        <v>16279</v>
      </c>
      <c r="Q17" s="462">
        <f t="shared" si="34"/>
        <v>0</v>
      </c>
      <c r="R17" s="462">
        <f t="shared" si="21"/>
        <v>0</v>
      </c>
      <c r="S17" s="458">
        <f t="shared" si="22"/>
        <v>9517</v>
      </c>
      <c r="T17" s="482">
        <f t="shared" si="3"/>
        <v>0</v>
      </c>
      <c r="U17" s="458">
        <f t="shared" si="23"/>
        <v>289529</v>
      </c>
      <c r="V17" s="462">
        <f t="shared" si="18"/>
        <v>0</v>
      </c>
      <c r="W17" s="458">
        <f t="shared" si="7"/>
        <v>32049</v>
      </c>
      <c r="X17" s="462">
        <f t="shared" si="31"/>
        <v>0</v>
      </c>
      <c r="Y17" s="458">
        <f t="shared" si="8"/>
        <v>673052</v>
      </c>
      <c r="Z17" s="462">
        <f t="shared" si="24"/>
        <v>0</v>
      </c>
      <c r="AA17" s="458">
        <f t="shared" si="9"/>
        <v>35528</v>
      </c>
      <c r="AB17" s="462">
        <f t="shared" si="19"/>
        <v>0</v>
      </c>
      <c r="AC17" s="458">
        <f t="shared" si="10"/>
        <v>881970</v>
      </c>
      <c r="AD17" s="462">
        <f t="shared" ref="AD17:AD32" si="35">AC17-AC16</f>
        <v>0</v>
      </c>
      <c r="AE17" s="485">
        <f t="shared" si="11"/>
        <v>0</v>
      </c>
      <c r="AF17" s="486">
        <f t="shared" si="12"/>
        <v>0</v>
      </c>
      <c r="AG17" s="478">
        <f t="shared" si="33"/>
        <v>0</v>
      </c>
      <c r="AI17" s="479">
        <f>R17-'EDl log'!B15</f>
        <v>-366467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f t="shared" si="25"/>
        <v>32188900</v>
      </c>
      <c r="E18" s="319">
        <f t="shared" si="13"/>
        <v>0</v>
      </c>
      <c r="F18" s="458">
        <f t="shared" si="26"/>
        <v>3849967</v>
      </c>
      <c r="G18" s="320">
        <f t="shared" si="0"/>
        <v>0</v>
      </c>
      <c r="H18" s="458">
        <f t="shared" si="27"/>
        <v>17646550</v>
      </c>
      <c r="I18" s="320">
        <f t="shared" si="14"/>
        <v>0</v>
      </c>
      <c r="J18" s="458">
        <f t="shared" si="28"/>
        <v>28696608</v>
      </c>
      <c r="K18" s="320">
        <f t="shared" si="15"/>
        <v>0</v>
      </c>
      <c r="L18" s="458">
        <f t="shared" si="29"/>
        <v>23592074</v>
      </c>
      <c r="M18" s="320">
        <f t="shared" si="16"/>
        <v>0</v>
      </c>
      <c r="N18" s="318">
        <f t="shared" si="17"/>
        <v>0</v>
      </c>
      <c r="O18" s="480">
        <f t="shared" si="32"/>
        <v>0</v>
      </c>
      <c r="P18" s="458">
        <f t="shared" si="30"/>
        <v>16279</v>
      </c>
      <c r="Q18" s="462">
        <f t="shared" si="34"/>
        <v>0</v>
      </c>
      <c r="R18" s="462">
        <f t="shared" si="21"/>
        <v>0</v>
      </c>
      <c r="S18" s="458">
        <f t="shared" si="22"/>
        <v>9517</v>
      </c>
      <c r="T18" s="482">
        <f t="shared" si="3"/>
        <v>0</v>
      </c>
      <c r="U18" s="458">
        <f t="shared" si="23"/>
        <v>289529</v>
      </c>
      <c r="V18" s="462">
        <f t="shared" si="18"/>
        <v>0</v>
      </c>
      <c r="W18" s="458">
        <f t="shared" si="7"/>
        <v>32049</v>
      </c>
      <c r="X18" s="462">
        <f t="shared" si="31"/>
        <v>0</v>
      </c>
      <c r="Y18" s="458">
        <f t="shared" si="8"/>
        <v>673052</v>
      </c>
      <c r="Z18" s="462">
        <f t="shared" si="24"/>
        <v>0</v>
      </c>
      <c r="AA18" s="458">
        <f t="shared" si="9"/>
        <v>35528</v>
      </c>
      <c r="AB18" s="462">
        <f t="shared" si="19"/>
        <v>0</v>
      </c>
      <c r="AC18" s="458">
        <f t="shared" si="10"/>
        <v>881970</v>
      </c>
      <c r="AD18" s="462">
        <f t="shared" si="35"/>
        <v>0</v>
      </c>
      <c r="AE18" s="485">
        <f t="shared" si="11"/>
        <v>0</v>
      </c>
      <c r="AF18" s="486">
        <f t="shared" si="12"/>
        <v>0</v>
      </c>
      <c r="AG18" s="478">
        <f t="shared" si="33"/>
        <v>0</v>
      </c>
      <c r="AI18" s="479">
        <f>R18-'EDl log'!B16</f>
        <v>-366467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si="25"/>
        <v>32188900</v>
      </c>
      <c r="E19" s="319">
        <f t="shared" si="13"/>
        <v>0</v>
      </c>
      <c r="F19" s="458">
        <f t="shared" si="26"/>
        <v>3849967</v>
      </c>
      <c r="G19" s="320">
        <f t="shared" si="0"/>
        <v>0</v>
      </c>
      <c r="H19" s="458">
        <f t="shared" si="27"/>
        <v>17646550</v>
      </c>
      <c r="I19" s="320">
        <f t="shared" si="14"/>
        <v>0</v>
      </c>
      <c r="J19" s="458">
        <f t="shared" si="28"/>
        <v>28696608</v>
      </c>
      <c r="K19" s="320">
        <f t="shared" si="15"/>
        <v>0</v>
      </c>
      <c r="L19" s="458">
        <f t="shared" si="29"/>
        <v>23592074</v>
      </c>
      <c r="M19" s="320">
        <f t="shared" si="16"/>
        <v>0</v>
      </c>
      <c r="N19" s="318">
        <f t="shared" si="17"/>
        <v>0</v>
      </c>
      <c r="O19" s="480">
        <f t="shared" si="32"/>
        <v>0</v>
      </c>
      <c r="P19" s="458">
        <f t="shared" si="30"/>
        <v>16279</v>
      </c>
      <c r="Q19" s="462">
        <f>(P19-P18)*1000</f>
        <v>0</v>
      </c>
      <c r="R19" s="462">
        <f t="shared" si="21"/>
        <v>0</v>
      </c>
      <c r="S19" s="458">
        <f t="shared" si="22"/>
        <v>9517</v>
      </c>
      <c r="T19" s="482">
        <f t="shared" si="3"/>
        <v>0</v>
      </c>
      <c r="U19" s="458">
        <f t="shared" si="23"/>
        <v>289529</v>
      </c>
      <c r="V19" s="462">
        <f t="shared" si="18"/>
        <v>0</v>
      </c>
      <c r="W19" s="458">
        <f t="shared" si="7"/>
        <v>32049</v>
      </c>
      <c r="X19" s="462">
        <f t="shared" si="31"/>
        <v>0</v>
      </c>
      <c r="Y19" s="458">
        <f t="shared" si="8"/>
        <v>673052</v>
      </c>
      <c r="Z19" s="462">
        <f t="shared" si="24"/>
        <v>0</v>
      </c>
      <c r="AA19" s="458">
        <f t="shared" si="9"/>
        <v>35528</v>
      </c>
      <c r="AB19" s="462">
        <f t="shared" si="19"/>
        <v>0</v>
      </c>
      <c r="AC19" s="458">
        <f t="shared" si="10"/>
        <v>881970</v>
      </c>
      <c r="AD19" s="462">
        <f t="shared" si="35"/>
        <v>0</v>
      </c>
      <c r="AE19" s="485">
        <f t="shared" si="11"/>
        <v>0</v>
      </c>
      <c r="AF19" s="486">
        <f t="shared" si="12"/>
        <v>0</v>
      </c>
      <c r="AG19" s="478">
        <f t="shared" si="33"/>
        <v>0</v>
      </c>
      <c r="AI19" s="479">
        <f>R19-'EDl log'!B17</f>
        <v>-366467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25"/>
        <v>32188900</v>
      </c>
      <c r="E20" s="319">
        <f t="shared" si="13"/>
        <v>0</v>
      </c>
      <c r="F20" s="458">
        <f t="shared" si="26"/>
        <v>3849967</v>
      </c>
      <c r="G20" s="320">
        <f t="shared" si="0"/>
        <v>0</v>
      </c>
      <c r="H20" s="458">
        <f t="shared" si="27"/>
        <v>17646550</v>
      </c>
      <c r="I20" s="320">
        <f t="shared" si="14"/>
        <v>0</v>
      </c>
      <c r="J20" s="458">
        <f t="shared" si="28"/>
        <v>28696608</v>
      </c>
      <c r="K20" s="320">
        <f t="shared" si="15"/>
        <v>0</v>
      </c>
      <c r="L20" s="458">
        <f t="shared" si="29"/>
        <v>23592074</v>
      </c>
      <c r="M20" s="320">
        <f t="shared" si="16"/>
        <v>0</v>
      </c>
      <c r="N20" s="318">
        <f t="shared" si="17"/>
        <v>0</v>
      </c>
      <c r="O20" s="480">
        <f t="shared" si="32"/>
        <v>0</v>
      </c>
      <c r="P20" s="458">
        <f t="shared" si="30"/>
        <v>16279</v>
      </c>
      <c r="Q20" s="462">
        <f t="shared" si="34"/>
        <v>0</v>
      </c>
      <c r="R20" s="462">
        <f t="shared" si="21"/>
        <v>0</v>
      </c>
      <c r="S20" s="458">
        <f t="shared" si="22"/>
        <v>9517</v>
      </c>
      <c r="T20" s="482">
        <f t="shared" si="3"/>
        <v>0</v>
      </c>
      <c r="U20" s="458">
        <f t="shared" si="23"/>
        <v>289529</v>
      </c>
      <c r="V20" s="462">
        <f t="shared" si="18"/>
        <v>0</v>
      </c>
      <c r="W20" s="458">
        <f t="shared" si="7"/>
        <v>32049</v>
      </c>
      <c r="X20" s="462">
        <f t="shared" si="31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35528</v>
      </c>
      <c r="AB20" s="462">
        <f t="shared" si="19"/>
        <v>0</v>
      </c>
      <c r="AC20" s="458">
        <f t="shared" si="10"/>
        <v>881970</v>
      </c>
      <c r="AD20" s="462">
        <f t="shared" si="35"/>
        <v>0</v>
      </c>
      <c r="AE20" s="485">
        <f t="shared" si="11"/>
        <v>0</v>
      </c>
      <c r="AF20" s="486">
        <f t="shared" si="12"/>
        <v>0</v>
      </c>
      <c r="AG20" s="478">
        <f t="shared" si="33"/>
        <v>0</v>
      </c>
      <c r="AI20" s="479">
        <f>R20-'EDl log'!B18</f>
        <v>-366467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25"/>
        <v>32188900</v>
      </c>
      <c r="E21" s="319">
        <f t="shared" si="13"/>
        <v>0</v>
      </c>
      <c r="F21" s="458">
        <f t="shared" si="26"/>
        <v>3849967</v>
      </c>
      <c r="G21" s="320">
        <f t="shared" si="0"/>
        <v>0</v>
      </c>
      <c r="H21" s="458">
        <f t="shared" si="27"/>
        <v>17646550</v>
      </c>
      <c r="I21" s="320">
        <f t="shared" si="14"/>
        <v>0</v>
      </c>
      <c r="J21" s="458">
        <f t="shared" si="28"/>
        <v>28696608</v>
      </c>
      <c r="K21" s="320">
        <f t="shared" si="15"/>
        <v>0</v>
      </c>
      <c r="L21" s="458">
        <f t="shared" si="29"/>
        <v>23592074</v>
      </c>
      <c r="M21" s="320">
        <f t="shared" si="16"/>
        <v>0</v>
      </c>
      <c r="N21" s="318">
        <f t="shared" si="17"/>
        <v>0</v>
      </c>
      <c r="O21" s="480">
        <f t="shared" si="32"/>
        <v>0</v>
      </c>
      <c r="P21" s="458">
        <f t="shared" si="30"/>
        <v>16279</v>
      </c>
      <c r="Q21" s="462">
        <f>(P21-P20)*1000</f>
        <v>0</v>
      </c>
      <c r="R21" s="462">
        <f t="shared" si="21"/>
        <v>0</v>
      </c>
      <c r="S21" s="458">
        <f t="shared" si="22"/>
        <v>9517</v>
      </c>
      <c r="T21" s="482">
        <f t="shared" si="3"/>
        <v>0</v>
      </c>
      <c r="U21" s="458">
        <f t="shared" si="23"/>
        <v>289529</v>
      </c>
      <c r="V21" s="462">
        <f t="shared" si="18"/>
        <v>0</v>
      </c>
      <c r="W21" s="458">
        <f t="shared" si="7"/>
        <v>32049</v>
      </c>
      <c r="X21" s="462">
        <f t="shared" si="31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35528</v>
      </c>
      <c r="AB21" s="462">
        <f t="shared" si="19"/>
        <v>0</v>
      </c>
      <c r="AC21" s="458">
        <f t="shared" si="10"/>
        <v>881970</v>
      </c>
      <c r="AD21" s="462">
        <f t="shared" si="35"/>
        <v>0</v>
      </c>
      <c r="AE21" s="485">
        <f t="shared" si="11"/>
        <v>0</v>
      </c>
      <c r="AF21" s="486">
        <f t="shared" si="12"/>
        <v>0</v>
      </c>
      <c r="AG21" s="478">
        <f t="shared" si="33"/>
        <v>0</v>
      </c>
      <c r="AI21" s="479">
        <f>R21-'EDl log'!B19</f>
        <v>-366467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25"/>
        <v>32188900</v>
      </c>
      <c r="E22" s="319">
        <f t="shared" si="13"/>
        <v>0</v>
      </c>
      <c r="F22" s="458">
        <f t="shared" si="26"/>
        <v>3849967</v>
      </c>
      <c r="G22" s="320">
        <f t="shared" si="0"/>
        <v>0</v>
      </c>
      <c r="H22" s="458">
        <f t="shared" si="27"/>
        <v>17646550</v>
      </c>
      <c r="I22" s="320">
        <f t="shared" si="14"/>
        <v>0</v>
      </c>
      <c r="J22" s="458">
        <f t="shared" si="28"/>
        <v>28696608</v>
      </c>
      <c r="K22" s="320">
        <f t="shared" si="15"/>
        <v>0</v>
      </c>
      <c r="L22" s="458">
        <f t="shared" si="29"/>
        <v>23592074</v>
      </c>
      <c r="M22" s="320">
        <f t="shared" si="16"/>
        <v>0</v>
      </c>
      <c r="N22" s="318">
        <f t="shared" si="17"/>
        <v>0</v>
      </c>
      <c r="O22" s="480">
        <f t="shared" si="32"/>
        <v>0</v>
      </c>
      <c r="P22" s="458">
        <f t="shared" si="30"/>
        <v>16279</v>
      </c>
      <c r="Q22" s="462">
        <f t="shared" si="34"/>
        <v>0</v>
      </c>
      <c r="R22" s="462">
        <f t="shared" si="21"/>
        <v>0</v>
      </c>
      <c r="S22" s="458">
        <f t="shared" si="22"/>
        <v>9517</v>
      </c>
      <c r="T22" s="482">
        <f t="shared" si="3"/>
        <v>0</v>
      </c>
      <c r="U22" s="458">
        <f t="shared" si="23"/>
        <v>289529</v>
      </c>
      <c r="V22" s="462">
        <f t="shared" si="18"/>
        <v>0</v>
      </c>
      <c r="W22" s="458">
        <f t="shared" si="7"/>
        <v>32049</v>
      </c>
      <c r="X22" s="462">
        <f t="shared" si="31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35528</v>
      </c>
      <c r="AB22" s="462">
        <f t="shared" si="19"/>
        <v>0</v>
      </c>
      <c r="AC22" s="458">
        <f t="shared" si="10"/>
        <v>881970</v>
      </c>
      <c r="AD22" s="462">
        <f t="shared" si="35"/>
        <v>0</v>
      </c>
      <c r="AE22" s="485">
        <f t="shared" si="11"/>
        <v>0</v>
      </c>
      <c r="AF22" s="486">
        <f t="shared" si="12"/>
        <v>0</v>
      </c>
      <c r="AG22" s="478">
        <f t="shared" si="33"/>
        <v>0</v>
      </c>
      <c r="AI22" s="479">
        <f>R22-'EDl log'!B20</f>
        <v>-366467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25"/>
        <v>32188900</v>
      </c>
      <c r="E23" s="319">
        <f t="shared" si="13"/>
        <v>0</v>
      </c>
      <c r="F23" s="458">
        <f t="shared" si="26"/>
        <v>3849967</v>
      </c>
      <c r="G23" s="320">
        <f t="shared" si="0"/>
        <v>0</v>
      </c>
      <c r="H23" s="458">
        <f t="shared" si="27"/>
        <v>17646550</v>
      </c>
      <c r="I23" s="451">
        <f t="shared" si="14"/>
        <v>0</v>
      </c>
      <c r="J23" s="458">
        <f t="shared" si="28"/>
        <v>28696608</v>
      </c>
      <c r="K23" s="320">
        <f t="shared" si="15"/>
        <v>0</v>
      </c>
      <c r="L23" s="458">
        <f t="shared" si="29"/>
        <v>23592074</v>
      </c>
      <c r="M23" s="320">
        <f t="shared" si="16"/>
        <v>0</v>
      </c>
      <c r="N23" s="318">
        <f t="shared" si="17"/>
        <v>0</v>
      </c>
      <c r="O23" s="480">
        <f t="shared" si="32"/>
        <v>0</v>
      </c>
      <c r="P23" s="458">
        <f t="shared" si="30"/>
        <v>16279</v>
      </c>
      <c r="Q23" s="462">
        <f t="shared" si="34"/>
        <v>0</v>
      </c>
      <c r="R23" s="462">
        <f t="shared" si="21"/>
        <v>0</v>
      </c>
      <c r="S23" s="458">
        <f t="shared" si="22"/>
        <v>9517</v>
      </c>
      <c r="T23" s="482">
        <f t="shared" si="3"/>
        <v>0</v>
      </c>
      <c r="U23" s="458">
        <f t="shared" si="23"/>
        <v>289529</v>
      </c>
      <c r="V23" s="462">
        <f t="shared" si="18"/>
        <v>0</v>
      </c>
      <c r="W23" s="458">
        <f t="shared" si="7"/>
        <v>32049</v>
      </c>
      <c r="X23" s="462">
        <f t="shared" si="31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35528</v>
      </c>
      <c r="AB23" s="462">
        <f t="shared" si="19"/>
        <v>0</v>
      </c>
      <c r="AC23" s="458">
        <f t="shared" si="10"/>
        <v>881970</v>
      </c>
      <c r="AD23" s="462">
        <f t="shared" si="35"/>
        <v>0</v>
      </c>
      <c r="AE23" s="485">
        <f t="shared" si="11"/>
        <v>0</v>
      </c>
      <c r="AF23" s="486">
        <f t="shared" si="12"/>
        <v>0</v>
      </c>
      <c r="AG23" s="478">
        <f t="shared" si="33"/>
        <v>0</v>
      </c>
      <c r="AI23" s="479">
        <f>R23-'EDl log'!B21</f>
        <v>-366467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25"/>
        <v>32188900</v>
      </c>
      <c r="E24" s="319">
        <f t="shared" si="13"/>
        <v>0</v>
      </c>
      <c r="F24" s="458">
        <f t="shared" si="26"/>
        <v>3849967</v>
      </c>
      <c r="G24" s="320">
        <f t="shared" si="0"/>
        <v>0</v>
      </c>
      <c r="H24" s="458">
        <f t="shared" si="27"/>
        <v>17646550</v>
      </c>
      <c r="I24" s="320">
        <f t="shared" si="14"/>
        <v>0</v>
      </c>
      <c r="J24" s="458">
        <f t="shared" si="28"/>
        <v>28696608</v>
      </c>
      <c r="K24" s="320">
        <f t="shared" si="15"/>
        <v>0</v>
      </c>
      <c r="L24" s="458">
        <f t="shared" si="29"/>
        <v>23592074</v>
      </c>
      <c r="M24" s="320">
        <f t="shared" si="16"/>
        <v>0</v>
      </c>
      <c r="N24" s="318">
        <f t="shared" si="17"/>
        <v>0</v>
      </c>
      <c r="O24" s="480">
        <f t="shared" si="32"/>
        <v>0</v>
      </c>
      <c r="P24" s="458">
        <f t="shared" si="30"/>
        <v>16279</v>
      </c>
      <c r="Q24" s="462">
        <f t="shared" si="34"/>
        <v>0</v>
      </c>
      <c r="R24" s="462">
        <f t="shared" si="21"/>
        <v>0</v>
      </c>
      <c r="S24" s="458">
        <f t="shared" si="22"/>
        <v>9517</v>
      </c>
      <c r="T24" s="482">
        <f t="shared" si="3"/>
        <v>0</v>
      </c>
      <c r="U24" s="458">
        <f t="shared" si="23"/>
        <v>289529</v>
      </c>
      <c r="V24" s="462">
        <f t="shared" si="18"/>
        <v>0</v>
      </c>
      <c r="W24" s="458">
        <f t="shared" si="7"/>
        <v>32049</v>
      </c>
      <c r="X24" s="462">
        <f t="shared" si="31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35528</v>
      </c>
      <c r="AB24" s="462">
        <f t="shared" si="19"/>
        <v>0</v>
      </c>
      <c r="AC24" s="458">
        <f t="shared" si="10"/>
        <v>881970</v>
      </c>
      <c r="AD24" s="462">
        <f t="shared" si="35"/>
        <v>0</v>
      </c>
      <c r="AE24" s="485">
        <f t="shared" si="11"/>
        <v>0</v>
      </c>
      <c r="AF24" s="486">
        <f t="shared" si="12"/>
        <v>0</v>
      </c>
      <c r="AG24" s="478">
        <f t="shared" si="33"/>
        <v>0</v>
      </c>
      <c r="AI24" s="479">
        <f>R24-'EDl log'!B22</f>
        <v>-366467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25"/>
        <v>32188900</v>
      </c>
      <c r="E25" s="319">
        <f t="shared" si="13"/>
        <v>0</v>
      </c>
      <c r="F25" s="458">
        <f t="shared" si="26"/>
        <v>3849967</v>
      </c>
      <c r="G25" s="320">
        <f t="shared" si="0"/>
        <v>0</v>
      </c>
      <c r="H25" s="458">
        <f t="shared" si="27"/>
        <v>17646550</v>
      </c>
      <c r="I25" s="320">
        <f t="shared" si="14"/>
        <v>0</v>
      </c>
      <c r="J25" s="458">
        <f t="shared" si="28"/>
        <v>28696608</v>
      </c>
      <c r="K25" s="320">
        <f t="shared" si="15"/>
        <v>0</v>
      </c>
      <c r="L25" s="458">
        <f t="shared" si="29"/>
        <v>23592074</v>
      </c>
      <c r="M25" s="320">
        <f t="shared" si="16"/>
        <v>0</v>
      </c>
      <c r="N25" s="318">
        <f t="shared" si="17"/>
        <v>0</v>
      </c>
      <c r="O25" s="480">
        <f t="shared" si="32"/>
        <v>0</v>
      </c>
      <c r="P25" s="458">
        <f t="shared" si="30"/>
        <v>16279</v>
      </c>
      <c r="Q25" s="462">
        <f t="shared" si="34"/>
        <v>0</v>
      </c>
      <c r="R25" s="487">
        <f>N25-Q25</f>
        <v>0</v>
      </c>
      <c r="S25" s="458">
        <f t="shared" si="22"/>
        <v>9517</v>
      </c>
      <c r="T25" s="482">
        <f t="shared" si="3"/>
        <v>0</v>
      </c>
      <c r="U25" s="458">
        <f t="shared" si="23"/>
        <v>289529</v>
      </c>
      <c r="V25" s="462">
        <f t="shared" si="18"/>
        <v>0</v>
      </c>
      <c r="W25" s="458">
        <f t="shared" si="7"/>
        <v>32049</v>
      </c>
      <c r="X25" s="462">
        <f t="shared" si="31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35528</v>
      </c>
      <c r="AB25" s="462">
        <f t="shared" si="19"/>
        <v>0</v>
      </c>
      <c r="AC25" s="458">
        <f t="shared" si="10"/>
        <v>881970</v>
      </c>
      <c r="AD25" s="462">
        <f t="shared" si="35"/>
        <v>0</v>
      </c>
      <c r="AE25" s="485">
        <f t="shared" si="11"/>
        <v>0</v>
      </c>
      <c r="AF25" s="486">
        <f t="shared" si="12"/>
        <v>0</v>
      </c>
      <c r="AG25" s="478">
        <f t="shared" si="33"/>
        <v>0</v>
      </c>
      <c r="AI25" s="479">
        <f>R25-'EDl log'!B23</f>
        <v>-366467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25"/>
        <v>32188900</v>
      </c>
      <c r="E26" s="319">
        <f t="shared" si="13"/>
        <v>0</v>
      </c>
      <c r="F26" s="458">
        <f t="shared" si="26"/>
        <v>3849967</v>
      </c>
      <c r="G26" s="320">
        <f t="shared" si="0"/>
        <v>0</v>
      </c>
      <c r="H26" s="458">
        <f t="shared" si="27"/>
        <v>17646550</v>
      </c>
      <c r="I26" s="320">
        <f t="shared" si="14"/>
        <v>0</v>
      </c>
      <c r="J26" s="458">
        <f t="shared" si="28"/>
        <v>28696608</v>
      </c>
      <c r="K26" s="320">
        <f t="shared" si="15"/>
        <v>0</v>
      </c>
      <c r="L26" s="458">
        <f t="shared" si="29"/>
        <v>23592074</v>
      </c>
      <c r="M26" s="320">
        <f t="shared" si="16"/>
        <v>0</v>
      </c>
      <c r="N26" s="318">
        <f t="shared" si="17"/>
        <v>0</v>
      </c>
      <c r="O26" s="480">
        <f t="shared" si="32"/>
        <v>0</v>
      </c>
      <c r="P26" s="458">
        <f t="shared" si="30"/>
        <v>16279</v>
      </c>
      <c r="Q26" s="462">
        <f t="shared" si="34"/>
        <v>0</v>
      </c>
      <c r="R26" s="487">
        <f>N26-Q26</f>
        <v>0</v>
      </c>
      <c r="S26" s="458">
        <f t="shared" si="22"/>
        <v>9517</v>
      </c>
      <c r="T26" s="482">
        <f t="shared" si="3"/>
        <v>0</v>
      </c>
      <c r="U26" s="458">
        <f t="shared" si="23"/>
        <v>289529</v>
      </c>
      <c r="V26" s="462">
        <f t="shared" si="18"/>
        <v>0</v>
      </c>
      <c r="W26" s="458">
        <f t="shared" si="7"/>
        <v>32049</v>
      </c>
      <c r="X26" s="462">
        <f t="shared" si="31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35528</v>
      </c>
      <c r="AB26" s="462">
        <f t="shared" si="19"/>
        <v>0</v>
      </c>
      <c r="AC26" s="458">
        <f t="shared" si="10"/>
        <v>881970</v>
      </c>
      <c r="AD26" s="462">
        <f t="shared" si="35"/>
        <v>0</v>
      </c>
      <c r="AE26" s="485">
        <f t="shared" si="11"/>
        <v>0</v>
      </c>
      <c r="AF26" s="486">
        <f t="shared" si="12"/>
        <v>0</v>
      </c>
      <c r="AG26" s="478">
        <f t="shared" si="33"/>
        <v>0</v>
      </c>
      <c r="AI26" s="479">
        <f>R26-'EDl log'!B24</f>
        <v>-366467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25"/>
        <v>32188900</v>
      </c>
      <c r="E27" s="319">
        <f t="shared" si="13"/>
        <v>0</v>
      </c>
      <c r="F27" s="458">
        <f t="shared" si="26"/>
        <v>3849967</v>
      </c>
      <c r="G27" s="320">
        <f>F27-F26</f>
        <v>0</v>
      </c>
      <c r="H27" s="458">
        <f t="shared" si="27"/>
        <v>17646550</v>
      </c>
      <c r="I27" s="320">
        <f t="shared" si="14"/>
        <v>0</v>
      </c>
      <c r="J27" s="458">
        <f t="shared" si="28"/>
        <v>28696608</v>
      </c>
      <c r="K27" s="320">
        <f t="shared" si="15"/>
        <v>0</v>
      </c>
      <c r="L27" s="458">
        <f t="shared" si="29"/>
        <v>23592074</v>
      </c>
      <c r="M27" s="320">
        <f t="shared" si="16"/>
        <v>0</v>
      </c>
      <c r="N27" s="318">
        <f t="shared" si="17"/>
        <v>0</v>
      </c>
      <c r="O27" s="480">
        <f t="shared" si="32"/>
        <v>0</v>
      </c>
      <c r="P27" s="458">
        <f t="shared" si="30"/>
        <v>16279</v>
      </c>
      <c r="Q27" s="462">
        <f t="shared" si="34"/>
        <v>0</v>
      </c>
      <c r="R27" s="462">
        <f t="shared" si="21"/>
        <v>0</v>
      </c>
      <c r="S27" s="458">
        <f t="shared" si="22"/>
        <v>9517</v>
      </c>
      <c r="T27" s="482">
        <f t="shared" si="3"/>
        <v>0</v>
      </c>
      <c r="U27" s="458">
        <f t="shared" si="23"/>
        <v>289529</v>
      </c>
      <c r="V27" s="462">
        <f t="shared" si="18"/>
        <v>0</v>
      </c>
      <c r="W27" s="458">
        <f t="shared" si="7"/>
        <v>32049</v>
      </c>
      <c r="X27" s="462">
        <f t="shared" si="31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35528</v>
      </c>
      <c r="AB27" s="462">
        <f t="shared" si="19"/>
        <v>0</v>
      </c>
      <c r="AC27" s="458">
        <f t="shared" si="10"/>
        <v>881970</v>
      </c>
      <c r="AD27" s="462">
        <f t="shared" si="35"/>
        <v>0</v>
      </c>
      <c r="AE27" s="485">
        <f t="shared" si="11"/>
        <v>0</v>
      </c>
      <c r="AF27" s="486">
        <f t="shared" si="12"/>
        <v>0</v>
      </c>
      <c r="AG27" s="478">
        <f t="shared" si="33"/>
        <v>0</v>
      </c>
      <c r="AI27" s="479">
        <f>R27-'EDl log'!B25</f>
        <v>-366467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25"/>
        <v>32188900</v>
      </c>
      <c r="E28" s="319">
        <f t="shared" si="13"/>
        <v>0</v>
      </c>
      <c r="F28" s="458">
        <f t="shared" si="26"/>
        <v>3849967</v>
      </c>
      <c r="G28" s="320">
        <f t="shared" si="0"/>
        <v>0</v>
      </c>
      <c r="H28" s="458">
        <f t="shared" si="27"/>
        <v>17646550</v>
      </c>
      <c r="I28" s="320">
        <f t="shared" si="14"/>
        <v>0</v>
      </c>
      <c r="J28" s="458">
        <f t="shared" si="28"/>
        <v>28696608</v>
      </c>
      <c r="K28" s="320">
        <f t="shared" si="15"/>
        <v>0</v>
      </c>
      <c r="L28" s="458">
        <f t="shared" si="29"/>
        <v>23592074</v>
      </c>
      <c r="M28" s="320">
        <f t="shared" si="16"/>
        <v>0</v>
      </c>
      <c r="N28" s="318">
        <f t="shared" si="17"/>
        <v>0</v>
      </c>
      <c r="O28" s="480">
        <f t="shared" si="32"/>
        <v>0</v>
      </c>
      <c r="P28" s="458">
        <f t="shared" si="30"/>
        <v>16279</v>
      </c>
      <c r="Q28" s="462">
        <f t="shared" si="34"/>
        <v>0</v>
      </c>
      <c r="R28" s="462">
        <f>N28-Q28</f>
        <v>0</v>
      </c>
      <c r="S28" s="458">
        <f t="shared" si="22"/>
        <v>9517</v>
      </c>
      <c r="T28" s="482">
        <f t="shared" si="3"/>
        <v>0</v>
      </c>
      <c r="U28" s="458">
        <f t="shared" si="23"/>
        <v>289529</v>
      </c>
      <c r="V28" s="462">
        <f t="shared" si="18"/>
        <v>0</v>
      </c>
      <c r="W28" s="458">
        <f t="shared" si="7"/>
        <v>32049</v>
      </c>
      <c r="X28" s="462">
        <f t="shared" si="31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35528</v>
      </c>
      <c r="AB28" s="462">
        <f t="shared" si="19"/>
        <v>0</v>
      </c>
      <c r="AC28" s="458">
        <f t="shared" si="10"/>
        <v>881970</v>
      </c>
      <c r="AD28" s="462">
        <f t="shared" si="35"/>
        <v>0</v>
      </c>
      <c r="AE28" s="485">
        <f t="shared" si="11"/>
        <v>0</v>
      </c>
      <c r="AF28" s="486">
        <f t="shared" si="12"/>
        <v>0</v>
      </c>
      <c r="AG28" s="478">
        <f t="shared" si="33"/>
        <v>0</v>
      </c>
      <c r="AI28" s="479">
        <f>R28-'EDl log'!B26</f>
        <v>-366467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25"/>
        <v>32188900</v>
      </c>
      <c r="E29" s="319">
        <f t="shared" si="13"/>
        <v>0</v>
      </c>
      <c r="F29" s="458">
        <f t="shared" si="26"/>
        <v>3849967</v>
      </c>
      <c r="G29" s="320">
        <f t="shared" si="0"/>
        <v>0</v>
      </c>
      <c r="H29" s="458">
        <f t="shared" si="27"/>
        <v>17646550</v>
      </c>
      <c r="I29" s="320">
        <f t="shared" si="14"/>
        <v>0</v>
      </c>
      <c r="J29" s="458">
        <f t="shared" si="28"/>
        <v>28696608</v>
      </c>
      <c r="K29" s="320">
        <f t="shared" si="15"/>
        <v>0</v>
      </c>
      <c r="L29" s="458">
        <f t="shared" si="29"/>
        <v>23592074</v>
      </c>
      <c r="M29" s="320">
        <f t="shared" si="16"/>
        <v>0</v>
      </c>
      <c r="N29" s="318">
        <f t="shared" si="17"/>
        <v>0</v>
      </c>
      <c r="O29" s="480">
        <f t="shared" si="32"/>
        <v>0</v>
      </c>
      <c r="P29" s="458">
        <f t="shared" si="30"/>
        <v>16279</v>
      </c>
      <c r="Q29" s="462">
        <f t="shared" si="34"/>
        <v>0</v>
      </c>
      <c r="R29" s="462">
        <f t="shared" si="21"/>
        <v>0</v>
      </c>
      <c r="S29" s="458">
        <f t="shared" si="22"/>
        <v>9517</v>
      </c>
      <c r="T29" s="482">
        <f t="shared" si="3"/>
        <v>0</v>
      </c>
      <c r="U29" s="458">
        <f t="shared" si="23"/>
        <v>289529</v>
      </c>
      <c r="V29" s="462">
        <f t="shared" si="18"/>
        <v>0</v>
      </c>
      <c r="W29" s="458">
        <f t="shared" si="7"/>
        <v>32049</v>
      </c>
      <c r="X29" s="462">
        <f t="shared" si="31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35528</v>
      </c>
      <c r="AB29" s="462">
        <f t="shared" si="19"/>
        <v>0</v>
      </c>
      <c r="AC29" s="458">
        <f t="shared" si="10"/>
        <v>881970</v>
      </c>
      <c r="AD29" s="462">
        <f t="shared" si="35"/>
        <v>0</v>
      </c>
      <c r="AE29" s="485">
        <f t="shared" si="11"/>
        <v>0</v>
      </c>
      <c r="AF29" s="486">
        <f t="shared" si="12"/>
        <v>0</v>
      </c>
      <c r="AG29" s="478">
        <f t="shared" si="33"/>
        <v>0</v>
      </c>
      <c r="AI29" s="479">
        <f>R29-'EDl log'!B27</f>
        <v>-366467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25"/>
        <v>32188900</v>
      </c>
      <c r="E30" s="319">
        <f t="shared" si="13"/>
        <v>0</v>
      </c>
      <c r="F30" s="458">
        <f t="shared" si="26"/>
        <v>3849967</v>
      </c>
      <c r="G30" s="320">
        <f t="shared" si="0"/>
        <v>0</v>
      </c>
      <c r="H30" s="458">
        <f t="shared" si="27"/>
        <v>17646550</v>
      </c>
      <c r="I30" s="320">
        <f t="shared" si="14"/>
        <v>0</v>
      </c>
      <c r="J30" s="458">
        <f t="shared" si="28"/>
        <v>28696608</v>
      </c>
      <c r="K30" s="320">
        <f t="shared" si="15"/>
        <v>0</v>
      </c>
      <c r="L30" s="458">
        <f t="shared" si="29"/>
        <v>23592074</v>
      </c>
      <c r="M30" s="320">
        <f t="shared" si="16"/>
        <v>0</v>
      </c>
      <c r="N30" s="318">
        <f t="shared" si="17"/>
        <v>0</v>
      </c>
      <c r="O30" s="480">
        <f t="shared" si="32"/>
        <v>0</v>
      </c>
      <c r="P30" s="458">
        <f t="shared" si="30"/>
        <v>16279</v>
      </c>
      <c r="Q30" s="462">
        <f t="shared" si="34"/>
        <v>0</v>
      </c>
      <c r="R30" s="462">
        <f t="shared" si="21"/>
        <v>0</v>
      </c>
      <c r="S30" s="458">
        <f t="shared" si="22"/>
        <v>9517</v>
      </c>
      <c r="T30" s="482">
        <f t="shared" si="3"/>
        <v>0</v>
      </c>
      <c r="U30" s="458">
        <f t="shared" si="23"/>
        <v>289529</v>
      </c>
      <c r="V30" s="462">
        <f t="shared" si="18"/>
        <v>0</v>
      </c>
      <c r="W30" s="458">
        <f t="shared" si="7"/>
        <v>32049</v>
      </c>
      <c r="X30" s="483">
        <f t="shared" si="31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35528</v>
      </c>
      <c r="AB30" s="462">
        <f t="shared" si="19"/>
        <v>0</v>
      </c>
      <c r="AC30" s="458">
        <f t="shared" si="10"/>
        <v>881970</v>
      </c>
      <c r="AD30" s="462">
        <f t="shared" si="35"/>
        <v>0</v>
      </c>
      <c r="AE30" s="485">
        <f t="shared" si="11"/>
        <v>0</v>
      </c>
      <c r="AF30" s="486">
        <f t="shared" si="12"/>
        <v>0</v>
      </c>
      <c r="AG30" s="478">
        <f t="shared" si="33"/>
        <v>0</v>
      </c>
      <c r="AI30" s="479">
        <f>R30-'EDl log'!B28</f>
        <v>-366467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25"/>
        <v>32188900</v>
      </c>
      <c r="E31" s="319">
        <f t="shared" si="13"/>
        <v>0</v>
      </c>
      <c r="F31" s="458">
        <f t="shared" si="26"/>
        <v>3849967</v>
      </c>
      <c r="G31" s="320">
        <f t="shared" si="0"/>
        <v>0</v>
      </c>
      <c r="H31" s="458">
        <f t="shared" si="27"/>
        <v>17646550</v>
      </c>
      <c r="I31" s="320">
        <f t="shared" si="14"/>
        <v>0</v>
      </c>
      <c r="J31" s="458">
        <f t="shared" si="28"/>
        <v>28696608</v>
      </c>
      <c r="K31" s="320">
        <f t="shared" si="15"/>
        <v>0</v>
      </c>
      <c r="L31" s="458">
        <f t="shared" si="29"/>
        <v>23592074</v>
      </c>
      <c r="M31" s="320">
        <f t="shared" si="16"/>
        <v>0</v>
      </c>
      <c r="N31" s="318">
        <f t="shared" si="17"/>
        <v>0</v>
      </c>
      <c r="O31" s="480">
        <f t="shared" si="32"/>
        <v>0</v>
      </c>
      <c r="P31" s="458">
        <f t="shared" si="30"/>
        <v>16279</v>
      </c>
      <c r="Q31" s="462">
        <f t="shared" si="34"/>
        <v>0</v>
      </c>
      <c r="R31" s="462">
        <f t="shared" si="21"/>
        <v>0</v>
      </c>
      <c r="S31" s="458">
        <f t="shared" si="22"/>
        <v>9517</v>
      </c>
      <c r="T31" s="482">
        <f t="shared" si="3"/>
        <v>0</v>
      </c>
      <c r="U31" s="458">
        <f t="shared" si="23"/>
        <v>289529</v>
      </c>
      <c r="V31" s="462">
        <f t="shared" si="18"/>
        <v>0</v>
      </c>
      <c r="W31" s="458">
        <f t="shared" si="7"/>
        <v>32049</v>
      </c>
      <c r="X31" s="483">
        <f t="shared" si="31"/>
        <v>0</v>
      </c>
      <c r="Y31" s="458">
        <f t="shared" si="8"/>
        <v>673052</v>
      </c>
      <c r="Z31" s="484">
        <f>Y31-Y30</f>
        <v>0</v>
      </c>
      <c r="AA31" s="458">
        <f t="shared" si="9"/>
        <v>35528</v>
      </c>
      <c r="AB31" s="462">
        <f t="shared" si="19"/>
        <v>0</v>
      </c>
      <c r="AC31" s="458">
        <f t="shared" si="10"/>
        <v>881970</v>
      </c>
      <c r="AD31" s="462">
        <f t="shared" si="35"/>
        <v>0</v>
      </c>
      <c r="AE31" s="485">
        <f t="shared" si="11"/>
        <v>0</v>
      </c>
      <c r="AF31" s="486">
        <f t="shared" si="12"/>
        <v>0</v>
      </c>
      <c r="AG31" s="478">
        <f t="shared" si="33"/>
        <v>0</v>
      </c>
      <c r="AI31" s="479">
        <f>R31-'EDl log'!B29</f>
        <v>-366467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25"/>
        <v>32188900</v>
      </c>
      <c r="E32" s="319">
        <f t="shared" si="13"/>
        <v>0</v>
      </c>
      <c r="F32" s="458">
        <f t="shared" si="26"/>
        <v>3849967</v>
      </c>
      <c r="G32" s="320">
        <f>F32-F31</f>
        <v>0</v>
      </c>
      <c r="H32" s="458">
        <f t="shared" si="27"/>
        <v>17646550</v>
      </c>
      <c r="I32" s="320">
        <f>H32-H31</f>
        <v>0</v>
      </c>
      <c r="J32" s="458">
        <f t="shared" si="28"/>
        <v>28696608</v>
      </c>
      <c r="K32" s="320">
        <f>J32-J31</f>
        <v>0</v>
      </c>
      <c r="L32" s="458">
        <f t="shared" si="29"/>
        <v>23592074</v>
      </c>
      <c r="M32" s="320">
        <f>L32-L31</f>
        <v>0</v>
      </c>
      <c r="N32" s="318">
        <f>M32+K32+I32+G32+E32</f>
        <v>0</v>
      </c>
      <c r="O32" s="480">
        <f t="shared" si="32"/>
        <v>0</v>
      </c>
      <c r="P32" s="458">
        <f t="shared" si="30"/>
        <v>16279</v>
      </c>
      <c r="Q32" s="462">
        <f>(P32-P31)*1000</f>
        <v>0</v>
      </c>
      <c r="R32" s="462">
        <f>N32-Q32</f>
        <v>0</v>
      </c>
      <c r="S32" s="458">
        <f t="shared" si="22"/>
        <v>9517</v>
      </c>
      <c r="T32" s="482">
        <f t="shared" si="3"/>
        <v>0</v>
      </c>
      <c r="U32" s="458">
        <f t="shared" si="23"/>
        <v>289529</v>
      </c>
      <c r="V32" s="462">
        <f t="shared" si="18"/>
        <v>0</v>
      </c>
      <c r="W32" s="458">
        <f t="shared" si="7"/>
        <v>32049</v>
      </c>
      <c r="X32" s="462">
        <f t="shared" si="31"/>
        <v>0</v>
      </c>
      <c r="Y32" s="458">
        <f t="shared" si="8"/>
        <v>673052</v>
      </c>
      <c r="Z32" s="484">
        <f>Y32-Y31</f>
        <v>0</v>
      </c>
      <c r="AA32" s="458">
        <f t="shared" si="9"/>
        <v>35528</v>
      </c>
      <c r="AB32" s="462">
        <f t="shared" si="19"/>
        <v>0</v>
      </c>
      <c r="AC32" s="458">
        <f t="shared" si="10"/>
        <v>881970</v>
      </c>
      <c r="AD32" s="462">
        <f t="shared" si="35"/>
        <v>0</v>
      </c>
      <c r="AE32" s="485">
        <f t="shared" si="11"/>
        <v>0</v>
      </c>
      <c r="AF32" s="486">
        <f>V32+Z32+AD32</f>
        <v>0</v>
      </c>
      <c r="AG32" s="478">
        <f t="shared" si="33"/>
        <v>0</v>
      </c>
      <c r="AI32" s="479">
        <f>R32-'EDl log'!B30</f>
        <v>-366467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25"/>
        <v>32188900</v>
      </c>
      <c r="E33" s="319">
        <f t="shared" ref="E33" si="36">D33-D32</f>
        <v>0</v>
      </c>
      <c r="F33" s="458">
        <f t="shared" si="26"/>
        <v>3849967</v>
      </c>
      <c r="G33" s="320">
        <f>F33-F32</f>
        <v>0</v>
      </c>
      <c r="H33" s="458">
        <f t="shared" si="27"/>
        <v>17646550</v>
      </c>
      <c r="I33" s="320">
        <f>H33-H32</f>
        <v>0</v>
      </c>
      <c r="J33" s="458">
        <f t="shared" si="28"/>
        <v>28696608</v>
      </c>
      <c r="K33" s="320">
        <f>J33-J32</f>
        <v>0</v>
      </c>
      <c r="L33" s="458">
        <f t="shared" si="29"/>
        <v>23592074</v>
      </c>
      <c r="M33" s="320">
        <f>L33-L32</f>
        <v>0</v>
      </c>
      <c r="N33" s="318">
        <f>M33+K33+I33+G33+E33</f>
        <v>0</v>
      </c>
      <c r="O33" s="480">
        <f t="shared" ref="O33" si="37">IF(B33&gt;0,N33/B33,0)</f>
        <v>0</v>
      </c>
      <c r="P33" s="458">
        <f t="shared" si="30"/>
        <v>16279</v>
      </c>
      <c r="Q33" s="462">
        <f>(P33-P32)*1000</f>
        <v>0</v>
      </c>
      <c r="R33" s="462">
        <f>N33-Q33</f>
        <v>0</v>
      </c>
      <c r="S33" s="458">
        <f t="shared" si="22"/>
        <v>9517</v>
      </c>
      <c r="T33" s="482">
        <f t="shared" ref="T33" si="38">S33-S32</f>
        <v>0</v>
      </c>
      <c r="U33" s="458">
        <f t="shared" si="23"/>
        <v>289529</v>
      </c>
      <c r="V33" s="462">
        <f t="shared" ref="V33" si="39">U33-U32</f>
        <v>0</v>
      </c>
      <c r="W33" s="458">
        <f t="shared" si="7"/>
        <v>32049</v>
      </c>
      <c r="X33" s="462">
        <f t="shared" ref="X33" si="40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35528</v>
      </c>
      <c r="AB33" s="462">
        <f t="shared" ref="AB33" si="41">AA33-AA32</f>
        <v>0</v>
      </c>
      <c r="AC33" s="458">
        <f t="shared" si="10"/>
        <v>881970</v>
      </c>
      <c r="AD33" s="462">
        <f t="shared" ref="AD33" si="42">AC33-AC32</f>
        <v>0</v>
      </c>
      <c r="AE33" s="485">
        <f t="shared" ref="AE33" si="43">AB33+X33+T33</f>
        <v>0</v>
      </c>
      <c r="AF33" s="486">
        <f>V33+Z33+AD33</f>
        <v>0</v>
      </c>
      <c r="AG33" s="478">
        <f t="shared" ref="AG33" si="44">IF(AE33&gt;0,AF33/AE33,0)</f>
        <v>0</v>
      </c>
      <c r="AI33" s="479">
        <f>R33-'EDl log'!B31</f>
        <v>-366467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Z8" sqref="AZ8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2" t="s">
        <v>2</v>
      </c>
      <c r="G1" s="613"/>
      <c r="H1" s="613"/>
      <c r="I1" s="614"/>
      <c r="J1" s="290">
        <f>J36</f>
        <v>1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407"/>
      <c r="V1" s="27" t="s">
        <v>104</v>
      </c>
      <c r="W1" s="40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f t="shared" ref="B9:B35" si="42">B8</f>
        <v>218.4</v>
      </c>
      <c r="C9" s="64">
        <f t="shared" ref="C9:C35" si="43">C8</f>
        <v>224.3</v>
      </c>
      <c r="D9" s="45">
        <f t="shared" si="34"/>
        <v>0</v>
      </c>
      <c r="E9" s="45">
        <f t="shared" si="9"/>
        <v>0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f t="shared" si="42"/>
        <v>218.4</v>
      </c>
      <c r="C10" s="64">
        <f t="shared" si="43"/>
        <v>224.3</v>
      </c>
      <c r="D10" s="45">
        <f t="shared" si="34"/>
        <v>0</v>
      </c>
      <c r="E10" s="45">
        <f t="shared" si="9"/>
        <v>0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f t="shared" si="42"/>
        <v>218.4</v>
      </c>
      <c r="C11" s="64">
        <f t="shared" si="43"/>
        <v>224.3</v>
      </c>
      <c r="D11" s="45">
        <f t="shared" si="34"/>
        <v>0</v>
      </c>
      <c r="E11" s="45">
        <f t="shared" si="9"/>
        <v>0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4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f t="shared" si="42"/>
        <v>218.4</v>
      </c>
      <c r="C12" s="64">
        <f t="shared" si="43"/>
        <v>224.3</v>
      </c>
      <c r="D12" s="45">
        <f t="shared" si="34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4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f t="shared" si="19"/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f t="shared" si="42"/>
        <v>218.4</v>
      </c>
      <c r="C13" s="64">
        <f t="shared" si="43"/>
        <v>224.3</v>
      </c>
      <c r="D13" s="45">
        <f t="shared" si="34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4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f t="shared" si="30"/>
        <v>69</v>
      </c>
      <c r="AQ13" s="328">
        <f t="shared" si="31"/>
        <v>2070</v>
      </c>
      <c r="AR13" s="64">
        <f t="shared" si="32"/>
        <v>69</v>
      </c>
      <c r="AS13" s="328">
        <f t="shared" si="39"/>
        <v>2070</v>
      </c>
      <c r="AT13" s="328">
        <f t="shared" si="40"/>
        <v>6030</v>
      </c>
      <c r="AU13" s="328">
        <f t="shared" si="41"/>
        <v>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f t="shared" si="42"/>
        <v>218.4</v>
      </c>
      <c r="C14" s="64">
        <f t="shared" si="43"/>
        <v>224.3</v>
      </c>
      <c r="D14" s="45">
        <f t="shared" si="34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4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69</v>
      </c>
      <c r="AQ14" s="328">
        <f t="shared" si="31"/>
        <v>2070</v>
      </c>
      <c r="AR14" s="64">
        <f t="shared" si="32"/>
        <v>69</v>
      </c>
      <c r="AS14" s="328">
        <f t="shared" si="39"/>
        <v>2070</v>
      </c>
      <c r="AT14" s="328">
        <f t="shared" si="40"/>
        <v>6030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f t="shared" si="42"/>
        <v>218.4</v>
      </c>
      <c r="C15" s="64">
        <f t="shared" si="43"/>
        <v>224.3</v>
      </c>
      <c r="D15" s="45">
        <f t="shared" si="34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4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69</v>
      </c>
      <c r="AQ15" s="328">
        <f t="shared" si="31"/>
        <v>2070</v>
      </c>
      <c r="AR15" s="64">
        <f t="shared" si="32"/>
        <v>69</v>
      </c>
      <c r="AS15" s="328">
        <f t="shared" si="39"/>
        <v>2070</v>
      </c>
      <c r="AT15" s="328">
        <f t="shared" si="40"/>
        <v>6030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f t="shared" si="42"/>
        <v>218.4</v>
      </c>
      <c r="C16" s="64">
        <f t="shared" si="43"/>
        <v>224.3</v>
      </c>
      <c r="D16" s="45">
        <f t="shared" si="34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4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69</v>
      </c>
      <c r="AQ16" s="328">
        <f t="shared" si="31"/>
        <v>2070</v>
      </c>
      <c r="AR16" s="64">
        <f t="shared" si="32"/>
        <v>69</v>
      </c>
      <c r="AS16" s="328">
        <f t="shared" si="39"/>
        <v>2070</v>
      </c>
      <c r="AT16" s="328">
        <f t="shared" si="40"/>
        <v>6030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f t="shared" si="42"/>
        <v>218.4</v>
      </c>
      <c r="C17" s="64">
        <f t="shared" si="43"/>
        <v>224.3</v>
      </c>
      <c r="D17" s="45">
        <f t="shared" si="34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4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f t="shared" si="30"/>
        <v>69</v>
      </c>
      <c r="AQ17" s="328">
        <f t="shared" si="31"/>
        <v>2070</v>
      </c>
      <c r="AR17" s="64">
        <f t="shared" si="32"/>
        <v>69</v>
      </c>
      <c r="AS17" s="328">
        <f t="shared" si="39"/>
        <v>2070</v>
      </c>
      <c r="AT17" s="328">
        <f t="shared" si="40"/>
        <v>6030</v>
      </c>
      <c r="AU17" s="328">
        <f t="shared" si="41"/>
        <v>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f t="shared" si="42"/>
        <v>218.4</v>
      </c>
      <c r="C18" s="64">
        <f t="shared" si="43"/>
        <v>224.3</v>
      </c>
      <c r="D18" s="45">
        <f t="shared" si="34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4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5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f t="shared" si="28"/>
        <v>63</v>
      </c>
      <c r="AO18" s="328">
        <f t="shared" si="29"/>
        <v>1890</v>
      </c>
      <c r="AP18" s="64">
        <f t="shared" si="30"/>
        <v>69</v>
      </c>
      <c r="AQ18" s="328">
        <f t="shared" si="31"/>
        <v>2070</v>
      </c>
      <c r="AR18" s="64">
        <f t="shared" si="32"/>
        <v>69</v>
      </c>
      <c r="AS18" s="328">
        <f t="shared" si="39"/>
        <v>2070</v>
      </c>
      <c r="AT18" s="328">
        <f t="shared" si="40"/>
        <v>6030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f t="shared" si="42"/>
        <v>218.4</v>
      </c>
      <c r="C19" s="64">
        <f t="shared" si="43"/>
        <v>224.3</v>
      </c>
      <c r="D19" s="45">
        <f t="shared" si="34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4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5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f t="shared" si="28"/>
        <v>63</v>
      </c>
      <c r="AO19" s="328">
        <f t="shared" si="29"/>
        <v>1890</v>
      </c>
      <c r="AP19" s="64">
        <f t="shared" si="30"/>
        <v>69</v>
      </c>
      <c r="AQ19" s="328">
        <f t="shared" si="31"/>
        <v>2070</v>
      </c>
      <c r="AR19" s="64">
        <f t="shared" si="32"/>
        <v>69</v>
      </c>
      <c r="AS19" s="328">
        <f t="shared" si="39"/>
        <v>2070</v>
      </c>
      <c r="AT19" s="328">
        <f t="shared" si="40"/>
        <v>6030</v>
      </c>
      <c r="AU19" s="328">
        <f t="shared" si="41"/>
        <v>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f t="shared" si="42"/>
        <v>218.4</v>
      </c>
      <c r="C20" s="64">
        <f t="shared" si="43"/>
        <v>224.3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4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5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f t="shared" si="30"/>
        <v>69</v>
      </c>
      <c r="AQ20" s="328">
        <f t="shared" si="31"/>
        <v>2070</v>
      </c>
      <c r="AR20" s="64">
        <f t="shared" si="32"/>
        <v>69</v>
      </c>
      <c r="AS20" s="328">
        <f t="shared" si="39"/>
        <v>2070</v>
      </c>
      <c r="AT20" s="328">
        <f t="shared" si="40"/>
        <v>6030</v>
      </c>
      <c r="AU20" s="328">
        <f t="shared" si="41"/>
        <v>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si="42"/>
        <v>218.4</v>
      </c>
      <c r="C21" s="64">
        <f t="shared" si="43"/>
        <v>224.3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4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5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69</v>
      </c>
      <c r="AQ21" s="328">
        <f t="shared" si="31"/>
        <v>2070</v>
      </c>
      <c r="AR21" s="64">
        <f t="shared" si="32"/>
        <v>69</v>
      </c>
      <c r="AS21" s="328">
        <f t="shared" si="39"/>
        <v>2070</v>
      </c>
      <c r="AT21" s="328">
        <f t="shared" si="40"/>
        <v>6030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42"/>
        <v>218.4</v>
      </c>
      <c r="C22" s="64">
        <f t="shared" si="43"/>
        <v>224.3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4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5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69</v>
      </c>
      <c r="AQ22" s="328">
        <f t="shared" si="31"/>
        <v>2070</v>
      </c>
      <c r="AR22" s="64">
        <f t="shared" si="32"/>
        <v>69</v>
      </c>
      <c r="AS22" s="328">
        <f t="shared" si="39"/>
        <v>2070</v>
      </c>
      <c r="AT22" s="328">
        <f t="shared" si="40"/>
        <v>6030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2"/>
        <v>218.4</v>
      </c>
      <c r="C23" s="64">
        <f t="shared" si="43"/>
        <v>224.3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4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5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69</v>
      </c>
      <c r="AQ23" s="328">
        <f t="shared" si="31"/>
        <v>2070</v>
      </c>
      <c r="AR23" s="64">
        <f t="shared" si="32"/>
        <v>69</v>
      </c>
      <c r="AS23" s="328">
        <f t="shared" si="39"/>
        <v>2070</v>
      </c>
      <c r="AT23" s="328">
        <f t="shared" si="40"/>
        <v>6030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2"/>
        <v>218.4</v>
      </c>
      <c r="C24" s="64">
        <f t="shared" si="43"/>
        <v>224.3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4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69</v>
      </c>
      <c r="AQ24" s="328">
        <f t="shared" si="31"/>
        <v>2070</v>
      </c>
      <c r="AR24" s="64">
        <f t="shared" si="32"/>
        <v>69</v>
      </c>
      <c r="AS24" s="328">
        <f t="shared" si="39"/>
        <v>2070</v>
      </c>
      <c r="AT24" s="328">
        <f t="shared" ref="AT24:AT34" si="49">SUM(AO24+AQ24+AS24)</f>
        <v>6030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2"/>
        <v>218.4</v>
      </c>
      <c r="C25" s="64">
        <f t="shared" si="43"/>
        <v>224.3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4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69</v>
      </c>
      <c r="AQ25" s="328">
        <f t="shared" ref="AQ25:AQ34" si="50">(AP25/100)*3000</f>
        <v>2070</v>
      </c>
      <c r="AR25" s="64">
        <f t="shared" si="32"/>
        <v>69</v>
      </c>
      <c r="AS25" s="328">
        <f t="shared" si="39"/>
        <v>2070</v>
      </c>
      <c r="AT25" s="328">
        <f t="shared" si="49"/>
        <v>6030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2"/>
        <v>218.4</v>
      </c>
      <c r="C26" s="64">
        <f t="shared" si="43"/>
        <v>224.3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4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69</v>
      </c>
      <c r="AQ26" s="328">
        <f t="shared" si="50"/>
        <v>2070</v>
      </c>
      <c r="AR26" s="64">
        <f t="shared" si="32"/>
        <v>69</v>
      </c>
      <c r="AS26" s="328">
        <f t="shared" si="39"/>
        <v>2070</v>
      </c>
      <c r="AT26" s="328">
        <f t="shared" si="49"/>
        <v>6030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2"/>
        <v>218.4</v>
      </c>
      <c r="C27" s="64">
        <f t="shared" si="43"/>
        <v>224.3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4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69</v>
      </c>
      <c r="AQ27" s="328">
        <f t="shared" si="50"/>
        <v>2070</v>
      </c>
      <c r="AR27" s="64">
        <f t="shared" si="32"/>
        <v>69</v>
      </c>
      <c r="AS27" s="328">
        <f t="shared" si="39"/>
        <v>2070</v>
      </c>
      <c r="AT27" s="328">
        <f t="shared" si="49"/>
        <v>6030</v>
      </c>
      <c r="AU27" s="328">
        <f t="shared" si="41"/>
        <v>0</v>
      </c>
      <c r="AV27" s="275"/>
      <c r="AW27" s="517"/>
      <c r="AX27" s="321">
        <f t="shared" si="33"/>
        <v>0.1</v>
      </c>
    </row>
    <row r="28" spans="1:50">
      <c r="A28" s="63">
        <f>ELEC!C26</f>
        <v>44098</v>
      </c>
      <c r="B28" s="64">
        <f t="shared" si="42"/>
        <v>218.4</v>
      </c>
      <c r="C28" s="64">
        <f t="shared" si="43"/>
        <v>224.3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4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69</v>
      </c>
      <c r="AQ28" s="328">
        <f t="shared" si="50"/>
        <v>2070</v>
      </c>
      <c r="AR28" s="64">
        <f t="shared" si="32"/>
        <v>69</v>
      </c>
      <c r="AS28" s="328">
        <f t="shared" si="39"/>
        <v>2070</v>
      </c>
      <c r="AT28" s="328">
        <f t="shared" si="49"/>
        <v>6030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2"/>
        <v>218.4</v>
      </c>
      <c r="C29" s="64">
        <f t="shared" si="43"/>
        <v>224.3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4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69</v>
      </c>
      <c r="AQ29" s="328">
        <f t="shared" si="50"/>
        <v>2070</v>
      </c>
      <c r="AR29" s="64">
        <f t="shared" si="32"/>
        <v>69</v>
      </c>
      <c r="AS29" s="328">
        <f t="shared" si="39"/>
        <v>2070</v>
      </c>
      <c r="AT29" s="328">
        <f>SUM(AO29+AQ29+AS29)</f>
        <v>6030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2"/>
        <v>218.4</v>
      </c>
      <c r="C30" s="64">
        <f t="shared" si="43"/>
        <v>224.3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4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69</v>
      </c>
      <c r="AQ30" s="328">
        <f t="shared" si="50"/>
        <v>2070</v>
      </c>
      <c r="AR30" s="64">
        <f t="shared" si="32"/>
        <v>69</v>
      </c>
      <c r="AS30" s="328">
        <f t="shared" si="39"/>
        <v>2070</v>
      </c>
      <c r="AT30" s="328">
        <f t="shared" si="49"/>
        <v>6030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2"/>
        <v>218.4</v>
      </c>
      <c r="C31" s="64">
        <f t="shared" si="43"/>
        <v>224.3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4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69</v>
      </c>
      <c r="AQ31" s="328">
        <f t="shared" si="50"/>
        <v>2070</v>
      </c>
      <c r="AR31" s="64">
        <f t="shared" si="32"/>
        <v>69</v>
      </c>
      <c r="AS31" s="328">
        <f t="shared" si="39"/>
        <v>2070</v>
      </c>
      <c r="AT31" s="328">
        <f t="shared" si="49"/>
        <v>6030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2"/>
        <v>218.4</v>
      </c>
      <c r="C32" s="64">
        <f t="shared" si="43"/>
        <v>224.3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4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69</v>
      </c>
      <c r="AQ32" s="328">
        <f t="shared" si="50"/>
        <v>2070</v>
      </c>
      <c r="AR32" s="64">
        <f t="shared" si="32"/>
        <v>69</v>
      </c>
      <c r="AS32" s="328">
        <f t="shared" si="39"/>
        <v>2070</v>
      </c>
      <c r="AT32" s="328">
        <f t="shared" si="49"/>
        <v>6030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2"/>
        <v>218.4</v>
      </c>
      <c r="C33" s="64">
        <f t="shared" si="43"/>
        <v>224.3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4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69</v>
      </c>
      <c r="AQ33" s="328">
        <f t="shared" si="50"/>
        <v>2070</v>
      </c>
      <c r="AR33" s="64">
        <f t="shared" si="32"/>
        <v>69</v>
      </c>
      <c r="AS33" s="328">
        <f t="shared" si="39"/>
        <v>2070</v>
      </c>
      <c r="AT33" s="328">
        <f t="shared" si="49"/>
        <v>6030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2"/>
        <v>218.4</v>
      </c>
      <c r="C34" s="64">
        <f t="shared" si="43"/>
        <v>224.3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4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69</v>
      </c>
      <c r="AQ34" s="328">
        <f t="shared" si="50"/>
        <v>2070</v>
      </c>
      <c r="AR34" s="64">
        <f t="shared" si="32"/>
        <v>69</v>
      </c>
      <c r="AS34" s="328">
        <f t="shared" si="39"/>
        <v>2070</v>
      </c>
      <c r="AT34" s="328">
        <f t="shared" si="49"/>
        <v>6030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2"/>
        <v>218.4</v>
      </c>
      <c r="C35" s="64">
        <f t="shared" si="43"/>
        <v>224.3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69</v>
      </c>
      <c r="AQ35" s="328">
        <f t="shared" ref="AQ35" si="76">(AP35/100)*3000</f>
        <v>2070</v>
      </c>
      <c r="AR35" s="64">
        <f t="shared" si="32"/>
        <v>69</v>
      </c>
      <c r="AS35" s="328">
        <f t="shared" ref="AS35" si="77">(AR35/100)*3000</f>
        <v>2070</v>
      </c>
      <c r="AT35" s="328">
        <f t="shared" ref="AT35" si="78">SUM(AO35+AQ35+AS35)</f>
        <v>6030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5.1000000000000004E-2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Normal="100" workbookViewId="0">
      <pane ySplit="3" topLeftCell="A4" activePane="bottomLeft" state="frozen"/>
      <selection pane="bottomLeft" activeCell="AT9" sqref="AT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9117360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8" t="s">
        <v>126</v>
      </c>
      <c r="AO3" s="619"/>
      <c r="AP3" s="620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9">
        <f t="shared" si="2"/>
        <v>0</v>
      </c>
      <c r="O7" s="421">
        <f t="shared" ref="O7:O36" si="16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9">
        <f t="shared" si="2"/>
        <v>0</v>
      </c>
      <c r="O8" s="421">
        <f t="shared" si="16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9">
        <f t="shared" si="2"/>
        <v>0</v>
      </c>
      <c r="O9" s="421">
        <f t="shared" si="16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9">
        <f t="shared" si="2"/>
        <v>0</v>
      </c>
      <c r="O10" s="421">
        <f t="shared" si="16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f t="shared" si="36"/>
        <v>5065</v>
      </c>
      <c r="U10" s="5">
        <f t="shared" si="4"/>
        <v>0</v>
      </c>
      <c r="V10" s="5">
        <f t="shared" si="17"/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f t="shared" si="23"/>
        <v>215.08</v>
      </c>
      <c r="AF10" s="83">
        <f t="shared" si="24"/>
        <v>0</v>
      </c>
      <c r="AG10" s="5">
        <f t="shared" si="25"/>
        <v>2151.9899999999998</v>
      </c>
      <c r="AH10" s="83">
        <f t="shared" si="26"/>
        <v>0</v>
      </c>
      <c r="AI10" s="83">
        <f t="shared" si="27"/>
        <v>0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f t="shared" si="6"/>
        <v>15</v>
      </c>
      <c r="AU10" s="436">
        <f t="shared" si="42"/>
        <v>1.1000000000000001</v>
      </c>
      <c r="AV10" s="204">
        <f t="shared" ref="AV10:AV36" si="43">AV9</f>
        <v>80</v>
      </c>
      <c r="AW10" s="5">
        <v>2.9</v>
      </c>
      <c r="AX10" s="204">
        <f t="shared" ref="AX10:AX36" si="44">AX9</f>
        <v>107</v>
      </c>
      <c r="AY10" s="439">
        <f t="shared" si="7"/>
        <v>13.5</v>
      </c>
      <c r="AZ10" s="439">
        <f t="shared" si="31"/>
        <v>88</v>
      </c>
      <c r="BA10" s="439">
        <f t="shared" si="32"/>
        <v>310.3</v>
      </c>
      <c r="BB10" s="21">
        <f t="shared" si="33"/>
        <v>0</v>
      </c>
      <c r="BC10" s="21">
        <f t="shared" si="34"/>
        <v>0</v>
      </c>
      <c r="BD10" s="21">
        <f t="shared" si="34"/>
        <v>0</v>
      </c>
      <c r="BE10" s="24">
        <f t="shared" si="35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f t="shared" si="13"/>
        <v>607824</v>
      </c>
      <c r="H11" s="5">
        <f t="shared" si="14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9">
        <f t="shared" si="2"/>
        <v>0</v>
      </c>
      <c r="O11" s="421">
        <f t="shared" si="16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36"/>
        <v>5065</v>
      </c>
      <c r="U11" s="5">
        <f t="shared" si="4"/>
        <v>0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215.08</v>
      </c>
      <c r="AF11" s="83">
        <f t="shared" si="24"/>
        <v>0</v>
      </c>
      <c r="AG11" s="5">
        <f t="shared" si="25"/>
        <v>2151.9899999999998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f t="shared" si="6"/>
        <v>15</v>
      </c>
      <c r="AU11" s="436">
        <f t="shared" si="42"/>
        <v>1.1000000000000001</v>
      </c>
      <c r="AV11" s="204">
        <f t="shared" si="43"/>
        <v>80</v>
      </c>
      <c r="AW11" s="5">
        <v>2.9</v>
      </c>
      <c r="AX11" s="204">
        <f t="shared" si="44"/>
        <v>107</v>
      </c>
      <c r="AY11" s="439">
        <f t="shared" si="7"/>
        <v>13.5</v>
      </c>
      <c r="AZ11" s="439">
        <f t="shared" si="31"/>
        <v>88</v>
      </c>
      <c r="BA11" s="439">
        <f t="shared" si="32"/>
        <v>310.3</v>
      </c>
      <c r="BB11" s="21">
        <f t="shared" si="33"/>
        <v>0</v>
      </c>
      <c r="BC11" s="21">
        <f t="shared" si="34"/>
        <v>0</v>
      </c>
      <c r="BD11" s="21">
        <f t="shared" si="34"/>
        <v>0</v>
      </c>
      <c r="BE11" s="24">
        <f t="shared" si="35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607824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9">
        <f t="shared" si="2"/>
        <v>0</v>
      </c>
      <c r="O12" s="421">
        <f t="shared" si="16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36"/>
        <v>5065</v>
      </c>
      <c r="U12" s="5">
        <f t="shared" si="4"/>
        <v>0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215.08</v>
      </c>
      <c r="AF12" s="83">
        <f t="shared" si="24"/>
        <v>0</v>
      </c>
      <c r="AG12" s="5">
        <f t="shared" si="25"/>
        <v>2151.9899999999998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f t="shared" si="6"/>
        <v>15</v>
      </c>
      <c r="AU12" s="436">
        <f t="shared" si="42"/>
        <v>1.1000000000000001</v>
      </c>
      <c r="AV12" s="204">
        <f t="shared" si="43"/>
        <v>80</v>
      </c>
      <c r="AW12" s="5">
        <v>2.9</v>
      </c>
      <c r="AX12" s="204">
        <f t="shared" si="44"/>
        <v>107</v>
      </c>
      <c r="AY12" s="439">
        <f t="shared" si="7"/>
        <v>13.5</v>
      </c>
      <c r="AZ12" s="439">
        <f t="shared" si="31"/>
        <v>88</v>
      </c>
      <c r="BA12" s="439">
        <f t="shared" si="32"/>
        <v>310.3</v>
      </c>
      <c r="BB12" s="21">
        <f t="shared" si="33"/>
        <v>0</v>
      </c>
      <c r="BC12" s="21">
        <f t="shared" si="34"/>
        <v>0</v>
      </c>
      <c r="BD12" s="21">
        <f t="shared" si="34"/>
        <v>0</v>
      </c>
      <c r="BE12" s="24">
        <f t="shared" si="35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44082</v>
      </c>
      <c r="B13" s="5">
        <f t="shared" si="10"/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607824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9">
        <f t="shared" si="2"/>
        <v>0</v>
      </c>
      <c r="O13" s="421">
        <f t="shared" si="16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36"/>
        <v>5065</v>
      </c>
      <c r="U13" s="5">
        <f t="shared" si="4"/>
        <v>0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f t="shared" si="19"/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215.08</v>
      </c>
      <c r="AF13" s="83">
        <f t="shared" si="24"/>
        <v>0</v>
      </c>
      <c r="AG13" s="5">
        <f t="shared" si="25"/>
        <v>2151.9899999999998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f t="shared" si="6"/>
        <v>15</v>
      </c>
      <c r="AU13" s="436">
        <f t="shared" si="42"/>
        <v>1.1000000000000001</v>
      </c>
      <c r="AV13" s="204">
        <f t="shared" si="43"/>
        <v>80</v>
      </c>
      <c r="AW13" s="5">
        <v>2.9</v>
      </c>
      <c r="AX13" s="204">
        <f t="shared" si="44"/>
        <v>107</v>
      </c>
      <c r="AY13" s="439">
        <f t="shared" si="7"/>
        <v>13.5</v>
      </c>
      <c r="AZ13" s="439">
        <f t="shared" si="31"/>
        <v>88</v>
      </c>
      <c r="BA13" s="439">
        <f t="shared" si="32"/>
        <v>310.3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607824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9">
        <f t="shared" ref="N14:N35" si="45">SUM(M14-M13)</f>
        <v>0</v>
      </c>
      <c r="O14" s="421">
        <f t="shared" si="16"/>
        <v>529.52</v>
      </c>
      <c r="P14" s="529">
        <f t="shared" ref="P14:P35" si="46">SUM(O14-O13)</f>
        <v>0</v>
      </c>
      <c r="Q14" s="529">
        <f t="shared" ref="Q14:Q35" si="47">SUM(P14+N14)</f>
        <v>0</v>
      </c>
      <c r="R14" s="529"/>
      <c r="S14" s="529"/>
      <c r="T14" s="5">
        <f t="shared" si="36"/>
        <v>5065</v>
      </c>
      <c r="U14" s="5">
        <f t="shared" si="4"/>
        <v>0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215.08</v>
      </c>
      <c r="AF14" s="83">
        <f t="shared" si="24"/>
        <v>0</v>
      </c>
      <c r="AG14" s="5">
        <f t="shared" si="25"/>
        <v>2151.9899999999998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f t="shared" si="6"/>
        <v>15</v>
      </c>
      <c r="AU14" s="436">
        <f t="shared" si="42"/>
        <v>1.1000000000000001</v>
      </c>
      <c r="AV14" s="204">
        <f t="shared" si="43"/>
        <v>80</v>
      </c>
      <c r="AW14" s="5">
        <v>2.9</v>
      </c>
      <c r="AX14" s="204">
        <f t="shared" si="44"/>
        <v>107</v>
      </c>
      <c r="AY14" s="439">
        <f t="shared" si="7"/>
        <v>13.5</v>
      </c>
      <c r="AZ14" s="439">
        <f t="shared" si="31"/>
        <v>88</v>
      </c>
      <c r="BA14" s="439">
        <f t="shared" si="32"/>
        <v>310.3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607824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9">
        <f t="shared" si="45"/>
        <v>0</v>
      </c>
      <c r="O15" s="421">
        <f t="shared" si="16"/>
        <v>529.52</v>
      </c>
      <c r="P15" s="529">
        <f t="shared" si="46"/>
        <v>0</v>
      </c>
      <c r="Q15" s="529">
        <f t="shared" si="47"/>
        <v>0</v>
      </c>
      <c r="R15" s="529"/>
      <c r="S15" s="529"/>
      <c r="T15" s="5">
        <f t="shared" si="36"/>
        <v>5065</v>
      </c>
      <c r="U15" s="5">
        <f t="shared" si="4"/>
        <v>0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215.08</v>
      </c>
      <c r="AF15" s="83">
        <f t="shared" si="24"/>
        <v>0</v>
      </c>
      <c r="AG15" s="5">
        <f t="shared" si="25"/>
        <v>2151.9899999999998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f t="shared" si="6"/>
        <v>15</v>
      </c>
      <c r="AU15" s="436">
        <f t="shared" si="42"/>
        <v>1.1000000000000001</v>
      </c>
      <c r="AV15" s="204">
        <f t="shared" si="43"/>
        <v>80</v>
      </c>
      <c r="AW15" s="5">
        <v>2.9</v>
      </c>
      <c r="AX15" s="204">
        <f t="shared" si="44"/>
        <v>107</v>
      </c>
      <c r="AY15" s="439">
        <f t="shared" si="7"/>
        <v>13.5</v>
      </c>
      <c r="AZ15" s="439">
        <f t="shared" si="31"/>
        <v>88</v>
      </c>
      <c r="BA15" s="439">
        <f t="shared" si="32"/>
        <v>310.3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607824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9">
        <f t="shared" si="45"/>
        <v>0</v>
      </c>
      <c r="O16" s="421">
        <f t="shared" si="16"/>
        <v>529.52</v>
      </c>
      <c r="P16" s="529">
        <f t="shared" si="46"/>
        <v>0</v>
      </c>
      <c r="Q16" s="529">
        <f t="shared" si="47"/>
        <v>0</v>
      </c>
      <c r="R16" s="531"/>
      <c r="S16" s="531"/>
      <c r="T16" s="5">
        <f t="shared" si="36"/>
        <v>5065</v>
      </c>
      <c r="U16" s="5">
        <f t="shared" si="4"/>
        <v>0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215.08</v>
      </c>
      <c r="AF16" s="83">
        <f t="shared" si="24"/>
        <v>0</v>
      </c>
      <c r="AG16" s="5">
        <f t="shared" si="25"/>
        <v>2151.9899999999998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15</v>
      </c>
      <c r="AU16" s="436">
        <f t="shared" si="42"/>
        <v>1.1000000000000001</v>
      </c>
      <c r="AV16" s="204">
        <f t="shared" si="43"/>
        <v>80</v>
      </c>
      <c r="AW16" s="5">
        <v>2.9</v>
      </c>
      <c r="AX16" s="204">
        <f t="shared" si="44"/>
        <v>107</v>
      </c>
      <c r="AY16" s="439">
        <f t="shared" si="7"/>
        <v>13.5</v>
      </c>
      <c r="AZ16" s="439">
        <f t="shared" si="31"/>
        <v>88</v>
      </c>
      <c r="BA16" s="439">
        <f t="shared" si="32"/>
        <v>310.3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607824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9">
        <f t="shared" si="45"/>
        <v>0</v>
      </c>
      <c r="O17" s="421">
        <f t="shared" si="16"/>
        <v>529.52</v>
      </c>
      <c r="P17" s="529">
        <f t="shared" si="46"/>
        <v>0</v>
      </c>
      <c r="Q17" s="529">
        <f t="shared" si="47"/>
        <v>0</v>
      </c>
      <c r="R17" s="529"/>
      <c r="S17" s="529"/>
      <c r="T17" s="5">
        <f t="shared" si="36"/>
        <v>5065</v>
      </c>
      <c r="U17" s="5">
        <f t="shared" si="4"/>
        <v>0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f t="shared" si="19"/>
        <v>96865</v>
      </c>
      <c r="AA17" s="83">
        <f t="shared" si="20"/>
        <v>0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215.08</v>
      </c>
      <c r="AF17" s="83">
        <f t="shared" si="24"/>
        <v>0</v>
      </c>
      <c r="AG17" s="5">
        <f t="shared" si="25"/>
        <v>2151.9899999999998</v>
      </c>
      <c r="AH17" s="83">
        <f t="shared" si="26"/>
        <v>0</v>
      </c>
      <c r="AI17" s="83">
        <f t="shared" si="27"/>
        <v>0</v>
      </c>
      <c r="AJ17" s="334">
        <f t="shared" si="28"/>
        <v>0</v>
      </c>
      <c r="AK17" s="335">
        <f t="shared" si="38"/>
        <v>0</v>
      </c>
      <c r="AL17" s="335">
        <f t="shared" si="29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f t="shared" si="6"/>
        <v>15</v>
      </c>
      <c r="AU17" s="436">
        <f t="shared" si="42"/>
        <v>1.1000000000000001</v>
      </c>
      <c r="AV17" s="204">
        <f t="shared" si="43"/>
        <v>80</v>
      </c>
      <c r="AW17" s="5">
        <v>2.9</v>
      </c>
      <c r="AX17" s="204">
        <f t="shared" si="44"/>
        <v>107</v>
      </c>
      <c r="AY17" s="439">
        <f t="shared" si="7"/>
        <v>13.5</v>
      </c>
      <c r="AZ17" s="439">
        <f t="shared" si="31"/>
        <v>88</v>
      </c>
      <c r="BA17" s="439">
        <f t="shared" si="32"/>
        <v>310.3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607824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9">
        <f t="shared" si="45"/>
        <v>0</v>
      </c>
      <c r="O18" s="421">
        <f t="shared" si="16"/>
        <v>529.52</v>
      </c>
      <c r="P18" s="529">
        <f t="shared" si="46"/>
        <v>0</v>
      </c>
      <c r="Q18" s="529">
        <f t="shared" si="47"/>
        <v>0</v>
      </c>
      <c r="R18" s="529"/>
      <c r="S18" s="529"/>
      <c r="T18" s="5">
        <f t="shared" si="36"/>
        <v>5065</v>
      </c>
      <c r="U18" s="5">
        <f t="shared" si="4"/>
        <v>0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96865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215.08</v>
      </c>
      <c r="AF18" s="83">
        <f t="shared" si="24"/>
        <v>0</v>
      </c>
      <c r="AG18" s="5">
        <f t="shared" si="25"/>
        <v>2151.9899999999998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15</v>
      </c>
      <c r="AU18" s="436">
        <f t="shared" si="42"/>
        <v>1.1000000000000001</v>
      </c>
      <c r="AV18" s="204">
        <f t="shared" si="43"/>
        <v>80</v>
      </c>
      <c r="AW18" s="5">
        <v>2.9</v>
      </c>
      <c r="AX18" s="204">
        <f t="shared" si="44"/>
        <v>107</v>
      </c>
      <c r="AY18" s="439">
        <f t="shared" si="7"/>
        <v>13.5</v>
      </c>
      <c r="AZ18" s="439">
        <f t="shared" si="31"/>
        <v>88</v>
      </c>
      <c r="BA18" s="439">
        <f t="shared" si="32"/>
        <v>310.3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607824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9">
        <f t="shared" si="45"/>
        <v>0</v>
      </c>
      <c r="O19" s="421">
        <f t="shared" si="16"/>
        <v>529.52</v>
      </c>
      <c r="P19" s="529">
        <f t="shared" si="46"/>
        <v>0</v>
      </c>
      <c r="Q19" s="529">
        <f t="shared" si="47"/>
        <v>0</v>
      </c>
      <c r="R19" s="529"/>
      <c r="S19" s="529"/>
      <c r="T19" s="5">
        <f t="shared" si="36"/>
        <v>5065</v>
      </c>
      <c r="U19" s="5">
        <f t="shared" si="4"/>
        <v>0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f t="shared" si="19"/>
        <v>96865</v>
      </c>
      <c r="AA19" s="83">
        <f t="shared" si="20"/>
        <v>0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215.08</v>
      </c>
      <c r="AF19" s="83">
        <f t="shared" si="24"/>
        <v>0</v>
      </c>
      <c r="AG19" s="5">
        <f t="shared" si="25"/>
        <v>2151.9899999999998</v>
      </c>
      <c r="AH19" s="83">
        <f t="shared" si="26"/>
        <v>0</v>
      </c>
      <c r="AI19" s="83">
        <f t="shared" si="27"/>
        <v>0</v>
      </c>
      <c r="AJ19" s="334">
        <f t="shared" si="28"/>
        <v>0</v>
      </c>
      <c r="AK19" s="335">
        <f t="shared" si="38"/>
        <v>0</v>
      </c>
      <c r="AL19" s="335">
        <f t="shared" si="29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f t="shared" si="6"/>
        <v>15</v>
      </c>
      <c r="AU19" s="436">
        <f t="shared" si="42"/>
        <v>1.1000000000000001</v>
      </c>
      <c r="AV19" s="204">
        <f t="shared" si="43"/>
        <v>80</v>
      </c>
      <c r="AW19" s="5">
        <v>2.9</v>
      </c>
      <c r="AX19" s="204">
        <f t="shared" si="44"/>
        <v>107</v>
      </c>
      <c r="AY19" s="439">
        <f t="shared" si="7"/>
        <v>13.5</v>
      </c>
      <c r="AZ19" s="439">
        <f t="shared" si="31"/>
        <v>88</v>
      </c>
      <c r="BA19" s="439">
        <f t="shared" si="32"/>
        <v>310.3</v>
      </c>
      <c r="BB19" s="21">
        <f t="shared" si="33"/>
        <v>0</v>
      </c>
      <c r="BC19" s="21">
        <f t="shared" si="34"/>
        <v>0</v>
      </c>
      <c r="BD19" s="21">
        <f t="shared" si="34"/>
        <v>0</v>
      </c>
      <c r="BE19" s="24">
        <f t="shared" si="35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607824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9">
        <f t="shared" si="45"/>
        <v>0</v>
      </c>
      <c r="O20" s="421">
        <f t="shared" si="16"/>
        <v>529.52</v>
      </c>
      <c r="P20" s="529">
        <f t="shared" si="46"/>
        <v>0</v>
      </c>
      <c r="Q20" s="529">
        <f t="shared" si="47"/>
        <v>0</v>
      </c>
      <c r="R20" s="529"/>
      <c r="S20" s="529"/>
      <c r="T20" s="5">
        <f t="shared" si="36"/>
        <v>5065</v>
      </c>
      <c r="U20" s="5">
        <f t="shared" si="4"/>
        <v>0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96865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215.08</v>
      </c>
      <c r="AF20" s="83">
        <f t="shared" si="24"/>
        <v>0</v>
      </c>
      <c r="AG20" s="5">
        <f t="shared" si="25"/>
        <v>2151.9899999999998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15</v>
      </c>
      <c r="AU20" s="436">
        <f t="shared" si="42"/>
        <v>1.1000000000000001</v>
      </c>
      <c r="AV20" s="204">
        <f t="shared" si="43"/>
        <v>80</v>
      </c>
      <c r="AW20" s="5">
        <v>2.9</v>
      </c>
      <c r="AX20" s="204">
        <f t="shared" si="44"/>
        <v>107</v>
      </c>
      <c r="AY20" s="439">
        <f t="shared" si="7"/>
        <v>13.5</v>
      </c>
      <c r="AZ20" s="439">
        <f t="shared" si="31"/>
        <v>88</v>
      </c>
      <c r="BA20" s="439">
        <f t="shared" si="32"/>
        <v>310.3</v>
      </c>
      <c r="BB20" s="21">
        <f t="shared" si="33"/>
        <v>0</v>
      </c>
      <c r="BC20" s="21">
        <f t="shared" si="34"/>
        <v>0</v>
      </c>
      <c r="BD20" s="21">
        <f t="shared" si="34"/>
        <v>0</v>
      </c>
      <c r="BE20" s="24">
        <f t="shared" si="3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607824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9">
        <f t="shared" si="45"/>
        <v>0</v>
      </c>
      <c r="O21" s="421">
        <f t="shared" si="16"/>
        <v>529.52</v>
      </c>
      <c r="P21" s="529">
        <f t="shared" si="46"/>
        <v>0</v>
      </c>
      <c r="Q21" s="529">
        <f t="shared" si="47"/>
        <v>0</v>
      </c>
      <c r="R21" s="529"/>
      <c r="S21" s="529"/>
      <c r="T21" s="5">
        <f t="shared" si="36"/>
        <v>5065</v>
      </c>
      <c r="U21" s="5">
        <f t="shared" si="4"/>
        <v>0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96865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215.08</v>
      </c>
      <c r="AF21" s="83">
        <f t="shared" si="24"/>
        <v>0</v>
      </c>
      <c r="AG21" s="5">
        <f t="shared" si="25"/>
        <v>2151.9899999999998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f t="shared" si="6"/>
        <v>15</v>
      </c>
      <c r="AU21" s="436">
        <f t="shared" si="42"/>
        <v>1.1000000000000001</v>
      </c>
      <c r="AV21" s="204">
        <f t="shared" si="43"/>
        <v>80</v>
      </c>
      <c r="AW21" s="5">
        <v>2.9</v>
      </c>
      <c r="AX21" s="204">
        <f t="shared" si="44"/>
        <v>107</v>
      </c>
      <c r="AY21" s="439">
        <f t="shared" si="7"/>
        <v>13.5</v>
      </c>
      <c r="AZ21" s="439">
        <f t="shared" si="31"/>
        <v>88</v>
      </c>
      <c r="BA21" s="439">
        <f t="shared" si="32"/>
        <v>310.3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>
        <v>2</v>
      </c>
      <c r="G22" s="5">
        <f t="shared" si="13"/>
        <v>607824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9">
        <f t="shared" si="45"/>
        <v>0</v>
      </c>
      <c r="O22" s="421">
        <f t="shared" si="16"/>
        <v>529.52</v>
      </c>
      <c r="P22" s="529">
        <f t="shared" si="46"/>
        <v>0</v>
      </c>
      <c r="Q22" s="529">
        <f t="shared" si="47"/>
        <v>0</v>
      </c>
      <c r="R22" s="529"/>
      <c r="S22" s="529"/>
      <c r="T22" s="5">
        <f t="shared" si="36"/>
        <v>5065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5">
        <f t="shared" si="40"/>
        <v>147450</v>
      </c>
      <c r="Y22" s="332">
        <f t="shared" si="41"/>
        <v>0</v>
      </c>
      <c r="Z22" s="5">
        <f t="shared" si="19"/>
        <v>96865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215.08</v>
      </c>
      <c r="AF22" s="83">
        <f t="shared" si="24"/>
        <v>0</v>
      </c>
      <c r="AG22" s="5">
        <f t="shared" si="25"/>
        <v>2151.9899999999998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8">AS21</f>
        <v>0.9</v>
      </c>
      <c r="AT22" s="204">
        <f t="shared" si="48"/>
        <v>15</v>
      </c>
      <c r="AU22" s="436">
        <f t="shared" si="42"/>
        <v>1.1000000000000001</v>
      </c>
      <c r="AV22" s="204">
        <f t="shared" si="43"/>
        <v>80</v>
      </c>
      <c r="AW22" s="5">
        <v>2.9</v>
      </c>
      <c r="AX22" s="204">
        <f t="shared" si="44"/>
        <v>107</v>
      </c>
      <c r="AY22" s="439">
        <f t="shared" si="7"/>
        <v>13.5</v>
      </c>
      <c r="AZ22" s="439">
        <f t="shared" si="31"/>
        <v>88</v>
      </c>
      <c r="BA22" s="439">
        <f t="shared" si="32"/>
        <v>310.3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607824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9">
        <f t="shared" si="45"/>
        <v>0</v>
      </c>
      <c r="O23" s="421">
        <f t="shared" si="16"/>
        <v>529.52</v>
      </c>
      <c r="P23" s="529">
        <f t="shared" si="46"/>
        <v>0</v>
      </c>
      <c r="Q23" s="529">
        <f t="shared" si="47"/>
        <v>0</v>
      </c>
      <c r="R23" s="531"/>
      <c r="S23" s="531"/>
      <c r="T23" s="5">
        <f t="shared" si="36"/>
        <v>5065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147450</v>
      </c>
      <c r="Y23" s="332">
        <f t="shared" si="41"/>
        <v>0</v>
      </c>
      <c r="Z23" s="5">
        <f t="shared" si="19"/>
        <v>96865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215.08</v>
      </c>
      <c r="AF23" s="83">
        <f t="shared" si="24"/>
        <v>0</v>
      </c>
      <c r="AG23" s="5">
        <f t="shared" si="25"/>
        <v>2151.9899999999998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8"/>
        <v>0.9</v>
      </c>
      <c r="AT23" s="204">
        <f t="shared" si="48"/>
        <v>15</v>
      </c>
      <c r="AU23" s="436">
        <f t="shared" si="42"/>
        <v>1.1000000000000001</v>
      </c>
      <c r="AV23" s="204">
        <f t="shared" si="43"/>
        <v>80</v>
      </c>
      <c r="AW23" s="5">
        <v>2.9</v>
      </c>
      <c r="AX23" s="204">
        <f t="shared" si="44"/>
        <v>107</v>
      </c>
      <c r="AY23" s="439">
        <f t="shared" si="7"/>
        <v>13.5</v>
      </c>
      <c r="AZ23" s="439">
        <f t="shared" si="31"/>
        <v>88</v>
      </c>
      <c r="BA23" s="439">
        <f t="shared" si="32"/>
        <v>310.3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607824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9">
        <f t="shared" si="45"/>
        <v>0</v>
      </c>
      <c r="O24" s="421">
        <f t="shared" si="16"/>
        <v>529.52</v>
      </c>
      <c r="P24" s="529">
        <f t="shared" si="46"/>
        <v>0</v>
      </c>
      <c r="Q24" s="529">
        <f t="shared" si="47"/>
        <v>0</v>
      </c>
      <c r="R24" s="531"/>
      <c r="S24" s="531"/>
      <c r="T24" s="5">
        <f t="shared" si="36"/>
        <v>5065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147450</v>
      </c>
      <c r="Y24" s="332">
        <f t="shared" si="41"/>
        <v>0</v>
      </c>
      <c r="Z24" s="5">
        <f t="shared" si="19"/>
        <v>96865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215.08</v>
      </c>
      <c r="AF24" s="83">
        <f t="shared" si="24"/>
        <v>0</v>
      </c>
      <c r="AG24" s="5">
        <f t="shared" si="25"/>
        <v>2151.9899999999998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8"/>
        <v>0.9</v>
      </c>
      <c r="AT24" s="204">
        <f t="shared" si="48"/>
        <v>15</v>
      </c>
      <c r="AU24" s="436">
        <f t="shared" si="42"/>
        <v>1.1000000000000001</v>
      </c>
      <c r="AV24" s="204">
        <f t="shared" si="43"/>
        <v>80</v>
      </c>
      <c r="AW24" s="5">
        <v>2.9</v>
      </c>
      <c r="AX24" s="204">
        <f t="shared" si="44"/>
        <v>107</v>
      </c>
      <c r="AY24" s="439">
        <f t="shared" si="7"/>
        <v>13.5</v>
      </c>
      <c r="AZ24" s="439">
        <f t="shared" si="31"/>
        <v>88</v>
      </c>
      <c r="BA24" s="439">
        <f t="shared" si="32"/>
        <v>310.3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607824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9">
        <f t="shared" si="45"/>
        <v>0</v>
      </c>
      <c r="O25" s="421">
        <f t="shared" si="16"/>
        <v>529.52</v>
      </c>
      <c r="P25" s="529">
        <f t="shared" si="46"/>
        <v>0</v>
      </c>
      <c r="Q25" s="529">
        <f t="shared" si="47"/>
        <v>0</v>
      </c>
      <c r="R25" s="531"/>
      <c r="S25" s="531"/>
      <c r="T25" s="5">
        <f t="shared" si="36"/>
        <v>5065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147450</v>
      </c>
      <c r="Y25" s="332">
        <f t="shared" si="41"/>
        <v>0</v>
      </c>
      <c r="Z25" s="5">
        <f t="shared" si="19"/>
        <v>96865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215.08</v>
      </c>
      <c r="AF25" s="83">
        <f t="shared" si="24"/>
        <v>0</v>
      </c>
      <c r="AG25" s="5">
        <f t="shared" si="25"/>
        <v>2151.9899999999998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8"/>
        <v>0.9</v>
      </c>
      <c r="AT25" s="204">
        <f t="shared" si="48"/>
        <v>15</v>
      </c>
      <c r="AU25" s="436">
        <f t="shared" si="42"/>
        <v>1.1000000000000001</v>
      </c>
      <c r="AV25" s="204">
        <f t="shared" si="43"/>
        <v>80</v>
      </c>
      <c r="AW25" s="5">
        <v>2.9</v>
      </c>
      <c r="AX25" s="204">
        <f t="shared" si="44"/>
        <v>107</v>
      </c>
      <c r="AY25" s="439">
        <f t="shared" si="7"/>
        <v>13.5</v>
      </c>
      <c r="AZ25" s="439">
        <f t="shared" si="31"/>
        <v>88</v>
      </c>
      <c r="BA25" s="439">
        <f t="shared" si="32"/>
        <v>310.3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607824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9">
        <f t="shared" si="45"/>
        <v>0</v>
      </c>
      <c r="O26" s="421">
        <f t="shared" si="16"/>
        <v>529.52</v>
      </c>
      <c r="P26" s="529">
        <f t="shared" si="46"/>
        <v>0</v>
      </c>
      <c r="Q26" s="529">
        <f t="shared" si="47"/>
        <v>0</v>
      </c>
      <c r="R26" s="531"/>
      <c r="S26" s="531"/>
      <c r="T26" s="5">
        <f t="shared" si="36"/>
        <v>5065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147450</v>
      </c>
      <c r="Y26" s="332">
        <f t="shared" si="41"/>
        <v>0</v>
      </c>
      <c r="Z26" s="5">
        <f t="shared" si="19"/>
        <v>96865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215.08</v>
      </c>
      <c r="AF26" s="83">
        <f t="shared" si="24"/>
        <v>0</v>
      </c>
      <c r="AG26" s="5">
        <f t="shared" si="25"/>
        <v>2151.9899999999998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8"/>
        <v>0.9</v>
      </c>
      <c r="AT26" s="204">
        <f t="shared" si="48"/>
        <v>15</v>
      </c>
      <c r="AU26" s="436">
        <f t="shared" si="42"/>
        <v>1.1000000000000001</v>
      </c>
      <c r="AV26" s="204">
        <f t="shared" si="43"/>
        <v>80</v>
      </c>
      <c r="AW26" s="5">
        <v>2.9</v>
      </c>
      <c r="AX26" s="204">
        <f t="shared" si="44"/>
        <v>107</v>
      </c>
      <c r="AY26" s="439">
        <f t="shared" si="7"/>
        <v>13.5</v>
      </c>
      <c r="AZ26" s="439">
        <f t="shared" si="31"/>
        <v>88</v>
      </c>
      <c r="BA26" s="439">
        <f t="shared" si="32"/>
        <v>310.3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607824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9">
        <f t="shared" si="45"/>
        <v>0</v>
      </c>
      <c r="O27" s="421">
        <f t="shared" si="16"/>
        <v>529.52</v>
      </c>
      <c r="P27" s="529">
        <f t="shared" si="46"/>
        <v>0</v>
      </c>
      <c r="Q27" s="529">
        <f t="shared" si="47"/>
        <v>0</v>
      </c>
      <c r="R27" s="531"/>
      <c r="S27" s="531"/>
      <c r="T27" s="5">
        <f t="shared" si="36"/>
        <v>5065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147450</v>
      </c>
      <c r="Y27" s="332">
        <f>SUM(X27-X26)</f>
        <v>0</v>
      </c>
      <c r="Z27" s="5">
        <f t="shared" si="19"/>
        <v>96865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215.08</v>
      </c>
      <c r="AF27" s="83">
        <f t="shared" si="24"/>
        <v>0</v>
      </c>
      <c r="AG27" s="5">
        <f t="shared" si="25"/>
        <v>2151.9899999999998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8"/>
        <v>0.9</v>
      </c>
      <c r="AT27" s="204">
        <f t="shared" si="48"/>
        <v>15</v>
      </c>
      <c r="AU27" s="436">
        <f t="shared" si="42"/>
        <v>1.1000000000000001</v>
      </c>
      <c r="AV27" s="204">
        <f t="shared" si="43"/>
        <v>80</v>
      </c>
      <c r="AW27" s="5">
        <v>2.9</v>
      </c>
      <c r="AX27" s="204">
        <f t="shared" si="44"/>
        <v>107</v>
      </c>
      <c r="AY27" s="439">
        <f t="shared" si="7"/>
        <v>13.5</v>
      </c>
      <c r="AZ27" s="439">
        <f t="shared" si="31"/>
        <v>88</v>
      </c>
      <c r="BA27" s="439">
        <f t="shared" si="32"/>
        <v>310.3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607824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9">
        <f t="shared" si="45"/>
        <v>0</v>
      </c>
      <c r="O28" s="421">
        <f t="shared" si="16"/>
        <v>529.52</v>
      </c>
      <c r="P28" s="529">
        <f t="shared" si="46"/>
        <v>0</v>
      </c>
      <c r="Q28" s="529">
        <f t="shared" si="47"/>
        <v>0</v>
      </c>
      <c r="R28" s="531"/>
      <c r="S28" s="531"/>
      <c r="T28" s="5">
        <f t="shared" si="36"/>
        <v>5065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147450</v>
      </c>
      <c r="Y28" s="332">
        <f t="shared" si="41"/>
        <v>0</v>
      </c>
      <c r="Z28" s="5">
        <f t="shared" si="19"/>
        <v>96865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215.08</v>
      </c>
      <c r="AF28" s="83">
        <f t="shared" si="24"/>
        <v>0</v>
      </c>
      <c r="AG28" s="5">
        <f t="shared" si="25"/>
        <v>2151.9899999999998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8"/>
        <v>0.9</v>
      </c>
      <c r="AT28" s="204">
        <f t="shared" si="48"/>
        <v>15</v>
      </c>
      <c r="AU28" s="436">
        <f t="shared" si="42"/>
        <v>1.1000000000000001</v>
      </c>
      <c r="AV28" s="204">
        <f t="shared" si="43"/>
        <v>80</v>
      </c>
      <c r="AW28" s="5">
        <v>2.9</v>
      </c>
      <c r="AX28" s="204">
        <f t="shared" si="44"/>
        <v>107</v>
      </c>
      <c r="AY28" s="439">
        <f t="shared" si="7"/>
        <v>13.5</v>
      </c>
      <c r="AZ28" s="439">
        <f t="shared" si="31"/>
        <v>88</v>
      </c>
      <c r="BA28" s="439">
        <f t="shared" si="32"/>
        <v>310.3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607824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9">
        <f t="shared" si="45"/>
        <v>0</v>
      </c>
      <c r="O29" s="421">
        <f t="shared" si="16"/>
        <v>529.52</v>
      </c>
      <c r="P29" s="529">
        <f t="shared" si="46"/>
        <v>0</v>
      </c>
      <c r="Q29" s="529">
        <f t="shared" si="47"/>
        <v>0</v>
      </c>
      <c r="R29" s="531"/>
      <c r="S29" s="531"/>
      <c r="T29" s="5">
        <f t="shared" si="36"/>
        <v>5065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147450</v>
      </c>
      <c r="Y29" s="332">
        <f t="shared" si="41"/>
        <v>0</v>
      </c>
      <c r="Z29" s="5">
        <f t="shared" si="19"/>
        <v>96865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215.08</v>
      </c>
      <c r="AF29" s="83">
        <f t="shared" si="24"/>
        <v>0</v>
      </c>
      <c r="AG29" s="5">
        <f t="shared" si="25"/>
        <v>2151.9899999999998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8"/>
        <v>0.9</v>
      </c>
      <c r="AT29" s="204">
        <f t="shared" si="48"/>
        <v>15</v>
      </c>
      <c r="AU29" s="436">
        <f t="shared" si="42"/>
        <v>1.1000000000000001</v>
      </c>
      <c r="AV29" s="204">
        <f t="shared" si="43"/>
        <v>80</v>
      </c>
      <c r="AW29" s="5">
        <v>2.9</v>
      </c>
      <c r="AX29" s="204">
        <f t="shared" si="44"/>
        <v>107</v>
      </c>
      <c r="AY29" s="439">
        <f t="shared" si="7"/>
        <v>13.5</v>
      </c>
      <c r="AZ29" s="439">
        <f t="shared" si="31"/>
        <v>88</v>
      </c>
      <c r="BA29" s="439">
        <f t="shared" si="32"/>
        <v>310.3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607824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9">
        <f t="shared" si="45"/>
        <v>0</v>
      </c>
      <c r="O30" s="421">
        <f t="shared" si="16"/>
        <v>529.52</v>
      </c>
      <c r="P30" s="529">
        <f t="shared" si="46"/>
        <v>0</v>
      </c>
      <c r="Q30" s="529">
        <f t="shared" si="47"/>
        <v>0</v>
      </c>
      <c r="R30" s="531"/>
      <c r="S30" s="531"/>
      <c r="T30" s="5">
        <f t="shared" si="36"/>
        <v>5065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147450</v>
      </c>
      <c r="Y30" s="332">
        <f t="shared" si="41"/>
        <v>0</v>
      </c>
      <c r="Z30" s="5">
        <f t="shared" si="19"/>
        <v>96865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215.08</v>
      </c>
      <c r="AF30" s="83">
        <f t="shared" si="24"/>
        <v>0</v>
      </c>
      <c r="AG30" s="5">
        <f t="shared" si="25"/>
        <v>2151.9899999999998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8"/>
        <v>0.9</v>
      </c>
      <c r="AT30" s="204">
        <f t="shared" si="48"/>
        <v>15</v>
      </c>
      <c r="AU30" s="436">
        <f t="shared" si="42"/>
        <v>1.1000000000000001</v>
      </c>
      <c r="AV30" s="204">
        <f t="shared" si="43"/>
        <v>80</v>
      </c>
      <c r="AW30" s="5">
        <v>2.9</v>
      </c>
      <c r="AX30" s="204">
        <f t="shared" si="44"/>
        <v>107</v>
      </c>
      <c r="AY30" s="439">
        <f t="shared" si="7"/>
        <v>13.5</v>
      </c>
      <c r="AZ30" s="439">
        <f t="shared" si="31"/>
        <v>88</v>
      </c>
      <c r="BA30" s="439">
        <f t="shared" si="32"/>
        <v>310.3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607824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9">
        <f t="shared" si="45"/>
        <v>0</v>
      </c>
      <c r="O31" s="421">
        <f t="shared" si="16"/>
        <v>529.52</v>
      </c>
      <c r="P31" s="529">
        <f t="shared" si="46"/>
        <v>0</v>
      </c>
      <c r="Q31" s="529">
        <f t="shared" si="47"/>
        <v>0</v>
      </c>
      <c r="R31" s="531"/>
      <c r="S31" s="531"/>
      <c r="T31" s="5">
        <f t="shared" si="36"/>
        <v>5065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147450</v>
      </c>
      <c r="Y31" s="332">
        <f t="shared" si="41"/>
        <v>0</v>
      </c>
      <c r="Z31" s="5">
        <f t="shared" si="19"/>
        <v>96865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215.08</v>
      </c>
      <c r="AF31" s="83">
        <f t="shared" si="24"/>
        <v>0</v>
      </c>
      <c r="AG31" s="5">
        <f t="shared" si="25"/>
        <v>2151.9899999999998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8"/>
        <v>0.9</v>
      </c>
      <c r="AT31" s="204">
        <f t="shared" si="48"/>
        <v>15</v>
      </c>
      <c r="AU31" s="436">
        <f t="shared" si="42"/>
        <v>1.1000000000000001</v>
      </c>
      <c r="AV31" s="204">
        <f t="shared" si="43"/>
        <v>80</v>
      </c>
      <c r="AW31" s="5">
        <v>2.9</v>
      </c>
      <c r="AX31" s="204">
        <f t="shared" si="44"/>
        <v>107</v>
      </c>
      <c r="AY31" s="439">
        <f t="shared" si="7"/>
        <v>13.5</v>
      </c>
      <c r="AZ31" s="439">
        <f t="shared" si="31"/>
        <v>88</v>
      </c>
      <c r="BA31" s="439">
        <f t="shared" si="32"/>
        <v>310.3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607824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9">
        <f t="shared" si="45"/>
        <v>0</v>
      </c>
      <c r="O32" s="421">
        <f t="shared" si="16"/>
        <v>529.52</v>
      </c>
      <c r="P32" s="529">
        <f t="shared" si="46"/>
        <v>0</v>
      </c>
      <c r="Q32" s="529">
        <f t="shared" si="47"/>
        <v>0</v>
      </c>
      <c r="R32" s="531"/>
      <c r="S32" s="531"/>
      <c r="T32" s="5">
        <f t="shared" si="36"/>
        <v>5065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147450</v>
      </c>
      <c r="Y32" s="332">
        <f t="shared" si="41"/>
        <v>0</v>
      </c>
      <c r="Z32" s="5">
        <f t="shared" si="19"/>
        <v>96865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215.08</v>
      </c>
      <c r="AF32" s="83">
        <f t="shared" si="24"/>
        <v>0</v>
      </c>
      <c r="AG32" s="5">
        <f t="shared" si="25"/>
        <v>2151.9899999999998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8"/>
        <v>0.9</v>
      </c>
      <c r="AT32" s="204">
        <f t="shared" si="48"/>
        <v>15</v>
      </c>
      <c r="AU32" s="436">
        <f t="shared" si="42"/>
        <v>1.1000000000000001</v>
      </c>
      <c r="AV32" s="204">
        <f t="shared" si="43"/>
        <v>80</v>
      </c>
      <c r="AW32" s="5">
        <v>2.9</v>
      </c>
      <c r="AX32" s="204">
        <f t="shared" si="44"/>
        <v>107</v>
      </c>
      <c r="AY32" s="439">
        <f t="shared" si="7"/>
        <v>13.5</v>
      </c>
      <c r="AZ32" s="439">
        <f t="shared" si="31"/>
        <v>88</v>
      </c>
      <c r="BA32" s="439">
        <f t="shared" si="32"/>
        <v>310.3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607824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9">
        <f t="shared" si="45"/>
        <v>0</v>
      </c>
      <c r="O33" s="421">
        <f t="shared" si="16"/>
        <v>529.52</v>
      </c>
      <c r="P33" s="529">
        <f t="shared" si="46"/>
        <v>0</v>
      </c>
      <c r="Q33" s="529">
        <f t="shared" si="47"/>
        <v>0</v>
      </c>
      <c r="R33" s="531"/>
      <c r="S33" s="531"/>
      <c r="T33" s="5">
        <f t="shared" si="36"/>
        <v>5065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147450</v>
      </c>
      <c r="Y33" s="332">
        <f t="shared" si="41"/>
        <v>0</v>
      </c>
      <c r="Z33" s="5">
        <f t="shared" si="19"/>
        <v>96865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215.08</v>
      </c>
      <c r="AF33" s="83">
        <f>AE33-AE32</f>
        <v>0</v>
      </c>
      <c r="AG33" s="5">
        <f t="shared" si="25"/>
        <v>2151.9899999999998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8"/>
        <v>0.9</v>
      </c>
      <c r="AT33" s="204">
        <f t="shared" si="48"/>
        <v>15</v>
      </c>
      <c r="AU33" s="436">
        <f t="shared" si="42"/>
        <v>1.1000000000000001</v>
      </c>
      <c r="AV33" s="204">
        <f t="shared" si="43"/>
        <v>80</v>
      </c>
      <c r="AW33" s="5">
        <v>2.9</v>
      </c>
      <c r="AX33" s="204">
        <f t="shared" si="44"/>
        <v>107</v>
      </c>
      <c r="AY33" s="439">
        <f t="shared" si="7"/>
        <v>13.5</v>
      </c>
      <c r="AZ33" s="439">
        <f t="shared" si="31"/>
        <v>88</v>
      </c>
      <c r="BA33" s="439">
        <f t="shared" si="32"/>
        <v>310.3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607824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9">
        <f t="shared" si="45"/>
        <v>0</v>
      </c>
      <c r="O34" s="421">
        <f t="shared" si="16"/>
        <v>529.52</v>
      </c>
      <c r="P34" s="529">
        <f t="shared" si="46"/>
        <v>0</v>
      </c>
      <c r="Q34" s="529">
        <f t="shared" si="47"/>
        <v>0</v>
      </c>
      <c r="R34" s="531"/>
      <c r="S34" s="531"/>
      <c r="T34" s="5">
        <f t="shared" si="36"/>
        <v>5065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147450</v>
      </c>
      <c r="Y34" s="332">
        <f t="shared" si="41"/>
        <v>0</v>
      </c>
      <c r="Z34" s="5">
        <f t="shared" si="19"/>
        <v>96865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215.08</v>
      </c>
      <c r="AF34" s="83">
        <f t="shared" si="24"/>
        <v>0</v>
      </c>
      <c r="AG34" s="5">
        <f t="shared" si="25"/>
        <v>2151.9899999999998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8"/>
        <v>0.9</v>
      </c>
      <c r="AT34" s="204">
        <f t="shared" si="48"/>
        <v>15</v>
      </c>
      <c r="AU34" s="437">
        <f t="shared" si="42"/>
        <v>1.1000000000000001</v>
      </c>
      <c r="AV34" s="204">
        <f t="shared" si="43"/>
        <v>80</v>
      </c>
      <c r="AW34" s="5">
        <v>2.9</v>
      </c>
      <c r="AX34" s="204">
        <f t="shared" si="44"/>
        <v>107</v>
      </c>
      <c r="AY34" s="439">
        <f t="shared" si="7"/>
        <v>13.5</v>
      </c>
      <c r="AZ34" s="439">
        <f t="shared" si="31"/>
        <v>88</v>
      </c>
      <c r="BA34" s="439">
        <f t="shared" si="32"/>
        <v>310.3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607824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9">
        <f t="shared" si="45"/>
        <v>0</v>
      </c>
      <c r="O35" s="421">
        <f t="shared" si="16"/>
        <v>529.52</v>
      </c>
      <c r="P35" s="529">
        <f t="shared" si="46"/>
        <v>0</v>
      </c>
      <c r="Q35" s="529">
        <f t="shared" si="47"/>
        <v>0</v>
      </c>
      <c r="R35" s="529"/>
      <c r="S35" s="529"/>
      <c r="T35" s="5">
        <f t="shared" si="36"/>
        <v>5065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147450</v>
      </c>
      <c r="Y35" s="332">
        <f t="shared" si="41"/>
        <v>0</v>
      </c>
      <c r="Z35" s="5">
        <f t="shared" si="19"/>
        <v>96865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215.08</v>
      </c>
      <c r="AF35" s="83">
        <f t="shared" si="24"/>
        <v>0</v>
      </c>
      <c r="AG35" s="5">
        <f t="shared" si="25"/>
        <v>2151.9899999999998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8"/>
        <v>0.9</v>
      </c>
      <c r="AT35" s="204">
        <f t="shared" si="48"/>
        <v>15</v>
      </c>
      <c r="AU35" s="438">
        <f t="shared" si="42"/>
        <v>1.1000000000000001</v>
      </c>
      <c r="AV35" s="204">
        <f t="shared" si="43"/>
        <v>80</v>
      </c>
      <c r="AW35" s="5">
        <v>2.9</v>
      </c>
      <c r="AX35" s="204">
        <f t="shared" si="44"/>
        <v>107</v>
      </c>
      <c r="AY35" s="439">
        <f t="shared" si="7"/>
        <v>13.5</v>
      </c>
      <c r="AZ35" s="439">
        <f t="shared" si="31"/>
        <v>88</v>
      </c>
      <c r="BA35" s="439">
        <f t="shared" si="32"/>
        <v>310.3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607824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9">
        <f t="shared" ref="N36" si="55">SUM(M36-M35)</f>
        <v>0</v>
      </c>
      <c r="O36" s="421">
        <f t="shared" si="16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36"/>
        <v>5065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147450</v>
      </c>
      <c r="Y36" s="332">
        <f t="shared" ref="Y36" si="60">SUM(X36-X35)</f>
        <v>0</v>
      </c>
      <c r="Z36" s="5">
        <f t="shared" si="19"/>
        <v>96865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215.08</v>
      </c>
      <c r="AF36" s="83">
        <f t="shared" ref="AF36" si="63">AE36-AE35</f>
        <v>0</v>
      </c>
      <c r="AG36" s="5">
        <f t="shared" si="25"/>
        <v>2151.9899999999998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8"/>
        <v>0.9</v>
      </c>
      <c r="AT36" s="204">
        <f t="shared" si="48"/>
        <v>15</v>
      </c>
      <c r="AU36" s="438">
        <f t="shared" si="42"/>
        <v>1.1000000000000001</v>
      </c>
      <c r="AV36" s="204">
        <f t="shared" si="43"/>
        <v>80</v>
      </c>
      <c r="AW36" s="5">
        <v>2.9</v>
      </c>
      <c r="AX36" s="204">
        <f t="shared" si="44"/>
        <v>107</v>
      </c>
      <c r="AY36" s="439">
        <f t="shared" ref="AY36" si="69">AS36*AT36</f>
        <v>13.5</v>
      </c>
      <c r="AZ36" s="439">
        <f t="shared" ref="AZ36" si="70">AU36*AV36</f>
        <v>88</v>
      </c>
      <c r="BA36" s="439">
        <f t="shared" ref="BA36" si="71">AW36*AX36</f>
        <v>310.3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2</v>
      </c>
      <c r="H37" s="423">
        <f>SUM(H6:H35)</f>
        <v>0</v>
      </c>
      <c r="I37" s="423">
        <f>SUM(I6:I35)</f>
        <v>0</v>
      </c>
      <c r="L37" s="274">
        <f>SUM(L7:L35)</f>
        <v>12</v>
      </c>
      <c r="Q37" s="510">
        <f>SUM(Q5:Q35)</f>
        <v>0</v>
      </c>
      <c r="U37" s="420">
        <f>SUM(U6:U35)</f>
        <v>18</v>
      </c>
      <c r="X37" s="331"/>
      <c r="Y37" s="330" t="e">
        <f>SUM(Y35,Y33,Y31,Y29,Y27,Y25,Y23,Y21,Y19,Y17,Y15,Y13,Y11,Y9,Y7+#REF!)</f>
        <v>#REF!</v>
      </c>
      <c r="AJ37" s="330">
        <f>SUM(AJ6:AJ35)</f>
        <v>66</v>
      </c>
      <c r="AK37" s="335" t="e">
        <f t="shared" si="5"/>
        <v>#REF!</v>
      </c>
      <c r="AL37" s="330">
        <f>SUM(AL6:AL35)</f>
        <v>41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2</v>
      </c>
      <c r="H38" s="157">
        <v>7500</v>
      </c>
      <c r="I38" s="424" t="e">
        <f>SUM('General information '!G37/WATER!I37)</f>
        <v>#DIV/0!</v>
      </c>
      <c r="L38" s="157"/>
      <c r="O38" s="507">
        <f>SUM(Q37+I37)</f>
        <v>0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2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9" sqref="F9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7">
        <f>'[1]General information '!E36</f>
        <v>0.76</v>
      </c>
      <c r="F5" s="597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7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353"/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7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44079</v>
      </c>
      <c r="B10" s="37"/>
      <c r="C10" s="37"/>
      <c r="D10" s="26">
        <f t="shared" si="0"/>
        <v>0</v>
      </c>
      <c r="E10" s="364"/>
      <c r="F10" s="348"/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44080</v>
      </c>
      <c r="B11" s="37"/>
      <c r="C11" s="37"/>
      <c r="D11" s="26">
        <f t="shared" si="0"/>
        <v>0</v>
      </c>
      <c r="E11" s="404"/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44081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44082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44083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44084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44085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44086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44087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44088</v>
      </c>
      <c r="B19" s="37"/>
      <c r="C19" s="37"/>
      <c r="D19" s="26">
        <f t="shared" si="3"/>
        <v>0</v>
      </c>
      <c r="E19" s="348"/>
      <c r="F19" s="348"/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44089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44090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</v>
      </c>
      <c r="G37" s="206">
        <f>SUM(G6:G35)</f>
        <v>0</v>
      </c>
    </row>
    <row r="38" spans="1:15">
      <c r="D38" s="267">
        <f>SUM(D6:D35)/'EDl log'!A36</f>
        <v>30.125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S10" sqref="AS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7">
        <f>[1]tanks!B36</f>
        <v>239</v>
      </c>
      <c r="C5" s="547">
        <f>[1]tanks!C36</f>
        <v>5142.3548387096771</v>
      </c>
      <c r="D5" s="547">
        <f>[1]tanks!D36</f>
        <v>239</v>
      </c>
      <c r="E5" s="547">
        <f>[1]tanks!E36</f>
        <v>5142.3548387096771</v>
      </c>
      <c r="F5" s="547">
        <f>[1]tanks!F36</f>
        <v>239</v>
      </c>
      <c r="G5" s="547">
        <f>[1]tanks!G36</f>
        <v>5142.3548387096771</v>
      </c>
      <c r="H5" s="547">
        <f>[1]tanks!H36</f>
        <v>239</v>
      </c>
      <c r="I5" s="547">
        <f>[1]tanks!I36</f>
        <v>5142.3548387096771</v>
      </c>
      <c r="J5" s="547">
        <f>[1]tanks!J36</f>
        <v>239</v>
      </c>
      <c r="K5" s="547">
        <f>[1]tanks!K36</f>
        <v>5142.3548387096771</v>
      </c>
      <c r="L5" s="547">
        <f>[1]tanks!L36</f>
        <v>239</v>
      </c>
      <c r="M5" s="547">
        <f>[1]tanks!M36</f>
        <v>5142.3548387096771</v>
      </c>
      <c r="N5" s="547">
        <f>[1]tanks!N36</f>
        <v>239</v>
      </c>
      <c r="O5" s="547">
        <f>[1]tanks!O36</f>
        <v>5142.3548387096771</v>
      </c>
      <c r="P5" s="547">
        <f>[1]tanks!P36</f>
        <v>239</v>
      </c>
      <c r="Q5" s="547">
        <f>[1]tanks!Q36</f>
        <v>5142.3548387096771</v>
      </c>
      <c r="R5" s="547">
        <f>[1]tanks!R36</f>
        <v>239</v>
      </c>
      <c r="S5" s="547">
        <f>[1]tanks!S36</f>
        <v>5142.3548387096771</v>
      </c>
      <c r="T5" s="547">
        <f>[1]tanks!T36</f>
        <v>239</v>
      </c>
      <c r="U5" s="547">
        <f>[1]tanks!U36</f>
        <v>5142.3548387096771</v>
      </c>
      <c r="V5" s="547">
        <f>[1]tanks!V36</f>
        <v>239</v>
      </c>
      <c r="W5" s="547">
        <f>[1]tanks!W36</f>
        <v>5142.3548387096771</v>
      </c>
      <c r="X5" s="547">
        <f>[1]tanks!X36</f>
        <v>0.77096774193548367</v>
      </c>
      <c r="Y5" s="547">
        <f>[1]tanks!Y36</f>
        <v>56565.90322580644</v>
      </c>
      <c r="Z5" s="547">
        <f>[1]tanks!Z36</f>
        <v>244</v>
      </c>
      <c r="AA5" s="547">
        <f>[1]tanks!AA36</f>
        <v>2440</v>
      </c>
      <c r="AB5" s="547">
        <f>[1]tanks!AB36</f>
        <v>244</v>
      </c>
      <c r="AC5" s="547">
        <f>[1]tanks!AC36</f>
        <v>2440</v>
      </c>
      <c r="AD5" s="547">
        <f>[1]tanks!AD36</f>
        <v>244</v>
      </c>
      <c r="AE5" s="547">
        <f>[1]tanks!AE36</f>
        <v>2440</v>
      </c>
      <c r="AF5" s="547">
        <f>[1]tanks!AF36</f>
        <v>244</v>
      </c>
      <c r="AG5" s="547">
        <f>[1]tanks!AG36</f>
        <v>2440</v>
      </c>
      <c r="AH5" s="547">
        <f>[1]tanks!AH36</f>
        <v>244</v>
      </c>
      <c r="AI5" s="547">
        <f>[1]tanks!AI36</f>
        <v>2440</v>
      </c>
      <c r="AJ5" s="547">
        <f>[1]tanks!AJ36</f>
        <v>244</v>
      </c>
      <c r="AK5" s="547">
        <f>[1]tanks!AK36</f>
        <v>2440</v>
      </c>
      <c r="AL5" s="547">
        <f>[1]tanks!AL36</f>
        <v>244</v>
      </c>
      <c r="AM5" s="547">
        <f>[1]tanks!AM36</f>
        <v>2440</v>
      </c>
      <c r="AN5" s="520">
        <f>[1]tanks!AN36</f>
        <v>0.87142857142857144</v>
      </c>
      <c r="AO5" s="547">
        <f>[1]tanks!AO36</f>
        <v>17080</v>
      </c>
      <c r="AP5" s="547">
        <f>[1]tanks!AP36</f>
        <v>0</v>
      </c>
      <c r="AQ5" s="520">
        <f>[1]tanks!AQ36</f>
        <v>0.79214696381420291</v>
      </c>
      <c r="AR5" s="547">
        <f>[1]tanks!AR36</f>
        <v>73645.90322580644</v>
      </c>
      <c r="AS5" s="547">
        <f>[1]tanks!AS36</f>
        <v>-990.03225806452974</v>
      </c>
      <c r="AT5" s="547">
        <f>[1]tanks!AT36</f>
        <v>0</v>
      </c>
      <c r="AU5" s="547">
        <f>[1]tanks!AU36</f>
        <v>0</v>
      </c>
      <c r="AV5" s="547">
        <f>[1]tanks!AV36</f>
        <v>0.53</v>
      </c>
      <c r="AW5" s="547">
        <f>[1]tanks!AW36</f>
        <v>-151</v>
      </c>
      <c r="AX5" s="547">
        <f>[1]tanks!AX36</f>
        <v>-839.03225806452974</v>
      </c>
      <c r="AY5" s="547">
        <f>[1]tanks!AY36</f>
        <v>-990.03225806452974</v>
      </c>
      <c r="AZ5" s="520">
        <f>[1]tanks!AZ36</f>
        <v>0</v>
      </c>
      <c r="BA5" s="547">
        <f>[1]tanks!BA36</f>
        <v>30</v>
      </c>
      <c r="BB5" s="547">
        <f>[1]tanks!BB36</f>
        <v>0.76</v>
      </c>
      <c r="BC5" s="547">
        <f>[2]tanks!BC36</f>
        <v>1</v>
      </c>
      <c r="BD5" s="547">
        <f>[2]tanks!BD36</f>
        <v>19222</v>
      </c>
      <c r="BE5" s="547" t="e">
        <f>[2]tanks!BE36</f>
        <v>#REF!</v>
      </c>
      <c r="BF5" s="547">
        <f>[2]tanks!BF36</f>
        <v>0</v>
      </c>
      <c r="BG5" s="547" t="e">
        <f>[2]tanks!BG36</f>
        <v>#REF!</v>
      </c>
      <c r="BH5" s="547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-851.03225806451519</v>
      </c>
      <c r="AT6" s="365">
        <v>1</v>
      </c>
      <c r="AU6" s="449">
        <v>1</v>
      </c>
      <c r="AV6" s="533">
        <f>IF(AT6&gt;0,AU6,AV5)</f>
        <v>1</v>
      </c>
      <c r="AW6" s="298">
        <f>-SUM('B5'!AI5)</f>
        <v>-155</v>
      </c>
      <c r="AX6" s="298">
        <f>-SUM(AW6-AS6)</f>
        <v>-696.03225806451519</v>
      </c>
      <c r="AY6" s="37">
        <f>SUM(AX6+AW6)</f>
        <v>-851.03225806451519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6"/>
      <c r="AV7" s="533">
        <f>IF(AT7&gt;0,AU7,AV6)</f>
        <v>1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3">
        <f t="shared" ref="AV8:AV34" si="42">IF(AT8&gt;0,AU8,AV7)</f>
        <v>1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3">
        <f t="shared" si="42"/>
        <v>1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218.4</v>
      </c>
      <c r="C10" s="206">
        <f t="shared" si="18"/>
        <v>4699.1225806451612</v>
      </c>
      <c r="D10">
        <f t="shared" si="19"/>
        <v>218.4</v>
      </c>
      <c r="E10" s="206">
        <f t="shared" si="18"/>
        <v>4699.1225806451612</v>
      </c>
      <c r="F10">
        <f t="shared" si="20"/>
        <v>218.4</v>
      </c>
      <c r="G10" s="206">
        <f t="shared" si="1"/>
        <v>4699.1225806451612</v>
      </c>
      <c r="H10" s="206">
        <f t="shared" si="21"/>
        <v>218.4</v>
      </c>
      <c r="I10" s="206">
        <f t="shared" si="2"/>
        <v>4699.1225806451612</v>
      </c>
      <c r="J10" s="206">
        <f t="shared" si="22"/>
        <v>218.4</v>
      </c>
      <c r="K10" s="206">
        <f t="shared" si="3"/>
        <v>4699.1225806451612</v>
      </c>
      <c r="L10" s="206">
        <f t="shared" si="23"/>
        <v>218.4</v>
      </c>
      <c r="M10" s="206">
        <f t="shared" si="4"/>
        <v>4699.1225806451612</v>
      </c>
      <c r="N10" s="206">
        <f t="shared" si="24"/>
        <v>218.4</v>
      </c>
      <c r="O10" s="206">
        <f t="shared" si="5"/>
        <v>4699.1225806451612</v>
      </c>
      <c r="P10" s="206">
        <f t="shared" si="25"/>
        <v>218.4</v>
      </c>
      <c r="Q10" s="206">
        <f t="shared" si="6"/>
        <v>4699.1225806451612</v>
      </c>
      <c r="R10" s="206">
        <f t="shared" si="26"/>
        <v>218.4</v>
      </c>
      <c r="S10" s="206">
        <f t="shared" si="7"/>
        <v>4699.1225806451612</v>
      </c>
      <c r="T10" s="206">
        <f t="shared" si="27"/>
        <v>218.4</v>
      </c>
      <c r="U10" s="206">
        <f t="shared" si="8"/>
        <v>4699.1225806451612</v>
      </c>
      <c r="V10" s="206">
        <f t="shared" si="28"/>
        <v>218.4</v>
      </c>
      <c r="W10" s="206">
        <f t="shared" si="9"/>
        <v>4699.1225806451612</v>
      </c>
      <c r="X10" s="35">
        <f t="shared" si="10"/>
        <v>0.70451612903225813</v>
      </c>
      <c r="Y10" s="36">
        <f t="shared" si="29"/>
        <v>51690.348387096776</v>
      </c>
      <c r="Z10" s="206">
        <f>'B5'!C9</f>
        <v>224.3</v>
      </c>
      <c r="AA10" s="206">
        <f t="shared" si="30"/>
        <v>2243</v>
      </c>
      <c r="AB10" s="206">
        <f t="shared" si="31"/>
        <v>224.3</v>
      </c>
      <c r="AC10" s="206">
        <f t="shared" si="30"/>
        <v>2243</v>
      </c>
      <c r="AD10" s="206">
        <f t="shared" si="32"/>
        <v>224.3</v>
      </c>
      <c r="AE10" s="206">
        <f t="shared" si="11"/>
        <v>2243</v>
      </c>
      <c r="AF10" s="206">
        <f t="shared" si="33"/>
        <v>224.3</v>
      </c>
      <c r="AG10" s="206">
        <f t="shared" si="12"/>
        <v>2243</v>
      </c>
      <c r="AH10" s="206">
        <f t="shared" si="34"/>
        <v>224.3</v>
      </c>
      <c r="AI10" s="206">
        <f t="shared" si="13"/>
        <v>2243</v>
      </c>
      <c r="AJ10" s="206">
        <f t="shared" si="35"/>
        <v>224.3</v>
      </c>
      <c r="AK10" s="206">
        <f t="shared" si="14"/>
        <v>2243</v>
      </c>
      <c r="AL10" s="206">
        <f t="shared" si="36"/>
        <v>224.3</v>
      </c>
      <c r="AM10" s="206">
        <f t="shared" si="15"/>
        <v>2243</v>
      </c>
      <c r="AN10" s="35">
        <f t="shared" si="16"/>
        <v>0.80107142857142855</v>
      </c>
      <c r="AO10" s="36">
        <f t="shared" si="17"/>
        <v>15701</v>
      </c>
      <c r="AQ10" s="226">
        <f t="shared" si="37"/>
        <v>0.72487198437234346</v>
      </c>
      <c r="AR10" s="38">
        <f t="shared" si="41"/>
        <v>67391.348387096776</v>
      </c>
      <c r="AS10" s="200">
        <f t="shared" si="38"/>
        <v>0</v>
      </c>
      <c r="AT10" s="365"/>
      <c r="AU10" s="449"/>
      <c r="AV10" s="533">
        <f>IF(AT10&gt;0,AU10,AV9)</f>
        <v>1</v>
      </c>
      <c r="AW10" s="298">
        <f>-SUM('B5'!AI9)</f>
        <v>0</v>
      </c>
      <c r="AX10" s="298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40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218.4</v>
      </c>
      <c r="C11" s="206">
        <f t="shared" si="18"/>
        <v>4699.1225806451612</v>
      </c>
      <c r="D11">
        <f>SUM(B11)</f>
        <v>218.4</v>
      </c>
      <c r="E11" s="206">
        <f t="shared" si="18"/>
        <v>4699.1225806451612</v>
      </c>
      <c r="F11">
        <f>SUM(D11)</f>
        <v>218.4</v>
      </c>
      <c r="G11" s="206">
        <f t="shared" si="1"/>
        <v>4699.1225806451612</v>
      </c>
      <c r="H11" s="206">
        <f>SUM(F11)</f>
        <v>218.4</v>
      </c>
      <c r="I11" s="206">
        <f t="shared" si="2"/>
        <v>4699.1225806451612</v>
      </c>
      <c r="J11" s="206">
        <f>SUM(H11)</f>
        <v>218.4</v>
      </c>
      <c r="K11" s="206">
        <f t="shared" si="3"/>
        <v>4699.1225806451612</v>
      </c>
      <c r="L11" s="206">
        <f>SUM(J11)</f>
        <v>218.4</v>
      </c>
      <c r="M11" s="206">
        <f t="shared" si="4"/>
        <v>4699.1225806451612</v>
      </c>
      <c r="N11" s="206">
        <f>SUM(L11)</f>
        <v>218.4</v>
      </c>
      <c r="O11" s="206">
        <f t="shared" si="5"/>
        <v>4699.1225806451612</v>
      </c>
      <c r="P11" s="206">
        <f>SUM(N11)</f>
        <v>218.4</v>
      </c>
      <c r="Q11" s="206">
        <f t="shared" si="6"/>
        <v>4699.1225806451612</v>
      </c>
      <c r="R11" s="206">
        <f>SUM(P11)</f>
        <v>218.4</v>
      </c>
      <c r="S11" s="206">
        <f t="shared" si="7"/>
        <v>4699.1225806451612</v>
      </c>
      <c r="T11" s="206">
        <f>SUM(R11)</f>
        <v>218.4</v>
      </c>
      <c r="U11" s="206">
        <f t="shared" si="8"/>
        <v>4699.1225806451612</v>
      </c>
      <c r="V11" s="206">
        <f>SUM(T11)</f>
        <v>218.4</v>
      </c>
      <c r="W11" s="206">
        <f t="shared" si="9"/>
        <v>4699.1225806451612</v>
      </c>
      <c r="X11" s="35">
        <f>SUM(Y11/73370)</f>
        <v>0.70451612903225813</v>
      </c>
      <c r="Y11" s="36">
        <f>SUM(C11+E11+G11+I11+K11+M11+O11+Q11+S11+U11+W11)</f>
        <v>51690.348387096776</v>
      </c>
      <c r="Z11" s="206">
        <f>'B5'!C10</f>
        <v>224.3</v>
      </c>
      <c r="AA11" s="206">
        <f t="shared" si="30"/>
        <v>2243</v>
      </c>
      <c r="AB11" s="206">
        <f>SUM(Z11)</f>
        <v>224.3</v>
      </c>
      <c r="AC11" s="206">
        <f t="shared" si="30"/>
        <v>2243</v>
      </c>
      <c r="AD11" s="206">
        <f>SUM(AB11)</f>
        <v>224.3</v>
      </c>
      <c r="AE11" s="206">
        <f t="shared" si="11"/>
        <v>2243</v>
      </c>
      <c r="AF11" s="206">
        <f>SUM(AD11)</f>
        <v>224.3</v>
      </c>
      <c r="AG11" s="206">
        <f t="shared" si="12"/>
        <v>2243</v>
      </c>
      <c r="AH11" s="206">
        <f>SUM(AF11)</f>
        <v>224.3</v>
      </c>
      <c r="AI11" s="206">
        <f t="shared" si="13"/>
        <v>2243</v>
      </c>
      <c r="AJ11" s="206">
        <f>SUM(AH11)</f>
        <v>224.3</v>
      </c>
      <c r="AK11" s="206">
        <f t="shared" si="14"/>
        <v>2243</v>
      </c>
      <c r="AL11" s="206">
        <f>SUM(AJ11)</f>
        <v>224.3</v>
      </c>
      <c r="AM11" s="206">
        <f t="shared" si="15"/>
        <v>2243</v>
      </c>
      <c r="AN11" s="35">
        <f>SUM(AO11/19600)</f>
        <v>0.80107142857142855</v>
      </c>
      <c r="AO11" s="36">
        <f t="shared" si="17"/>
        <v>15701</v>
      </c>
      <c r="AP11" s="595"/>
      <c r="AQ11" s="226">
        <f t="shared" si="37"/>
        <v>0.72487198437234346</v>
      </c>
      <c r="AR11" s="38">
        <f t="shared" si="41"/>
        <v>67391.348387096776</v>
      </c>
      <c r="AS11" s="200">
        <f>SUM(AR11-AR10-AT11)</f>
        <v>0</v>
      </c>
      <c r="AT11" s="365"/>
      <c r="AU11" s="449"/>
      <c r="AV11" s="533">
        <f>IF(AT11&gt;0,AU11,AV10)</f>
        <v>1</v>
      </c>
      <c r="AW11" s="298">
        <f>-SUM('B5'!AI10)</f>
        <v>0</v>
      </c>
      <c r="AX11" s="298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40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218.4</v>
      </c>
      <c r="C12" s="206">
        <f t="shared" si="18"/>
        <v>4699.1225806451612</v>
      </c>
      <c r="D12">
        <f t="shared" si="19"/>
        <v>218.4</v>
      </c>
      <c r="E12" s="206">
        <f t="shared" si="18"/>
        <v>4699.1225806451612</v>
      </c>
      <c r="F12">
        <f t="shared" si="20"/>
        <v>218.4</v>
      </c>
      <c r="G12" s="206">
        <f t="shared" si="1"/>
        <v>4699.1225806451612</v>
      </c>
      <c r="H12" s="206">
        <f t="shared" si="21"/>
        <v>218.4</v>
      </c>
      <c r="I12" s="206">
        <f t="shared" si="2"/>
        <v>4699.1225806451612</v>
      </c>
      <c r="J12" s="206">
        <f t="shared" si="22"/>
        <v>218.4</v>
      </c>
      <c r="K12" s="206">
        <f t="shared" si="3"/>
        <v>4699.1225806451612</v>
      </c>
      <c r="L12" s="206">
        <f t="shared" si="23"/>
        <v>218.4</v>
      </c>
      <c r="M12" s="206">
        <f t="shared" si="4"/>
        <v>4699.1225806451612</v>
      </c>
      <c r="N12" s="206">
        <f t="shared" si="24"/>
        <v>218.4</v>
      </c>
      <c r="O12" s="206">
        <f t="shared" si="5"/>
        <v>4699.1225806451612</v>
      </c>
      <c r="P12" s="206">
        <f t="shared" si="25"/>
        <v>218.4</v>
      </c>
      <c r="Q12" s="206">
        <f t="shared" si="6"/>
        <v>4699.1225806451612</v>
      </c>
      <c r="R12" s="206">
        <f t="shared" si="26"/>
        <v>218.4</v>
      </c>
      <c r="S12" s="206">
        <f t="shared" si="7"/>
        <v>4699.1225806451612</v>
      </c>
      <c r="T12" s="206">
        <f t="shared" si="27"/>
        <v>218.4</v>
      </c>
      <c r="U12" s="206">
        <f t="shared" si="8"/>
        <v>4699.1225806451612</v>
      </c>
      <c r="V12" s="206">
        <f t="shared" si="28"/>
        <v>218.4</v>
      </c>
      <c r="W12" s="206">
        <f t="shared" si="9"/>
        <v>4699.1225806451612</v>
      </c>
      <c r="X12" s="35">
        <f t="shared" si="10"/>
        <v>0.70451612903225813</v>
      </c>
      <c r="Y12" s="36">
        <f t="shared" si="29"/>
        <v>51690.348387096776</v>
      </c>
      <c r="Z12" s="206">
        <f>'B5'!C11</f>
        <v>224.3</v>
      </c>
      <c r="AA12" s="206">
        <f t="shared" si="30"/>
        <v>2243</v>
      </c>
      <c r="AB12" s="206">
        <f t="shared" si="31"/>
        <v>224.3</v>
      </c>
      <c r="AC12" s="206">
        <f t="shared" si="30"/>
        <v>2243</v>
      </c>
      <c r="AD12" s="206">
        <f t="shared" si="32"/>
        <v>224.3</v>
      </c>
      <c r="AE12" s="206">
        <f t="shared" si="11"/>
        <v>2243</v>
      </c>
      <c r="AF12" s="206">
        <f t="shared" si="33"/>
        <v>224.3</v>
      </c>
      <c r="AG12" s="206">
        <f t="shared" si="12"/>
        <v>2243</v>
      </c>
      <c r="AH12" s="206">
        <f t="shared" si="34"/>
        <v>224.3</v>
      </c>
      <c r="AI12" s="206">
        <f t="shared" si="13"/>
        <v>2243</v>
      </c>
      <c r="AJ12" s="206">
        <f t="shared" si="35"/>
        <v>224.3</v>
      </c>
      <c r="AK12" s="206">
        <f t="shared" si="14"/>
        <v>2243</v>
      </c>
      <c r="AL12" s="206">
        <f t="shared" si="36"/>
        <v>224.3</v>
      </c>
      <c r="AM12" s="206">
        <f t="shared" si="15"/>
        <v>2243</v>
      </c>
      <c r="AN12" s="35">
        <f t="shared" si="16"/>
        <v>0.80107142857142855</v>
      </c>
      <c r="AO12" s="36">
        <f t="shared" si="17"/>
        <v>15701</v>
      </c>
      <c r="AP12" s="595"/>
      <c r="AQ12" s="226">
        <f t="shared" si="37"/>
        <v>0.72487198437234346</v>
      </c>
      <c r="AR12" s="38">
        <f t="shared" si="41"/>
        <v>67391.348387096776</v>
      </c>
      <c r="AS12" s="200">
        <f t="shared" si="38"/>
        <v>0</v>
      </c>
      <c r="AT12" s="277"/>
      <c r="AU12" s="492"/>
      <c r="AV12" s="533">
        <f t="shared" si="42"/>
        <v>1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218.4</v>
      </c>
      <c r="C13" s="206">
        <f t="shared" si="18"/>
        <v>4699.1225806451612</v>
      </c>
      <c r="D13">
        <f t="shared" si="19"/>
        <v>218.4</v>
      </c>
      <c r="E13" s="206">
        <f t="shared" si="18"/>
        <v>4699.1225806451612</v>
      </c>
      <c r="F13">
        <f t="shared" si="20"/>
        <v>218.4</v>
      </c>
      <c r="G13" s="206">
        <f t="shared" si="1"/>
        <v>4699.1225806451612</v>
      </c>
      <c r="H13" s="206">
        <f t="shared" si="21"/>
        <v>218.4</v>
      </c>
      <c r="I13" s="206">
        <f t="shared" si="2"/>
        <v>4699.1225806451612</v>
      </c>
      <c r="J13" s="206">
        <f t="shared" si="22"/>
        <v>218.4</v>
      </c>
      <c r="K13" s="206">
        <f t="shared" si="3"/>
        <v>4699.1225806451612</v>
      </c>
      <c r="L13" s="206">
        <f t="shared" si="23"/>
        <v>218.4</v>
      </c>
      <c r="M13" s="206">
        <f t="shared" si="4"/>
        <v>4699.1225806451612</v>
      </c>
      <c r="N13" s="206">
        <f t="shared" si="24"/>
        <v>218.4</v>
      </c>
      <c r="O13" s="206">
        <f t="shared" si="5"/>
        <v>4699.1225806451612</v>
      </c>
      <c r="P13" s="206">
        <f t="shared" si="25"/>
        <v>218.4</v>
      </c>
      <c r="Q13" s="206">
        <f t="shared" si="6"/>
        <v>4699.1225806451612</v>
      </c>
      <c r="R13" s="206">
        <f t="shared" si="26"/>
        <v>218.4</v>
      </c>
      <c r="S13" s="206">
        <f t="shared" si="7"/>
        <v>4699.1225806451612</v>
      </c>
      <c r="T13" s="206">
        <f t="shared" si="27"/>
        <v>218.4</v>
      </c>
      <c r="U13" s="206">
        <f t="shared" si="8"/>
        <v>4699.1225806451612</v>
      </c>
      <c r="V13" s="206">
        <f t="shared" si="28"/>
        <v>218.4</v>
      </c>
      <c r="W13" s="206">
        <f t="shared" si="9"/>
        <v>4699.1225806451612</v>
      </c>
      <c r="X13" s="35">
        <f t="shared" si="10"/>
        <v>0.70451612903225813</v>
      </c>
      <c r="Y13" s="36">
        <f t="shared" si="29"/>
        <v>51690.348387096776</v>
      </c>
      <c r="Z13" s="206">
        <f>'B5'!C12</f>
        <v>224.3</v>
      </c>
      <c r="AA13" s="206">
        <f t="shared" si="30"/>
        <v>2243</v>
      </c>
      <c r="AB13" s="206">
        <f t="shared" si="31"/>
        <v>224.3</v>
      </c>
      <c r="AC13" s="206">
        <f t="shared" si="30"/>
        <v>2243</v>
      </c>
      <c r="AD13" s="206">
        <f t="shared" si="32"/>
        <v>224.3</v>
      </c>
      <c r="AE13" s="206">
        <f t="shared" si="11"/>
        <v>2243</v>
      </c>
      <c r="AF13" s="206">
        <f t="shared" si="33"/>
        <v>224.3</v>
      </c>
      <c r="AG13" s="206">
        <f t="shared" si="12"/>
        <v>2243</v>
      </c>
      <c r="AH13" s="206">
        <f t="shared" si="34"/>
        <v>224.3</v>
      </c>
      <c r="AI13" s="206">
        <f t="shared" si="13"/>
        <v>2243</v>
      </c>
      <c r="AJ13" s="206">
        <f t="shared" si="35"/>
        <v>224.3</v>
      </c>
      <c r="AK13" s="206">
        <f t="shared" si="14"/>
        <v>2243</v>
      </c>
      <c r="AL13" s="206">
        <f t="shared" si="36"/>
        <v>224.3</v>
      </c>
      <c r="AM13" s="206">
        <f t="shared" si="15"/>
        <v>2243</v>
      </c>
      <c r="AN13" s="35">
        <f t="shared" si="16"/>
        <v>0.80107142857142855</v>
      </c>
      <c r="AO13" s="36">
        <f t="shared" si="17"/>
        <v>15701</v>
      </c>
      <c r="AP13" s="595"/>
      <c r="AQ13" s="226">
        <f t="shared" si="37"/>
        <v>0.72487198437234346</v>
      </c>
      <c r="AR13" s="38">
        <f t="shared" si="41"/>
        <v>67391.348387096776</v>
      </c>
      <c r="AS13" s="200">
        <f t="shared" si="38"/>
        <v>0</v>
      </c>
      <c r="AT13" s="277"/>
      <c r="AU13" s="449"/>
      <c r="AV13" s="533">
        <f t="shared" si="42"/>
        <v>1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218.4</v>
      </c>
      <c r="C14" s="206">
        <f t="shared" si="18"/>
        <v>4699.1225806451612</v>
      </c>
      <c r="D14">
        <f t="shared" si="19"/>
        <v>218.4</v>
      </c>
      <c r="E14" s="206">
        <f t="shared" si="18"/>
        <v>4699.1225806451612</v>
      </c>
      <c r="F14">
        <f t="shared" si="20"/>
        <v>218.4</v>
      </c>
      <c r="G14" s="206">
        <f t="shared" si="1"/>
        <v>4699.1225806451612</v>
      </c>
      <c r="H14" s="206">
        <f t="shared" si="21"/>
        <v>218.4</v>
      </c>
      <c r="I14" s="206">
        <f t="shared" si="2"/>
        <v>4699.1225806451612</v>
      </c>
      <c r="J14" s="206">
        <f t="shared" si="22"/>
        <v>218.4</v>
      </c>
      <c r="K14" s="206">
        <f t="shared" si="3"/>
        <v>4699.1225806451612</v>
      </c>
      <c r="L14" s="206">
        <f t="shared" si="23"/>
        <v>218.4</v>
      </c>
      <c r="M14" s="206">
        <f t="shared" si="4"/>
        <v>4699.1225806451612</v>
      </c>
      <c r="N14" s="206">
        <f t="shared" si="24"/>
        <v>218.4</v>
      </c>
      <c r="O14" s="206">
        <f t="shared" si="5"/>
        <v>4699.1225806451612</v>
      </c>
      <c r="P14" s="206">
        <f t="shared" si="25"/>
        <v>218.4</v>
      </c>
      <c r="Q14" s="206">
        <f t="shared" si="6"/>
        <v>4699.1225806451612</v>
      </c>
      <c r="R14" s="206">
        <f t="shared" si="26"/>
        <v>218.4</v>
      </c>
      <c r="S14" s="206">
        <f t="shared" si="7"/>
        <v>4699.1225806451612</v>
      </c>
      <c r="T14" s="206">
        <f t="shared" si="27"/>
        <v>218.4</v>
      </c>
      <c r="U14" s="206">
        <f t="shared" si="8"/>
        <v>4699.1225806451612</v>
      </c>
      <c r="V14" s="206">
        <f t="shared" si="28"/>
        <v>218.4</v>
      </c>
      <c r="W14" s="206">
        <f t="shared" si="9"/>
        <v>4699.1225806451612</v>
      </c>
      <c r="X14" s="35">
        <f t="shared" si="10"/>
        <v>0.70451612903225813</v>
      </c>
      <c r="Y14" s="36">
        <f t="shared" si="29"/>
        <v>51690.348387096776</v>
      </c>
      <c r="Z14" s="206">
        <f>'B5'!C13</f>
        <v>224.3</v>
      </c>
      <c r="AA14" s="206">
        <f t="shared" si="30"/>
        <v>2243</v>
      </c>
      <c r="AB14" s="206">
        <f t="shared" si="31"/>
        <v>224.3</v>
      </c>
      <c r="AC14" s="206">
        <f t="shared" si="30"/>
        <v>2243</v>
      </c>
      <c r="AD14" s="206">
        <f t="shared" si="32"/>
        <v>224.3</v>
      </c>
      <c r="AE14" s="206">
        <f t="shared" si="11"/>
        <v>2243</v>
      </c>
      <c r="AF14" s="206">
        <f t="shared" si="33"/>
        <v>224.3</v>
      </c>
      <c r="AG14" s="206">
        <f t="shared" si="12"/>
        <v>2243</v>
      </c>
      <c r="AH14" s="206">
        <f t="shared" si="34"/>
        <v>224.3</v>
      </c>
      <c r="AI14" s="206">
        <f t="shared" si="13"/>
        <v>2243</v>
      </c>
      <c r="AJ14" s="206">
        <f t="shared" si="35"/>
        <v>224.3</v>
      </c>
      <c r="AK14" s="206">
        <f t="shared" si="14"/>
        <v>2243</v>
      </c>
      <c r="AL14" s="206">
        <f t="shared" si="36"/>
        <v>224.3</v>
      </c>
      <c r="AM14" s="206">
        <f t="shared" si="15"/>
        <v>2243</v>
      </c>
      <c r="AN14" s="35">
        <f t="shared" si="16"/>
        <v>0.80107142857142855</v>
      </c>
      <c r="AO14" s="36">
        <f t="shared" si="17"/>
        <v>15701</v>
      </c>
      <c r="AQ14" s="226">
        <f t="shared" si="37"/>
        <v>0.72487198437234346</v>
      </c>
      <c r="AR14" s="38">
        <f t="shared" si="41"/>
        <v>67391.348387096776</v>
      </c>
      <c r="AS14" s="200">
        <f t="shared" si="38"/>
        <v>0</v>
      </c>
      <c r="AT14" s="277"/>
      <c r="AU14" s="492"/>
      <c r="AV14" s="533">
        <f t="shared" si="42"/>
        <v>1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218.4</v>
      </c>
      <c r="C15" s="206">
        <f t="shared" si="18"/>
        <v>4699.1225806451612</v>
      </c>
      <c r="D15">
        <f t="shared" si="19"/>
        <v>218.4</v>
      </c>
      <c r="E15" s="206">
        <f t="shared" si="18"/>
        <v>4699.1225806451612</v>
      </c>
      <c r="F15">
        <f t="shared" si="20"/>
        <v>218.4</v>
      </c>
      <c r="G15" s="206">
        <f t="shared" si="1"/>
        <v>4699.1225806451612</v>
      </c>
      <c r="H15" s="206">
        <f t="shared" si="21"/>
        <v>218.4</v>
      </c>
      <c r="I15" s="206">
        <f t="shared" si="2"/>
        <v>4699.1225806451612</v>
      </c>
      <c r="J15" s="206">
        <f t="shared" si="22"/>
        <v>218.4</v>
      </c>
      <c r="K15" s="206">
        <f t="shared" si="3"/>
        <v>4699.1225806451612</v>
      </c>
      <c r="L15" s="206">
        <f t="shared" si="23"/>
        <v>218.4</v>
      </c>
      <c r="M15" s="206">
        <f t="shared" si="4"/>
        <v>4699.1225806451612</v>
      </c>
      <c r="N15" s="206">
        <f t="shared" si="24"/>
        <v>218.4</v>
      </c>
      <c r="O15" s="206">
        <f t="shared" si="5"/>
        <v>4699.1225806451612</v>
      </c>
      <c r="P15" s="206">
        <f t="shared" si="25"/>
        <v>218.4</v>
      </c>
      <c r="Q15" s="206">
        <f t="shared" si="6"/>
        <v>4699.1225806451612</v>
      </c>
      <c r="R15" s="206">
        <f t="shared" si="26"/>
        <v>218.4</v>
      </c>
      <c r="S15" s="206">
        <f t="shared" si="7"/>
        <v>4699.1225806451612</v>
      </c>
      <c r="T15" s="206">
        <f t="shared" si="27"/>
        <v>218.4</v>
      </c>
      <c r="U15" s="206">
        <f t="shared" si="8"/>
        <v>4699.1225806451612</v>
      </c>
      <c r="V15" s="206">
        <f t="shared" si="28"/>
        <v>218.4</v>
      </c>
      <c r="W15" s="206">
        <f t="shared" si="9"/>
        <v>4699.1225806451612</v>
      </c>
      <c r="X15" s="35">
        <f t="shared" si="10"/>
        <v>0.70451612903225813</v>
      </c>
      <c r="Y15" s="36">
        <f t="shared" si="29"/>
        <v>51690.348387096776</v>
      </c>
      <c r="Z15" s="206">
        <f>'B5'!C14</f>
        <v>224.3</v>
      </c>
      <c r="AA15" s="206">
        <f t="shared" si="30"/>
        <v>2243</v>
      </c>
      <c r="AB15" s="206">
        <f t="shared" si="31"/>
        <v>224.3</v>
      </c>
      <c r="AC15" s="206">
        <f t="shared" si="30"/>
        <v>2243</v>
      </c>
      <c r="AD15" s="206">
        <f t="shared" si="32"/>
        <v>224.3</v>
      </c>
      <c r="AE15" s="206">
        <f t="shared" si="11"/>
        <v>2243</v>
      </c>
      <c r="AF15" s="206">
        <f t="shared" si="33"/>
        <v>224.3</v>
      </c>
      <c r="AG15" s="206">
        <f t="shared" si="12"/>
        <v>2243</v>
      </c>
      <c r="AH15" s="206">
        <f t="shared" si="34"/>
        <v>224.3</v>
      </c>
      <c r="AI15" s="206">
        <f t="shared" si="13"/>
        <v>2243</v>
      </c>
      <c r="AJ15" s="206">
        <f t="shared" si="35"/>
        <v>224.3</v>
      </c>
      <c r="AK15" s="206">
        <f t="shared" si="14"/>
        <v>2243</v>
      </c>
      <c r="AL15" s="206">
        <f t="shared" si="36"/>
        <v>224.3</v>
      </c>
      <c r="AM15" s="206">
        <f t="shared" si="15"/>
        <v>2243</v>
      </c>
      <c r="AN15" s="35">
        <f t="shared" si="16"/>
        <v>0.80107142857142855</v>
      </c>
      <c r="AO15" s="36">
        <f t="shared" si="17"/>
        <v>15701</v>
      </c>
      <c r="AQ15" s="226">
        <f t="shared" si="37"/>
        <v>0.72487198437234346</v>
      </c>
      <c r="AR15" s="38">
        <f t="shared" si="41"/>
        <v>67391.348387096776</v>
      </c>
      <c r="AS15" s="200">
        <f>SUM(AR15-AR14-AT15)</f>
        <v>0</v>
      </c>
      <c r="AT15" s="277"/>
      <c r="AU15" s="449"/>
      <c r="AV15" s="533">
        <f>IF(AT15&gt;0,AU15,AV14)</f>
        <v>1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218.4</v>
      </c>
      <c r="C16" s="206">
        <f t="shared" si="18"/>
        <v>4699.1225806451612</v>
      </c>
      <c r="D16">
        <f t="shared" si="19"/>
        <v>218.4</v>
      </c>
      <c r="E16" s="206">
        <f t="shared" si="18"/>
        <v>4699.1225806451612</v>
      </c>
      <c r="F16">
        <f t="shared" si="20"/>
        <v>218.4</v>
      </c>
      <c r="G16" s="206">
        <f t="shared" si="1"/>
        <v>4699.1225806451612</v>
      </c>
      <c r="H16" s="206">
        <f t="shared" si="21"/>
        <v>218.4</v>
      </c>
      <c r="I16" s="206">
        <f t="shared" si="2"/>
        <v>4699.1225806451612</v>
      </c>
      <c r="J16" s="206">
        <f t="shared" si="22"/>
        <v>218.4</v>
      </c>
      <c r="K16" s="206">
        <f t="shared" si="3"/>
        <v>4699.1225806451612</v>
      </c>
      <c r="L16" s="206">
        <f t="shared" si="23"/>
        <v>218.4</v>
      </c>
      <c r="M16" s="206">
        <f t="shared" si="4"/>
        <v>4699.1225806451612</v>
      </c>
      <c r="N16" s="206">
        <f t="shared" si="24"/>
        <v>218.4</v>
      </c>
      <c r="O16" s="206">
        <f t="shared" si="5"/>
        <v>4699.1225806451612</v>
      </c>
      <c r="P16" s="206">
        <f t="shared" si="25"/>
        <v>218.4</v>
      </c>
      <c r="Q16" s="206">
        <f t="shared" si="6"/>
        <v>4699.1225806451612</v>
      </c>
      <c r="R16" s="206">
        <f t="shared" si="26"/>
        <v>218.4</v>
      </c>
      <c r="S16" s="206">
        <f t="shared" si="7"/>
        <v>4699.1225806451612</v>
      </c>
      <c r="T16" s="206">
        <f t="shared" si="27"/>
        <v>218.4</v>
      </c>
      <c r="U16" s="206">
        <f t="shared" si="8"/>
        <v>4699.1225806451612</v>
      </c>
      <c r="V16" s="206">
        <f t="shared" si="28"/>
        <v>218.4</v>
      </c>
      <c r="W16" s="206">
        <f t="shared" si="9"/>
        <v>4699.1225806451612</v>
      </c>
      <c r="X16" s="35">
        <f t="shared" si="10"/>
        <v>0.70451612903225813</v>
      </c>
      <c r="Y16" s="36">
        <f t="shared" si="29"/>
        <v>51690.348387096776</v>
      </c>
      <c r="Z16" s="206">
        <f>'B5'!C15</f>
        <v>224.3</v>
      </c>
      <c r="AA16" s="206">
        <f t="shared" si="30"/>
        <v>2243</v>
      </c>
      <c r="AB16" s="206">
        <f t="shared" si="31"/>
        <v>224.3</v>
      </c>
      <c r="AC16" s="206">
        <f t="shared" si="30"/>
        <v>2243</v>
      </c>
      <c r="AD16" s="206">
        <f t="shared" si="32"/>
        <v>224.3</v>
      </c>
      <c r="AE16" s="206">
        <f t="shared" si="11"/>
        <v>2243</v>
      </c>
      <c r="AF16" s="206">
        <f t="shared" si="33"/>
        <v>224.3</v>
      </c>
      <c r="AG16" s="206">
        <f t="shared" si="12"/>
        <v>2243</v>
      </c>
      <c r="AH16" s="206">
        <f t="shared" si="34"/>
        <v>224.3</v>
      </c>
      <c r="AI16" s="206">
        <f t="shared" si="13"/>
        <v>2243</v>
      </c>
      <c r="AJ16" s="206">
        <f t="shared" si="35"/>
        <v>224.3</v>
      </c>
      <c r="AK16" s="206">
        <f t="shared" si="14"/>
        <v>2243</v>
      </c>
      <c r="AL16" s="206">
        <f t="shared" si="36"/>
        <v>224.3</v>
      </c>
      <c r="AM16" s="206">
        <f t="shared" si="15"/>
        <v>2243</v>
      </c>
      <c r="AN16" s="35">
        <f t="shared" si="16"/>
        <v>0.80107142857142855</v>
      </c>
      <c r="AO16" s="36">
        <f t="shared" si="17"/>
        <v>15701</v>
      </c>
      <c r="AQ16" s="226">
        <f t="shared" si="37"/>
        <v>0.72487198437234346</v>
      </c>
      <c r="AR16" s="38">
        <f t="shared" si="41"/>
        <v>67391.348387096776</v>
      </c>
      <c r="AS16" s="200">
        <f>SUM(AR16-AR15-AT16)</f>
        <v>0</v>
      </c>
      <c r="AT16" s="277"/>
      <c r="AU16" s="449"/>
      <c r="AV16" s="533">
        <f>IF(AT16&gt;0,AU16,AV15)</f>
        <v>1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218.4</v>
      </c>
      <c r="C17" s="206">
        <f t="shared" si="18"/>
        <v>4699.1225806451612</v>
      </c>
      <c r="D17">
        <f t="shared" si="19"/>
        <v>218.4</v>
      </c>
      <c r="E17" s="206">
        <f t="shared" si="18"/>
        <v>4699.1225806451612</v>
      </c>
      <c r="F17">
        <f t="shared" si="20"/>
        <v>218.4</v>
      </c>
      <c r="G17" s="206">
        <f t="shared" si="1"/>
        <v>4699.1225806451612</v>
      </c>
      <c r="H17" s="206">
        <f t="shared" si="21"/>
        <v>218.4</v>
      </c>
      <c r="I17" s="206">
        <f t="shared" si="2"/>
        <v>4699.1225806451612</v>
      </c>
      <c r="J17" s="206">
        <f t="shared" si="22"/>
        <v>218.4</v>
      </c>
      <c r="K17" s="206">
        <f t="shared" si="3"/>
        <v>4699.1225806451612</v>
      </c>
      <c r="L17" s="206">
        <f t="shared" si="23"/>
        <v>218.4</v>
      </c>
      <c r="M17" s="206">
        <f t="shared" si="4"/>
        <v>4699.1225806451612</v>
      </c>
      <c r="N17" s="206">
        <f t="shared" si="24"/>
        <v>218.4</v>
      </c>
      <c r="O17" s="206">
        <f t="shared" si="5"/>
        <v>4699.1225806451612</v>
      </c>
      <c r="P17" s="206">
        <f t="shared" si="25"/>
        <v>218.4</v>
      </c>
      <c r="Q17" s="206">
        <f t="shared" si="6"/>
        <v>4699.1225806451612</v>
      </c>
      <c r="R17" s="206">
        <f t="shared" si="26"/>
        <v>218.4</v>
      </c>
      <c r="S17" s="206">
        <f t="shared" si="7"/>
        <v>4699.1225806451612</v>
      </c>
      <c r="T17" s="206">
        <f t="shared" si="27"/>
        <v>218.4</v>
      </c>
      <c r="U17" s="206">
        <f t="shared" si="8"/>
        <v>4699.1225806451612</v>
      </c>
      <c r="V17" s="206">
        <f t="shared" si="28"/>
        <v>218.4</v>
      </c>
      <c r="W17" s="206">
        <f t="shared" si="9"/>
        <v>4699.1225806451612</v>
      </c>
      <c r="X17" s="35">
        <f t="shared" si="10"/>
        <v>0.70451612903225813</v>
      </c>
      <c r="Y17" s="36">
        <f t="shared" si="29"/>
        <v>51690.348387096776</v>
      </c>
      <c r="Z17" s="206">
        <f>'B5'!C16</f>
        <v>224.3</v>
      </c>
      <c r="AA17" s="206">
        <f t="shared" si="30"/>
        <v>2243</v>
      </c>
      <c r="AB17" s="206">
        <f t="shared" si="31"/>
        <v>224.3</v>
      </c>
      <c r="AC17" s="206">
        <f t="shared" si="30"/>
        <v>2243</v>
      </c>
      <c r="AD17" s="206">
        <f t="shared" si="32"/>
        <v>224.3</v>
      </c>
      <c r="AE17" s="206">
        <f t="shared" si="11"/>
        <v>2243</v>
      </c>
      <c r="AF17" s="206">
        <f t="shared" si="33"/>
        <v>224.3</v>
      </c>
      <c r="AG17" s="206">
        <f t="shared" si="12"/>
        <v>2243</v>
      </c>
      <c r="AH17" s="206">
        <f t="shared" si="34"/>
        <v>224.3</v>
      </c>
      <c r="AI17" s="206">
        <f t="shared" si="13"/>
        <v>2243</v>
      </c>
      <c r="AJ17" s="206">
        <f t="shared" si="35"/>
        <v>224.3</v>
      </c>
      <c r="AK17" s="206">
        <f t="shared" si="14"/>
        <v>2243</v>
      </c>
      <c r="AL17" s="206">
        <f t="shared" si="36"/>
        <v>224.3</v>
      </c>
      <c r="AM17" s="206">
        <f t="shared" si="15"/>
        <v>2243</v>
      </c>
      <c r="AN17" s="35">
        <f t="shared" si="16"/>
        <v>0.80107142857142855</v>
      </c>
      <c r="AO17" s="36">
        <f>SUM(AA17+AC17+AE17+AG17+AI17+AK17+AM17)</f>
        <v>15701</v>
      </c>
      <c r="AQ17" s="226">
        <f t="shared" si="37"/>
        <v>0.72487198437234346</v>
      </c>
      <c r="AR17" s="38">
        <f t="shared" si="41"/>
        <v>67391.348387096776</v>
      </c>
      <c r="AS17" s="200">
        <f t="shared" si="38"/>
        <v>0</v>
      </c>
      <c r="AT17" s="365"/>
      <c r="AU17" s="492"/>
      <c r="AV17" s="533">
        <f t="shared" si="42"/>
        <v>1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218.4</v>
      </c>
      <c r="C18" s="206">
        <f t="shared" si="18"/>
        <v>4699.1225806451612</v>
      </c>
      <c r="D18">
        <f t="shared" si="19"/>
        <v>218.4</v>
      </c>
      <c r="E18" s="206">
        <f t="shared" si="18"/>
        <v>4699.1225806451612</v>
      </c>
      <c r="F18">
        <f t="shared" si="20"/>
        <v>218.4</v>
      </c>
      <c r="G18" s="206">
        <f t="shared" si="1"/>
        <v>4699.1225806451612</v>
      </c>
      <c r="H18" s="206">
        <f t="shared" si="21"/>
        <v>218.4</v>
      </c>
      <c r="I18" s="206">
        <f t="shared" si="2"/>
        <v>4699.1225806451612</v>
      </c>
      <c r="J18" s="206">
        <f t="shared" si="22"/>
        <v>218.4</v>
      </c>
      <c r="K18" s="206">
        <f t="shared" si="3"/>
        <v>4699.1225806451612</v>
      </c>
      <c r="L18" s="206">
        <f t="shared" si="23"/>
        <v>218.4</v>
      </c>
      <c r="M18" s="206">
        <f t="shared" si="4"/>
        <v>4699.1225806451612</v>
      </c>
      <c r="N18" s="206">
        <f t="shared" si="24"/>
        <v>218.4</v>
      </c>
      <c r="O18" s="206">
        <f t="shared" si="5"/>
        <v>4699.1225806451612</v>
      </c>
      <c r="P18" s="206">
        <f t="shared" si="25"/>
        <v>218.4</v>
      </c>
      <c r="Q18" s="206">
        <f t="shared" si="6"/>
        <v>4699.1225806451612</v>
      </c>
      <c r="R18" s="206">
        <f t="shared" si="26"/>
        <v>218.4</v>
      </c>
      <c r="S18" s="206">
        <f t="shared" si="7"/>
        <v>4699.1225806451612</v>
      </c>
      <c r="T18" s="206">
        <f t="shared" si="27"/>
        <v>218.4</v>
      </c>
      <c r="U18" s="206">
        <f t="shared" si="8"/>
        <v>4699.1225806451612</v>
      </c>
      <c r="V18" s="206">
        <f t="shared" si="28"/>
        <v>218.4</v>
      </c>
      <c r="W18" s="206">
        <f t="shared" si="9"/>
        <v>4699.1225806451612</v>
      </c>
      <c r="X18" s="35">
        <f t="shared" si="10"/>
        <v>0.70451612903225813</v>
      </c>
      <c r="Y18" s="36">
        <f t="shared" si="29"/>
        <v>51690.348387096776</v>
      </c>
      <c r="Z18" s="206">
        <f>'B5'!C17</f>
        <v>224.3</v>
      </c>
      <c r="AA18" s="206">
        <f t="shared" si="30"/>
        <v>2243</v>
      </c>
      <c r="AB18" s="206">
        <f t="shared" si="31"/>
        <v>224.3</v>
      </c>
      <c r="AC18" s="206">
        <f t="shared" si="30"/>
        <v>2243</v>
      </c>
      <c r="AD18" s="206">
        <f t="shared" si="32"/>
        <v>224.3</v>
      </c>
      <c r="AE18" s="206">
        <f t="shared" si="11"/>
        <v>2243</v>
      </c>
      <c r="AF18" s="206">
        <f t="shared" si="33"/>
        <v>224.3</v>
      </c>
      <c r="AG18" s="206">
        <f t="shared" si="12"/>
        <v>2243</v>
      </c>
      <c r="AH18" s="206">
        <f t="shared" si="34"/>
        <v>224.3</v>
      </c>
      <c r="AI18" s="206">
        <f t="shared" si="13"/>
        <v>2243</v>
      </c>
      <c r="AJ18" s="206">
        <f t="shared" si="35"/>
        <v>224.3</v>
      </c>
      <c r="AK18" s="206">
        <f t="shared" si="14"/>
        <v>2243</v>
      </c>
      <c r="AL18" s="206">
        <f t="shared" si="36"/>
        <v>224.3</v>
      </c>
      <c r="AM18" s="206">
        <f t="shared" si="15"/>
        <v>2243</v>
      </c>
      <c r="AN18" s="35">
        <f t="shared" si="16"/>
        <v>0.80107142857142855</v>
      </c>
      <c r="AO18" s="36">
        <f t="shared" si="17"/>
        <v>15701</v>
      </c>
      <c r="AQ18" s="226">
        <f t="shared" si="37"/>
        <v>0.72487198437234346</v>
      </c>
      <c r="AR18" s="38">
        <f t="shared" si="41"/>
        <v>67391.348387096776</v>
      </c>
      <c r="AS18" s="200">
        <f t="shared" si="38"/>
        <v>0</v>
      </c>
      <c r="AT18" s="277"/>
      <c r="AU18" s="449"/>
      <c r="AV18" s="533">
        <f>IF(AT18&gt;0,AU18,AV17)</f>
        <v>1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218.4</v>
      </c>
      <c r="C19" s="206">
        <f t="shared" si="18"/>
        <v>4699.1225806451612</v>
      </c>
      <c r="D19">
        <f t="shared" si="19"/>
        <v>218.4</v>
      </c>
      <c r="E19" s="206">
        <f t="shared" si="18"/>
        <v>4699.1225806451612</v>
      </c>
      <c r="F19">
        <f t="shared" si="20"/>
        <v>218.4</v>
      </c>
      <c r="G19" s="206">
        <f t="shared" si="1"/>
        <v>4699.1225806451612</v>
      </c>
      <c r="H19" s="206">
        <f t="shared" si="21"/>
        <v>218.4</v>
      </c>
      <c r="I19" s="206">
        <f t="shared" si="2"/>
        <v>4699.1225806451612</v>
      </c>
      <c r="J19" s="206">
        <f t="shared" si="22"/>
        <v>218.4</v>
      </c>
      <c r="K19" s="206">
        <f t="shared" si="3"/>
        <v>4699.1225806451612</v>
      </c>
      <c r="L19" s="206">
        <f t="shared" si="23"/>
        <v>218.4</v>
      </c>
      <c r="M19" s="206">
        <f t="shared" si="4"/>
        <v>4699.1225806451612</v>
      </c>
      <c r="N19" s="206">
        <f t="shared" si="24"/>
        <v>218.4</v>
      </c>
      <c r="O19" s="206">
        <f t="shared" si="5"/>
        <v>4699.1225806451612</v>
      </c>
      <c r="P19" s="206">
        <f t="shared" si="25"/>
        <v>218.4</v>
      </c>
      <c r="Q19" s="206">
        <f t="shared" si="6"/>
        <v>4699.1225806451612</v>
      </c>
      <c r="R19" s="206">
        <f t="shared" si="26"/>
        <v>218.4</v>
      </c>
      <c r="S19" s="206">
        <f t="shared" si="7"/>
        <v>4699.1225806451612</v>
      </c>
      <c r="T19" s="206">
        <f t="shared" si="27"/>
        <v>218.4</v>
      </c>
      <c r="U19" s="206">
        <f t="shared" si="8"/>
        <v>4699.1225806451612</v>
      </c>
      <c r="V19" s="206">
        <f t="shared" si="28"/>
        <v>218.4</v>
      </c>
      <c r="W19" s="206">
        <f t="shared" si="9"/>
        <v>4699.1225806451612</v>
      </c>
      <c r="X19" s="35">
        <f t="shared" si="10"/>
        <v>0.70451612903225813</v>
      </c>
      <c r="Y19" s="36">
        <f t="shared" si="29"/>
        <v>51690.348387096776</v>
      </c>
      <c r="Z19" s="206">
        <f>'B5'!C18</f>
        <v>224.3</v>
      </c>
      <c r="AA19" s="206">
        <f t="shared" si="30"/>
        <v>2243</v>
      </c>
      <c r="AB19" s="206">
        <f t="shared" si="31"/>
        <v>224.3</v>
      </c>
      <c r="AC19" s="206">
        <f t="shared" si="30"/>
        <v>2243</v>
      </c>
      <c r="AD19" s="206">
        <f t="shared" si="32"/>
        <v>224.3</v>
      </c>
      <c r="AE19" s="206">
        <f t="shared" si="11"/>
        <v>2243</v>
      </c>
      <c r="AF19" s="206">
        <f t="shared" si="33"/>
        <v>224.3</v>
      </c>
      <c r="AG19" s="206">
        <f t="shared" si="12"/>
        <v>2243</v>
      </c>
      <c r="AH19" s="206">
        <f t="shared" si="34"/>
        <v>224.3</v>
      </c>
      <c r="AI19" s="206">
        <f t="shared" si="13"/>
        <v>2243</v>
      </c>
      <c r="AJ19" s="206">
        <f t="shared" si="35"/>
        <v>224.3</v>
      </c>
      <c r="AK19" s="206">
        <f t="shared" si="14"/>
        <v>2243</v>
      </c>
      <c r="AL19" s="206">
        <f t="shared" si="36"/>
        <v>224.3</v>
      </c>
      <c r="AM19" s="206">
        <f t="shared" si="15"/>
        <v>2243</v>
      </c>
      <c r="AN19" s="35">
        <f t="shared" si="16"/>
        <v>0.80107142857142855</v>
      </c>
      <c r="AO19" s="36">
        <f t="shared" si="17"/>
        <v>15701</v>
      </c>
      <c r="AQ19" s="226">
        <f t="shared" si="37"/>
        <v>0.72487198437234346</v>
      </c>
      <c r="AR19" s="38">
        <f t="shared" si="41"/>
        <v>67391.348387096776</v>
      </c>
      <c r="AS19" s="200">
        <f t="shared" si="38"/>
        <v>0</v>
      </c>
      <c r="AT19" s="277"/>
      <c r="AU19" s="449"/>
      <c r="AV19" s="533">
        <f t="shared" si="42"/>
        <v>1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218.4</v>
      </c>
      <c r="C20" s="206">
        <f t="shared" si="18"/>
        <v>4699.1225806451612</v>
      </c>
      <c r="D20">
        <f t="shared" si="19"/>
        <v>218.4</v>
      </c>
      <c r="E20" s="206">
        <f t="shared" si="18"/>
        <v>4699.1225806451612</v>
      </c>
      <c r="F20">
        <f t="shared" si="20"/>
        <v>218.4</v>
      </c>
      <c r="G20" s="206">
        <f t="shared" si="1"/>
        <v>4699.1225806451612</v>
      </c>
      <c r="H20" s="206">
        <f t="shared" si="21"/>
        <v>218.4</v>
      </c>
      <c r="I20" s="206">
        <f t="shared" si="2"/>
        <v>4699.1225806451612</v>
      </c>
      <c r="J20" s="206">
        <f t="shared" si="22"/>
        <v>218.4</v>
      </c>
      <c r="K20" s="206">
        <f t="shared" si="3"/>
        <v>4699.1225806451612</v>
      </c>
      <c r="L20" s="206">
        <f t="shared" si="23"/>
        <v>218.4</v>
      </c>
      <c r="M20" s="206">
        <f t="shared" si="4"/>
        <v>4699.1225806451612</v>
      </c>
      <c r="N20" s="206">
        <f t="shared" si="24"/>
        <v>218.4</v>
      </c>
      <c r="O20" s="206">
        <f t="shared" si="5"/>
        <v>4699.1225806451612</v>
      </c>
      <c r="P20" s="206">
        <f t="shared" si="25"/>
        <v>218.4</v>
      </c>
      <c r="Q20" s="206">
        <f t="shared" si="6"/>
        <v>4699.1225806451612</v>
      </c>
      <c r="R20" s="206">
        <f t="shared" si="26"/>
        <v>218.4</v>
      </c>
      <c r="S20" s="206">
        <f t="shared" si="7"/>
        <v>4699.1225806451612</v>
      </c>
      <c r="T20" s="206">
        <f t="shared" si="27"/>
        <v>218.4</v>
      </c>
      <c r="U20" s="206">
        <f t="shared" si="8"/>
        <v>4699.1225806451612</v>
      </c>
      <c r="V20" s="206">
        <f t="shared" si="28"/>
        <v>218.4</v>
      </c>
      <c r="W20" s="206">
        <f t="shared" si="9"/>
        <v>4699.1225806451612</v>
      </c>
      <c r="X20" s="35">
        <f t="shared" si="10"/>
        <v>0.70451612903225813</v>
      </c>
      <c r="Y20" s="36">
        <f t="shared" si="29"/>
        <v>51690.348387096776</v>
      </c>
      <c r="Z20" s="206">
        <f>'B5'!C19</f>
        <v>224.3</v>
      </c>
      <c r="AA20" s="206">
        <f t="shared" si="30"/>
        <v>2243</v>
      </c>
      <c r="AB20" s="206">
        <f t="shared" si="31"/>
        <v>224.3</v>
      </c>
      <c r="AC20" s="206">
        <f t="shared" si="30"/>
        <v>2243</v>
      </c>
      <c r="AD20" s="206">
        <f t="shared" si="32"/>
        <v>224.3</v>
      </c>
      <c r="AE20" s="206">
        <f t="shared" si="11"/>
        <v>2243</v>
      </c>
      <c r="AF20" s="206">
        <f t="shared" si="33"/>
        <v>224.3</v>
      </c>
      <c r="AG20" s="206">
        <f t="shared" si="12"/>
        <v>2243</v>
      </c>
      <c r="AH20" s="206">
        <f t="shared" si="34"/>
        <v>224.3</v>
      </c>
      <c r="AI20" s="206">
        <f t="shared" si="13"/>
        <v>2243</v>
      </c>
      <c r="AJ20" s="206">
        <f t="shared" si="35"/>
        <v>224.3</v>
      </c>
      <c r="AK20" s="206">
        <f t="shared" si="14"/>
        <v>2243</v>
      </c>
      <c r="AL20" s="206">
        <f t="shared" si="36"/>
        <v>224.3</v>
      </c>
      <c r="AM20" s="206">
        <f t="shared" si="15"/>
        <v>2243</v>
      </c>
      <c r="AN20" s="35">
        <f t="shared" si="16"/>
        <v>0.80107142857142855</v>
      </c>
      <c r="AO20" s="36">
        <f t="shared" si="17"/>
        <v>15701</v>
      </c>
      <c r="AQ20" s="226">
        <f t="shared" si="37"/>
        <v>0.72487198437234346</v>
      </c>
      <c r="AR20" s="38">
        <f t="shared" si="41"/>
        <v>67391.348387096776</v>
      </c>
      <c r="AS20" s="200">
        <f t="shared" si="38"/>
        <v>0</v>
      </c>
      <c r="AT20" s="277"/>
      <c r="AU20" s="449"/>
      <c r="AV20" s="533">
        <f t="shared" si="42"/>
        <v>1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218.4</v>
      </c>
      <c r="C21" s="206">
        <f t="shared" si="18"/>
        <v>4699.1225806451612</v>
      </c>
      <c r="D21">
        <f t="shared" si="19"/>
        <v>218.4</v>
      </c>
      <c r="E21" s="206">
        <f t="shared" si="18"/>
        <v>4699.1225806451612</v>
      </c>
      <c r="F21">
        <f t="shared" si="20"/>
        <v>218.4</v>
      </c>
      <c r="G21" s="206">
        <f t="shared" si="1"/>
        <v>4699.1225806451612</v>
      </c>
      <c r="H21" s="206">
        <f t="shared" si="21"/>
        <v>218.4</v>
      </c>
      <c r="I21" s="206">
        <f t="shared" si="2"/>
        <v>4699.1225806451612</v>
      </c>
      <c r="J21" s="206">
        <f t="shared" si="22"/>
        <v>218.4</v>
      </c>
      <c r="K21" s="206">
        <f t="shared" si="3"/>
        <v>4699.1225806451612</v>
      </c>
      <c r="L21" s="206">
        <f t="shared" si="23"/>
        <v>218.4</v>
      </c>
      <c r="M21" s="206">
        <f t="shared" si="4"/>
        <v>4699.1225806451612</v>
      </c>
      <c r="N21" s="206">
        <f t="shared" si="24"/>
        <v>218.4</v>
      </c>
      <c r="O21" s="206">
        <f t="shared" si="5"/>
        <v>4699.1225806451612</v>
      </c>
      <c r="P21" s="206">
        <f t="shared" si="25"/>
        <v>218.4</v>
      </c>
      <c r="Q21" s="206">
        <f t="shared" si="6"/>
        <v>4699.1225806451612</v>
      </c>
      <c r="R21" s="206">
        <f t="shared" si="26"/>
        <v>218.4</v>
      </c>
      <c r="S21" s="206">
        <f t="shared" si="7"/>
        <v>4699.1225806451612</v>
      </c>
      <c r="T21" s="206">
        <f t="shared" si="27"/>
        <v>218.4</v>
      </c>
      <c r="U21" s="206">
        <f t="shared" si="8"/>
        <v>4699.1225806451612</v>
      </c>
      <c r="V21" s="206">
        <f t="shared" si="28"/>
        <v>218.4</v>
      </c>
      <c r="W21" s="206">
        <f t="shared" si="9"/>
        <v>4699.1225806451612</v>
      </c>
      <c r="X21" s="35">
        <f t="shared" si="10"/>
        <v>0.70451612903225813</v>
      </c>
      <c r="Y21" s="36">
        <f t="shared" si="29"/>
        <v>51690.348387096776</v>
      </c>
      <c r="Z21" s="206">
        <f>'B5'!C20</f>
        <v>224.3</v>
      </c>
      <c r="AA21" s="206">
        <f t="shared" si="30"/>
        <v>2243</v>
      </c>
      <c r="AB21" s="206">
        <f t="shared" si="31"/>
        <v>224.3</v>
      </c>
      <c r="AC21" s="206">
        <f t="shared" si="30"/>
        <v>2243</v>
      </c>
      <c r="AD21" s="206">
        <f t="shared" si="32"/>
        <v>224.3</v>
      </c>
      <c r="AE21" s="206">
        <f t="shared" si="11"/>
        <v>2243</v>
      </c>
      <c r="AF21" s="206">
        <f t="shared" si="33"/>
        <v>224.3</v>
      </c>
      <c r="AG21" s="206">
        <f t="shared" si="12"/>
        <v>2243</v>
      </c>
      <c r="AH21" s="206">
        <f t="shared" si="34"/>
        <v>224.3</v>
      </c>
      <c r="AI21" s="206">
        <f t="shared" si="13"/>
        <v>2243</v>
      </c>
      <c r="AJ21" s="206">
        <f t="shared" si="35"/>
        <v>224.3</v>
      </c>
      <c r="AK21" s="206">
        <f t="shared" si="14"/>
        <v>2243</v>
      </c>
      <c r="AL21" s="206">
        <f t="shared" si="36"/>
        <v>224.3</v>
      </c>
      <c r="AM21" s="206">
        <f t="shared" si="15"/>
        <v>2243</v>
      </c>
      <c r="AN21" s="35">
        <f t="shared" si="16"/>
        <v>0.80107142857142855</v>
      </c>
      <c r="AO21" s="36">
        <f t="shared" si="17"/>
        <v>15701</v>
      </c>
      <c r="AQ21" s="226">
        <f t="shared" si="37"/>
        <v>0.72487198437234346</v>
      </c>
      <c r="AR21" s="38">
        <f t="shared" si="41"/>
        <v>67391.348387096776</v>
      </c>
      <c r="AS21" s="200">
        <f>SUM(AR21-AR20-AT21)</f>
        <v>0</v>
      </c>
      <c r="AT21" s="277"/>
      <c r="AU21" s="449"/>
      <c r="AV21" s="533">
        <f t="shared" si="42"/>
        <v>1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218.4</v>
      </c>
      <c r="C22" s="206">
        <f t="shared" si="18"/>
        <v>4699.1225806451612</v>
      </c>
      <c r="D22">
        <f t="shared" si="19"/>
        <v>218.4</v>
      </c>
      <c r="E22" s="206">
        <f t="shared" si="18"/>
        <v>4699.1225806451612</v>
      </c>
      <c r="F22">
        <f t="shared" si="20"/>
        <v>218.4</v>
      </c>
      <c r="G22" s="206">
        <f t="shared" si="1"/>
        <v>4699.1225806451612</v>
      </c>
      <c r="H22" s="206">
        <f t="shared" si="21"/>
        <v>218.4</v>
      </c>
      <c r="I22" s="206">
        <f t="shared" si="2"/>
        <v>4699.1225806451612</v>
      </c>
      <c r="J22" s="206">
        <f t="shared" si="22"/>
        <v>218.4</v>
      </c>
      <c r="K22" s="206">
        <f t="shared" si="3"/>
        <v>4699.1225806451612</v>
      </c>
      <c r="L22" s="206">
        <f t="shared" si="23"/>
        <v>218.4</v>
      </c>
      <c r="M22" s="206">
        <f t="shared" si="4"/>
        <v>4699.1225806451612</v>
      </c>
      <c r="N22" s="206">
        <f t="shared" si="24"/>
        <v>218.4</v>
      </c>
      <c r="O22" s="206">
        <f t="shared" si="5"/>
        <v>4699.1225806451612</v>
      </c>
      <c r="P22" s="206">
        <f t="shared" si="25"/>
        <v>218.4</v>
      </c>
      <c r="Q22" s="206">
        <f t="shared" si="6"/>
        <v>4699.1225806451612</v>
      </c>
      <c r="R22" s="206">
        <f t="shared" si="26"/>
        <v>218.4</v>
      </c>
      <c r="S22" s="206">
        <f t="shared" si="7"/>
        <v>4699.1225806451612</v>
      </c>
      <c r="T22" s="206">
        <f t="shared" si="27"/>
        <v>218.4</v>
      </c>
      <c r="U22" s="206">
        <f t="shared" si="8"/>
        <v>4699.1225806451612</v>
      </c>
      <c r="V22" s="206">
        <f t="shared" si="28"/>
        <v>218.4</v>
      </c>
      <c r="W22" s="206">
        <f t="shared" si="9"/>
        <v>4699.1225806451612</v>
      </c>
      <c r="X22" s="35">
        <f t="shared" si="10"/>
        <v>0.70451612903225813</v>
      </c>
      <c r="Y22" s="36">
        <f t="shared" si="29"/>
        <v>51690.348387096776</v>
      </c>
      <c r="Z22" s="206">
        <f>'B5'!C21</f>
        <v>224.3</v>
      </c>
      <c r="AA22" s="206">
        <f t="shared" si="30"/>
        <v>2243</v>
      </c>
      <c r="AB22" s="206">
        <f t="shared" si="31"/>
        <v>224.3</v>
      </c>
      <c r="AC22" s="206">
        <f t="shared" si="30"/>
        <v>2243</v>
      </c>
      <c r="AD22" s="206">
        <f t="shared" si="32"/>
        <v>224.3</v>
      </c>
      <c r="AE22" s="206">
        <f t="shared" si="11"/>
        <v>2243</v>
      </c>
      <c r="AF22" s="206">
        <f t="shared" si="33"/>
        <v>224.3</v>
      </c>
      <c r="AG22" s="206">
        <f t="shared" si="12"/>
        <v>2243</v>
      </c>
      <c r="AH22" s="206">
        <f t="shared" si="34"/>
        <v>224.3</v>
      </c>
      <c r="AI22" s="206">
        <f t="shared" si="13"/>
        <v>2243</v>
      </c>
      <c r="AJ22" s="206">
        <f t="shared" si="35"/>
        <v>224.3</v>
      </c>
      <c r="AK22" s="206">
        <f t="shared" si="14"/>
        <v>2243</v>
      </c>
      <c r="AL22" s="206">
        <f t="shared" si="36"/>
        <v>224.3</v>
      </c>
      <c r="AM22" s="206">
        <f t="shared" si="15"/>
        <v>2243</v>
      </c>
      <c r="AN22" s="35">
        <f t="shared" si="16"/>
        <v>0.80107142857142855</v>
      </c>
      <c r="AO22" s="36">
        <f t="shared" si="17"/>
        <v>15701</v>
      </c>
      <c r="AQ22" s="226">
        <f t="shared" si="37"/>
        <v>0.72487198437234346</v>
      </c>
      <c r="AR22" s="38">
        <f t="shared" si="41"/>
        <v>67391.348387096776</v>
      </c>
      <c r="AS22" s="200">
        <f t="shared" si="38"/>
        <v>0</v>
      </c>
      <c r="AT22" s="277"/>
      <c r="AU22" s="449"/>
      <c r="AV22" s="533">
        <f t="shared" si="42"/>
        <v>1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218.4</v>
      </c>
      <c r="C23" s="206">
        <f t="shared" si="18"/>
        <v>4699.1225806451612</v>
      </c>
      <c r="D23">
        <f t="shared" si="19"/>
        <v>218.4</v>
      </c>
      <c r="E23" s="206">
        <f t="shared" si="18"/>
        <v>4699.1225806451612</v>
      </c>
      <c r="F23">
        <f t="shared" si="20"/>
        <v>218.4</v>
      </c>
      <c r="G23" s="206">
        <f t="shared" si="1"/>
        <v>4699.1225806451612</v>
      </c>
      <c r="H23" s="206">
        <f t="shared" si="21"/>
        <v>218.4</v>
      </c>
      <c r="I23" s="206">
        <f t="shared" si="2"/>
        <v>4699.1225806451612</v>
      </c>
      <c r="J23" s="206">
        <f t="shared" si="22"/>
        <v>218.4</v>
      </c>
      <c r="K23" s="206">
        <f t="shared" si="3"/>
        <v>4699.1225806451612</v>
      </c>
      <c r="L23" s="206">
        <f t="shared" si="23"/>
        <v>218.4</v>
      </c>
      <c r="M23" s="206">
        <f t="shared" si="4"/>
        <v>4699.1225806451612</v>
      </c>
      <c r="N23" s="206">
        <f t="shared" si="24"/>
        <v>218.4</v>
      </c>
      <c r="O23" s="206">
        <f t="shared" si="5"/>
        <v>4699.1225806451612</v>
      </c>
      <c r="P23" s="206">
        <f t="shared" si="25"/>
        <v>218.4</v>
      </c>
      <c r="Q23" s="206">
        <f t="shared" si="6"/>
        <v>4699.1225806451612</v>
      </c>
      <c r="R23" s="206">
        <f t="shared" si="26"/>
        <v>218.4</v>
      </c>
      <c r="S23" s="206">
        <f t="shared" si="7"/>
        <v>4699.1225806451612</v>
      </c>
      <c r="T23" s="206">
        <f t="shared" si="27"/>
        <v>218.4</v>
      </c>
      <c r="U23" s="206">
        <f t="shared" si="8"/>
        <v>4699.1225806451612</v>
      </c>
      <c r="V23" s="206">
        <f t="shared" si="28"/>
        <v>218.4</v>
      </c>
      <c r="W23" s="206">
        <f t="shared" si="9"/>
        <v>4699.1225806451612</v>
      </c>
      <c r="X23" s="35">
        <f t="shared" si="10"/>
        <v>0.70451612903225813</v>
      </c>
      <c r="Y23" s="36">
        <f t="shared" si="29"/>
        <v>51690.348387096776</v>
      </c>
      <c r="Z23" s="206">
        <f>'B5'!C22</f>
        <v>224.3</v>
      </c>
      <c r="AA23" s="206">
        <f t="shared" si="30"/>
        <v>2243</v>
      </c>
      <c r="AB23" s="206">
        <f t="shared" si="31"/>
        <v>224.3</v>
      </c>
      <c r="AC23" s="206">
        <f t="shared" si="30"/>
        <v>2243</v>
      </c>
      <c r="AD23" s="206">
        <f t="shared" si="32"/>
        <v>224.3</v>
      </c>
      <c r="AE23" s="206">
        <f t="shared" si="11"/>
        <v>2243</v>
      </c>
      <c r="AF23" s="206">
        <f t="shared" si="33"/>
        <v>224.3</v>
      </c>
      <c r="AG23" s="206">
        <f t="shared" si="12"/>
        <v>2243</v>
      </c>
      <c r="AH23" s="206">
        <f t="shared" si="34"/>
        <v>224.3</v>
      </c>
      <c r="AI23" s="206">
        <f t="shared" si="13"/>
        <v>2243</v>
      </c>
      <c r="AJ23" s="206">
        <f t="shared" si="35"/>
        <v>224.3</v>
      </c>
      <c r="AK23" s="206">
        <f t="shared" si="14"/>
        <v>2243</v>
      </c>
      <c r="AL23" s="206">
        <f t="shared" si="36"/>
        <v>224.3</v>
      </c>
      <c r="AM23" s="206">
        <f t="shared" si="15"/>
        <v>2243</v>
      </c>
      <c r="AN23" s="35">
        <f t="shared" si="16"/>
        <v>0.80107142857142855</v>
      </c>
      <c r="AO23" s="36">
        <f t="shared" si="17"/>
        <v>15701</v>
      </c>
      <c r="AQ23" s="226">
        <f t="shared" si="37"/>
        <v>0.72487198437234346</v>
      </c>
      <c r="AR23" s="38">
        <f t="shared" si="41"/>
        <v>67391.348387096776</v>
      </c>
      <c r="AS23" s="200">
        <f t="shared" si="38"/>
        <v>0</v>
      </c>
      <c r="AT23" s="277"/>
      <c r="AU23" s="449"/>
      <c r="AV23" s="533">
        <f t="shared" si="42"/>
        <v>1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218.4</v>
      </c>
      <c r="C24" s="206">
        <f t="shared" si="18"/>
        <v>4699.1225806451612</v>
      </c>
      <c r="D24">
        <f t="shared" si="19"/>
        <v>218.4</v>
      </c>
      <c r="E24" s="206">
        <f t="shared" si="18"/>
        <v>4699.1225806451612</v>
      </c>
      <c r="F24">
        <f t="shared" si="20"/>
        <v>218.4</v>
      </c>
      <c r="G24" s="206">
        <f t="shared" si="1"/>
        <v>4699.1225806451612</v>
      </c>
      <c r="H24" s="206">
        <f t="shared" si="21"/>
        <v>218.4</v>
      </c>
      <c r="I24" s="206">
        <f t="shared" si="2"/>
        <v>4699.1225806451612</v>
      </c>
      <c r="J24" s="206">
        <f t="shared" si="22"/>
        <v>218.4</v>
      </c>
      <c r="K24" s="206">
        <f t="shared" si="3"/>
        <v>4699.1225806451612</v>
      </c>
      <c r="L24" s="206">
        <f t="shared" si="23"/>
        <v>218.4</v>
      </c>
      <c r="M24" s="206">
        <f t="shared" si="4"/>
        <v>4699.1225806451612</v>
      </c>
      <c r="N24" s="206">
        <f t="shared" si="24"/>
        <v>218.4</v>
      </c>
      <c r="O24" s="206">
        <f t="shared" si="5"/>
        <v>4699.1225806451612</v>
      </c>
      <c r="P24" s="206">
        <f t="shared" si="25"/>
        <v>218.4</v>
      </c>
      <c r="Q24" s="206">
        <f t="shared" si="6"/>
        <v>4699.1225806451612</v>
      </c>
      <c r="R24" s="206">
        <f t="shared" si="26"/>
        <v>218.4</v>
      </c>
      <c r="S24" s="206">
        <f t="shared" si="7"/>
        <v>4699.1225806451612</v>
      </c>
      <c r="T24" s="206">
        <f t="shared" si="27"/>
        <v>218.4</v>
      </c>
      <c r="U24" s="206">
        <f t="shared" si="8"/>
        <v>4699.1225806451612</v>
      </c>
      <c r="V24" s="206">
        <f t="shared" si="28"/>
        <v>218.4</v>
      </c>
      <c r="W24" s="206">
        <f t="shared" si="9"/>
        <v>4699.1225806451612</v>
      </c>
      <c r="X24" s="35">
        <f t="shared" si="10"/>
        <v>0.70451612903225813</v>
      </c>
      <c r="Y24" s="36">
        <f t="shared" si="29"/>
        <v>51690.348387096776</v>
      </c>
      <c r="Z24" s="206">
        <f>'B5'!C23</f>
        <v>224.3</v>
      </c>
      <c r="AA24" s="206">
        <f t="shared" si="30"/>
        <v>2243</v>
      </c>
      <c r="AB24" s="206">
        <f t="shared" si="31"/>
        <v>224.3</v>
      </c>
      <c r="AC24" s="206">
        <f t="shared" si="30"/>
        <v>2243</v>
      </c>
      <c r="AD24" s="206">
        <f t="shared" si="32"/>
        <v>224.3</v>
      </c>
      <c r="AE24" s="206">
        <f t="shared" si="11"/>
        <v>2243</v>
      </c>
      <c r="AF24" s="206">
        <f t="shared" si="33"/>
        <v>224.3</v>
      </c>
      <c r="AG24" s="206">
        <f t="shared" si="12"/>
        <v>2243</v>
      </c>
      <c r="AH24" s="206">
        <f t="shared" si="34"/>
        <v>224.3</v>
      </c>
      <c r="AI24" s="206">
        <f t="shared" si="13"/>
        <v>2243</v>
      </c>
      <c r="AJ24" s="206">
        <f t="shared" si="35"/>
        <v>224.3</v>
      </c>
      <c r="AK24" s="206">
        <f t="shared" si="14"/>
        <v>2243</v>
      </c>
      <c r="AL24" s="206">
        <f t="shared" si="36"/>
        <v>224.3</v>
      </c>
      <c r="AM24" s="206">
        <f t="shared" si="15"/>
        <v>2243</v>
      </c>
      <c r="AN24" s="35">
        <f t="shared" si="16"/>
        <v>0.80107142857142855</v>
      </c>
      <c r="AO24" s="36">
        <f t="shared" si="17"/>
        <v>15701</v>
      </c>
      <c r="AQ24" s="226">
        <f t="shared" si="37"/>
        <v>0.72487198437234346</v>
      </c>
      <c r="AR24" s="38">
        <f t="shared" si="41"/>
        <v>67391.348387096776</v>
      </c>
      <c r="AS24" s="200">
        <f t="shared" si="38"/>
        <v>0</v>
      </c>
      <c r="AT24" s="277"/>
      <c r="AU24" s="449"/>
      <c r="AV24" s="533">
        <f t="shared" si="42"/>
        <v>1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218.4</v>
      </c>
      <c r="C25" s="206">
        <f t="shared" si="18"/>
        <v>4699.1225806451612</v>
      </c>
      <c r="D25">
        <f t="shared" si="19"/>
        <v>218.4</v>
      </c>
      <c r="E25" s="206">
        <f t="shared" si="18"/>
        <v>4699.1225806451612</v>
      </c>
      <c r="F25">
        <f t="shared" si="20"/>
        <v>218.4</v>
      </c>
      <c r="G25" s="206">
        <f t="shared" si="1"/>
        <v>4699.1225806451612</v>
      </c>
      <c r="H25" s="206">
        <f t="shared" si="21"/>
        <v>218.4</v>
      </c>
      <c r="I25" s="206">
        <f t="shared" si="2"/>
        <v>4699.1225806451612</v>
      </c>
      <c r="J25" s="206">
        <f t="shared" si="22"/>
        <v>218.4</v>
      </c>
      <c r="K25" s="206">
        <f t="shared" si="3"/>
        <v>4699.1225806451612</v>
      </c>
      <c r="L25" s="206">
        <f t="shared" si="23"/>
        <v>218.4</v>
      </c>
      <c r="M25" s="206">
        <f t="shared" si="4"/>
        <v>4699.1225806451612</v>
      </c>
      <c r="N25" s="206">
        <f t="shared" si="24"/>
        <v>218.4</v>
      </c>
      <c r="O25" s="206">
        <f t="shared" si="5"/>
        <v>4699.1225806451612</v>
      </c>
      <c r="P25" s="206">
        <f t="shared" si="25"/>
        <v>218.4</v>
      </c>
      <c r="Q25" s="206">
        <f t="shared" si="6"/>
        <v>4699.1225806451612</v>
      </c>
      <c r="R25" s="206">
        <f t="shared" si="26"/>
        <v>218.4</v>
      </c>
      <c r="S25" s="206">
        <f t="shared" si="7"/>
        <v>4699.1225806451612</v>
      </c>
      <c r="T25" s="206">
        <f t="shared" si="27"/>
        <v>218.4</v>
      </c>
      <c r="U25" s="206">
        <f t="shared" si="8"/>
        <v>4699.1225806451612</v>
      </c>
      <c r="V25" s="206">
        <f t="shared" si="28"/>
        <v>218.4</v>
      </c>
      <c r="W25" s="206">
        <f t="shared" si="9"/>
        <v>4699.1225806451612</v>
      </c>
      <c r="X25" s="35">
        <f t="shared" si="10"/>
        <v>0.70451612903225813</v>
      </c>
      <c r="Y25" s="36">
        <f t="shared" si="29"/>
        <v>51690.348387096776</v>
      </c>
      <c r="Z25" s="206">
        <f>'B5'!C24</f>
        <v>224.3</v>
      </c>
      <c r="AA25" s="206">
        <f t="shared" si="30"/>
        <v>2243</v>
      </c>
      <c r="AB25" s="206">
        <f t="shared" si="31"/>
        <v>224.3</v>
      </c>
      <c r="AC25" s="206">
        <f t="shared" si="30"/>
        <v>2243</v>
      </c>
      <c r="AD25" s="206">
        <f t="shared" si="32"/>
        <v>224.3</v>
      </c>
      <c r="AE25" s="206">
        <f t="shared" si="11"/>
        <v>2243</v>
      </c>
      <c r="AF25" s="206">
        <f t="shared" si="33"/>
        <v>224.3</v>
      </c>
      <c r="AG25" s="206">
        <f t="shared" si="12"/>
        <v>2243</v>
      </c>
      <c r="AH25" s="206">
        <f t="shared" si="34"/>
        <v>224.3</v>
      </c>
      <c r="AI25" s="206">
        <f t="shared" si="13"/>
        <v>2243</v>
      </c>
      <c r="AJ25" s="206">
        <f t="shared" si="35"/>
        <v>224.3</v>
      </c>
      <c r="AK25" s="206">
        <f t="shared" si="14"/>
        <v>2243</v>
      </c>
      <c r="AL25" s="206">
        <f t="shared" si="36"/>
        <v>224.3</v>
      </c>
      <c r="AM25" s="206">
        <f t="shared" si="15"/>
        <v>2243</v>
      </c>
      <c r="AN25" s="35">
        <f t="shared" si="16"/>
        <v>0.80107142857142855</v>
      </c>
      <c r="AO25" s="36">
        <f t="shared" si="17"/>
        <v>15701</v>
      </c>
      <c r="AQ25" s="226">
        <f t="shared" si="37"/>
        <v>0.72487198437234346</v>
      </c>
      <c r="AR25" s="38">
        <f t="shared" si="41"/>
        <v>67391.348387096776</v>
      </c>
      <c r="AS25" s="200">
        <f t="shared" si="38"/>
        <v>0</v>
      </c>
      <c r="AT25" s="277"/>
      <c r="AU25" s="449"/>
      <c r="AV25" s="533">
        <f t="shared" si="42"/>
        <v>1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218.4</v>
      </c>
      <c r="C26" s="206">
        <f t="shared" si="18"/>
        <v>4699.1225806451612</v>
      </c>
      <c r="D26">
        <f t="shared" si="19"/>
        <v>218.4</v>
      </c>
      <c r="E26" s="206">
        <f t="shared" si="18"/>
        <v>4699.1225806451612</v>
      </c>
      <c r="F26">
        <f t="shared" si="20"/>
        <v>218.4</v>
      </c>
      <c r="G26" s="206">
        <f t="shared" si="1"/>
        <v>4699.1225806451612</v>
      </c>
      <c r="H26" s="206">
        <f t="shared" si="21"/>
        <v>218.4</v>
      </c>
      <c r="I26" s="206">
        <f t="shared" si="2"/>
        <v>4699.1225806451612</v>
      </c>
      <c r="J26" s="206">
        <f t="shared" si="22"/>
        <v>218.4</v>
      </c>
      <c r="K26" s="206">
        <f t="shared" si="3"/>
        <v>4699.1225806451612</v>
      </c>
      <c r="L26" s="206">
        <f t="shared" si="23"/>
        <v>218.4</v>
      </c>
      <c r="M26" s="206">
        <f t="shared" si="4"/>
        <v>4699.1225806451612</v>
      </c>
      <c r="N26" s="206">
        <f t="shared" si="24"/>
        <v>218.4</v>
      </c>
      <c r="O26" s="206">
        <f t="shared" si="5"/>
        <v>4699.1225806451612</v>
      </c>
      <c r="P26" s="206">
        <f t="shared" si="25"/>
        <v>218.4</v>
      </c>
      <c r="Q26" s="206">
        <f t="shared" si="6"/>
        <v>4699.1225806451612</v>
      </c>
      <c r="R26" s="206">
        <f t="shared" si="26"/>
        <v>218.4</v>
      </c>
      <c r="S26" s="206">
        <f t="shared" si="7"/>
        <v>4699.1225806451612</v>
      </c>
      <c r="T26" s="206">
        <f t="shared" si="27"/>
        <v>218.4</v>
      </c>
      <c r="U26" s="206">
        <f t="shared" si="8"/>
        <v>4699.1225806451612</v>
      </c>
      <c r="V26" s="206">
        <f t="shared" si="28"/>
        <v>218.4</v>
      </c>
      <c r="W26" s="206">
        <f t="shared" si="9"/>
        <v>4699.1225806451612</v>
      </c>
      <c r="X26" s="35">
        <f t="shared" si="10"/>
        <v>0.70451612903225813</v>
      </c>
      <c r="Y26" s="36">
        <f t="shared" si="29"/>
        <v>51690.348387096776</v>
      </c>
      <c r="Z26" s="206">
        <f>'B5'!C25</f>
        <v>224.3</v>
      </c>
      <c r="AA26" s="206">
        <f t="shared" si="30"/>
        <v>2243</v>
      </c>
      <c r="AB26" s="206">
        <f t="shared" si="31"/>
        <v>224.3</v>
      </c>
      <c r="AC26" s="206">
        <f t="shared" si="30"/>
        <v>2243</v>
      </c>
      <c r="AD26" s="206">
        <f t="shared" si="32"/>
        <v>224.3</v>
      </c>
      <c r="AE26" s="206">
        <f t="shared" si="11"/>
        <v>2243</v>
      </c>
      <c r="AF26" s="206">
        <f t="shared" si="33"/>
        <v>224.3</v>
      </c>
      <c r="AG26" s="206">
        <f t="shared" si="12"/>
        <v>2243</v>
      </c>
      <c r="AH26" s="206">
        <f t="shared" si="34"/>
        <v>224.3</v>
      </c>
      <c r="AI26" s="206">
        <f t="shared" si="13"/>
        <v>2243</v>
      </c>
      <c r="AJ26" s="206">
        <f t="shared" si="35"/>
        <v>224.3</v>
      </c>
      <c r="AK26" s="206">
        <f t="shared" si="14"/>
        <v>2243</v>
      </c>
      <c r="AL26" s="206">
        <f t="shared" si="36"/>
        <v>224.3</v>
      </c>
      <c r="AM26" s="206">
        <f t="shared" si="15"/>
        <v>2243</v>
      </c>
      <c r="AN26" s="35">
        <f t="shared" si="16"/>
        <v>0.80107142857142855</v>
      </c>
      <c r="AO26" s="36">
        <f t="shared" si="17"/>
        <v>15701</v>
      </c>
      <c r="AQ26" s="226">
        <f t="shared" si="37"/>
        <v>0.72487198437234346</v>
      </c>
      <c r="AR26" s="38">
        <f t="shared" si="41"/>
        <v>67391.348387096776</v>
      </c>
      <c r="AS26" s="200">
        <f t="shared" si="38"/>
        <v>0</v>
      </c>
      <c r="AT26" s="277"/>
      <c r="AU26" s="449"/>
      <c r="AV26" s="533">
        <f t="shared" si="42"/>
        <v>1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218.4</v>
      </c>
      <c r="C27" s="206">
        <f t="shared" si="18"/>
        <v>4699.1225806451612</v>
      </c>
      <c r="D27">
        <f t="shared" si="19"/>
        <v>218.4</v>
      </c>
      <c r="E27" s="206">
        <f t="shared" si="18"/>
        <v>4699.1225806451612</v>
      </c>
      <c r="F27">
        <f t="shared" si="20"/>
        <v>218.4</v>
      </c>
      <c r="G27" s="206">
        <f t="shared" si="1"/>
        <v>4699.1225806451612</v>
      </c>
      <c r="H27" s="206">
        <f t="shared" si="21"/>
        <v>218.4</v>
      </c>
      <c r="I27" s="206">
        <f t="shared" si="2"/>
        <v>4699.1225806451612</v>
      </c>
      <c r="J27" s="206">
        <f t="shared" si="22"/>
        <v>218.4</v>
      </c>
      <c r="K27" s="206">
        <f t="shared" si="3"/>
        <v>4699.1225806451612</v>
      </c>
      <c r="L27" s="206">
        <f t="shared" si="23"/>
        <v>218.4</v>
      </c>
      <c r="M27" s="206">
        <f t="shared" si="4"/>
        <v>4699.1225806451612</v>
      </c>
      <c r="N27" s="206">
        <f t="shared" si="24"/>
        <v>218.4</v>
      </c>
      <c r="O27" s="206">
        <f t="shared" si="5"/>
        <v>4699.1225806451612</v>
      </c>
      <c r="P27" s="206">
        <f t="shared" si="25"/>
        <v>218.4</v>
      </c>
      <c r="Q27" s="206">
        <f t="shared" si="6"/>
        <v>4699.1225806451612</v>
      </c>
      <c r="R27" s="206">
        <f t="shared" si="26"/>
        <v>218.4</v>
      </c>
      <c r="S27" s="206">
        <f t="shared" si="7"/>
        <v>4699.1225806451612</v>
      </c>
      <c r="T27" s="206">
        <f t="shared" si="27"/>
        <v>218.4</v>
      </c>
      <c r="U27" s="206">
        <f t="shared" si="8"/>
        <v>4699.1225806451612</v>
      </c>
      <c r="V27" s="206">
        <f t="shared" si="28"/>
        <v>218.4</v>
      </c>
      <c r="W27" s="206">
        <f t="shared" si="9"/>
        <v>4699.1225806451612</v>
      </c>
      <c r="X27" s="35">
        <f t="shared" si="10"/>
        <v>0.70451612903225813</v>
      </c>
      <c r="Y27" s="36">
        <f t="shared" si="29"/>
        <v>51690.348387096776</v>
      </c>
      <c r="Z27" s="206">
        <f>'B5'!C26</f>
        <v>224.3</v>
      </c>
      <c r="AA27" s="206">
        <f t="shared" si="30"/>
        <v>2243</v>
      </c>
      <c r="AB27" s="206">
        <f t="shared" si="31"/>
        <v>224.3</v>
      </c>
      <c r="AC27" s="206">
        <f t="shared" si="30"/>
        <v>2243</v>
      </c>
      <c r="AD27" s="206">
        <f t="shared" si="32"/>
        <v>224.3</v>
      </c>
      <c r="AE27" s="206">
        <f t="shared" si="11"/>
        <v>2243</v>
      </c>
      <c r="AF27" s="206">
        <f t="shared" si="33"/>
        <v>224.3</v>
      </c>
      <c r="AG27" s="206">
        <f t="shared" si="12"/>
        <v>2243</v>
      </c>
      <c r="AH27" s="206">
        <f t="shared" si="34"/>
        <v>224.3</v>
      </c>
      <c r="AI27" s="206">
        <f t="shared" si="13"/>
        <v>2243</v>
      </c>
      <c r="AJ27" s="206">
        <f t="shared" si="35"/>
        <v>224.3</v>
      </c>
      <c r="AK27" s="206">
        <f t="shared" si="14"/>
        <v>2243</v>
      </c>
      <c r="AL27" s="206">
        <f t="shared" si="36"/>
        <v>224.3</v>
      </c>
      <c r="AM27" s="206">
        <f t="shared" si="15"/>
        <v>2243</v>
      </c>
      <c r="AN27" s="35">
        <f t="shared" si="16"/>
        <v>0.80107142857142855</v>
      </c>
      <c r="AO27" s="36">
        <f t="shared" si="17"/>
        <v>15701</v>
      </c>
      <c r="AQ27" s="226">
        <f t="shared" si="37"/>
        <v>0.72487198437234346</v>
      </c>
      <c r="AR27" s="38">
        <f t="shared" si="41"/>
        <v>67391.348387096776</v>
      </c>
      <c r="AS27" s="200">
        <f t="shared" si="38"/>
        <v>0</v>
      </c>
      <c r="AT27" s="277"/>
      <c r="AU27" s="449"/>
      <c r="AV27" s="533">
        <f t="shared" si="42"/>
        <v>1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218.4</v>
      </c>
      <c r="C28" s="206">
        <f t="shared" si="18"/>
        <v>4699.1225806451612</v>
      </c>
      <c r="D28">
        <f t="shared" si="19"/>
        <v>218.4</v>
      </c>
      <c r="E28" s="206">
        <f t="shared" si="18"/>
        <v>4699.1225806451612</v>
      </c>
      <c r="F28">
        <f t="shared" si="20"/>
        <v>218.4</v>
      </c>
      <c r="G28" s="206">
        <f t="shared" si="1"/>
        <v>4699.1225806451612</v>
      </c>
      <c r="H28" s="206">
        <f t="shared" si="21"/>
        <v>218.4</v>
      </c>
      <c r="I28" s="206">
        <f t="shared" si="2"/>
        <v>4699.1225806451612</v>
      </c>
      <c r="J28" s="206">
        <f t="shared" si="22"/>
        <v>218.4</v>
      </c>
      <c r="K28" s="206">
        <f t="shared" si="3"/>
        <v>4699.1225806451612</v>
      </c>
      <c r="L28" s="206">
        <f t="shared" si="23"/>
        <v>218.4</v>
      </c>
      <c r="M28" s="206">
        <f t="shared" si="4"/>
        <v>4699.1225806451612</v>
      </c>
      <c r="N28" s="206">
        <f t="shared" si="24"/>
        <v>218.4</v>
      </c>
      <c r="O28" s="206">
        <f t="shared" si="5"/>
        <v>4699.1225806451612</v>
      </c>
      <c r="P28" s="206">
        <f t="shared" si="25"/>
        <v>218.4</v>
      </c>
      <c r="Q28" s="206">
        <f t="shared" si="6"/>
        <v>4699.1225806451612</v>
      </c>
      <c r="R28" s="206">
        <f t="shared" si="26"/>
        <v>218.4</v>
      </c>
      <c r="S28" s="206">
        <f t="shared" si="7"/>
        <v>4699.1225806451612</v>
      </c>
      <c r="T28" s="206">
        <f t="shared" si="27"/>
        <v>218.4</v>
      </c>
      <c r="U28" s="206">
        <f t="shared" si="8"/>
        <v>4699.1225806451612</v>
      </c>
      <c r="V28" s="206">
        <f t="shared" si="28"/>
        <v>218.4</v>
      </c>
      <c r="W28" s="206">
        <f t="shared" si="9"/>
        <v>4699.1225806451612</v>
      </c>
      <c r="X28" s="35">
        <f t="shared" si="10"/>
        <v>0.70451612903225813</v>
      </c>
      <c r="Y28" s="36">
        <f t="shared" si="29"/>
        <v>51690.348387096776</v>
      </c>
      <c r="Z28" s="206">
        <f>'B5'!C27</f>
        <v>224.3</v>
      </c>
      <c r="AA28" s="206">
        <f t="shared" si="30"/>
        <v>2243</v>
      </c>
      <c r="AB28" s="206">
        <f t="shared" si="31"/>
        <v>224.3</v>
      </c>
      <c r="AC28" s="206">
        <f t="shared" si="30"/>
        <v>2243</v>
      </c>
      <c r="AD28" s="206">
        <f t="shared" si="32"/>
        <v>224.3</v>
      </c>
      <c r="AE28" s="206">
        <f t="shared" si="11"/>
        <v>2243</v>
      </c>
      <c r="AF28" s="206">
        <f t="shared" si="33"/>
        <v>224.3</v>
      </c>
      <c r="AG28" s="206">
        <f t="shared" si="12"/>
        <v>2243</v>
      </c>
      <c r="AH28" s="206">
        <f t="shared" si="34"/>
        <v>224.3</v>
      </c>
      <c r="AI28" s="206">
        <f t="shared" si="13"/>
        <v>2243</v>
      </c>
      <c r="AJ28" s="206">
        <f t="shared" si="35"/>
        <v>224.3</v>
      </c>
      <c r="AK28" s="206">
        <f t="shared" si="14"/>
        <v>2243</v>
      </c>
      <c r="AL28" s="206">
        <f t="shared" si="36"/>
        <v>224.3</v>
      </c>
      <c r="AM28" s="206">
        <f t="shared" si="15"/>
        <v>2243</v>
      </c>
      <c r="AN28" s="35">
        <f t="shared" si="16"/>
        <v>0.80107142857142855</v>
      </c>
      <c r="AO28" s="36">
        <f t="shared" si="17"/>
        <v>15701</v>
      </c>
      <c r="AQ28" s="226">
        <f t="shared" si="37"/>
        <v>0.72487198437234346</v>
      </c>
      <c r="AR28" s="38">
        <f t="shared" si="41"/>
        <v>67391.348387096776</v>
      </c>
      <c r="AS28" s="200">
        <f t="shared" si="38"/>
        <v>0</v>
      </c>
      <c r="AT28" s="365"/>
      <c r="AU28" s="449"/>
      <c r="AV28" s="533">
        <f t="shared" si="42"/>
        <v>1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218.4</v>
      </c>
      <c r="C29" s="206">
        <f t="shared" si="18"/>
        <v>4699.1225806451612</v>
      </c>
      <c r="D29">
        <f t="shared" si="19"/>
        <v>218.4</v>
      </c>
      <c r="E29" s="206">
        <f t="shared" si="18"/>
        <v>4699.1225806451612</v>
      </c>
      <c r="F29">
        <f t="shared" si="20"/>
        <v>218.4</v>
      </c>
      <c r="G29" s="206">
        <f t="shared" si="1"/>
        <v>4699.1225806451612</v>
      </c>
      <c r="H29" s="206">
        <f t="shared" si="21"/>
        <v>218.4</v>
      </c>
      <c r="I29" s="206">
        <f t="shared" si="2"/>
        <v>4699.1225806451612</v>
      </c>
      <c r="J29" s="206">
        <f t="shared" si="22"/>
        <v>218.4</v>
      </c>
      <c r="K29" s="206">
        <f t="shared" si="3"/>
        <v>4699.1225806451612</v>
      </c>
      <c r="L29" s="206">
        <f t="shared" si="23"/>
        <v>218.4</v>
      </c>
      <c r="M29" s="206">
        <f t="shared" si="4"/>
        <v>4699.1225806451612</v>
      </c>
      <c r="N29" s="206">
        <f t="shared" si="24"/>
        <v>218.4</v>
      </c>
      <c r="O29" s="206">
        <f t="shared" si="5"/>
        <v>4699.1225806451612</v>
      </c>
      <c r="P29" s="206">
        <f t="shared" si="25"/>
        <v>218.4</v>
      </c>
      <c r="Q29" s="206">
        <f t="shared" si="6"/>
        <v>4699.1225806451612</v>
      </c>
      <c r="R29" s="206">
        <f t="shared" si="26"/>
        <v>218.4</v>
      </c>
      <c r="S29" s="206">
        <f t="shared" si="7"/>
        <v>4699.1225806451612</v>
      </c>
      <c r="T29" s="206">
        <f t="shared" si="27"/>
        <v>218.4</v>
      </c>
      <c r="U29" s="206">
        <f t="shared" si="8"/>
        <v>4699.1225806451612</v>
      </c>
      <c r="V29" s="206">
        <f t="shared" si="28"/>
        <v>218.4</v>
      </c>
      <c r="W29" s="206">
        <f t="shared" si="9"/>
        <v>4699.1225806451612</v>
      </c>
      <c r="X29" s="35">
        <f t="shared" si="10"/>
        <v>0.70451612903225813</v>
      </c>
      <c r="Y29" s="36">
        <f t="shared" si="29"/>
        <v>51690.348387096776</v>
      </c>
      <c r="Z29" s="206">
        <f>'B5'!C28</f>
        <v>224.3</v>
      </c>
      <c r="AA29" s="206">
        <f t="shared" si="30"/>
        <v>2243</v>
      </c>
      <c r="AB29" s="206">
        <f t="shared" si="31"/>
        <v>224.3</v>
      </c>
      <c r="AC29" s="206">
        <f t="shared" si="30"/>
        <v>2243</v>
      </c>
      <c r="AD29" s="206">
        <f t="shared" si="32"/>
        <v>224.3</v>
      </c>
      <c r="AE29" s="206">
        <f t="shared" si="11"/>
        <v>2243</v>
      </c>
      <c r="AF29" s="206">
        <f t="shared" si="33"/>
        <v>224.3</v>
      </c>
      <c r="AG29" s="206">
        <f t="shared" si="12"/>
        <v>2243</v>
      </c>
      <c r="AH29" s="206">
        <f t="shared" si="34"/>
        <v>224.3</v>
      </c>
      <c r="AI29" s="206">
        <f t="shared" si="13"/>
        <v>2243</v>
      </c>
      <c r="AJ29" s="206">
        <f t="shared" si="35"/>
        <v>224.3</v>
      </c>
      <c r="AK29" s="206">
        <f t="shared" si="14"/>
        <v>2243</v>
      </c>
      <c r="AL29" s="206">
        <f t="shared" si="36"/>
        <v>224.3</v>
      </c>
      <c r="AM29" s="206">
        <f t="shared" si="15"/>
        <v>2243</v>
      </c>
      <c r="AN29" s="35">
        <f t="shared" si="16"/>
        <v>0.80107142857142855</v>
      </c>
      <c r="AO29" s="36">
        <f t="shared" si="17"/>
        <v>15701</v>
      </c>
      <c r="AQ29" s="226">
        <f t="shared" si="37"/>
        <v>0.72487198437234346</v>
      </c>
      <c r="AR29" s="38">
        <f t="shared" si="41"/>
        <v>67391.348387096776</v>
      </c>
      <c r="AS29" s="200">
        <f t="shared" si="38"/>
        <v>0</v>
      </c>
      <c r="AT29" s="365"/>
      <c r="AU29" s="449"/>
      <c r="AV29" s="533">
        <f t="shared" si="42"/>
        <v>1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218.4</v>
      </c>
      <c r="C30" s="206">
        <f t="shared" si="18"/>
        <v>4699.1225806451612</v>
      </c>
      <c r="D30">
        <f t="shared" ref="D30:D35" si="44">SUM(B30)</f>
        <v>218.4</v>
      </c>
      <c r="E30" s="206">
        <f t="shared" si="18"/>
        <v>4699.1225806451612</v>
      </c>
      <c r="F30">
        <f t="shared" ref="F30:F35" si="45">SUM(D30)</f>
        <v>218.4</v>
      </c>
      <c r="G30" s="206">
        <f t="shared" si="1"/>
        <v>4699.1225806451612</v>
      </c>
      <c r="H30" s="206">
        <f t="shared" ref="H30:H35" si="46">SUM(F30)</f>
        <v>218.4</v>
      </c>
      <c r="I30" s="206">
        <f t="shared" si="2"/>
        <v>4699.1225806451612</v>
      </c>
      <c r="J30" s="206">
        <f t="shared" ref="J30:J35" si="47">SUM(H30)</f>
        <v>218.4</v>
      </c>
      <c r="K30" s="206">
        <f t="shared" si="3"/>
        <v>4699.1225806451612</v>
      </c>
      <c r="L30" s="206">
        <f t="shared" ref="L30:L35" si="48">SUM(J30)</f>
        <v>218.4</v>
      </c>
      <c r="M30" s="206">
        <f t="shared" si="4"/>
        <v>4699.1225806451612</v>
      </c>
      <c r="N30" s="206">
        <f t="shared" ref="N30:N35" si="49">SUM(L30)</f>
        <v>218.4</v>
      </c>
      <c r="O30" s="206">
        <f t="shared" si="5"/>
        <v>4699.1225806451612</v>
      </c>
      <c r="P30" s="206">
        <f t="shared" ref="P30:P35" si="50">SUM(N30)</f>
        <v>218.4</v>
      </c>
      <c r="Q30" s="206">
        <f t="shared" si="6"/>
        <v>4699.1225806451612</v>
      </c>
      <c r="R30" s="206">
        <f t="shared" ref="R30:R35" si="51">SUM(P30)</f>
        <v>218.4</v>
      </c>
      <c r="S30" s="206">
        <f t="shared" si="7"/>
        <v>4699.1225806451612</v>
      </c>
      <c r="T30" s="206">
        <f t="shared" ref="T30:T35" si="52">SUM(R30)</f>
        <v>218.4</v>
      </c>
      <c r="U30" s="206">
        <f t="shared" si="8"/>
        <v>4699.1225806451612</v>
      </c>
      <c r="V30" s="206">
        <f t="shared" ref="V30:V35" si="53">SUM(T30)</f>
        <v>218.4</v>
      </c>
      <c r="W30" s="206">
        <f t="shared" si="9"/>
        <v>4699.1225806451612</v>
      </c>
      <c r="X30" s="35">
        <f t="shared" ref="X30:X35" si="54">SUM(Y30/73370)</f>
        <v>0.70451612903225813</v>
      </c>
      <c r="Y30" s="36">
        <f t="shared" ref="Y30:Y35" si="55">SUM(C30+E30+G30+I30+K30+M30+O30+Q30+S30+U30+W30)</f>
        <v>51690.348387096776</v>
      </c>
      <c r="Z30" s="206">
        <f>'B5'!C29</f>
        <v>224.3</v>
      </c>
      <c r="AA30" s="206">
        <f t="shared" si="30"/>
        <v>2243</v>
      </c>
      <c r="AB30" s="206">
        <f t="shared" ref="AB30:AB35" si="56">SUM(Z30)</f>
        <v>224.3</v>
      </c>
      <c r="AC30" s="206">
        <f t="shared" si="30"/>
        <v>2243</v>
      </c>
      <c r="AD30" s="206">
        <f t="shared" ref="AD30:AD35" si="57">SUM(AB30)</f>
        <v>224.3</v>
      </c>
      <c r="AE30" s="206">
        <f t="shared" si="11"/>
        <v>2243</v>
      </c>
      <c r="AF30" s="206">
        <f t="shared" ref="AF30:AF35" si="58">SUM(AD30)</f>
        <v>224.3</v>
      </c>
      <c r="AG30" s="206">
        <f t="shared" si="12"/>
        <v>2243</v>
      </c>
      <c r="AH30" s="206">
        <f t="shared" ref="AH30:AH35" si="59">SUM(AF30)</f>
        <v>224.3</v>
      </c>
      <c r="AI30" s="206">
        <f t="shared" si="13"/>
        <v>2243</v>
      </c>
      <c r="AJ30" s="206">
        <f t="shared" ref="AJ30:AJ35" si="60">SUM(AH30)</f>
        <v>224.3</v>
      </c>
      <c r="AK30" s="206">
        <f t="shared" si="14"/>
        <v>2243</v>
      </c>
      <c r="AL30" s="206">
        <f t="shared" ref="AL30:AL35" si="61">SUM(AJ30)</f>
        <v>224.3</v>
      </c>
      <c r="AM30" s="206">
        <f t="shared" si="15"/>
        <v>2243</v>
      </c>
      <c r="AN30" s="35">
        <f t="shared" ref="AN30:AN35" si="62">SUM(AO30/19600)</f>
        <v>0.80107142857142855</v>
      </c>
      <c r="AO30" s="36">
        <f t="shared" ref="AO30:AO35" si="63">SUM(AA30+AC30+AE30+AG30+AI30+AK30+AM30)</f>
        <v>15701</v>
      </c>
      <c r="AQ30" s="226">
        <f t="shared" si="37"/>
        <v>0.72487198437234346</v>
      </c>
      <c r="AR30" s="38">
        <f t="shared" si="41"/>
        <v>67391.348387096776</v>
      </c>
      <c r="AS30" s="200">
        <f t="shared" si="38"/>
        <v>0</v>
      </c>
      <c r="AT30" s="365"/>
      <c r="AU30" s="449"/>
      <c r="AV30" s="533">
        <f t="shared" si="42"/>
        <v>1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218.4</v>
      </c>
      <c r="C31" s="206">
        <f t="shared" si="18"/>
        <v>4699.1225806451612</v>
      </c>
      <c r="D31">
        <f t="shared" si="44"/>
        <v>218.4</v>
      </c>
      <c r="E31" s="206">
        <f t="shared" si="18"/>
        <v>4699.1225806451612</v>
      </c>
      <c r="F31">
        <f t="shared" si="45"/>
        <v>218.4</v>
      </c>
      <c r="G31" s="206">
        <f t="shared" si="1"/>
        <v>4699.1225806451612</v>
      </c>
      <c r="H31" s="206">
        <f t="shared" si="46"/>
        <v>218.4</v>
      </c>
      <c r="I31" s="206">
        <f t="shared" si="2"/>
        <v>4699.1225806451612</v>
      </c>
      <c r="J31" s="206">
        <f t="shared" si="47"/>
        <v>218.4</v>
      </c>
      <c r="K31" s="206">
        <f t="shared" si="3"/>
        <v>4699.1225806451612</v>
      </c>
      <c r="L31" s="206">
        <f t="shared" si="48"/>
        <v>218.4</v>
      </c>
      <c r="M31" s="206">
        <f t="shared" si="4"/>
        <v>4699.1225806451612</v>
      </c>
      <c r="N31" s="206">
        <f t="shared" si="49"/>
        <v>218.4</v>
      </c>
      <c r="O31" s="206">
        <f t="shared" si="5"/>
        <v>4699.1225806451612</v>
      </c>
      <c r="P31" s="206">
        <f t="shared" si="50"/>
        <v>218.4</v>
      </c>
      <c r="Q31" s="206">
        <f t="shared" si="6"/>
        <v>4699.1225806451612</v>
      </c>
      <c r="R31" s="206">
        <f t="shared" si="51"/>
        <v>218.4</v>
      </c>
      <c r="S31" s="206">
        <f t="shared" si="7"/>
        <v>4699.1225806451612</v>
      </c>
      <c r="T31" s="206">
        <f t="shared" si="52"/>
        <v>218.4</v>
      </c>
      <c r="U31" s="206">
        <f t="shared" si="8"/>
        <v>4699.1225806451612</v>
      </c>
      <c r="V31" s="206">
        <f t="shared" si="53"/>
        <v>218.4</v>
      </c>
      <c r="W31" s="206">
        <f t="shared" si="9"/>
        <v>4699.1225806451612</v>
      </c>
      <c r="X31" s="35">
        <f t="shared" si="54"/>
        <v>0.70451612903225813</v>
      </c>
      <c r="Y31" s="36">
        <f t="shared" si="55"/>
        <v>51690.348387096776</v>
      </c>
      <c r="Z31" s="206">
        <f>'B5'!C30</f>
        <v>224.3</v>
      </c>
      <c r="AA31" s="206">
        <f t="shared" si="30"/>
        <v>2243</v>
      </c>
      <c r="AB31" s="206">
        <f t="shared" si="56"/>
        <v>224.3</v>
      </c>
      <c r="AC31" s="206">
        <f t="shared" si="30"/>
        <v>2243</v>
      </c>
      <c r="AD31" s="206">
        <f t="shared" si="57"/>
        <v>224.3</v>
      </c>
      <c r="AE31" s="206">
        <f t="shared" si="11"/>
        <v>2243</v>
      </c>
      <c r="AF31" s="206">
        <f t="shared" si="58"/>
        <v>224.3</v>
      </c>
      <c r="AG31" s="206">
        <f t="shared" si="12"/>
        <v>2243</v>
      </c>
      <c r="AH31" s="206">
        <f t="shared" si="59"/>
        <v>224.3</v>
      </c>
      <c r="AI31" s="206">
        <f t="shared" si="13"/>
        <v>2243</v>
      </c>
      <c r="AJ31" s="206">
        <f t="shared" si="60"/>
        <v>224.3</v>
      </c>
      <c r="AK31" s="206">
        <f t="shared" si="14"/>
        <v>2243</v>
      </c>
      <c r="AL31" s="206">
        <f t="shared" si="61"/>
        <v>224.3</v>
      </c>
      <c r="AM31" s="206">
        <f t="shared" si="15"/>
        <v>2243</v>
      </c>
      <c r="AN31" s="35">
        <f t="shared" si="62"/>
        <v>0.80107142857142855</v>
      </c>
      <c r="AO31" s="36">
        <f t="shared" si="63"/>
        <v>15701</v>
      </c>
      <c r="AQ31" s="226">
        <f t="shared" si="37"/>
        <v>0.72487198437234346</v>
      </c>
      <c r="AR31" s="38">
        <f t="shared" si="41"/>
        <v>67391.348387096776</v>
      </c>
      <c r="AS31" s="200">
        <f>SUM(AR31-AR30-AT31)</f>
        <v>0</v>
      </c>
      <c r="AT31" s="365"/>
      <c r="AU31" s="449"/>
      <c r="AV31" s="533">
        <f t="shared" si="42"/>
        <v>1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218.4</v>
      </c>
      <c r="C32" s="206">
        <f t="shared" si="18"/>
        <v>4699.1225806451612</v>
      </c>
      <c r="D32">
        <f t="shared" si="44"/>
        <v>218.4</v>
      </c>
      <c r="E32" s="206">
        <f t="shared" si="18"/>
        <v>4699.1225806451612</v>
      </c>
      <c r="F32">
        <f t="shared" si="45"/>
        <v>218.4</v>
      </c>
      <c r="G32" s="206">
        <f t="shared" si="1"/>
        <v>4699.1225806451612</v>
      </c>
      <c r="H32" s="206">
        <f t="shared" si="46"/>
        <v>218.4</v>
      </c>
      <c r="I32" s="206">
        <f t="shared" si="2"/>
        <v>4699.1225806451612</v>
      </c>
      <c r="J32" s="206">
        <f t="shared" si="47"/>
        <v>218.4</v>
      </c>
      <c r="K32" s="206">
        <f t="shared" si="3"/>
        <v>4699.1225806451612</v>
      </c>
      <c r="L32" s="206">
        <f t="shared" si="48"/>
        <v>218.4</v>
      </c>
      <c r="M32" s="206">
        <f t="shared" si="4"/>
        <v>4699.1225806451612</v>
      </c>
      <c r="N32" s="206">
        <f t="shared" si="49"/>
        <v>218.4</v>
      </c>
      <c r="O32" s="206">
        <f t="shared" si="5"/>
        <v>4699.1225806451612</v>
      </c>
      <c r="P32" s="206">
        <f t="shared" si="50"/>
        <v>218.4</v>
      </c>
      <c r="Q32" s="206">
        <f t="shared" si="6"/>
        <v>4699.1225806451612</v>
      </c>
      <c r="R32" s="206">
        <f t="shared" si="51"/>
        <v>218.4</v>
      </c>
      <c r="S32" s="206">
        <f t="shared" si="7"/>
        <v>4699.1225806451612</v>
      </c>
      <c r="T32" s="206">
        <f t="shared" si="52"/>
        <v>218.4</v>
      </c>
      <c r="U32" s="206">
        <f t="shared" si="8"/>
        <v>4699.1225806451612</v>
      </c>
      <c r="V32" s="206">
        <f t="shared" si="53"/>
        <v>218.4</v>
      </c>
      <c r="W32" s="206">
        <f t="shared" si="9"/>
        <v>4699.1225806451612</v>
      </c>
      <c r="X32" s="35">
        <f t="shared" si="54"/>
        <v>0.70451612903225813</v>
      </c>
      <c r="Y32" s="36">
        <f t="shared" si="55"/>
        <v>51690.348387096776</v>
      </c>
      <c r="Z32" s="206">
        <f>'B5'!C31</f>
        <v>224.3</v>
      </c>
      <c r="AA32" s="206">
        <f t="shared" si="30"/>
        <v>2243</v>
      </c>
      <c r="AB32" s="206">
        <f t="shared" si="56"/>
        <v>224.3</v>
      </c>
      <c r="AC32" s="206">
        <f t="shared" si="30"/>
        <v>2243</v>
      </c>
      <c r="AD32" s="206">
        <f t="shared" si="57"/>
        <v>224.3</v>
      </c>
      <c r="AE32" s="206">
        <f t="shared" si="11"/>
        <v>2243</v>
      </c>
      <c r="AF32" s="206">
        <f t="shared" si="58"/>
        <v>224.3</v>
      </c>
      <c r="AG32" s="206">
        <f t="shared" si="12"/>
        <v>2243</v>
      </c>
      <c r="AH32" s="206">
        <f t="shared" si="59"/>
        <v>224.3</v>
      </c>
      <c r="AI32" s="206">
        <f t="shared" si="13"/>
        <v>2243</v>
      </c>
      <c r="AJ32" s="206">
        <f t="shared" si="60"/>
        <v>224.3</v>
      </c>
      <c r="AK32" s="206">
        <f t="shared" si="14"/>
        <v>2243</v>
      </c>
      <c r="AL32" s="206">
        <f t="shared" si="61"/>
        <v>224.3</v>
      </c>
      <c r="AM32" s="206">
        <f t="shared" si="15"/>
        <v>2243</v>
      </c>
      <c r="AN32" s="35">
        <f t="shared" si="62"/>
        <v>0.80107142857142855</v>
      </c>
      <c r="AO32" s="36">
        <f t="shared" si="63"/>
        <v>15701</v>
      </c>
      <c r="AQ32" s="226">
        <f t="shared" si="37"/>
        <v>0.72487198437234346</v>
      </c>
      <c r="AR32" s="38">
        <f t="shared" si="41"/>
        <v>67391.348387096776</v>
      </c>
      <c r="AS32" s="200">
        <f t="shared" si="38"/>
        <v>0</v>
      </c>
      <c r="AT32" s="365"/>
      <c r="AU32" s="449"/>
      <c r="AV32" s="533">
        <f>IF(AT32&gt;0,AU32,AV31)</f>
        <v>1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218.4</v>
      </c>
      <c r="C33" s="206">
        <f t="shared" si="18"/>
        <v>4699.1225806451612</v>
      </c>
      <c r="D33">
        <f t="shared" si="44"/>
        <v>218.4</v>
      </c>
      <c r="E33" s="206">
        <f t="shared" si="18"/>
        <v>4699.1225806451612</v>
      </c>
      <c r="F33">
        <f t="shared" si="45"/>
        <v>218.4</v>
      </c>
      <c r="G33" s="206">
        <f t="shared" si="1"/>
        <v>4699.1225806451612</v>
      </c>
      <c r="H33" s="206">
        <f t="shared" si="46"/>
        <v>218.4</v>
      </c>
      <c r="I33" s="206">
        <f t="shared" si="2"/>
        <v>4699.1225806451612</v>
      </c>
      <c r="J33" s="206">
        <f t="shared" si="47"/>
        <v>218.4</v>
      </c>
      <c r="K33" s="206">
        <f t="shared" si="3"/>
        <v>4699.1225806451612</v>
      </c>
      <c r="L33" s="206">
        <f t="shared" si="48"/>
        <v>218.4</v>
      </c>
      <c r="M33" s="206">
        <f t="shared" si="4"/>
        <v>4699.1225806451612</v>
      </c>
      <c r="N33" s="206">
        <f t="shared" si="49"/>
        <v>218.4</v>
      </c>
      <c r="O33" s="206">
        <f t="shared" si="5"/>
        <v>4699.1225806451612</v>
      </c>
      <c r="P33" s="206">
        <f t="shared" si="50"/>
        <v>218.4</v>
      </c>
      <c r="Q33" s="206">
        <f t="shared" si="6"/>
        <v>4699.1225806451612</v>
      </c>
      <c r="R33" s="206">
        <f t="shared" si="51"/>
        <v>218.4</v>
      </c>
      <c r="S33" s="206">
        <f t="shared" si="7"/>
        <v>4699.1225806451612</v>
      </c>
      <c r="T33" s="206">
        <f t="shared" si="52"/>
        <v>218.4</v>
      </c>
      <c r="U33" s="206">
        <f t="shared" si="8"/>
        <v>4699.1225806451612</v>
      </c>
      <c r="V33" s="206">
        <f t="shared" si="53"/>
        <v>218.4</v>
      </c>
      <c r="W33" s="206">
        <f t="shared" si="9"/>
        <v>4699.1225806451612</v>
      </c>
      <c r="X33" s="35">
        <f t="shared" si="54"/>
        <v>0.70451612903225813</v>
      </c>
      <c r="Y33" s="36">
        <f t="shared" si="55"/>
        <v>51690.348387096776</v>
      </c>
      <c r="Z33" s="206">
        <f>'B5'!C32</f>
        <v>224.3</v>
      </c>
      <c r="AA33" s="206">
        <f t="shared" si="30"/>
        <v>2243</v>
      </c>
      <c r="AB33" s="206">
        <f t="shared" si="56"/>
        <v>224.3</v>
      </c>
      <c r="AC33" s="206">
        <f t="shared" si="30"/>
        <v>2243</v>
      </c>
      <c r="AD33" s="206">
        <f t="shared" si="57"/>
        <v>224.3</v>
      </c>
      <c r="AE33" s="206">
        <f t="shared" si="11"/>
        <v>2243</v>
      </c>
      <c r="AF33" s="206">
        <f t="shared" si="58"/>
        <v>224.3</v>
      </c>
      <c r="AG33" s="206">
        <f t="shared" si="12"/>
        <v>2243</v>
      </c>
      <c r="AH33" s="206">
        <f t="shared" si="59"/>
        <v>224.3</v>
      </c>
      <c r="AI33" s="206">
        <f t="shared" si="13"/>
        <v>2243</v>
      </c>
      <c r="AJ33" s="206">
        <f t="shared" si="60"/>
        <v>224.3</v>
      </c>
      <c r="AK33" s="206">
        <f t="shared" si="14"/>
        <v>2243</v>
      </c>
      <c r="AL33" s="206">
        <f t="shared" si="61"/>
        <v>224.3</v>
      </c>
      <c r="AM33" s="206">
        <f t="shared" si="15"/>
        <v>2243</v>
      </c>
      <c r="AN33" s="35">
        <f t="shared" si="62"/>
        <v>0.80107142857142855</v>
      </c>
      <c r="AO33" s="36">
        <f t="shared" si="63"/>
        <v>15701</v>
      </c>
      <c r="AQ33" s="226">
        <f t="shared" si="37"/>
        <v>0.72487198437234346</v>
      </c>
      <c r="AR33" s="38">
        <f t="shared" si="41"/>
        <v>67391.348387096776</v>
      </c>
      <c r="AS33" s="200">
        <f t="shared" si="38"/>
        <v>0</v>
      </c>
      <c r="AT33" s="365"/>
      <c r="AU33" s="449"/>
      <c r="AV33" s="533">
        <f>IF(AT33&gt;0,AU33,AV32)</f>
        <v>1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218.4</v>
      </c>
      <c r="C34" s="206">
        <f t="shared" si="18"/>
        <v>4699.1225806451612</v>
      </c>
      <c r="D34">
        <f t="shared" si="44"/>
        <v>218.4</v>
      </c>
      <c r="E34" s="206">
        <f t="shared" si="18"/>
        <v>4699.1225806451612</v>
      </c>
      <c r="F34">
        <f t="shared" si="45"/>
        <v>218.4</v>
      </c>
      <c r="G34" s="206">
        <f t="shared" si="1"/>
        <v>4699.1225806451612</v>
      </c>
      <c r="H34" s="206">
        <f t="shared" si="46"/>
        <v>218.4</v>
      </c>
      <c r="I34" s="206">
        <f t="shared" si="2"/>
        <v>4699.1225806451612</v>
      </c>
      <c r="J34" s="206">
        <f t="shared" si="47"/>
        <v>218.4</v>
      </c>
      <c r="K34" s="206">
        <f t="shared" si="3"/>
        <v>4699.1225806451612</v>
      </c>
      <c r="L34" s="206">
        <f t="shared" si="48"/>
        <v>218.4</v>
      </c>
      <c r="M34" s="206">
        <f t="shared" si="4"/>
        <v>4699.1225806451612</v>
      </c>
      <c r="N34" s="206">
        <f t="shared" si="49"/>
        <v>218.4</v>
      </c>
      <c r="O34" s="206">
        <f t="shared" si="5"/>
        <v>4699.1225806451612</v>
      </c>
      <c r="P34" s="206">
        <f t="shared" si="50"/>
        <v>218.4</v>
      </c>
      <c r="Q34" s="206">
        <f t="shared" si="6"/>
        <v>4699.1225806451612</v>
      </c>
      <c r="R34" s="206">
        <f t="shared" si="51"/>
        <v>218.4</v>
      </c>
      <c r="S34" s="206">
        <f t="shared" si="7"/>
        <v>4699.1225806451612</v>
      </c>
      <c r="T34" s="206">
        <f t="shared" si="52"/>
        <v>218.4</v>
      </c>
      <c r="U34" s="206">
        <f t="shared" si="8"/>
        <v>4699.1225806451612</v>
      </c>
      <c r="V34" s="206">
        <f t="shared" si="53"/>
        <v>218.4</v>
      </c>
      <c r="W34" s="206">
        <f t="shared" si="9"/>
        <v>4699.1225806451612</v>
      </c>
      <c r="X34" s="35">
        <f t="shared" si="54"/>
        <v>0.70451612903225813</v>
      </c>
      <c r="Y34" s="36">
        <f t="shared" si="55"/>
        <v>51690.348387096776</v>
      </c>
      <c r="Z34" s="206">
        <f>'B5'!C33</f>
        <v>224.3</v>
      </c>
      <c r="AA34" s="206">
        <f t="shared" si="30"/>
        <v>2243</v>
      </c>
      <c r="AB34" s="206">
        <f t="shared" si="56"/>
        <v>224.3</v>
      </c>
      <c r="AC34" s="206">
        <f t="shared" si="30"/>
        <v>2243</v>
      </c>
      <c r="AD34" s="206">
        <f t="shared" si="57"/>
        <v>224.3</v>
      </c>
      <c r="AE34" s="206">
        <f t="shared" si="11"/>
        <v>2243</v>
      </c>
      <c r="AF34" s="206">
        <f t="shared" si="58"/>
        <v>224.3</v>
      </c>
      <c r="AG34" s="206">
        <f t="shared" si="12"/>
        <v>2243</v>
      </c>
      <c r="AH34" s="206">
        <f t="shared" si="59"/>
        <v>224.3</v>
      </c>
      <c r="AI34" s="206">
        <f t="shared" si="13"/>
        <v>2243</v>
      </c>
      <c r="AJ34" s="206">
        <f t="shared" si="60"/>
        <v>224.3</v>
      </c>
      <c r="AK34" s="206">
        <f t="shared" si="14"/>
        <v>2243</v>
      </c>
      <c r="AL34" s="206">
        <f t="shared" si="61"/>
        <v>224.3</v>
      </c>
      <c r="AM34" s="206">
        <f t="shared" si="15"/>
        <v>2243</v>
      </c>
      <c r="AN34" s="35">
        <f t="shared" si="62"/>
        <v>0.80107142857142855</v>
      </c>
      <c r="AO34" s="36">
        <f t="shared" si="63"/>
        <v>15701</v>
      </c>
      <c r="AQ34" s="226">
        <f>SUM(AR34/92970)</f>
        <v>0.72487198437234346</v>
      </c>
      <c r="AR34" s="38">
        <f t="shared" si="41"/>
        <v>67391.348387096776</v>
      </c>
      <c r="AS34" s="200">
        <f t="shared" si="38"/>
        <v>0</v>
      </c>
      <c r="AT34" s="365"/>
      <c r="AU34" s="449"/>
      <c r="AV34" s="533">
        <f t="shared" si="42"/>
        <v>1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218.4</v>
      </c>
      <c r="C35" s="206">
        <f t="shared" si="18"/>
        <v>4699.1225806451612</v>
      </c>
      <c r="D35">
        <f t="shared" si="44"/>
        <v>218.4</v>
      </c>
      <c r="E35" s="206">
        <f t="shared" si="18"/>
        <v>4699.1225806451612</v>
      </c>
      <c r="F35">
        <f t="shared" si="45"/>
        <v>218.4</v>
      </c>
      <c r="G35" s="206">
        <f t="shared" si="1"/>
        <v>4699.1225806451612</v>
      </c>
      <c r="H35" s="206">
        <f t="shared" si="46"/>
        <v>218.4</v>
      </c>
      <c r="I35" s="206">
        <f t="shared" si="2"/>
        <v>4699.1225806451612</v>
      </c>
      <c r="J35" s="206">
        <f t="shared" si="47"/>
        <v>218.4</v>
      </c>
      <c r="K35" s="206">
        <f t="shared" si="3"/>
        <v>4699.1225806451612</v>
      </c>
      <c r="L35" s="206">
        <f t="shared" si="48"/>
        <v>218.4</v>
      </c>
      <c r="M35" s="206">
        <f t="shared" si="4"/>
        <v>4699.1225806451612</v>
      </c>
      <c r="N35" s="206">
        <f t="shared" si="49"/>
        <v>218.4</v>
      </c>
      <c r="O35" s="206">
        <f t="shared" si="5"/>
        <v>4699.1225806451612</v>
      </c>
      <c r="P35" s="206">
        <f t="shared" si="50"/>
        <v>218.4</v>
      </c>
      <c r="Q35" s="206">
        <f t="shared" si="6"/>
        <v>4699.1225806451612</v>
      </c>
      <c r="R35" s="206">
        <f t="shared" si="51"/>
        <v>218.4</v>
      </c>
      <c r="S35" s="206">
        <f t="shared" si="7"/>
        <v>4699.1225806451612</v>
      </c>
      <c r="T35" s="206">
        <f t="shared" si="52"/>
        <v>218.4</v>
      </c>
      <c r="U35" s="206">
        <f t="shared" si="8"/>
        <v>4699.1225806451612</v>
      </c>
      <c r="V35" s="206">
        <f t="shared" si="53"/>
        <v>218.4</v>
      </c>
      <c r="W35" s="206">
        <f t="shared" si="9"/>
        <v>4699.1225806451612</v>
      </c>
      <c r="X35" s="35">
        <f t="shared" si="54"/>
        <v>0.70451612903225813</v>
      </c>
      <c r="Y35" s="36">
        <f t="shared" si="55"/>
        <v>51690.348387096776</v>
      </c>
      <c r="Z35" s="206">
        <f>'B5'!C34</f>
        <v>224.3</v>
      </c>
      <c r="AA35" s="206">
        <f t="shared" si="30"/>
        <v>2243</v>
      </c>
      <c r="AB35" s="206">
        <f t="shared" si="56"/>
        <v>224.3</v>
      </c>
      <c r="AC35" s="206">
        <f t="shared" si="30"/>
        <v>2243</v>
      </c>
      <c r="AD35" s="206">
        <f t="shared" si="57"/>
        <v>224.3</v>
      </c>
      <c r="AE35" s="206">
        <f t="shared" si="11"/>
        <v>2243</v>
      </c>
      <c r="AF35" s="206">
        <f t="shared" si="58"/>
        <v>224.3</v>
      </c>
      <c r="AG35" s="206">
        <f t="shared" si="12"/>
        <v>2243</v>
      </c>
      <c r="AH35" s="206">
        <f t="shared" si="59"/>
        <v>224.3</v>
      </c>
      <c r="AI35" s="206">
        <f t="shared" si="13"/>
        <v>2243</v>
      </c>
      <c r="AJ35" s="206">
        <f t="shared" si="60"/>
        <v>224.3</v>
      </c>
      <c r="AK35" s="206">
        <f t="shared" si="14"/>
        <v>2243</v>
      </c>
      <c r="AL35" s="206">
        <f t="shared" si="61"/>
        <v>224.3</v>
      </c>
      <c r="AM35" s="206">
        <f t="shared" si="15"/>
        <v>2243</v>
      </c>
      <c r="AN35" s="35">
        <f t="shared" si="62"/>
        <v>0.80107142857142855</v>
      </c>
      <c r="AO35" s="36">
        <f t="shared" si="63"/>
        <v>15701</v>
      </c>
      <c r="AQ35" s="226">
        <f>SUM(AR35/92970)</f>
        <v>0.72487198437234346</v>
      </c>
      <c r="AR35" s="38">
        <f t="shared" si="41"/>
        <v>67391.348387096776</v>
      </c>
      <c r="AS35" s="200">
        <f t="shared" si="38"/>
        <v>0</v>
      </c>
      <c r="AT35" s="365"/>
      <c r="AU35" s="449"/>
      <c r="AV35" s="533">
        <f>IF(AT35&gt;0,AU35,AV34)</f>
        <v>1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218.4</v>
      </c>
      <c r="C36" s="206">
        <f t="shared" ref="C36" si="64">B36*$B$4</f>
        <v>4699.1225806451612</v>
      </c>
      <c r="D36">
        <f t="shared" ref="D36" si="65">SUM(B36)</f>
        <v>218.4</v>
      </c>
      <c r="E36" s="206">
        <f t="shared" ref="E36" si="66">D36*$B$4</f>
        <v>4699.1225806451612</v>
      </c>
      <c r="F36">
        <f t="shared" ref="F36" si="67">SUM(D36)</f>
        <v>218.4</v>
      </c>
      <c r="G36" s="206">
        <f t="shared" ref="G36" si="68">F36*$B$4</f>
        <v>4699.1225806451612</v>
      </c>
      <c r="H36" s="206">
        <f t="shared" ref="H36" si="69">SUM(F36)</f>
        <v>218.4</v>
      </c>
      <c r="I36" s="206">
        <f t="shared" ref="I36" si="70">H36*$B$4</f>
        <v>4699.1225806451612</v>
      </c>
      <c r="J36" s="206">
        <f t="shared" ref="J36" si="71">SUM(H36)</f>
        <v>218.4</v>
      </c>
      <c r="K36" s="206">
        <f t="shared" ref="K36" si="72">J36*$B$4</f>
        <v>4699.1225806451612</v>
      </c>
      <c r="L36" s="206">
        <f t="shared" ref="L36" si="73">SUM(J36)</f>
        <v>218.4</v>
      </c>
      <c r="M36" s="206">
        <f t="shared" ref="M36" si="74">L36*$B$4</f>
        <v>4699.1225806451612</v>
      </c>
      <c r="N36" s="206">
        <f t="shared" ref="N36" si="75">SUM(L36)</f>
        <v>218.4</v>
      </c>
      <c r="O36" s="206">
        <f t="shared" ref="O36" si="76">N36*$B$4</f>
        <v>4699.1225806451612</v>
      </c>
      <c r="P36" s="206">
        <f t="shared" ref="P36" si="77">SUM(N36)</f>
        <v>218.4</v>
      </c>
      <c r="Q36" s="206">
        <f t="shared" ref="Q36" si="78">P36*$B$4</f>
        <v>4699.1225806451612</v>
      </c>
      <c r="R36" s="206">
        <f t="shared" ref="R36" si="79">SUM(P36)</f>
        <v>218.4</v>
      </c>
      <c r="S36" s="206">
        <f t="shared" ref="S36" si="80">R36*$B$4</f>
        <v>4699.1225806451612</v>
      </c>
      <c r="T36" s="206">
        <f t="shared" ref="T36" si="81">SUM(R36)</f>
        <v>218.4</v>
      </c>
      <c r="U36" s="206">
        <f t="shared" ref="U36" si="82">T36*$B$4</f>
        <v>4699.1225806451612</v>
      </c>
      <c r="V36" s="206">
        <f t="shared" ref="V36" si="83">SUM(T36)</f>
        <v>218.4</v>
      </c>
      <c r="W36" s="206">
        <f t="shared" ref="W36" si="84">V36*$B$4</f>
        <v>4699.1225806451612</v>
      </c>
      <c r="X36" s="35">
        <f t="shared" ref="X36" si="85">SUM(Y36/73370)</f>
        <v>0.70451612903225813</v>
      </c>
      <c r="Y36" s="36">
        <f t="shared" ref="Y36" si="86">SUM(C36+E36+G36+I36+K36+M36+O36+Q36+S36+U36+W36)</f>
        <v>51690.348387096776</v>
      </c>
      <c r="Z36" s="206">
        <f>'B5'!C35</f>
        <v>224.3</v>
      </c>
      <c r="AA36" s="206">
        <f t="shared" ref="AA36" si="87">SUM(Z36*$Z$4)</f>
        <v>2243</v>
      </c>
      <c r="AB36" s="206">
        <f t="shared" ref="AB36" si="88">SUM(Z36)</f>
        <v>224.3</v>
      </c>
      <c r="AC36" s="206">
        <f t="shared" ref="AC36" si="89">SUM(AB36*$Z$4)</f>
        <v>2243</v>
      </c>
      <c r="AD36" s="206">
        <f t="shared" ref="AD36" si="90">SUM(AB36)</f>
        <v>224.3</v>
      </c>
      <c r="AE36" s="206">
        <f t="shared" ref="AE36" si="91">SUM(AD36*$Z$4)</f>
        <v>2243</v>
      </c>
      <c r="AF36" s="206">
        <f t="shared" ref="AF36" si="92">SUM(AD36)</f>
        <v>224.3</v>
      </c>
      <c r="AG36" s="206">
        <f t="shared" ref="AG36" si="93">SUM(AF36*$Z$4)</f>
        <v>2243</v>
      </c>
      <c r="AH36" s="206">
        <f t="shared" ref="AH36" si="94">SUM(AF36)</f>
        <v>224.3</v>
      </c>
      <c r="AI36" s="206">
        <f t="shared" ref="AI36" si="95">SUM(AH36*$Z$4)</f>
        <v>2243</v>
      </c>
      <c r="AJ36" s="206">
        <f t="shared" ref="AJ36" si="96">SUM(AH36)</f>
        <v>224.3</v>
      </c>
      <c r="AK36" s="206">
        <f t="shared" ref="AK36" si="97">SUM(AJ36*$Z$4)</f>
        <v>2243</v>
      </c>
      <c r="AL36" s="206">
        <f t="shared" ref="AL36" si="98">SUM(AJ36)</f>
        <v>224.3</v>
      </c>
      <c r="AM36" s="206">
        <f t="shared" ref="AM36" si="99">SUM(AL36*$Z$4)</f>
        <v>2243</v>
      </c>
      <c r="AN36" s="35">
        <f t="shared" ref="AN36" si="100">SUM(AO36/19600)</f>
        <v>0.80107142857142855</v>
      </c>
      <c r="AO36" s="36">
        <f t="shared" ref="AO36" si="101">SUM(AA36+AC36+AE36+AG36+AI36+AK36+AM36)</f>
        <v>15701</v>
      </c>
      <c r="AQ36" s="226">
        <f>SUM(AR36/92970)</f>
        <v>0.72487198437234346</v>
      </c>
      <c r="AR36" s="38">
        <f t="shared" si="41"/>
        <v>67391.348387096776</v>
      </c>
      <c r="AS36" s="200">
        <f t="shared" ref="AS36" si="102">SUM(AR36-AR35-AT36)</f>
        <v>0</v>
      </c>
      <c r="AT36" s="365"/>
      <c r="AU36" s="449"/>
      <c r="AV36" s="533">
        <f>IF(AT36&gt;0,AU36,AV35)</f>
        <v>1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</v>
      </c>
      <c r="AU37">
        <f>SUM(AU6:AU35)/AS37</f>
        <v>1</v>
      </c>
      <c r="AX37" s="206">
        <f>SUM(AX6:AX35)</f>
        <v>-5447.5548387096642</v>
      </c>
      <c r="AY37" s="206">
        <f>SUM(AY6:AY35)</f>
        <v>-6255.5548387096642</v>
      </c>
    </row>
    <row r="38" spans="1:60">
      <c r="AS38" s="209"/>
      <c r="AT38">
        <f>+AT37*AU37</f>
        <v>1</v>
      </c>
    </row>
    <row r="40" spans="1:60">
      <c r="AS40" s="165">
        <f>SUM(AS6:AS35)/'EDl log'!A36</f>
        <v>-1563.888709677416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Normal="100" workbookViewId="0">
      <pane ySplit="1" topLeftCell="A2" activePane="bottomLeft" state="frozen"/>
      <selection pane="bottomLeft" activeCell="AJ6" sqref="AJ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9">
        <v>9112</v>
      </c>
      <c r="C3" s="295">
        <f>B3-B2</f>
        <v>0</v>
      </c>
      <c r="D3" s="570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70"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11653</v>
      </c>
      <c r="S3" s="295">
        <f t="shared" ref="S3:S32" si="5">R3-R2</f>
        <v>3</v>
      </c>
      <c r="T3" s="570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9">
        <v>9113</v>
      </c>
      <c r="C4" s="295">
        <f t="shared" ref="C4:C32" si="11">B4-B3</f>
        <v>1</v>
      </c>
      <c r="D4" s="570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70">
        <v>11658</v>
      </c>
      <c r="S4" s="295">
        <f t="shared" si="5"/>
        <v>5</v>
      </c>
      <c r="T4" s="570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9">
        <v>9121</v>
      </c>
      <c r="C5" s="295">
        <f t="shared" si="11"/>
        <v>8</v>
      </c>
      <c r="D5" s="570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70">
        <f t="shared" ref="J5:J33" si="22">J4</f>
        <v>10698</v>
      </c>
      <c r="K5" s="295">
        <f t="shared" si="2"/>
        <v>0</v>
      </c>
      <c r="L5" s="570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70">
        <v>11658</v>
      </c>
      <c r="S5" s="295">
        <f t="shared" si="5"/>
        <v>0</v>
      </c>
      <c r="T5" s="570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9">
        <v>9128</v>
      </c>
      <c r="C6" s="295">
        <f t="shared" si="11"/>
        <v>7</v>
      </c>
      <c r="D6" s="570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70">
        <f t="shared" si="22"/>
        <v>10698</v>
      </c>
      <c r="K6" s="295">
        <f t="shared" si="2"/>
        <v>0</v>
      </c>
      <c r="L6" s="570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70">
        <v>11685</v>
      </c>
      <c r="S6" s="295">
        <f t="shared" si="5"/>
        <v>27</v>
      </c>
      <c r="T6" s="570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34</v>
      </c>
      <c r="AA6" s="295">
        <f t="shared" si="18"/>
        <v>968</v>
      </c>
      <c r="AB6" s="295">
        <f t="shared" si="19"/>
        <v>138.28571428571428</v>
      </c>
      <c r="AC6" s="295">
        <f t="shared" si="20"/>
        <v>28.470588235294116</v>
      </c>
      <c r="AD6" s="73">
        <f>ELEC!Q6</f>
        <v>5000</v>
      </c>
      <c r="AE6" s="73">
        <f>SUM(AD6/Z6)</f>
        <v>147.05882352941177</v>
      </c>
      <c r="AF6" s="413">
        <f t="shared" si="26"/>
        <v>9.1911764705882359E-2</v>
      </c>
      <c r="AG6" s="414">
        <f>SUM(320*AF6)</f>
        <v>29.411764705882355</v>
      </c>
      <c r="AH6" s="414">
        <f t="shared" si="21"/>
        <v>-0.94117647058823906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37.850583271283199</v>
      </c>
    </row>
    <row r="7" spans="1:37" ht="15.75" thickBot="1">
      <c r="A7" s="4">
        <f>ELEC!C7</f>
        <v>44079</v>
      </c>
      <c r="B7" s="569">
        <f t="shared" ref="B7:B33" si="29">B6</f>
        <v>9128</v>
      </c>
      <c r="C7" s="295">
        <f t="shared" si="11"/>
        <v>0</v>
      </c>
      <c r="D7" s="570">
        <f t="shared" ref="D7:D33" si="30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70">
        <f t="shared" si="22"/>
        <v>10698</v>
      </c>
      <c r="K7" s="295">
        <f t="shared" si="2"/>
        <v>0</v>
      </c>
      <c r="L7" s="570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70">
        <f t="shared" ref="R7:R33" si="31">R6</f>
        <v>11685</v>
      </c>
      <c r="S7" s="295">
        <f t="shared" si="5"/>
        <v>0</v>
      </c>
      <c r="T7" s="570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0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0</v>
      </c>
      <c r="AE7" s="73" t="e">
        <f t="shared" si="25"/>
        <v>#DIV/0!</v>
      </c>
      <c r="AF7" s="413" t="e">
        <f t="shared" si="26"/>
        <v>#DIV/0!</v>
      </c>
      <c r="AG7" s="519" t="s">
        <v>405</v>
      </c>
      <c r="AH7" s="414" t="e">
        <f t="shared" si="21"/>
        <v>#VALUE!</v>
      </c>
      <c r="AI7" s="73">
        <f t="shared" si="28"/>
        <v>0</v>
      </c>
      <c r="AJ7" s="297">
        <f t="shared" si="9"/>
        <v>0.25738396624472576</v>
      </c>
      <c r="AK7" s="297" t="e">
        <f t="shared" si="10"/>
        <v>#DIV/0!</v>
      </c>
    </row>
    <row r="8" spans="1:37" ht="15.75" thickBot="1">
      <c r="A8" s="4">
        <f>ELEC!C8</f>
        <v>44080</v>
      </c>
      <c r="B8" s="569">
        <f t="shared" si="29"/>
        <v>9128</v>
      </c>
      <c r="C8" s="295">
        <f t="shared" si="11"/>
        <v>0</v>
      </c>
      <c r="D8" s="570">
        <f t="shared" si="30"/>
        <v>227869</v>
      </c>
      <c r="E8" s="295">
        <f t="shared" si="12"/>
        <v>0</v>
      </c>
      <c r="F8" s="295">
        <f t="shared" si="0"/>
        <v>0</v>
      </c>
      <c r="G8" s="199"/>
      <c r="H8" s="296">
        <f t="shared" si="13"/>
        <v>9298</v>
      </c>
      <c r="I8" s="295" t="str">
        <f t="shared" si="1"/>
        <v>ok</v>
      </c>
      <c r="J8" s="570">
        <f t="shared" si="22"/>
        <v>10698</v>
      </c>
      <c r="K8" s="295">
        <f t="shared" si="2"/>
        <v>0</v>
      </c>
      <c r="L8" s="570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70">
        <f t="shared" si="31"/>
        <v>11685</v>
      </c>
      <c r="S8" s="295">
        <f t="shared" si="5"/>
        <v>0</v>
      </c>
      <c r="T8" s="570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0</v>
      </c>
      <c r="AA8" s="295">
        <f t="shared" si="18"/>
        <v>0</v>
      </c>
      <c r="AB8" s="295">
        <f t="shared" si="19"/>
        <v>0</v>
      </c>
      <c r="AC8" s="295">
        <f t="shared" si="20"/>
        <v>0</v>
      </c>
      <c r="AD8" s="73">
        <f>ELEC!Q8</f>
        <v>0</v>
      </c>
      <c r="AE8" s="73" t="e">
        <f t="shared" si="25"/>
        <v>#DIV/0!</v>
      </c>
      <c r="AF8" s="413" t="e">
        <f t="shared" si="26"/>
        <v>#DIV/0!</v>
      </c>
      <c r="AG8" s="414" t="e">
        <f t="shared" si="27"/>
        <v>#DIV/0!</v>
      </c>
      <c r="AH8" s="414" t="e">
        <f t="shared" si="21"/>
        <v>#DIV/0!</v>
      </c>
      <c r="AI8" s="73">
        <f t="shared" si="28"/>
        <v>0</v>
      </c>
      <c r="AJ8" s="297">
        <f t="shared" si="9"/>
        <v>0.25738396624472576</v>
      </c>
      <c r="AK8" s="297" t="e">
        <f t="shared" si="10"/>
        <v>#DIV/0!</v>
      </c>
    </row>
    <row r="9" spans="1:37" ht="15.75" thickBot="1">
      <c r="A9" s="4">
        <f>ELEC!C9</f>
        <v>44081</v>
      </c>
      <c r="B9" s="569">
        <f t="shared" si="29"/>
        <v>9128</v>
      </c>
      <c r="C9" s="295">
        <f t="shared" si="11"/>
        <v>0</v>
      </c>
      <c r="D9" s="570">
        <f t="shared" si="30"/>
        <v>227869</v>
      </c>
      <c r="E9" s="295">
        <f t="shared" si="12"/>
        <v>0</v>
      </c>
      <c r="F9" s="295">
        <f t="shared" si="0"/>
        <v>0</v>
      </c>
      <c r="G9" s="199"/>
      <c r="H9" s="296">
        <f t="shared" si="13"/>
        <v>9298</v>
      </c>
      <c r="I9" s="295" t="str">
        <f t="shared" si="1"/>
        <v>ok</v>
      </c>
      <c r="J9" s="570">
        <f t="shared" si="22"/>
        <v>10698</v>
      </c>
      <c r="K9" s="295">
        <f t="shared" si="2"/>
        <v>0</v>
      </c>
      <c r="L9" s="570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70">
        <f t="shared" si="31"/>
        <v>11685</v>
      </c>
      <c r="S9" s="295">
        <f t="shared" si="5"/>
        <v>0</v>
      </c>
      <c r="T9" s="570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0</v>
      </c>
      <c r="AA9" s="295">
        <f t="shared" si="18"/>
        <v>0</v>
      </c>
      <c r="AB9" s="295">
        <f t="shared" si="19"/>
        <v>0</v>
      </c>
      <c r="AC9" s="295">
        <f t="shared" si="20"/>
        <v>0</v>
      </c>
      <c r="AD9" s="73">
        <f>ELEC!Q9</f>
        <v>0</v>
      </c>
      <c r="AE9" s="73" t="e">
        <f t="shared" si="25"/>
        <v>#DIV/0!</v>
      </c>
      <c r="AF9" s="413" t="e">
        <f t="shared" si="26"/>
        <v>#DIV/0!</v>
      </c>
      <c r="AG9" s="414" t="e">
        <f t="shared" si="27"/>
        <v>#DIV/0!</v>
      </c>
      <c r="AH9" s="414" t="e">
        <f t="shared" si="21"/>
        <v>#DIV/0!</v>
      </c>
      <c r="AI9" s="73">
        <f t="shared" si="28"/>
        <v>0</v>
      </c>
      <c r="AJ9" s="297">
        <v>0.25738396624472576</v>
      </c>
      <c r="AK9" s="297">
        <f t="shared" ref="AK9:AK16" si="32">IF(Z9&gt;0,AI9/Z9,0)</f>
        <v>0</v>
      </c>
    </row>
    <row r="10" spans="1:37" ht="15.75" thickBot="1">
      <c r="A10" s="4">
        <f>ELEC!C10</f>
        <v>44082</v>
      </c>
      <c r="B10" s="569">
        <f t="shared" si="29"/>
        <v>9128</v>
      </c>
      <c r="C10" s="295">
        <f t="shared" si="11"/>
        <v>0</v>
      </c>
      <c r="D10" s="570">
        <f t="shared" si="30"/>
        <v>227869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70">
        <f t="shared" si="22"/>
        <v>10698</v>
      </c>
      <c r="K10" s="295">
        <f t="shared" si="2"/>
        <v>0</v>
      </c>
      <c r="L10" s="570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70">
        <f t="shared" si="31"/>
        <v>11685</v>
      </c>
      <c r="S10" s="295">
        <f t="shared" si="5"/>
        <v>0</v>
      </c>
      <c r="T10" s="570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0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0</v>
      </c>
      <c r="AE10" s="73" t="e">
        <f t="shared" si="25"/>
        <v>#DIV/0!</v>
      </c>
      <c r="AF10" s="413" t="e">
        <f t="shared" si="26"/>
        <v>#DIV/0!</v>
      </c>
      <c r="AG10" s="414" t="e">
        <f t="shared" si="27"/>
        <v>#DIV/0!</v>
      </c>
      <c r="AH10" s="414" t="e">
        <f t="shared" si="21"/>
        <v>#DIV/0!</v>
      </c>
      <c r="AI10" s="73">
        <f t="shared" si="28"/>
        <v>0</v>
      </c>
      <c r="AJ10" s="297">
        <f t="shared" si="9"/>
        <v>0.25738396624472576</v>
      </c>
      <c r="AK10" s="297">
        <f t="shared" si="32"/>
        <v>0</v>
      </c>
    </row>
    <row r="11" spans="1:37" ht="15.75" thickBot="1">
      <c r="A11" s="4">
        <f>ELEC!C11</f>
        <v>44083</v>
      </c>
      <c r="B11" s="569">
        <f t="shared" si="29"/>
        <v>9128</v>
      </c>
      <c r="C11" s="295">
        <f t="shared" si="11"/>
        <v>0</v>
      </c>
      <c r="D11" s="570">
        <f t="shared" si="30"/>
        <v>227869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9298</v>
      </c>
      <c r="I11" s="295" t="str">
        <f t="shared" si="1"/>
        <v>ok</v>
      </c>
      <c r="J11" s="570">
        <f t="shared" si="22"/>
        <v>10698</v>
      </c>
      <c r="K11" s="295">
        <f t="shared" si="2"/>
        <v>0</v>
      </c>
      <c r="L11" s="570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70">
        <f t="shared" si="31"/>
        <v>11685</v>
      </c>
      <c r="S11" s="295">
        <f t="shared" si="5"/>
        <v>0</v>
      </c>
      <c r="T11" s="570">
        <f t="shared" si="24"/>
        <v>347163</v>
      </c>
      <c r="U11" s="295">
        <f t="shared" si="6"/>
        <v>0</v>
      </c>
      <c r="V11" s="295">
        <f t="shared" si="16"/>
        <v>0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0</v>
      </c>
      <c r="AA11" s="295">
        <f t="shared" si="18"/>
        <v>0</v>
      </c>
      <c r="AB11" s="295">
        <f t="shared" si="19"/>
        <v>0</v>
      </c>
      <c r="AC11" s="295">
        <f t="shared" si="20"/>
        <v>0</v>
      </c>
      <c r="AD11" s="73">
        <f>ELEC!Q11</f>
        <v>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1"/>
        <v>#DIV/0!</v>
      </c>
      <c r="AI11" s="73">
        <f t="shared" si="28"/>
        <v>0</v>
      </c>
      <c r="AJ11" s="297">
        <f t="shared" si="9"/>
        <v>0.25738396624472576</v>
      </c>
      <c r="AK11" s="297">
        <f t="shared" si="32"/>
        <v>0</v>
      </c>
    </row>
    <row r="12" spans="1:37" ht="15.75" thickBot="1">
      <c r="A12" s="4">
        <f>ELEC!C12</f>
        <v>44084</v>
      </c>
      <c r="B12" s="569">
        <f t="shared" si="29"/>
        <v>9128</v>
      </c>
      <c r="C12" s="295">
        <f t="shared" si="11"/>
        <v>0</v>
      </c>
      <c r="D12" s="570">
        <f t="shared" si="30"/>
        <v>227869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70">
        <f t="shared" si="22"/>
        <v>10698</v>
      </c>
      <c r="K12" s="295">
        <f t="shared" si="2"/>
        <v>0</v>
      </c>
      <c r="L12" s="570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570">
        <f t="shared" si="31"/>
        <v>11685</v>
      </c>
      <c r="S12" s="295">
        <f t="shared" si="5"/>
        <v>0</v>
      </c>
      <c r="T12" s="570">
        <f t="shared" si="24"/>
        <v>347163</v>
      </c>
      <c r="U12" s="295">
        <f t="shared" si="6"/>
        <v>0</v>
      </c>
      <c r="V12" s="295">
        <f t="shared" si="16"/>
        <v>0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0</v>
      </c>
      <c r="AA12" s="295">
        <f t="shared" si="18"/>
        <v>0</v>
      </c>
      <c r="AB12" s="295">
        <f t="shared" si="19"/>
        <v>0</v>
      </c>
      <c r="AC12" s="295">
        <f t="shared" si="20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1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2"/>
        <v>0</v>
      </c>
    </row>
    <row r="13" spans="1:37" ht="15.75" thickBot="1">
      <c r="A13" s="4">
        <f>ELEC!C13</f>
        <v>44085</v>
      </c>
      <c r="B13" s="569">
        <f t="shared" si="29"/>
        <v>9128</v>
      </c>
      <c r="C13" s="295">
        <f t="shared" si="11"/>
        <v>0</v>
      </c>
      <c r="D13" s="570">
        <f t="shared" si="30"/>
        <v>227869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70">
        <f t="shared" si="22"/>
        <v>10698</v>
      </c>
      <c r="K13" s="295">
        <f t="shared" si="2"/>
        <v>0</v>
      </c>
      <c r="L13" s="570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570">
        <f t="shared" si="31"/>
        <v>11685</v>
      </c>
      <c r="S13" s="295">
        <f t="shared" si="5"/>
        <v>0</v>
      </c>
      <c r="T13" s="570">
        <f t="shared" si="24"/>
        <v>347163</v>
      </c>
      <c r="U13" s="295">
        <f t="shared" si="6"/>
        <v>0</v>
      </c>
      <c r="V13" s="295">
        <f t="shared" si="16"/>
        <v>0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0</v>
      </c>
      <c r="AA13" s="295">
        <f t="shared" si="18"/>
        <v>0</v>
      </c>
      <c r="AB13" s="295">
        <f t="shared" si="19"/>
        <v>0</v>
      </c>
      <c r="AC13" s="295">
        <f t="shared" si="20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1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2"/>
        <v>0</v>
      </c>
    </row>
    <row r="14" spans="1:37" ht="15.75" thickBot="1">
      <c r="A14" s="4">
        <f>ELEC!C14</f>
        <v>44086</v>
      </c>
      <c r="B14" s="569">
        <f t="shared" si="29"/>
        <v>9128</v>
      </c>
      <c r="C14" s="295">
        <f t="shared" si="11"/>
        <v>0</v>
      </c>
      <c r="D14" s="570">
        <f t="shared" si="30"/>
        <v>227869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70">
        <f t="shared" si="22"/>
        <v>10698</v>
      </c>
      <c r="K14" s="295">
        <f t="shared" si="2"/>
        <v>0</v>
      </c>
      <c r="L14" s="570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70">
        <f t="shared" si="31"/>
        <v>11685</v>
      </c>
      <c r="S14" s="295">
        <f t="shared" si="5"/>
        <v>0</v>
      </c>
      <c r="T14" s="570">
        <f t="shared" si="24"/>
        <v>347163</v>
      </c>
      <c r="U14" s="295">
        <f t="shared" si="6"/>
        <v>0</v>
      </c>
      <c r="V14" s="295">
        <f t="shared" si="16"/>
        <v>0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0</v>
      </c>
      <c r="AA14" s="295">
        <f t="shared" si="18"/>
        <v>0</v>
      </c>
      <c r="AB14" s="295">
        <f t="shared" si="19"/>
        <v>0</v>
      </c>
      <c r="AC14" s="295">
        <f t="shared" si="20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1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2"/>
        <v>0</v>
      </c>
    </row>
    <row r="15" spans="1:37" ht="15.75" thickBot="1">
      <c r="A15" s="4">
        <f>ELEC!C15</f>
        <v>44087</v>
      </c>
      <c r="B15" s="569">
        <f t="shared" si="29"/>
        <v>9128</v>
      </c>
      <c r="C15" s="295">
        <f t="shared" si="11"/>
        <v>0</v>
      </c>
      <c r="D15" s="570">
        <f t="shared" si="30"/>
        <v>227869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70">
        <f t="shared" si="22"/>
        <v>10698</v>
      </c>
      <c r="K15" s="295">
        <f t="shared" si="2"/>
        <v>0</v>
      </c>
      <c r="L15" s="570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70">
        <f t="shared" si="31"/>
        <v>11685</v>
      </c>
      <c r="S15" s="295">
        <f t="shared" si="5"/>
        <v>0</v>
      </c>
      <c r="T15" s="570">
        <f t="shared" si="24"/>
        <v>347163</v>
      </c>
      <c r="U15" s="295">
        <f t="shared" si="6"/>
        <v>0</v>
      </c>
      <c r="V15" s="295">
        <f t="shared" si="16"/>
        <v>0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0</v>
      </c>
      <c r="AA15" s="295">
        <f t="shared" si="18"/>
        <v>0</v>
      </c>
      <c r="AB15" s="295">
        <f t="shared" si="19"/>
        <v>0</v>
      </c>
      <c r="AC15" s="295">
        <f t="shared" si="20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1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2"/>
        <v>0</v>
      </c>
    </row>
    <row r="16" spans="1:37" ht="15.75" thickBot="1">
      <c r="A16" s="4">
        <f>ELEC!C16</f>
        <v>44088</v>
      </c>
      <c r="B16" s="569">
        <f t="shared" si="29"/>
        <v>9128</v>
      </c>
      <c r="C16" s="295">
        <f t="shared" si="11"/>
        <v>0</v>
      </c>
      <c r="D16" s="570">
        <f t="shared" si="30"/>
        <v>227869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70">
        <f t="shared" si="22"/>
        <v>10698</v>
      </c>
      <c r="K16" s="295">
        <f t="shared" si="2"/>
        <v>0</v>
      </c>
      <c r="L16" s="570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70">
        <f t="shared" si="31"/>
        <v>11685</v>
      </c>
      <c r="S16" s="295">
        <f t="shared" si="5"/>
        <v>0</v>
      </c>
      <c r="T16" s="570">
        <f t="shared" si="24"/>
        <v>347163</v>
      </c>
      <c r="U16" s="295">
        <f t="shared" si="6"/>
        <v>0</v>
      </c>
      <c r="V16" s="295">
        <f t="shared" si="16"/>
        <v>0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0</v>
      </c>
      <c r="AA16" s="295">
        <f t="shared" si="18"/>
        <v>0</v>
      </c>
      <c r="AB16" s="295">
        <f t="shared" si="19"/>
        <v>0</v>
      </c>
      <c r="AC16" s="295">
        <f t="shared" si="20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1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2"/>
        <v>0</v>
      </c>
    </row>
    <row r="17" spans="1:37" ht="15.75" thickBot="1">
      <c r="A17" s="4">
        <f>ELEC!C17</f>
        <v>44089</v>
      </c>
      <c r="B17" s="569">
        <f t="shared" si="29"/>
        <v>9128</v>
      </c>
      <c r="C17" s="295">
        <f t="shared" si="11"/>
        <v>0</v>
      </c>
      <c r="D17" s="570">
        <f t="shared" si="30"/>
        <v>227869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70">
        <f t="shared" si="22"/>
        <v>10698</v>
      </c>
      <c r="K17" s="295">
        <f t="shared" si="2"/>
        <v>0</v>
      </c>
      <c r="L17" s="570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70">
        <f t="shared" si="31"/>
        <v>11685</v>
      </c>
      <c r="S17" s="295">
        <f t="shared" si="5"/>
        <v>0</v>
      </c>
      <c r="T17" s="570">
        <f t="shared" si="24"/>
        <v>347163</v>
      </c>
      <c r="U17" s="295">
        <f t="shared" si="6"/>
        <v>0</v>
      </c>
      <c r="V17" s="295">
        <f t="shared" si="16"/>
        <v>0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0</v>
      </c>
      <c r="AA17" s="295">
        <f t="shared" si="18"/>
        <v>0</v>
      </c>
      <c r="AB17" s="295">
        <f t="shared" si="19"/>
        <v>0</v>
      </c>
      <c r="AC17" s="295">
        <f t="shared" si="20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1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44090</v>
      </c>
      <c r="B18" s="569">
        <f t="shared" si="29"/>
        <v>9128</v>
      </c>
      <c r="C18" s="295">
        <f t="shared" si="11"/>
        <v>0</v>
      </c>
      <c r="D18" s="570">
        <f t="shared" si="30"/>
        <v>227869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70">
        <f t="shared" si="22"/>
        <v>10698</v>
      </c>
      <c r="K18" s="295">
        <f t="shared" si="2"/>
        <v>0</v>
      </c>
      <c r="L18" s="570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570">
        <f t="shared" si="31"/>
        <v>11685</v>
      </c>
      <c r="S18" s="295">
        <f t="shared" si="5"/>
        <v>0</v>
      </c>
      <c r="T18" s="570">
        <f t="shared" si="24"/>
        <v>347163</v>
      </c>
      <c r="U18" s="295">
        <f t="shared" si="6"/>
        <v>0</v>
      </c>
      <c r="V18" s="295">
        <f t="shared" si="16"/>
        <v>0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0</v>
      </c>
      <c r="AA18" s="295">
        <f t="shared" si="18"/>
        <v>0</v>
      </c>
      <c r="AB18" s="295">
        <f t="shared" si="19"/>
        <v>0</v>
      </c>
      <c r="AC18" s="295">
        <f t="shared" si="20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1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44091</v>
      </c>
      <c r="B19" s="569">
        <f t="shared" si="29"/>
        <v>9128</v>
      </c>
      <c r="C19" s="295">
        <f t="shared" si="11"/>
        <v>0</v>
      </c>
      <c r="D19" s="570">
        <f t="shared" si="30"/>
        <v>227869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70">
        <f t="shared" si="22"/>
        <v>10698</v>
      </c>
      <c r="K19" s="295">
        <f t="shared" si="2"/>
        <v>0</v>
      </c>
      <c r="L19" s="570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570">
        <f t="shared" si="31"/>
        <v>11685</v>
      </c>
      <c r="S19" s="295">
        <f t="shared" si="5"/>
        <v>0</v>
      </c>
      <c r="T19" s="570">
        <f t="shared" si="24"/>
        <v>347163</v>
      </c>
      <c r="U19" s="295">
        <f t="shared" si="6"/>
        <v>0</v>
      </c>
      <c r="V19" s="295">
        <f t="shared" si="16"/>
        <v>0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0</v>
      </c>
      <c r="AA19" s="295">
        <f t="shared" si="18"/>
        <v>0</v>
      </c>
      <c r="AB19" s="295">
        <f t="shared" si="19"/>
        <v>0</v>
      </c>
      <c r="AC19" s="295">
        <f t="shared" si="20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1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9">
        <f t="shared" si="29"/>
        <v>9128</v>
      </c>
      <c r="C20" s="295">
        <f>B20-B19</f>
        <v>0</v>
      </c>
      <c r="D20" s="570">
        <f t="shared" si="30"/>
        <v>227869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70">
        <f t="shared" si="22"/>
        <v>10698</v>
      </c>
      <c r="K20" s="295">
        <f t="shared" si="2"/>
        <v>0</v>
      </c>
      <c r="L20" s="570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70">
        <f t="shared" si="31"/>
        <v>11685</v>
      </c>
      <c r="S20" s="295">
        <f t="shared" si="5"/>
        <v>0</v>
      </c>
      <c r="T20" s="570">
        <f t="shared" si="24"/>
        <v>347163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9">
        <f t="shared" si="29"/>
        <v>9128</v>
      </c>
      <c r="C21" s="295">
        <f t="shared" si="11"/>
        <v>0</v>
      </c>
      <c r="D21" s="570">
        <f t="shared" si="30"/>
        <v>227869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70">
        <f t="shared" si="22"/>
        <v>10698</v>
      </c>
      <c r="K21" s="295">
        <f t="shared" si="2"/>
        <v>0</v>
      </c>
      <c r="L21" s="570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70">
        <f t="shared" si="31"/>
        <v>11685</v>
      </c>
      <c r="S21" s="295">
        <f t="shared" si="5"/>
        <v>0</v>
      </c>
      <c r="T21" s="570">
        <f t="shared" si="24"/>
        <v>347163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9">
        <f t="shared" si="29"/>
        <v>9128</v>
      </c>
      <c r="C22" s="295">
        <f t="shared" si="11"/>
        <v>0</v>
      </c>
      <c r="D22" s="570">
        <f t="shared" si="30"/>
        <v>227869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70">
        <f t="shared" si="22"/>
        <v>10698</v>
      </c>
      <c r="K22" s="295">
        <f t="shared" si="2"/>
        <v>0</v>
      </c>
      <c r="L22" s="570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70">
        <f t="shared" si="31"/>
        <v>11685</v>
      </c>
      <c r="S22" s="295">
        <f t="shared" si="5"/>
        <v>0</v>
      </c>
      <c r="T22" s="570">
        <f t="shared" si="24"/>
        <v>347163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9">
        <f t="shared" si="29"/>
        <v>9128</v>
      </c>
      <c r="C23" s="295">
        <f t="shared" si="11"/>
        <v>0</v>
      </c>
      <c r="D23" s="570">
        <f t="shared" si="30"/>
        <v>227869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70">
        <f t="shared" si="22"/>
        <v>10698</v>
      </c>
      <c r="K23" s="295">
        <f t="shared" si="2"/>
        <v>0</v>
      </c>
      <c r="L23" s="570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70">
        <f t="shared" si="31"/>
        <v>11685</v>
      </c>
      <c r="S23" s="295">
        <f t="shared" si="5"/>
        <v>0</v>
      </c>
      <c r="T23" s="570">
        <f t="shared" si="24"/>
        <v>347163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9">
        <f t="shared" si="29"/>
        <v>9128</v>
      </c>
      <c r="C24" s="295">
        <f t="shared" si="11"/>
        <v>0</v>
      </c>
      <c r="D24" s="570">
        <f t="shared" si="30"/>
        <v>227869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70">
        <f t="shared" si="22"/>
        <v>10698</v>
      </c>
      <c r="K24" s="295">
        <f t="shared" si="2"/>
        <v>0</v>
      </c>
      <c r="L24" s="570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70">
        <f t="shared" si="31"/>
        <v>11685</v>
      </c>
      <c r="S24" s="295">
        <f t="shared" si="5"/>
        <v>0</v>
      </c>
      <c r="T24" s="570">
        <f t="shared" si="24"/>
        <v>347163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9">
        <f t="shared" si="29"/>
        <v>9128</v>
      </c>
      <c r="C25" s="295">
        <f t="shared" si="11"/>
        <v>0</v>
      </c>
      <c r="D25" s="570">
        <f t="shared" si="30"/>
        <v>227869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70">
        <f t="shared" si="22"/>
        <v>10698</v>
      </c>
      <c r="K25" s="295">
        <f t="shared" si="2"/>
        <v>0</v>
      </c>
      <c r="L25" s="570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70">
        <f t="shared" si="31"/>
        <v>11685</v>
      </c>
      <c r="S25" s="295">
        <f t="shared" si="5"/>
        <v>0</v>
      </c>
      <c r="T25" s="570">
        <f t="shared" si="24"/>
        <v>347163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9">
        <f t="shared" si="29"/>
        <v>9128</v>
      </c>
      <c r="C26" s="295">
        <f t="shared" si="11"/>
        <v>0</v>
      </c>
      <c r="D26" s="570">
        <f t="shared" si="30"/>
        <v>227869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70">
        <f t="shared" si="22"/>
        <v>10698</v>
      </c>
      <c r="K26" s="295">
        <f t="shared" si="2"/>
        <v>0</v>
      </c>
      <c r="L26" s="570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70">
        <f t="shared" si="31"/>
        <v>11685</v>
      </c>
      <c r="S26" s="295">
        <f t="shared" si="5"/>
        <v>0</v>
      </c>
      <c r="T26" s="570">
        <f t="shared" si="24"/>
        <v>347163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9">
        <f t="shared" si="29"/>
        <v>9128</v>
      </c>
      <c r="C27" s="295">
        <f t="shared" si="11"/>
        <v>0</v>
      </c>
      <c r="D27" s="570">
        <f t="shared" si="30"/>
        <v>227869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70">
        <f t="shared" si="22"/>
        <v>10698</v>
      </c>
      <c r="K27" s="295">
        <f t="shared" si="2"/>
        <v>0</v>
      </c>
      <c r="L27" s="570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70">
        <f t="shared" si="31"/>
        <v>11685</v>
      </c>
      <c r="S27" s="295">
        <f t="shared" si="5"/>
        <v>0</v>
      </c>
      <c r="T27" s="570">
        <f t="shared" si="24"/>
        <v>347163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9">
        <f t="shared" si="29"/>
        <v>9128</v>
      </c>
      <c r="C28" s="295">
        <f t="shared" si="11"/>
        <v>0</v>
      </c>
      <c r="D28" s="570">
        <f t="shared" si="30"/>
        <v>227869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70">
        <f t="shared" si="22"/>
        <v>10698</v>
      </c>
      <c r="K28" s="295">
        <f t="shared" si="2"/>
        <v>0</v>
      </c>
      <c r="L28" s="570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70">
        <f t="shared" si="31"/>
        <v>11685</v>
      </c>
      <c r="S28" s="295">
        <f t="shared" si="5"/>
        <v>0</v>
      </c>
      <c r="T28" s="570">
        <f t="shared" si="24"/>
        <v>347163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9">
        <f t="shared" si="29"/>
        <v>9128</v>
      </c>
      <c r="C29" s="295">
        <f t="shared" si="11"/>
        <v>0</v>
      </c>
      <c r="D29" s="570">
        <f t="shared" si="30"/>
        <v>227869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70">
        <f t="shared" si="22"/>
        <v>10698</v>
      </c>
      <c r="K29" s="295">
        <f t="shared" si="2"/>
        <v>0</v>
      </c>
      <c r="L29" s="570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70">
        <f t="shared" si="31"/>
        <v>11685</v>
      </c>
      <c r="S29" s="295">
        <f t="shared" si="5"/>
        <v>0</v>
      </c>
      <c r="T29" s="570">
        <f t="shared" si="24"/>
        <v>347163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9">
        <f t="shared" si="29"/>
        <v>9128</v>
      </c>
      <c r="C30" s="295">
        <f t="shared" si="11"/>
        <v>0</v>
      </c>
      <c r="D30" s="570">
        <f t="shared" si="30"/>
        <v>227869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70">
        <f t="shared" si="22"/>
        <v>10698</v>
      </c>
      <c r="K30" s="295">
        <f t="shared" si="2"/>
        <v>0</v>
      </c>
      <c r="L30" s="570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70">
        <f t="shared" si="31"/>
        <v>11685</v>
      </c>
      <c r="S30" s="295">
        <f t="shared" si="5"/>
        <v>0</v>
      </c>
      <c r="T30" s="570">
        <f t="shared" si="24"/>
        <v>347163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9">
        <f t="shared" si="29"/>
        <v>9128</v>
      </c>
      <c r="C31" s="295">
        <f t="shared" si="11"/>
        <v>0</v>
      </c>
      <c r="D31" s="570">
        <f t="shared" si="30"/>
        <v>227869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70">
        <f t="shared" si="22"/>
        <v>10698</v>
      </c>
      <c r="K31" s="295">
        <f t="shared" si="2"/>
        <v>0</v>
      </c>
      <c r="L31" s="570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70">
        <f t="shared" si="31"/>
        <v>11685</v>
      </c>
      <c r="S31" s="295">
        <f t="shared" si="5"/>
        <v>0</v>
      </c>
      <c r="T31" s="570">
        <f t="shared" si="24"/>
        <v>347163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9">
        <f t="shared" si="29"/>
        <v>9128</v>
      </c>
      <c r="C32" s="295">
        <f t="shared" si="11"/>
        <v>0</v>
      </c>
      <c r="D32" s="570">
        <f t="shared" si="30"/>
        <v>227869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70">
        <f t="shared" si="22"/>
        <v>10698</v>
      </c>
      <c r="K32" s="295">
        <f>J32-J31</f>
        <v>0</v>
      </c>
      <c r="L32" s="570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70">
        <f t="shared" si="31"/>
        <v>11685</v>
      </c>
      <c r="S32" s="295">
        <f t="shared" si="5"/>
        <v>0</v>
      </c>
      <c r="T32" s="570">
        <f t="shared" si="24"/>
        <v>347163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9">
        <f t="shared" si="29"/>
        <v>9128</v>
      </c>
      <c r="C33" s="295">
        <f t="shared" ref="C33" si="38">B33-B32</f>
        <v>0</v>
      </c>
      <c r="D33" s="570">
        <f t="shared" si="30"/>
        <v>227869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70">
        <f t="shared" si="22"/>
        <v>10698</v>
      </c>
      <c r="K33" s="295">
        <f>J33-J32</f>
        <v>0</v>
      </c>
      <c r="L33" s="570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70">
        <f t="shared" si="31"/>
        <v>11685</v>
      </c>
      <c r="S33" s="295">
        <f t="shared" ref="S33" si="45">R33-R32</f>
        <v>0</v>
      </c>
      <c r="T33" s="570">
        <f t="shared" si="24"/>
        <v>347163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51</v>
      </c>
      <c r="V34" s="40"/>
      <c r="X34">
        <v>341</v>
      </c>
      <c r="Z34" s="432">
        <f>SUM(Z3:Z32)</f>
        <v>51</v>
      </c>
    </row>
    <row r="35" spans="1:37">
      <c r="C35" s="40">
        <f>SUM(C3:C32)</f>
        <v>16</v>
      </c>
      <c r="K35" s="40">
        <f>SUM(K3:K32)</f>
        <v>0</v>
      </c>
      <c r="S35" s="40">
        <f>SUM(S3:S32)</f>
        <v>35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34</v>
      </c>
      <c r="G6" s="3">
        <f>WATER!C9+WATER!H9</f>
        <v>0</v>
      </c>
      <c r="H6" s="3">
        <f>WATER!L9</f>
        <v>0</v>
      </c>
      <c r="I6" s="15">
        <f>WATER!BC9+WATER!BD9+WATER!BE10-Sheet1!G6</f>
        <v>-8.5999999999999801</v>
      </c>
      <c r="J6" s="9">
        <f>'B5'!A8</f>
        <v>44078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44079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44080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44081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44082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44083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44084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44085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44086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44087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44088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0</v>
      </c>
      <c r="E9" s="247">
        <f t="shared" si="0"/>
        <v>0</v>
      </c>
      <c r="F9" s="75">
        <f>WATER!L9</f>
        <v>0</v>
      </c>
      <c r="G9" s="78">
        <f>WATER!BG9</f>
        <v>-68.899999999999977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0</v>
      </c>
      <c r="E10" s="247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G1" zoomScale="80" zoomScaleNormal="80" workbookViewId="0">
      <selection activeCell="U7" sqref="U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7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7">
        <v>48144</v>
      </c>
      <c r="G4" s="160">
        <f t="shared" ref="G4:G32" si="1">F4-F3</f>
        <v>634</v>
      </c>
      <c r="H4" s="567">
        <v>184316</v>
      </c>
      <c r="I4" s="161">
        <f t="shared" ref="I4:I33" si="2">H4-H3</f>
        <v>2200</v>
      </c>
      <c r="J4" s="567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21.328418647503224</v>
      </c>
      <c r="P4" s="305">
        <f>SUM(L4:O4)</f>
        <v>424.64516823290955</v>
      </c>
      <c r="Q4" s="305">
        <f>SUM(-tanks!AX6*tanks!$AU$37)</f>
        <v>696.03225806451519</v>
      </c>
      <c r="R4" s="305">
        <f>SUM(P4:Q4)</f>
        <v>1120.6774262974247</v>
      </c>
      <c r="S4" s="307">
        <f>SUM(ELEC!N3)</f>
        <v>11078</v>
      </c>
      <c r="T4" s="344">
        <f>IF(S4&gt;0,R4/S4,0)</f>
        <v>0.10116243241536602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56"/>
      <c r="AC4" s="657"/>
    </row>
    <row r="5" spans="1:30" ht="15.75" thickBot="1">
      <c r="A5" s="163">
        <f>ELEC!C4</f>
        <v>44076</v>
      </c>
      <c r="B5" s="601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1">
        <v>48803</v>
      </c>
      <c r="G5" s="160">
        <f t="shared" si="1"/>
        <v>659</v>
      </c>
      <c r="H5" s="601">
        <v>186052</v>
      </c>
      <c r="I5" s="161">
        <f t="shared" si="2"/>
        <v>1736</v>
      </c>
      <c r="J5" s="603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21.328418647503224</v>
      </c>
      <c r="P5" s="305">
        <f t="shared" ref="P5:P32" si="9">SUM(L5:O5)</f>
        <v>376.21531748664086</v>
      </c>
      <c r="Q5" s="305">
        <f>SUM(-tanks!AX7*tanks!$AU$37)</f>
        <v>1533.3870967741823</v>
      </c>
      <c r="R5" s="305">
        <f t="shared" ref="R5:R32" si="10">SUM(P5:Q5)</f>
        <v>1909.602414260823</v>
      </c>
      <c r="S5" s="307">
        <f>SUM(ELEC!N4)</f>
        <v>12266</v>
      </c>
      <c r="T5" s="344">
        <f>IF(S5&gt;0,R5/S5,0)</f>
        <v>0.15568257086750553</v>
      </c>
      <c r="U5" s="255"/>
      <c r="V5" s="650"/>
      <c r="W5" s="651"/>
      <c r="X5" s="651"/>
      <c r="Y5" s="652"/>
      <c r="Z5" s="26" t="s">
        <v>203</v>
      </c>
      <c r="AA5" s="270">
        <f>'[5]EDl log'!AA22</f>
        <v>5000</v>
      </c>
      <c r="AB5" s="658"/>
      <c r="AC5" s="659"/>
    </row>
    <row r="6" spans="1:30" ht="15.75" thickBot="1">
      <c r="A6" s="163">
        <f>ELEC!C5</f>
        <v>44077</v>
      </c>
      <c r="B6" s="567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7">
        <v>48997</v>
      </c>
      <c r="G6" s="160">
        <f t="shared" si="1"/>
        <v>194</v>
      </c>
      <c r="H6" s="567">
        <v>188146</v>
      </c>
      <c r="I6" s="161">
        <f t="shared" si="2"/>
        <v>2094</v>
      </c>
      <c r="J6" s="567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21.328418647503224</v>
      </c>
      <c r="P6" s="305">
        <f t="shared" si="9"/>
        <v>307.34367569559612</v>
      </c>
      <c r="Q6" s="305">
        <f>SUM(-tanks!AX8*tanks!$AU$37)</f>
        <v>1490.0645161290449</v>
      </c>
      <c r="R6" s="305">
        <f t="shared" si="10"/>
        <v>1797.4081918246411</v>
      </c>
      <c r="S6" s="307">
        <f>SUM(ELEC!N5)</f>
        <v>12559</v>
      </c>
      <c r="T6" s="344">
        <f t="shared" ref="T6:T32" si="12">IF(S6&gt;0,R6/S6,0)</f>
        <v>0.14311714243368429</v>
      </c>
      <c r="V6" s="653"/>
      <c r="W6" s="654"/>
      <c r="X6" s="654"/>
      <c r="Y6" s="655"/>
      <c r="Z6" s="3"/>
      <c r="AA6" s="3"/>
      <c r="AB6" s="658"/>
      <c r="AC6" s="659"/>
    </row>
    <row r="7" spans="1:30" ht="15" customHeight="1" thickBot="1">
      <c r="A7" s="163">
        <f>ELEC!C6</f>
        <v>44078</v>
      </c>
      <c r="B7" s="567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7">
        <v>49688</v>
      </c>
      <c r="G7" s="160">
        <f t="shared" si="1"/>
        <v>691</v>
      </c>
      <c r="H7" s="567">
        <v>190089</v>
      </c>
      <c r="I7" s="161">
        <f t="shared" si="2"/>
        <v>1943</v>
      </c>
      <c r="J7" s="567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21.328418647503224</v>
      </c>
      <c r="P7" s="305">
        <f t="shared" si="9"/>
        <v>405.17982826607698</v>
      </c>
      <c r="Q7" s="305">
        <f>SUM(-tanks!AX9*tanks!$AU$37)</f>
        <v>1728.0709677419218</v>
      </c>
      <c r="R7" s="305">
        <f t="shared" si="10"/>
        <v>2133.2507960079988</v>
      </c>
      <c r="S7" s="307">
        <f>SUM(ELEC!N6)</f>
        <v>12925</v>
      </c>
      <c r="T7" s="344">
        <f t="shared" si="12"/>
        <v>0.1650484174861121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0" ht="15.75" customHeight="1" thickBot="1">
      <c r="A8" s="163">
        <f>ELEC!C7</f>
        <v>44079</v>
      </c>
      <c r="B8" s="567">
        <f t="shared" ref="B8:B33" si="13">B7</f>
        <v>366467</v>
      </c>
      <c r="C8" s="270">
        <f t="shared" si="0"/>
        <v>0</v>
      </c>
      <c r="D8" s="316">
        <f t="shared" si="8"/>
        <v>0</v>
      </c>
      <c r="E8" s="316">
        <f t="shared" si="11"/>
        <v>366467</v>
      </c>
      <c r="F8" s="567">
        <f t="shared" ref="F8:F33" si="14">F7</f>
        <v>49688</v>
      </c>
      <c r="G8" s="160">
        <f t="shared" si="1"/>
        <v>0</v>
      </c>
      <c r="H8" s="567">
        <f t="shared" ref="H8:H33" si="15">H7</f>
        <v>190089</v>
      </c>
      <c r="I8" s="161">
        <f t="shared" si="2"/>
        <v>0</v>
      </c>
      <c r="J8" s="567">
        <f t="shared" ref="J8:J33" si="16">J7</f>
        <v>126689</v>
      </c>
      <c r="K8" s="162">
        <f>J8-J7</f>
        <v>0</v>
      </c>
      <c r="L8" s="304">
        <f t="shared" si="4"/>
        <v>0</v>
      </c>
      <c r="M8" s="304">
        <f t="shared" si="5"/>
        <v>0</v>
      </c>
      <c r="N8" s="304">
        <f t="shared" si="6"/>
        <v>0</v>
      </c>
      <c r="O8" s="304">
        <f t="shared" si="7"/>
        <v>21.328418647503224</v>
      </c>
      <c r="P8" s="305">
        <f t="shared" si="9"/>
        <v>21.328418647503224</v>
      </c>
      <c r="Q8" s="305">
        <f>SUM(-tanks!AX10*tanks!$AU$37)</f>
        <v>0</v>
      </c>
      <c r="R8" s="305">
        <f t="shared" si="10"/>
        <v>21.328418647503224</v>
      </c>
      <c r="S8" s="307">
        <f>SUM(ELEC!N7)</f>
        <v>0</v>
      </c>
      <c r="T8" s="344">
        <f>IF(S8&gt;0,R8/S8,0)</f>
        <v>0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44080</v>
      </c>
      <c r="B9" s="567">
        <f t="shared" si="13"/>
        <v>366467</v>
      </c>
      <c r="C9" s="270">
        <f t="shared" si="0"/>
        <v>0</v>
      </c>
      <c r="D9" s="316">
        <f t="shared" si="8"/>
        <v>0</v>
      </c>
      <c r="E9" s="316">
        <f t="shared" si="11"/>
        <v>366467</v>
      </c>
      <c r="F9" s="567">
        <f t="shared" si="14"/>
        <v>49688</v>
      </c>
      <c r="G9" s="160">
        <f t="shared" si="1"/>
        <v>0</v>
      </c>
      <c r="H9" s="567">
        <f t="shared" si="15"/>
        <v>190089</v>
      </c>
      <c r="I9" s="161">
        <f t="shared" si="2"/>
        <v>0</v>
      </c>
      <c r="J9" s="567">
        <f t="shared" si="16"/>
        <v>126689</v>
      </c>
      <c r="K9" s="162">
        <f>J9-J8</f>
        <v>0</v>
      </c>
      <c r="L9" s="304">
        <f t="shared" si="4"/>
        <v>0</v>
      </c>
      <c r="M9" s="304">
        <f t="shared" si="5"/>
        <v>0</v>
      </c>
      <c r="N9" s="304">
        <f t="shared" si="6"/>
        <v>0</v>
      </c>
      <c r="O9" s="304">
        <f t="shared" si="7"/>
        <v>21.328418647503224</v>
      </c>
      <c r="P9" s="305">
        <f t="shared" si="9"/>
        <v>21.328418647503224</v>
      </c>
      <c r="Q9" s="305">
        <f>SUM(-tanks!AX11*tanks!$AU$37)</f>
        <v>0</v>
      </c>
      <c r="R9" s="305">
        <f>SUM(P9:Q9)</f>
        <v>21.328418647503224</v>
      </c>
      <c r="S9" s="307">
        <f>SUM(ELEC!N8)</f>
        <v>0</v>
      </c>
      <c r="T9" s="344">
        <f t="shared" si="12"/>
        <v>0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9">
        <f>'[1]EDl log'!Y26</f>
        <v>80</v>
      </c>
      <c r="Z9" s="599">
        <f>'[1]EDl log'!Z26</f>
        <v>1</v>
      </c>
      <c r="AA9" s="599">
        <f>'[1]EDl log'!AA26</f>
        <v>43562</v>
      </c>
      <c r="AB9" s="599">
        <f>'[1]EDl log'!AB26</f>
        <v>3484960</v>
      </c>
      <c r="AC9" s="599">
        <f>'[1]EDl log'!AC26</f>
        <v>1033333</v>
      </c>
      <c r="AD9" s="521">
        <f>'[1]EDl log'!AD26</f>
        <v>0.30405952480665605</v>
      </c>
    </row>
    <row r="10" spans="1:30" ht="15.75" thickBot="1">
      <c r="A10" s="163">
        <f>ELEC!C9</f>
        <v>44081</v>
      </c>
      <c r="B10" s="567">
        <f t="shared" si="13"/>
        <v>366467</v>
      </c>
      <c r="C10" s="270">
        <f t="shared" si="0"/>
        <v>0</v>
      </c>
      <c r="D10" s="316">
        <f t="shared" si="8"/>
        <v>0</v>
      </c>
      <c r="E10" s="316">
        <f t="shared" si="11"/>
        <v>366467</v>
      </c>
      <c r="F10" s="567">
        <f t="shared" si="14"/>
        <v>49688</v>
      </c>
      <c r="G10" s="160">
        <f t="shared" si="1"/>
        <v>0</v>
      </c>
      <c r="H10" s="567">
        <f t="shared" si="15"/>
        <v>190089</v>
      </c>
      <c r="I10" s="161">
        <f t="shared" si="2"/>
        <v>0</v>
      </c>
      <c r="J10" s="567">
        <f t="shared" si="16"/>
        <v>126689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7"/>
        <v>21.328418647503224</v>
      </c>
      <c r="P10" s="305">
        <f t="shared" si="9"/>
        <v>21.328418647503224</v>
      </c>
      <c r="Q10" s="305">
        <f>SUM(-tanks!AX12*tanks!$AU$37)</f>
        <v>0</v>
      </c>
      <c r="R10" s="305">
        <f t="shared" si="10"/>
        <v>21.328418647503224</v>
      </c>
      <c r="S10" s="307">
        <f>SUM(ELEC!N9)</f>
        <v>0</v>
      </c>
      <c r="T10" s="344">
        <f t="shared" si="12"/>
        <v>0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9">
        <f>'[1]EDl log'!Y27</f>
        <v>112</v>
      </c>
      <c r="Z10" s="599">
        <f>'[1]EDl log'!Z27</f>
        <v>1</v>
      </c>
      <c r="AA10" s="599">
        <f>'[1]EDl log'!AA27</f>
        <v>82247</v>
      </c>
      <c r="AB10" s="599">
        <f>'[1]EDl log'!AB27</f>
        <v>9211664</v>
      </c>
      <c r="AC10" s="599">
        <f>'[1]EDl log'!AC27</f>
        <v>6200000</v>
      </c>
      <c r="AD10" s="521">
        <f>'[1]EDl log'!AD27</f>
        <v>0.57407795181059262</v>
      </c>
    </row>
    <row r="11" spans="1:30" ht="15.75" thickBot="1">
      <c r="A11" s="163">
        <f>ELEC!C10</f>
        <v>44082</v>
      </c>
      <c r="B11" s="567">
        <f t="shared" si="13"/>
        <v>366467</v>
      </c>
      <c r="C11" s="270">
        <f t="shared" si="0"/>
        <v>0</v>
      </c>
      <c r="D11" s="316">
        <f>SUM(G11+I11+K11)</f>
        <v>0</v>
      </c>
      <c r="E11" s="316">
        <f t="shared" si="11"/>
        <v>366467</v>
      </c>
      <c r="F11" s="567">
        <f t="shared" si="14"/>
        <v>49688</v>
      </c>
      <c r="G11" s="160">
        <f t="shared" si="1"/>
        <v>0</v>
      </c>
      <c r="H11" s="567">
        <f t="shared" si="15"/>
        <v>190089</v>
      </c>
      <c r="I11" s="161">
        <f t="shared" si="2"/>
        <v>0</v>
      </c>
      <c r="J11" s="567">
        <f t="shared" si="16"/>
        <v>126689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7"/>
        <v>21.328418647503224</v>
      </c>
      <c r="P11" s="305">
        <f t="shared" si="9"/>
        <v>21.328418647503224</v>
      </c>
      <c r="Q11" s="305">
        <f>SUM(-tanks!AX13*tanks!$AU$37)</f>
        <v>0</v>
      </c>
      <c r="R11" s="305">
        <f t="shared" si="10"/>
        <v>21.328418647503224</v>
      </c>
      <c r="S11" s="307">
        <f>SUM(ELEC!N10)</f>
        <v>0</v>
      </c>
      <c r="T11" s="344">
        <f t="shared" si="12"/>
        <v>0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9">
        <f>'[1]EDl log'!Y28</f>
        <v>320</v>
      </c>
      <c r="Z11" s="599">
        <f>'[1]EDl log'!Z28</f>
        <v>1</v>
      </c>
      <c r="AA11" s="599">
        <f>'[1]EDl log'!AA28</f>
        <v>17459</v>
      </c>
      <c r="AB11" s="599">
        <f>'[1]EDl log'!AB28</f>
        <v>5586880</v>
      </c>
      <c r="AC11" s="599">
        <f>'[1]EDl log'!AC28</f>
        <v>1000</v>
      </c>
      <c r="AD11" s="521">
        <f>'[1]EDl log'!AD28</f>
        <v>0.12186252338275121</v>
      </c>
    </row>
    <row r="12" spans="1:30" ht="15.75" thickBot="1">
      <c r="A12" s="163">
        <f>ELEC!C11</f>
        <v>44083</v>
      </c>
      <c r="B12" s="567">
        <f t="shared" si="13"/>
        <v>366467</v>
      </c>
      <c r="C12" s="270">
        <f t="shared" si="0"/>
        <v>0</v>
      </c>
      <c r="D12" s="316">
        <f t="shared" si="8"/>
        <v>0</v>
      </c>
      <c r="E12" s="316">
        <f t="shared" si="11"/>
        <v>366467</v>
      </c>
      <c r="F12" s="567">
        <f t="shared" si="14"/>
        <v>49688</v>
      </c>
      <c r="G12" s="160">
        <f t="shared" si="1"/>
        <v>0</v>
      </c>
      <c r="H12" s="567">
        <f t="shared" si="15"/>
        <v>190089</v>
      </c>
      <c r="I12" s="161">
        <f t="shared" si="2"/>
        <v>0</v>
      </c>
      <c r="J12" s="567">
        <f t="shared" si="16"/>
        <v>126689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7"/>
        <v>21.328418647503224</v>
      </c>
      <c r="P12" s="305">
        <f t="shared" si="9"/>
        <v>21.328418647503224</v>
      </c>
      <c r="Q12" s="305">
        <f>SUM(-tanks!AX14*tanks!$AU$37)</f>
        <v>0</v>
      </c>
      <c r="R12" s="305">
        <f t="shared" si="10"/>
        <v>21.328418647503224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1"/>
    </row>
    <row r="13" spans="1:30" ht="15.75" thickBot="1">
      <c r="A13" s="163">
        <f>ELEC!C12</f>
        <v>44084</v>
      </c>
      <c r="B13" s="567">
        <f t="shared" si="13"/>
        <v>366467</v>
      </c>
      <c r="C13" s="270">
        <f t="shared" si="0"/>
        <v>0</v>
      </c>
      <c r="D13" s="316">
        <f t="shared" si="8"/>
        <v>0</v>
      </c>
      <c r="E13" s="316">
        <f t="shared" si="11"/>
        <v>366467</v>
      </c>
      <c r="F13" s="567">
        <f t="shared" si="14"/>
        <v>49688</v>
      </c>
      <c r="G13" s="160">
        <f t="shared" si="1"/>
        <v>0</v>
      </c>
      <c r="H13" s="567">
        <f t="shared" si="15"/>
        <v>190089</v>
      </c>
      <c r="I13" s="161">
        <f t="shared" si="2"/>
        <v>0</v>
      </c>
      <c r="J13" s="567">
        <f t="shared" si="16"/>
        <v>126689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7"/>
        <v>21.328418647503224</v>
      </c>
      <c r="P13" s="305">
        <f t="shared" si="9"/>
        <v>21.328418647503224</v>
      </c>
      <c r="Q13" s="305">
        <f>SUM(-tanks!AX15*tanks!$AU$37)</f>
        <v>0</v>
      </c>
      <c r="R13" s="305">
        <f t="shared" si="10"/>
        <v>21.328418647503224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3.4203333333333336E-2</v>
      </c>
      <c r="X13" s="521"/>
      <c r="Y13" s="270" t="str">
        <f>'[2]EDl log'!Y30</f>
        <v>Per G</v>
      </c>
      <c r="Z13" s="3"/>
      <c r="AA13" s="3"/>
      <c r="AB13" s="574">
        <f>'[1]EDl log'!AB30</f>
        <v>18283504</v>
      </c>
      <c r="AC13" s="574">
        <f>'[1]EDl log'!AC30</f>
        <v>7234333</v>
      </c>
    </row>
    <row r="14" spans="1:30" ht="15.75" thickBot="1">
      <c r="A14" s="573">
        <f>ELEC!C13</f>
        <v>44085</v>
      </c>
      <c r="B14" s="567">
        <f t="shared" si="13"/>
        <v>366467</v>
      </c>
      <c r="C14" s="270">
        <f t="shared" si="0"/>
        <v>0</v>
      </c>
      <c r="D14" s="316">
        <f t="shared" si="8"/>
        <v>0</v>
      </c>
      <c r="E14" s="316">
        <f t="shared" si="11"/>
        <v>366467</v>
      </c>
      <c r="F14" s="567">
        <f t="shared" si="14"/>
        <v>49688</v>
      </c>
      <c r="G14" s="160">
        <f t="shared" si="1"/>
        <v>0</v>
      </c>
      <c r="H14" s="567">
        <f t="shared" si="15"/>
        <v>190089</v>
      </c>
      <c r="I14" s="161">
        <f t="shared" si="2"/>
        <v>0</v>
      </c>
      <c r="J14" s="567">
        <f t="shared" si="16"/>
        <v>126689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si="7"/>
        <v>21.328418647503224</v>
      </c>
      <c r="P14" s="305">
        <f t="shared" ref="P14:P17" si="21">SUM(L14:O14)</f>
        <v>21.328418647503224</v>
      </c>
      <c r="Q14" s="305">
        <f>SUM(-tanks!AX16*tanks!$AU$37)</f>
        <v>0</v>
      </c>
      <c r="R14" s="305">
        <f t="shared" ref="R14:R17" si="22">SUM(P14:Q14)</f>
        <v>21.328418647503224</v>
      </c>
      <c r="S14" s="307">
        <f>SUM(ELEC!N13)</f>
        <v>0</v>
      </c>
      <c r="T14" s="344">
        <f t="shared" ref="T14:T17" si="23">IF(S14&gt;0,R14/S14,0)</f>
        <v>0</v>
      </c>
      <c r="V14" s="270" t="str">
        <f>'[5]EDl log'!V31</f>
        <v>Gen RH</v>
      </c>
      <c r="W14" s="600">
        <f>'[1]EDl log'!W31</f>
        <v>167</v>
      </c>
      <c r="X14" s="270">
        <f>'[1]EDl log'!$X$31</f>
        <v>5.387096774193548</v>
      </c>
      <c r="Y14" s="599">
        <f>'[1]EDl log'!$Y$31</f>
        <v>2.693548387096774</v>
      </c>
      <c r="Z14" s="270"/>
      <c r="AA14" s="3"/>
      <c r="AB14" s="574">
        <f>'[1]EDl log'!AB31</f>
        <v>25517837</v>
      </c>
      <c r="AC14" s="574">
        <f>'[1]EDl log'!AC31</f>
        <v>7234333</v>
      </c>
    </row>
    <row r="15" spans="1:30" ht="15.75" thickBot="1">
      <c r="A15" s="163">
        <f>ELEC!C14</f>
        <v>44086</v>
      </c>
      <c r="B15" s="567">
        <f t="shared" si="13"/>
        <v>366467</v>
      </c>
      <c r="C15" s="270">
        <f t="shared" si="0"/>
        <v>0</v>
      </c>
      <c r="D15" s="316">
        <f t="shared" si="8"/>
        <v>0</v>
      </c>
      <c r="E15" s="316">
        <f t="shared" si="11"/>
        <v>366467</v>
      </c>
      <c r="F15" s="567">
        <f t="shared" si="14"/>
        <v>49688</v>
      </c>
      <c r="G15" s="160">
        <f t="shared" si="1"/>
        <v>0</v>
      </c>
      <c r="H15" s="567">
        <f t="shared" si="15"/>
        <v>190089</v>
      </c>
      <c r="I15" s="161">
        <f t="shared" si="2"/>
        <v>0</v>
      </c>
      <c r="J15" s="567">
        <f t="shared" si="16"/>
        <v>126689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7"/>
        <v>21.328418647503224</v>
      </c>
      <c r="P15" s="305">
        <f t="shared" si="21"/>
        <v>21.328418647503224</v>
      </c>
      <c r="Q15" s="305">
        <f>SUM(-tanks!AX17*tanks!$AU$37)</f>
        <v>0</v>
      </c>
      <c r="R15" s="305">
        <f t="shared" si="22"/>
        <v>21.328418647503224</v>
      </c>
      <c r="S15" s="307">
        <f>SUM(ELEC!N14)</f>
        <v>0</v>
      </c>
      <c r="T15" s="344">
        <f t="shared" si="23"/>
        <v>0</v>
      </c>
      <c r="V15" s="270" t="str">
        <f>'[5]EDl log'!V32</f>
        <v>H Deg</v>
      </c>
      <c r="W15" s="600">
        <f>'[1]EDl log'!W32</f>
        <v>0</v>
      </c>
      <c r="X15" s="574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7">
        <f t="shared" si="13"/>
        <v>366467</v>
      </c>
      <c r="C16" s="270">
        <f t="shared" si="0"/>
        <v>0</v>
      </c>
      <c r="D16" s="316">
        <f t="shared" si="8"/>
        <v>0</v>
      </c>
      <c r="E16" s="316">
        <f t="shared" si="11"/>
        <v>366467</v>
      </c>
      <c r="F16" s="567">
        <f t="shared" si="14"/>
        <v>49688</v>
      </c>
      <c r="G16" s="160">
        <f t="shared" si="1"/>
        <v>0</v>
      </c>
      <c r="H16" s="567">
        <f t="shared" si="15"/>
        <v>190089</v>
      </c>
      <c r="I16" s="161">
        <f t="shared" si="2"/>
        <v>0</v>
      </c>
      <c r="J16" s="567">
        <f t="shared" si="16"/>
        <v>126689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7"/>
        <v>21.328418647503224</v>
      </c>
      <c r="P16" s="305">
        <f t="shared" si="21"/>
        <v>21.328418647503224</v>
      </c>
      <c r="Q16" s="305">
        <f>SUM(-tanks!AX18*tanks!$AU$37)</f>
        <v>0</v>
      </c>
      <c r="R16" s="305">
        <f t="shared" si="22"/>
        <v>21.328418647503224</v>
      </c>
      <c r="S16" s="307">
        <f>SUM(ELEC!N15)</f>
        <v>0</v>
      </c>
      <c r="T16" s="344">
        <f t="shared" si="23"/>
        <v>0</v>
      </c>
      <c r="V16" s="270" t="str">
        <f>'[5]EDl log'!V33</f>
        <v>C Deg</v>
      </c>
      <c r="W16" s="600">
        <f>'[1]EDl log'!W33</f>
        <v>307.69999999999982</v>
      </c>
      <c r="X16" s="574">
        <f>'[7]EDl log'!X16</f>
        <v>0</v>
      </c>
      <c r="Y16" s="574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7">
        <f t="shared" si="13"/>
        <v>366467</v>
      </c>
      <c r="C17" s="270">
        <f t="shared" si="0"/>
        <v>0</v>
      </c>
      <c r="D17" s="316">
        <f t="shared" si="8"/>
        <v>0</v>
      </c>
      <c r="E17" s="316">
        <f t="shared" si="11"/>
        <v>366467</v>
      </c>
      <c r="F17" s="567">
        <f t="shared" si="14"/>
        <v>49688</v>
      </c>
      <c r="G17" s="160">
        <f t="shared" si="1"/>
        <v>0</v>
      </c>
      <c r="H17" s="567">
        <f t="shared" si="15"/>
        <v>190089</v>
      </c>
      <c r="I17" s="161">
        <f t="shared" si="2"/>
        <v>0</v>
      </c>
      <c r="J17" s="567">
        <f t="shared" si="16"/>
        <v>126689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7"/>
        <v>21.328418647503224</v>
      </c>
      <c r="P17" s="305">
        <f t="shared" si="21"/>
        <v>21.328418647503224</v>
      </c>
      <c r="Q17" s="305">
        <f>SUM(-tanks!AX19*tanks!$AU$37)</f>
        <v>0</v>
      </c>
      <c r="R17" s="305">
        <f t="shared" si="22"/>
        <v>21.328418647503224</v>
      </c>
      <c r="S17" s="307">
        <f>SUM(ELEC!N16)</f>
        <v>0</v>
      </c>
      <c r="T17" s="344">
        <f t="shared" si="23"/>
        <v>0</v>
      </c>
      <c r="V17" s="258"/>
      <c r="W17" s="521"/>
      <c r="X17" s="17"/>
      <c r="Y17" s="443"/>
      <c r="Z17" s="521"/>
      <c r="AA17" s="521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7">
        <f t="shared" si="13"/>
        <v>366467</v>
      </c>
      <c r="C18" s="270">
        <f t="shared" si="0"/>
        <v>0</v>
      </c>
      <c r="D18" s="316">
        <f t="shared" si="8"/>
        <v>0</v>
      </c>
      <c r="E18" s="316">
        <f t="shared" si="11"/>
        <v>366467</v>
      </c>
      <c r="F18" s="567">
        <f t="shared" si="14"/>
        <v>49688</v>
      </c>
      <c r="G18" s="160">
        <f t="shared" si="1"/>
        <v>0</v>
      </c>
      <c r="H18" s="567">
        <f t="shared" si="15"/>
        <v>190089</v>
      </c>
      <c r="I18" s="161">
        <f t="shared" si="2"/>
        <v>0</v>
      </c>
      <c r="J18" s="567">
        <f t="shared" si="16"/>
        <v>126689</v>
      </c>
      <c r="K18" s="162">
        <f t="shared" si="3"/>
        <v>0</v>
      </c>
      <c r="L18" s="304">
        <f t="shared" ref="L18:L33" si="24">SUM(G18*$Y$28)/1507.5</f>
        <v>0</v>
      </c>
      <c r="M18" s="304">
        <f t="shared" ref="M18:M33" si="25">SUM(I18*$Y$27)/1507.5</f>
        <v>0</v>
      </c>
      <c r="N18" s="304">
        <f t="shared" ref="N18:N33" si="26">SUM(K18*$Y$26)/1507.5</f>
        <v>0</v>
      </c>
      <c r="O18" s="304">
        <f t="shared" si="7"/>
        <v>21.328418647503224</v>
      </c>
      <c r="P18" s="305">
        <f t="shared" si="9"/>
        <v>21.328418647503224</v>
      </c>
      <c r="Q18" s="305">
        <f>SUM(-tanks!AX20*tanks!$AU$37)</f>
        <v>0</v>
      </c>
      <c r="R18" s="305">
        <f t="shared" si="10"/>
        <v>21.328418647503224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567">
        <f t="shared" si="13"/>
        <v>366467</v>
      </c>
      <c r="C19" s="270">
        <f t="shared" si="0"/>
        <v>0</v>
      </c>
      <c r="D19" s="316">
        <f t="shared" si="8"/>
        <v>0</v>
      </c>
      <c r="E19" s="316">
        <f t="shared" si="11"/>
        <v>366467</v>
      </c>
      <c r="F19" s="567">
        <f t="shared" si="14"/>
        <v>49688</v>
      </c>
      <c r="G19" s="160">
        <f t="shared" si="1"/>
        <v>0</v>
      </c>
      <c r="H19" s="567">
        <f t="shared" si="15"/>
        <v>190089</v>
      </c>
      <c r="I19" s="161">
        <f t="shared" si="2"/>
        <v>0</v>
      </c>
      <c r="J19" s="567">
        <f t="shared" si="16"/>
        <v>126689</v>
      </c>
      <c r="K19" s="162">
        <f t="shared" si="3"/>
        <v>0</v>
      </c>
      <c r="L19" s="304">
        <f t="shared" si="24"/>
        <v>0</v>
      </c>
      <c r="M19" s="304">
        <f t="shared" si="25"/>
        <v>0</v>
      </c>
      <c r="N19" s="304">
        <f t="shared" si="26"/>
        <v>0</v>
      </c>
      <c r="O19" s="304">
        <f t="shared" si="7"/>
        <v>21.328418647503224</v>
      </c>
      <c r="P19" s="305">
        <f t="shared" si="9"/>
        <v>21.328418647503224</v>
      </c>
      <c r="Q19" s="305">
        <f>SUM(-tanks!AX21*tanks!$AU$37)</f>
        <v>0</v>
      </c>
      <c r="R19" s="305">
        <f t="shared" si="10"/>
        <v>21.328418647503224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599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7">
        <f t="shared" si="13"/>
        <v>366467</v>
      </c>
      <c r="C20" s="270">
        <f t="shared" si="0"/>
        <v>0</v>
      </c>
      <c r="D20" s="316">
        <f t="shared" si="8"/>
        <v>0</v>
      </c>
      <c r="E20" s="316">
        <f t="shared" si="11"/>
        <v>366467</v>
      </c>
      <c r="F20" s="567">
        <f t="shared" si="14"/>
        <v>49688</v>
      </c>
      <c r="G20" s="160">
        <f t="shared" si="1"/>
        <v>0</v>
      </c>
      <c r="H20" s="567">
        <f t="shared" si="15"/>
        <v>190089</v>
      </c>
      <c r="I20" s="161">
        <f t="shared" si="2"/>
        <v>0</v>
      </c>
      <c r="J20" s="567">
        <f t="shared" si="16"/>
        <v>126689</v>
      </c>
      <c r="K20" s="162">
        <f t="shared" si="3"/>
        <v>0</v>
      </c>
      <c r="L20" s="304">
        <f t="shared" si="24"/>
        <v>0</v>
      </c>
      <c r="M20" s="304">
        <f t="shared" si="25"/>
        <v>0</v>
      </c>
      <c r="N20" s="304">
        <f t="shared" si="26"/>
        <v>0</v>
      </c>
      <c r="O20" s="304">
        <f t="shared" si="7"/>
        <v>21.328418647503224</v>
      </c>
      <c r="P20" s="305">
        <f t="shared" si="9"/>
        <v>21.328418647503224</v>
      </c>
      <c r="Q20" s="305">
        <f>SUM(-tanks!AX22*tanks!$AU$37)</f>
        <v>0</v>
      </c>
      <c r="R20" s="305">
        <f t="shared" si="10"/>
        <v>21.328418647503224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7">
        <f t="shared" si="13"/>
        <v>366467</v>
      </c>
      <c r="C21" s="270">
        <f t="shared" si="0"/>
        <v>0</v>
      </c>
      <c r="D21" s="316">
        <f t="shared" si="8"/>
        <v>0</v>
      </c>
      <c r="E21" s="316">
        <f t="shared" si="11"/>
        <v>366467</v>
      </c>
      <c r="F21" s="567">
        <f t="shared" si="14"/>
        <v>49688</v>
      </c>
      <c r="G21" s="160">
        <f t="shared" si="1"/>
        <v>0</v>
      </c>
      <c r="H21" s="567">
        <f t="shared" si="15"/>
        <v>190089</v>
      </c>
      <c r="I21" s="161">
        <f t="shared" si="2"/>
        <v>0</v>
      </c>
      <c r="J21" s="567">
        <f t="shared" si="16"/>
        <v>126689</v>
      </c>
      <c r="K21" s="162">
        <f t="shared" si="3"/>
        <v>0</v>
      </c>
      <c r="L21" s="304">
        <f t="shared" si="24"/>
        <v>0</v>
      </c>
      <c r="M21" s="304">
        <f t="shared" si="25"/>
        <v>0</v>
      </c>
      <c r="N21" s="304">
        <f t="shared" si="26"/>
        <v>0</v>
      </c>
      <c r="O21" s="304">
        <f t="shared" si="7"/>
        <v>21.328418647503224</v>
      </c>
      <c r="P21" s="305">
        <f t="shared" si="9"/>
        <v>21.328418647503224</v>
      </c>
      <c r="Q21" s="305">
        <f>SUM(-tanks!AX23*tanks!$AU$37)</f>
        <v>0</v>
      </c>
      <c r="R21" s="305">
        <f t="shared" si="10"/>
        <v>21.328418647503224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56"/>
      <c r="AC21" s="657"/>
    </row>
    <row r="22" spans="1:32" ht="15.75" thickBot="1">
      <c r="A22" s="163">
        <f>ELEC!C21</f>
        <v>44093</v>
      </c>
      <c r="B22" s="567">
        <f t="shared" si="13"/>
        <v>366467</v>
      </c>
      <c r="C22" s="270">
        <f t="shared" si="0"/>
        <v>0</v>
      </c>
      <c r="D22" s="316">
        <f t="shared" si="8"/>
        <v>0</v>
      </c>
      <c r="E22" s="316">
        <f t="shared" si="11"/>
        <v>366467</v>
      </c>
      <c r="F22" s="567">
        <f t="shared" si="14"/>
        <v>49688</v>
      </c>
      <c r="G22" s="160">
        <f t="shared" si="1"/>
        <v>0</v>
      </c>
      <c r="H22" s="567">
        <f t="shared" si="15"/>
        <v>190089</v>
      </c>
      <c r="I22" s="161">
        <f t="shared" si="2"/>
        <v>0</v>
      </c>
      <c r="J22" s="567">
        <f t="shared" si="16"/>
        <v>126689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7"/>
        <v>21.328418647503224</v>
      </c>
      <c r="P22" s="305">
        <f t="shared" si="9"/>
        <v>21.328418647503224</v>
      </c>
      <c r="Q22" s="305">
        <f>SUM(-tanks!AX24*tanks!$AU$37)</f>
        <v>0</v>
      </c>
      <c r="R22" s="305">
        <f t="shared" si="10"/>
        <v>21.328418647503224</v>
      </c>
      <c r="S22" s="307">
        <f>SUM(ELEC!N21)</f>
        <v>0</v>
      </c>
      <c r="T22" s="344">
        <f t="shared" si="12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.75" thickBot="1">
      <c r="A23" s="163">
        <f>ELEC!C22</f>
        <v>44094</v>
      </c>
      <c r="B23" s="567">
        <f t="shared" si="13"/>
        <v>366467</v>
      </c>
      <c r="C23" s="270">
        <f t="shared" si="0"/>
        <v>0</v>
      </c>
      <c r="D23" s="316">
        <f t="shared" si="8"/>
        <v>0</v>
      </c>
      <c r="E23" s="316">
        <f t="shared" si="11"/>
        <v>366467</v>
      </c>
      <c r="F23" s="567">
        <f t="shared" si="14"/>
        <v>49688</v>
      </c>
      <c r="G23" s="160">
        <f t="shared" si="1"/>
        <v>0</v>
      </c>
      <c r="H23" s="567">
        <f t="shared" si="15"/>
        <v>190089</v>
      </c>
      <c r="I23" s="161">
        <f t="shared" si="2"/>
        <v>0</v>
      </c>
      <c r="J23" s="567">
        <f t="shared" si="16"/>
        <v>126689</v>
      </c>
      <c r="K23" s="162">
        <f t="shared" si="3"/>
        <v>0</v>
      </c>
      <c r="L23" s="304">
        <f t="shared" si="24"/>
        <v>0</v>
      </c>
      <c r="M23" s="304">
        <f t="shared" si="25"/>
        <v>0</v>
      </c>
      <c r="N23" s="304">
        <f t="shared" si="26"/>
        <v>0</v>
      </c>
      <c r="O23" s="304">
        <f t="shared" si="7"/>
        <v>21.328418647503224</v>
      </c>
      <c r="P23" s="305">
        <f t="shared" si="9"/>
        <v>21.328418647503224</v>
      </c>
      <c r="Q23" s="305">
        <f>SUM(-tanks!AX25*tanks!$AU$37)</f>
        <v>0</v>
      </c>
      <c r="R23" s="305">
        <f t="shared" si="10"/>
        <v>21.328418647503224</v>
      </c>
      <c r="S23" s="307">
        <f>SUM(ELEC!N22)</f>
        <v>0</v>
      </c>
      <c r="T23" s="344">
        <f t="shared" si="12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44095</v>
      </c>
      <c r="B24" s="567">
        <f t="shared" si="13"/>
        <v>366467</v>
      </c>
      <c r="C24" s="270">
        <f t="shared" si="0"/>
        <v>0</v>
      </c>
      <c r="D24" s="316">
        <f t="shared" si="8"/>
        <v>0</v>
      </c>
      <c r="E24" s="316">
        <f t="shared" si="11"/>
        <v>366467</v>
      </c>
      <c r="F24" s="567">
        <f t="shared" si="14"/>
        <v>49688</v>
      </c>
      <c r="G24" s="160">
        <f t="shared" si="1"/>
        <v>0</v>
      </c>
      <c r="H24" s="567">
        <f t="shared" si="15"/>
        <v>190089</v>
      </c>
      <c r="I24" s="161">
        <f t="shared" si="2"/>
        <v>0</v>
      </c>
      <c r="J24" s="567">
        <f t="shared" si="16"/>
        <v>126689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7"/>
        <v>21.328418647503224</v>
      </c>
      <c r="P24" s="305">
        <f t="shared" si="9"/>
        <v>21.328418647503224</v>
      </c>
      <c r="Q24" s="305">
        <f>SUM(-tanks!AX26*tanks!$AU$37)</f>
        <v>0</v>
      </c>
      <c r="R24" s="305">
        <f t="shared" si="10"/>
        <v>21.328418647503224</v>
      </c>
      <c r="S24" s="307">
        <f>SUM(ELEC!N23)</f>
        <v>0</v>
      </c>
      <c r="T24" s="344">
        <f t="shared" si="12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 thickBot="1">
      <c r="A25" s="163">
        <f>ELEC!C24</f>
        <v>44096</v>
      </c>
      <c r="B25" s="567">
        <f t="shared" si="13"/>
        <v>366467</v>
      </c>
      <c r="C25" s="270">
        <f t="shared" si="0"/>
        <v>0</v>
      </c>
      <c r="D25" s="316">
        <f t="shared" si="8"/>
        <v>0</v>
      </c>
      <c r="E25" s="316">
        <f t="shared" si="11"/>
        <v>366467</v>
      </c>
      <c r="F25" s="567">
        <f t="shared" si="14"/>
        <v>49688</v>
      </c>
      <c r="G25" s="160">
        <f t="shared" si="1"/>
        <v>0</v>
      </c>
      <c r="H25" s="567">
        <f t="shared" si="15"/>
        <v>190089</v>
      </c>
      <c r="I25" s="161">
        <f t="shared" si="2"/>
        <v>0</v>
      </c>
      <c r="J25" s="567">
        <f t="shared" si="16"/>
        <v>126689</v>
      </c>
      <c r="K25" s="162">
        <f t="shared" si="3"/>
        <v>0</v>
      </c>
      <c r="L25" s="304">
        <f t="shared" si="24"/>
        <v>0</v>
      </c>
      <c r="M25" s="304">
        <f t="shared" si="25"/>
        <v>0</v>
      </c>
      <c r="N25" s="304">
        <f t="shared" si="26"/>
        <v>0</v>
      </c>
      <c r="O25" s="304">
        <f t="shared" si="7"/>
        <v>21.328418647503224</v>
      </c>
      <c r="P25" s="305">
        <f t="shared" si="9"/>
        <v>21.328418647503224</v>
      </c>
      <c r="Q25" s="305">
        <f>SUM(-tanks!AX27*tanks!$AU$37)</f>
        <v>0</v>
      </c>
      <c r="R25" s="305">
        <f t="shared" si="10"/>
        <v>21.328418647503224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7">
        <f t="shared" si="13"/>
        <v>366467</v>
      </c>
      <c r="C26" s="270">
        <f t="shared" si="0"/>
        <v>0</v>
      </c>
      <c r="D26" s="316">
        <f t="shared" si="8"/>
        <v>0</v>
      </c>
      <c r="E26" s="316">
        <f t="shared" si="11"/>
        <v>366467</v>
      </c>
      <c r="F26" s="567">
        <f t="shared" si="14"/>
        <v>49688</v>
      </c>
      <c r="G26" s="160">
        <f t="shared" si="1"/>
        <v>0</v>
      </c>
      <c r="H26" s="567">
        <f t="shared" si="15"/>
        <v>190089</v>
      </c>
      <c r="I26" s="161">
        <f t="shared" si="2"/>
        <v>0</v>
      </c>
      <c r="J26" s="567">
        <f t="shared" si="16"/>
        <v>126689</v>
      </c>
      <c r="K26" s="162">
        <f t="shared" si="3"/>
        <v>0</v>
      </c>
      <c r="L26" s="304">
        <f t="shared" si="24"/>
        <v>0</v>
      </c>
      <c r="M26" s="304">
        <f t="shared" si="25"/>
        <v>0</v>
      </c>
      <c r="N26" s="304">
        <f t="shared" si="26"/>
        <v>0</v>
      </c>
      <c r="O26" s="304">
        <f t="shared" si="7"/>
        <v>21.328418647503224</v>
      </c>
      <c r="P26" s="305">
        <f t="shared" si="9"/>
        <v>21.328418647503224</v>
      </c>
      <c r="Q26" s="305">
        <f>SUM(-tanks!AX28*tanks!$AU$37)</f>
        <v>0</v>
      </c>
      <c r="R26" s="305">
        <f t="shared" si="10"/>
        <v>21.328418647503224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126689</v>
      </c>
      <c r="X26" s="172" t="s">
        <v>199</v>
      </c>
      <c r="Y26" s="172">
        <v>80</v>
      </c>
      <c r="Z26" s="172">
        <v>1</v>
      </c>
      <c r="AA26" s="199">
        <f>(W26-V26)*Z26</f>
        <v>7036</v>
      </c>
      <c r="AB26" s="199">
        <f>AA26*Y26</f>
        <v>562880</v>
      </c>
      <c r="AC26" s="254">
        <f>AC9</f>
        <v>1033333</v>
      </c>
      <c r="AD26" s="215">
        <f>SUM(K37)</f>
        <v>0.40933154924661119</v>
      </c>
    </row>
    <row r="27" spans="1:32" ht="15.75" thickBot="1">
      <c r="A27" s="163">
        <f>ELEC!C26</f>
        <v>44098</v>
      </c>
      <c r="B27" s="567">
        <f t="shared" si="13"/>
        <v>366467</v>
      </c>
      <c r="C27" s="270">
        <f t="shared" si="0"/>
        <v>0</v>
      </c>
      <c r="D27" s="316">
        <f t="shared" si="8"/>
        <v>0</v>
      </c>
      <c r="E27" s="316">
        <f t="shared" si="11"/>
        <v>366467</v>
      </c>
      <c r="F27" s="567">
        <f t="shared" si="14"/>
        <v>49688</v>
      </c>
      <c r="G27" s="160">
        <f t="shared" si="1"/>
        <v>0</v>
      </c>
      <c r="H27" s="567">
        <f t="shared" si="15"/>
        <v>190089</v>
      </c>
      <c r="I27" s="161">
        <f t="shared" si="2"/>
        <v>0</v>
      </c>
      <c r="J27" s="567">
        <f t="shared" si="16"/>
        <v>126689</v>
      </c>
      <c r="K27" s="162">
        <f t="shared" si="3"/>
        <v>0</v>
      </c>
      <c r="L27" s="304">
        <f t="shared" si="24"/>
        <v>0</v>
      </c>
      <c r="M27" s="304">
        <f t="shared" si="25"/>
        <v>0</v>
      </c>
      <c r="N27" s="304">
        <f t="shared" si="26"/>
        <v>0</v>
      </c>
      <c r="O27" s="304">
        <f t="shared" si="7"/>
        <v>21.328418647503224</v>
      </c>
      <c r="P27" s="305">
        <f t="shared" si="9"/>
        <v>21.328418647503224</v>
      </c>
      <c r="Q27" s="305">
        <f>SUM(-tanks!AX29*tanks!$AU$37)</f>
        <v>0</v>
      </c>
      <c r="R27" s="305">
        <f t="shared" si="10"/>
        <v>21.328418647503224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190089</v>
      </c>
      <c r="X27" s="172" t="s">
        <v>213</v>
      </c>
      <c r="Y27" s="172">
        <v>112</v>
      </c>
      <c r="Z27" s="172">
        <v>1</v>
      </c>
      <c r="AA27" s="199">
        <f>(W27-V27)*Z27</f>
        <v>7973</v>
      </c>
      <c r="AB27" s="199">
        <f>SUM(AA27*Y27)</f>
        <v>892976</v>
      </c>
      <c r="AC27" s="254">
        <f>AC10</f>
        <v>6200000</v>
      </c>
      <c r="AD27" s="215">
        <f>SUM(I37)</f>
        <v>0.46384315550642852</v>
      </c>
    </row>
    <row r="28" spans="1:32" ht="15.75" thickBot="1">
      <c r="A28" s="163">
        <f>ELEC!C27</f>
        <v>44099</v>
      </c>
      <c r="B28" s="567">
        <f t="shared" si="13"/>
        <v>366467</v>
      </c>
      <c r="C28" s="270">
        <f t="shared" si="0"/>
        <v>0</v>
      </c>
      <c r="D28" s="316">
        <f t="shared" si="8"/>
        <v>0</v>
      </c>
      <c r="E28" s="316">
        <f t="shared" si="11"/>
        <v>366467</v>
      </c>
      <c r="F28" s="567">
        <f t="shared" si="14"/>
        <v>49688</v>
      </c>
      <c r="G28" s="160">
        <f t="shared" si="1"/>
        <v>0</v>
      </c>
      <c r="H28" s="567">
        <f t="shared" si="15"/>
        <v>190089</v>
      </c>
      <c r="I28" s="161">
        <f t="shared" si="2"/>
        <v>0</v>
      </c>
      <c r="J28" s="567">
        <f t="shared" si="16"/>
        <v>126689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7"/>
        <v>21.328418647503224</v>
      </c>
      <c r="P28" s="305">
        <f t="shared" si="9"/>
        <v>21.328418647503224</v>
      </c>
      <c r="Q28" s="305">
        <f>SUM(-tanks!AX30*tanks!$AU$37)</f>
        <v>0</v>
      </c>
      <c r="R28" s="305">
        <f t="shared" si="10"/>
        <v>21.328418647503224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49688</v>
      </c>
      <c r="X28" s="172" t="s">
        <v>197</v>
      </c>
      <c r="Y28" s="172">
        <v>320</v>
      </c>
      <c r="Z28" s="172">
        <v>1</v>
      </c>
      <c r="AA28" s="199">
        <f>(W28-V28)*Z28</f>
        <v>2178</v>
      </c>
      <c r="AB28" s="199">
        <f>SUM(AA28*Y28)</f>
        <v>696960</v>
      </c>
      <c r="AC28" s="254">
        <f>AC11</f>
        <v>1000</v>
      </c>
      <c r="AD28" s="215">
        <f>SUM(G37)</f>
        <v>0.12670894176508232</v>
      </c>
      <c r="AE28" s="40">
        <f>SUM(AB28*5%)</f>
        <v>34848</v>
      </c>
      <c r="AF28" s="82">
        <f>SUM(AE28/7)*31</f>
        <v>154326.85714285716</v>
      </c>
    </row>
    <row r="29" spans="1:32" ht="15.75" thickBot="1">
      <c r="A29" s="163">
        <f>ELEC!C28</f>
        <v>44100</v>
      </c>
      <c r="B29" s="567">
        <f t="shared" si="13"/>
        <v>366467</v>
      </c>
      <c r="C29" s="270">
        <f t="shared" si="0"/>
        <v>0</v>
      </c>
      <c r="D29" s="316">
        <f t="shared" si="8"/>
        <v>0</v>
      </c>
      <c r="E29" s="316">
        <f t="shared" si="11"/>
        <v>366467</v>
      </c>
      <c r="F29" s="567">
        <f t="shared" si="14"/>
        <v>49688</v>
      </c>
      <c r="G29" s="160">
        <f t="shared" si="1"/>
        <v>0</v>
      </c>
      <c r="H29" s="567">
        <f t="shared" si="15"/>
        <v>190089</v>
      </c>
      <c r="I29" s="161">
        <f t="shared" si="2"/>
        <v>0</v>
      </c>
      <c r="J29" s="567">
        <f t="shared" si="16"/>
        <v>126689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7"/>
        <v>21.328418647503224</v>
      </c>
      <c r="P29" s="305">
        <f t="shared" si="9"/>
        <v>21.328418647503224</v>
      </c>
      <c r="Q29" s="305">
        <f>SUM(-tanks!AX31*tanks!$AU$37)</f>
        <v>0</v>
      </c>
      <c r="R29" s="305">
        <f t="shared" si="10"/>
        <v>21.328418647503224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17187</v>
      </c>
      <c r="AB29" s="199"/>
      <c r="AC29" s="254"/>
    </row>
    <row r="30" spans="1:32" ht="14.25" customHeight="1" thickBot="1">
      <c r="A30" s="163">
        <f>ELEC!C29</f>
        <v>44101</v>
      </c>
      <c r="B30" s="567">
        <f t="shared" si="13"/>
        <v>366467</v>
      </c>
      <c r="C30" s="270">
        <f t="shared" si="0"/>
        <v>0</v>
      </c>
      <c r="D30" s="316">
        <f t="shared" si="8"/>
        <v>0</v>
      </c>
      <c r="E30" s="316">
        <f t="shared" si="11"/>
        <v>366467</v>
      </c>
      <c r="F30" s="567">
        <f t="shared" si="14"/>
        <v>49688</v>
      </c>
      <c r="G30" s="160">
        <f t="shared" si="1"/>
        <v>0</v>
      </c>
      <c r="H30" s="567">
        <f t="shared" si="15"/>
        <v>190089</v>
      </c>
      <c r="I30" s="161">
        <f t="shared" si="2"/>
        <v>0</v>
      </c>
      <c r="J30" s="567">
        <f t="shared" si="16"/>
        <v>126689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7"/>
        <v>21.328418647503224</v>
      </c>
      <c r="P30" s="305">
        <f t="shared" si="9"/>
        <v>21.328418647503224</v>
      </c>
      <c r="Q30" s="305">
        <f>SUM(-tanks!AX32*tanks!$AU$37)</f>
        <v>0</v>
      </c>
      <c r="R30" s="305">
        <f t="shared" si="10"/>
        <v>21.328418647503224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2152816</v>
      </c>
      <c r="AC30" s="254">
        <f>SUM(AC26:AC29)/A38*A36</f>
        <v>964577.73333333328</v>
      </c>
    </row>
    <row r="31" spans="1:32" ht="15.75" thickBot="1">
      <c r="A31" s="163">
        <f>ELEC!C30</f>
        <v>44102</v>
      </c>
      <c r="B31" s="567">
        <f t="shared" si="13"/>
        <v>366467</v>
      </c>
      <c r="C31" s="270">
        <f t="shared" si="0"/>
        <v>0</v>
      </c>
      <c r="D31" s="316">
        <f t="shared" si="8"/>
        <v>0</v>
      </c>
      <c r="E31" s="316">
        <f t="shared" si="11"/>
        <v>366467</v>
      </c>
      <c r="F31" s="567">
        <f t="shared" si="14"/>
        <v>49688</v>
      </c>
      <c r="G31" s="160">
        <f t="shared" si="1"/>
        <v>0</v>
      </c>
      <c r="H31" s="567">
        <f t="shared" si="15"/>
        <v>190089</v>
      </c>
      <c r="I31" s="161">
        <f t="shared" si="2"/>
        <v>0</v>
      </c>
      <c r="J31" s="567">
        <f t="shared" si="16"/>
        <v>126689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7"/>
        <v>21.328418647503224</v>
      </c>
      <c r="P31" s="305">
        <f t="shared" si="9"/>
        <v>21.328418647503224</v>
      </c>
      <c r="Q31" s="305">
        <f>SUM(-tanks!AX33*tanks!$AU$37)</f>
        <v>0</v>
      </c>
      <c r="R31" s="305">
        <f t="shared" si="10"/>
        <v>21.328418647503224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51</v>
      </c>
      <c r="X31" s="225">
        <f>SUM(W31/A36)</f>
        <v>12.75</v>
      </c>
      <c r="Y31" s="266">
        <f>SUM(X31/2)</f>
        <v>6.375</v>
      </c>
      <c r="Z31" s="3"/>
      <c r="AA31" s="3"/>
      <c r="AB31" s="571">
        <f>SUM(AB30+AC31)</f>
        <v>3117393.7333333334</v>
      </c>
      <c r="AC31" s="254">
        <f>SUM(AC30)</f>
        <v>964577.73333333328</v>
      </c>
    </row>
    <row r="32" spans="1:32" ht="15.75" thickBot="1">
      <c r="A32" s="163">
        <f>ELEC!C31</f>
        <v>44103</v>
      </c>
      <c r="B32" s="567">
        <f t="shared" si="13"/>
        <v>366467</v>
      </c>
      <c r="C32" s="270">
        <f t="shared" si="0"/>
        <v>0</v>
      </c>
      <c r="D32" s="316">
        <f t="shared" si="8"/>
        <v>0</v>
      </c>
      <c r="E32" s="316">
        <f t="shared" si="11"/>
        <v>366467</v>
      </c>
      <c r="F32" s="567">
        <f t="shared" si="14"/>
        <v>49688</v>
      </c>
      <c r="G32" s="160">
        <f t="shared" si="1"/>
        <v>0</v>
      </c>
      <c r="H32" s="567">
        <f t="shared" si="15"/>
        <v>190089</v>
      </c>
      <c r="I32" s="161">
        <f t="shared" si="2"/>
        <v>0</v>
      </c>
      <c r="J32" s="567">
        <f t="shared" si="16"/>
        <v>126689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7"/>
        <v>21.328418647503224</v>
      </c>
      <c r="P32" s="305">
        <f t="shared" si="9"/>
        <v>21.328418647503224</v>
      </c>
      <c r="Q32" s="305">
        <f>SUM(-tanks!AX34*tanks!$AU$37)</f>
        <v>0</v>
      </c>
      <c r="R32" s="305">
        <f t="shared" si="10"/>
        <v>21.328418647503224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7">
        <f t="shared" si="13"/>
        <v>366467</v>
      </c>
      <c r="C33" s="270">
        <f t="shared" si="0"/>
        <v>0</v>
      </c>
      <c r="D33" s="316">
        <f t="shared" si="8"/>
        <v>0</v>
      </c>
      <c r="E33" s="316">
        <f t="shared" si="11"/>
        <v>366467</v>
      </c>
      <c r="F33" s="567">
        <f t="shared" si="14"/>
        <v>49688</v>
      </c>
      <c r="G33" s="160">
        <f>F33-F32</f>
        <v>0</v>
      </c>
      <c r="H33" s="567">
        <f t="shared" si="15"/>
        <v>190089</v>
      </c>
      <c r="I33" s="161">
        <f t="shared" si="2"/>
        <v>0</v>
      </c>
      <c r="J33" s="567">
        <f t="shared" si="16"/>
        <v>126689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7"/>
        <v>21.328418647503224</v>
      </c>
      <c r="P33" s="305">
        <f>SUM(L33:O33)</f>
        <v>21.328418647503224</v>
      </c>
      <c r="Q33" s="305">
        <f>SUM(-tanks!AX35*tanks!$AU$37)</f>
        <v>0</v>
      </c>
      <c r="R33" s="305">
        <f>SUM(P33:Q33)</f>
        <v>21.328418647503224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7"/>
      <c r="B34" s="558"/>
      <c r="C34" s="559"/>
      <c r="D34" s="558"/>
      <c r="E34" s="558"/>
      <c r="F34" s="558"/>
      <c r="G34" s="558"/>
      <c r="H34" s="558"/>
      <c r="I34" s="558"/>
      <c r="J34" s="558"/>
      <c r="K34" s="558"/>
      <c r="L34" s="560"/>
      <c r="M34" s="560"/>
      <c r="N34" s="560"/>
      <c r="O34" s="560"/>
      <c r="P34" s="561"/>
      <c r="Q34" s="561"/>
      <c r="R34" s="561"/>
      <c r="S34" s="562"/>
      <c r="T34" s="563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7"/>
      <c r="B35" s="558"/>
      <c r="C35" s="559"/>
      <c r="D35" s="559"/>
      <c r="E35" s="559"/>
      <c r="F35" s="558"/>
      <c r="G35" s="558"/>
      <c r="H35" s="558"/>
      <c r="I35" s="558"/>
      <c r="J35" s="558"/>
      <c r="K35" s="564"/>
      <c r="L35" s="561"/>
      <c r="M35" s="561"/>
      <c r="N35" s="561"/>
      <c r="O35" s="561"/>
      <c r="P35" s="562"/>
      <c r="Q35" s="562"/>
      <c r="R35" s="562"/>
      <c r="S35" s="562"/>
      <c r="T35" s="563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342913.31066666666</v>
      </c>
      <c r="AC35" s="286"/>
    </row>
    <row r="36" spans="1:32" ht="15.75" thickBot="1">
      <c r="A36" s="556">
        <f>A38-COUNTIF(C4:C34,0)</f>
        <v>4</v>
      </c>
      <c r="C36" s="176">
        <f>SUM(C4:C34)/A36</f>
        <v>4297.25</v>
      </c>
      <c r="D36" s="176"/>
      <c r="E36" s="176"/>
      <c r="G36" s="176">
        <f>SUM(G4:G34)/A36</f>
        <v>544.5</v>
      </c>
      <c r="I36" s="176">
        <f>SUM(I4:I34)/A36</f>
        <v>1993.25</v>
      </c>
      <c r="K36" s="176">
        <f>SUM(K4:K35)/A36</f>
        <v>1759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3460307.0440000002</v>
      </c>
      <c r="AC36" s="286"/>
    </row>
    <row r="37" spans="1:32" ht="15.75" thickBot="1">
      <c r="A37" s="213"/>
      <c r="C37" s="215">
        <f>SUM(G37:K37)</f>
        <v>0.999883646518122</v>
      </c>
      <c r="G37" s="228">
        <f>IF(C36&gt;0,G36/C36,0)</f>
        <v>0.12670894176508232</v>
      </c>
      <c r="H37" s="215"/>
      <c r="I37" s="228">
        <f>SUM(I36/C36)</f>
        <v>0.46384315550642852</v>
      </c>
      <c r="J37" s="215"/>
      <c r="K37" s="228">
        <f>SUM(K36/C36)</f>
        <v>0.40933154924661119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2067.9228745163073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639.85255942509673</v>
      </c>
      <c r="Z39" s="40"/>
      <c r="AA39" s="300" t="s">
        <v>215</v>
      </c>
      <c r="AB39" s="301">
        <f>SUM(AB37)</f>
        <v>2067.9228745163073</v>
      </c>
    </row>
    <row r="40" spans="1:32">
      <c r="V40" s="220"/>
      <c r="W40" s="82">
        <f>(AB30+AB55)/1507.5</f>
        <v>1428.0703150912107</v>
      </c>
      <c r="X40" s="572"/>
      <c r="Z40" s="302">
        <f>SUM(AB39)</f>
        <v>2067.9228745163073</v>
      </c>
      <c r="AA40" s="301"/>
      <c r="AB40" s="301"/>
    </row>
    <row r="41" spans="1:32">
      <c r="V41" s="17"/>
      <c r="W41" s="82">
        <f>SUM(W39:W40)</f>
        <v>2067.9228745163073</v>
      </c>
      <c r="X41" s="572"/>
      <c r="Y41" s="82"/>
      <c r="Z41" s="302">
        <f>SUM(-tanks!AX37)*tanks!AU37</f>
        <v>5447.5548387096642</v>
      </c>
      <c r="AA41" s="101">
        <f>SUM(AB31/A36)</f>
        <v>779348.43333333335</v>
      </c>
      <c r="AB41" s="358">
        <f>SUM(AA41*A38)</f>
        <v>23380453</v>
      </c>
    </row>
    <row r="42" spans="1:32" ht="18.75">
      <c r="W42" s="82">
        <f>(AB30+AB55)/1507.5</f>
        <v>1428.0703150912107</v>
      </c>
      <c r="Z42" s="282">
        <f>SUM(Z40:Z41)</f>
        <v>7515.4777132259715</v>
      </c>
      <c r="AA42" s="301">
        <f>SUM(AA41/1507.5)</f>
        <v>516.98071862907682</v>
      </c>
      <c r="AB42" s="357">
        <f>SUM(AB41/1507.5)</f>
        <v>15509.421558872305</v>
      </c>
    </row>
    <row r="43" spans="1:32">
      <c r="D43" s="534"/>
      <c r="E43" s="534"/>
      <c r="F43" s="534"/>
      <c r="W43" s="82">
        <f>SUM(W41:W42)</f>
        <v>3495.9931896075177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5"/>
      <c r="W46" s="576"/>
      <c r="X46" s="17"/>
      <c r="Y46" s="17"/>
      <c r="Z46" s="577"/>
      <c r="AA46" s="17"/>
      <c r="AB46" s="675"/>
      <c r="AC46" s="675"/>
      <c r="AD46" s="17"/>
      <c r="AE46" s="17"/>
      <c r="AF46" s="17"/>
    </row>
    <row r="47" spans="1:32">
      <c r="V47" s="675"/>
      <c r="W47" s="675"/>
      <c r="X47" s="675"/>
      <c r="Y47" s="675"/>
      <c r="Z47" s="577"/>
      <c r="AA47" s="577"/>
      <c r="AB47" s="675"/>
      <c r="AC47" s="675"/>
      <c r="AD47" s="17"/>
      <c r="AE47" s="17"/>
      <c r="AF47" s="17"/>
    </row>
    <row r="48" spans="1:32">
      <c r="V48" s="675"/>
      <c r="W48" s="675"/>
      <c r="X48" s="675"/>
      <c r="Y48" s="675"/>
      <c r="Z48" s="675"/>
      <c r="AA48" s="675"/>
      <c r="AB48" s="675"/>
      <c r="AC48" s="675"/>
      <c r="AD48" s="17"/>
      <c r="AE48" s="17"/>
      <c r="AF48" s="17"/>
    </row>
    <row r="49" spans="22:32">
      <c r="V49" s="676"/>
      <c r="W49" s="676"/>
      <c r="X49" s="677"/>
      <c r="Y49" s="677"/>
      <c r="Z49" s="677"/>
      <c r="AA49" s="578"/>
      <c r="AB49" s="675"/>
      <c r="AC49" s="675"/>
      <c r="AD49" s="17"/>
      <c r="AE49" s="17"/>
      <c r="AF49" s="17"/>
    </row>
    <row r="50" spans="22:32">
      <c r="V50" s="575"/>
      <c r="W50" s="575"/>
      <c r="X50" s="575"/>
      <c r="Y50" s="575"/>
      <c r="Z50" s="575"/>
      <c r="AA50" s="575"/>
      <c r="AB50" s="575"/>
      <c r="AC50" s="579"/>
      <c r="AD50" s="17"/>
      <c r="AE50" s="17"/>
      <c r="AF50" s="17"/>
    </row>
    <row r="51" spans="22:32">
      <c r="V51" s="578"/>
      <c r="W51" s="578"/>
      <c r="X51" s="580"/>
      <c r="Y51" s="580"/>
      <c r="Z51" s="580"/>
      <c r="AA51" s="73"/>
      <c r="AB51" s="73"/>
      <c r="AC51" s="73"/>
      <c r="AD51" s="581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582"/>
      <c r="AF53" s="583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4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5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6"/>
      <c r="AB60" s="587"/>
      <c r="AC60" s="58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9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7"/>
      <c r="AC62" s="588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90"/>
      <c r="AC63" s="17"/>
      <c r="AD63" s="17"/>
      <c r="AE63" s="17"/>
      <c r="AF63" s="17"/>
    </row>
    <row r="64" spans="22:32">
      <c r="V64" s="220"/>
      <c r="W64" s="583"/>
      <c r="X64" s="17"/>
      <c r="Y64" s="17"/>
      <c r="Z64" s="582"/>
      <c r="AA64" s="591"/>
      <c r="AB64" s="58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433"/>
      <c r="AA65" s="580"/>
      <c r="AB65" s="580"/>
      <c r="AC65" s="17"/>
      <c r="AD65" s="17"/>
      <c r="AE65" s="17"/>
      <c r="AF65" s="17"/>
    </row>
    <row r="66" spans="22:32">
      <c r="V66" s="17"/>
      <c r="W66" s="583"/>
      <c r="X66" s="17"/>
      <c r="Y66" s="583"/>
      <c r="Z66" s="433"/>
      <c r="AA66" s="580"/>
      <c r="AB66" s="592"/>
      <c r="AC66" s="17"/>
      <c r="AD66" s="17"/>
      <c r="AE66" s="17"/>
      <c r="AF66" s="17"/>
    </row>
    <row r="67" spans="22:32" ht="18.75">
      <c r="V67" s="17"/>
      <c r="W67" s="583"/>
      <c r="X67" s="17"/>
      <c r="Y67" s="17"/>
      <c r="Z67" s="593"/>
      <c r="AA67" s="580"/>
      <c r="AB67" s="594"/>
      <c r="AC67" s="17"/>
      <c r="AD67" s="17"/>
      <c r="AE67" s="17"/>
      <c r="AF67" s="17"/>
    </row>
    <row r="68" spans="22:32">
      <c r="V68" s="17"/>
      <c r="W68" s="58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8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L35" sqref="L3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320</v>
      </c>
      <c r="C1" s="691"/>
      <c r="D1" s="693"/>
      <c r="E1" s="690" t="s">
        <v>321</v>
      </c>
      <c r="F1" s="691"/>
      <c r="G1" s="692"/>
      <c r="H1" s="687" t="s">
        <v>326</v>
      </c>
      <c r="I1" s="684" t="s">
        <v>327</v>
      </c>
      <c r="J1" s="681" t="s">
        <v>43</v>
      </c>
    </row>
    <row r="2" spans="1:18" ht="38.25" thickBot="1">
      <c r="A2" s="679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8"/>
      <c r="I2" s="685"/>
      <c r="J2" s="682"/>
    </row>
    <row r="3" spans="1:18" ht="24" customHeight="1" thickBot="1">
      <c r="A3" s="680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9"/>
      <c r="I3" s="686"/>
      <c r="J3" s="683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44074</v>
      </c>
      <c r="B5" s="524"/>
      <c r="C5" s="524"/>
      <c r="D5" s="524"/>
      <c r="E5" s="524"/>
      <c r="F5" s="524"/>
      <c r="G5" s="524"/>
      <c r="H5" s="524">
        <v>6541</v>
      </c>
      <c r="I5" s="524">
        <f>'[2]Swimming Pool quality check '!$B$36</f>
        <v>2.5</v>
      </c>
      <c r="J5" s="532">
        <f>'[9]Swimming Pool quality check '!J36</f>
        <v>0.33333333333333398</v>
      </c>
      <c r="K5" s="417">
        <v>0</v>
      </c>
      <c r="L5" s="549">
        <f>A5</f>
        <v>44074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44075</v>
      </c>
      <c r="B6" s="566"/>
      <c r="C6" s="567"/>
      <c r="D6" s="568"/>
      <c r="E6" s="568"/>
      <c r="F6" s="568"/>
      <c r="G6" s="568"/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44075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44076</v>
      </c>
      <c r="B7" s="553"/>
      <c r="C7" s="565"/>
      <c r="D7" s="170"/>
      <c r="E7" s="170"/>
      <c r="F7" s="170"/>
      <c r="G7" s="170"/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44076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44077</v>
      </c>
      <c r="B8" s="553"/>
      <c r="C8" s="552"/>
      <c r="D8" s="170"/>
      <c r="E8" s="170"/>
      <c r="F8" s="170"/>
      <c r="G8" s="170"/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44077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44078</v>
      </c>
      <c r="B9" s="553"/>
      <c r="C9" s="553"/>
      <c r="D9" s="553"/>
      <c r="E9" s="553"/>
      <c r="F9" s="553"/>
      <c r="G9" s="553"/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44078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44079</v>
      </c>
      <c r="B10" s="553"/>
      <c r="C10" s="553"/>
      <c r="D10" s="553"/>
      <c r="E10" s="553"/>
      <c r="F10" s="553"/>
      <c r="G10" s="553"/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44079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44080</v>
      </c>
      <c r="B11" s="553"/>
      <c r="C11" s="553"/>
      <c r="D11" s="553"/>
      <c r="E11" s="553"/>
      <c r="F11" s="553"/>
      <c r="G11" s="553"/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44080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44081</v>
      </c>
      <c r="B12" s="553"/>
      <c r="C12" s="553"/>
      <c r="D12" s="553"/>
      <c r="E12" s="553"/>
      <c r="F12" s="553"/>
      <c r="G12" s="553"/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44081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3"/>
      <c r="C13" s="553"/>
      <c r="D13" s="553"/>
      <c r="E13" s="553"/>
      <c r="F13" s="553"/>
      <c r="G13" s="553"/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44082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44083</v>
      </c>
      <c r="B14" s="553"/>
      <c r="C14" s="553"/>
      <c r="D14" s="553"/>
      <c r="E14" s="553"/>
      <c r="F14" s="553"/>
      <c r="G14" s="553"/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44083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44084</v>
      </c>
      <c r="B15" s="553"/>
      <c r="C15" s="553"/>
      <c r="D15" s="553"/>
      <c r="E15" s="553"/>
      <c r="F15" s="553"/>
      <c r="G15" s="553"/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44084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44085</v>
      </c>
      <c r="B16" s="553"/>
      <c r="C16" s="553"/>
      <c r="D16" s="553"/>
      <c r="E16" s="553"/>
      <c r="F16" s="553"/>
      <c r="G16" s="553"/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44085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44086</v>
      </c>
      <c r="B17" s="553"/>
      <c r="C17" s="553"/>
      <c r="D17" s="553"/>
      <c r="E17" s="553"/>
      <c r="F17" s="553"/>
      <c r="G17" s="553"/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44086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44087</v>
      </c>
      <c r="B18" s="553"/>
      <c r="C18" s="553"/>
      <c r="D18" s="553"/>
      <c r="E18" s="553"/>
      <c r="F18" s="553"/>
      <c r="G18" s="553"/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44087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44088</v>
      </c>
      <c r="B19" s="553"/>
      <c r="C19" s="553"/>
      <c r="D19" s="553"/>
      <c r="E19" s="553"/>
      <c r="F19" s="553"/>
      <c r="G19" s="553"/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44088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44089</v>
      </c>
      <c r="B20" s="553"/>
      <c r="C20" s="553"/>
      <c r="D20" s="553"/>
      <c r="E20" s="553"/>
      <c r="F20" s="553"/>
      <c r="G20" s="553"/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44089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44090</v>
      </c>
      <c r="B21" s="553"/>
      <c r="C21" s="553"/>
      <c r="D21" s="553"/>
      <c r="E21" s="553"/>
      <c r="F21" s="553"/>
      <c r="G21" s="553"/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44090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44091</v>
      </c>
      <c r="B22" s="553"/>
      <c r="C22" s="553"/>
      <c r="D22" s="553"/>
      <c r="E22" s="553"/>
      <c r="F22" s="553"/>
      <c r="G22" s="553"/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44091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44092</v>
      </c>
      <c r="B23" s="553"/>
      <c r="C23" s="553"/>
      <c r="D23" s="553"/>
      <c r="E23" s="553"/>
      <c r="F23" s="553"/>
      <c r="G23" s="553"/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44092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44093</v>
      </c>
      <c r="B24" s="553"/>
      <c r="C24" s="553"/>
      <c r="D24" s="553"/>
      <c r="E24" s="553"/>
      <c r="F24" s="553"/>
      <c r="G24" s="553"/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44093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44094</v>
      </c>
      <c r="B25" s="553"/>
      <c r="C25" s="553"/>
      <c r="D25" s="553"/>
      <c r="E25" s="553"/>
      <c r="F25" s="553"/>
      <c r="G25" s="553"/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44094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44095</v>
      </c>
      <c r="B26" s="553"/>
      <c r="C26" s="553"/>
      <c r="D26" s="553"/>
      <c r="E26" s="553"/>
      <c r="F26" s="553"/>
      <c r="G26" s="553"/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44095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44096</v>
      </c>
      <c r="B27" s="553"/>
      <c r="C27" s="553"/>
      <c r="D27" s="553"/>
      <c r="E27" s="553"/>
      <c r="F27" s="553"/>
      <c r="G27" s="553"/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44097</v>
      </c>
      <c r="B28" s="553"/>
      <c r="C28" s="553"/>
      <c r="D28" s="553"/>
      <c r="E28" s="553"/>
      <c r="F28" s="553"/>
      <c r="G28" s="553"/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44098</v>
      </c>
      <c r="B29" s="553"/>
      <c r="C29" s="553"/>
      <c r="D29" s="553"/>
      <c r="E29" s="553"/>
      <c r="F29" s="553"/>
      <c r="G29" s="553"/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44099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44100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44101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44102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44103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44104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44105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3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411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6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6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6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6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6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6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6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6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6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6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6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6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6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6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6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6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6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6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6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6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6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6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6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6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6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6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6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6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6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6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6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6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6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6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6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6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6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6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6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6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6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6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6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6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6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6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6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6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6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6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6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6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6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6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6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6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6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6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6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0</v>
      </c>
      <c r="K52" s="278">
        <f>'General information '!C10</f>
        <v>0</v>
      </c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0</v>
      </c>
      <c r="K53" s="278">
        <f>'General information '!C11</f>
        <v>0</v>
      </c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0</v>
      </c>
      <c r="K54" s="278">
        <f>'General information '!C12</f>
        <v>0</v>
      </c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0</v>
      </c>
      <c r="K55" s="278">
        <f>'General information '!C13</f>
        <v>0</v>
      </c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0</v>
      </c>
      <c r="K56" s="278">
        <f>'General information '!C14</f>
        <v>0</v>
      </c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0</v>
      </c>
      <c r="K57" s="278">
        <f>'General information '!C15</f>
        <v>0</v>
      </c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0</v>
      </c>
      <c r="K58" s="278">
        <f>'General information '!C16</f>
        <v>0</v>
      </c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0</v>
      </c>
      <c r="K59" s="278">
        <f>'General information '!C17</f>
        <v>0</v>
      </c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0</v>
      </c>
      <c r="K60" s="278">
        <f>'General information '!C18</f>
        <v>0</v>
      </c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0</v>
      </c>
      <c r="K61" s="278">
        <f>'General information '!C19</f>
        <v>0</v>
      </c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0</v>
      </c>
      <c r="K62" s="278">
        <f>'General information '!C20</f>
        <v>0</v>
      </c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0</v>
      </c>
      <c r="K63" s="278">
        <f>'General information '!C21</f>
        <v>0</v>
      </c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-475.80000000000018</v>
      </c>
      <c r="K81" s="119">
        <f>SUMIF(L48:L78,"&gt;0")</f>
        <v>47.3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.25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.75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-2578.9</v>
      </c>
      <c r="O86" s="142">
        <f>C43+G43+K43+O43+S43+W43+C81+G81+K81+O81+S81+W81</f>
        <v>982.69999999999959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19" sqref="B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4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0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1000</v>
      </c>
      <c r="G7" s="525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</v>
      </c>
      <c r="C8" s="508">
        <f>SUM(tanks!AU37)</f>
        <v>1</v>
      </c>
      <c r="D8" s="194">
        <f>SUM(B8*C8)*D4</f>
        <v>1507.5</v>
      </c>
      <c r="E8" s="195">
        <f>SUM(D8/D4/F4)</f>
        <v>0.25</v>
      </c>
      <c r="F8" s="195">
        <f>SUM(E8*F4)</f>
        <v>1</v>
      </c>
      <c r="G8" s="525">
        <f>E8*$F$4</f>
        <v>1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1.7499999999999998E-2</v>
      </c>
      <c r="F9" s="192">
        <f>SUM(E9*F4)</f>
        <v>6.9999999999999993E-2</v>
      </c>
      <c r="G9" s="525">
        <f>E9*$G$4</f>
        <v>0.52499999999999991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3117393.7333333334</v>
      </c>
      <c r="E10" s="185">
        <f>SUM(D10/D4/F4)</f>
        <v>516.98071862907682</v>
      </c>
      <c r="F10" s="185">
        <f>SUM(E10*F4)</f>
        <v>2067.9228745163073</v>
      </c>
      <c r="G10" s="525">
        <f>E10*$G$4</f>
        <v>15509.421558872305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767.24821862907686</v>
      </c>
      <c r="F12" s="183">
        <f>SUM(F6:F10)</f>
        <v>3068.9928745163074</v>
      </c>
      <c r="G12" s="182">
        <f>SUM(G6:G10)</f>
        <v>23010.946558872303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4">
        <v>0</v>
      </c>
      <c r="G14" s="433"/>
      <c r="H14" s="434">
        <f>SUM(G12-H12)</f>
        <v>-33489.053441127697</v>
      </c>
      <c r="I14" s="434">
        <f>SUM(G12-I12)</f>
        <v>-80589.053441127704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30.125</v>
      </c>
      <c r="C16" s="445">
        <f>'[11]Utility Cost '!D16</f>
        <v>27.833333333333332</v>
      </c>
      <c r="D16" s="445"/>
      <c r="E16" s="446">
        <f t="shared" si="0"/>
        <v>2.2916666666666679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</v>
      </c>
      <c r="C17" s="538">
        <f>'[11]Utility Cost '!D17</f>
        <v>0.68726333333333334</v>
      </c>
      <c r="D17" s="491">
        <v>0</v>
      </c>
      <c r="E17" s="538">
        <f t="shared" si="0"/>
        <v>-0.68726333333333334</v>
      </c>
      <c r="F17" s="542">
        <f>B17-D17</f>
        <v>0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51</v>
      </c>
      <c r="C18" s="445">
        <f>'[11]Utility Cost '!D18</f>
        <v>329</v>
      </c>
      <c r="D18" s="443">
        <f>'[12]Other Fuel Calculation 2020'!$J$60</f>
        <v>307.66666666666669</v>
      </c>
      <c r="E18" s="540">
        <f t="shared" si="0"/>
        <v>-278</v>
      </c>
      <c r="F18" s="543">
        <f>B18-D18</f>
        <v>-256.66666666666669</v>
      </c>
    </row>
    <row r="19" spans="1:10">
      <c r="A19" s="537" t="s">
        <v>413</v>
      </c>
      <c r="B19" s="535">
        <f>SUM(B18/$F$4)</f>
        <v>12.75</v>
      </c>
      <c r="C19" s="445">
        <f>'[11]Utility Cost '!D19</f>
        <v>0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2020-09-05T08:06:34Z</dcterms:modified>
</cp:coreProperties>
</file>