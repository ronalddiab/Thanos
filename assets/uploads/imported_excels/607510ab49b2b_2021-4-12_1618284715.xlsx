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1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<sst xmlns="http://schemas.openxmlformats.org/spreadsheetml/2006/main" count="128" uniqueCount="49">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</sst>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Submetering!R9</f>
        <v>704.84334199999989</v>
      </c>
      <c r="H9" s="11">
        <v>0.52800000000000002</v>
      </c>
      <c r="I9" s="12">
        <f>Hotel!B14</f>
        <v>129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47580</v>
      </c>
      <c r="F10" s="11">
        <v>5.0000000000000001E-3</v>
      </c>
      <c r="G10" s="12">
        <f>Submetering!R10</f>
        <v>689.70170199999995</v>
      </c>
      <c r="H10" s="11">
        <v>0.52800000000000002</v>
      </c>
      <c r="I10" s="12">
        <f>Hotel!B15</f>
        <v>166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45660</v>
      </c>
      <c r="F11" s="11">
        <v>5.0000000000000001E-3</v>
      </c>
      <c r="G11" s="12">
        <f>Submetering!R11</f>
        <v>674.56006200000002</v>
      </c>
      <c r="H11" s="11">
        <v>0.52800000000000002</v>
      </c>
      <c r="I11" s="12">
        <f>Hotel!B16</f>
        <v>117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45170</v>
      </c>
      <c r="F12" s="11">
        <v>5.0000000000000001E-3</v>
      </c>
      <c r="G12" s="12">
        <f>Submetering!R12</f>
        <v>831.27603600000009</v>
      </c>
      <c r="H12" s="11">
        <v>0.52800000000000002</v>
      </c>
      <c r="I12" s="12">
        <f>Hotel!B17</f>
        <v>96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46550</v>
      </c>
      <c r="F13" s="11">
        <v>5.0000000000000001E-3</v>
      </c>
      <c r="G13" s="12">
        <f>Submetering!R13</f>
        <v>647.30511000000001</v>
      </c>
      <c r="H13" s="11">
        <v>0.52800000000000002</v>
      </c>
      <c r="I13" s="12">
        <f>Hotel!B18</f>
        <v>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Hotel!AV14*0.00378541*100</f>
        <v>704.84334199999989</v>
      </c>
      <c r="S9" s="4">
        <f>Hotel!B14</f>
        <v>129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3690</v>
      </c>
      <c r="H10" s="4">
        <f>Hotel!T15</f>
        <v>1510</v>
      </c>
      <c r="I10" s="4">
        <f>Hotel!U15</f>
        <v>3940</v>
      </c>
      <c r="J10" s="4">
        <f>Hotel!V15</f>
        <v>2840</v>
      </c>
      <c r="K10" s="4">
        <f>Hotel!W15</f>
        <v>2280</v>
      </c>
      <c r="L10" s="4">
        <f>Hotel!X15</f>
        <v>3300</v>
      </c>
      <c r="M10" s="4">
        <f>Hotel!Y15</f>
        <v>4480</v>
      </c>
      <c r="N10" s="4">
        <f>Hotel!Z15</f>
        <v>2470</v>
      </c>
      <c r="O10" s="4">
        <f>Hotel!AA15</f>
        <v>3670</v>
      </c>
      <c r="P10" s="4">
        <f>Hotel!AB15</f>
        <v>6540</v>
      </c>
      <c r="Q10" s="4">
        <f>Hotel!AC15</f>
        <v>10420</v>
      </c>
      <c r="R10" s="4">
        <f>Hotel!AV15*0.00378541*100</f>
        <v>689.70170199999995</v>
      </c>
      <c r="S10" s="4">
        <f>Hotel!B15</f>
        <v>166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540</v>
      </c>
      <c r="F11" s="4">
        <f>Hotel!R16</f>
        <v>1810</v>
      </c>
      <c r="G11" s="4">
        <f>Hotel!S16</f>
        <v>3560</v>
      </c>
      <c r="H11" s="4">
        <f>Hotel!T16</f>
        <v>1480</v>
      </c>
      <c r="I11" s="4">
        <f>Hotel!U16</f>
        <v>4170</v>
      </c>
      <c r="J11" s="4">
        <f>Hotel!V16</f>
        <v>2760</v>
      </c>
      <c r="K11" s="4">
        <f>Hotel!W16</f>
        <v>2190</v>
      </c>
      <c r="L11" s="4">
        <f>Hotel!X16</f>
        <v>3090</v>
      </c>
      <c r="M11" s="4">
        <f>Hotel!Y16</f>
        <v>4210</v>
      </c>
      <c r="N11" s="4">
        <f>Hotel!Z16</f>
        <v>2320</v>
      </c>
      <c r="O11" s="4">
        <f>Hotel!AA16</f>
        <v>3600</v>
      </c>
      <c r="P11" s="4">
        <f>Hotel!AB16</f>
        <v>6300</v>
      </c>
      <c r="Q11" s="4">
        <f>Hotel!AC16</f>
        <v>9630</v>
      </c>
      <c r="R11" s="4">
        <f>Hotel!AV16*0.00378541*100</f>
        <v>674.56006200000002</v>
      </c>
      <c r="S11" s="4">
        <f>Hotel!B16</f>
        <v>117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540</v>
      </c>
      <c r="F12" s="4">
        <f>Hotel!R17</f>
        <v>1850</v>
      </c>
      <c r="G12" s="4">
        <f>Hotel!S17</f>
        <v>3410</v>
      </c>
      <c r="H12" s="4">
        <f>Hotel!T17</f>
        <v>1470</v>
      </c>
      <c r="I12" s="4">
        <f>Hotel!U17</f>
        <v>3900</v>
      </c>
      <c r="J12" s="4">
        <f>Hotel!V17</f>
        <v>2680</v>
      </c>
      <c r="K12" s="4">
        <f>Hotel!W17</f>
        <v>2220</v>
      </c>
      <c r="L12" s="4">
        <f>Hotel!X17</f>
        <v>2640</v>
      </c>
      <c r="M12" s="4">
        <f>Hotel!Y17</f>
        <v>4170</v>
      </c>
      <c r="N12" s="4">
        <f>Hotel!Z17</f>
        <v>2260</v>
      </c>
      <c r="O12" s="4">
        <f>Hotel!AA17</f>
        <v>3710</v>
      </c>
      <c r="P12" s="4">
        <f>Hotel!AB17</f>
        <v>6460</v>
      </c>
      <c r="Q12" s="4">
        <f>Hotel!AC17</f>
        <v>9860</v>
      </c>
      <c r="R12" s="4">
        <f>Hotel!AV17*0.00378541*100</f>
        <v>831.27603600000009</v>
      </c>
      <c r="S12" s="4">
        <f>Hotel!B17</f>
        <v>96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580</v>
      </c>
      <c r="F13" s="4">
        <f>Hotel!R18</f>
        <v>1980</v>
      </c>
      <c r="G13" s="4">
        <f>Hotel!S18</f>
        <v>3560</v>
      </c>
      <c r="H13" s="4">
        <f>Hotel!T18</f>
        <v>1560</v>
      </c>
      <c r="I13" s="4">
        <f>Hotel!U18</f>
        <v>3870</v>
      </c>
      <c r="J13" s="4">
        <f>Hotel!V18</f>
        <v>2710</v>
      </c>
      <c r="K13" s="4">
        <f>Hotel!W18</f>
        <v>2360</v>
      </c>
      <c r="L13" s="4">
        <f>Hotel!X18</f>
        <v>2600</v>
      </c>
      <c r="M13" s="4">
        <f>Hotel!Y18</f>
        <v>4200</v>
      </c>
      <c r="N13" s="4">
        <f>Hotel!Z18</f>
        <v>2320</v>
      </c>
      <c r="O13" s="4">
        <f>Hotel!AA18</f>
        <v>3190</v>
      </c>
      <c r="P13" s="4">
        <f>Hotel!AB18</f>
        <v>6810</v>
      </c>
      <c r="Q13" s="4">
        <f>Hotel!AC18</f>
        <v>10810</v>
      </c>
      <c r="R13" s="4">
        <f>Hotel!AV18*0.00378541*100</f>
        <v>647.30511000000001</v>
      </c>
      <c r="S13" s="4">
        <f>Hotel!B18</f>
        <v>32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O18" sqref="O1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53"/>
      <c r="Q14" s="37">
        <f t="shared" si="16"/>
        <v>530</v>
      </c>
      <c r="R14" s="37">
        <f t="shared" si="17"/>
        <v>1780</v>
      </c>
      <c r="S14" s="37">
        <f t="shared" si="15"/>
        <v>3390</v>
      </c>
      <c r="T14" s="37">
        <f t="shared" si="32"/>
        <v>1430</v>
      </c>
      <c r="U14" s="37">
        <f t="shared" si="32"/>
        <v>3670</v>
      </c>
      <c r="V14" s="37">
        <f t="shared" si="32"/>
        <v>2700</v>
      </c>
      <c r="W14" s="37">
        <f t="shared" si="32"/>
        <v>2140</v>
      </c>
      <c r="X14" s="37">
        <f t="shared" si="22"/>
        <v>2950</v>
      </c>
      <c r="Y14" s="37">
        <f t="shared" si="23"/>
        <v>3970</v>
      </c>
      <c r="Z14" s="37">
        <f>IF((L14-L13&lt;0), "0",L14-L13)</f>
        <v>2220</v>
      </c>
      <c r="AA14" s="37">
        <f t="shared" si="25"/>
        <v>3540</v>
      </c>
      <c r="AB14" s="37">
        <f t="shared" si="26"/>
        <v>6000</v>
      </c>
      <c r="AC14" s="37">
        <f t="shared" si="27"/>
        <v>7930</v>
      </c>
      <c r="AD14" s="35">
        <f t="shared" si="28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29"/>
        <v>211.25</v>
      </c>
      <c r="AU14" s="47">
        <v>546613</v>
      </c>
      <c r="AV14" s="37">
        <f t="shared" si="31"/>
        <v>1862</v>
      </c>
      <c r="AW14" s="35">
        <f t="shared" si="30"/>
        <v>3.7240000000000002</v>
      </c>
    </row>
    <row r="15" spans="1:49" x14ac:dyDescent="0.25">
      <c r="A15" s="23">
        <v>44295</v>
      </c>
      <c r="B15" s="40">
        <v>166</v>
      </c>
      <c r="C15" s="24">
        <v>6561390</v>
      </c>
      <c r="D15" s="24">
        <v>15220630</v>
      </c>
      <c r="E15" s="24">
        <v>2539220</v>
      </c>
      <c r="F15" s="24">
        <v>3380770</v>
      </c>
      <c r="G15" s="24">
        <v>10167850</v>
      </c>
      <c r="H15" s="24">
        <v>5338370</v>
      </c>
      <c r="I15" s="24">
        <v>4942380</v>
      </c>
      <c r="J15" s="24">
        <v>5739380</v>
      </c>
      <c r="K15" s="24">
        <v>8931220</v>
      </c>
      <c r="L15" s="24">
        <v>3696870</v>
      </c>
      <c r="M15" s="24">
        <v>7719260</v>
      </c>
      <c r="N15" s="24">
        <v>11628840</v>
      </c>
      <c r="O15" s="24">
        <v>16081380</v>
      </c>
      <c r="Q15" s="37">
        <f t="shared" si="16"/>
        <v>550</v>
      </c>
      <c r="R15" s="37">
        <f t="shared" si="17"/>
        <v>1890</v>
      </c>
      <c r="S15" s="37">
        <f t="shared" si="15"/>
        <v>3690</v>
      </c>
      <c r="T15" s="37">
        <f t="shared" si="18"/>
        <v>1510</v>
      </c>
      <c r="U15" s="37">
        <f t="shared" si="19"/>
        <v>3940</v>
      </c>
      <c r="V15" s="37">
        <f t="shared" si="20"/>
        <v>2840</v>
      </c>
      <c r="W15" s="37">
        <f t="shared" si="21"/>
        <v>2280</v>
      </c>
      <c r="X15" s="37">
        <f t="shared" si="22"/>
        <v>3300</v>
      </c>
      <c r="Y15" s="37">
        <f t="shared" si="23"/>
        <v>4480</v>
      </c>
      <c r="Z15" s="37">
        <f t="shared" si="24"/>
        <v>2470</v>
      </c>
      <c r="AA15" s="37">
        <f t="shared" si="25"/>
        <v>3670</v>
      </c>
      <c r="AB15" s="37">
        <f t="shared" si="26"/>
        <v>6540</v>
      </c>
      <c r="AC15" s="37">
        <f t="shared" si="27"/>
        <v>10420</v>
      </c>
      <c r="AD15" s="35">
        <f t="shared" si="28"/>
        <v>47580</v>
      </c>
      <c r="AF15" s="20">
        <f t="shared" si="1"/>
        <v>2.75</v>
      </c>
      <c r="AG15" s="20">
        <f t="shared" si="2"/>
        <v>9.4500000000000011</v>
      </c>
      <c r="AH15" s="20">
        <f t="shared" si="3"/>
        <v>18.45</v>
      </c>
      <c r="AI15" s="20">
        <f t="shared" si="4"/>
        <v>7.55</v>
      </c>
      <c r="AJ15" s="20">
        <f t="shared" si="5"/>
        <v>19.7</v>
      </c>
      <c r="AK15" s="20">
        <f t="shared" si="6"/>
        <v>14.200000000000001</v>
      </c>
      <c r="AL15" s="20">
        <f t="shared" si="7"/>
        <v>11.4</v>
      </c>
      <c r="AM15" s="20">
        <f t="shared" si="8"/>
        <v>16.5</v>
      </c>
      <c r="AN15" s="20">
        <f t="shared" si="9"/>
        <v>22.400000000000002</v>
      </c>
      <c r="AO15" s="20">
        <f t="shared" si="10"/>
        <v>12.35</v>
      </c>
      <c r="AP15" s="20">
        <f t="shared" si="11"/>
        <v>18.350000000000001</v>
      </c>
      <c r="AQ15" s="20">
        <f t="shared" si="12"/>
        <v>32.700000000000003</v>
      </c>
      <c r="AR15" s="20">
        <f t="shared" si="13"/>
        <v>52.1</v>
      </c>
      <c r="AS15" s="35">
        <f t="shared" si="29"/>
        <v>237.9</v>
      </c>
      <c r="AU15" s="47">
        <v>548435</v>
      </c>
      <c r="AV15" s="37">
        <f t="shared" si="31"/>
        <v>1822</v>
      </c>
      <c r="AW15" s="35">
        <f t="shared" si="30"/>
        <v>3.6440000000000001</v>
      </c>
    </row>
    <row r="16" spans="1:49" x14ac:dyDescent="0.25">
      <c r="A16" s="23">
        <v>44296</v>
      </c>
      <c r="B16" s="40">
        <v>117</v>
      </c>
      <c r="C16" s="24">
        <v>6561930</v>
      </c>
      <c r="D16" s="24">
        <v>15222440</v>
      </c>
      <c r="E16" s="24">
        <v>2542780</v>
      </c>
      <c r="F16" s="24">
        <v>3382250</v>
      </c>
      <c r="G16" s="24">
        <v>10172020</v>
      </c>
      <c r="H16" s="24">
        <v>5341130</v>
      </c>
      <c r="I16" s="24">
        <v>4944570</v>
      </c>
      <c r="J16" s="24">
        <v>5742470</v>
      </c>
      <c r="K16" s="24">
        <v>8935430</v>
      </c>
      <c r="L16" s="24">
        <v>3699190</v>
      </c>
      <c r="M16" s="24">
        <v>7722860</v>
      </c>
      <c r="N16" s="24">
        <v>11635140</v>
      </c>
      <c r="O16" s="24">
        <v>16091010</v>
      </c>
      <c r="Q16" s="37">
        <f t="shared" si="16"/>
        <v>540</v>
      </c>
      <c r="R16" s="37">
        <f t="shared" si="17"/>
        <v>1810</v>
      </c>
      <c r="S16" s="37">
        <f t="shared" si="15"/>
        <v>3560</v>
      </c>
      <c r="T16" s="37">
        <f t="shared" si="18"/>
        <v>1480</v>
      </c>
      <c r="U16" s="37">
        <f t="shared" si="19"/>
        <v>4170</v>
      </c>
      <c r="V16" s="37">
        <f t="shared" si="20"/>
        <v>2760</v>
      </c>
      <c r="W16" s="37">
        <f t="shared" si="21"/>
        <v>2190</v>
      </c>
      <c r="X16" s="37">
        <f t="shared" si="22"/>
        <v>3090</v>
      </c>
      <c r="Y16" s="37">
        <f t="shared" si="23"/>
        <v>4210</v>
      </c>
      <c r="Z16" s="37">
        <f t="shared" si="24"/>
        <v>2320</v>
      </c>
      <c r="AA16" s="37">
        <f t="shared" si="25"/>
        <v>3600</v>
      </c>
      <c r="AB16" s="37">
        <f t="shared" si="26"/>
        <v>6300</v>
      </c>
      <c r="AC16" s="37">
        <f t="shared" si="27"/>
        <v>9630</v>
      </c>
      <c r="AD16" s="35">
        <f t="shared" si="28"/>
        <v>45660</v>
      </c>
      <c r="AF16" s="20">
        <f t="shared" si="1"/>
        <v>2.7</v>
      </c>
      <c r="AG16" s="20">
        <f t="shared" si="2"/>
        <v>9.0500000000000007</v>
      </c>
      <c r="AH16" s="20">
        <f t="shared" si="3"/>
        <v>17.8</v>
      </c>
      <c r="AI16" s="20">
        <f t="shared" si="4"/>
        <v>7.4</v>
      </c>
      <c r="AJ16" s="20">
        <f t="shared" si="5"/>
        <v>20.85</v>
      </c>
      <c r="AK16" s="20">
        <f t="shared" si="6"/>
        <v>13.8</v>
      </c>
      <c r="AL16" s="20">
        <f t="shared" si="7"/>
        <v>10.950000000000001</v>
      </c>
      <c r="AM16" s="20">
        <f t="shared" si="8"/>
        <v>15.450000000000001</v>
      </c>
      <c r="AN16" s="20">
        <f t="shared" si="9"/>
        <v>21.05</v>
      </c>
      <c r="AO16" s="20">
        <f t="shared" si="10"/>
        <v>11.6</v>
      </c>
      <c r="AP16" s="20">
        <f t="shared" si="11"/>
        <v>18</v>
      </c>
      <c r="AQ16" s="20">
        <f t="shared" si="12"/>
        <v>31.5</v>
      </c>
      <c r="AR16" s="20">
        <f t="shared" si="13"/>
        <v>48.15</v>
      </c>
      <c r="AS16" s="35">
        <f t="shared" si="29"/>
        <v>228.3</v>
      </c>
      <c r="AU16" s="47">
        <v>550217</v>
      </c>
      <c r="AV16" s="37">
        <f t="shared" si="31"/>
        <v>1782</v>
      </c>
      <c r="AW16" s="35">
        <f t="shared" si="30"/>
        <v>3.5640000000000001</v>
      </c>
    </row>
    <row r="17" spans="1:49" x14ac:dyDescent="0.25">
      <c r="A17" s="23">
        <v>44297</v>
      </c>
      <c r="B17" s="40">
        <v>96</v>
      </c>
      <c r="C17" s="24">
        <v>6562470</v>
      </c>
      <c r="D17" s="24">
        <v>15224290</v>
      </c>
      <c r="E17" s="24">
        <v>2546190</v>
      </c>
      <c r="F17" s="24">
        <v>3383720</v>
      </c>
      <c r="G17" s="24">
        <v>10175920</v>
      </c>
      <c r="H17" s="24">
        <v>5343810</v>
      </c>
      <c r="I17" s="24">
        <v>4946790</v>
      </c>
      <c r="J17" s="24">
        <v>5745110</v>
      </c>
      <c r="K17" s="24">
        <v>8939600</v>
      </c>
      <c r="L17" s="24">
        <v>3701450</v>
      </c>
      <c r="M17" s="24">
        <v>7726570</v>
      </c>
      <c r="N17" s="24">
        <v>11641600</v>
      </c>
      <c r="O17" s="24">
        <v>16100870</v>
      </c>
      <c r="Q17" s="37">
        <f t="shared" si="16"/>
        <v>540</v>
      </c>
      <c r="R17" s="37">
        <f t="shared" si="17"/>
        <v>1850</v>
      </c>
      <c r="S17" s="37">
        <f t="shared" si="15"/>
        <v>3410</v>
      </c>
      <c r="T17" s="37">
        <f t="shared" si="18"/>
        <v>1470</v>
      </c>
      <c r="U17" s="37">
        <f t="shared" si="19"/>
        <v>3900</v>
      </c>
      <c r="V17" s="37">
        <f t="shared" si="20"/>
        <v>2680</v>
      </c>
      <c r="W17" s="37">
        <f t="shared" si="21"/>
        <v>2220</v>
      </c>
      <c r="X17" s="37">
        <f t="shared" si="22"/>
        <v>2640</v>
      </c>
      <c r="Y17" s="37">
        <f t="shared" si="23"/>
        <v>4170</v>
      </c>
      <c r="Z17" s="37">
        <f t="shared" si="24"/>
        <v>2260</v>
      </c>
      <c r="AA17" s="37">
        <f t="shared" si="25"/>
        <v>3710</v>
      </c>
      <c r="AB17" s="37">
        <f t="shared" si="26"/>
        <v>6460</v>
      </c>
      <c r="AC17" s="37">
        <f t="shared" si="27"/>
        <v>9860</v>
      </c>
      <c r="AD17" s="35">
        <f t="shared" si="28"/>
        <v>45170</v>
      </c>
      <c r="AF17" s="20">
        <f t="shared" si="1"/>
        <v>2.7</v>
      </c>
      <c r="AG17" s="20">
        <f t="shared" si="2"/>
        <v>9.25</v>
      </c>
      <c r="AH17" s="20">
        <f t="shared" si="3"/>
        <v>17.05</v>
      </c>
      <c r="AI17" s="20">
        <f t="shared" si="4"/>
        <v>7.3500000000000005</v>
      </c>
      <c r="AJ17" s="20">
        <f t="shared" si="5"/>
        <v>19.5</v>
      </c>
      <c r="AK17" s="20">
        <f t="shared" si="6"/>
        <v>13.4</v>
      </c>
      <c r="AL17" s="20">
        <f t="shared" si="7"/>
        <v>11.1</v>
      </c>
      <c r="AM17" s="20">
        <f t="shared" si="8"/>
        <v>13.200000000000001</v>
      </c>
      <c r="AN17" s="20">
        <f t="shared" si="9"/>
        <v>20.85</v>
      </c>
      <c r="AO17" s="20">
        <f t="shared" si="10"/>
        <v>11.3</v>
      </c>
      <c r="AP17" s="20">
        <f t="shared" si="11"/>
        <v>18.55</v>
      </c>
      <c r="AQ17" s="20">
        <f t="shared" si="12"/>
        <v>32.299999999999997</v>
      </c>
      <c r="AR17" s="20">
        <f t="shared" si="13"/>
        <v>49.300000000000004</v>
      </c>
      <c r="AS17" s="35">
        <f t="shared" si="29"/>
        <v>225.85000000000002</v>
      </c>
      <c r="AU17" s="47">
        <v>552413</v>
      </c>
      <c r="AV17" s="37">
        <f t="shared" si="31"/>
        <v>2196</v>
      </c>
      <c r="AW17" s="35">
        <f t="shared" si="30"/>
        <v>4.3920000000000003</v>
      </c>
    </row>
    <row r="18" spans="1:49" x14ac:dyDescent="0.25">
      <c r="A18" s="23">
        <v>44298</v>
      </c>
      <c r="B18" s="40">
        <v>32</v>
      </c>
      <c r="C18" s="24">
        <v>6563050</v>
      </c>
      <c r="D18" s="24">
        <v>15226270</v>
      </c>
      <c r="E18" s="24">
        <v>2549750</v>
      </c>
      <c r="F18" s="24">
        <v>3385280</v>
      </c>
      <c r="G18" s="24">
        <v>10179790</v>
      </c>
      <c r="H18" s="24">
        <v>5346520</v>
      </c>
      <c r="I18" s="24">
        <v>4949150</v>
      </c>
      <c r="J18" s="24">
        <v>5747710</v>
      </c>
      <c r="K18" s="24">
        <v>8943800</v>
      </c>
      <c r="L18" s="24">
        <v>3703770</v>
      </c>
      <c r="M18" s="24">
        <v>7729760</v>
      </c>
      <c r="N18" s="24">
        <v>11648410</v>
      </c>
      <c r="O18" s="24">
        <v>16111680</v>
      </c>
      <c r="Q18" s="37">
        <f t="shared" si="16"/>
        <v>580</v>
      </c>
      <c r="R18" s="37">
        <f t="shared" si="17"/>
        <v>1980</v>
      </c>
      <c r="S18" s="37">
        <f t="shared" si="15"/>
        <v>3560</v>
      </c>
      <c r="T18" s="37">
        <f t="shared" si="18"/>
        <v>1560</v>
      </c>
      <c r="U18" s="37">
        <f t="shared" si="19"/>
        <v>3870</v>
      </c>
      <c r="V18" s="37">
        <f t="shared" si="20"/>
        <v>2710</v>
      </c>
      <c r="W18" s="37">
        <f t="shared" si="21"/>
        <v>2360</v>
      </c>
      <c r="X18" s="37">
        <f t="shared" si="22"/>
        <v>2600</v>
      </c>
      <c r="Y18" s="37">
        <f t="shared" si="23"/>
        <v>4200</v>
      </c>
      <c r="Z18" s="37">
        <f t="shared" si="24"/>
        <v>2320</v>
      </c>
      <c r="AA18" s="37">
        <f t="shared" si="25"/>
        <v>3190</v>
      </c>
      <c r="AB18" s="37">
        <f t="shared" si="26"/>
        <v>6810</v>
      </c>
      <c r="AC18" s="37">
        <f t="shared" si="27"/>
        <v>10810</v>
      </c>
      <c r="AD18" s="35">
        <f t="shared" si="28"/>
        <v>46550</v>
      </c>
      <c r="AF18" s="20">
        <f t="shared" si="1"/>
        <v>2.9</v>
      </c>
      <c r="AG18" s="20">
        <f t="shared" si="2"/>
        <v>9.9</v>
      </c>
      <c r="AH18" s="20">
        <f t="shared" si="3"/>
        <v>17.8</v>
      </c>
      <c r="AI18" s="20">
        <f t="shared" si="4"/>
        <v>7.8</v>
      </c>
      <c r="AJ18" s="20">
        <f t="shared" si="5"/>
        <v>19.350000000000001</v>
      </c>
      <c r="AK18" s="20">
        <f t="shared" si="6"/>
        <v>13.55</v>
      </c>
      <c r="AL18" s="20">
        <f t="shared" si="7"/>
        <v>11.8</v>
      </c>
      <c r="AM18" s="20">
        <f t="shared" si="8"/>
        <v>13</v>
      </c>
      <c r="AN18" s="20">
        <f t="shared" si="9"/>
        <v>21</v>
      </c>
      <c r="AO18" s="20">
        <f t="shared" si="10"/>
        <v>11.6</v>
      </c>
      <c r="AP18" s="20">
        <f t="shared" si="11"/>
        <v>15.950000000000001</v>
      </c>
      <c r="AQ18" s="20">
        <f t="shared" si="12"/>
        <v>34.049999999999997</v>
      </c>
      <c r="AR18" s="20">
        <f t="shared" si="13"/>
        <v>54.050000000000004</v>
      </c>
      <c r="AS18" s="35">
        <f t="shared" si="29"/>
        <v>232.75</v>
      </c>
      <c r="AU18" s="47">
        <v>554123</v>
      </c>
      <c r="AV18" s="37">
        <f t="shared" si="31"/>
        <v>1710</v>
      </c>
      <c r="AW18" s="35">
        <f t="shared" si="30"/>
        <v>3.42</v>
      </c>
    </row>
    <row r="19" spans="1:49" x14ac:dyDescent="0.25">
      <c r="A19" s="23">
        <v>44299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6"/>
        <v>0</v>
      </c>
      <c r="R19" s="37" t="str">
        <f t="shared" si="17"/>
        <v>0</v>
      </c>
      <c r="S19" s="37" t="str">
        <f t="shared" si="15"/>
        <v>0</v>
      </c>
      <c r="T19" s="37" t="str">
        <f t="shared" si="18"/>
        <v>0</v>
      </c>
      <c r="U19" s="37" t="str">
        <f t="shared" si="19"/>
        <v>0</v>
      </c>
      <c r="V19" s="37" t="str">
        <f t="shared" si="20"/>
        <v>0</v>
      </c>
      <c r="W19" s="37" t="str">
        <f t="shared" si="21"/>
        <v>0</v>
      </c>
      <c r="X19" s="37" t="str">
        <f t="shared" si="22"/>
        <v>0</v>
      </c>
      <c r="Y19" s="37" t="str">
        <f t="shared" si="23"/>
        <v>0</v>
      </c>
      <c r="Z19" s="37" t="str">
        <f t="shared" si="24"/>
        <v>0</v>
      </c>
      <c r="AA19" s="37" t="str">
        <f t="shared" si="25"/>
        <v>0</v>
      </c>
      <c r="AB19" s="37" t="str">
        <f t="shared" si="26"/>
        <v>0</v>
      </c>
      <c r="AC19" s="37" t="str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 t="str">
        <f t="shared" si="31"/>
        <v>0</v>
      </c>
      <c r="AW19" s="35">
        <f t="shared" si="30"/>
        <v>0</v>
      </c>
    </row>
    <row r="20" spans="1:49" x14ac:dyDescent="0.25">
      <c r="A20" s="23">
        <v>44300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44301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44302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44303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44304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44305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6630</v>
      </c>
      <c r="R38" s="38">
        <f t="shared" ref="R38:AD38" si="62">SUM(R7:R37)</f>
        <v>22490</v>
      </c>
      <c r="S38" s="38">
        <f t="shared" si="62"/>
        <v>40640</v>
      </c>
      <c r="T38" s="38">
        <f t="shared" si="62"/>
        <v>17960</v>
      </c>
      <c r="U38" s="38">
        <f t="shared" si="62"/>
        <v>47110</v>
      </c>
      <c r="V38" s="38">
        <f t="shared" si="62"/>
        <v>34240</v>
      </c>
      <c r="W38" s="38">
        <f t="shared" si="62"/>
        <v>27230</v>
      </c>
      <c r="X38" s="38">
        <f t="shared" si="62"/>
        <v>36110</v>
      </c>
      <c r="Y38" s="38">
        <f t="shared" si="62"/>
        <v>52070</v>
      </c>
      <c r="Z38" s="38">
        <f t="shared" si="62"/>
        <v>30130</v>
      </c>
      <c r="AA38" s="38">
        <f t="shared" si="62"/>
        <v>41400</v>
      </c>
      <c r="AB38" s="38">
        <f t="shared" si="62"/>
        <v>78630</v>
      </c>
      <c r="AC38" s="38">
        <f t="shared" si="62"/>
        <v>121300</v>
      </c>
      <c r="AD38" s="38">
        <f t="shared" si="62"/>
        <v>555940</v>
      </c>
      <c r="AF38" s="35">
        <f t="shared" ref="AF38:AS38" si="63">SUM(AF7:AF34)</f>
        <v>33.15</v>
      </c>
      <c r="AG38" s="35">
        <f t="shared" si="63"/>
        <v>112.45000000000002</v>
      </c>
      <c r="AH38" s="35">
        <f t="shared" si="63"/>
        <v>203.20000000000002</v>
      </c>
      <c r="AI38" s="35">
        <f t="shared" si="63"/>
        <v>89.8</v>
      </c>
      <c r="AJ38" s="35">
        <f t="shared" si="63"/>
        <v>235.54999999999998</v>
      </c>
      <c r="AK38" s="35">
        <f t="shared" si="63"/>
        <v>171.20000000000005</v>
      </c>
      <c r="AL38" s="35">
        <f t="shared" si="63"/>
        <v>136.15</v>
      </c>
      <c r="AM38" s="35">
        <f t="shared" si="63"/>
        <v>180.54999999999995</v>
      </c>
      <c r="AN38" s="35">
        <f t="shared" si="63"/>
        <v>260.35000000000002</v>
      </c>
      <c r="AO38" s="35">
        <f t="shared" si="63"/>
        <v>150.64999999999998</v>
      </c>
      <c r="AP38" s="35">
        <f t="shared" si="63"/>
        <v>207</v>
      </c>
      <c r="AQ38" s="35">
        <f t="shared" si="63"/>
        <v>393.15000000000003</v>
      </c>
      <c r="AR38" s="35">
        <f t="shared" si="63"/>
        <v>606.5</v>
      </c>
      <c r="AS38" s="35">
        <f t="shared" si="63"/>
        <v>2779.7</v>
      </c>
      <c r="AU38" s="48"/>
      <c r="AV38" s="35">
        <f>SUM(AV7:AV34)</f>
        <v>21671</v>
      </c>
      <c r="AW38" s="35">
        <f>SUM(AW7:AW34)</f>
        <v>35.940000000000005</v>
      </c>
    </row>
    <row r="39" spans="1:49" x14ac:dyDescent="0.25">
      <c r="D39">
        <v>5.0000000000000001E-3</v>
      </c>
      <c r="AV39" s="36">
        <f>AV38*0.00378541*1000</f>
        <v>82033.620110000003</v>
      </c>
    </row>
    <row r="40" spans="1:49" x14ac:dyDescent="0.25">
      <c r="D40">
        <v>2E-3</v>
      </c>
      <c r="AV40">
        <f>AV39/31</f>
        <v>2646.2458099999999</v>
      </c>
    </row>
    <row r="41" spans="1:49" x14ac:dyDescent="0.25">
      <c r="AV41">
        <f>AV38*0.00378541</f>
        <v>82.033620110000001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2021-04-13T03:31:26Z</dcterms:modified>
</cp:coreProperties>
</file>