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BCB099D3-9B84-4885-AE7F-D03E52E61E66}" xr6:coauthVersionLast="46" xr6:coauthVersionMax="46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<sst xmlns="http://schemas.openxmlformats.org/spreadsheetml/2006/main" count="63" uniqueCount="31">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</sst>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R1" sqref="R1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5</v>
      </c>
      <c r="D2" s="7">
        <v>2021</v>
      </c>
      <c r="E2" s="9">
        <f>'Marunouchi Daily'!D5</f>
        <v>4869</v>
      </c>
      <c r="F2" s="33">
        <v>15.371801912396213</v>
      </c>
      <c r="G2" s="9">
        <f>'Marunouchi Daily'!F5</f>
        <v>196.54000000000087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59</v>
      </c>
      <c r="L2" s="33">
        <v>866.58593380320269</v>
      </c>
      <c r="M2" s="9">
        <v>0</v>
      </c>
      <c r="N2" s="9">
        <v>0</v>
      </c>
      <c r="O2" s="9">
        <f>'Marunouchi Daily'!M5</f>
        <v>56</v>
      </c>
    </row>
    <row r="3" spans="1:15" ht="15" x14ac:dyDescent="0.25">
      <c r="A3" s="6" t="s">
        <v>24</v>
      </c>
      <c r="B3" s="7">
        <f>B2+1</f>
        <v>2</v>
      </c>
      <c r="C3" s="8">
        <v>5</v>
      </c>
      <c r="D3" s="7">
        <v>2021</v>
      </c>
      <c r="E3" s="9">
        <f>'Marunouchi Daily'!D6</f>
        <v>5000</v>
      </c>
      <c r="F3" s="33">
        <v>15.371801912396213</v>
      </c>
      <c r="G3" s="9">
        <f>'Marunouchi Daily'!F6</f>
        <v>242.81999999999243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66</v>
      </c>
      <c r="L3" s="33">
        <v>866.58593380320269</v>
      </c>
      <c r="M3" s="9">
        <f>'Marunouchi Daily'!K6</f>
        <v>32</v>
      </c>
      <c r="N3" s="9">
        <f>'Marunouchi Daily'!L6</f>
        <v>39</v>
      </c>
      <c r="O3" s="9">
        <f>'Marunouchi Daily'!M6</f>
        <v>92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5</v>
      </c>
      <c r="D4" s="7">
        <v>2021</v>
      </c>
      <c r="E4" s="9">
        <f>'Marunouchi Daily'!D7</f>
        <v>5186</v>
      </c>
      <c r="F4" s="33">
        <v>15.371801912396213</v>
      </c>
      <c r="G4" s="9">
        <f>'Marunouchi Daily'!F7</f>
        <v>182.90999999999622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74</v>
      </c>
      <c r="L4" s="33">
        <v>866.58593380320269</v>
      </c>
      <c r="M4" s="9">
        <f>'Marunouchi Daily'!K7</f>
        <v>25</v>
      </c>
      <c r="N4" s="9">
        <f>'Marunouchi Daily'!L7</f>
        <v>63</v>
      </c>
      <c r="O4" s="9">
        <f>'Marunouchi Daily'!M7</f>
        <v>66</v>
      </c>
    </row>
    <row r="5" spans="1:15" ht="15" x14ac:dyDescent="0.25">
      <c r="A5" s="6" t="s">
        <v>24</v>
      </c>
      <c r="B5" s="7">
        <f t="shared" si="0"/>
        <v>4</v>
      </c>
      <c r="C5" s="8">
        <v>5</v>
      </c>
      <c r="D5" s="7">
        <v>2021</v>
      </c>
      <c r="E5" s="9">
        <f>'Marunouchi Daily'!D8</f>
        <v>5085</v>
      </c>
      <c r="F5" s="33">
        <v>15.371801912396213</v>
      </c>
      <c r="G5" s="9">
        <f>'Marunouchi Daily'!F8</f>
        <v>258.06000000000495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66</v>
      </c>
      <c r="L5" s="33">
        <v>866.58593380320269</v>
      </c>
      <c r="M5" s="9">
        <f>'Marunouchi Daily'!K8</f>
        <v>16</v>
      </c>
      <c r="N5" s="9">
        <f>'Marunouchi Daily'!L8</f>
        <v>60</v>
      </c>
      <c r="O5" s="9">
        <f>'Marunouchi Daily'!M8</f>
        <v>43</v>
      </c>
    </row>
    <row r="6" spans="1:15" ht="15" x14ac:dyDescent="0.25">
      <c r="A6" s="6" t="s">
        <v>24</v>
      </c>
      <c r="B6" s="7">
        <f t="shared" si="0"/>
        <v>5</v>
      </c>
      <c r="C6" s="8">
        <v>5</v>
      </c>
      <c r="D6" s="7">
        <v>2021</v>
      </c>
      <c r="E6" s="9">
        <f>'Marunouchi Daily'!D9</f>
        <v>4758</v>
      </c>
      <c r="F6" s="33">
        <v>15.371801912396213</v>
      </c>
      <c r="G6" s="9">
        <f>'Marunouchi Daily'!F9</f>
        <v>239.77999999999884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51</v>
      </c>
      <c r="L6" s="33">
        <v>866.58593380320269</v>
      </c>
      <c r="M6" s="9">
        <f>'Marunouchi Daily'!K9</f>
        <v>3</v>
      </c>
      <c r="N6" s="9">
        <f>'Marunouchi Daily'!L9</f>
        <v>35</v>
      </c>
      <c r="O6" s="9">
        <f>'Marunouchi Daily'!M9</f>
        <v>7</v>
      </c>
    </row>
    <row r="7" spans="1:15" ht="15" x14ac:dyDescent="0.25">
      <c r="A7" s="6" t="s">
        <v>24</v>
      </c>
      <c r="B7" s="7">
        <f t="shared" si="0"/>
        <v>6</v>
      </c>
      <c r="C7" s="8">
        <v>5</v>
      </c>
      <c r="D7" s="7">
        <v>2021</v>
      </c>
      <c r="E7" s="9">
        <f>'Marunouchi Daily'!D10</f>
        <v>4620</v>
      </c>
      <c r="F7" s="33">
        <v>15.371801912396213</v>
      </c>
      <c r="G7" s="9">
        <f>'Marunouchi Daily'!F10</f>
        <v>135.09999999999854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52</v>
      </c>
      <c r="L7" s="33">
        <v>866.58593380320269</v>
      </c>
      <c r="M7" s="9">
        <f>'Marunouchi Daily'!K10</f>
        <v>2</v>
      </c>
      <c r="N7" s="9">
        <f>'Marunouchi Daily'!L10</f>
        <v>4</v>
      </c>
      <c r="O7" s="9">
        <f>'Marunouchi Daily'!M10</f>
        <v>5</v>
      </c>
    </row>
    <row r="8" spans="1:15" ht="15" x14ac:dyDescent="0.25">
      <c r="A8" s="6" t="s">
        <v>24</v>
      </c>
      <c r="B8" s="7">
        <f t="shared" si="0"/>
        <v>7</v>
      </c>
      <c r="C8" s="8">
        <v>5</v>
      </c>
      <c r="D8" s="7">
        <v>2021</v>
      </c>
      <c r="E8" s="9">
        <f>'Marunouchi Daily'!D11</f>
        <v>4675</v>
      </c>
      <c r="F8" s="33">
        <v>15.371801912396213</v>
      </c>
      <c r="G8" s="9">
        <f>'Marunouchi Daily'!F11</f>
        <v>228.34000000001106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46</v>
      </c>
      <c r="L8" s="33">
        <v>866.58593380320269</v>
      </c>
      <c r="M8" s="9">
        <f>'Marunouchi Daily'!K11</f>
        <v>7</v>
      </c>
      <c r="N8" s="9">
        <f>'Marunouchi Daily'!L11</f>
        <v>4</v>
      </c>
      <c r="O8" s="9">
        <f>'Marunouchi Daily'!M11</f>
        <v>15</v>
      </c>
    </row>
    <row r="9" spans="1:15" ht="15" x14ac:dyDescent="0.25">
      <c r="A9" s="6" t="s">
        <v>24</v>
      </c>
      <c r="B9" s="7">
        <f t="shared" si="0"/>
        <v>8</v>
      </c>
      <c r="C9" s="8">
        <v>5</v>
      </c>
      <c r="D9" s="7">
        <v>2021</v>
      </c>
      <c r="E9" s="9">
        <f>'Marunouchi Daily'!D12</f>
        <v>4632</v>
      </c>
      <c r="F9" s="33">
        <v>15.371801912396213</v>
      </c>
      <c r="G9" s="9">
        <f>'Marunouchi Daily'!F12</f>
        <v>211.06999999999243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46</v>
      </c>
      <c r="L9" s="33">
        <v>866.58593380320269</v>
      </c>
      <c r="M9" s="9">
        <f>'Marunouchi Daily'!K12</f>
        <v>7</v>
      </c>
      <c r="N9" s="9">
        <f>'Marunouchi Daily'!L12</f>
        <v>43</v>
      </c>
      <c r="O9" s="9">
        <f>'Marunouchi Daily'!M12</f>
        <v>19</v>
      </c>
    </row>
    <row r="10" spans="1:15" ht="15" x14ac:dyDescent="0.25">
      <c r="A10" s="6" t="s">
        <v>24</v>
      </c>
      <c r="B10" s="7">
        <f t="shared" si="0"/>
        <v>9</v>
      </c>
      <c r="C10" s="8">
        <v>5</v>
      </c>
      <c r="D10" s="7">
        <v>2021</v>
      </c>
      <c r="E10" s="9">
        <f>'Marunouchi Daily'!D13</f>
        <v>4418</v>
      </c>
      <c r="F10" s="33">
        <v>15.371801912396213</v>
      </c>
      <c r="G10" s="9">
        <f>'Marunouchi Daily'!F13</f>
        <v>220.45999999999913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39</v>
      </c>
      <c r="L10" s="33">
        <v>866.58593380320269</v>
      </c>
      <c r="M10" s="9">
        <f>'Marunouchi Daily'!K13</f>
        <v>1</v>
      </c>
      <c r="N10" s="9">
        <f>'Marunouchi Daily'!L13</f>
        <v>12</v>
      </c>
      <c r="O10" s="9">
        <f>'Marunouchi Daily'!M13</f>
        <v>5</v>
      </c>
    </row>
    <row r="11" spans="1:15" ht="15" x14ac:dyDescent="0.25">
      <c r="A11" s="6" t="s">
        <v>24</v>
      </c>
      <c r="B11" s="7">
        <f t="shared" si="0"/>
        <v>10</v>
      </c>
      <c r="C11" s="8">
        <v>5</v>
      </c>
      <c r="D11" s="7">
        <v>2021</v>
      </c>
      <c r="E11" s="9">
        <f>'Marunouchi Daily'!D14</f>
        <v>4297</v>
      </c>
      <c r="F11" s="33">
        <v>15.371801912396213</v>
      </c>
      <c r="G11" s="9">
        <f>'Marunouchi Daily'!F14</f>
        <v>172.55000000001019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37</v>
      </c>
      <c r="L11" s="33">
        <v>866.58593380320269</v>
      </c>
      <c r="M11" s="9">
        <f>'Marunouchi Daily'!K14</f>
        <v>0</v>
      </c>
      <c r="N11" s="9">
        <f>'Marunouchi Daily'!L14</f>
        <v>2</v>
      </c>
      <c r="O11" s="9">
        <f>'Marunouchi Daily'!M14</f>
        <v>3</v>
      </c>
    </row>
    <row r="12" spans="1:15" ht="15" x14ac:dyDescent="0.25">
      <c r="A12" s="6" t="s">
        <v>24</v>
      </c>
      <c r="B12" s="7">
        <f t="shared" si="0"/>
        <v>11</v>
      </c>
      <c r="C12" s="8">
        <v>5</v>
      </c>
      <c r="D12" s="7">
        <v>2021</v>
      </c>
      <c r="E12" s="9">
        <f>'Marunouchi Daily'!D15</f>
        <v>4594</v>
      </c>
      <c r="F12" s="33">
        <v>15.371801912396213</v>
      </c>
      <c r="G12" s="9">
        <f>'Marunouchi Daily'!F15</f>
        <v>199.98999999999796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43</v>
      </c>
      <c r="L12" s="33">
        <v>866.58593380320269</v>
      </c>
      <c r="M12" s="9">
        <f>'Marunouchi Daily'!K15</f>
        <v>2</v>
      </c>
      <c r="N12" s="9">
        <f>'Marunouchi Daily'!L15</f>
        <v>4</v>
      </c>
      <c r="O12" s="9">
        <f>'Marunouchi Daily'!M15</f>
        <v>6</v>
      </c>
    </row>
    <row r="13" spans="1:15" ht="15" x14ac:dyDescent="0.25">
      <c r="A13" s="6" t="s">
        <v>24</v>
      </c>
      <c r="B13" s="7">
        <f t="shared" si="0"/>
        <v>12</v>
      </c>
      <c r="C13" s="8">
        <v>5</v>
      </c>
      <c r="D13" s="7">
        <v>2021</v>
      </c>
      <c r="E13" s="9">
        <f>'Marunouchi Daily'!D16</f>
        <v>4507</v>
      </c>
      <c r="F13" s="33">
        <v>15.371801912396213</v>
      </c>
      <c r="G13" s="9">
        <f>'Marunouchi Daily'!F16</f>
        <v>226.75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39</v>
      </c>
      <c r="L13" s="33">
        <v>866.58593380320269</v>
      </c>
      <c r="M13" s="9">
        <f>'Marunouchi Daily'!K16</f>
        <v>4</v>
      </c>
      <c r="N13" s="9">
        <f>'Marunouchi Daily'!L16</f>
        <v>4</v>
      </c>
      <c r="O13" s="9">
        <f>'Marunouchi Daily'!M16</f>
        <v>8</v>
      </c>
    </row>
    <row r="14" spans="1:15" ht="15" x14ac:dyDescent="0.25">
      <c r="A14" s="6" t="s">
        <v>24</v>
      </c>
      <c r="B14" s="7">
        <f t="shared" si="0"/>
        <v>13</v>
      </c>
      <c r="C14" s="8">
        <v>5</v>
      </c>
      <c r="D14" s="7">
        <v>2021</v>
      </c>
      <c r="E14" s="9">
        <f>'Marunouchi Daily'!D17</f>
        <v>4619</v>
      </c>
      <c r="F14" s="33">
        <v>15.371801912396213</v>
      </c>
      <c r="G14" s="9">
        <f>'Marunouchi Daily'!F17</f>
        <v>188.27999999999884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42</v>
      </c>
      <c r="L14" s="33">
        <v>866.58593380320269</v>
      </c>
      <c r="M14" s="9">
        <f>'Marunouchi Daily'!K17</f>
        <v>4</v>
      </c>
      <c r="N14" s="9">
        <f>'Marunouchi Daily'!L17</f>
        <v>3</v>
      </c>
      <c r="O14" s="9">
        <f>'Marunouchi Daily'!M17</f>
        <v>9</v>
      </c>
    </row>
    <row r="15" spans="1:15" ht="15" x14ac:dyDescent="0.25">
      <c r="A15" s="6" t="s">
        <v>24</v>
      </c>
      <c r="B15" s="7">
        <f t="shared" si="0"/>
        <v>14</v>
      </c>
      <c r="C15" s="8">
        <v>5</v>
      </c>
      <c r="D15" s="7">
        <v>2021</v>
      </c>
      <c r="E15" s="9">
        <f>'Marunouchi Daily'!D18</f>
        <v>4661</v>
      </c>
      <c r="F15" s="33">
        <v>15.371801912396213</v>
      </c>
      <c r="G15" s="9">
        <f>'Marunouchi Daily'!F18</f>
        <v>201.54999999999563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43</v>
      </c>
      <c r="L15" s="33">
        <v>866.58593380320269</v>
      </c>
      <c r="M15" s="9">
        <f>'Marunouchi Daily'!K18</f>
        <v>7</v>
      </c>
      <c r="N15" s="9">
        <f>'Marunouchi Daily'!L18</f>
        <v>13</v>
      </c>
      <c r="O15" s="9">
        <f>'Marunouchi Daily'!M18</f>
        <v>19</v>
      </c>
    </row>
    <row r="16" spans="1:15" ht="15" x14ac:dyDescent="0.25">
      <c r="A16" s="6" t="s">
        <v>24</v>
      </c>
      <c r="B16" s="7">
        <f t="shared" si="0"/>
        <v>15</v>
      </c>
      <c r="C16" s="8">
        <v>5</v>
      </c>
      <c r="D16" s="7">
        <v>2021</v>
      </c>
      <c r="E16" s="9">
        <f>'Marunouchi Daily'!D19</f>
        <v>4821</v>
      </c>
      <c r="F16" s="33">
        <v>15.371801912396213</v>
      </c>
      <c r="G16" s="9">
        <f>'Marunouchi Daily'!F19</f>
        <v>211.52999999999884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49</v>
      </c>
      <c r="L16" s="33">
        <v>866.58593380320269</v>
      </c>
      <c r="M16" s="9">
        <f>'Marunouchi Daily'!K19</f>
        <v>13</v>
      </c>
      <c r="N16" s="9">
        <f>'Marunouchi Daily'!L19</f>
        <v>31</v>
      </c>
      <c r="O16" s="9">
        <f>'Marunouchi Daily'!M19</f>
        <v>35</v>
      </c>
    </row>
    <row r="17" spans="1:15" ht="15" x14ac:dyDescent="0.25">
      <c r="A17" s="6" t="s">
        <v>24</v>
      </c>
      <c r="B17" s="7">
        <f t="shared" si="0"/>
        <v>16</v>
      </c>
      <c r="C17" s="8">
        <v>5</v>
      </c>
      <c r="D17" s="7">
        <v>2021</v>
      </c>
      <c r="E17" s="9">
        <f>'Marunouchi Daily'!D20</f>
        <v>4649</v>
      </c>
      <c r="F17" s="33">
        <v>15.371801912396213</v>
      </c>
      <c r="G17" s="9">
        <f>'Marunouchi Daily'!F20</f>
        <v>228.52000000000407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44</v>
      </c>
      <c r="L17" s="33">
        <v>866.58593380320269</v>
      </c>
      <c r="M17" s="9">
        <f>'Marunouchi Daily'!K20</f>
        <v>5</v>
      </c>
      <c r="N17" s="9">
        <f>'Marunouchi Daily'!L20</f>
        <v>28</v>
      </c>
      <c r="O17" s="9">
        <f>'Marunouchi Daily'!M20</f>
        <v>13</v>
      </c>
    </row>
    <row r="18" spans="1:15" ht="15" x14ac:dyDescent="0.25">
      <c r="A18" s="6" t="s">
        <v>24</v>
      </c>
      <c r="B18" s="7">
        <f t="shared" si="0"/>
        <v>17</v>
      </c>
      <c r="C18" s="8">
        <v>5</v>
      </c>
      <c r="D18" s="7">
        <v>2021</v>
      </c>
      <c r="E18" s="9">
        <f>'Marunouchi Daily'!D21</f>
        <v>4555</v>
      </c>
      <c r="F18" s="33">
        <v>15.371801912396213</v>
      </c>
      <c r="G18" s="9">
        <f>'Marunouchi Daily'!F21</f>
        <v>182.66999999999825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49</v>
      </c>
      <c r="L18" s="33">
        <v>866.58593380320269</v>
      </c>
      <c r="M18" s="9">
        <f>'Marunouchi Daily'!K21</f>
        <v>1</v>
      </c>
      <c r="N18" s="9">
        <f>'Marunouchi Daily'!L21</f>
        <v>12</v>
      </c>
      <c r="O18" s="9">
        <f>'Marunouchi Daily'!M21</f>
        <v>4</v>
      </c>
    </row>
    <row r="19" spans="1:15" ht="15" x14ac:dyDescent="0.25">
      <c r="A19" s="6" t="s">
        <v>24</v>
      </c>
      <c r="B19" s="7">
        <f t="shared" si="0"/>
        <v>18</v>
      </c>
      <c r="C19" s="8">
        <v>5</v>
      </c>
      <c r="D19" s="7">
        <v>2021</v>
      </c>
      <c r="E19" s="9">
        <f>'Marunouchi Daily'!D22</f>
        <v>4658</v>
      </c>
      <c r="F19" s="33">
        <v>15.371801912396213</v>
      </c>
      <c r="G19" s="9">
        <f>'Marunouchi Daily'!F22</f>
        <v>222.4800000000032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44</v>
      </c>
      <c r="L19" s="33">
        <v>866.58593380320269</v>
      </c>
      <c r="M19" s="9">
        <f>'Marunouchi Daily'!K22</f>
        <v>1</v>
      </c>
      <c r="N19" s="9">
        <f>'Marunouchi Daily'!L22</f>
        <v>2</v>
      </c>
      <c r="O19" s="9">
        <f>'Marunouchi Daily'!M22</f>
        <v>2</v>
      </c>
    </row>
    <row r="20" spans="1:15" ht="15" x14ac:dyDescent="0.25">
      <c r="A20" s="6" t="s">
        <v>24</v>
      </c>
      <c r="B20" s="7">
        <f t="shared" si="0"/>
        <v>19</v>
      </c>
      <c r="C20" s="8">
        <v>5</v>
      </c>
      <c r="D20" s="7">
        <v>2021</v>
      </c>
      <c r="E20" s="9">
        <f>'Marunouchi Daily'!D23</f>
        <v>4724</v>
      </c>
      <c r="F20" s="33">
        <v>15.371801912396213</v>
      </c>
      <c r="G20" s="9">
        <f>'Marunouchi Daily'!F23</f>
        <v>223.42999999999302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48</v>
      </c>
      <c r="L20" s="33">
        <v>866.58593380320269</v>
      </c>
      <c r="M20" s="9">
        <f>'Marunouchi Daily'!K23</f>
        <v>2</v>
      </c>
      <c r="N20" s="9">
        <f>'Marunouchi Daily'!L23</f>
        <v>0</v>
      </c>
      <c r="O20" s="9">
        <f>'Marunouchi Daily'!M23</f>
        <v>4</v>
      </c>
    </row>
    <row r="21" spans="1:15" ht="15" x14ac:dyDescent="0.25">
      <c r="A21" s="6" t="s">
        <v>24</v>
      </c>
      <c r="B21" s="7">
        <f t="shared" si="0"/>
        <v>20</v>
      </c>
      <c r="C21" s="8">
        <v>5</v>
      </c>
      <c r="D21" s="7">
        <v>2021</v>
      </c>
      <c r="E21" s="9">
        <f>'Marunouchi Daily'!D24</f>
        <v>4902</v>
      </c>
      <c r="F21" s="33">
        <v>15.371801912396213</v>
      </c>
      <c r="G21" s="9">
        <f>'Marunouchi Daily'!F24</f>
        <v>260.13000000000466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54</v>
      </c>
      <c r="L21" s="33">
        <v>866.58593380320269</v>
      </c>
      <c r="M21" s="9">
        <f>'Marunouchi Daily'!K24</f>
        <v>4</v>
      </c>
      <c r="N21" s="9">
        <f>'Marunouchi Daily'!L24</f>
        <v>0</v>
      </c>
      <c r="O21" s="9">
        <f>'Marunouchi Daily'!M24</f>
        <v>7</v>
      </c>
    </row>
    <row r="22" spans="1:15" ht="15" x14ac:dyDescent="0.25">
      <c r="A22" s="6" t="s">
        <v>24</v>
      </c>
      <c r="B22" s="7">
        <f t="shared" si="0"/>
        <v>21</v>
      </c>
      <c r="C22" s="8">
        <v>5</v>
      </c>
      <c r="D22" s="7">
        <v>2021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5</v>
      </c>
      <c r="D23" s="7">
        <v>2021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5</v>
      </c>
      <c r="D24" s="7">
        <v>2021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5</v>
      </c>
      <c r="D25" s="7">
        <v>2021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5</v>
      </c>
      <c r="D26" s="7">
        <v>2021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5</v>
      </c>
      <c r="D27" s="7">
        <v>2021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5</v>
      </c>
      <c r="D28" s="7">
        <v>2021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5</v>
      </c>
      <c r="D29" s="7">
        <v>2021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5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5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5</v>
      </c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zoomScale="70" zoomScaleNormal="70" workbookViewId="0">
      <pane xSplit="1" topLeftCell="B1" activePane="topRight" state="frozen"/>
      <selection pane="topRight" activeCell="S15" sqref="S1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44286</v>
      </c>
      <c r="B4" s="36"/>
      <c r="C4" s="25"/>
      <c r="D4" s="26">
        <v>4782</v>
      </c>
      <c r="E4" s="25"/>
      <c r="F4" s="26">
        <v>58.25</v>
      </c>
      <c r="G4" s="25"/>
      <c r="H4" s="26"/>
      <c r="I4" s="25"/>
      <c r="J4" s="26">
        <v>53</v>
      </c>
      <c r="K4" s="35">
        <v>0</v>
      </c>
      <c r="L4" s="27">
        <v>0</v>
      </c>
      <c r="M4" s="27">
        <v>0</v>
      </c>
    </row>
    <row r="5" spans="1:13" ht="33" customHeight="1" x14ac:dyDescent="0.25">
      <c r="A5" s="24">
        <v>44317</v>
      </c>
      <c r="B5" s="36"/>
      <c r="C5" s="25"/>
      <c r="D5" s="26">
        <v>4869</v>
      </c>
      <c r="E5" s="25"/>
      <c r="F5" s="26">
        <v>196.54000000000087</v>
      </c>
      <c r="G5" s="25"/>
      <c r="H5" s="26"/>
      <c r="I5" s="25"/>
      <c r="J5" s="26">
        <v>59</v>
      </c>
      <c r="K5" s="35">
        <v>21</v>
      </c>
      <c r="L5" s="27">
        <v>47</v>
      </c>
      <c r="M5" s="27">
        <v>56</v>
      </c>
    </row>
    <row r="6" spans="1:13" ht="45" customHeight="1" x14ac:dyDescent="0.25">
      <c r="A6" s="24">
        <v>44318</v>
      </c>
      <c r="B6" s="36"/>
      <c r="C6" s="25"/>
      <c r="D6" s="26">
        <v>5000</v>
      </c>
      <c r="E6" s="25"/>
      <c r="F6" s="26">
        <v>242.81999999999243</v>
      </c>
      <c r="G6" s="25"/>
      <c r="H6" s="26"/>
      <c r="I6" s="25"/>
      <c r="J6" s="26">
        <v>66</v>
      </c>
      <c r="K6" s="35">
        <v>32</v>
      </c>
      <c r="L6" s="27">
        <v>39</v>
      </c>
      <c r="M6" s="27">
        <v>92</v>
      </c>
    </row>
    <row r="7" spans="1:13" ht="45" customHeight="1" x14ac:dyDescent="0.25">
      <c r="A7" s="24">
        <v>44319</v>
      </c>
      <c r="B7" s="36"/>
      <c r="C7" s="25"/>
      <c r="D7" s="26">
        <v>5186</v>
      </c>
      <c r="E7" s="25"/>
      <c r="F7" s="26">
        <v>182.90999999999622</v>
      </c>
      <c r="G7" s="25"/>
      <c r="H7" s="26"/>
      <c r="I7" s="25"/>
      <c r="J7" s="26">
        <v>74</v>
      </c>
      <c r="K7" s="35">
        <v>25</v>
      </c>
      <c r="L7" s="27">
        <v>63</v>
      </c>
      <c r="M7" s="27">
        <v>66</v>
      </c>
    </row>
    <row r="8" spans="1:13" ht="45" customHeight="1" x14ac:dyDescent="0.25">
      <c r="A8" s="24">
        <v>44320</v>
      </c>
      <c r="B8" s="36"/>
      <c r="C8" s="25"/>
      <c r="D8" s="26">
        <v>5085</v>
      </c>
      <c r="E8" s="25"/>
      <c r="F8" s="26">
        <v>258.06000000000495</v>
      </c>
      <c r="G8" s="25"/>
      <c r="H8" s="26"/>
      <c r="I8" s="25"/>
      <c r="J8" s="26">
        <v>66</v>
      </c>
      <c r="K8" s="35">
        <v>16</v>
      </c>
      <c r="L8" s="27">
        <v>60</v>
      </c>
      <c r="M8" s="27">
        <v>43</v>
      </c>
    </row>
    <row r="9" spans="1:13" ht="45" customHeight="1" x14ac:dyDescent="0.25">
      <c r="A9" s="24">
        <v>44321</v>
      </c>
      <c r="B9" s="36"/>
      <c r="C9" s="25"/>
      <c r="D9" s="26">
        <v>4758</v>
      </c>
      <c r="E9" s="25"/>
      <c r="F9" s="26">
        <v>239.77999999999884</v>
      </c>
      <c r="G9" s="25"/>
      <c r="H9" s="26"/>
      <c r="I9" s="25"/>
      <c r="J9" s="26">
        <v>51</v>
      </c>
      <c r="K9" s="35">
        <v>3</v>
      </c>
      <c r="L9" s="27">
        <v>35</v>
      </c>
      <c r="M9" s="27">
        <v>7</v>
      </c>
    </row>
    <row r="10" spans="1:13" ht="45" customHeight="1" x14ac:dyDescent="0.25">
      <c r="A10" s="24">
        <v>44322</v>
      </c>
      <c r="B10" s="36"/>
      <c r="C10" s="25"/>
      <c r="D10" s="26">
        <v>4620</v>
      </c>
      <c r="E10" s="25"/>
      <c r="F10" s="26">
        <v>135.09999999999854</v>
      </c>
      <c r="G10" s="25"/>
      <c r="H10" s="26"/>
      <c r="I10" s="25"/>
      <c r="J10" s="26">
        <v>52</v>
      </c>
      <c r="K10" s="35">
        <v>2</v>
      </c>
      <c r="L10" s="27">
        <v>4</v>
      </c>
      <c r="M10" s="27">
        <v>5</v>
      </c>
    </row>
    <row r="11" spans="1:13" ht="45" customHeight="1" x14ac:dyDescent="0.25">
      <c r="A11" s="24">
        <v>44323</v>
      </c>
      <c r="B11" s="36"/>
      <c r="C11" s="25"/>
      <c r="D11" s="26">
        <v>4675</v>
      </c>
      <c r="E11" s="25"/>
      <c r="F11" s="26">
        <v>228.34000000001106</v>
      </c>
      <c r="G11" s="25"/>
      <c r="H11" s="26"/>
      <c r="I11" s="25"/>
      <c r="J11" s="26">
        <v>46</v>
      </c>
      <c r="K11" s="35">
        <v>7</v>
      </c>
      <c r="L11" s="27">
        <v>4</v>
      </c>
      <c r="M11" s="27">
        <v>15</v>
      </c>
    </row>
    <row r="12" spans="1:13" ht="45" customHeight="1" x14ac:dyDescent="0.25">
      <c r="A12" s="24">
        <v>44324</v>
      </c>
      <c r="B12" s="36"/>
      <c r="C12" s="25"/>
      <c r="D12" s="26">
        <v>4632</v>
      </c>
      <c r="E12" s="25"/>
      <c r="F12" s="26">
        <v>211.06999999999243</v>
      </c>
      <c r="G12" s="25"/>
      <c r="H12" s="26"/>
      <c r="I12" s="25"/>
      <c r="J12" s="26">
        <v>46</v>
      </c>
      <c r="K12" s="35">
        <v>7</v>
      </c>
      <c r="L12" s="27">
        <v>43</v>
      </c>
      <c r="M12" s="27">
        <v>19</v>
      </c>
    </row>
    <row r="13" spans="1:13" ht="45" customHeight="1" x14ac:dyDescent="0.25">
      <c r="A13" s="24">
        <v>44325</v>
      </c>
      <c r="B13" s="36"/>
      <c r="C13" s="25"/>
      <c r="D13" s="26">
        <v>4418</v>
      </c>
      <c r="E13" s="25"/>
      <c r="F13" s="26">
        <v>220.45999999999913</v>
      </c>
      <c r="G13" s="25"/>
      <c r="H13" s="26"/>
      <c r="I13" s="25"/>
      <c r="J13" s="26">
        <v>39</v>
      </c>
      <c r="K13" s="35">
        <v>1</v>
      </c>
      <c r="L13" s="27">
        <v>12</v>
      </c>
      <c r="M13" s="27">
        <v>5</v>
      </c>
    </row>
    <row r="14" spans="1:13" ht="45" customHeight="1" x14ac:dyDescent="0.25">
      <c r="A14" s="24">
        <v>44326</v>
      </c>
      <c r="B14" s="36"/>
      <c r="C14" s="25"/>
      <c r="D14" s="26">
        <v>4297</v>
      </c>
      <c r="E14" s="25"/>
      <c r="F14" s="26">
        <v>172.55000000001019</v>
      </c>
      <c r="G14" s="25"/>
      <c r="H14" s="26"/>
      <c r="I14" s="25"/>
      <c r="J14" s="26">
        <v>37</v>
      </c>
      <c r="K14" s="35">
        <v>0</v>
      </c>
      <c r="L14" s="27">
        <v>2</v>
      </c>
      <c r="M14" s="27">
        <v>3</v>
      </c>
    </row>
    <row r="15" spans="1:13" ht="45" customHeight="1" x14ac:dyDescent="0.25">
      <c r="A15" s="24">
        <v>44327</v>
      </c>
      <c r="B15" s="36"/>
      <c r="C15" s="25"/>
      <c r="D15" s="26">
        <v>4594</v>
      </c>
      <c r="E15" s="25"/>
      <c r="F15" s="26">
        <v>199.98999999999796</v>
      </c>
      <c r="G15" s="25"/>
      <c r="H15" s="26"/>
      <c r="I15" s="25"/>
      <c r="J15" s="26">
        <v>43</v>
      </c>
      <c r="K15" s="35">
        <v>2</v>
      </c>
      <c r="L15" s="27">
        <v>4</v>
      </c>
      <c r="M15" s="27">
        <v>6</v>
      </c>
    </row>
    <row r="16" spans="1:13" ht="45" customHeight="1" x14ac:dyDescent="0.25">
      <c r="A16" s="24">
        <v>44328</v>
      </c>
      <c r="B16" s="36"/>
      <c r="C16" s="25"/>
      <c r="D16" s="26">
        <v>4507</v>
      </c>
      <c r="E16" s="25"/>
      <c r="F16" s="26">
        <v>226.75</v>
      </c>
      <c r="G16" s="25"/>
      <c r="H16" s="26"/>
      <c r="I16" s="25"/>
      <c r="J16" s="26">
        <v>39</v>
      </c>
      <c r="K16" s="35">
        <v>4</v>
      </c>
      <c r="L16" s="27">
        <v>4</v>
      </c>
      <c r="M16" s="27">
        <v>8</v>
      </c>
    </row>
    <row r="17" spans="1:13" ht="45" customHeight="1" x14ac:dyDescent="0.25">
      <c r="A17" s="24">
        <v>44329</v>
      </c>
      <c r="B17" s="36"/>
      <c r="C17" s="25"/>
      <c r="D17" s="26">
        <v>4619</v>
      </c>
      <c r="E17" s="25"/>
      <c r="F17" s="26">
        <v>188.27999999999884</v>
      </c>
      <c r="G17" s="25"/>
      <c r="H17" s="26"/>
      <c r="I17" s="25"/>
      <c r="J17" s="26">
        <v>42</v>
      </c>
      <c r="K17" s="35">
        <v>4</v>
      </c>
      <c r="L17" s="27">
        <v>3</v>
      </c>
      <c r="M17" s="27">
        <v>9</v>
      </c>
    </row>
    <row r="18" spans="1:13" ht="45" customHeight="1" x14ac:dyDescent="0.25">
      <c r="A18" s="24">
        <v>44330</v>
      </c>
      <c r="B18" s="36"/>
      <c r="C18" s="25"/>
      <c r="D18" s="26">
        <v>4661</v>
      </c>
      <c r="E18" s="25"/>
      <c r="F18" s="26">
        <v>201.54999999999563</v>
      </c>
      <c r="G18" s="25"/>
      <c r="H18" s="26"/>
      <c r="I18" s="25"/>
      <c r="J18" s="26">
        <v>43</v>
      </c>
      <c r="K18" s="35">
        <v>7</v>
      </c>
      <c r="L18" s="27">
        <v>13</v>
      </c>
      <c r="M18" s="27">
        <v>19</v>
      </c>
    </row>
    <row r="19" spans="1:13" ht="45" customHeight="1" x14ac:dyDescent="0.25">
      <c r="A19" s="24">
        <v>44331</v>
      </c>
      <c r="B19" s="36"/>
      <c r="C19" s="25"/>
      <c r="D19" s="26">
        <v>4821</v>
      </c>
      <c r="E19" s="25"/>
      <c r="F19" s="26">
        <v>211.52999999999884</v>
      </c>
      <c r="G19" s="25"/>
      <c r="H19" s="26"/>
      <c r="I19" s="25"/>
      <c r="J19" s="26">
        <v>49</v>
      </c>
      <c r="K19" s="35">
        <v>13</v>
      </c>
      <c r="L19" s="27">
        <v>31</v>
      </c>
      <c r="M19" s="27">
        <v>35</v>
      </c>
    </row>
    <row r="20" spans="1:13" ht="45" customHeight="1" x14ac:dyDescent="0.25">
      <c r="A20" s="24">
        <v>44332</v>
      </c>
      <c r="B20" s="36"/>
      <c r="C20" s="25"/>
      <c r="D20" s="26">
        <v>4649</v>
      </c>
      <c r="E20" s="25"/>
      <c r="F20" s="26">
        <v>228.52000000000407</v>
      </c>
      <c r="G20" s="25"/>
      <c r="H20" s="26"/>
      <c r="I20" s="25"/>
      <c r="J20" s="26">
        <v>44</v>
      </c>
      <c r="K20" s="35">
        <v>5</v>
      </c>
      <c r="L20" s="27">
        <v>28</v>
      </c>
      <c r="M20" s="27">
        <v>13</v>
      </c>
    </row>
    <row r="21" spans="1:13" ht="45" customHeight="1" x14ac:dyDescent="0.25">
      <c r="A21" s="24">
        <v>44333</v>
      </c>
      <c r="B21" s="36"/>
      <c r="C21" s="25"/>
      <c r="D21" s="26">
        <v>4555</v>
      </c>
      <c r="E21" s="25"/>
      <c r="F21" s="26">
        <v>182.66999999999825</v>
      </c>
      <c r="G21" s="25"/>
      <c r="H21" s="26"/>
      <c r="I21" s="25"/>
      <c r="J21" s="26">
        <v>49</v>
      </c>
      <c r="K21" s="35">
        <v>1</v>
      </c>
      <c r="L21" s="27">
        <v>12</v>
      </c>
      <c r="M21" s="27">
        <v>4</v>
      </c>
    </row>
    <row r="22" spans="1:13" ht="45" customHeight="1" x14ac:dyDescent="0.25">
      <c r="A22" s="24">
        <v>44334</v>
      </c>
      <c r="B22" s="36"/>
      <c r="C22" s="25"/>
      <c r="D22" s="26">
        <v>4658</v>
      </c>
      <c r="E22" s="25"/>
      <c r="F22" s="26">
        <v>222.4800000000032</v>
      </c>
      <c r="G22" s="25"/>
      <c r="H22" s="26"/>
      <c r="I22" s="25"/>
      <c r="J22" s="26">
        <v>44</v>
      </c>
      <c r="K22" s="35">
        <v>1</v>
      </c>
      <c r="L22" s="27">
        <v>2</v>
      </c>
      <c r="M22" s="27">
        <v>2</v>
      </c>
    </row>
    <row r="23" spans="1:13" ht="45" customHeight="1" x14ac:dyDescent="0.25">
      <c r="A23" s="24">
        <v>44335</v>
      </c>
      <c r="B23" s="36"/>
      <c r="C23" s="25"/>
      <c r="D23" s="26">
        <v>4724</v>
      </c>
      <c r="E23" s="25"/>
      <c r="F23" s="26">
        <v>223.42999999999302</v>
      </c>
      <c r="G23" s="25"/>
      <c r="H23" s="26"/>
      <c r="I23" s="25"/>
      <c r="J23" s="26">
        <v>48</v>
      </c>
      <c r="K23" s="35">
        <v>2</v>
      </c>
      <c r="L23" s="27">
        <v>0</v>
      </c>
      <c r="M23" s="27">
        <v>4</v>
      </c>
    </row>
    <row r="24" spans="1:13" ht="45" customHeight="1" x14ac:dyDescent="0.25">
      <c r="A24" s="24">
        <v>44336</v>
      </c>
      <c r="B24" s="36"/>
      <c r="C24" s="25"/>
      <c r="D24" s="26">
        <v>4902</v>
      </c>
      <c r="E24" s="25"/>
      <c r="F24" s="26">
        <v>260.13000000000466</v>
      </c>
      <c r="G24" s="25"/>
      <c r="H24" s="26"/>
      <c r="I24" s="25"/>
      <c r="J24" s="26">
        <v>54</v>
      </c>
      <c r="K24" s="35">
        <v>4</v>
      </c>
      <c r="L24" s="27">
        <v>0</v>
      </c>
      <c r="M24" s="27">
        <v>7</v>
      </c>
    </row>
    <row r="25" spans="1:13" ht="45" customHeight="1" x14ac:dyDescent="0.25">
      <c r="A25" s="24">
        <v>44337</v>
      </c>
      <c r="B25" s="36"/>
      <c r="C25" s="25"/>
      <c r="D25" s="26"/>
      <c r="E25" s="25"/>
      <c r="F25" s="26"/>
      <c r="G25" s="25"/>
      <c r="H25" s="26"/>
      <c r="I25" s="25"/>
      <c r="J25" s="26"/>
      <c r="K25" s="35"/>
      <c r="L25" s="27"/>
      <c r="M25" s="27"/>
    </row>
    <row r="26" spans="1:13" ht="45" customHeight="1" x14ac:dyDescent="0.25">
      <c r="A26" s="24">
        <v>44338</v>
      </c>
      <c r="B26" s="36"/>
      <c r="C26" s="25"/>
      <c r="D26" s="26"/>
      <c r="E26" s="25"/>
      <c r="F26" s="26"/>
      <c r="G26" s="25"/>
      <c r="H26" s="26"/>
      <c r="I26" s="25"/>
      <c r="J26" s="26"/>
      <c r="K26" s="35"/>
      <c r="L26" s="27"/>
      <c r="M26" s="27"/>
    </row>
    <row r="27" spans="1:13" ht="45" customHeight="1" x14ac:dyDescent="0.25">
      <c r="A27" s="24">
        <v>44339</v>
      </c>
      <c r="B27" s="36"/>
      <c r="C27" s="25"/>
      <c r="D27" s="26"/>
      <c r="E27" s="25"/>
      <c r="F27" s="26"/>
      <c r="G27" s="25"/>
      <c r="H27" s="26"/>
      <c r="I27" s="25"/>
      <c r="J27" s="26"/>
      <c r="K27" s="35"/>
      <c r="L27" s="27"/>
      <c r="M27" s="27"/>
    </row>
    <row r="28" spans="1:13" ht="45" customHeight="1" x14ac:dyDescent="0.25">
      <c r="A28" s="24">
        <v>44340</v>
      </c>
      <c r="B28" s="36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 x14ac:dyDescent="0.25">
      <c r="A29" s="24">
        <v>44341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 x14ac:dyDescent="0.25">
      <c r="A30" s="24">
        <v>44342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 x14ac:dyDescent="0.25">
      <c r="A31" s="24">
        <v>44343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 x14ac:dyDescent="0.25">
      <c r="A32" s="24">
        <v>44344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 x14ac:dyDescent="0.25">
      <c r="A33" s="24">
        <v>44345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 x14ac:dyDescent="0.25">
      <c r="A34" s="24">
        <v>44346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 x14ac:dyDescent="0.25">
      <c r="A35" s="24">
        <v>44347</v>
      </c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2021-05-25T01:49:45Z</dcterms:modified>
</cp:coreProperties>
</file>