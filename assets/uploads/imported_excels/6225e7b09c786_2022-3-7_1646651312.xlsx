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rt\Utilities-Send to Finance &amp; JLL\HEP\2022\"/>
    </mc:Choice>
  </mc:AlternateContent>
  <bookViews>
    <workbookView xWindow="-120" yWindow="-120" windowWidth="29040" windowHeight="15840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Electricity!$B$1:$U$51</definedName>
    <definedName name="_xlnm.Print_Area" localSheetId="2">Water!$A$1:$H$34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3" i="1"/>
  <c r="N29" i="4" l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O2" i="4" l="1"/>
  <c r="N2" i="4"/>
  <c r="I34" i="1" l="1"/>
  <c r="G34" i="1"/>
  <c r="F34" i="1"/>
  <c r="H27" i="1" l="1"/>
  <c r="E23" i="4" s="1"/>
  <c r="H28" i="1"/>
  <c r="E24" i="4" s="1"/>
  <c r="H29" i="1"/>
  <c r="E25" i="4" s="1"/>
  <c r="H30" i="1"/>
  <c r="E26" i="4" s="1"/>
  <c r="H31" i="1"/>
  <c r="E27" i="4" s="1"/>
  <c r="H32" i="1"/>
  <c r="E28" i="4" s="1"/>
  <c r="H33" i="1"/>
  <c r="E29" i="4" s="1"/>
  <c r="K6" i="1" l="1"/>
  <c r="D34" i="3" l="1"/>
  <c r="C34" i="3"/>
  <c r="G2" i="4" l="1"/>
  <c r="F2" i="4"/>
  <c r="J2" i="4" l="1"/>
  <c r="G34" i="2" l="1"/>
  <c r="F34" i="2"/>
  <c r="L2" i="4"/>
  <c r="E34" i="3" l="1"/>
  <c r="F34" i="3"/>
  <c r="G34" i="3"/>
  <c r="H34" i="3"/>
  <c r="H35" i="3" s="1"/>
  <c r="E43" i="3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4" i="1" l="1"/>
  <c r="L33" i="1"/>
  <c r="L32" i="1"/>
  <c r="L31" i="1"/>
  <c r="L30" i="1"/>
  <c r="L29" i="1"/>
  <c r="L28" i="1"/>
  <c r="L27" i="1"/>
  <c r="H26" i="1"/>
  <c r="E22" i="4" s="1"/>
  <c r="L26" i="1"/>
  <c r="H25" i="1"/>
  <c r="E21" i="4" s="1"/>
  <c r="L25" i="1"/>
  <c r="H24" i="1"/>
  <c r="E20" i="4" s="1"/>
  <c r="L24" i="1"/>
  <c r="H23" i="1"/>
  <c r="E19" i="4" s="1"/>
  <c r="L23" i="1"/>
  <c r="H22" i="1"/>
  <c r="E18" i="4" s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L6" i="1"/>
  <c r="L34" i="1" l="1"/>
  <c r="E2" i="4"/>
  <c r="P2" i="4" s="1"/>
  <c r="H34" i="1"/>
  <c r="J10" i="1"/>
  <c r="P6" i="4"/>
  <c r="J14" i="1"/>
  <c r="P10" i="4"/>
  <c r="J18" i="1"/>
  <c r="P14" i="4"/>
  <c r="J22" i="1"/>
  <c r="J26" i="1"/>
  <c r="P22" i="4"/>
  <c r="J30" i="1"/>
  <c r="P26" i="4"/>
  <c r="J7" i="1"/>
  <c r="P3" i="4"/>
  <c r="J11" i="1"/>
  <c r="P7" i="4"/>
  <c r="J15" i="1"/>
  <c r="P11" i="4"/>
  <c r="J19" i="1"/>
  <c r="P15" i="4"/>
  <c r="J23" i="1"/>
  <c r="J27" i="1"/>
  <c r="P23" i="4"/>
  <c r="J31" i="1"/>
  <c r="P27" i="4"/>
  <c r="P33" i="4"/>
  <c r="J8" i="1"/>
  <c r="P4" i="4"/>
  <c r="J20" i="1"/>
  <c r="P16" i="4"/>
  <c r="J32" i="1"/>
  <c r="P28" i="4"/>
  <c r="J16" i="1"/>
  <c r="P12" i="4"/>
  <c r="J28" i="1"/>
  <c r="P24" i="4"/>
  <c r="J12" i="1"/>
  <c r="P8" i="4"/>
  <c r="J24" i="1"/>
  <c r="J9" i="1"/>
  <c r="P5" i="4"/>
  <c r="J13" i="1"/>
  <c r="P9" i="4"/>
  <c r="J17" i="1"/>
  <c r="P13" i="4"/>
  <c r="J21" i="1"/>
  <c r="P17" i="4"/>
  <c r="J25" i="1"/>
  <c r="J29" i="1"/>
  <c r="P25" i="4"/>
  <c r="J33" i="1"/>
  <c r="P29" i="4"/>
  <c r="J6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4" i="1" l="1"/>
  <c r="J34" i="1"/>
  <c r="N6" i="1"/>
  <c r="N34" i="1" s="1"/>
  <c r="E34" i="2"/>
  <c r="O6" i="1" l="1"/>
  <c r="O34" i="1" s="1"/>
  <c r="P20" i="4"/>
  <c r="P21" i="4"/>
  <c r="P18" i="4"/>
  <c r="P19" i="4"/>
  <c r="D34" i="2"/>
  <c r="G44" i="2" s="1"/>
  <c r="C34" i="2" l="1"/>
  <c r="G38" i="2"/>
  <c r="I2" i="4"/>
</calcChain>
</file>

<file path=xl/sharedStrings.xml><?xml version="1.0" encoding="utf-8"?>
<sst xmlns="http://schemas.openxmlformats.org/spreadsheetml/2006/main" count="134" uniqueCount="65">
  <si>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</si>
  <si>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</si>
  <si>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</si>
  <si>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</si>
  <si>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</si>
  <si>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</si>
  <si>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</si>
  <si>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</si>
  <si>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</si>
  <si>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</si>
  <si>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</si>
  <si>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</si>
  <si>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</si>
  <si>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</si>
  <si>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</si>
  <si>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</si>
  <si>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</si>
  <si>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</si>
  <si>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</si>
  <si>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</si>
  <si>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</si>
  <si>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</si>
  <si>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</si>
  <si>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</si>
  <si>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</si>
  <si>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</si>
  <si>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</si>
  <si>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</si>
  <si>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</si>
  <si>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</si>
  <si>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</si>
  <si>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</si>
  <si>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</si>
  <si>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</si>
  <si>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</si>
  <si>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</si>
  <si>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</si>
  <si>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</si>
  <si>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</si>
  <si>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</si>
  <si>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</si>
  <si>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</si>
  <si>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</si>
  <si>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</si>
  <si>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</si>
  <si>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</si>
  <si>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</si>
  <si>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</si>
  <si>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</si>
  <si>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</si>
  <si>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</si>
  <si>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</si>
  <si>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</si>
  <si>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</si>
  <si>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</si>
  <si>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</si>
  <si>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</si>
  <si>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</si>
  <si>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</si>
  <si>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</si>
  <si>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Electricity Tariff ($/Kwh)</t>
  </si>
  <si>
    <t>Natual Gas (m3)</t>
  </si>
  <si>
    <t>Water Utility Supply (m3) $/m3</t>
  </si>
  <si>
    <t>Water Utility Supply (m3) m3</t>
  </si>
  <si>
    <t>Electricity Distribution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</si>
</sst>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9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Border="1" applyAlignment="1">
      <alignment vertical="center"/>
    </xf>
    <xf numFmtId="166" fontId="5" fillId="2" borderId="0" xfId="2" applyNumberFormat="1" applyFill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164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64" fontId="9" fillId="0" borderId="0" xfId="1" applyAlignment="1">
      <alignment horizontal="center"/>
    </xf>
    <xf numFmtId="164" fontId="0" fillId="0" borderId="0" xfId="1" applyFont="1" applyAlignment="1">
      <alignment horizontal="center"/>
    </xf>
    <xf numFmtId="172" fontId="6" fillId="0" borderId="24" xfId="9" applyNumberFormat="1" applyFont="1" applyBorder="1" applyAlignment="1">
      <alignment horizontal="center" wrapText="1"/>
    </xf>
    <xf numFmtId="172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5" fillId="0" borderId="28" xfId="3" applyNumberForma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1" fontId="19" fillId="4" borderId="28" xfId="2" applyNumberFormat="1" applyFont="1" applyFill="1" applyBorder="1" applyAlignment="1">
      <alignment horizontal="center" vertical="center" wrapText="1"/>
    </xf>
    <xf numFmtId="1" fontId="0" fillId="0" borderId="28" xfId="1" applyNumberFormat="1" applyFont="1" applyBorder="1" applyAlignment="1">
      <alignment horizontal="center" vertical="center"/>
    </xf>
    <xf numFmtId="1" fontId="1" fillId="0" borderId="28" xfId="1" applyNumberFormat="1" applyFon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14" fontId="5" fillId="0" borderId="29" xfId="3" applyNumberFormat="1" applyBorder="1" applyAlignment="1">
      <alignment horizontal="center" vertical="center"/>
    </xf>
    <xf numFmtId="1" fontId="5" fillId="2" borderId="28" xfId="3" applyNumberFormat="1" applyFill="1" applyBorder="1" applyAlignment="1">
      <alignment horizontal="center" vertical="center"/>
    </xf>
    <xf numFmtId="1" fontId="5" fillId="0" borderId="30" xfId="3" applyNumberForma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/>
    <cellStyle name="Comma [0] 5" xfId="4"/>
    <cellStyle name="Normal" xfId="0" builtinId="0"/>
    <cellStyle name="Normal 2" xfId="6"/>
    <cellStyle name="Normal 2 4" xfId="3"/>
    <cellStyle name="Normal 4" xfId="9"/>
    <cellStyle name="Normal 5" xfId="2"/>
    <cellStyle name="Percent" xfId="8" builtinId="5"/>
  </cellStyles>
  <dxfs count="12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workbookViewId="0">
      <selection activeCell="S11" sqref="S11"/>
    </sheetView>
  </sheetViews>
  <sheetFormatPr defaultColWidth="11.5703125" defaultRowHeight="15" x14ac:dyDescent="0.25"/>
  <cols>
    <col min="1" max="1" width="12.42578125" style="87" customWidth="1"/>
    <col min="2" max="3" width="11.5703125" style="89"/>
    <col min="4" max="4" width="13.42578125" style="88" customWidth="1"/>
    <col min="5" max="7" width="12.5703125" style="86" customWidth="1"/>
    <col min="8" max="9" width="12.5703125" style="87" customWidth="1"/>
    <col min="10" max="10" width="11.5703125" style="87"/>
    <col min="11" max="11" width="11.5703125" style="107"/>
    <col min="12" max="13" width="11.5703125" style="87"/>
    <col min="14" max="15" width="11.5703125" style="86"/>
    <col min="16" max="16" width="0" style="85" hidden="1" customWidth="1"/>
    <col min="17" max="259" width="11.5703125" style="85"/>
    <col min="260" max="260" width="12.42578125" style="85" customWidth="1"/>
    <col min="261" max="262" width="11.5703125" style="85"/>
    <col min="263" max="263" width="13.42578125" style="85" customWidth="1"/>
    <col min="264" max="265" width="12.5703125" style="85" customWidth="1"/>
    <col min="266" max="271" width="11.5703125" style="85"/>
    <col min="272" max="272" width="0" style="85" hidden="1" customWidth="1"/>
    <col min="273" max="515" width="11.5703125" style="85"/>
    <col min="516" max="516" width="12.42578125" style="85" customWidth="1"/>
    <col min="517" max="518" width="11.5703125" style="85"/>
    <col min="519" max="519" width="13.42578125" style="85" customWidth="1"/>
    <col min="520" max="521" width="12.5703125" style="85" customWidth="1"/>
    <col min="522" max="527" width="11.5703125" style="85"/>
    <col min="528" max="528" width="0" style="85" hidden="1" customWidth="1"/>
    <col min="529" max="771" width="11.5703125" style="85"/>
    <col min="772" max="772" width="12.42578125" style="85" customWidth="1"/>
    <col min="773" max="774" width="11.5703125" style="85"/>
    <col min="775" max="775" width="13.42578125" style="85" customWidth="1"/>
    <col min="776" max="777" width="12.5703125" style="85" customWidth="1"/>
    <col min="778" max="783" width="11.5703125" style="85"/>
    <col min="784" max="784" width="0" style="85" hidden="1" customWidth="1"/>
    <col min="785" max="1027" width="11.5703125" style="85"/>
    <col min="1028" max="1028" width="12.42578125" style="85" customWidth="1"/>
    <col min="1029" max="1030" width="11.5703125" style="85"/>
    <col min="1031" max="1031" width="13.42578125" style="85" customWidth="1"/>
    <col min="1032" max="1033" width="12.5703125" style="85" customWidth="1"/>
    <col min="1034" max="1039" width="11.5703125" style="85"/>
    <col min="1040" max="1040" width="0" style="85" hidden="1" customWidth="1"/>
    <col min="1041" max="1283" width="11.5703125" style="85"/>
    <col min="1284" max="1284" width="12.42578125" style="85" customWidth="1"/>
    <col min="1285" max="1286" width="11.5703125" style="85"/>
    <col min="1287" max="1287" width="13.42578125" style="85" customWidth="1"/>
    <col min="1288" max="1289" width="12.5703125" style="85" customWidth="1"/>
    <col min="1290" max="1295" width="11.5703125" style="85"/>
    <col min="1296" max="1296" width="0" style="85" hidden="1" customWidth="1"/>
    <col min="1297" max="1539" width="11.5703125" style="85"/>
    <col min="1540" max="1540" width="12.42578125" style="85" customWidth="1"/>
    <col min="1541" max="1542" width="11.5703125" style="85"/>
    <col min="1543" max="1543" width="13.42578125" style="85" customWidth="1"/>
    <col min="1544" max="1545" width="12.5703125" style="85" customWidth="1"/>
    <col min="1546" max="1551" width="11.5703125" style="85"/>
    <col min="1552" max="1552" width="0" style="85" hidden="1" customWidth="1"/>
    <col min="1553" max="1795" width="11.5703125" style="85"/>
    <col min="1796" max="1796" width="12.42578125" style="85" customWidth="1"/>
    <col min="1797" max="1798" width="11.5703125" style="85"/>
    <col min="1799" max="1799" width="13.42578125" style="85" customWidth="1"/>
    <col min="1800" max="1801" width="12.5703125" style="85" customWidth="1"/>
    <col min="1802" max="1807" width="11.5703125" style="85"/>
    <col min="1808" max="1808" width="0" style="85" hidden="1" customWidth="1"/>
    <col min="1809" max="2051" width="11.5703125" style="85"/>
    <col min="2052" max="2052" width="12.42578125" style="85" customWidth="1"/>
    <col min="2053" max="2054" width="11.5703125" style="85"/>
    <col min="2055" max="2055" width="13.42578125" style="85" customWidth="1"/>
    <col min="2056" max="2057" width="12.5703125" style="85" customWidth="1"/>
    <col min="2058" max="2063" width="11.5703125" style="85"/>
    <col min="2064" max="2064" width="0" style="85" hidden="1" customWidth="1"/>
    <col min="2065" max="2307" width="11.5703125" style="85"/>
    <col min="2308" max="2308" width="12.42578125" style="85" customWidth="1"/>
    <col min="2309" max="2310" width="11.5703125" style="85"/>
    <col min="2311" max="2311" width="13.42578125" style="85" customWidth="1"/>
    <col min="2312" max="2313" width="12.5703125" style="85" customWidth="1"/>
    <col min="2314" max="2319" width="11.5703125" style="85"/>
    <col min="2320" max="2320" width="0" style="85" hidden="1" customWidth="1"/>
    <col min="2321" max="2563" width="11.5703125" style="85"/>
    <col min="2564" max="2564" width="12.42578125" style="85" customWidth="1"/>
    <col min="2565" max="2566" width="11.5703125" style="85"/>
    <col min="2567" max="2567" width="13.42578125" style="85" customWidth="1"/>
    <col min="2568" max="2569" width="12.5703125" style="85" customWidth="1"/>
    <col min="2570" max="2575" width="11.5703125" style="85"/>
    <col min="2576" max="2576" width="0" style="85" hidden="1" customWidth="1"/>
    <col min="2577" max="2819" width="11.5703125" style="85"/>
    <col min="2820" max="2820" width="12.42578125" style="85" customWidth="1"/>
    <col min="2821" max="2822" width="11.5703125" style="85"/>
    <col min="2823" max="2823" width="13.42578125" style="85" customWidth="1"/>
    <col min="2824" max="2825" width="12.5703125" style="85" customWidth="1"/>
    <col min="2826" max="2831" width="11.5703125" style="85"/>
    <col min="2832" max="2832" width="0" style="85" hidden="1" customWidth="1"/>
    <col min="2833" max="3075" width="11.5703125" style="85"/>
    <col min="3076" max="3076" width="12.42578125" style="85" customWidth="1"/>
    <col min="3077" max="3078" width="11.5703125" style="85"/>
    <col min="3079" max="3079" width="13.42578125" style="85" customWidth="1"/>
    <col min="3080" max="3081" width="12.5703125" style="85" customWidth="1"/>
    <col min="3082" max="3087" width="11.5703125" style="85"/>
    <col min="3088" max="3088" width="0" style="85" hidden="1" customWidth="1"/>
    <col min="3089" max="3331" width="11.5703125" style="85"/>
    <col min="3332" max="3332" width="12.42578125" style="85" customWidth="1"/>
    <col min="3333" max="3334" width="11.5703125" style="85"/>
    <col min="3335" max="3335" width="13.42578125" style="85" customWidth="1"/>
    <col min="3336" max="3337" width="12.5703125" style="85" customWidth="1"/>
    <col min="3338" max="3343" width="11.5703125" style="85"/>
    <col min="3344" max="3344" width="0" style="85" hidden="1" customWidth="1"/>
    <col min="3345" max="3587" width="11.5703125" style="85"/>
    <col min="3588" max="3588" width="12.42578125" style="85" customWidth="1"/>
    <col min="3589" max="3590" width="11.5703125" style="85"/>
    <col min="3591" max="3591" width="13.42578125" style="85" customWidth="1"/>
    <col min="3592" max="3593" width="12.5703125" style="85" customWidth="1"/>
    <col min="3594" max="3599" width="11.5703125" style="85"/>
    <col min="3600" max="3600" width="0" style="85" hidden="1" customWidth="1"/>
    <col min="3601" max="3843" width="11.5703125" style="85"/>
    <col min="3844" max="3844" width="12.42578125" style="85" customWidth="1"/>
    <col min="3845" max="3846" width="11.5703125" style="85"/>
    <col min="3847" max="3847" width="13.42578125" style="85" customWidth="1"/>
    <col min="3848" max="3849" width="12.5703125" style="85" customWidth="1"/>
    <col min="3850" max="3855" width="11.5703125" style="85"/>
    <col min="3856" max="3856" width="0" style="85" hidden="1" customWidth="1"/>
    <col min="3857" max="4099" width="11.5703125" style="85"/>
    <col min="4100" max="4100" width="12.42578125" style="85" customWidth="1"/>
    <col min="4101" max="4102" width="11.5703125" style="85"/>
    <col min="4103" max="4103" width="13.42578125" style="85" customWidth="1"/>
    <col min="4104" max="4105" width="12.5703125" style="85" customWidth="1"/>
    <col min="4106" max="4111" width="11.5703125" style="85"/>
    <col min="4112" max="4112" width="0" style="85" hidden="1" customWidth="1"/>
    <col min="4113" max="4355" width="11.5703125" style="85"/>
    <col min="4356" max="4356" width="12.42578125" style="85" customWidth="1"/>
    <col min="4357" max="4358" width="11.5703125" style="85"/>
    <col min="4359" max="4359" width="13.42578125" style="85" customWidth="1"/>
    <col min="4360" max="4361" width="12.5703125" style="85" customWidth="1"/>
    <col min="4362" max="4367" width="11.5703125" style="85"/>
    <col min="4368" max="4368" width="0" style="85" hidden="1" customWidth="1"/>
    <col min="4369" max="4611" width="11.5703125" style="85"/>
    <col min="4612" max="4612" width="12.42578125" style="85" customWidth="1"/>
    <col min="4613" max="4614" width="11.5703125" style="85"/>
    <col min="4615" max="4615" width="13.42578125" style="85" customWidth="1"/>
    <col min="4616" max="4617" width="12.5703125" style="85" customWidth="1"/>
    <col min="4618" max="4623" width="11.5703125" style="85"/>
    <col min="4624" max="4624" width="0" style="85" hidden="1" customWidth="1"/>
    <col min="4625" max="4867" width="11.5703125" style="85"/>
    <col min="4868" max="4868" width="12.42578125" style="85" customWidth="1"/>
    <col min="4869" max="4870" width="11.5703125" style="85"/>
    <col min="4871" max="4871" width="13.42578125" style="85" customWidth="1"/>
    <col min="4872" max="4873" width="12.5703125" style="85" customWidth="1"/>
    <col min="4874" max="4879" width="11.5703125" style="85"/>
    <col min="4880" max="4880" width="0" style="85" hidden="1" customWidth="1"/>
    <col min="4881" max="5123" width="11.5703125" style="85"/>
    <col min="5124" max="5124" width="12.42578125" style="85" customWidth="1"/>
    <col min="5125" max="5126" width="11.5703125" style="85"/>
    <col min="5127" max="5127" width="13.42578125" style="85" customWidth="1"/>
    <col min="5128" max="5129" width="12.5703125" style="85" customWidth="1"/>
    <col min="5130" max="5135" width="11.5703125" style="85"/>
    <col min="5136" max="5136" width="0" style="85" hidden="1" customWidth="1"/>
    <col min="5137" max="5379" width="11.5703125" style="85"/>
    <col min="5380" max="5380" width="12.42578125" style="85" customWidth="1"/>
    <col min="5381" max="5382" width="11.5703125" style="85"/>
    <col min="5383" max="5383" width="13.42578125" style="85" customWidth="1"/>
    <col min="5384" max="5385" width="12.5703125" style="85" customWidth="1"/>
    <col min="5386" max="5391" width="11.5703125" style="85"/>
    <col min="5392" max="5392" width="0" style="85" hidden="1" customWidth="1"/>
    <col min="5393" max="5635" width="11.5703125" style="85"/>
    <col min="5636" max="5636" width="12.42578125" style="85" customWidth="1"/>
    <col min="5637" max="5638" width="11.5703125" style="85"/>
    <col min="5639" max="5639" width="13.42578125" style="85" customWidth="1"/>
    <col min="5640" max="5641" width="12.5703125" style="85" customWidth="1"/>
    <col min="5642" max="5647" width="11.5703125" style="85"/>
    <col min="5648" max="5648" width="0" style="85" hidden="1" customWidth="1"/>
    <col min="5649" max="5891" width="11.5703125" style="85"/>
    <col min="5892" max="5892" width="12.42578125" style="85" customWidth="1"/>
    <col min="5893" max="5894" width="11.5703125" style="85"/>
    <col min="5895" max="5895" width="13.42578125" style="85" customWidth="1"/>
    <col min="5896" max="5897" width="12.5703125" style="85" customWidth="1"/>
    <col min="5898" max="5903" width="11.5703125" style="85"/>
    <col min="5904" max="5904" width="0" style="85" hidden="1" customWidth="1"/>
    <col min="5905" max="6147" width="11.5703125" style="85"/>
    <col min="6148" max="6148" width="12.42578125" style="85" customWidth="1"/>
    <col min="6149" max="6150" width="11.5703125" style="85"/>
    <col min="6151" max="6151" width="13.42578125" style="85" customWidth="1"/>
    <col min="6152" max="6153" width="12.5703125" style="85" customWidth="1"/>
    <col min="6154" max="6159" width="11.5703125" style="85"/>
    <col min="6160" max="6160" width="0" style="85" hidden="1" customWidth="1"/>
    <col min="6161" max="6403" width="11.5703125" style="85"/>
    <col min="6404" max="6404" width="12.42578125" style="85" customWidth="1"/>
    <col min="6405" max="6406" width="11.5703125" style="85"/>
    <col min="6407" max="6407" width="13.42578125" style="85" customWidth="1"/>
    <col min="6408" max="6409" width="12.5703125" style="85" customWidth="1"/>
    <col min="6410" max="6415" width="11.5703125" style="85"/>
    <col min="6416" max="6416" width="0" style="85" hidden="1" customWidth="1"/>
    <col min="6417" max="6659" width="11.5703125" style="85"/>
    <col min="6660" max="6660" width="12.42578125" style="85" customWidth="1"/>
    <col min="6661" max="6662" width="11.5703125" style="85"/>
    <col min="6663" max="6663" width="13.42578125" style="85" customWidth="1"/>
    <col min="6664" max="6665" width="12.5703125" style="85" customWidth="1"/>
    <col min="6666" max="6671" width="11.5703125" style="85"/>
    <col min="6672" max="6672" width="0" style="85" hidden="1" customWidth="1"/>
    <col min="6673" max="6915" width="11.5703125" style="85"/>
    <col min="6916" max="6916" width="12.42578125" style="85" customWidth="1"/>
    <col min="6917" max="6918" width="11.5703125" style="85"/>
    <col min="6919" max="6919" width="13.42578125" style="85" customWidth="1"/>
    <col min="6920" max="6921" width="12.5703125" style="85" customWidth="1"/>
    <col min="6922" max="6927" width="11.5703125" style="85"/>
    <col min="6928" max="6928" width="0" style="85" hidden="1" customWidth="1"/>
    <col min="6929" max="7171" width="11.5703125" style="85"/>
    <col min="7172" max="7172" width="12.42578125" style="85" customWidth="1"/>
    <col min="7173" max="7174" width="11.5703125" style="85"/>
    <col min="7175" max="7175" width="13.42578125" style="85" customWidth="1"/>
    <col min="7176" max="7177" width="12.5703125" style="85" customWidth="1"/>
    <col min="7178" max="7183" width="11.5703125" style="85"/>
    <col min="7184" max="7184" width="0" style="85" hidden="1" customWidth="1"/>
    <col min="7185" max="7427" width="11.5703125" style="85"/>
    <col min="7428" max="7428" width="12.42578125" style="85" customWidth="1"/>
    <col min="7429" max="7430" width="11.5703125" style="85"/>
    <col min="7431" max="7431" width="13.42578125" style="85" customWidth="1"/>
    <col min="7432" max="7433" width="12.5703125" style="85" customWidth="1"/>
    <col min="7434" max="7439" width="11.5703125" style="85"/>
    <col min="7440" max="7440" width="0" style="85" hidden="1" customWidth="1"/>
    <col min="7441" max="7683" width="11.5703125" style="85"/>
    <col min="7684" max="7684" width="12.42578125" style="85" customWidth="1"/>
    <col min="7685" max="7686" width="11.5703125" style="85"/>
    <col min="7687" max="7687" width="13.42578125" style="85" customWidth="1"/>
    <col min="7688" max="7689" width="12.5703125" style="85" customWidth="1"/>
    <col min="7690" max="7695" width="11.5703125" style="85"/>
    <col min="7696" max="7696" width="0" style="85" hidden="1" customWidth="1"/>
    <col min="7697" max="7939" width="11.5703125" style="85"/>
    <col min="7940" max="7940" width="12.42578125" style="85" customWidth="1"/>
    <col min="7941" max="7942" width="11.5703125" style="85"/>
    <col min="7943" max="7943" width="13.42578125" style="85" customWidth="1"/>
    <col min="7944" max="7945" width="12.5703125" style="85" customWidth="1"/>
    <col min="7946" max="7951" width="11.5703125" style="85"/>
    <col min="7952" max="7952" width="0" style="85" hidden="1" customWidth="1"/>
    <col min="7953" max="8195" width="11.5703125" style="85"/>
    <col min="8196" max="8196" width="12.42578125" style="85" customWidth="1"/>
    <col min="8197" max="8198" width="11.5703125" style="85"/>
    <col min="8199" max="8199" width="13.42578125" style="85" customWidth="1"/>
    <col min="8200" max="8201" width="12.5703125" style="85" customWidth="1"/>
    <col min="8202" max="8207" width="11.5703125" style="85"/>
    <col min="8208" max="8208" width="0" style="85" hidden="1" customWidth="1"/>
    <col min="8209" max="8451" width="11.5703125" style="85"/>
    <col min="8452" max="8452" width="12.42578125" style="85" customWidth="1"/>
    <col min="8453" max="8454" width="11.5703125" style="85"/>
    <col min="8455" max="8455" width="13.42578125" style="85" customWidth="1"/>
    <col min="8456" max="8457" width="12.5703125" style="85" customWidth="1"/>
    <col min="8458" max="8463" width="11.5703125" style="85"/>
    <col min="8464" max="8464" width="0" style="85" hidden="1" customWidth="1"/>
    <col min="8465" max="8707" width="11.5703125" style="85"/>
    <col min="8708" max="8708" width="12.42578125" style="85" customWidth="1"/>
    <col min="8709" max="8710" width="11.5703125" style="85"/>
    <col min="8711" max="8711" width="13.42578125" style="85" customWidth="1"/>
    <col min="8712" max="8713" width="12.5703125" style="85" customWidth="1"/>
    <col min="8714" max="8719" width="11.5703125" style="85"/>
    <col min="8720" max="8720" width="0" style="85" hidden="1" customWidth="1"/>
    <col min="8721" max="8963" width="11.5703125" style="85"/>
    <col min="8964" max="8964" width="12.42578125" style="85" customWidth="1"/>
    <col min="8965" max="8966" width="11.5703125" style="85"/>
    <col min="8967" max="8967" width="13.42578125" style="85" customWidth="1"/>
    <col min="8968" max="8969" width="12.5703125" style="85" customWidth="1"/>
    <col min="8970" max="8975" width="11.5703125" style="85"/>
    <col min="8976" max="8976" width="0" style="85" hidden="1" customWidth="1"/>
    <col min="8977" max="9219" width="11.5703125" style="85"/>
    <col min="9220" max="9220" width="12.42578125" style="85" customWidth="1"/>
    <col min="9221" max="9222" width="11.5703125" style="85"/>
    <col min="9223" max="9223" width="13.42578125" style="85" customWidth="1"/>
    <col min="9224" max="9225" width="12.5703125" style="85" customWidth="1"/>
    <col min="9226" max="9231" width="11.5703125" style="85"/>
    <col min="9232" max="9232" width="0" style="85" hidden="1" customWidth="1"/>
    <col min="9233" max="9475" width="11.5703125" style="85"/>
    <col min="9476" max="9476" width="12.42578125" style="85" customWidth="1"/>
    <col min="9477" max="9478" width="11.5703125" style="85"/>
    <col min="9479" max="9479" width="13.42578125" style="85" customWidth="1"/>
    <col min="9480" max="9481" width="12.5703125" style="85" customWidth="1"/>
    <col min="9482" max="9487" width="11.5703125" style="85"/>
    <col min="9488" max="9488" width="0" style="85" hidden="1" customWidth="1"/>
    <col min="9489" max="9731" width="11.5703125" style="85"/>
    <col min="9732" max="9732" width="12.42578125" style="85" customWidth="1"/>
    <col min="9733" max="9734" width="11.5703125" style="85"/>
    <col min="9735" max="9735" width="13.42578125" style="85" customWidth="1"/>
    <col min="9736" max="9737" width="12.5703125" style="85" customWidth="1"/>
    <col min="9738" max="9743" width="11.5703125" style="85"/>
    <col min="9744" max="9744" width="0" style="85" hidden="1" customWidth="1"/>
    <col min="9745" max="9987" width="11.5703125" style="85"/>
    <col min="9988" max="9988" width="12.42578125" style="85" customWidth="1"/>
    <col min="9989" max="9990" width="11.5703125" style="85"/>
    <col min="9991" max="9991" width="13.42578125" style="85" customWidth="1"/>
    <col min="9992" max="9993" width="12.5703125" style="85" customWidth="1"/>
    <col min="9994" max="9999" width="11.5703125" style="85"/>
    <col min="10000" max="10000" width="0" style="85" hidden="1" customWidth="1"/>
    <col min="10001" max="10243" width="11.5703125" style="85"/>
    <col min="10244" max="10244" width="12.42578125" style="85" customWidth="1"/>
    <col min="10245" max="10246" width="11.5703125" style="85"/>
    <col min="10247" max="10247" width="13.42578125" style="85" customWidth="1"/>
    <col min="10248" max="10249" width="12.5703125" style="85" customWidth="1"/>
    <col min="10250" max="10255" width="11.5703125" style="85"/>
    <col min="10256" max="10256" width="0" style="85" hidden="1" customWidth="1"/>
    <col min="10257" max="10499" width="11.5703125" style="85"/>
    <col min="10500" max="10500" width="12.42578125" style="85" customWidth="1"/>
    <col min="10501" max="10502" width="11.5703125" style="85"/>
    <col min="10503" max="10503" width="13.42578125" style="85" customWidth="1"/>
    <col min="10504" max="10505" width="12.5703125" style="85" customWidth="1"/>
    <col min="10506" max="10511" width="11.5703125" style="85"/>
    <col min="10512" max="10512" width="0" style="85" hidden="1" customWidth="1"/>
    <col min="10513" max="10755" width="11.5703125" style="85"/>
    <col min="10756" max="10756" width="12.42578125" style="85" customWidth="1"/>
    <col min="10757" max="10758" width="11.5703125" style="85"/>
    <col min="10759" max="10759" width="13.42578125" style="85" customWidth="1"/>
    <col min="10760" max="10761" width="12.5703125" style="85" customWidth="1"/>
    <col min="10762" max="10767" width="11.5703125" style="85"/>
    <col min="10768" max="10768" width="0" style="85" hidden="1" customWidth="1"/>
    <col min="10769" max="11011" width="11.5703125" style="85"/>
    <col min="11012" max="11012" width="12.42578125" style="85" customWidth="1"/>
    <col min="11013" max="11014" width="11.5703125" style="85"/>
    <col min="11015" max="11015" width="13.42578125" style="85" customWidth="1"/>
    <col min="11016" max="11017" width="12.5703125" style="85" customWidth="1"/>
    <col min="11018" max="11023" width="11.5703125" style="85"/>
    <col min="11024" max="11024" width="0" style="85" hidden="1" customWidth="1"/>
    <col min="11025" max="11267" width="11.5703125" style="85"/>
    <col min="11268" max="11268" width="12.42578125" style="85" customWidth="1"/>
    <col min="11269" max="11270" width="11.5703125" style="85"/>
    <col min="11271" max="11271" width="13.42578125" style="85" customWidth="1"/>
    <col min="11272" max="11273" width="12.5703125" style="85" customWidth="1"/>
    <col min="11274" max="11279" width="11.5703125" style="85"/>
    <col min="11280" max="11280" width="0" style="85" hidden="1" customWidth="1"/>
    <col min="11281" max="11523" width="11.5703125" style="85"/>
    <col min="11524" max="11524" width="12.42578125" style="85" customWidth="1"/>
    <col min="11525" max="11526" width="11.5703125" style="85"/>
    <col min="11527" max="11527" width="13.42578125" style="85" customWidth="1"/>
    <col min="11528" max="11529" width="12.5703125" style="85" customWidth="1"/>
    <col min="11530" max="11535" width="11.5703125" style="85"/>
    <col min="11536" max="11536" width="0" style="85" hidden="1" customWidth="1"/>
    <col min="11537" max="11779" width="11.5703125" style="85"/>
    <col min="11780" max="11780" width="12.42578125" style="85" customWidth="1"/>
    <col min="11781" max="11782" width="11.5703125" style="85"/>
    <col min="11783" max="11783" width="13.42578125" style="85" customWidth="1"/>
    <col min="11784" max="11785" width="12.5703125" style="85" customWidth="1"/>
    <col min="11786" max="11791" width="11.5703125" style="85"/>
    <col min="11792" max="11792" width="0" style="85" hidden="1" customWidth="1"/>
    <col min="11793" max="12035" width="11.5703125" style="85"/>
    <col min="12036" max="12036" width="12.42578125" style="85" customWidth="1"/>
    <col min="12037" max="12038" width="11.5703125" style="85"/>
    <col min="12039" max="12039" width="13.42578125" style="85" customWidth="1"/>
    <col min="12040" max="12041" width="12.5703125" style="85" customWidth="1"/>
    <col min="12042" max="12047" width="11.5703125" style="85"/>
    <col min="12048" max="12048" width="0" style="85" hidden="1" customWidth="1"/>
    <col min="12049" max="12291" width="11.5703125" style="85"/>
    <col min="12292" max="12292" width="12.42578125" style="85" customWidth="1"/>
    <col min="12293" max="12294" width="11.5703125" style="85"/>
    <col min="12295" max="12295" width="13.42578125" style="85" customWidth="1"/>
    <col min="12296" max="12297" width="12.5703125" style="85" customWidth="1"/>
    <col min="12298" max="12303" width="11.5703125" style="85"/>
    <col min="12304" max="12304" width="0" style="85" hidden="1" customWidth="1"/>
    <col min="12305" max="12547" width="11.5703125" style="85"/>
    <col min="12548" max="12548" width="12.42578125" style="85" customWidth="1"/>
    <col min="12549" max="12550" width="11.5703125" style="85"/>
    <col min="12551" max="12551" width="13.42578125" style="85" customWidth="1"/>
    <col min="12552" max="12553" width="12.5703125" style="85" customWidth="1"/>
    <col min="12554" max="12559" width="11.5703125" style="85"/>
    <col min="12560" max="12560" width="0" style="85" hidden="1" customWidth="1"/>
    <col min="12561" max="12803" width="11.5703125" style="85"/>
    <col min="12804" max="12804" width="12.42578125" style="85" customWidth="1"/>
    <col min="12805" max="12806" width="11.5703125" style="85"/>
    <col min="12807" max="12807" width="13.42578125" style="85" customWidth="1"/>
    <col min="12808" max="12809" width="12.5703125" style="85" customWidth="1"/>
    <col min="12810" max="12815" width="11.5703125" style="85"/>
    <col min="12816" max="12816" width="0" style="85" hidden="1" customWidth="1"/>
    <col min="12817" max="13059" width="11.5703125" style="85"/>
    <col min="13060" max="13060" width="12.42578125" style="85" customWidth="1"/>
    <col min="13061" max="13062" width="11.5703125" style="85"/>
    <col min="13063" max="13063" width="13.42578125" style="85" customWidth="1"/>
    <col min="13064" max="13065" width="12.5703125" style="85" customWidth="1"/>
    <col min="13066" max="13071" width="11.5703125" style="85"/>
    <col min="13072" max="13072" width="0" style="85" hidden="1" customWidth="1"/>
    <col min="13073" max="13315" width="11.5703125" style="85"/>
    <col min="13316" max="13316" width="12.42578125" style="85" customWidth="1"/>
    <col min="13317" max="13318" width="11.5703125" style="85"/>
    <col min="13319" max="13319" width="13.42578125" style="85" customWidth="1"/>
    <col min="13320" max="13321" width="12.5703125" style="85" customWidth="1"/>
    <col min="13322" max="13327" width="11.5703125" style="85"/>
    <col min="13328" max="13328" width="0" style="85" hidden="1" customWidth="1"/>
    <col min="13329" max="13571" width="11.5703125" style="85"/>
    <col min="13572" max="13572" width="12.42578125" style="85" customWidth="1"/>
    <col min="13573" max="13574" width="11.5703125" style="85"/>
    <col min="13575" max="13575" width="13.42578125" style="85" customWidth="1"/>
    <col min="13576" max="13577" width="12.5703125" style="85" customWidth="1"/>
    <col min="13578" max="13583" width="11.5703125" style="85"/>
    <col min="13584" max="13584" width="0" style="85" hidden="1" customWidth="1"/>
    <col min="13585" max="13827" width="11.5703125" style="85"/>
    <col min="13828" max="13828" width="12.42578125" style="85" customWidth="1"/>
    <col min="13829" max="13830" width="11.5703125" style="85"/>
    <col min="13831" max="13831" width="13.42578125" style="85" customWidth="1"/>
    <col min="13832" max="13833" width="12.5703125" style="85" customWidth="1"/>
    <col min="13834" max="13839" width="11.5703125" style="85"/>
    <col min="13840" max="13840" width="0" style="85" hidden="1" customWidth="1"/>
    <col min="13841" max="14083" width="11.5703125" style="85"/>
    <col min="14084" max="14084" width="12.42578125" style="85" customWidth="1"/>
    <col min="14085" max="14086" width="11.5703125" style="85"/>
    <col min="14087" max="14087" width="13.42578125" style="85" customWidth="1"/>
    <col min="14088" max="14089" width="12.5703125" style="85" customWidth="1"/>
    <col min="14090" max="14095" width="11.5703125" style="85"/>
    <col min="14096" max="14096" width="0" style="85" hidden="1" customWidth="1"/>
    <col min="14097" max="14339" width="11.5703125" style="85"/>
    <col min="14340" max="14340" width="12.42578125" style="85" customWidth="1"/>
    <col min="14341" max="14342" width="11.5703125" style="85"/>
    <col min="14343" max="14343" width="13.42578125" style="85" customWidth="1"/>
    <col min="14344" max="14345" width="12.5703125" style="85" customWidth="1"/>
    <col min="14346" max="14351" width="11.5703125" style="85"/>
    <col min="14352" max="14352" width="0" style="85" hidden="1" customWidth="1"/>
    <col min="14353" max="14595" width="11.5703125" style="85"/>
    <col min="14596" max="14596" width="12.42578125" style="85" customWidth="1"/>
    <col min="14597" max="14598" width="11.5703125" style="85"/>
    <col min="14599" max="14599" width="13.42578125" style="85" customWidth="1"/>
    <col min="14600" max="14601" width="12.5703125" style="85" customWidth="1"/>
    <col min="14602" max="14607" width="11.5703125" style="85"/>
    <col min="14608" max="14608" width="0" style="85" hidden="1" customWidth="1"/>
    <col min="14609" max="14851" width="11.5703125" style="85"/>
    <col min="14852" max="14852" width="12.42578125" style="85" customWidth="1"/>
    <col min="14853" max="14854" width="11.5703125" style="85"/>
    <col min="14855" max="14855" width="13.42578125" style="85" customWidth="1"/>
    <col min="14856" max="14857" width="12.5703125" style="85" customWidth="1"/>
    <col min="14858" max="14863" width="11.5703125" style="85"/>
    <col min="14864" max="14864" width="0" style="85" hidden="1" customWidth="1"/>
    <col min="14865" max="15107" width="11.5703125" style="85"/>
    <col min="15108" max="15108" width="12.42578125" style="85" customWidth="1"/>
    <col min="15109" max="15110" width="11.5703125" style="85"/>
    <col min="15111" max="15111" width="13.42578125" style="85" customWidth="1"/>
    <col min="15112" max="15113" width="12.5703125" style="85" customWidth="1"/>
    <col min="15114" max="15119" width="11.5703125" style="85"/>
    <col min="15120" max="15120" width="0" style="85" hidden="1" customWidth="1"/>
    <col min="15121" max="15363" width="11.5703125" style="85"/>
    <col min="15364" max="15364" width="12.42578125" style="85" customWidth="1"/>
    <col min="15365" max="15366" width="11.5703125" style="85"/>
    <col min="15367" max="15367" width="13.42578125" style="85" customWidth="1"/>
    <col min="15368" max="15369" width="12.5703125" style="85" customWidth="1"/>
    <col min="15370" max="15375" width="11.5703125" style="85"/>
    <col min="15376" max="15376" width="0" style="85" hidden="1" customWidth="1"/>
    <col min="15377" max="15619" width="11.5703125" style="85"/>
    <col min="15620" max="15620" width="12.42578125" style="85" customWidth="1"/>
    <col min="15621" max="15622" width="11.5703125" style="85"/>
    <col min="15623" max="15623" width="13.42578125" style="85" customWidth="1"/>
    <col min="15624" max="15625" width="12.5703125" style="85" customWidth="1"/>
    <col min="15626" max="15631" width="11.5703125" style="85"/>
    <col min="15632" max="15632" width="0" style="85" hidden="1" customWidth="1"/>
    <col min="15633" max="15875" width="11.5703125" style="85"/>
    <col min="15876" max="15876" width="12.42578125" style="85" customWidth="1"/>
    <col min="15877" max="15878" width="11.5703125" style="85"/>
    <col min="15879" max="15879" width="13.42578125" style="85" customWidth="1"/>
    <col min="15880" max="15881" width="12.5703125" style="85" customWidth="1"/>
    <col min="15882" max="15887" width="11.5703125" style="85"/>
    <col min="15888" max="15888" width="0" style="85" hidden="1" customWidth="1"/>
    <col min="15889" max="16131" width="11.5703125" style="85"/>
    <col min="16132" max="16132" width="12.42578125" style="85" customWidth="1"/>
    <col min="16133" max="16134" width="11.5703125" style="85"/>
    <col min="16135" max="16135" width="13.42578125" style="85" customWidth="1"/>
    <col min="16136" max="16137" width="12.5703125" style="85" customWidth="1"/>
    <col min="16138" max="16143" width="11.5703125" style="85"/>
    <col min="16144" max="16144" width="0" style="85" hidden="1" customWidth="1"/>
    <col min="16145" max="16384" width="11.5703125" style="85"/>
  </cols>
  <sheetData>
    <row r="1" spans="1:16" s="93" customFormat="1" ht="60.75" thickBot="1" x14ac:dyDescent="0.3">
      <c r="A1" s="99" t="s">
        <v>51</v>
      </c>
      <c r="B1" s="98" t="s">
        <v>50</v>
      </c>
      <c r="C1" s="98" t="s">
        <v>49</v>
      </c>
      <c r="D1" s="97" t="s">
        <v>48</v>
      </c>
      <c r="E1" s="95" t="s">
        <v>47</v>
      </c>
      <c r="F1" s="95" t="s">
        <v>55</v>
      </c>
      <c r="G1" s="95" t="s">
        <v>56</v>
      </c>
      <c r="H1" s="95" t="s">
        <v>60</v>
      </c>
      <c r="I1" s="96" t="s">
        <v>57</v>
      </c>
      <c r="J1" s="95" t="s">
        <v>61</v>
      </c>
      <c r="K1" s="106" t="s">
        <v>46</v>
      </c>
      <c r="L1" s="106" t="s">
        <v>63</v>
      </c>
      <c r="M1" s="106" t="s">
        <v>62</v>
      </c>
      <c r="N1" s="95" t="s">
        <v>45</v>
      </c>
      <c r="O1" s="95" t="s">
        <v>44</v>
      </c>
      <c r="P1" s="94" t="s">
        <v>43</v>
      </c>
    </row>
    <row r="2" spans="1:16" x14ac:dyDescent="0.25">
      <c r="A2" s="91" t="s">
        <v>52</v>
      </c>
      <c r="B2" s="88">
        <v>1</v>
      </c>
      <c r="C2" s="88">
        <v>2</v>
      </c>
      <c r="D2" s="88">
        <v>2022</v>
      </c>
      <c r="E2" s="86">
        <f>Electricity!H6</f>
        <v>19694</v>
      </c>
      <c r="F2" s="86">
        <f>+Electricity!F6</f>
        <v>3448</v>
      </c>
      <c r="G2" s="86">
        <f>+Electricity!G6</f>
        <v>16246</v>
      </c>
      <c r="H2" s="120" t="s">
        <v>58</v>
      </c>
      <c r="I2" s="121">
        <f>+Electricity!O6</f>
        <v>22849866.121199999</v>
      </c>
      <c r="J2" s="86">
        <f>Gas!D5</f>
        <v>85.42</v>
      </c>
      <c r="K2" s="86">
        <v>5362</v>
      </c>
      <c r="L2" s="86">
        <f>Water!C5</f>
        <v>194.63999999999433</v>
      </c>
      <c r="M2" s="121">
        <v>12500</v>
      </c>
      <c r="N2" s="86">
        <f>+Electricity!C6</f>
        <v>50</v>
      </c>
      <c r="O2" s="86">
        <f>+Electricity!D6</f>
        <v>295</v>
      </c>
      <c r="P2" s="92" t="e">
        <f>E2*H2+J2*K2+#REF!*#REF!+L2*M2</f>
        <v>#VALUE!</v>
      </c>
    </row>
    <row r="3" spans="1:16" x14ac:dyDescent="0.25">
      <c r="A3" s="91" t="s">
        <v>52</v>
      </c>
      <c r="B3" s="88">
        <v>2</v>
      </c>
      <c r="C3" s="88">
        <v>2</v>
      </c>
      <c r="D3" s="88">
        <v>2022</v>
      </c>
      <c r="E3" s="86">
        <f>Electricity!H7</f>
        <v>20474</v>
      </c>
      <c r="F3" s="86">
        <f>+Electricity!F7</f>
        <v>3748</v>
      </c>
      <c r="G3" s="86">
        <f>+Electricity!G7</f>
        <v>16726</v>
      </c>
      <c r="H3" s="120" t="s">
        <v>58</v>
      </c>
      <c r="I3" s="121">
        <f>+Electricity!O7</f>
        <v>23842039.783200003</v>
      </c>
      <c r="J3" s="86">
        <f>Gas!D6</f>
        <v>115.53</v>
      </c>
      <c r="K3" s="86">
        <v>5362</v>
      </c>
      <c r="L3" s="86">
        <f>Water!C6</f>
        <v>140.1000000000102</v>
      </c>
      <c r="M3" s="121">
        <v>12500</v>
      </c>
      <c r="N3" s="86">
        <f>+Electricity!C7</f>
        <v>45</v>
      </c>
      <c r="O3" s="86">
        <f>+Electricity!D7</f>
        <v>339</v>
      </c>
      <c r="P3" s="92" t="e">
        <f>E3*H3+J3*K3+#REF!*#REF!+L3*M3</f>
        <v>#VALUE!</v>
      </c>
    </row>
    <row r="4" spans="1:16" x14ac:dyDescent="0.25">
      <c r="A4" s="91" t="s">
        <v>52</v>
      </c>
      <c r="B4" s="88">
        <v>3</v>
      </c>
      <c r="C4" s="88">
        <v>2</v>
      </c>
      <c r="D4" s="88">
        <v>2022</v>
      </c>
      <c r="E4" s="86">
        <f>Electricity!H8</f>
        <v>20136</v>
      </c>
      <c r="F4" s="86">
        <f>+Electricity!F8</f>
        <v>3588</v>
      </c>
      <c r="G4" s="86">
        <f>+Electricity!G8</f>
        <v>16548</v>
      </c>
      <c r="H4" s="120" t="s">
        <v>58</v>
      </c>
      <c r="I4" s="121">
        <f>+Electricity!O8</f>
        <v>23396095.062000003</v>
      </c>
      <c r="J4" s="86">
        <f>Gas!D7</f>
        <v>106.62</v>
      </c>
      <c r="K4" s="86">
        <v>5362</v>
      </c>
      <c r="L4" s="86">
        <f>Water!C7</f>
        <v>149.31999999999971</v>
      </c>
      <c r="M4" s="121">
        <v>12500</v>
      </c>
      <c r="N4" s="86">
        <f>+Electricity!C8</f>
        <v>28</v>
      </c>
      <c r="O4" s="86">
        <f>+Electricity!D8</f>
        <v>263</v>
      </c>
      <c r="P4" s="92" t="e">
        <f>E4*H4+J4*K4+#REF!*#REF!+L4*M4</f>
        <v>#VALUE!</v>
      </c>
    </row>
    <row r="5" spans="1:16" x14ac:dyDescent="0.25">
      <c r="A5" s="91" t="s">
        <v>52</v>
      </c>
      <c r="B5" s="88">
        <v>4</v>
      </c>
      <c r="C5" s="88">
        <v>2</v>
      </c>
      <c r="D5" s="88">
        <v>2022</v>
      </c>
      <c r="E5" s="86">
        <f>Electricity!H9</f>
        <v>21382</v>
      </c>
      <c r="F5" s="86">
        <f>+Electricity!F9</f>
        <v>3752</v>
      </c>
      <c r="G5" s="86">
        <f>+Electricity!G9</f>
        <v>17630</v>
      </c>
      <c r="H5" s="120" t="s">
        <v>58</v>
      </c>
      <c r="I5" s="121">
        <f>+Electricity!O9</f>
        <v>24812876.3772</v>
      </c>
      <c r="J5" s="86">
        <f>Gas!D8</f>
        <v>119.96</v>
      </c>
      <c r="K5" s="86">
        <v>5362</v>
      </c>
      <c r="L5" s="86">
        <f>Water!C8</f>
        <v>121.2200000000048</v>
      </c>
      <c r="M5" s="121">
        <v>12500</v>
      </c>
      <c r="N5" s="86">
        <f>+Electricity!C9</f>
        <v>35</v>
      </c>
      <c r="O5" s="86">
        <f>+Electricity!D9</f>
        <v>450</v>
      </c>
      <c r="P5" s="92" t="e">
        <f>E5*H5+J5*K5+#REF!*#REF!+L5*M5</f>
        <v>#VALUE!</v>
      </c>
    </row>
    <row r="6" spans="1:16" x14ac:dyDescent="0.25">
      <c r="A6" s="91" t="s">
        <v>52</v>
      </c>
      <c r="B6" s="88">
        <v>5</v>
      </c>
      <c r="C6" s="88">
        <v>2</v>
      </c>
      <c r="D6" s="88">
        <v>2022</v>
      </c>
      <c r="E6" s="86">
        <f>Electricity!H10</f>
        <v>19954</v>
      </c>
      <c r="F6" s="86">
        <f>+Electricity!F10</f>
        <v>3518</v>
      </c>
      <c r="G6" s="86">
        <f>+Electricity!G10</f>
        <v>16436</v>
      </c>
      <c r="H6" s="120" t="s">
        <v>58</v>
      </c>
      <c r="I6" s="121">
        <f>+Electricity!O10</f>
        <v>23164587.874199998</v>
      </c>
      <c r="J6" s="86">
        <f>Gas!D9</f>
        <v>76.38</v>
      </c>
      <c r="K6" s="86">
        <v>5362</v>
      </c>
      <c r="L6" s="86">
        <f>Water!C9</f>
        <v>204.7799999999981</v>
      </c>
      <c r="M6" s="121">
        <v>12500</v>
      </c>
      <c r="N6" s="86">
        <f>+Electricity!C10</f>
        <v>51</v>
      </c>
      <c r="O6" s="86">
        <f>+Electricity!D10</f>
        <v>291</v>
      </c>
      <c r="P6" s="92" t="e">
        <f>E6*H6+J6*K6+#REF!*#REF!+L6*M6</f>
        <v>#VALUE!</v>
      </c>
    </row>
    <row r="7" spans="1:16" x14ac:dyDescent="0.25">
      <c r="A7" s="91" t="s">
        <v>52</v>
      </c>
      <c r="B7" s="88">
        <v>6</v>
      </c>
      <c r="C7" s="88">
        <v>2</v>
      </c>
      <c r="D7" s="88">
        <v>2022</v>
      </c>
      <c r="E7" s="86">
        <f>Electricity!H11</f>
        <v>19380</v>
      </c>
      <c r="F7" s="86">
        <f>+Electricity!F11</f>
        <v>3322</v>
      </c>
      <c r="G7" s="86">
        <f>+Electricity!G11</f>
        <v>16058</v>
      </c>
      <c r="H7" s="120" t="s">
        <v>58</v>
      </c>
      <c r="I7" s="121">
        <f>+Electricity!O11</f>
        <v>22447662.389400002</v>
      </c>
      <c r="J7" s="86">
        <f>Gas!D10</f>
        <v>49.07</v>
      </c>
      <c r="K7" s="86">
        <v>5362</v>
      </c>
      <c r="L7" s="86">
        <f>Water!C10</f>
        <v>103.63999999998923</v>
      </c>
      <c r="M7" s="121">
        <v>12500</v>
      </c>
      <c r="N7" s="86">
        <f>+Electricity!C11</f>
        <v>30</v>
      </c>
      <c r="O7" s="86">
        <f>+Electricity!D11</f>
        <v>204</v>
      </c>
      <c r="P7" s="92" t="e">
        <f>E7*H7+J7*K7+#REF!*#REF!+L7*M7</f>
        <v>#VALUE!</v>
      </c>
    </row>
    <row r="8" spans="1:16" x14ac:dyDescent="0.25">
      <c r="A8" s="91" t="s">
        <v>52</v>
      </c>
      <c r="B8" s="88">
        <v>7</v>
      </c>
      <c r="C8" s="88">
        <v>2</v>
      </c>
      <c r="D8" s="88">
        <v>2022</v>
      </c>
      <c r="E8" s="86">
        <f>Electricity!H12</f>
        <v>19272</v>
      </c>
      <c r="F8" s="86">
        <f>+Electricity!F12</f>
        <v>3300</v>
      </c>
      <c r="G8" s="86">
        <f>+Electricity!G12</f>
        <v>15972</v>
      </c>
      <c r="H8" s="120" t="s">
        <v>58</v>
      </c>
      <c r="I8" s="121">
        <f>+Electricity!O12</f>
        <v>22320706.834800001</v>
      </c>
      <c r="J8" s="86">
        <f>Gas!D11</f>
        <v>92.66</v>
      </c>
      <c r="K8" s="86">
        <v>5362</v>
      </c>
      <c r="L8" s="86">
        <f>Water!C11</f>
        <v>102.300000000008</v>
      </c>
      <c r="M8" s="121">
        <v>12500</v>
      </c>
      <c r="N8" s="86">
        <f>+Electricity!C12</f>
        <v>31</v>
      </c>
      <c r="O8" s="86">
        <f>+Electricity!D12</f>
        <v>233</v>
      </c>
      <c r="P8" s="92" t="e">
        <f>E8*H8+J8*K8+#REF!*#REF!+L8*M8</f>
        <v>#VALUE!</v>
      </c>
    </row>
    <row r="9" spans="1:16" x14ac:dyDescent="0.25">
      <c r="A9" s="91" t="s">
        <v>52</v>
      </c>
      <c r="B9" s="88">
        <v>8</v>
      </c>
      <c r="C9" s="88">
        <v>2</v>
      </c>
      <c r="D9" s="88">
        <v>2022</v>
      </c>
      <c r="E9" s="86">
        <f>Electricity!H13</f>
        <v>19740</v>
      </c>
      <c r="F9" s="86">
        <f>+Electricity!F13</f>
        <v>3510</v>
      </c>
      <c r="G9" s="86">
        <f>+Electricity!G13</f>
        <v>16230</v>
      </c>
      <c r="H9" s="120" t="s">
        <v>58</v>
      </c>
      <c r="I9" s="121">
        <f>+Electricity!O13</f>
        <v>22932013.832999997</v>
      </c>
      <c r="J9" s="86">
        <f>Gas!D12</f>
        <v>84.59</v>
      </c>
      <c r="K9" s="86">
        <v>5362</v>
      </c>
      <c r="L9" s="86">
        <f>Water!C12</f>
        <v>89.360000000010047</v>
      </c>
      <c r="M9" s="121">
        <v>12500</v>
      </c>
      <c r="N9" s="86">
        <f>+Electricity!C13</f>
        <v>30</v>
      </c>
      <c r="O9" s="86">
        <f>+Electricity!D13</f>
        <v>208</v>
      </c>
      <c r="P9" s="92" t="e">
        <f>E9*H9+J9*K9+#REF!*#REF!+L9*M9</f>
        <v>#VALUE!</v>
      </c>
    </row>
    <row r="10" spans="1:16" x14ac:dyDescent="0.25">
      <c r="A10" s="91" t="s">
        <v>52</v>
      </c>
      <c r="B10" s="88">
        <v>9</v>
      </c>
      <c r="C10" s="88">
        <v>2</v>
      </c>
      <c r="D10" s="88">
        <v>2022</v>
      </c>
      <c r="E10" s="86">
        <f>Electricity!H14</f>
        <v>20806</v>
      </c>
      <c r="F10" s="86">
        <f>+Electricity!F14</f>
        <v>3668</v>
      </c>
      <c r="G10" s="86">
        <f>+Electricity!G14</f>
        <v>17138</v>
      </c>
      <c r="H10" s="120" t="s">
        <v>58</v>
      </c>
      <c r="I10" s="121">
        <f>+Electricity!O14</f>
        <v>24153560.976</v>
      </c>
      <c r="J10" s="86">
        <f>Gas!D13</f>
        <v>132.63</v>
      </c>
      <c r="K10" s="86">
        <v>5362</v>
      </c>
      <c r="L10" s="86">
        <f>Water!C13</f>
        <v>130.41999999999098</v>
      </c>
      <c r="M10" s="121">
        <v>12500</v>
      </c>
      <c r="N10" s="86">
        <f>+Electricity!C14</f>
        <v>35</v>
      </c>
      <c r="O10" s="86">
        <f>+Electricity!D14</f>
        <v>234</v>
      </c>
      <c r="P10" s="92" t="e">
        <f>E10*H10+J10*K10+#REF!*#REF!+L10*M10</f>
        <v>#VALUE!</v>
      </c>
    </row>
    <row r="11" spans="1:16" x14ac:dyDescent="0.25">
      <c r="A11" s="91" t="s">
        <v>52</v>
      </c>
      <c r="B11" s="88">
        <v>10</v>
      </c>
      <c r="C11" s="88">
        <v>2</v>
      </c>
      <c r="D11" s="88">
        <v>2022</v>
      </c>
      <c r="E11" s="86">
        <f>Electricity!H15</f>
        <v>20082</v>
      </c>
      <c r="F11" s="86">
        <f>+Electricity!F15</f>
        <v>3550</v>
      </c>
      <c r="G11" s="86">
        <f>+Electricity!G15</f>
        <v>16532</v>
      </c>
      <c r="H11" s="120" t="s">
        <v>58</v>
      </c>
      <c r="I11" s="121">
        <f>+Electricity!O15</f>
        <v>23318214.763800003</v>
      </c>
      <c r="J11" s="86">
        <f>Gas!D14</f>
        <v>101.07</v>
      </c>
      <c r="K11" s="86">
        <v>5362</v>
      </c>
      <c r="L11" s="86">
        <f>Water!C14</f>
        <v>190.79999999999927</v>
      </c>
      <c r="M11" s="121">
        <v>12500</v>
      </c>
      <c r="N11" s="86">
        <f>+Electricity!C15</f>
        <v>34</v>
      </c>
      <c r="O11" s="86">
        <f>+Electricity!D15</f>
        <v>225</v>
      </c>
      <c r="P11" s="92" t="e">
        <f>E11*H11+J11*K11+#REF!*#REF!+L11*M11</f>
        <v>#VALUE!</v>
      </c>
    </row>
    <row r="12" spans="1:16" x14ac:dyDescent="0.25">
      <c r="A12" s="91" t="s">
        <v>52</v>
      </c>
      <c r="B12" s="88">
        <v>11</v>
      </c>
      <c r="C12" s="88">
        <v>2</v>
      </c>
      <c r="D12" s="88">
        <v>2022</v>
      </c>
      <c r="E12" s="86">
        <f>Electricity!H16</f>
        <v>19790</v>
      </c>
      <c r="F12" s="86">
        <f>+Electricity!F16</f>
        <v>3496</v>
      </c>
      <c r="G12" s="86">
        <f>+Electricity!G16</f>
        <v>16294</v>
      </c>
      <c r="H12" s="120" t="s">
        <v>58</v>
      </c>
      <c r="I12" s="121">
        <f>+Electricity!O16</f>
        <v>22977888.529199999</v>
      </c>
      <c r="J12" s="86">
        <f>Gas!D15</f>
        <v>113.93</v>
      </c>
      <c r="K12" s="86">
        <v>5362</v>
      </c>
      <c r="L12" s="86">
        <f>Water!C15</f>
        <v>127.88000000001121</v>
      </c>
      <c r="M12" s="121">
        <v>12500</v>
      </c>
      <c r="N12" s="86">
        <f>+Electricity!C16</f>
        <v>34</v>
      </c>
      <c r="O12" s="86">
        <f>+Electricity!D16</f>
        <v>304</v>
      </c>
      <c r="P12" s="92" t="e">
        <f>E12*H12+J12*K12+#REF!*#REF!+L12*M12</f>
        <v>#VALUE!</v>
      </c>
    </row>
    <row r="13" spans="1:16" x14ac:dyDescent="0.25">
      <c r="A13" s="91" t="s">
        <v>52</v>
      </c>
      <c r="B13" s="88">
        <v>12</v>
      </c>
      <c r="C13" s="88">
        <v>2</v>
      </c>
      <c r="D13" s="88">
        <v>2022</v>
      </c>
      <c r="E13" s="86">
        <f>Electricity!H17</f>
        <v>20580</v>
      </c>
      <c r="F13" s="86">
        <f>+Electricity!F17</f>
        <v>3664</v>
      </c>
      <c r="G13" s="86">
        <f>+Electricity!G17</f>
        <v>16916</v>
      </c>
      <c r="H13" s="120" t="s">
        <v>58</v>
      </c>
      <c r="I13" s="121">
        <f>+Electricity!O17</f>
        <v>23910318.400800001</v>
      </c>
      <c r="J13" s="86">
        <f>Gas!D16</f>
        <v>110.01</v>
      </c>
      <c r="K13" s="86">
        <v>5362</v>
      </c>
      <c r="L13" s="86">
        <f>Water!C16</f>
        <v>225.57999999999956</v>
      </c>
      <c r="M13" s="121">
        <v>12500</v>
      </c>
      <c r="N13" s="86">
        <f>+Electricity!C17</f>
        <v>45</v>
      </c>
      <c r="O13" s="86">
        <f>+Electricity!D17</f>
        <v>266</v>
      </c>
      <c r="P13" s="92" t="e">
        <f>E13*H13+J13*K13+#REF!*#REF!+L13*M13</f>
        <v>#VALUE!</v>
      </c>
    </row>
    <row r="14" spans="1:16" x14ac:dyDescent="0.25">
      <c r="A14" s="91" t="s">
        <v>52</v>
      </c>
      <c r="B14" s="88">
        <v>13</v>
      </c>
      <c r="C14" s="88">
        <v>2</v>
      </c>
      <c r="D14" s="88">
        <v>2022</v>
      </c>
      <c r="E14" s="86">
        <f>Electricity!H18</f>
        <v>20098</v>
      </c>
      <c r="F14" s="86">
        <f>+Electricity!F18</f>
        <v>3470</v>
      </c>
      <c r="G14" s="86">
        <f>+Electricity!G18</f>
        <v>16628</v>
      </c>
      <c r="H14" s="120" t="s">
        <v>58</v>
      </c>
      <c r="I14" s="121">
        <f>+Electricity!O18</f>
        <v>23292610.282199997</v>
      </c>
      <c r="J14" s="86">
        <f>Gas!D17</f>
        <v>102.67</v>
      </c>
      <c r="K14" s="86">
        <v>5362</v>
      </c>
      <c r="L14" s="86">
        <f>Water!C17</f>
        <v>215.75999999998893</v>
      </c>
      <c r="M14" s="121">
        <v>12500</v>
      </c>
      <c r="N14" s="86">
        <f>+Electricity!C18</f>
        <v>40</v>
      </c>
      <c r="O14" s="86">
        <f>+Electricity!D18</f>
        <v>280</v>
      </c>
      <c r="P14" s="92" t="e">
        <f>E14*H14+J14*K14+#REF!*#REF!+L14*M14</f>
        <v>#VALUE!</v>
      </c>
    </row>
    <row r="15" spans="1:16" x14ac:dyDescent="0.25">
      <c r="A15" s="91" t="s">
        <v>52</v>
      </c>
      <c r="B15" s="88">
        <v>14</v>
      </c>
      <c r="C15" s="88">
        <v>2</v>
      </c>
      <c r="D15" s="88">
        <v>2022</v>
      </c>
      <c r="E15" s="86">
        <f>Electricity!H19</f>
        <v>20261</v>
      </c>
      <c r="F15" s="86">
        <f>+Electricity!F19</f>
        <v>3510</v>
      </c>
      <c r="G15" s="86">
        <f>+Electricity!G19</f>
        <v>16751</v>
      </c>
      <c r="H15" s="120" t="s">
        <v>58</v>
      </c>
      <c r="I15" s="121">
        <f>+Electricity!O19</f>
        <v>23487844.454399999</v>
      </c>
      <c r="J15" s="86">
        <f>Gas!D18</f>
        <v>102.08</v>
      </c>
      <c r="K15" s="86">
        <v>5362</v>
      </c>
      <c r="L15" s="86">
        <f>Water!C18</f>
        <v>183.95999999998676</v>
      </c>
      <c r="M15" s="121">
        <v>12500</v>
      </c>
      <c r="N15" s="86">
        <f>+Electricity!C19</f>
        <v>76</v>
      </c>
      <c r="O15" s="86">
        <f>+Electricity!D19</f>
        <v>489</v>
      </c>
      <c r="P15" s="92" t="e">
        <f>E15*H15+J15*K15+#REF!*#REF!+L15*M15</f>
        <v>#VALUE!</v>
      </c>
    </row>
    <row r="16" spans="1:16" x14ac:dyDescent="0.25">
      <c r="A16" s="91" t="s">
        <v>52</v>
      </c>
      <c r="B16" s="88">
        <v>15</v>
      </c>
      <c r="C16" s="88">
        <v>2</v>
      </c>
      <c r="D16" s="88">
        <v>2022</v>
      </c>
      <c r="E16" s="86">
        <f>Electricity!H20</f>
        <v>21138</v>
      </c>
      <c r="F16" s="86">
        <f>+Electricity!F20</f>
        <v>3796</v>
      </c>
      <c r="G16" s="86">
        <f>+Electricity!G20</f>
        <v>17342</v>
      </c>
      <c r="H16" s="120" t="s">
        <v>58</v>
      </c>
      <c r="I16" s="121">
        <f>+Electricity!O20</f>
        <v>24576034.922399998</v>
      </c>
      <c r="J16" s="86">
        <f>Gas!D19</f>
        <v>128.94</v>
      </c>
      <c r="K16" s="86">
        <v>5362</v>
      </c>
      <c r="L16" s="86">
        <f>Water!C19</f>
        <v>122.40000000002401</v>
      </c>
      <c r="M16" s="121">
        <v>12500</v>
      </c>
      <c r="N16" s="86">
        <f>+Electricity!C20</f>
        <v>55</v>
      </c>
      <c r="O16" s="86">
        <f>+Electricity!D20</f>
        <v>401</v>
      </c>
      <c r="P16" s="92" t="e">
        <f>E16*H16+J16*K16+#REF!*#REF!+L16*M16</f>
        <v>#VALUE!</v>
      </c>
    </row>
    <row r="17" spans="1:16" x14ac:dyDescent="0.25">
      <c r="A17" s="91" t="s">
        <v>52</v>
      </c>
      <c r="B17" s="88">
        <v>16</v>
      </c>
      <c r="C17" s="88">
        <v>2</v>
      </c>
      <c r="D17" s="88">
        <v>2022</v>
      </c>
      <c r="E17" s="86">
        <f>Electricity!H21</f>
        <v>21172</v>
      </c>
      <c r="F17" s="86">
        <f>+Electricity!F21</f>
        <v>3750</v>
      </c>
      <c r="G17" s="86">
        <f>+Electricity!G21</f>
        <v>17422</v>
      </c>
      <c r="H17" s="120" t="s">
        <v>58</v>
      </c>
      <c r="I17" s="121">
        <f>+Electricity!O21</f>
        <v>24587770.309799999</v>
      </c>
      <c r="J17" s="86">
        <f>Gas!D20</f>
        <v>145.31</v>
      </c>
      <c r="K17" s="86">
        <v>5362</v>
      </c>
      <c r="L17" s="86">
        <f>Water!C20</f>
        <v>271.0199999999939</v>
      </c>
      <c r="M17" s="121">
        <v>12500</v>
      </c>
      <c r="N17" s="86">
        <f>+Electricity!C21</f>
        <v>49</v>
      </c>
      <c r="O17" s="86">
        <f>+Electricity!D21</f>
        <v>319</v>
      </c>
      <c r="P17" s="92" t="e">
        <f>E17*H17+J17*K17+#REF!*#REF!+L17*M17</f>
        <v>#VALUE!</v>
      </c>
    </row>
    <row r="18" spans="1:16" x14ac:dyDescent="0.25">
      <c r="A18" s="91" t="s">
        <v>52</v>
      </c>
      <c r="B18" s="88">
        <v>17</v>
      </c>
      <c r="C18" s="88">
        <v>2</v>
      </c>
      <c r="D18" s="88">
        <v>2022</v>
      </c>
      <c r="E18" s="86">
        <f>Electricity!H22</f>
        <v>21160</v>
      </c>
      <c r="F18" s="86">
        <f>+Electricity!F22</f>
        <v>3812</v>
      </c>
      <c r="G18" s="86">
        <f>+Electricity!G22</f>
        <v>17348</v>
      </c>
      <c r="H18" s="120" t="s">
        <v>58</v>
      </c>
      <c r="I18" s="121">
        <f>+Electricity!O22</f>
        <v>24608040.5244</v>
      </c>
      <c r="J18" s="86">
        <f>Gas!D21</f>
        <v>125.41</v>
      </c>
      <c r="K18" s="86">
        <v>5362</v>
      </c>
      <c r="L18" s="86">
        <f>Water!C21</f>
        <v>218.75999999998675</v>
      </c>
      <c r="M18" s="121">
        <v>12500</v>
      </c>
      <c r="N18" s="86">
        <f>+Electricity!C22</f>
        <v>48</v>
      </c>
      <c r="O18" s="86">
        <f>+Electricity!D22</f>
        <v>314</v>
      </c>
      <c r="P18" s="92" t="e">
        <f>E18*H18+J18*K18+#REF!*#REF!+L18*M18</f>
        <v>#VALUE!</v>
      </c>
    </row>
    <row r="19" spans="1:16" x14ac:dyDescent="0.25">
      <c r="A19" s="91" t="s">
        <v>52</v>
      </c>
      <c r="B19" s="88">
        <v>18</v>
      </c>
      <c r="C19" s="88">
        <v>2</v>
      </c>
      <c r="D19" s="88">
        <v>2022</v>
      </c>
      <c r="E19" s="86">
        <f>Electricity!H23</f>
        <v>21196</v>
      </c>
      <c r="F19" s="86">
        <f>+Electricity!F23</f>
        <v>3770</v>
      </c>
      <c r="G19" s="86">
        <f>+Electricity!G23</f>
        <v>17426</v>
      </c>
      <c r="H19" s="120" t="s">
        <v>58</v>
      </c>
      <c r="I19" s="121">
        <f>+Electricity!O23</f>
        <v>24624043.325399999</v>
      </c>
      <c r="J19" s="86">
        <f>Gas!D22</f>
        <v>103.8</v>
      </c>
      <c r="K19" s="86">
        <v>5362</v>
      </c>
      <c r="L19" s="86">
        <f>Water!C22</f>
        <v>199.02000000001937</v>
      </c>
      <c r="M19" s="121">
        <v>12500</v>
      </c>
      <c r="N19" s="86">
        <f>+Electricity!C23</f>
        <v>66</v>
      </c>
      <c r="O19" s="86">
        <f>+Electricity!D23</f>
        <v>406</v>
      </c>
      <c r="P19" s="92" t="e">
        <f>E19*H19+J19*K19+#REF!*#REF!+L19*M19</f>
        <v>#VALUE!</v>
      </c>
    </row>
    <row r="20" spans="1:16" x14ac:dyDescent="0.25">
      <c r="A20" s="91" t="s">
        <v>52</v>
      </c>
      <c r="B20" s="88">
        <v>19</v>
      </c>
      <c r="C20" s="88">
        <v>2</v>
      </c>
      <c r="D20" s="88">
        <v>2022</v>
      </c>
      <c r="E20" s="86">
        <f>Electricity!H24</f>
        <v>21590</v>
      </c>
      <c r="F20" s="86">
        <f>+Electricity!F24</f>
        <v>3912</v>
      </c>
      <c r="G20" s="86">
        <f>+Electricity!G24</f>
        <v>17678</v>
      </c>
      <c r="H20" s="120" t="s">
        <v>58</v>
      </c>
      <c r="I20" s="121">
        <f>+Electricity!O24</f>
        <v>25120130.156399999</v>
      </c>
      <c r="J20" s="86">
        <f>Gas!D23</f>
        <v>110.87</v>
      </c>
      <c r="K20" s="86">
        <v>5362</v>
      </c>
      <c r="L20" s="86">
        <f>Water!C23</f>
        <v>93.579999999989383</v>
      </c>
      <c r="M20" s="121">
        <v>12500</v>
      </c>
      <c r="N20" s="86">
        <f>+Electricity!C24</f>
        <v>73</v>
      </c>
      <c r="O20" s="86">
        <f>+Electricity!D24</f>
        <v>431</v>
      </c>
      <c r="P20" s="92" t="e">
        <f>E20*H20+J20*K20+#REF!*#REF!+L20*M20</f>
        <v>#VALUE!</v>
      </c>
    </row>
    <row r="21" spans="1:16" x14ac:dyDescent="0.25">
      <c r="A21" s="91" t="s">
        <v>52</v>
      </c>
      <c r="B21" s="88">
        <v>20</v>
      </c>
      <c r="C21" s="88">
        <v>2</v>
      </c>
      <c r="D21" s="88">
        <v>2022</v>
      </c>
      <c r="E21" s="86">
        <f>Electricity!H25</f>
        <v>19950</v>
      </c>
      <c r="F21" s="86">
        <f>+Electricity!F25</f>
        <v>3440</v>
      </c>
      <c r="G21" s="86">
        <f>+Electricity!G25</f>
        <v>16510</v>
      </c>
      <c r="H21" s="120" t="s">
        <v>58</v>
      </c>
      <c r="I21" s="121">
        <f>+Electricity!O25</f>
        <v>23118713.178000003</v>
      </c>
      <c r="J21" s="86">
        <f>Gas!D24</f>
        <v>47.28</v>
      </c>
      <c r="K21" s="86">
        <v>5362</v>
      </c>
      <c r="L21" s="86">
        <f>Water!C24</f>
        <v>329.89999999999128</v>
      </c>
      <c r="M21" s="121">
        <v>12500</v>
      </c>
      <c r="N21" s="86">
        <f>+Electricity!C25</f>
        <v>44</v>
      </c>
      <c r="O21" s="86">
        <f>+Electricity!D25</f>
        <v>303</v>
      </c>
      <c r="P21" s="92" t="e">
        <f>E21*H21+J21*K21+#REF!*#REF!+L21*M21</f>
        <v>#VALUE!</v>
      </c>
    </row>
    <row r="22" spans="1:16" x14ac:dyDescent="0.25">
      <c r="A22" s="91" t="s">
        <v>52</v>
      </c>
      <c r="B22" s="88">
        <v>21</v>
      </c>
      <c r="C22" s="88">
        <v>2</v>
      </c>
      <c r="D22" s="88">
        <v>2022</v>
      </c>
      <c r="E22" s="86">
        <f>Electricity!H26</f>
        <v>19604</v>
      </c>
      <c r="F22" s="86">
        <f>+Electricity!F26</f>
        <v>3534</v>
      </c>
      <c r="G22" s="86">
        <f>+Electricity!G26</f>
        <v>16070</v>
      </c>
      <c r="H22" s="120" t="s">
        <v>58</v>
      </c>
      <c r="I22" s="121">
        <f>+Electricity!O26</f>
        <v>22799724.011399999</v>
      </c>
      <c r="J22" s="86">
        <f>Gas!D25</f>
        <v>94.93</v>
      </c>
      <c r="K22" s="86">
        <v>5362</v>
      </c>
      <c r="L22" s="86">
        <f>Water!C25</f>
        <v>144.12000000000336</v>
      </c>
      <c r="M22" s="121">
        <v>12500</v>
      </c>
      <c r="N22" s="86">
        <f>+Electricity!C26</f>
        <v>47</v>
      </c>
      <c r="O22" s="86">
        <f>+Electricity!D26</f>
        <v>281</v>
      </c>
      <c r="P22" s="92" t="e">
        <f>E22*H22+J22*K22+#REF!*#REF!+L22*M22</f>
        <v>#VALUE!</v>
      </c>
    </row>
    <row r="23" spans="1:16" x14ac:dyDescent="0.25">
      <c r="A23" s="91" t="s">
        <v>52</v>
      </c>
      <c r="B23" s="88">
        <v>22</v>
      </c>
      <c r="C23" s="88">
        <v>2</v>
      </c>
      <c r="D23" s="88">
        <v>2022</v>
      </c>
      <c r="E23" s="86">
        <f>Electricity!H27</f>
        <v>20802</v>
      </c>
      <c r="F23" s="86">
        <f>+Electricity!F27</f>
        <v>3756</v>
      </c>
      <c r="G23" s="86">
        <f>+Electricity!G27</f>
        <v>17046</v>
      </c>
      <c r="H23" s="120" t="s">
        <v>58</v>
      </c>
      <c r="I23" s="121">
        <f>+Electricity!O27</f>
        <v>24196235.112</v>
      </c>
      <c r="J23" s="86">
        <f>Gas!D26</f>
        <v>149.02000000000001</v>
      </c>
      <c r="K23" s="86">
        <v>5362</v>
      </c>
      <c r="L23" s="86">
        <f>Water!C26</f>
        <v>143.12000000000552</v>
      </c>
      <c r="M23" s="121">
        <v>12500</v>
      </c>
      <c r="N23" s="86">
        <f>+Electricity!C27</f>
        <v>37</v>
      </c>
      <c r="O23" s="86">
        <f>+Electricity!D27</f>
        <v>261</v>
      </c>
      <c r="P23" s="92" t="e">
        <f>E23*H23+J23*K23+#REF!*#REF!+L23*M23</f>
        <v>#VALUE!</v>
      </c>
    </row>
    <row r="24" spans="1:16" x14ac:dyDescent="0.25">
      <c r="A24" s="91" t="s">
        <v>52</v>
      </c>
      <c r="B24" s="88">
        <v>23</v>
      </c>
      <c r="C24" s="88">
        <v>2</v>
      </c>
      <c r="D24" s="88">
        <v>2022</v>
      </c>
      <c r="E24" s="86">
        <f>Electricity!H28</f>
        <v>21418</v>
      </c>
      <c r="F24" s="86">
        <f>+Electricity!F28</f>
        <v>3752</v>
      </c>
      <c r="G24" s="86">
        <f>+Electricity!G28</f>
        <v>17666</v>
      </c>
      <c r="H24" s="120" t="s">
        <v>58</v>
      </c>
      <c r="I24" s="121">
        <f>+Electricity!O28</f>
        <v>24851283.099600002</v>
      </c>
      <c r="J24" s="86">
        <f>Gas!D27</f>
        <v>152.06</v>
      </c>
      <c r="K24" s="86">
        <v>5362</v>
      </c>
      <c r="L24" s="86">
        <f>Water!C27</f>
        <v>230.88000000000176</v>
      </c>
      <c r="M24" s="121">
        <v>12500</v>
      </c>
      <c r="N24" s="86">
        <f>+Electricity!C28</f>
        <v>32</v>
      </c>
      <c r="O24" s="86">
        <f>+Electricity!D28</f>
        <v>405</v>
      </c>
      <c r="P24" s="92" t="e">
        <f>E24*H24+J24*K24+#REF!*#REF!+L24*M24</f>
        <v>#VALUE!</v>
      </c>
    </row>
    <row r="25" spans="1:16" x14ac:dyDescent="0.25">
      <c r="A25" s="91" t="s">
        <v>52</v>
      </c>
      <c r="B25" s="88">
        <v>24</v>
      </c>
      <c r="C25" s="88">
        <v>2</v>
      </c>
      <c r="D25" s="88">
        <v>2022</v>
      </c>
      <c r="E25" s="86">
        <f>Electricity!H29</f>
        <v>21138</v>
      </c>
      <c r="F25" s="86">
        <f>+Electricity!F29</f>
        <v>3750</v>
      </c>
      <c r="G25" s="86">
        <f>+Electricity!G29</f>
        <v>17388</v>
      </c>
      <c r="H25" s="120" t="s">
        <v>58</v>
      </c>
      <c r="I25" s="121">
        <f>+Electricity!O29</f>
        <v>24551497.294199999</v>
      </c>
      <c r="J25" s="86">
        <f>Gas!D28</f>
        <v>106.53</v>
      </c>
      <c r="K25" s="86">
        <v>5362</v>
      </c>
      <c r="L25" s="86">
        <f>Water!C28</f>
        <v>104.79999999999563</v>
      </c>
      <c r="M25" s="121">
        <v>12500</v>
      </c>
      <c r="N25" s="86">
        <f>+Electricity!C29</f>
        <v>42</v>
      </c>
      <c r="O25" s="86">
        <f>+Electricity!D29</f>
        <v>320</v>
      </c>
      <c r="P25" s="92" t="e">
        <f>E25*H25+J25*K25+#REF!*#REF!+L25*M25</f>
        <v>#VALUE!</v>
      </c>
    </row>
    <row r="26" spans="1:16" x14ac:dyDescent="0.25">
      <c r="A26" s="91" t="s">
        <v>52</v>
      </c>
      <c r="B26" s="88">
        <v>25</v>
      </c>
      <c r="C26" s="88">
        <v>2</v>
      </c>
      <c r="D26" s="88">
        <v>2022</v>
      </c>
      <c r="E26" s="86">
        <f>Electricity!H30</f>
        <v>22030</v>
      </c>
      <c r="F26" s="86">
        <f>+Electricity!F30</f>
        <v>4478</v>
      </c>
      <c r="G26" s="86">
        <f>+Electricity!G30</f>
        <v>17552</v>
      </c>
      <c r="H26" s="120" t="s">
        <v>58</v>
      </c>
      <c r="I26" s="121">
        <f>+Electricity!O30</f>
        <v>25891465.1646</v>
      </c>
      <c r="J26" s="86">
        <f>Gas!D29</f>
        <v>104.35</v>
      </c>
      <c r="K26" s="86">
        <v>5362</v>
      </c>
      <c r="L26" s="86">
        <f>Water!C29</f>
        <v>214.51999999999606</v>
      </c>
      <c r="M26" s="121">
        <v>12500</v>
      </c>
      <c r="N26" s="86">
        <f>+Electricity!C30</f>
        <v>57</v>
      </c>
      <c r="O26" s="86">
        <f>+Electricity!D30</f>
        <v>416</v>
      </c>
      <c r="P26" s="92" t="e">
        <f>E26*H26+J26*K26+#REF!*#REF!+L26*M26</f>
        <v>#VALUE!</v>
      </c>
    </row>
    <row r="27" spans="1:16" x14ac:dyDescent="0.25">
      <c r="A27" s="91" t="s">
        <v>52</v>
      </c>
      <c r="B27" s="88">
        <v>26</v>
      </c>
      <c r="C27" s="88">
        <v>2</v>
      </c>
      <c r="D27" s="88">
        <v>2022</v>
      </c>
      <c r="E27" s="86">
        <f>Electricity!H31</f>
        <v>19438</v>
      </c>
      <c r="F27" s="86">
        <f>+Electricity!F31</f>
        <v>3682</v>
      </c>
      <c r="G27" s="86">
        <f>+Electricity!G31</f>
        <v>15756</v>
      </c>
      <c r="H27" s="120" t="s">
        <v>58</v>
      </c>
      <c r="I27" s="121">
        <f>+Electricity!O31</f>
        <v>22701573.498599999</v>
      </c>
      <c r="J27" s="86">
        <f>Gas!D30</f>
        <v>130.54</v>
      </c>
      <c r="K27" s="86">
        <v>5362</v>
      </c>
      <c r="L27" s="86">
        <f>Water!C30</f>
        <v>168.4599999999933</v>
      </c>
      <c r="M27" s="121">
        <v>12500</v>
      </c>
      <c r="N27" s="86">
        <f>+Electricity!C31</f>
        <v>69</v>
      </c>
      <c r="O27" s="86">
        <f>+Electricity!D31</f>
        <v>484</v>
      </c>
      <c r="P27" s="92" t="e">
        <f>E27*H27+J27*K27+#REF!*#REF!+L27*M27</f>
        <v>#VALUE!</v>
      </c>
    </row>
    <row r="28" spans="1:16" x14ac:dyDescent="0.25">
      <c r="A28" s="91" t="s">
        <v>52</v>
      </c>
      <c r="B28" s="88">
        <v>27</v>
      </c>
      <c r="C28" s="88">
        <v>2</v>
      </c>
      <c r="D28" s="88">
        <v>2022</v>
      </c>
      <c r="E28" s="86">
        <f>Electricity!H32</f>
        <v>19718</v>
      </c>
      <c r="F28" s="86">
        <f>+Electricity!F32</f>
        <v>3610</v>
      </c>
      <c r="G28" s="86">
        <f>+Electricity!G32</f>
        <v>16108</v>
      </c>
      <c r="H28" s="120" t="s">
        <v>58</v>
      </c>
      <c r="I28" s="121">
        <f>+Electricity!O32</f>
        <v>22961885.7282</v>
      </c>
      <c r="J28" s="86">
        <f>Gas!D31</f>
        <v>133.86000000000001</v>
      </c>
      <c r="K28" s="86">
        <v>5362</v>
      </c>
      <c r="L28" s="86">
        <f>Water!C31</f>
        <v>173.44000000000671</v>
      </c>
      <c r="M28" s="121">
        <v>12500</v>
      </c>
      <c r="N28" s="86">
        <f>+Electricity!C32</f>
        <v>80</v>
      </c>
      <c r="O28" s="86">
        <f>+Electricity!D32</f>
        <v>424</v>
      </c>
      <c r="P28" s="92" t="e">
        <f>E28*H28+J28*K28+#REF!*#REF!+L28*M28</f>
        <v>#VALUE!</v>
      </c>
    </row>
    <row r="29" spans="1:16" x14ac:dyDescent="0.25">
      <c r="A29" s="91" t="s">
        <v>52</v>
      </c>
      <c r="B29" s="88">
        <v>28</v>
      </c>
      <c r="C29" s="88">
        <v>2</v>
      </c>
      <c r="D29" s="88">
        <v>2022</v>
      </c>
      <c r="E29" s="86">
        <f>Electricity!H33</f>
        <v>20694</v>
      </c>
      <c r="F29" s="86">
        <f>+Electricity!F33</f>
        <v>3540</v>
      </c>
      <c r="G29" s="86">
        <f>+Electricity!G33</f>
        <v>17154</v>
      </c>
      <c r="H29" s="120" t="s">
        <v>58</v>
      </c>
      <c r="I29" s="121">
        <f>+Electricity!O33</f>
        <v>23965794.777600002</v>
      </c>
      <c r="J29" s="86">
        <f>Gas!D32</f>
        <v>153.26</v>
      </c>
      <c r="K29" s="86">
        <v>5362</v>
      </c>
      <c r="L29" s="86">
        <f>Water!C32</f>
        <v>168.30000000000729</v>
      </c>
      <c r="M29" s="121">
        <v>12500</v>
      </c>
      <c r="N29" s="86">
        <f>+Electricity!C33</f>
        <v>47</v>
      </c>
      <c r="O29" s="86">
        <f>+Electricity!D33</f>
        <v>320</v>
      </c>
      <c r="P29" s="92" t="e">
        <f>E29*H29+J29*K29+#REF!*#REF!+L29*M29</f>
        <v>#VALUE!</v>
      </c>
    </row>
    <row r="30" spans="1:16" x14ac:dyDescent="0.25">
      <c r="A30" s="91"/>
      <c r="B30" s="88"/>
      <c r="C30" s="88"/>
      <c r="H30" s="120"/>
      <c r="I30" s="121"/>
      <c r="J30" s="86"/>
      <c r="K30" s="86"/>
      <c r="L30" s="86"/>
      <c r="M30" s="121"/>
      <c r="P30" s="92"/>
    </row>
    <row r="31" spans="1:16" x14ac:dyDescent="0.25">
      <c r="A31" s="91"/>
      <c r="B31" s="88"/>
      <c r="C31" s="88"/>
      <c r="H31" s="120"/>
      <c r="I31" s="121"/>
      <c r="J31" s="86"/>
      <c r="K31" s="86"/>
      <c r="L31" s="86"/>
      <c r="M31" s="121"/>
      <c r="P31" s="92"/>
    </row>
    <row r="32" spans="1:16" x14ac:dyDescent="0.25">
      <c r="A32" s="91"/>
      <c r="B32" s="88"/>
      <c r="C32" s="88"/>
      <c r="H32" s="120"/>
      <c r="I32" s="121"/>
      <c r="J32" s="86"/>
      <c r="K32" s="86"/>
      <c r="L32" s="86"/>
      <c r="M32" s="121"/>
      <c r="P32" s="92"/>
    </row>
    <row r="33" spans="1:16" x14ac:dyDescent="0.25">
      <c r="A33" s="91"/>
      <c r="H33" s="105"/>
      <c r="I33" s="104"/>
      <c r="J33" s="90"/>
      <c r="L33" s="86"/>
      <c r="M33" s="104"/>
      <c r="P33" s="92" t="e">
        <f>E33*H33+J33*K33+#REF!*#REF!+L33*M33</f>
        <v>#REF!</v>
      </c>
    </row>
    <row r="34" spans="1:16" s="86" customFormat="1" x14ac:dyDescent="0.25">
      <c r="A34" s="87"/>
      <c r="B34" s="89"/>
      <c r="C34" s="89"/>
      <c r="D34" s="88"/>
      <c r="H34" s="90"/>
      <c r="I34" s="90"/>
      <c r="J34" s="90"/>
      <c r="K34" s="107"/>
      <c r="L34" s="90"/>
      <c r="M34" s="90"/>
      <c r="P34" s="85"/>
    </row>
    <row r="35" spans="1:16" s="86" customFormat="1" x14ac:dyDescent="0.25">
      <c r="A35" s="87"/>
      <c r="B35" s="89"/>
      <c r="C35" s="89"/>
      <c r="D35" s="88"/>
      <c r="H35" s="90"/>
      <c r="I35" s="90"/>
      <c r="J35" s="90"/>
      <c r="K35" s="107"/>
      <c r="L35" s="90"/>
      <c r="M35" s="90"/>
      <c r="P35" s="85"/>
    </row>
    <row r="36" spans="1:16" s="86" customFormat="1" x14ac:dyDescent="0.25">
      <c r="A36" s="87"/>
      <c r="B36" s="89"/>
      <c r="C36" s="89"/>
      <c r="D36" s="88"/>
      <c r="H36" s="90"/>
      <c r="I36" s="90"/>
      <c r="J36" s="90"/>
      <c r="K36" s="107"/>
      <c r="L36" s="90"/>
      <c r="M36" s="90"/>
      <c r="P36" s="85"/>
    </row>
    <row r="37" spans="1:16" s="86" customFormat="1" x14ac:dyDescent="0.25">
      <c r="A37" s="87"/>
      <c r="B37" s="89"/>
      <c r="C37" s="89"/>
      <c r="D37" s="88"/>
      <c r="H37" s="90"/>
      <c r="I37" s="90"/>
      <c r="J37" s="90"/>
      <c r="K37" s="107"/>
      <c r="L37" s="90"/>
      <c r="M37" s="90"/>
      <c r="P37" s="85"/>
    </row>
    <row r="38" spans="1:16" s="86" customFormat="1" x14ac:dyDescent="0.25">
      <c r="A38" s="87"/>
      <c r="B38" s="89"/>
      <c r="C38" s="89"/>
      <c r="D38" s="88"/>
      <c r="H38" s="90"/>
      <c r="I38" s="90"/>
      <c r="J38" s="90"/>
      <c r="K38" s="107"/>
      <c r="L38" s="90"/>
      <c r="M38" s="90"/>
      <c r="P38" s="85"/>
    </row>
    <row r="39" spans="1:16" s="86" customFormat="1" x14ac:dyDescent="0.25">
      <c r="A39" s="87"/>
      <c r="B39" s="89"/>
      <c r="C39" s="89"/>
      <c r="D39" s="88"/>
      <c r="H39" s="90"/>
      <c r="I39" s="90"/>
      <c r="J39" s="90"/>
      <c r="K39" s="107"/>
      <c r="L39" s="90"/>
      <c r="M39" s="90"/>
      <c r="P39" s="8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52"/>
  <sheetViews>
    <sheetView view="pageBreakPreview" zoomScale="80" zoomScaleNormal="80" zoomScaleSheetLayoutView="80" workbookViewId="0">
      <pane ySplit="4" topLeftCell="A13" activePane="bottomLeft" state="frozen"/>
      <selection pane="bottomLeft" activeCell="D22" sqref="D22"/>
    </sheetView>
  </sheetViews>
  <sheetFormatPr defaultRowHeight="15" x14ac:dyDescent="0.25"/>
  <cols>
    <col min="1" max="1" width="2.28515625" style="29" customWidth="1"/>
    <col min="2" max="5" width="16.28515625" style="29" customWidth="1"/>
    <col min="6" max="7" width="17.7109375" style="78" customWidth="1"/>
    <col min="8" max="10" width="29.7109375" style="78" customWidth="1"/>
    <col min="11" max="11" width="21.5703125" style="29" bestFit="1" customWidth="1"/>
    <col min="12" max="12" width="24.85546875" style="29" customWidth="1"/>
    <col min="13" max="13" width="29.7109375" style="29" customWidth="1"/>
    <col min="14" max="14" width="20.5703125" style="29" bestFit="1" customWidth="1"/>
    <col min="15" max="15" width="23.42578125" style="29" customWidth="1"/>
    <col min="16" max="16" width="11" style="27" customWidth="1"/>
    <col min="17" max="17" width="16.5703125" style="27" customWidth="1"/>
    <col min="18" max="20" width="9.140625" style="27"/>
    <col min="21" max="16384" width="9.140625" style="29"/>
  </cols>
  <sheetData>
    <row r="1" spans="2:20" s="1" customFormat="1" ht="15.75" thickBot="1" x14ac:dyDescent="0.3">
      <c r="B1" s="168" t="s">
        <v>64</v>
      </c>
      <c r="C1" s="169"/>
      <c r="D1" s="169"/>
      <c r="E1" s="169"/>
      <c r="F1" s="63"/>
      <c r="G1" s="64"/>
      <c r="H1" s="64"/>
      <c r="I1" s="64"/>
      <c r="J1" s="64"/>
      <c r="K1" s="61"/>
      <c r="L1" s="60"/>
      <c r="M1" s="60"/>
      <c r="N1" s="60"/>
      <c r="O1" s="62"/>
      <c r="P1" s="2"/>
      <c r="Q1" s="2"/>
    </row>
    <row r="2" spans="2:20" s="3" customFormat="1" ht="63" customHeight="1" x14ac:dyDescent="0.25">
      <c r="B2" s="170" t="s">
        <v>0</v>
      </c>
      <c r="C2" s="100"/>
      <c r="D2" s="100"/>
      <c r="E2" s="173" t="s">
        <v>12</v>
      </c>
      <c r="F2" s="175" t="s">
        <v>16</v>
      </c>
      <c r="G2" s="176"/>
      <c r="H2" s="176"/>
      <c r="I2" s="176"/>
      <c r="J2" s="176"/>
      <c r="K2" s="176"/>
      <c r="L2" s="176"/>
      <c r="M2" s="176"/>
      <c r="N2" s="176"/>
      <c r="O2" s="177"/>
      <c r="P2" s="2"/>
      <c r="Q2" s="2"/>
      <c r="R2" s="1"/>
      <c r="S2" s="1"/>
      <c r="T2" s="1"/>
    </row>
    <row r="3" spans="2:20" s="55" customFormat="1" ht="25.5" customHeight="1" x14ac:dyDescent="0.25">
      <c r="B3" s="171"/>
      <c r="C3" s="101"/>
      <c r="D3" s="101"/>
      <c r="E3" s="165"/>
      <c r="F3" s="52" t="s">
        <v>10</v>
      </c>
      <c r="G3" s="56" t="s">
        <v>19</v>
      </c>
      <c r="H3" s="56" t="s">
        <v>24</v>
      </c>
      <c r="I3" s="178" t="s">
        <v>23</v>
      </c>
      <c r="J3" s="179"/>
      <c r="K3" s="178" t="s">
        <v>25</v>
      </c>
      <c r="L3" s="180"/>
      <c r="M3" s="179"/>
      <c r="N3" s="164" t="s">
        <v>17</v>
      </c>
      <c r="O3" s="166" t="s">
        <v>3</v>
      </c>
      <c r="P3" s="53"/>
      <c r="Q3" s="53"/>
      <c r="R3" s="54"/>
      <c r="S3" s="54"/>
      <c r="T3" s="54"/>
    </row>
    <row r="4" spans="2:20" s="3" customFormat="1" ht="29.25" customHeight="1" x14ac:dyDescent="0.25">
      <c r="B4" s="172"/>
      <c r="C4" s="102"/>
      <c r="D4" s="102"/>
      <c r="E4" s="174"/>
      <c r="F4" s="51" t="s">
        <v>18</v>
      </c>
      <c r="G4" s="50" t="s">
        <v>20</v>
      </c>
      <c r="H4" s="50" t="s">
        <v>21</v>
      </c>
      <c r="I4" s="57" t="s">
        <v>22</v>
      </c>
      <c r="J4" s="58" t="s">
        <v>15</v>
      </c>
      <c r="K4" s="59" t="s">
        <v>10</v>
      </c>
      <c r="L4" s="50" t="s">
        <v>11</v>
      </c>
      <c r="M4" s="50" t="s">
        <v>1</v>
      </c>
      <c r="N4" s="165"/>
      <c r="O4" s="167"/>
      <c r="P4" s="2"/>
      <c r="Q4" s="5"/>
      <c r="R4" s="1"/>
      <c r="S4" s="1"/>
      <c r="T4" s="1"/>
    </row>
    <row r="5" spans="2:20" s="3" customFormat="1" ht="35.25" customHeight="1" x14ac:dyDescent="0.25">
      <c r="B5" s="48"/>
      <c r="C5" s="103" t="s">
        <v>53</v>
      </c>
      <c r="D5" s="103" t="s">
        <v>54</v>
      </c>
      <c r="E5" s="112">
        <v>1035.78</v>
      </c>
      <c r="F5" s="50" t="s">
        <v>13</v>
      </c>
      <c r="G5" s="50" t="s">
        <v>13</v>
      </c>
      <c r="H5" s="50" t="s">
        <v>13</v>
      </c>
      <c r="I5" s="50" t="s">
        <v>13</v>
      </c>
      <c r="J5" s="50" t="s">
        <v>13</v>
      </c>
      <c r="K5" s="50" t="s">
        <v>14</v>
      </c>
      <c r="L5" s="50" t="s">
        <v>14</v>
      </c>
      <c r="M5" s="50" t="s">
        <v>14</v>
      </c>
      <c r="N5" s="49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44593</v>
      </c>
      <c r="C6" s="126">
        <v>50</v>
      </c>
      <c r="D6" s="126">
        <f>104+191</f>
        <v>295</v>
      </c>
      <c r="E6" s="113">
        <v>1035.78</v>
      </c>
      <c r="F6" s="114">
        <v>3448</v>
      </c>
      <c r="G6" s="115">
        <v>16246</v>
      </c>
      <c r="H6" s="116">
        <f t="shared" ref="H6:H33" si="0">G6+F6</f>
        <v>19694</v>
      </c>
      <c r="I6" s="117">
        <v>7821</v>
      </c>
      <c r="J6" s="117">
        <f>+H6-I6</f>
        <v>11873</v>
      </c>
      <c r="K6" s="117">
        <f>F6*1.5*E6</f>
        <v>5357054.16</v>
      </c>
      <c r="L6" s="117">
        <f t="shared" ref="L6:L33" si="1">G6*E6</f>
        <v>16827281.879999999</v>
      </c>
      <c r="M6" s="117">
        <f t="shared" ref="M6:M33" si="2">L6+K6</f>
        <v>22184336.039999999</v>
      </c>
      <c r="N6" s="117">
        <f>M6*0.03</f>
        <v>665530.0811999999</v>
      </c>
      <c r="O6" s="125">
        <f>M6+N6</f>
        <v>22849866.121199999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44594</v>
      </c>
      <c r="C7" s="126">
        <v>45</v>
      </c>
      <c r="D7" s="126">
        <f>92+247</f>
        <v>339</v>
      </c>
      <c r="E7" s="113">
        <v>1035.78</v>
      </c>
      <c r="F7" s="118">
        <v>3748</v>
      </c>
      <c r="G7" s="115">
        <v>16726</v>
      </c>
      <c r="H7" s="116">
        <f t="shared" si="0"/>
        <v>20474</v>
      </c>
      <c r="I7" s="117">
        <v>8066</v>
      </c>
      <c r="J7" s="117">
        <f t="shared" ref="J7:J33" si="3">+H7-I7</f>
        <v>12408</v>
      </c>
      <c r="K7" s="117">
        <f t="shared" ref="K7:K33" si="4">F7*1.5*E7</f>
        <v>5823155.1600000001</v>
      </c>
      <c r="L7" s="117">
        <f t="shared" si="1"/>
        <v>17324456.280000001</v>
      </c>
      <c r="M7" s="117">
        <f t="shared" si="2"/>
        <v>23147611.440000001</v>
      </c>
      <c r="N7" s="117">
        <f>M7*0.03</f>
        <v>694428.3432</v>
      </c>
      <c r="O7" s="125">
        <f>M7+N7</f>
        <v>23842039.783200003</v>
      </c>
      <c r="P7" s="1"/>
      <c r="Q7" s="79"/>
      <c r="R7" s="1"/>
      <c r="S7" s="1"/>
      <c r="T7" s="1"/>
    </row>
    <row r="8" spans="2:20" s="3" customFormat="1" ht="50.1" customHeight="1" x14ac:dyDescent="0.25">
      <c r="B8" s="6">
        <v>44595</v>
      </c>
      <c r="C8" s="126">
        <v>28</v>
      </c>
      <c r="D8" s="126">
        <f>62+201</f>
        <v>263</v>
      </c>
      <c r="E8" s="113">
        <v>1035.78</v>
      </c>
      <c r="F8" s="118">
        <v>3588</v>
      </c>
      <c r="G8" s="115">
        <v>16548</v>
      </c>
      <c r="H8" s="116">
        <f t="shared" si="0"/>
        <v>20136</v>
      </c>
      <c r="I8" s="117">
        <v>8095</v>
      </c>
      <c r="J8" s="117">
        <f t="shared" si="3"/>
        <v>12041</v>
      </c>
      <c r="K8" s="117">
        <f t="shared" si="4"/>
        <v>5574567.96</v>
      </c>
      <c r="L8" s="117">
        <f t="shared" si="1"/>
        <v>17140087.440000001</v>
      </c>
      <c r="M8" s="117">
        <f t="shared" si="2"/>
        <v>22714655.400000002</v>
      </c>
      <c r="N8" s="117">
        <f t="shared" ref="N8:N33" si="5">M8*0.03</f>
        <v>681439.66200000001</v>
      </c>
      <c r="O8" s="125">
        <f t="shared" ref="O8:O33" si="6">M8+N8</f>
        <v>23396095.062000003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44596</v>
      </c>
      <c r="C9" s="126">
        <v>35</v>
      </c>
      <c r="D9" s="126">
        <f>73+377</f>
        <v>450</v>
      </c>
      <c r="E9" s="113">
        <v>1035.78</v>
      </c>
      <c r="F9" s="118">
        <v>3752</v>
      </c>
      <c r="G9" s="115">
        <v>17630</v>
      </c>
      <c r="H9" s="116">
        <f t="shared" si="0"/>
        <v>21382</v>
      </c>
      <c r="I9" s="117">
        <v>8414</v>
      </c>
      <c r="J9" s="117">
        <f t="shared" si="3"/>
        <v>12968</v>
      </c>
      <c r="K9" s="117">
        <f t="shared" si="4"/>
        <v>5829369.8399999999</v>
      </c>
      <c r="L9" s="117">
        <f t="shared" si="1"/>
        <v>18260801.399999999</v>
      </c>
      <c r="M9" s="117">
        <f t="shared" si="2"/>
        <v>24090171.239999998</v>
      </c>
      <c r="N9" s="117">
        <f t="shared" si="5"/>
        <v>722705.13719999988</v>
      </c>
      <c r="O9" s="125">
        <f t="shared" si="6"/>
        <v>24812876.3772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44597</v>
      </c>
      <c r="C10" s="126">
        <v>51</v>
      </c>
      <c r="D10" s="126">
        <f>105+186</f>
        <v>291</v>
      </c>
      <c r="E10" s="113">
        <v>1035.78</v>
      </c>
      <c r="F10" s="118">
        <v>3518</v>
      </c>
      <c r="G10" s="115">
        <v>16436</v>
      </c>
      <c r="H10" s="116">
        <f t="shared" si="0"/>
        <v>19954</v>
      </c>
      <c r="I10" s="117">
        <v>7913</v>
      </c>
      <c r="J10" s="117">
        <f t="shared" si="3"/>
        <v>12041</v>
      </c>
      <c r="K10" s="117">
        <f t="shared" si="4"/>
        <v>5465811.0599999996</v>
      </c>
      <c r="L10" s="117">
        <f t="shared" si="1"/>
        <v>17024080.079999998</v>
      </c>
      <c r="M10" s="117">
        <f t="shared" si="2"/>
        <v>22489891.139999997</v>
      </c>
      <c r="N10" s="117">
        <f t="shared" si="5"/>
        <v>674696.73419999983</v>
      </c>
      <c r="O10" s="125">
        <f t="shared" si="6"/>
        <v>23164587.874199998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44598</v>
      </c>
      <c r="C11" s="126">
        <v>30</v>
      </c>
      <c r="D11" s="126">
        <f>62+142</f>
        <v>204</v>
      </c>
      <c r="E11" s="113">
        <v>1035.78</v>
      </c>
      <c r="F11" s="118">
        <v>3322</v>
      </c>
      <c r="G11" s="115">
        <v>16058</v>
      </c>
      <c r="H11" s="116">
        <f t="shared" si="0"/>
        <v>19380</v>
      </c>
      <c r="I11" s="117">
        <v>7827</v>
      </c>
      <c r="J11" s="117">
        <f t="shared" si="3"/>
        <v>11553</v>
      </c>
      <c r="K11" s="117">
        <f t="shared" si="4"/>
        <v>5161291.74</v>
      </c>
      <c r="L11" s="117">
        <f t="shared" si="1"/>
        <v>16632555.24</v>
      </c>
      <c r="M11" s="117">
        <f t="shared" si="2"/>
        <v>21793846.98</v>
      </c>
      <c r="N11" s="117">
        <f t="shared" si="5"/>
        <v>653815.4094</v>
      </c>
      <c r="O11" s="125">
        <f t="shared" si="6"/>
        <v>22447662.389400002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44599</v>
      </c>
      <c r="C12" s="126">
        <v>31</v>
      </c>
      <c r="D12" s="126">
        <f>65+168</f>
        <v>233</v>
      </c>
      <c r="E12" s="113">
        <v>1035.78</v>
      </c>
      <c r="F12" s="118">
        <v>3300</v>
      </c>
      <c r="G12" s="115">
        <v>15972</v>
      </c>
      <c r="H12" s="116">
        <f t="shared" si="0"/>
        <v>19272</v>
      </c>
      <c r="I12" s="117">
        <v>7790</v>
      </c>
      <c r="J12" s="117">
        <f t="shared" si="3"/>
        <v>11482</v>
      </c>
      <c r="K12" s="117">
        <f t="shared" si="4"/>
        <v>5127111</v>
      </c>
      <c r="L12" s="117">
        <f t="shared" si="1"/>
        <v>16543478.16</v>
      </c>
      <c r="M12" s="117">
        <f t="shared" si="2"/>
        <v>21670589.16</v>
      </c>
      <c r="N12" s="117">
        <f t="shared" si="5"/>
        <v>650117.67480000004</v>
      </c>
      <c r="O12" s="125">
        <f t="shared" si="6"/>
        <v>22320706.834800001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44600</v>
      </c>
      <c r="C13" s="126">
        <v>30</v>
      </c>
      <c r="D13" s="126">
        <f>57+151</f>
        <v>208</v>
      </c>
      <c r="E13" s="113">
        <v>1035.78</v>
      </c>
      <c r="F13" s="118">
        <v>3510</v>
      </c>
      <c r="G13" s="115">
        <v>16230</v>
      </c>
      <c r="H13" s="116">
        <f t="shared" si="0"/>
        <v>19740</v>
      </c>
      <c r="I13" s="117">
        <v>7970</v>
      </c>
      <c r="J13" s="117">
        <f t="shared" si="3"/>
        <v>11770</v>
      </c>
      <c r="K13" s="117">
        <f t="shared" si="4"/>
        <v>5453381.7000000002</v>
      </c>
      <c r="L13" s="117">
        <f t="shared" si="1"/>
        <v>16810709.399999999</v>
      </c>
      <c r="M13" s="117">
        <f t="shared" si="2"/>
        <v>22264091.099999998</v>
      </c>
      <c r="N13" s="117">
        <f t="shared" si="5"/>
        <v>667922.73299999989</v>
      </c>
      <c r="O13" s="125">
        <f t="shared" si="6"/>
        <v>22932013.832999997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44601</v>
      </c>
      <c r="C14" s="126">
        <v>35</v>
      </c>
      <c r="D14" s="126">
        <f>66+168</f>
        <v>234</v>
      </c>
      <c r="E14" s="113">
        <v>1035.78</v>
      </c>
      <c r="F14" s="118">
        <v>3668</v>
      </c>
      <c r="G14" s="115">
        <v>17138</v>
      </c>
      <c r="H14" s="116">
        <f t="shared" si="0"/>
        <v>20806</v>
      </c>
      <c r="I14" s="117">
        <v>8271</v>
      </c>
      <c r="J14" s="117">
        <f t="shared" si="3"/>
        <v>12535</v>
      </c>
      <c r="K14" s="117">
        <f t="shared" si="4"/>
        <v>5698861.5599999996</v>
      </c>
      <c r="L14" s="117">
        <f t="shared" si="1"/>
        <v>17751197.640000001</v>
      </c>
      <c r="M14" s="117">
        <f t="shared" si="2"/>
        <v>23450059.199999999</v>
      </c>
      <c r="N14" s="117">
        <f t="shared" si="5"/>
        <v>703501.77599999995</v>
      </c>
      <c r="O14" s="125">
        <f t="shared" si="6"/>
        <v>24153560.976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44602</v>
      </c>
      <c r="C15" s="126">
        <v>34</v>
      </c>
      <c r="D15" s="126">
        <f>66+159</f>
        <v>225</v>
      </c>
      <c r="E15" s="113">
        <v>1035.78</v>
      </c>
      <c r="F15" s="118">
        <v>3550</v>
      </c>
      <c r="G15" s="115">
        <v>16532</v>
      </c>
      <c r="H15" s="116">
        <f t="shared" si="0"/>
        <v>20082</v>
      </c>
      <c r="I15" s="117">
        <v>8093</v>
      </c>
      <c r="J15" s="117">
        <f t="shared" si="3"/>
        <v>11989</v>
      </c>
      <c r="K15" s="117">
        <f t="shared" si="4"/>
        <v>5515528.5</v>
      </c>
      <c r="L15" s="117">
        <f t="shared" si="1"/>
        <v>17123514.960000001</v>
      </c>
      <c r="M15" s="117">
        <f t="shared" si="2"/>
        <v>22639043.460000001</v>
      </c>
      <c r="N15" s="117">
        <f t="shared" si="5"/>
        <v>679171.30379999999</v>
      </c>
      <c r="O15" s="125">
        <f t="shared" si="6"/>
        <v>23318214.763800003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44603</v>
      </c>
      <c r="C16" s="126">
        <v>34</v>
      </c>
      <c r="D16" s="126">
        <f>68+236</f>
        <v>304</v>
      </c>
      <c r="E16" s="113">
        <v>1035.78</v>
      </c>
      <c r="F16" s="118">
        <v>3496</v>
      </c>
      <c r="G16" s="115">
        <v>16294</v>
      </c>
      <c r="H16" s="116">
        <f t="shared" si="0"/>
        <v>19790</v>
      </c>
      <c r="I16" s="117">
        <v>7990</v>
      </c>
      <c r="J16" s="117">
        <f t="shared" si="3"/>
        <v>11800</v>
      </c>
      <c r="K16" s="117">
        <f t="shared" si="4"/>
        <v>5431630.3200000003</v>
      </c>
      <c r="L16" s="117">
        <f t="shared" si="1"/>
        <v>16876999.32</v>
      </c>
      <c r="M16" s="117">
        <f t="shared" si="2"/>
        <v>22308629.640000001</v>
      </c>
      <c r="N16" s="117">
        <f t="shared" si="5"/>
        <v>669258.88919999998</v>
      </c>
      <c r="O16" s="125">
        <f t="shared" si="6"/>
        <v>22977888.529199999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44604</v>
      </c>
      <c r="C17" s="126">
        <v>45</v>
      </c>
      <c r="D17" s="126">
        <f>94+172</f>
        <v>266</v>
      </c>
      <c r="E17" s="113">
        <v>1035.78</v>
      </c>
      <c r="F17" s="118">
        <v>3664</v>
      </c>
      <c r="G17" s="115">
        <v>16916</v>
      </c>
      <c r="H17" s="116">
        <f t="shared" si="0"/>
        <v>20580</v>
      </c>
      <c r="I17" s="117">
        <v>8518</v>
      </c>
      <c r="J17" s="117">
        <f t="shared" si="3"/>
        <v>12062</v>
      </c>
      <c r="K17" s="117">
        <f t="shared" si="4"/>
        <v>5692646.8799999999</v>
      </c>
      <c r="L17" s="117">
        <f t="shared" si="1"/>
        <v>17521254.48</v>
      </c>
      <c r="M17" s="117">
        <f t="shared" si="2"/>
        <v>23213901.359999999</v>
      </c>
      <c r="N17" s="117">
        <f t="shared" si="5"/>
        <v>696417.04079999996</v>
      </c>
      <c r="O17" s="125">
        <f t="shared" si="6"/>
        <v>23910318.400800001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44605</v>
      </c>
      <c r="C18" s="126">
        <v>40</v>
      </c>
      <c r="D18" s="126">
        <f>80+200</f>
        <v>280</v>
      </c>
      <c r="E18" s="113">
        <v>1035.78</v>
      </c>
      <c r="F18" s="118">
        <v>3470</v>
      </c>
      <c r="G18" s="115">
        <v>16628</v>
      </c>
      <c r="H18" s="116">
        <f t="shared" si="0"/>
        <v>20098</v>
      </c>
      <c r="I18" s="117">
        <v>8079</v>
      </c>
      <c r="J18" s="117">
        <f t="shared" si="3"/>
        <v>12019</v>
      </c>
      <c r="K18" s="117">
        <f t="shared" si="4"/>
        <v>5391234.8999999994</v>
      </c>
      <c r="L18" s="117">
        <f t="shared" si="1"/>
        <v>17222949.84</v>
      </c>
      <c r="M18" s="117">
        <f t="shared" si="2"/>
        <v>22614184.739999998</v>
      </c>
      <c r="N18" s="117">
        <f t="shared" si="5"/>
        <v>678425.54219999991</v>
      </c>
      <c r="O18" s="125">
        <f t="shared" si="6"/>
        <v>23292610.282199997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44606</v>
      </c>
      <c r="C19" s="126">
        <v>76</v>
      </c>
      <c r="D19" s="126">
        <f>148+341</f>
        <v>489</v>
      </c>
      <c r="E19" s="113">
        <v>1035.78</v>
      </c>
      <c r="F19" s="118">
        <v>3510</v>
      </c>
      <c r="G19" s="115">
        <v>16751</v>
      </c>
      <c r="H19" s="116">
        <f t="shared" si="0"/>
        <v>20261</v>
      </c>
      <c r="I19" s="117">
        <v>8041</v>
      </c>
      <c r="J19" s="117">
        <f t="shared" si="3"/>
        <v>12220</v>
      </c>
      <c r="K19" s="117">
        <f t="shared" si="4"/>
        <v>5453381.7000000002</v>
      </c>
      <c r="L19" s="117">
        <f t="shared" si="1"/>
        <v>17350350.780000001</v>
      </c>
      <c r="M19" s="117">
        <f t="shared" si="2"/>
        <v>22803732.48</v>
      </c>
      <c r="N19" s="117">
        <f t="shared" si="5"/>
        <v>684111.97439999995</v>
      </c>
      <c r="O19" s="125">
        <f t="shared" si="6"/>
        <v>23487844.454399999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44607</v>
      </c>
      <c r="C20" s="126">
        <v>55</v>
      </c>
      <c r="D20" s="126">
        <f>105+296</f>
        <v>401</v>
      </c>
      <c r="E20" s="113">
        <v>1035.78</v>
      </c>
      <c r="F20" s="118">
        <v>3796</v>
      </c>
      <c r="G20" s="115">
        <v>17342</v>
      </c>
      <c r="H20" s="116">
        <f t="shared" si="0"/>
        <v>21138</v>
      </c>
      <c r="I20" s="117">
        <v>8279</v>
      </c>
      <c r="J20" s="117">
        <f t="shared" si="3"/>
        <v>12859</v>
      </c>
      <c r="K20" s="117">
        <f t="shared" si="4"/>
        <v>5897731.3200000003</v>
      </c>
      <c r="L20" s="117">
        <f t="shared" si="1"/>
        <v>17962496.759999998</v>
      </c>
      <c r="M20" s="117">
        <f t="shared" si="2"/>
        <v>23860228.079999998</v>
      </c>
      <c r="N20" s="117">
        <f t="shared" si="5"/>
        <v>715806.84239999996</v>
      </c>
      <c r="O20" s="125">
        <f t="shared" si="6"/>
        <v>24576034.922399998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44608</v>
      </c>
      <c r="C21" s="126">
        <v>49</v>
      </c>
      <c r="D21" s="126">
        <f>94+225</f>
        <v>319</v>
      </c>
      <c r="E21" s="113">
        <v>1035.78</v>
      </c>
      <c r="F21" s="118">
        <v>3750</v>
      </c>
      <c r="G21" s="115">
        <v>17422</v>
      </c>
      <c r="H21" s="116">
        <f t="shared" si="0"/>
        <v>21172</v>
      </c>
      <c r="I21" s="117">
        <v>8324</v>
      </c>
      <c r="J21" s="117">
        <f t="shared" si="3"/>
        <v>12848</v>
      </c>
      <c r="K21" s="117">
        <f t="shared" si="4"/>
        <v>5826262.5</v>
      </c>
      <c r="L21" s="117">
        <f t="shared" si="1"/>
        <v>18045359.16</v>
      </c>
      <c r="M21" s="117">
        <f t="shared" si="2"/>
        <v>23871621.66</v>
      </c>
      <c r="N21" s="117">
        <f t="shared" si="5"/>
        <v>716148.64980000001</v>
      </c>
      <c r="O21" s="125">
        <f t="shared" si="6"/>
        <v>24587770.309799999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44609</v>
      </c>
      <c r="C22" s="126">
        <v>48</v>
      </c>
      <c r="D22" s="126">
        <f>96+218</f>
        <v>314</v>
      </c>
      <c r="E22" s="113">
        <v>1035.78</v>
      </c>
      <c r="F22" s="118">
        <v>3812</v>
      </c>
      <c r="G22" s="115">
        <v>17348</v>
      </c>
      <c r="H22" s="116">
        <f t="shared" si="0"/>
        <v>21160</v>
      </c>
      <c r="I22" s="117">
        <v>8389</v>
      </c>
      <c r="J22" s="117">
        <f t="shared" si="3"/>
        <v>12771</v>
      </c>
      <c r="K22" s="117">
        <f t="shared" si="4"/>
        <v>5922590.04</v>
      </c>
      <c r="L22" s="117">
        <f t="shared" si="1"/>
        <v>17968711.440000001</v>
      </c>
      <c r="M22" s="117">
        <f t="shared" si="2"/>
        <v>23891301.48</v>
      </c>
      <c r="N22" s="117">
        <f t="shared" si="5"/>
        <v>716739.04440000001</v>
      </c>
      <c r="O22" s="125">
        <f t="shared" si="6"/>
        <v>24608040.5244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44610</v>
      </c>
      <c r="C23" s="126">
        <v>66</v>
      </c>
      <c r="D23" s="126">
        <f>130+276</f>
        <v>406</v>
      </c>
      <c r="E23" s="113">
        <v>1035.78</v>
      </c>
      <c r="F23" s="118">
        <v>3770</v>
      </c>
      <c r="G23" s="115">
        <v>17426</v>
      </c>
      <c r="H23" s="116">
        <f t="shared" si="0"/>
        <v>21196</v>
      </c>
      <c r="I23" s="117">
        <v>8493</v>
      </c>
      <c r="J23" s="117">
        <f t="shared" si="3"/>
        <v>12703</v>
      </c>
      <c r="K23" s="117">
        <f t="shared" si="4"/>
        <v>5857335.8999999994</v>
      </c>
      <c r="L23" s="117">
        <f t="shared" si="1"/>
        <v>18049502.280000001</v>
      </c>
      <c r="M23" s="117">
        <f t="shared" si="2"/>
        <v>23906838.18</v>
      </c>
      <c r="N23" s="117">
        <f t="shared" si="5"/>
        <v>717205.14539999992</v>
      </c>
      <c r="O23" s="125">
        <f t="shared" si="6"/>
        <v>24624043.325399999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44611</v>
      </c>
      <c r="C24" s="126">
        <v>73</v>
      </c>
      <c r="D24" s="126">
        <f>145+286</f>
        <v>431</v>
      </c>
      <c r="E24" s="113">
        <v>1035.78</v>
      </c>
      <c r="F24" s="118">
        <v>3912</v>
      </c>
      <c r="G24" s="115">
        <v>17678</v>
      </c>
      <c r="H24" s="116">
        <f t="shared" si="0"/>
        <v>21590</v>
      </c>
      <c r="I24" s="117">
        <v>8558</v>
      </c>
      <c r="J24" s="117">
        <f t="shared" si="3"/>
        <v>13032</v>
      </c>
      <c r="K24" s="117">
        <f t="shared" si="4"/>
        <v>6077957.04</v>
      </c>
      <c r="L24" s="117">
        <f t="shared" si="1"/>
        <v>18310518.84</v>
      </c>
      <c r="M24" s="117">
        <f t="shared" si="2"/>
        <v>24388475.879999999</v>
      </c>
      <c r="N24" s="117">
        <f t="shared" si="5"/>
        <v>731654.27639999997</v>
      </c>
      <c r="O24" s="125">
        <f t="shared" si="6"/>
        <v>25120130.156399999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44612</v>
      </c>
      <c r="C25" s="126">
        <v>44</v>
      </c>
      <c r="D25" s="126">
        <f>74+229</f>
        <v>303</v>
      </c>
      <c r="E25" s="113">
        <v>1035.78</v>
      </c>
      <c r="F25" s="118">
        <v>3440</v>
      </c>
      <c r="G25" s="115">
        <v>16510</v>
      </c>
      <c r="H25" s="116">
        <f t="shared" si="0"/>
        <v>19950</v>
      </c>
      <c r="I25" s="117">
        <v>8424</v>
      </c>
      <c r="J25" s="117">
        <f t="shared" si="3"/>
        <v>11526</v>
      </c>
      <c r="K25" s="117">
        <f t="shared" si="4"/>
        <v>5344624.8</v>
      </c>
      <c r="L25" s="117">
        <f t="shared" si="1"/>
        <v>17100727.800000001</v>
      </c>
      <c r="M25" s="117">
        <f t="shared" si="2"/>
        <v>22445352.600000001</v>
      </c>
      <c r="N25" s="117">
        <f t="shared" si="5"/>
        <v>673360.57799999998</v>
      </c>
      <c r="O25" s="125">
        <f t="shared" si="6"/>
        <v>23118713.178000003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44613</v>
      </c>
      <c r="C26" s="126">
        <v>47</v>
      </c>
      <c r="D26" s="126">
        <f>83+198</f>
        <v>281</v>
      </c>
      <c r="E26" s="113">
        <v>1035.78</v>
      </c>
      <c r="F26" s="118">
        <v>3534</v>
      </c>
      <c r="G26" s="115">
        <v>16070</v>
      </c>
      <c r="H26" s="116">
        <f t="shared" si="0"/>
        <v>19604</v>
      </c>
      <c r="I26" s="117">
        <v>7986</v>
      </c>
      <c r="J26" s="117">
        <f t="shared" si="3"/>
        <v>11618</v>
      </c>
      <c r="K26" s="117">
        <f t="shared" si="4"/>
        <v>5490669.7800000003</v>
      </c>
      <c r="L26" s="117">
        <f t="shared" si="1"/>
        <v>16644984.6</v>
      </c>
      <c r="M26" s="117">
        <f t="shared" si="2"/>
        <v>22135654.379999999</v>
      </c>
      <c r="N26" s="117">
        <f t="shared" si="5"/>
        <v>664069.63139999995</v>
      </c>
      <c r="O26" s="125">
        <f t="shared" si="6"/>
        <v>22799724.011399999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44614</v>
      </c>
      <c r="C27" s="126">
        <v>37</v>
      </c>
      <c r="D27" s="126">
        <f>79+182</f>
        <v>261</v>
      </c>
      <c r="E27" s="113">
        <v>1035.78</v>
      </c>
      <c r="F27" s="118">
        <v>3756</v>
      </c>
      <c r="G27" s="115">
        <v>17046</v>
      </c>
      <c r="H27" s="116">
        <f t="shared" si="0"/>
        <v>20802</v>
      </c>
      <c r="I27" s="117">
        <v>8452</v>
      </c>
      <c r="J27" s="117">
        <f t="shared" si="3"/>
        <v>12350</v>
      </c>
      <c r="K27" s="117">
        <f t="shared" si="4"/>
        <v>5835584.5199999996</v>
      </c>
      <c r="L27" s="117">
        <f t="shared" si="1"/>
        <v>17655905.879999999</v>
      </c>
      <c r="M27" s="117">
        <f t="shared" si="2"/>
        <v>23491490.399999999</v>
      </c>
      <c r="N27" s="117">
        <f t="shared" si="5"/>
        <v>704744.71199999994</v>
      </c>
      <c r="O27" s="125">
        <f t="shared" si="6"/>
        <v>24196235.112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44615</v>
      </c>
      <c r="C28" s="126">
        <v>32</v>
      </c>
      <c r="D28" s="126">
        <f>163+242</f>
        <v>405</v>
      </c>
      <c r="E28" s="113">
        <v>1035.78</v>
      </c>
      <c r="F28" s="118">
        <v>3752</v>
      </c>
      <c r="G28" s="115">
        <v>17666</v>
      </c>
      <c r="H28" s="116">
        <f t="shared" si="0"/>
        <v>21418</v>
      </c>
      <c r="I28" s="117">
        <v>8607</v>
      </c>
      <c r="J28" s="117">
        <f t="shared" si="3"/>
        <v>12811</v>
      </c>
      <c r="K28" s="117">
        <f t="shared" si="4"/>
        <v>5829369.8399999999</v>
      </c>
      <c r="L28" s="117">
        <f t="shared" si="1"/>
        <v>18298089.48</v>
      </c>
      <c r="M28" s="117">
        <f t="shared" si="2"/>
        <v>24127459.32</v>
      </c>
      <c r="N28" s="117">
        <f t="shared" si="5"/>
        <v>723823.77960000001</v>
      </c>
      <c r="O28" s="125">
        <f t="shared" si="6"/>
        <v>24851283.099600002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44616</v>
      </c>
      <c r="C29" s="126">
        <v>42</v>
      </c>
      <c r="D29" s="126">
        <f>86+234</f>
        <v>320</v>
      </c>
      <c r="E29" s="113">
        <v>1035.78</v>
      </c>
      <c r="F29" s="118">
        <v>3750</v>
      </c>
      <c r="G29" s="115">
        <v>17388</v>
      </c>
      <c r="H29" s="116">
        <f t="shared" si="0"/>
        <v>21138</v>
      </c>
      <c r="I29" s="117">
        <v>8391</v>
      </c>
      <c r="J29" s="117">
        <f t="shared" si="3"/>
        <v>12747</v>
      </c>
      <c r="K29" s="117">
        <f t="shared" si="4"/>
        <v>5826262.5</v>
      </c>
      <c r="L29" s="117">
        <f t="shared" si="1"/>
        <v>18010142.640000001</v>
      </c>
      <c r="M29" s="117">
        <f t="shared" si="2"/>
        <v>23836405.140000001</v>
      </c>
      <c r="N29" s="117">
        <f t="shared" si="5"/>
        <v>715092.15419999999</v>
      </c>
      <c r="O29" s="125">
        <f t="shared" si="6"/>
        <v>24551497.294199999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44617</v>
      </c>
      <c r="C30" s="126">
        <v>57</v>
      </c>
      <c r="D30" s="126">
        <f>112+304</f>
        <v>416</v>
      </c>
      <c r="E30" s="113">
        <v>1035.78</v>
      </c>
      <c r="F30" s="118">
        <v>4478</v>
      </c>
      <c r="G30" s="115">
        <v>17552</v>
      </c>
      <c r="H30" s="116">
        <f t="shared" si="0"/>
        <v>22030</v>
      </c>
      <c r="I30" s="117">
        <v>9045</v>
      </c>
      <c r="J30" s="117">
        <f t="shared" si="3"/>
        <v>12985</v>
      </c>
      <c r="K30" s="117">
        <f t="shared" si="4"/>
        <v>6957334.2599999998</v>
      </c>
      <c r="L30" s="117">
        <f t="shared" si="1"/>
        <v>18180010.559999999</v>
      </c>
      <c r="M30" s="117">
        <f t="shared" si="2"/>
        <v>25137344.82</v>
      </c>
      <c r="N30" s="117">
        <f t="shared" si="5"/>
        <v>754120.34459999995</v>
      </c>
      <c r="O30" s="125">
        <f t="shared" si="6"/>
        <v>25891465.1646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44618</v>
      </c>
      <c r="C31" s="126">
        <v>69</v>
      </c>
      <c r="D31" s="126">
        <f>140+344</f>
        <v>484</v>
      </c>
      <c r="E31" s="113">
        <v>1035.78</v>
      </c>
      <c r="F31" s="118">
        <v>3682</v>
      </c>
      <c r="G31" s="115">
        <v>15756</v>
      </c>
      <c r="H31" s="116">
        <f t="shared" si="0"/>
        <v>19438</v>
      </c>
      <c r="I31" s="117">
        <v>7672</v>
      </c>
      <c r="J31" s="117">
        <f t="shared" si="3"/>
        <v>11766</v>
      </c>
      <c r="K31" s="117">
        <f t="shared" si="4"/>
        <v>5720612.9399999995</v>
      </c>
      <c r="L31" s="117">
        <f t="shared" si="1"/>
        <v>16319749.68</v>
      </c>
      <c r="M31" s="117">
        <f t="shared" si="2"/>
        <v>22040362.619999997</v>
      </c>
      <c r="N31" s="117">
        <f t="shared" si="5"/>
        <v>661210.87859999994</v>
      </c>
      <c r="O31" s="125">
        <f t="shared" si="6"/>
        <v>22701573.498599999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44619</v>
      </c>
      <c r="C32" s="126">
        <v>80</v>
      </c>
      <c r="D32" s="126">
        <f>150+274</f>
        <v>424</v>
      </c>
      <c r="E32" s="113">
        <v>1035.78</v>
      </c>
      <c r="F32" s="118">
        <v>3610</v>
      </c>
      <c r="G32" s="115">
        <v>16108</v>
      </c>
      <c r="H32" s="116">
        <f t="shared" si="0"/>
        <v>19718</v>
      </c>
      <c r="I32" s="117">
        <v>8483</v>
      </c>
      <c r="J32" s="117">
        <f t="shared" si="3"/>
        <v>11235</v>
      </c>
      <c r="K32" s="117">
        <f t="shared" si="4"/>
        <v>5608748.7000000002</v>
      </c>
      <c r="L32" s="117">
        <f t="shared" si="1"/>
        <v>16684344.24</v>
      </c>
      <c r="M32" s="117">
        <f t="shared" si="2"/>
        <v>22293092.940000001</v>
      </c>
      <c r="N32" s="117">
        <f t="shared" si="5"/>
        <v>668792.78820000007</v>
      </c>
      <c r="O32" s="125">
        <f t="shared" si="6"/>
        <v>22961885.7282</v>
      </c>
      <c r="P32" s="1"/>
      <c r="Q32" s="1"/>
      <c r="R32" s="1"/>
      <c r="S32" s="1"/>
      <c r="T32" s="1"/>
    </row>
    <row r="33" spans="2:20" s="3" customFormat="1" ht="50.1" customHeight="1" thickBot="1" x14ac:dyDescent="0.3">
      <c r="B33" s="161">
        <v>44620</v>
      </c>
      <c r="C33" s="127">
        <v>47</v>
      </c>
      <c r="D33" s="127">
        <f>86+234</f>
        <v>320</v>
      </c>
      <c r="E33" s="155">
        <v>1035.78</v>
      </c>
      <c r="F33" s="156">
        <v>3540</v>
      </c>
      <c r="G33" s="157">
        <v>17154</v>
      </c>
      <c r="H33" s="162">
        <f t="shared" si="0"/>
        <v>20694</v>
      </c>
      <c r="I33" s="119">
        <v>8673</v>
      </c>
      <c r="J33" s="119">
        <f t="shared" si="3"/>
        <v>12021</v>
      </c>
      <c r="K33" s="119">
        <f t="shared" si="4"/>
        <v>5499991.7999999998</v>
      </c>
      <c r="L33" s="119">
        <f t="shared" si="1"/>
        <v>17767770.120000001</v>
      </c>
      <c r="M33" s="119">
        <f t="shared" si="2"/>
        <v>23267761.920000002</v>
      </c>
      <c r="N33" s="119">
        <f t="shared" si="5"/>
        <v>698032.85759999999</v>
      </c>
      <c r="O33" s="163">
        <f t="shared" si="6"/>
        <v>23965794.777600002</v>
      </c>
      <c r="P33" s="1"/>
      <c r="Q33" s="1"/>
      <c r="R33" s="1"/>
      <c r="S33" s="1"/>
      <c r="T33" s="1"/>
    </row>
    <row r="34" spans="2:20" s="1" customFormat="1" x14ac:dyDescent="0.25">
      <c r="B34" s="11"/>
      <c r="C34" s="11"/>
      <c r="D34" s="11"/>
      <c r="E34" s="158" t="s">
        <v>2</v>
      </c>
      <c r="F34" s="159">
        <f t="shared" ref="F34:O34" si="7">SUM(F5:F33)</f>
        <v>102126</v>
      </c>
      <c r="G34" s="159">
        <f t="shared" si="7"/>
        <v>470571</v>
      </c>
      <c r="H34" s="159">
        <f t="shared" si="7"/>
        <v>572697</v>
      </c>
      <c r="I34" s="159">
        <f t="shared" si="7"/>
        <v>230664</v>
      </c>
      <c r="J34" s="159">
        <f t="shared" si="7"/>
        <v>342033</v>
      </c>
      <c r="K34" s="159">
        <f t="shared" si="7"/>
        <v>158670102.42000002</v>
      </c>
      <c r="L34" s="159">
        <f t="shared" si="7"/>
        <v>487408030.38</v>
      </c>
      <c r="M34" s="159">
        <f t="shared" si="7"/>
        <v>646078132.80000019</v>
      </c>
      <c r="N34" s="159">
        <f t="shared" si="7"/>
        <v>19382343.984000001</v>
      </c>
      <c r="O34" s="159">
        <f t="shared" si="7"/>
        <v>665460476.78399992</v>
      </c>
    </row>
    <row r="35" spans="2:20" s="1" customFormat="1" x14ac:dyDescent="0.25">
      <c r="B35" s="11"/>
      <c r="C35" s="11"/>
      <c r="D35" s="11"/>
      <c r="E35" s="12"/>
      <c r="F35" s="66"/>
      <c r="G35" s="66"/>
      <c r="H35" s="67"/>
      <c r="I35" s="67"/>
      <c r="J35" s="67"/>
      <c r="K35" s="14"/>
      <c r="M35" s="15"/>
      <c r="N35" s="42"/>
      <c r="O35" s="9"/>
    </row>
    <row r="36" spans="2:20" s="1" customFormat="1" x14ac:dyDescent="0.25">
      <c r="B36" s="11"/>
      <c r="C36" s="11"/>
      <c r="D36" s="11"/>
      <c r="E36" s="16"/>
      <c r="F36" s="66"/>
      <c r="G36" s="68"/>
      <c r="H36" s="67"/>
      <c r="I36" s="67"/>
      <c r="J36" s="67"/>
      <c r="K36" s="13"/>
      <c r="L36" s="17"/>
      <c r="M36" s="18"/>
      <c r="N36" s="42"/>
      <c r="O36" s="10"/>
      <c r="Q36" s="11"/>
    </row>
    <row r="37" spans="2:20" s="1" customFormat="1" x14ac:dyDescent="0.25">
      <c r="B37" s="11"/>
      <c r="C37" s="11"/>
      <c r="D37" s="11"/>
      <c r="F37" s="66"/>
      <c r="G37" s="69"/>
      <c r="H37" s="67"/>
      <c r="I37" s="67"/>
      <c r="J37" s="67"/>
      <c r="K37" s="14"/>
      <c r="M37" s="19"/>
      <c r="N37" s="11"/>
      <c r="O37" s="20"/>
      <c r="Q37" s="11"/>
    </row>
    <row r="38" spans="2:20" s="1" customFormat="1" x14ac:dyDescent="0.25">
      <c r="B38" s="11"/>
      <c r="C38" s="11"/>
      <c r="D38" s="11"/>
      <c r="E38" s="11"/>
      <c r="F38" s="66"/>
      <c r="G38" s="68"/>
      <c r="H38" s="67"/>
      <c r="I38" s="67"/>
      <c r="J38" s="67"/>
      <c r="K38" s="14"/>
      <c r="M38" s="45"/>
      <c r="N38" s="154"/>
      <c r="O38" s="8"/>
      <c r="Q38" s="11"/>
    </row>
    <row r="39" spans="2:20" s="1" customFormat="1" x14ac:dyDescent="0.25">
      <c r="B39" s="11"/>
      <c r="C39" s="11"/>
      <c r="D39" s="11"/>
      <c r="E39" s="11"/>
      <c r="F39" s="66"/>
      <c r="G39" s="68"/>
      <c r="H39" s="67"/>
      <c r="I39" s="67"/>
      <c r="J39" s="67"/>
      <c r="K39" s="14"/>
      <c r="M39" s="47"/>
      <c r="N39" s="154"/>
      <c r="O39" s="8"/>
      <c r="Q39" s="11"/>
    </row>
    <row r="40" spans="2:20" s="1" customFormat="1" x14ac:dyDescent="0.25">
      <c r="B40" s="11"/>
      <c r="C40" s="11"/>
      <c r="D40" s="11"/>
      <c r="E40" s="21"/>
      <c r="F40" s="66"/>
      <c r="G40" s="66"/>
      <c r="H40" s="67"/>
      <c r="I40" s="67"/>
      <c r="J40" s="67"/>
      <c r="K40" s="14"/>
      <c r="M40" s="22"/>
      <c r="N40" s="42"/>
      <c r="O40" s="8"/>
      <c r="Q40" s="11"/>
    </row>
    <row r="41" spans="2:20" s="1" customFormat="1" x14ac:dyDescent="0.25">
      <c r="B41" s="11"/>
      <c r="C41" s="11"/>
      <c r="D41" s="11"/>
      <c r="F41" s="67"/>
      <c r="G41" s="67"/>
      <c r="H41" s="67"/>
      <c r="I41" s="67"/>
      <c r="J41" s="67"/>
      <c r="M41" s="43"/>
      <c r="N41" s="154"/>
      <c r="O41" s="20"/>
      <c r="Q41" s="11"/>
    </row>
    <row r="42" spans="2:20" s="1" customFormat="1" x14ac:dyDescent="0.25">
      <c r="B42" s="11"/>
      <c r="C42" s="11"/>
      <c r="D42" s="11"/>
      <c r="E42" s="16"/>
      <c r="F42" s="70"/>
      <c r="G42" s="70"/>
      <c r="H42" s="71" t="s">
        <v>9</v>
      </c>
      <c r="I42" s="71"/>
      <c r="J42" s="71"/>
      <c r="K42" s="14"/>
      <c r="M42" s="19"/>
      <c r="N42" s="11"/>
      <c r="P42" s="23"/>
      <c r="Q42" s="11"/>
    </row>
    <row r="43" spans="2:20" s="1" customFormat="1" ht="21" x14ac:dyDescent="0.25">
      <c r="B43" s="11"/>
      <c r="C43" s="11"/>
      <c r="D43" s="11"/>
      <c r="E43" s="11"/>
      <c r="F43" s="67"/>
      <c r="G43" s="67"/>
      <c r="H43" s="72"/>
      <c r="I43" s="72"/>
      <c r="J43" s="72"/>
      <c r="K43" s="11"/>
      <c r="M43" s="44"/>
      <c r="N43" s="11"/>
      <c r="O43" s="24"/>
      <c r="Q43" s="11"/>
    </row>
    <row r="44" spans="2:20" s="1" customFormat="1" x14ac:dyDescent="0.25">
      <c r="E44" s="25"/>
      <c r="F44" s="73"/>
      <c r="G44" s="67"/>
      <c r="H44" s="65"/>
      <c r="I44" s="65"/>
      <c r="J44" s="65"/>
      <c r="P44" s="46"/>
      <c r="Q44" s="11"/>
    </row>
    <row r="45" spans="2:20" s="1" customFormat="1" x14ac:dyDescent="0.25">
      <c r="F45" s="67"/>
      <c r="G45" s="67"/>
      <c r="H45" s="65"/>
      <c r="I45" s="65"/>
      <c r="J45" s="65"/>
      <c r="O45" s="26"/>
    </row>
    <row r="46" spans="2:20" s="1" customFormat="1" x14ac:dyDescent="0.25">
      <c r="F46" s="67"/>
      <c r="G46" s="67"/>
      <c r="H46" s="74"/>
      <c r="I46" s="74"/>
      <c r="J46" s="74"/>
      <c r="O46" s="26"/>
    </row>
    <row r="47" spans="2:20" s="1" customFormat="1" x14ac:dyDescent="0.25">
      <c r="B47" s="27"/>
      <c r="C47" s="27"/>
      <c r="D47" s="27"/>
      <c r="E47" s="27"/>
      <c r="F47" s="75"/>
      <c r="G47" s="75"/>
      <c r="H47" s="76"/>
      <c r="I47" s="76"/>
      <c r="J47" s="76"/>
      <c r="K47" s="27"/>
      <c r="L47" s="27"/>
      <c r="M47" s="27"/>
      <c r="N47" s="27"/>
      <c r="O47" s="28"/>
    </row>
    <row r="48" spans="2:20" s="27" customFormat="1" x14ac:dyDescent="0.25">
      <c r="F48" s="75"/>
      <c r="G48" s="75"/>
      <c r="H48" s="77"/>
      <c r="I48" s="77"/>
      <c r="J48" s="77"/>
    </row>
    <row r="49" spans="2:15" s="27" customFormat="1" x14ac:dyDescent="0.25">
      <c r="F49" s="75"/>
      <c r="G49" s="75"/>
      <c r="H49" s="75"/>
      <c r="I49" s="75"/>
      <c r="J49" s="75"/>
    </row>
    <row r="50" spans="2:15" s="27" customFormat="1" x14ac:dyDescent="0.25">
      <c r="F50" s="75"/>
      <c r="G50" s="75"/>
      <c r="H50" s="77"/>
      <c r="I50" s="77"/>
      <c r="J50" s="77"/>
    </row>
    <row r="51" spans="2:15" s="27" customFormat="1" x14ac:dyDescent="0.25">
      <c r="F51" s="75"/>
      <c r="G51" s="75"/>
      <c r="H51" s="75"/>
      <c r="I51" s="75"/>
      <c r="J51" s="75"/>
    </row>
    <row r="52" spans="2:15" s="27" customFormat="1" x14ac:dyDescent="0.25">
      <c r="B52" s="29"/>
      <c r="C52" s="29"/>
      <c r="D52" s="29"/>
      <c r="E52" s="29"/>
      <c r="F52" s="78"/>
      <c r="G52" s="78"/>
      <c r="H52" s="78"/>
      <c r="I52" s="78"/>
      <c r="J52" s="78"/>
      <c r="K52" s="29"/>
      <c r="L52" s="29"/>
      <c r="M52" s="29"/>
      <c r="N52" s="29"/>
      <c r="O52" s="29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3">
    <cfRule type="cellIs" dxfId="11" priority="92" operator="greaterThan">
      <formula>$H$44</formula>
    </cfRule>
  </conditionalFormatting>
  <conditionalFormatting sqref="H6:H33">
    <cfRule type="cellIs" dxfId="10" priority="91" operator="greaterThan">
      <formula>$H$44</formula>
    </cfRule>
  </conditionalFormatting>
  <conditionalFormatting sqref="F6:F21">
    <cfRule type="cellIs" dxfId="9" priority="10" operator="greaterThan">
      <formula>$D$44</formula>
    </cfRule>
  </conditionalFormatting>
  <conditionalFormatting sqref="G6:G21">
    <cfRule type="cellIs" dxfId="8" priority="9" operator="greaterThan">
      <formula>$E$44</formula>
    </cfRule>
  </conditionalFormatting>
  <conditionalFormatting sqref="F30:F33">
    <cfRule type="cellIs" dxfId="7" priority="8" operator="greaterThan">
      <formula>$D$44</formula>
    </cfRule>
  </conditionalFormatting>
  <conditionalFormatting sqref="G30:G33">
    <cfRule type="cellIs" dxfId="6" priority="7" operator="greaterThan">
      <formula>$E$44</formula>
    </cfRule>
  </conditionalFormatting>
  <conditionalFormatting sqref="I6:I21">
    <cfRule type="cellIs" dxfId="5" priority="6" operator="greaterThan">
      <formula>$G$44</formula>
    </cfRule>
  </conditionalFormatting>
  <conditionalFormatting sqref="I30:I33">
    <cfRule type="cellIs" dxfId="4" priority="5" operator="greaterThan">
      <formula>$G$44</formula>
    </cfRule>
  </conditionalFormatting>
  <conditionalFormatting sqref="F22:F29">
    <cfRule type="cellIs" dxfId="3" priority="4" operator="greaterThan">
      <formula>$D$44</formula>
    </cfRule>
  </conditionalFormatting>
  <conditionalFormatting sqref="G22:G29">
    <cfRule type="cellIs" dxfId="2" priority="3" operator="greaterThan">
      <formula>$E$44</formula>
    </cfRule>
  </conditionalFormatting>
  <conditionalFormatting sqref="I22:I28">
    <cfRule type="cellIs" dxfId="1" priority="2" operator="greaterThan">
      <formula>$G$44</formula>
    </cfRule>
  </conditionalFormatting>
  <conditionalFormatting sqref="I29">
    <cfRule type="cellIs" dxfId="0" priority="1" operator="greaterThan">
      <formula>$G$44</formula>
    </cfRule>
  </conditionalFormatting>
  <pageMargins left="0.23622047244094491" right="0.23622047244094491" top="0.74803149606299213" bottom="0.74803149606299213" header="0.31496062992125984" footer="0.31496062992125984"/>
  <pageSetup paperSize="8" scale="3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4"/>
  <sheetViews>
    <sheetView zoomScale="90" zoomScaleNormal="90" workbookViewId="0">
      <selection activeCell="E38" sqref="E38"/>
    </sheetView>
  </sheetViews>
  <sheetFormatPr defaultRowHeight="15" x14ac:dyDescent="0.25"/>
  <cols>
    <col min="1" max="2" width="9.140625" style="109"/>
    <col min="3" max="3" width="29" style="109" customWidth="1"/>
    <col min="4" max="7" width="33.140625" style="145" customWidth="1"/>
    <col min="8" max="8" width="13.42578125" style="109" bestFit="1" customWidth="1"/>
    <col min="9" max="9" width="11.5703125" style="109" bestFit="1" customWidth="1"/>
    <col min="10" max="43" width="9.140625" style="109"/>
    <col min="44" max="16384" width="9.140625" style="138"/>
  </cols>
  <sheetData>
    <row r="1" spans="1:43" ht="15" customHeight="1" x14ac:dyDescent="0.25">
      <c r="B1" s="181" t="s">
        <v>4</v>
      </c>
      <c r="C1" s="181"/>
      <c r="D1" s="181"/>
      <c r="E1" s="181"/>
      <c r="F1" s="181"/>
      <c r="G1" s="181"/>
    </row>
    <row r="2" spans="1:43" ht="15" customHeight="1" x14ac:dyDescent="0.25">
      <c r="B2" s="181"/>
      <c r="C2" s="181"/>
      <c r="D2" s="181"/>
      <c r="E2" s="181"/>
      <c r="F2" s="181"/>
      <c r="G2" s="181"/>
    </row>
    <row r="3" spans="1:43" s="141" customFormat="1" ht="27" customHeight="1" x14ac:dyDescent="0.3">
      <c r="A3" s="139"/>
      <c r="B3" s="182" t="s">
        <v>0</v>
      </c>
      <c r="C3" s="140" t="s">
        <v>32</v>
      </c>
      <c r="D3" s="183" t="s">
        <v>34</v>
      </c>
      <c r="E3" s="183"/>
      <c r="F3" s="183"/>
      <c r="G3" s="183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</row>
    <row r="4" spans="1:43" s="141" customFormat="1" ht="27" customHeight="1" x14ac:dyDescent="0.3">
      <c r="A4" s="139"/>
      <c r="B4" s="182"/>
      <c r="C4" s="140" t="s">
        <v>33</v>
      </c>
      <c r="D4" s="140" t="s">
        <v>31</v>
      </c>
      <c r="E4" s="142" t="s">
        <v>8</v>
      </c>
      <c r="F4" s="140" t="s">
        <v>42</v>
      </c>
      <c r="G4" s="140" t="s">
        <v>5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</row>
    <row r="5" spans="1:43" ht="15.75" x14ac:dyDescent="0.25">
      <c r="B5" s="31">
        <v>44593</v>
      </c>
      <c r="C5" s="108">
        <v>194.63999999999433</v>
      </c>
      <c r="D5" s="110">
        <v>48.899999999994179</v>
      </c>
      <c r="E5" s="111">
        <v>133.89999999999782</v>
      </c>
      <c r="F5" s="111">
        <v>11.840000000002329</v>
      </c>
      <c r="G5" s="111">
        <v>59.200000000011642</v>
      </c>
    </row>
    <row r="6" spans="1:43" ht="15.75" x14ac:dyDescent="0.25">
      <c r="B6" s="31">
        <v>44594</v>
      </c>
      <c r="C6" s="108">
        <v>140.1000000000102</v>
      </c>
      <c r="D6" s="110">
        <v>37.600000000005821</v>
      </c>
      <c r="E6" s="111">
        <v>87.200000000004366</v>
      </c>
      <c r="F6" s="111">
        <v>15.3</v>
      </c>
      <c r="G6" s="111">
        <v>76.5</v>
      </c>
    </row>
    <row r="7" spans="1:43" ht="15.75" x14ac:dyDescent="0.25">
      <c r="B7" s="31">
        <v>44595</v>
      </c>
      <c r="C7" s="108">
        <v>149.31999999999971</v>
      </c>
      <c r="D7" s="110">
        <v>29.600000000005821</v>
      </c>
      <c r="E7" s="111">
        <v>106.49999999999272</v>
      </c>
      <c r="F7" s="111">
        <v>13.220000000001164</v>
      </c>
      <c r="G7" s="111">
        <v>66.100000000005821</v>
      </c>
    </row>
    <row r="8" spans="1:43" ht="15.75" x14ac:dyDescent="0.25">
      <c r="B8" s="31">
        <v>44596</v>
      </c>
      <c r="C8" s="108">
        <v>121.2200000000048</v>
      </c>
      <c r="D8" s="110">
        <v>32.599999999991269</v>
      </c>
      <c r="E8" s="111">
        <v>79.900000000012369</v>
      </c>
      <c r="F8" s="111">
        <v>8.7200000000011642</v>
      </c>
      <c r="G8" s="111">
        <v>43.600000000005821</v>
      </c>
    </row>
    <row r="9" spans="1:43" ht="15.75" x14ac:dyDescent="0.25">
      <c r="B9" s="31">
        <v>44597</v>
      </c>
      <c r="C9" s="108">
        <v>204.7799999999981</v>
      </c>
      <c r="D9" s="110">
        <v>27.100000000005821</v>
      </c>
      <c r="E9" s="111">
        <v>166.69999999999345</v>
      </c>
      <c r="F9" s="111">
        <v>10.979999999998837</v>
      </c>
      <c r="G9" s="111">
        <v>54.899999999994179</v>
      </c>
    </row>
    <row r="10" spans="1:43" ht="15.75" x14ac:dyDescent="0.25">
      <c r="B10" s="31">
        <v>44598</v>
      </c>
      <c r="C10" s="108">
        <v>103.63999999998923</v>
      </c>
      <c r="D10" s="110">
        <v>28.69999999999709</v>
      </c>
      <c r="E10" s="111">
        <v>62.799999999995634</v>
      </c>
      <c r="F10" s="111">
        <v>12.139999999996508</v>
      </c>
      <c r="G10" s="111">
        <v>60.699999999982538</v>
      </c>
    </row>
    <row r="11" spans="1:43" ht="15.75" x14ac:dyDescent="0.25">
      <c r="B11" s="31">
        <v>44599</v>
      </c>
      <c r="C11" s="108">
        <v>102.300000000008</v>
      </c>
      <c r="D11" s="110">
        <v>29.69999999999709</v>
      </c>
      <c r="E11" s="111">
        <v>61.500000000010914</v>
      </c>
      <c r="F11" s="111">
        <v>11.100000000000001</v>
      </c>
      <c r="G11" s="111">
        <v>55.5</v>
      </c>
    </row>
    <row r="12" spans="1:43" ht="15.75" x14ac:dyDescent="0.25">
      <c r="B12" s="31">
        <v>44600</v>
      </c>
      <c r="C12" s="108">
        <v>89.360000000010047</v>
      </c>
      <c r="D12" s="110">
        <v>25.900000000008731</v>
      </c>
      <c r="E12" s="111">
        <v>51.399999999997817</v>
      </c>
      <c r="F12" s="111">
        <v>12.060000000003493</v>
      </c>
      <c r="G12" s="111">
        <v>60.300000000017462</v>
      </c>
    </row>
    <row r="13" spans="1:43" ht="15.75" x14ac:dyDescent="0.25">
      <c r="B13" s="31">
        <v>44601</v>
      </c>
      <c r="C13" s="108">
        <v>130.41999999999098</v>
      </c>
      <c r="D13" s="110">
        <v>30.099999999991269</v>
      </c>
      <c r="E13" s="111">
        <v>87.099999999998545</v>
      </c>
      <c r="F13" s="111">
        <v>13.220000000001164</v>
      </c>
      <c r="G13" s="111">
        <v>66.100000000005821</v>
      </c>
    </row>
    <row r="14" spans="1:43" ht="15.75" x14ac:dyDescent="0.25">
      <c r="B14" s="31">
        <v>44602</v>
      </c>
      <c r="C14" s="108">
        <v>190.79999999999927</v>
      </c>
      <c r="D14" s="110">
        <v>15</v>
      </c>
      <c r="E14" s="111">
        <v>161.79999999999927</v>
      </c>
      <c r="F14" s="111">
        <v>14</v>
      </c>
      <c r="G14" s="111">
        <v>70</v>
      </c>
    </row>
    <row r="15" spans="1:43" ht="15.75" x14ac:dyDescent="0.25">
      <c r="B15" s="31">
        <v>44603</v>
      </c>
      <c r="C15" s="108">
        <v>127.88000000001121</v>
      </c>
      <c r="D15" s="110">
        <v>25.900000000008731</v>
      </c>
      <c r="E15" s="111">
        <v>91.000000000003638</v>
      </c>
      <c r="F15" s="111">
        <v>10.979999999998837</v>
      </c>
      <c r="G15" s="111">
        <v>54.899999999994179</v>
      </c>
    </row>
    <row r="16" spans="1:43" ht="15.75" x14ac:dyDescent="0.25">
      <c r="B16" s="31">
        <v>44604</v>
      </c>
      <c r="C16" s="108">
        <v>225.57999999999956</v>
      </c>
      <c r="D16" s="110">
        <v>25.5</v>
      </c>
      <c r="E16" s="111">
        <v>190.70000000000073</v>
      </c>
      <c r="F16" s="111">
        <v>9.3799999999988355</v>
      </c>
      <c r="G16" s="111">
        <v>46.899999999994179</v>
      </c>
    </row>
    <row r="17" spans="2:7" ht="15.75" x14ac:dyDescent="0.25">
      <c r="B17" s="31">
        <v>44605</v>
      </c>
      <c r="C17" s="108">
        <v>215.75999999998893</v>
      </c>
      <c r="D17" s="110">
        <v>23.19999999999709</v>
      </c>
      <c r="E17" s="111">
        <v>180.39999999999418</v>
      </c>
      <c r="F17" s="111">
        <v>12.159999999997673</v>
      </c>
      <c r="G17" s="111">
        <v>60.799999999988358</v>
      </c>
    </row>
    <row r="18" spans="2:7" ht="15.75" x14ac:dyDescent="0.25">
      <c r="B18" s="31">
        <v>44606</v>
      </c>
      <c r="C18" s="108">
        <v>183.95999999998676</v>
      </c>
      <c r="D18" s="110">
        <v>39.599999999991269</v>
      </c>
      <c r="E18" s="111">
        <v>132.799999999992</v>
      </c>
      <c r="F18" s="111">
        <v>11.560000000003493</v>
      </c>
      <c r="G18" s="111">
        <v>57.800000000017462</v>
      </c>
    </row>
    <row r="19" spans="2:7" ht="15.75" x14ac:dyDescent="0.25">
      <c r="B19" s="31">
        <v>44607</v>
      </c>
      <c r="C19" s="108">
        <v>122.40000000002401</v>
      </c>
      <c r="D19" s="110">
        <v>21.700000000011642</v>
      </c>
      <c r="E19" s="111">
        <v>87.900000000012369</v>
      </c>
      <c r="F19" s="111">
        <v>12.8</v>
      </c>
      <c r="G19" s="111">
        <v>64</v>
      </c>
    </row>
    <row r="20" spans="2:7" ht="15.75" x14ac:dyDescent="0.25">
      <c r="B20" s="31">
        <v>44608</v>
      </c>
      <c r="C20" s="108">
        <v>271.0199999999939</v>
      </c>
      <c r="D20" s="110">
        <v>32.099999999991269</v>
      </c>
      <c r="E20" s="111">
        <v>230.40000000000146</v>
      </c>
      <c r="F20" s="111">
        <v>8.5200000000011649</v>
      </c>
      <c r="G20" s="111">
        <v>42.600000000005821</v>
      </c>
    </row>
    <row r="21" spans="2:7" ht="15.75" x14ac:dyDescent="0.25">
      <c r="B21" s="31">
        <v>44609</v>
      </c>
      <c r="C21" s="108">
        <v>218.75999999998675</v>
      </c>
      <c r="D21" s="110">
        <v>54.80000000000291</v>
      </c>
      <c r="E21" s="111">
        <v>144.19999999998618</v>
      </c>
      <c r="F21" s="111">
        <v>19.759999999997675</v>
      </c>
      <c r="G21" s="111">
        <v>98.799999999988358</v>
      </c>
    </row>
    <row r="22" spans="2:7" ht="15.75" x14ac:dyDescent="0.25">
      <c r="B22" s="31">
        <v>44610</v>
      </c>
      <c r="C22" s="108">
        <v>199.02000000001937</v>
      </c>
      <c r="D22" s="110">
        <v>52.100000000005821</v>
      </c>
      <c r="E22" s="111">
        <v>127.90000000001237</v>
      </c>
      <c r="F22" s="111">
        <v>19.020000000001165</v>
      </c>
      <c r="G22" s="111">
        <v>95.100000000005821</v>
      </c>
    </row>
    <row r="23" spans="2:7" ht="15.75" x14ac:dyDescent="0.25">
      <c r="B23" s="31">
        <v>44611</v>
      </c>
      <c r="C23" s="108">
        <v>93.579999999989383</v>
      </c>
      <c r="D23" s="110">
        <v>38.599999999991269</v>
      </c>
      <c r="E23" s="111">
        <v>47.799999999999272</v>
      </c>
      <c r="F23" s="111">
        <v>7.1799999999988362</v>
      </c>
      <c r="G23" s="111">
        <v>35.899999999994179</v>
      </c>
    </row>
    <row r="24" spans="2:7" ht="15.75" x14ac:dyDescent="0.25">
      <c r="B24" s="31">
        <v>44612</v>
      </c>
      <c r="C24" s="108">
        <v>329.89999999999128</v>
      </c>
      <c r="D24" s="110">
        <v>32.69999999999709</v>
      </c>
      <c r="E24" s="111">
        <v>290.89999999999418</v>
      </c>
      <c r="F24" s="111">
        <v>6.3000000000000007</v>
      </c>
      <c r="G24" s="111">
        <v>31.5</v>
      </c>
    </row>
    <row r="25" spans="2:7" ht="15.75" x14ac:dyDescent="0.25">
      <c r="B25" s="31">
        <v>44613</v>
      </c>
      <c r="C25" s="108">
        <v>144.12000000000336</v>
      </c>
      <c r="D25" s="110">
        <v>36.30000000000291</v>
      </c>
      <c r="E25" s="111">
        <v>95.799999999999272</v>
      </c>
      <c r="F25" s="111">
        <v>12.020000000001165</v>
      </c>
      <c r="G25" s="111">
        <v>60.100000000005821</v>
      </c>
    </row>
    <row r="26" spans="2:7" ht="15.75" x14ac:dyDescent="0.25">
      <c r="B26" s="31">
        <v>44614</v>
      </c>
      <c r="C26" s="108">
        <v>143.12000000000552</v>
      </c>
      <c r="D26" s="110">
        <v>26.400000000008731</v>
      </c>
      <c r="E26" s="111">
        <v>103.79999999999563</v>
      </c>
      <c r="F26" s="111">
        <v>12.920000000001165</v>
      </c>
      <c r="G26" s="111">
        <v>64.600000000005821</v>
      </c>
    </row>
    <row r="27" spans="2:7" ht="15.75" x14ac:dyDescent="0.25">
      <c r="B27" s="31">
        <v>44615</v>
      </c>
      <c r="C27" s="108">
        <v>230.88000000000176</v>
      </c>
      <c r="D27" s="110">
        <v>21.5</v>
      </c>
      <c r="E27" s="111">
        <v>196.30000000000291</v>
      </c>
      <c r="F27" s="111">
        <v>13.079999999998837</v>
      </c>
      <c r="G27" s="111">
        <v>65.399999999994179</v>
      </c>
    </row>
    <row r="28" spans="2:7" ht="15.75" x14ac:dyDescent="0.25">
      <c r="B28" s="31">
        <v>44616</v>
      </c>
      <c r="C28" s="108">
        <v>104.79999999999563</v>
      </c>
      <c r="D28" s="110">
        <v>16.399999999994179</v>
      </c>
      <c r="E28" s="111">
        <v>71.900000000001455</v>
      </c>
      <c r="F28" s="111">
        <v>16.5</v>
      </c>
      <c r="G28" s="111">
        <v>82.5</v>
      </c>
    </row>
    <row r="29" spans="2:7" ht="15.75" x14ac:dyDescent="0.25">
      <c r="B29" s="31">
        <v>44617</v>
      </c>
      <c r="C29" s="108">
        <v>214.51999999999606</v>
      </c>
      <c r="D29" s="110">
        <v>29.69999999999709</v>
      </c>
      <c r="E29" s="111">
        <v>172.39999999999782</v>
      </c>
      <c r="F29" s="111">
        <v>12.420000000001165</v>
      </c>
      <c r="G29" s="111">
        <v>62.100000000005821</v>
      </c>
    </row>
    <row r="30" spans="2:7" ht="15.75" x14ac:dyDescent="0.25">
      <c r="B30" s="31">
        <v>44618</v>
      </c>
      <c r="C30" s="108">
        <v>168.4599999999933</v>
      </c>
      <c r="D30" s="110">
        <v>54</v>
      </c>
      <c r="E30" s="111">
        <v>106.79999999999563</v>
      </c>
      <c r="F30" s="111">
        <v>7.6599999999976722</v>
      </c>
      <c r="G30" s="111">
        <v>38.299999999988358</v>
      </c>
    </row>
    <row r="31" spans="2:7" ht="15.75" x14ac:dyDescent="0.25">
      <c r="B31" s="31">
        <v>44619</v>
      </c>
      <c r="C31" s="108">
        <v>173.44000000000671</v>
      </c>
      <c r="D31" s="110">
        <v>35.400000000008731</v>
      </c>
      <c r="E31" s="111">
        <v>129.79999999999563</v>
      </c>
      <c r="F31" s="111">
        <v>8.240000000002329</v>
      </c>
      <c r="G31" s="111">
        <v>41.200000000011642</v>
      </c>
    </row>
    <row r="32" spans="2:7" ht="15.75" x14ac:dyDescent="0.25">
      <c r="B32" s="31">
        <v>44620</v>
      </c>
      <c r="C32" s="108">
        <v>168.30000000000729</v>
      </c>
      <c r="D32" s="110">
        <v>39.19999999999709</v>
      </c>
      <c r="E32" s="111">
        <v>118.80000000001019</v>
      </c>
      <c r="F32" s="111">
        <v>10.3</v>
      </c>
      <c r="G32" s="111">
        <v>51.5</v>
      </c>
    </row>
    <row r="33" spans="2:9" x14ac:dyDescent="0.25">
      <c r="B33" s="143"/>
      <c r="C33" s="143"/>
      <c r="D33" s="128"/>
      <c r="E33" s="128"/>
      <c r="F33" s="128"/>
      <c r="G33" s="128"/>
    </row>
    <row r="34" spans="2:9" ht="21" x14ac:dyDescent="0.35">
      <c r="B34" s="144"/>
      <c r="C34" s="80">
        <f>+D34+E34+F34</f>
        <v>4762.0800000000054</v>
      </c>
      <c r="D34" s="36">
        <f>SUM(D5:D32)</f>
        <v>910.30000000000291</v>
      </c>
      <c r="E34" s="36">
        <f>SUM(E5:E32)</f>
        <v>3518.3999999999978</v>
      </c>
      <c r="F34" s="36">
        <f>SUM(F5:F32)</f>
        <v>333.38000000000477</v>
      </c>
      <c r="G34" s="36">
        <f>SUM(G5:G32)</f>
        <v>1666.9000000000233</v>
      </c>
    </row>
    <row r="35" spans="2:9" x14ac:dyDescent="0.25">
      <c r="I35" s="146"/>
    </row>
    <row r="36" spans="2:9" x14ac:dyDescent="0.25">
      <c r="I36" s="146"/>
    </row>
    <row r="37" spans="2:9" ht="15.75" thickBot="1" x14ac:dyDescent="0.3"/>
    <row r="38" spans="2:9" ht="21.75" thickBot="1" x14ac:dyDescent="0.4">
      <c r="B38" s="147" t="s">
        <v>35</v>
      </c>
      <c r="C38" s="147"/>
      <c r="D38" s="131"/>
      <c r="E38" s="132"/>
      <c r="F38" s="132"/>
      <c r="G38" s="148">
        <f>+D34+E34</f>
        <v>4428.7000000000007</v>
      </c>
      <c r="H38" s="149"/>
    </row>
    <row r="39" spans="2:9" x14ac:dyDescent="0.25">
      <c r="G39" s="150"/>
    </row>
    <row r="40" spans="2:9" x14ac:dyDescent="0.25">
      <c r="G40" s="150"/>
    </row>
    <row r="41" spans="2:9" ht="15.75" x14ac:dyDescent="0.25">
      <c r="B41" s="151" t="s">
        <v>6</v>
      </c>
      <c r="C41" s="151"/>
      <c r="E41" s="145" t="s">
        <v>36</v>
      </c>
      <c r="G41" s="152">
        <v>12500</v>
      </c>
      <c r="H41" s="149"/>
    </row>
    <row r="42" spans="2:9" ht="15.75" x14ac:dyDescent="0.25">
      <c r="B42" s="151"/>
      <c r="C42" s="151"/>
      <c r="G42" s="150"/>
      <c r="H42" s="149"/>
    </row>
    <row r="43" spans="2:9" ht="16.5" thickBot="1" x14ac:dyDescent="0.3">
      <c r="B43" s="151"/>
      <c r="C43" s="151"/>
      <c r="G43" s="150"/>
      <c r="H43" s="149"/>
    </row>
    <row r="44" spans="2:9" ht="27" thickBot="1" x14ac:dyDescent="0.3">
      <c r="B44" s="151" t="s">
        <v>7</v>
      </c>
      <c r="C44" s="151"/>
      <c r="G44" s="160">
        <f>+D34+E34*G41</f>
        <v>43980910.299999967</v>
      </c>
      <c r="H44" s="153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4"/>
  <sheetViews>
    <sheetView topLeftCell="A10" workbookViewId="0">
      <selection activeCell="F36" sqref="F36"/>
    </sheetView>
  </sheetViews>
  <sheetFormatPr defaultRowHeight="15" x14ac:dyDescent="0.25"/>
  <cols>
    <col min="1" max="2" width="9.140625" style="30"/>
    <col min="3" max="4" width="34.140625" style="37" customWidth="1"/>
    <col min="5" max="8" width="27.7109375" style="37" customWidth="1"/>
    <col min="9" max="9" width="9.140625" style="30"/>
    <col min="10" max="10" width="13.42578125" style="30" bestFit="1" customWidth="1"/>
    <col min="11" max="11" width="11.5703125" style="30" bestFit="1" customWidth="1"/>
    <col min="12" max="45" width="9.140625" style="30"/>
  </cols>
  <sheetData>
    <row r="1" spans="1:45" ht="15" customHeight="1" x14ac:dyDescent="0.25">
      <c r="B1" s="184" t="s">
        <v>59</v>
      </c>
      <c r="C1" s="184"/>
      <c r="D1" s="184"/>
      <c r="E1" s="184"/>
      <c r="F1" s="184"/>
      <c r="G1" s="184"/>
      <c r="H1" s="184"/>
    </row>
    <row r="2" spans="1:45" ht="15" customHeight="1" x14ac:dyDescent="0.25">
      <c r="B2" s="184"/>
      <c r="C2" s="184"/>
      <c r="D2" s="184"/>
      <c r="E2" s="184"/>
      <c r="F2" s="184"/>
      <c r="G2" s="184"/>
      <c r="H2" s="184"/>
    </row>
    <row r="3" spans="1:45" s="82" customFormat="1" ht="33" customHeight="1" x14ac:dyDescent="0.35">
      <c r="A3" s="81"/>
      <c r="B3" s="185" t="s">
        <v>0</v>
      </c>
      <c r="C3" s="189" t="s">
        <v>30</v>
      </c>
      <c r="D3" s="190"/>
      <c r="E3" s="186" t="s">
        <v>38</v>
      </c>
      <c r="F3" s="187"/>
      <c r="G3" s="187"/>
      <c r="H3" s="188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</row>
    <row r="4" spans="1:45" s="82" customFormat="1" ht="33" customHeight="1" x14ac:dyDescent="0.35">
      <c r="A4" s="81"/>
      <c r="B4" s="185"/>
      <c r="C4" s="83" t="s">
        <v>37</v>
      </c>
      <c r="D4" s="83" t="s">
        <v>39</v>
      </c>
      <c r="E4" s="84" t="s">
        <v>26</v>
      </c>
      <c r="F4" s="84" t="s">
        <v>29</v>
      </c>
      <c r="G4" s="84" t="s">
        <v>27</v>
      </c>
      <c r="H4" s="83" t="s">
        <v>28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</row>
    <row r="5" spans="1:45" ht="15.75" x14ac:dyDescent="0.25">
      <c r="B5" s="31">
        <v>44593</v>
      </c>
      <c r="C5" s="122">
        <v>3.14</v>
      </c>
      <c r="D5" s="122">
        <v>85.42</v>
      </c>
      <c r="E5" s="32"/>
      <c r="F5" s="32"/>
      <c r="G5" s="32"/>
      <c r="H5" s="32"/>
      <c r="I5" s="33"/>
    </row>
    <row r="6" spans="1:45" ht="15.75" x14ac:dyDescent="0.25">
      <c r="B6" s="31">
        <v>44594</v>
      </c>
      <c r="C6" s="122">
        <v>4.24</v>
      </c>
      <c r="D6" s="122">
        <v>115.53</v>
      </c>
      <c r="E6" s="32"/>
      <c r="F6" s="32"/>
      <c r="G6" s="32"/>
      <c r="H6" s="32"/>
      <c r="I6" s="33"/>
    </row>
    <row r="7" spans="1:45" ht="15.75" x14ac:dyDescent="0.25">
      <c r="B7" s="31">
        <v>44595</v>
      </c>
      <c r="C7" s="122">
        <v>3.91</v>
      </c>
      <c r="D7" s="122">
        <v>106.62</v>
      </c>
      <c r="E7" s="32"/>
      <c r="F7" s="32"/>
      <c r="G7" s="32"/>
      <c r="H7" s="32"/>
      <c r="I7" s="33"/>
    </row>
    <row r="8" spans="1:45" ht="15.75" x14ac:dyDescent="0.25">
      <c r="B8" s="31">
        <v>44596</v>
      </c>
      <c r="C8" s="122">
        <v>4.4000000000000004</v>
      </c>
      <c r="D8" s="122">
        <v>119.96</v>
      </c>
      <c r="E8" s="32"/>
      <c r="F8" s="32"/>
      <c r="G8" s="32"/>
      <c r="H8" s="32"/>
      <c r="I8" s="33"/>
    </row>
    <row r="9" spans="1:45" ht="15.75" x14ac:dyDescent="0.25">
      <c r="B9" s="31">
        <v>44597</v>
      </c>
      <c r="C9" s="122">
        <v>2.8</v>
      </c>
      <c r="D9" s="122">
        <v>76.38</v>
      </c>
      <c r="E9" s="32"/>
      <c r="F9" s="32"/>
      <c r="G9" s="32"/>
      <c r="H9" s="32"/>
      <c r="I9" s="33"/>
    </row>
    <row r="10" spans="1:45" ht="15.75" x14ac:dyDescent="0.25">
      <c r="B10" s="31">
        <v>44598</v>
      </c>
      <c r="C10" s="122">
        <v>1.8</v>
      </c>
      <c r="D10" s="122">
        <v>49.07</v>
      </c>
      <c r="E10" s="32"/>
      <c r="F10" s="32"/>
      <c r="G10" s="32"/>
      <c r="H10" s="32"/>
      <c r="I10" s="33"/>
    </row>
    <row r="11" spans="1:45" ht="15.75" x14ac:dyDescent="0.25">
      <c r="B11" s="31">
        <v>44599</v>
      </c>
      <c r="C11" s="122">
        <v>3.4</v>
      </c>
      <c r="D11" s="122">
        <v>92.66</v>
      </c>
      <c r="E11" s="32"/>
      <c r="F11" s="32"/>
      <c r="G11" s="32"/>
      <c r="H11" s="32"/>
      <c r="I11" s="33"/>
    </row>
    <row r="12" spans="1:45" ht="15.75" x14ac:dyDescent="0.25">
      <c r="B12" s="31">
        <v>44600</v>
      </c>
      <c r="C12" s="122">
        <v>3.11</v>
      </c>
      <c r="D12" s="122">
        <v>84.59</v>
      </c>
      <c r="E12" s="32"/>
      <c r="F12" s="32"/>
      <c r="G12" s="32"/>
      <c r="H12" s="32"/>
      <c r="I12" s="33"/>
    </row>
    <row r="13" spans="1:45" ht="15.75" x14ac:dyDescent="0.25">
      <c r="B13" s="31">
        <v>44601</v>
      </c>
      <c r="C13" s="122">
        <v>4.87</v>
      </c>
      <c r="D13" s="122">
        <v>132.63</v>
      </c>
      <c r="E13" s="32"/>
      <c r="F13" s="32"/>
      <c r="G13" s="32"/>
      <c r="H13" s="32"/>
      <c r="I13" s="33"/>
    </row>
    <row r="14" spans="1:45" ht="15.75" x14ac:dyDescent="0.25">
      <c r="B14" s="31">
        <v>44602</v>
      </c>
      <c r="C14" s="122">
        <v>3.7</v>
      </c>
      <c r="D14" s="122">
        <v>101.07</v>
      </c>
      <c r="E14" s="32"/>
      <c r="F14" s="32"/>
      <c r="G14" s="32"/>
      <c r="H14" s="32"/>
      <c r="I14" s="33"/>
    </row>
    <row r="15" spans="1:45" ht="15.75" x14ac:dyDescent="0.25">
      <c r="B15" s="31">
        <v>44603</v>
      </c>
      <c r="C15" s="122">
        <v>4.17</v>
      </c>
      <c r="D15" s="122">
        <v>113.93</v>
      </c>
      <c r="E15" s="32"/>
      <c r="F15" s="32"/>
      <c r="G15" s="32"/>
      <c r="H15" s="32"/>
      <c r="I15" s="33"/>
    </row>
    <row r="16" spans="1:45" ht="15.75" x14ac:dyDescent="0.25">
      <c r="B16" s="31">
        <v>44604</v>
      </c>
      <c r="C16" s="122">
        <v>4.03</v>
      </c>
      <c r="D16" s="122">
        <v>110.01</v>
      </c>
      <c r="E16" s="32"/>
      <c r="F16" s="32"/>
      <c r="G16" s="32"/>
      <c r="H16" s="32"/>
      <c r="I16" s="33"/>
    </row>
    <row r="17" spans="2:9" ht="15.75" x14ac:dyDescent="0.25">
      <c r="B17" s="31">
        <v>44605</v>
      </c>
      <c r="C17" s="122">
        <v>3.75</v>
      </c>
      <c r="D17" s="122">
        <v>102.67</v>
      </c>
      <c r="E17" s="32"/>
      <c r="F17" s="32"/>
      <c r="G17" s="32"/>
      <c r="H17" s="32"/>
      <c r="I17" s="33"/>
    </row>
    <row r="18" spans="2:9" ht="15.75" x14ac:dyDescent="0.25">
      <c r="B18" s="31">
        <v>44606</v>
      </c>
      <c r="C18" s="122">
        <v>3.74</v>
      </c>
      <c r="D18" s="122">
        <v>102.08</v>
      </c>
      <c r="E18" s="32"/>
      <c r="F18" s="32"/>
      <c r="G18" s="32"/>
      <c r="H18" s="32"/>
      <c r="I18" s="33"/>
    </row>
    <row r="19" spans="2:9" ht="15.75" x14ac:dyDescent="0.25">
      <c r="B19" s="31">
        <v>44607</v>
      </c>
      <c r="C19" s="122">
        <v>4.7300000000000004</v>
      </c>
      <c r="D19" s="122">
        <v>128.94</v>
      </c>
      <c r="E19" s="32"/>
      <c r="F19" s="32"/>
      <c r="G19" s="32"/>
      <c r="H19" s="32"/>
      <c r="I19" s="33"/>
    </row>
    <row r="20" spans="2:9" ht="15.75" x14ac:dyDescent="0.25">
      <c r="B20" s="31">
        <v>44608</v>
      </c>
      <c r="C20" s="122">
        <v>5.33</v>
      </c>
      <c r="D20" s="122">
        <v>145.31</v>
      </c>
      <c r="E20" s="32"/>
      <c r="F20" s="32"/>
      <c r="G20" s="32"/>
      <c r="H20" s="32"/>
      <c r="I20" s="33"/>
    </row>
    <row r="21" spans="2:9" ht="15.75" x14ac:dyDescent="0.25">
      <c r="B21" s="31">
        <v>44609</v>
      </c>
      <c r="C21" s="122">
        <v>4.5999999999999996</v>
      </c>
      <c r="D21" s="122">
        <v>125.41</v>
      </c>
      <c r="E21" s="32"/>
      <c r="F21" s="32"/>
      <c r="G21" s="32"/>
      <c r="H21" s="32"/>
      <c r="I21" s="33"/>
    </row>
    <row r="22" spans="2:9" ht="15.75" x14ac:dyDescent="0.25">
      <c r="B22" s="31">
        <v>44610</v>
      </c>
      <c r="C22" s="122">
        <v>3.8</v>
      </c>
      <c r="D22" s="122">
        <v>103.8</v>
      </c>
      <c r="E22" s="32"/>
      <c r="F22" s="32"/>
      <c r="G22" s="32"/>
      <c r="H22" s="32"/>
      <c r="I22" s="33"/>
    </row>
    <row r="23" spans="2:9" ht="15.75" x14ac:dyDescent="0.25">
      <c r="B23" s="31">
        <v>44611</v>
      </c>
      <c r="C23" s="122">
        <v>4.0599999999999996</v>
      </c>
      <c r="D23" s="122">
        <v>110.87</v>
      </c>
      <c r="E23" s="32"/>
      <c r="F23" s="32"/>
      <c r="G23" s="32"/>
      <c r="H23" s="32"/>
      <c r="I23" s="33"/>
    </row>
    <row r="24" spans="2:9" ht="15.75" x14ac:dyDescent="0.25">
      <c r="B24" s="31">
        <v>44612</v>
      </c>
      <c r="C24" s="123">
        <v>1.73</v>
      </c>
      <c r="D24" s="123">
        <v>47.28</v>
      </c>
      <c r="E24" s="32"/>
      <c r="F24" s="32"/>
      <c r="G24" s="32"/>
      <c r="H24" s="32"/>
      <c r="I24" s="33"/>
    </row>
    <row r="25" spans="2:9" ht="15.75" x14ac:dyDescent="0.25">
      <c r="B25" s="31">
        <v>44613</v>
      </c>
      <c r="C25" s="123">
        <v>3.48</v>
      </c>
      <c r="D25" s="123">
        <v>94.93</v>
      </c>
      <c r="E25" s="32"/>
      <c r="F25" s="32"/>
      <c r="G25" s="32"/>
      <c r="H25" s="32"/>
      <c r="I25" s="33"/>
    </row>
    <row r="26" spans="2:9" ht="15.75" x14ac:dyDescent="0.25">
      <c r="B26" s="31">
        <v>44614</v>
      </c>
      <c r="C26" s="124">
        <v>5.46</v>
      </c>
      <c r="D26" s="124">
        <v>149.02000000000001</v>
      </c>
      <c r="E26" s="32"/>
      <c r="F26" s="32"/>
      <c r="G26" s="32"/>
      <c r="H26" s="32"/>
      <c r="I26" s="33"/>
    </row>
    <row r="27" spans="2:9" ht="15.75" x14ac:dyDescent="0.25">
      <c r="B27" s="31">
        <v>44615</v>
      </c>
      <c r="C27" s="123">
        <v>5.57</v>
      </c>
      <c r="D27" s="123">
        <v>152.06</v>
      </c>
      <c r="E27" s="32"/>
      <c r="F27" s="32"/>
      <c r="G27" s="32"/>
      <c r="H27" s="32"/>
      <c r="I27" s="33"/>
    </row>
    <row r="28" spans="2:9" ht="15.75" x14ac:dyDescent="0.25">
      <c r="B28" s="31">
        <v>44616</v>
      </c>
      <c r="C28" s="123">
        <v>4.45</v>
      </c>
      <c r="D28" s="123">
        <v>106.53</v>
      </c>
      <c r="E28" s="32"/>
      <c r="F28" s="32"/>
      <c r="G28" s="32"/>
      <c r="H28" s="32"/>
      <c r="I28" s="33"/>
    </row>
    <row r="29" spans="2:9" ht="15.75" x14ac:dyDescent="0.25">
      <c r="B29" s="31">
        <v>44617</v>
      </c>
      <c r="C29" s="123">
        <v>4.3499999999999996</v>
      </c>
      <c r="D29" s="123">
        <v>104.35</v>
      </c>
      <c r="E29" s="32"/>
      <c r="F29" s="32"/>
      <c r="G29" s="32"/>
      <c r="H29" s="32"/>
      <c r="I29" s="33"/>
    </row>
    <row r="30" spans="2:9" ht="15.75" x14ac:dyDescent="0.25">
      <c r="B30" s="31">
        <v>44618</v>
      </c>
      <c r="C30" s="123">
        <v>4.6500000000000004</v>
      </c>
      <c r="D30" s="123">
        <v>130.54</v>
      </c>
      <c r="E30" s="32"/>
      <c r="F30" s="32"/>
      <c r="G30" s="32"/>
      <c r="H30" s="32"/>
      <c r="I30" s="33"/>
    </row>
    <row r="31" spans="2:9" ht="15.75" x14ac:dyDescent="0.25">
      <c r="B31" s="31">
        <v>44619</v>
      </c>
      <c r="C31" s="123">
        <v>5.25</v>
      </c>
      <c r="D31" s="123">
        <v>133.86000000000001</v>
      </c>
      <c r="E31" s="32"/>
      <c r="F31" s="32"/>
      <c r="G31" s="32"/>
      <c r="H31" s="32"/>
      <c r="I31" s="33"/>
    </row>
    <row r="32" spans="2:9" ht="15.75" x14ac:dyDescent="0.25">
      <c r="B32" s="31">
        <v>44620</v>
      </c>
      <c r="C32" s="124">
        <v>5.64</v>
      </c>
      <c r="D32" s="124">
        <v>153.26</v>
      </c>
      <c r="E32" s="32"/>
      <c r="F32" s="32"/>
      <c r="G32" s="32"/>
      <c r="H32" s="32"/>
      <c r="I32" s="33"/>
    </row>
    <row r="33" spans="2:12" x14ac:dyDescent="0.25">
      <c r="B33" s="34"/>
      <c r="C33" s="128"/>
      <c r="D33" s="128"/>
      <c r="E33" s="128"/>
      <c r="F33" s="128"/>
      <c r="G33" s="128"/>
      <c r="H33" s="128"/>
    </row>
    <row r="34" spans="2:12" ht="18.75" x14ac:dyDescent="0.3">
      <c r="B34" s="35"/>
      <c r="C34" s="129">
        <f t="shared" ref="C34:H34" si="0">SUM(C5:C32)</f>
        <v>114.16</v>
      </c>
      <c r="D34" s="129">
        <f t="shared" si="0"/>
        <v>3078.7800000000007</v>
      </c>
      <c r="E34" s="129">
        <f t="shared" si="0"/>
        <v>0</v>
      </c>
      <c r="F34" s="129">
        <f t="shared" si="0"/>
        <v>0</v>
      </c>
      <c r="G34" s="129">
        <f t="shared" si="0"/>
        <v>0</v>
      </c>
      <c r="H34" s="129">
        <f t="shared" si="0"/>
        <v>0</v>
      </c>
      <c r="I34" s="33"/>
      <c r="L34" s="33"/>
    </row>
    <row r="35" spans="2:12" x14ac:dyDescent="0.25">
      <c r="C35" s="130"/>
      <c r="D35" s="130"/>
      <c r="E35" s="130"/>
      <c r="F35" s="130"/>
      <c r="G35" s="130"/>
      <c r="H35" s="130">
        <f>H34*80%</f>
        <v>0</v>
      </c>
      <c r="J35" s="33"/>
      <c r="K35" s="38"/>
    </row>
    <row r="36" spans="2:12" x14ac:dyDescent="0.25">
      <c r="C36" s="130"/>
      <c r="D36" s="130"/>
      <c r="E36" s="130"/>
      <c r="F36" s="130"/>
      <c r="G36" s="130"/>
      <c r="H36" s="130"/>
    </row>
    <row r="37" spans="2:12" ht="15.75" x14ac:dyDescent="0.25">
      <c r="B37" s="39"/>
      <c r="C37" s="131"/>
      <c r="D37" s="131"/>
      <c r="E37" s="132"/>
      <c r="F37" s="132"/>
      <c r="G37" s="132"/>
      <c r="H37" s="132"/>
      <c r="J37" s="40"/>
      <c r="K37" s="33"/>
    </row>
    <row r="38" spans="2:12" x14ac:dyDescent="0.25">
      <c r="C38" s="130"/>
      <c r="D38" s="130"/>
      <c r="E38" s="130"/>
      <c r="F38" s="130"/>
      <c r="G38" s="130"/>
      <c r="H38" s="130"/>
    </row>
    <row r="39" spans="2:12" x14ac:dyDescent="0.25">
      <c r="C39" s="130"/>
      <c r="D39" s="130"/>
      <c r="E39" s="130"/>
      <c r="F39" s="130"/>
      <c r="G39" s="130"/>
      <c r="H39" s="130"/>
    </row>
    <row r="40" spans="2:12" ht="21" x14ac:dyDescent="0.35">
      <c r="C40" s="133" t="s">
        <v>6</v>
      </c>
      <c r="D40" s="134" t="s">
        <v>40</v>
      </c>
      <c r="E40" s="135">
        <v>10.199999999999999</v>
      </c>
      <c r="F40" s="130"/>
      <c r="G40" s="130"/>
      <c r="H40" s="130"/>
      <c r="J40" s="41"/>
    </row>
    <row r="41" spans="2:12" ht="21" x14ac:dyDescent="0.35">
      <c r="C41" s="136" t="s">
        <v>41</v>
      </c>
      <c r="D41" s="134" t="s">
        <v>37</v>
      </c>
      <c r="E41" s="135">
        <v>350</v>
      </c>
      <c r="F41" s="130"/>
      <c r="G41" s="130"/>
      <c r="H41" s="130"/>
      <c r="J41" s="42"/>
    </row>
    <row r="42" spans="2:12" ht="21" x14ac:dyDescent="0.35">
      <c r="C42" s="136"/>
      <c r="D42" s="134"/>
      <c r="E42" s="135"/>
      <c r="F42" s="130"/>
      <c r="G42" s="130"/>
      <c r="H42" s="130"/>
    </row>
    <row r="43" spans="2:12" ht="21" x14ac:dyDescent="0.35">
      <c r="C43" s="133" t="s">
        <v>7</v>
      </c>
      <c r="D43" s="134" t="s">
        <v>40</v>
      </c>
      <c r="E43" s="137">
        <f>IF(C34&gt;E41,(C34*E40),(E41*E40))</f>
        <v>3569.9999999999995</v>
      </c>
      <c r="F43" s="130"/>
      <c r="G43" s="130"/>
      <c r="H43" s="130"/>
    </row>
    <row r="44" spans="2:12" x14ac:dyDescent="0.25">
      <c r="C44" s="130"/>
      <c r="D44" s="130"/>
      <c r="E44" s="130"/>
      <c r="F44" s="130"/>
      <c r="G44" s="130"/>
      <c r="H44" s="130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Asep Supriatna</cp:lastModifiedBy>
  <cp:lastPrinted>2020-01-30T09:39:19Z</cp:lastPrinted>
  <dcterms:created xsi:type="dcterms:W3CDTF">2017-12-04T02:44:15Z</dcterms:created>
  <dcterms:modified xsi:type="dcterms:W3CDTF">2022-03-07T11:07:53Z</dcterms:modified>
</cp:coreProperties>
</file>