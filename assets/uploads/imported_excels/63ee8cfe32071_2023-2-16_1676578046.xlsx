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drawings/drawing9.xml" ContentType="application/vnd.openxmlformats-officedocument.drawing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drawings/drawing10.xml" ContentType="application/vnd.openxmlformats-officedocument.drawing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showInkAnnotation="0"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Salaheddine.Lasmar\Desktop\HEP FINAL\HEP 2022\"/>
    </mc:Choice>
  </mc:AlternateContent>
  <xr:revisionPtr revIDLastSave="0" documentId="13_ncr:1_{EB14E966-7D85-40FA-8835-B33E654C4259}" xr6:coauthVersionLast="47" xr6:coauthVersionMax="47" xr10:uidLastSave="{00000000-0000-0000-0000-000000000000}"/>
  <bookViews>
    <workbookView xWindow="-120" yWindow="-120" windowWidth="29040" windowHeight="15840" tabRatio="764" xr2:uid="{00000000-000D-0000-FFFF-FFFF00000000}"/>
  </bookViews>
  <sheets>
    <sheet name="TOTAL" sheetId="22" r:id="rId1"/>
    <sheet name="submetering" sheetId="21" r:id="rId2"/>
    <sheet name="Consommation mensuel énergie" sheetId="2" r:id="rId3"/>
    <sheet name="Suivi EAU-ELEC" sheetId="6" r:id="rId4"/>
    <sheet name="Suvi Gaz" sheetId="4" r:id="rId5"/>
    <sheet name="facture électricité" sheetId="10" r:id="rId6"/>
    <sheet name="Facture journalier D'élect" sheetId="19" r:id="rId7"/>
    <sheet name="facture d'eau" sheetId="11" r:id="rId8"/>
    <sheet name="Facture journalier d'eau" sheetId="20" r:id="rId9"/>
    <sheet name="facture incendie" sheetId="18" r:id="rId10"/>
    <sheet name="cons annuel électr" sheetId="12" r:id="rId11"/>
    <sheet name="cons annuel EAU  " sheetId="16" r:id="rId12"/>
    <sheet name="livraison annuel GAZ" sheetId="17" r:id="rId13"/>
    <sheet name="Feuil1" sheetId="8" state="hidden" r:id="rId14"/>
  </sheets>
  <definedNames>
    <definedName name="_xlnm.Print_Area" localSheetId="2">'Consommation mensuel énergie'!$A$1:$Y$49</definedName>
    <definedName name="_xlnm.Print_Area" localSheetId="5">'facture électricité'!$A$1:$J$33</definedName>
    <definedName name="_xlnm.Print_Area" localSheetId="3">'Suivi EAU-ELEC'!$A$1:$K$39</definedName>
    <definedName name="_xlnm.Print_Area" localSheetId="4">'Suvi Gaz'!$A$1:$AC$48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L3" i="22" l="1"/>
  <c r="L4" i="22"/>
  <c r="L5" i="22"/>
  <c r="L6" i="22"/>
  <c r="L7" i="22"/>
  <c r="L8" i="22"/>
  <c r="L9" i="22"/>
  <c r="L10" i="22"/>
  <c r="L11" i="22"/>
  <c r="L12" i="22"/>
  <c r="L13" i="22"/>
  <c r="L14" i="22"/>
  <c r="L15" i="22"/>
  <c r="L16" i="22"/>
  <c r="L17" i="22"/>
  <c r="L18" i="22"/>
  <c r="L19" i="22"/>
  <c r="L20" i="22"/>
  <c r="L21" i="22"/>
  <c r="L22" i="22"/>
  <c r="L23" i="22"/>
  <c r="L24" i="22"/>
  <c r="L25" i="22"/>
  <c r="L26" i="22"/>
  <c r="L27" i="22"/>
  <c r="L28" i="22"/>
  <c r="L29" i="22"/>
  <c r="L30" i="22"/>
  <c r="L31" i="22"/>
  <c r="I3" i="22"/>
  <c r="I4" i="22"/>
  <c r="I5" i="22"/>
  <c r="I6" i="22"/>
  <c r="I7" i="22"/>
  <c r="I8" i="22"/>
  <c r="I9" i="22"/>
  <c r="I10" i="22"/>
  <c r="I11" i="22"/>
  <c r="I12" i="22"/>
  <c r="I13" i="22"/>
  <c r="I14" i="22"/>
  <c r="I15" i="22"/>
  <c r="I16" i="22"/>
  <c r="I17" i="22"/>
  <c r="I18" i="22"/>
  <c r="I19" i="22"/>
  <c r="I20" i="22"/>
  <c r="I21" i="22"/>
  <c r="I22" i="22"/>
  <c r="I23" i="22"/>
  <c r="I24" i="22"/>
  <c r="I25" i="22"/>
  <c r="I26" i="22"/>
  <c r="I27" i="22"/>
  <c r="I28" i="22"/>
  <c r="I29" i="22"/>
  <c r="I30" i="22"/>
  <c r="I31" i="22"/>
  <c r="G3" i="22"/>
  <c r="G4" i="22"/>
  <c r="G5" i="22"/>
  <c r="G6" i="22"/>
  <c r="G7" i="22"/>
  <c r="G8" i="22"/>
  <c r="G9" i="22"/>
  <c r="G10" i="22"/>
  <c r="G11" i="22"/>
  <c r="G12" i="22"/>
  <c r="G13" i="22"/>
  <c r="G14" i="22"/>
  <c r="G15" i="22"/>
  <c r="G16" i="22"/>
  <c r="G17" i="22"/>
  <c r="G18" i="22"/>
  <c r="G19" i="22"/>
  <c r="G20" i="22"/>
  <c r="G21" i="22"/>
  <c r="G22" i="22"/>
  <c r="G23" i="22"/>
  <c r="G24" i="22"/>
  <c r="G25" i="22"/>
  <c r="G26" i="22"/>
  <c r="G27" i="22"/>
  <c r="G28" i="22"/>
  <c r="G29" i="22"/>
  <c r="G30" i="22"/>
  <c r="G31" i="22"/>
  <c r="E3" i="22"/>
  <c r="E4" i="22"/>
  <c r="E5" i="22"/>
  <c r="E6" i="22"/>
  <c r="E7" i="22"/>
  <c r="E8" i="22"/>
  <c r="E9" i="22"/>
  <c r="E10" i="22"/>
  <c r="E11" i="22"/>
  <c r="E12" i="22"/>
  <c r="E13" i="22"/>
  <c r="E14" i="22"/>
  <c r="E15" i="22"/>
  <c r="E16" i="22"/>
  <c r="E17" i="22"/>
  <c r="E18" i="22"/>
  <c r="E19" i="22"/>
  <c r="E20" i="22"/>
  <c r="E21" i="22"/>
  <c r="E22" i="22"/>
  <c r="E23" i="22"/>
  <c r="E24" i="22"/>
  <c r="E25" i="22"/>
  <c r="E26" i="22"/>
  <c r="E27" i="22"/>
  <c r="E28" i="22"/>
  <c r="E29" i="22"/>
  <c r="E30" i="22"/>
  <c r="E31" i="22"/>
  <c r="K14" i="22"/>
  <c r="K15" i="22"/>
  <c r="K16" i="22"/>
  <c r="K17" i="22"/>
  <c r="K18" i="22"/>
  <c r="K19" i="22"/>
  <c r="K20" i="22"/>
  <c r="K21" i="22"/>
  <c r="K22" i="22"/>
  <c r="K23" i="22"/>
  <c r="K24" i="22"/>
  <c r="K25" i="22"/>
  <c r="K26" i="22"/>
  <c r="K27" i="22"/>
  <c r="K28" i="22"/>
  <c r="K29" i="22"/>
  <c r="K30" i="22"/>
  <c r="K31" i="22"/>
  <c r="K3" i="22"/>
  <c r="K4" i="22"/>
  <c r="K5" i="22"/>
  <c r="K6" i="22"/>
  <c r="K7" i="22"/>
  <c r="K8" i="22"/>
  <c r="K9" i="22"/>
  <c r="K10" i="22"/>
  <c r="K11" i="22"/>
  <c r="K12" i="22"/>
  <c r="K13" i="22"/>
  <c r="G3" i="21"/>
  <c r="G4" i="21"/>
  <c r="G5" i="21"/>
  <c r="G6" i="21"/>
  <c r="G7" i="21"/>
  <c r="G8" i="21"/>
  <c r="G9" i="21"/>
  <c r="G10" i="21"/>
  <c r="G11" i="21"/>
  <c r="G12" i="21"/>
  <c r="G13" i="21"/>
  <c r="G14" i="21"/>
  <c r="G15" i="21"/>
  <c r="G16" i="21"/>
  <c r="G17" i="21"/>
  <c r="G18" i="21"/>
  <c r="G19" i="21"/>
  <c r="G20" i="21"/>
  <c r="G21" i="21"/>
  <c r="G22" i="21"/>
  <c r="G23" i="21"/>
  <c r="G24" i="21"/>
  <c r="G25" i="21"/>
  <c r="G26" i="21"/>
  <c r="G27" i="21"/>
  <c r="G28" i="21"/>
  <c r="G29" i="21"/>
  <c r="G30" i="21"/>
  <c r="G31" i="21"/>
  <c r="F3" i="21"/>
  <c r="F4" i="21"/>
  <c r="F5" i="21"/>
  <c r="F6" i="21"/>
  <c r="F7" i="21"/>
  <c r="F8" i="21"/>
  <c r="F9" i="21"/>
  <c r="F10" i="21"/>
  <c r="F11" i="21"/>
  <c r="F12" i="21"/>
  <c r="F13" i="21"/>
  <c r="F14" i="21"/>
  <c r="F15" i="21"/>
  <c r="F16" i="21"/>
  <c r="F17" i="21"/>
  <c r="F18" i="21"/>
  <c r="F19" i="21"/>
  <c r="F20" i="21"/>
  <c r="F21" i="21"/>
  <c r="F22" i="21"/>
  <c r="F23" i="21"/>
  <c r="F24" i="21"/>
  <c r="F25" i="21"/>
  <c r="F26" i="21"/>
  <c r="F27" i="21"/>
  <c r="F28" i="21"/>
  <c r="F29" i="21"/>
  <c r="F30" i="21"/>
  <c r="F31" i="21"/>
  <c r="E3" i="21"/>
  <c r="E4" i="21"/>
  <c r="E5" i="21"/>
  <c r="E6" i="21"/>
  <c r="E7" i="21"/>
  <c r="E8" i="21"/>
  <c r="E9" i="21"/>
  <c r="E10" i="21"/>
  <c r="E11" i="21"/>
  <c r="E12" i="21"/>
  <c r="E13" i="21"/>
  <c r="E14" i="21"/>
  <c r="E15" i="21"/>
  <c r="E16" i="21"/>
  <c r="E17" i="21"/>
  <c r="E18" i="21"/>
  <c r="E19" i="21"/>
  <c r="E20" i="21"/>
  <c r="E21" i="21"/>
  <c r="E22" i="21"/>
  <c r="E23" i="21"/>
  <c r="E24" i="21"/>
  <c r="E25" i="21"/>
  <c r="E26" i="21"/>
  <c r="E27" i="21"/>
  <c r="E28" i="21"/>
  <c r="E29" i="21"/>
  <c r="E30" i="21"/>
  <c r="E31" i="21"/>
  <c r="V39" i="2"/>
  <c r="N39" i="2"/>
  <c r="M39" i="2"/>
  <c r="L39" i="2"/>
  <c r="F39" i="2"/>
  <c r="X11" i="2"/>
  <c r="X12" i="2"/>
  <c r="X13" i="2"/>
  <c r="X14" i="2"/>
  <c r="X15" i="2"/>
  <c r="X16" i="2"/>
  <c r="X17" i="2"/>
  <c r="X18" i="2"/>
  <c r="X19" i="2"/>
  <c r="X20" i="2"/>
  <c r="X21" i="2"/>
  <c r="X22" i="2"/>
  <c r="X23" i="2"/>
  <c r="X24" i="2"/>
  <c r="X25" i="2"/>
  <c r="X26" i="2"/>
  <c r="X27" i="2"/>
  <c r="X28" i="2"/>
  <c r="X29" i="2"/>
  <c r="X30" i="2"/>
  <c r="X31" i="2"/>
  <c r="X32" i="2"/>
  <c r="X33" i="2"/>
  <c r="X34" i="2"/>
  <c r="X35" i="2"/>
  <c r="X36" i="2"/>
  <c r="X37" i="2"/>
  <c r="X39" i="2"/>
  <c r="X10" i="2"/>
  <c r="P5" i="4"/>
  <c r="P6" i="4"/>
  <c r="P7" i="4"/>
  <c r="P8" i="4"/>
  <c r="P9" i="4"/>
  <c r="P10" i="4"/>
  <c r="P11" i="4"/>
  <c r="P12" i="4"/>
  <c r="P13" i="4"/>
  <c r="P14" i="4"/>
  <c r="P15" i="4"/>
  <c r="P16" i="4"/>
  <c r="P17" i="4"/>
  <c r="P18" i="4"/>
  <c r="P19" i="4"/>
  <c r="P20" i="4"/>
  <c r="P21" i="4"/>
  <c r="P22" i="4"/>
  <c r="P23" i="4"/>
  <c r="P24" i="4"/>
  <c r="P25" i="4"/>
  <c r="P26" i="4"/>
  <c r="P27" i="4"/>
  <c r="P28" i="4"/>
  <c r="P29" i="4"/>
  <c r="P30" i="4"/>
  <c r="P31" i="4"/>
  <c r="P33" i="4"/>
  <c r="P34" i="4"/>
  <c r="P35" i="4"/>
  <c r="P36" i="4"/>
  <c r="P4" i="4"/>
  <c r="K38" i="6"/>
  <c r="I38" i="6"/>
  <c r="G38" i="6"/>
  <c r="E38" i="6"/>
  <c r="C38" i="6"/>
  <c r="C39" i="6"/>
  <c r="V36" i="2"/>
  <c r="V37" i="2"/>
  <c r="N37" i="2"/>
  <c r="N38" i="2"/>
  <c r="M37" i="2"/>
  <c r="M38" i="2"/>
  <c r="L37" i="2"/>
  <c r="L38" i="2"/>
  <c r="F37" i="2"/>
  <c r="F38" i="2"/>
  <c r="K37" i="6"/>
  <c r="I37" i="6"/>
  <c r="G37" i="6"/>
  <c r="E37" i="6"/>
  <c r="C37" i="6"/>
  <c r="K36" i="6"/>
  <c r="I36" i="6"/>
  <c r="G36" i="6"/>
  <c r="E36" i="6"/>
  <c r="C36" i="6"/>
  <c r="V35" i="2"/>
  <c r="N36" i="2"/>
  <c r="M36" i="2"/>
  <c r="L36" i="2"/>
  <c r="F36" i="2"/>
  <c r="K34" i="6"/>
  <c r="K35" i="6"/>
  <c r="I34" i="6"/>
  <c r="I35" i="6"/>
  <c r="G34" i="6"/>
  <c r="G35" i="6"/>
  <c r="E34" i="6"/>
  <c r="E35" i="6"/>
  <c r="C34" i="6"/>
  <c r="C35" i="6"/>
  <c r="V34" i="2"/>
  <c r="N35" i="2"/>
  <c r="M35" i="2"/>
  <c r="L35" i="2"/>
  <c r="F35" i="2"/>
  <c r="V30" i="2"/>
  <c r="V31" i="2"/>
  <c r="V32" i="2"/>
  <c r="V33" i="2"/>
  <c r="N31" i="2"/>
  <c r="N32" i="2"/>
  <c r="N33" i="2"/>
  <c r="N34" i="2"/>
  <c r="M31" i="2"/>
  <c r="M32" i="2"/>
  <c r="M33" i="2"/>
  <c r="M34" i="2"/>
  <c r="L31" i="2"/>
  <c r="L32" i="2"/>
  <c r="L33" i="2"/>
  <c r="L34" i="2"/>
  <c r="F31" i="2"/>
  <c r="F32" i="2"/>
  <c r="F33" i="2"/>
  <c r="F34" i="2"/>
  <c r="K32" i="6"/>
  <c r="I32" i="6"/>
  <c r="G32" i="6"/>
  <c r="E32" i="6"/>
  <c r="C32" i="6"/>
  <c r="K31" i="6"/>
  <c r="I31" i="6"/>
  <c r="G31" i="6"/>
  <c r="K30" i="6"/>
  <c r="I30" i="6"/>
  <c r="G30" i="6"/>
  <c r="E30" i="6"/>
  <c r="E31" i="6"/>
  <c r="C30" i="6"/>
  <c r="C31" i="6"/>
  <c r="V29" i="2"/>
  <c r="N30" i="2"/>
  <c r="M30" i="2"/>
  <c r="L30" i="2"/>
  <c r="F30" i="2"/>
  <c r="K29" i="6"/>
  <c r="I29" i="6"/>
  <c r="G29" i="6"/>
  <c r="E29" i="6"/>
  <c r="C29" i="6"/>
  <c r="V28" i="2"/>
  <c r="N29" i="2"/>
  <c r="M29" i="2"/>
  <c r="L29" i="2"/>
  <c r="M28" i="2"/>
  <c r="F29" i="2"/>
  <c r="K28" i="6"/>
  <c r="I28" i="6"/>
  <c r="G28" i="6"/>
  <c r="E28" i="6"/>
  <c r="C28" i="6"/>
  <c r="V27" i="2"/>
  <c r="N28" i="2"/>
  <c r="L28" i="2"/>
  <c r="F28" i="2"/>
  <c r="K27" i="6"/>
  <c r="I27" i="6"/>
  <c r="G27" i="6"/>
  <c r="E27" i="6"/>
  <c r="C27" i="6"/>
  <c r="V26" i="2"/>
  <c r="N27" i="2"/>
  <c r="M27" i="2"/>
  <c r="L27" i="2"/>
  <c r="F27" i="2"/>
  <c r="K26" i="6"/>
  <c r="I26" i="6"/>
  <c r="G26" i="6"/>
  <c r="E26" i="6"/>
  <c r="C26" i="6"/>
  <c r="V23" i="2"/>
  <c r="V24" i="2"/>
  <c r="V25" i="2"/>
  <c r="N24" i="2"/>
  <c r="N25" i="2"/>
  <c r="N26" i="2"/>
  <c r="M24" i="2"/>
  <c r="M25" i="2"/>
  <c r="M26" i="2"/>
  <c r="L24" i="2"/>
  <c r="L25" i="2"/>
  <c r="L26" i="2"/>
  <c r="F24" i="2"/>
  <c r="F25" i="2"/>
  <c r="F26" i="2"/>
  <c r="K25" i="6"/>
  <c r="I25" i="6"/>
  <c r="G25" i="6"/>
  <c r="E25" i="6"/>
  <c r="C25" i="6"/>
  <c r="K24" i="6"/>
  <c r="I24" i="6"/>
  <c r="G24" i="6"/>
  <c r="E24" i="6"/>
  <c r="C24" i="6"/>
  <c r="K23" i="6"/>
  <c r="I23" i="6"/>
  <c r="G23" i="6"/>
  <c r="E23" i="6"/>
  <c r="C23" i="6"/>
  <c r="V22" i="2"/>
  <c r="N23" i="2"/>
  <c r="M23" i="2"/>
  <c r="L23" i="2"/>
  <c r="F23" i="2"/>
  <c r="K22" i="6"/>
  <c r="I22" i="6"/>
  <c r="G22" i="6"/>
  <c r="E22" i="6"/>
  <c r="C22" i="6"/>
  <c r="V21" i="2"/>
  <c r="M22" i="2"/>
  <c r="L22" i="2"/>
  <c r="F22" i="2"/>
  <c r="K21" i="6"/>
  <c r="N22" i="2" s="1"/>
  <c r="I21" i="6"/>
  <c r="G21" i="6"/>
  <c r="E21" i="6"/>
  <c r="C21" i="6"/>
  <c r="V20" i="2"/>
  <c r="N21" i="2"/>
  <c r="M21" i="2"/>
  <c r="L21" i="2"/>
  <c r="F21" i="2"/>
  <c r="K20" i="6"/>
  <c r="I20" i="6"/>
  <c r="G20" i="6"/>
  <c r="E20" i="6"/>
  <c r="C20" i="6"/>
  <c r="P37" i="4"/>
  <c r="V18" i="2"/>
  <c r="V19" i="2"/>
  <c r="N19" i="2"/>
  <c r="N20" i="2"/>
  <c r="M19" i="2"/>
  <c r="M20" i="2"/>
  <c r="L19" i="2"/>
  <c r="L20" i="2"/>
  <c r="F19" i="2"/>
  <c r="F20" i="2"/>
  <c r="K19" i="6"/>
  <c r="I19" i="6"/>
  <c r="G19" i="6"/>
  <c r="E19" i="6"/>
  <c r="C19" i="6"/>
  <c r="K18" i="6"/>
  <c r="I18" i="6"/>
  <c r="G18" i="6"/>
  <c r="E18" i="6"/>
  <c r="C18" i="6"/>
  <c r="V17" i="2"/>
  <c r="N18" i="2"/>
  <c r="M18" i="2"/>
  <c r="L18" i="2"/>
  <c r="F18" i="2"/>
  <c r="K17" i="6"/>
  <c r="I17" i="6"/>
  <c r="G17" i="6"/>
  <c r="E17" i="6"/>
  <c r="C17" i="6"/>
  <c r="V15" i="2"/>
  <c r="V16" i="2"/>
  <c r="N16" i="2"/>
  <c r="N17" i="2"/>
  <c r="M16" i="2"/>
  <c r="M17" i="2"/>
  <c r="L16" i="2"/>
  <c r="L17" i="2"/>
  <c r="F16" i="2"/>
  <c r="F17" i="2"/>
  <c r="K16" i="6"/>
  <c r="I16" i="6"/>
  <c r="G16" i="6"/>
  <c r="E16" i="6"/>
  <c r="C16" i="6"/>
  <c r="K15" i="6"/>
  <c r="I15" i="6"/>
  <c r="G15" i="6"/>
  <c r="E15" i="6"/>
  <c r="C15" i="6"/>
  <c r="V14" i="2"/>
  <c r="N15" i="2"/>
  <c r="M15" i="2"/>
  <c r="L15" i="2"/>
  <c r="F15" i="2"/>
  <c r="K14" i="6"/>
  <c r="I14" i="6"/>
  <c r="G14" i="6"/>
  <c r="E14" i="6"/>
  <c r="C14" i="6"/>
  <c r="V11" i="2"/>
  <c r="V12" i="2"/>
  <c r="V13" i="2"/>
  <c r="V10" i="2"/>
  <c r="N11" i="2"/>
  <c r="N12" i="2"/>
  <c r="N13" i="2"/>
  <c r="N14" i="2"/>
  <c r="M14" i="2"/>
  <c r="M11" i="2"/>
  <c r="M12" i="2"/>
  <c r="M13" i="2"/>
  <c r="L11" i="2"/>
  <c r="L12" i="2"/>
  <c r="L13" i="2"/>
  <c r="L14" i="2"/>
  <c r="F11" i="2"/>
  <c r="F12" i="2"/>
  <c r="F13" i="2"/>
  <c r="F14" i="2"/>
  <c r="N10" i="2"/>
  <c r="M10" i="2"/>
  <c r="L10" i="2"/>
  <c r="F10" i="2"/>
  <c r="K12" i="6"/>
  <c r="I12" i="6"/>
  <c r="G12" i="6"/>
  <c r="E12" i="6"/>
  <c r="C12" i="6"/>
  <c r="C13" i="6"/>
  <c r="K11" i="6"/>
  <c r="I11" i="6"/>
  <c r="G11" i="6"/>
  <c r="E11" i="6"/>
  <c r="C11" i="6"/>
  <c r="G4" i="4"/>
  <c r="E4" i="4"/>
  <c r="C4" i="4"/>
  <c r="K39" i="6"/>
  <c r="I39" i="6"/>
  <c r="G39" i="6"/>
  <c r="E39" i="6"/>
  <c r="K33" i="6"/>
  <c r="I33" i="6"/>
  <c r="G33" i="6"/>
  <c r="E33" i="6"/>
  <c r="C33" i="6"/>
  <c r="K13" i="6"/>
  <c r="I13" i="6"/>
  <c r="G13" i="6"/>
  <c r="E13" i="6"/>
  <c r="K10" i="6"/>
  <c r="I10" i="6"/>
  <c r="G10" i="6"/>
  <c r="E10" i="6"/>
  <c r="C10" i="6"/>
  <c r="Q10" i="2"/>
  <c r="I26" i="21"/>
  <c r="I27" i="21"/>
  <c r="I28" i="21"/>
  <c r="I29" i="21"/>
  <c r="I30" i="21"/>
  <c r="I31" i="21"/>
  <c r="H26" i="21"/>
  <c r="H27" i="21"/>
  <c r="H28" i="21"/>
  <c r="H29" i="21"/>
  <c r="H30" i="21"/>
  <c r="H31" i="21"/>
  <c r="Q39" i="2"/>
  <c r="Q36" i="2"/>
  <c r="Q37" i="2"/>
  <c r="O39" i="2"/>
  <c r="O36" i="2"/>
  <c r="O37" i="2"/>
  <c r="H39" i="2"/>
  <c r="H37" i="2"/>
  <c r="H36" i="2"/>
  <c r="Q28" i="2"/>
  <c r="G21" i="4"/>
  <c r="E21" i="4"/>
  <c r="C21" i="4"/>
  <c r="M4" i="4"/>
  <c r="M5" i="4"/>
  <c r="M6" i="4"/>
  <c r="M7" i="4"/>
  <c r="G17" i="4"/>
  <c r="P42" i="4"/>
  <c r="C35" i="4"/>
  <c r="C31" i="4"/>
  <c r="G28" i="4"/>
  <c r="G30" i="4"/>
  <c r="G31" i="4"/>
  <c r="G33" i="4"/>
  <c r="G35" i="4"/>
  <c r="E28" i="4"/>
  <c r="E30" i="4"/>
  <c r="E31" i="4"/>
  <c r="E33" i="4"/>
  <c r="E35" i="4"/>
  <c r="C28" i="4"/>
  <c r="C30" i="4"/>
  <c r="C33" i="4"/>
  <c r="I30" i="4"/>
  <c r="G8" i="4"/>
  <c r="G14" i="4"/>
  <c r="G16" i="4"/>
  <c r="E8" i="4"/>
  <c r="E14" i="4"/>
  <c r="E16" i="4"/>
  <c r="E17" i="4"/>
  <c r="C8" i="4"/>
  <c r="C14" i="4"/>
  <c r="C16" i="4"/>
  <c r="C17" i="4"/>
  <c r="AC9" i="4"/>
  <c r="AC10" i="4"/>
  <c r="O11" i="2"/>
  <c r="I23" i="21"/>
  <c r="I24" i="21"/>
  <c r="I25" i="21"/>
  <c r="H23" i="21"/>
  <c r="H24" i="21"/>
  <c r="H25" i="21"/>
  <c r="M9" i="4"/>
  <c r="M10" i="4"/>
  <c r="M11" i="4"/>
  <c r="M12" i="4"/>
  <c r="M13" i="4"/>
  <c r="M14" i="4"/>
  <c r="M15" i="4"/>
  <c r="M16" i="4"/>
  <c r="M17" i="4"/>
  <c r="M18" i="4"/>
  <c r="M19" i="4"/>
  <c r="M20" i="4"/>
  <c r="M21" i="4"/>
  <c r="M22" i="4"/>
  <c r="M23" i="4"/>
  <c r="M24" i="4"/>
  <c r="M25" i="4"/>
  <c r="M26" i="4"/>
  <c r="M27" i="4"/>
  <c r="M28" i="4"/>
  <c r="M29" i="4"/>
  <c r="M30" i="4"/>
  <c r="M31" i="4"/>
  <c r="M32" i="4"/>
  <c r="M33" i="4"/>
  <c r="M34" i="4"/>
  <c r="M35" i="4"/>
  <c r="M36" i="4"/>
  <c r="M37" i="4"/>
  <c r="M38" i="4"/>
  <c r="M39" i="4"/>
  <c r="M40" i="4"/>
  <c r="M41" i="4"/>
  <c r="M42" i="4"/>
  <c r="M8" i="4"/>
  <c r="F40" i="2"/>
  <c r="O23" i="2"/>
  <c r="G2" i="21"/>
  <c r="O10" i="2"/>
  <c r="I2" i="22"/>
  <c r="O17" i="2"/>
  <c r="Q18" i="2"/>
  <c r="O25" i="2"/>
  <c r="O26" i="2"/>
  <c r="Q31" i="2"/>
  <c r="Q33" i="2"/>
  <c r="O35" i="2"/>
  <c r="H35" i="2"/>
  <c r="H38" i="2"/>
  <c r="O34" i="2"/>
  <c r="Q34" i="2"/>
  <c r="H34" i="2"/>
  <c r="O32" i="2"/>
  <c r="Q32" i="2"/>
  <c r="O31" i="2"/>
  <c r="H31" i="2"/>
  <c r="H30" i="2"/>
  <c r="O28" i="2"/>
  <c r="J18" i="21"/>
  <c r="H26" i="2"/>
  <c r="H25" i="2"/>
  <c r="J16" i="21"/>
  <c r="Q22" i="2"/>
  <c r="Q23" i="2"/>
  <c r="J13" i="21"/>
  <c r="H21" i="2"/>
  <c r="Q20" i="2"/>
  <c r="H20" i="2"/>
  <c r="H17" i="2"/>
  <c r="H18" i="2"/>
  <c r="AC22" i="4"/>
  <c r="J4" i="4"/>
  <c r="K4" i="4"/>
  <c r="AC32" i="4"/>
  <c r="Z43" i="4"/>
  <c r="J9" i="4"/>
  <c r="K9" i="4"/>
  <c r="J10" i="4"/>
  <c r="K10" i="4"/>
  <c r="J11" i="4"/>
  <c r="K11" i="4"/>
  <c r="J12" i="4"/>
  <c r="K12" i="4"/>
  <c r="J13" i="4"/>
  <c r="K13" i="4"/>
  <c r="J31" i="4"/>
  <c r="K31" i="4"/>
  <c r="AC29" i="4"/>
  <c r="G8" i="20"/>
  <c r="B13" i="20"/>
  <c r="F13" i="20"/>
  <c r="B20" i="20"/>
  <c r="F20" i="20"/>
  <c r="J5" i="4"/>
  <c r="K5" i="4"/>
  <c r="J34" i="4"/>
  <c r="K34" i="4"/>
  <c r="J35" i="4"/>
  <c r="K35" i="4"/>
  <c r="F29" i="19"/>
  <c r="H29" i="19"/>
  <c r="I29" i="19"/>
  <c r="J7" i="4"/>
  <c r="K7" i="4"/>
  <c r="J6" i="4"/>
  <c r="K6" i="4"/>
  <c r="L2" i="22"/>
  <c r="K2" i="22"/>
  <c r="H3" i="21"/>
  <c r="I3" i="21"/>
  <c r="H4" i="21"/>
  <c r="I4" i="21"/>
  <c r="H5" i="21"/>
  <c r="I5" i="21"/>
  <c r="H6" i="21"/>
  <c r="I6" i="21"/>
  <c r="H7" i="21"/>
  <c r="I7" i="21"/>
  <c r="H8" i="21"/>
  <c r="I8" i="21"/>
  <c r="H9" i="21"/>
  <c r="I9" i="21"/>
  <c r="H10" i="21"/>
  <c r="I10" i="21"/>
  <c r="H11" i="21"/>
  <c r="I11" i="21"/>
  <c r="H12" i="21"/>
  <c r="I12" i="21"/>
  <c r="H13" i="21"/>
  <c r="I13" i="21"/>
  <c r="H14" i="21"/>
  <c r="I14" i="21"/>
  <c r="H15" i="21"/>
  <c r="I15" i="21"/>
  <c r="H16" i="21"/>
  <c r="I16" i="21"/>
  <c r="H17" i="21"/>
  <c r="I17" i="21"/>
  <c r="H18" i="21"/>
  <c r="I18" i="21"/>
  <c r="H19" i="21"/>
  <c r="I19" i="21"/>
  <c r="H20" i="21"/>
  <c r="I20" i="21"/>
  <c r="H21" i="21"/>
  <c r="I21" i="21"/>
  <c r="H22" i="21"/>
  <c r="I22" i="21"/>
  <c r="I2" i="21"/>
  <c r="H2" i="21"/>
  <c r="D40" i="2"/>
  <c r="E40" i="2"/>
  <c r="B3" i="21"/>
  <c r="B4" i="21"/>
  <c r="B5" i="21"/>
  <c r="B6" i="21"/>
  <c r="B7" i="21"/>
  <c r="B8" i="21"/>
  <c r="B9" i="21"/>
  <c r="B10" i="21"/>
  <c r="B11" i="21"/>
  <c r="B12" i="21"/>
  <c r="B13" i="21"/>
  <c r="B14" i="21"/>
  <c r="B15" i="21"/>
  <c r="B16" i="21"/>
  <c r="B17" i="21"/>
  <c r="B18" i="21"/>
  <c r="B19" i="21"/>
  <c r="B20" i="21"/>
  <c r="B21" i="21"/>
  <c r="B22" i="21"/>
  <c r="B23" i="21"/>
  <c r="B24" i="21"/>
  <c r="B25" i="21"/>
  <c r="B26" i="21"/>
  <c r="B27" i="21" s="1"/>
  <c r="B28" i="21" s="1"/>
  <c r="B29" i="21" s="1"/>
  <c r="B30" i="21" s="1"/>
  <c r="B31" i="21" s="1"/>
  <c r="B3" i="22"/>
  <c r="B4" i="22"/>
  <c r="B5" i="22"/>
  <c r="B6" i="22"/>
  <c r="B7" i="22"/>
  <c r="B8" i="22"/>
  <c r="B9" i="22"/>
  <c r="B10" i="22"/>
  <c r="B11" i="22"/>
  <c r="B12" i="22"/>
  <c r="B13" i="22"/>
  <c r="B14" i="22"/>
  <c r="B15" i="22"/>
  <c r="B16" i="22"/>
  <c r="B17" i="22"/>
  <c r="B18" i="22"/>
  <c r="B19" i="22"/>
  <c r="B20" i="22"/>
  <c r="B21" i="22"/>
  <c r="B22" i="22"/>
  <c r="B23" i="22"/>
  <c r="B24" i="22"/>
  <c r="B25" i="22"/>
  <c r="B26" i="22"/>
  <c r="B27" i="22" s="1"/>
  <c r="B28" i="22" s="1"/>
  <c r="B29" i="22" s="1"/>
  <c r="B30" i="22" s="1"/>
  <c r="B31" i="22" s="1"/>
  <c r="J20" i="4"/>
  <c r="K20" i="4"/>
  <c r="AC30" i="4"/>
  <c r="G8" i="11"/>
  <c r="B19" i="11"/>
  <c r="F19" i="11"/>
  <c r="E29" i="10"/>
  <c r="F29" i="10" s="1"/>
  <c r="G8" i="18"/>
  <c r="B23" i="18"/>
  <c r="F23" i="18"/>
  <c r="E18" i="19"/>
  <c r="I18" i="19"/>
  <c r="F18" i="20"/>
  <c r="F17" i="20"/>
  <c r="F16" i="20"/>
  <c r="E17" i="19"/>
  <c r="I17" i="19"/>
  <c r="H31" i="19"/>
  <c r="I31" i="19"/>
  <c r="H30" i="19"/>
  <c r="I30" i="19"/>
  <c r="F28" i="19"/>
  <c r="E19" i="19"/>
  <c r="F19" i="19"/>
  <c r="AC33" i="4"/>
  <c r="AC16" i="4"/>
  <c r="AC17" i="4"/>
  <c r="AC11" i="4"/>
  <c r="AC13" i="4"/>
  <c r="I13" i="4"/>
  <c r="AD14" i="4"/>
  <c r="AD15" i="4"/>
  <c r="AD16" i="4"/>
  <c r="AD17" i="4"/>
  <c r="AD18" i="4"/>
  <c r="AD19" i="4"/>
  <c r="AD20" i="4"/>
  <c r="AD21" i="4"/>
  <c r="AD22" i="4"/>
  <c r="AD23" i="4"/>
  <c r="AD24" i="4"/>
  <c r="AE14" i="4"/>
  <c r="AE15" i="4"/>
  <c r="AE16" i="4"/>
  <c r="AE17" i="4"/>
  <c r="AE18" i="4"/>
  <c r="AE19" i="4"/>
  <c r="AE20" i="4"/>
  <c r="AE21" i="4"/>
  <c r="AE22" i="4"/>
  <c r="AE23" i="4"/>
  <c r="AE24" i="4"/>
  <c r="AE25" i="4"/>
  <c r="AE26" i="4"/>
  <c r="AE27" i="4"/>
  <c r="AE28" i="4"/>
  <c r="AE29" i="4"/>
  <c r="AC21" i="4"/>
  <c r="AC23" i="4"/>
  <c r="AC24" i="4"/>
  <c r="AC25" i="4"/>
  <c r="AC12" i="4"/>
  <c r="F20" i="18"/>
  <c r="F21" i="18"/>
  <c r="F22" i="18"/>
  <c r="F24" i="18"/>
  <c r="F28" i="18"/>
  <c r="F16" i="11"/>
  <c r="F17" i="11"/>
  <c r="F18" i="11"/>
  <c r="E17" i="10"/>
  <c r="F17" i="10"/>
  <c r="E18" i="10"/>
  <c r="D26" i="10"/>
  <c r="F26" i="10"/>
  <c r="H26" i="10"/>
  <c r="I26" i="10"/>
  <c r="I18" i="10"/>
  <c r="E19" i="10"/>
  <c r="D27" i="10"/>
  <c r="F27" i="10"/>
  <c r="H27" i="10"/>
  <c r="I27" i="10"/>
  <c r="F28" i="10"/>
  <c r="H28" i="10"/>
  <c r="I28" i="10"/>
  <c r="H30" i="10"/>
  <c r="I30" i="10"/>
  <c r="H31" i="10"/>
  <c r="I31" i="10"/>
  <c r="AC4" i="4"/>
  <c r="AD4" i="4"/>
  <c r="AE4" i="4"/>
  <c r="AC5" i="4"/>
  <c r="I5" i="4"/>
  <c r="AD5" i="4"/>
  <c r="AE5" i="4"/>
  <c r="AC6" i="4"/>
  <c r="I6" i="4"/>
  <c r="AD6" i="4"/>
  <c r="AE6" i="4"/>
  <c r="AC7" i="4"/>
  <c r="AD7" i="4"/>
  <c r="AE7" i="4"/>
  <c r="J8" i="4"/>
  <c r="K8" i="4"/>
  <c r="L7" i="4"/>
  <c r="N7" i="4"/>
  <c r="AC8" i="4"/>
  <c r="AD8" i="4"/>
  <c r="AE8" i="4"/>
  <c r="AD9" i="4"/>
  <c r="AE9" i="4"/>
  <c r="AD10" i="4"/>
  <c r="AE10" i="4"/>
  <c r="AD11" i="4"/>
  <c r="AE11" i="4"/>
  <c r="AD12" i="4"/>
  <c r="AE12" i="4"/>
  <c r="AD13" i="4"/>
  <c r="AE13" i="4"/>
  <c r="J14" i="4"/>
  <c r="K14" i="4"/>
  <c r="AC14" i="4"/>
  <c r="J15" i="4"/>
  <c r="K15" i="4"/>
  <c r="AC15" i="4"/>
  <c r="I15" i="4"/>
  <c r="J16" i="4"/>
  <c r="K16" i="4"/>
  <c r="J17" i="4"/>
  <c r="K17" i="4"/>
  <c r="J18" i="4"/>
  <c r="K18" i="4"/>
  <c r="AC18" i="4"/>
  <c r="I18" i="4"/>
  <c r="J19" i="4"/>
  <c r="K19" i="4"/>
  <c r="AC19" i="4"/>
  <c r="AC20" i="4"/>
  <c r="J21" i="4"/>
  <c r="K21" i="4"/>
  <c r="J22" i="4"/>
  <c r="K22" i="4"/>
  <c r="J23" i="4"/>
  <c r="K23" i="4"/>
  <c r="L22" i="4"/>
  <c r="N22" i="4"/>
  <c r="O22" i="4" s="1"/>
  <c r="J24" i="4"/>
  <c r="K24" i="4"/>
  <c r="J25" i="4"/>
  <c r="K25" i="4"/>
  <c r="AD25" i="4"/>
  <c r="J26" i="4"/>
  <c r="K26" i="4"/>
  <c r="AC26" i="4"/>
  <c r="I26" i="4"/>
  <c r="AD26" i="4"/>
  <c r="J27" i="4"/>
  <c r="K27" i="4"/>
  <c r="AC27" i="4"/>
  <c r="AD27" i="4"/>
  <c r="J28" i="4"/>
  <c r="K28" i="4"/>
  <c r="AC28" i="4"/>
  <c r="I28" i="4"/>
  <c r="AD28" i="4"/>
  <c r="J29" i="4"/>
  <c r="K29" i="4"/>
  <c r="I29" i="4"/>
  <c r="AD29" i="4"/>
  <c r="J30" i="4"/>
  <c r="K30" i="4"/>
  <c r="AD30" i="4"/>
  <c r="AE30" i="4"/>
  <c r="AC31" i="4"/>
  <c r="I31" i="4"/>
  <c r="AD31" i="4"/>
  <c r="AE31" i="4"/>
  <c r="J32" i="4"/>
  <c r="K32" i="4"/>
  <c r="AD32" i="4"/>
  <c r="AE32" i="4"/>
  <c r="J33" i="4"/>
  <c r="K33" i="4"/>
  <c r="AD33" i="4"/>
  <c r="AE33" i="4"/>
  <c r="AC34" i="4"/>
  <c r="AD34" i="4"/>
  <c r="AE34" i="4"/>
  <c r="AC35" i="4"/>
  <c r="AD35" i="4"/>
  <c r="AE35" i="4"/>
  <c r="J36" i="4"/>
  <c r="K36" i="4"/>
  <c r="L35" i="4"/>
  <c r="N35" i="4"/>
  <c r="O35" i="4"/>
  <c r="AC36" i="4"/>
  <c r="G36" i="4"/>
  <c r="AD36" i="4"/>
  <c r="AE36" i="4"/>
  <c r="J37" i="4"/>
  <c r="K37" i="4"/>
  <c r="L36" i="4"/>
  <c r="N36" i="4"/>
  <c r="O36" i="4"/>
  <c r="AC37" i="4"/>
  <c r="I37" i="4"/>
  <c r="AD37" i="4"/>
  <c r="AE37" i="4"/>
  <c r="J38" i="4"/>
  <c r="K38" i="4"/>
  <c r="L37" i="4"/>
  <c r="N37" i="4"/>
  <c r="O37" i="4"/>
  <c r="AC38" i="4"/>
  <c r="I38" i="4"/>
  <c r="AD38" i="4"/>
  <c r="AE38" i="4"/>
  <c r="J39" i="4"/>
  <c r="K39" i="4"/>
  <c r="L38" i="4"/>
  <c r="N38" i="4"/>
  <c r="O38" i="4"/>
  <c r="P38" i="4" s="1"/>
  <c r="AC39" i="4"/>
  <c r="AD39" i="4"/>
  <c r="AE39" i="4"/>
  <c r="J40" i="4"/>
  <c r="K40" i="4"/>
  <c r="L39" i="4"/>
  <c r="N39" i="4"/>
  <c r="O39" i="4"/>
  <c r="P39" i="4" s="1"/>
  <c r="AC40" i="4"/>
  <c r="G40" i="4"/>
  <c r="AD40" i="4"/>
  <c r="AE40" i="4"/>
  <c r="J41" i="4"/>
  <c r="K41" i="4"/>
  <c r="L40" i="4"/>
  <c r="N40" i="4"/>
  <c r="O40" i="4"/>
  <c r="P40" i="4" s="1"/>
  <c r="AC41" i="4"/>
  <c r="C41" i="4"/>
  <c r="G41" i="4"/>
  <c r="AD41" i="4"/>
  <c r="AE41" i="4"/>
  <c r="J42" i="4"/>
  <c r="K42" i="4"/>
  <c r="AC42" i="4"/>
  <c r="L42" i="4"/>
  <c r="N42" i="4"/>
  <c r="O42" i="4"/>
  <c r="C42" i="4"/>
  <c r="AD42" i="4"/>
  <c r="AE42" i="4"/>
  <c r="Q43" i="4"/>
  <c r="T43" i="4"/>
  <c r="W43" i="4"/>
  <c r="S40" i="2"/>
  <c r="U40" i="2"/>
  <c r="G38" i="4"/>
  <c r="G39" i="4"/>
  <c r="H28" i="19"/>
  <c r="I28" i="19"/>
  <c r="C36" i="4"/>
  <c r="G37" i="4"/>
  <c r="I35" i="4"/>
  <c r="I25" i="4"/>
  <c r="I34" i="4"/>
  <c r="E42" i="4"/>
  <c r="E36" i="4"/>
  <c r="I39" i="4"/>
  <c r="G42" i="4"/>
  <c r="E39" i="4"/>
  <c r="C39" i="4"/>
  <c r="C40" i="4"/>
  <c r="E40" i="4"/>
  <c r="C38" i="4"/>
  <c r="I36" i="4"/>
  <c r="I24" i="4"/>
  <c r="I17" i="4"/>
  <c r="I7" i="4"/>
  <c r="I40" i="4"/>
  <c r="C37" i="4"/>
  <c r="L41" i="4"/>
  <c r="N41" i="4"/>
  <c r="O41" i="4"/>
  <c r="P41" i="4" s="1"/>
  <c r="E41" i="4"/>
  <c r="I42" i="4"/>
  <c r="E37" i="4"/>
  <c r="E38" i="4"/>
  <c r="I41" i="4"/>
  <c r="I27" i="4"/>
  <c r="I23" i="4"/>
  <c r="I11" i="4"/>
  <c r="I14" i="4"/>
  <c r="I33" i="4"/>
  <c r="I19" i="4"/>
  <c r="I22" i="4"/>
  <c r="B13" i="18"/>
  <c r="F13" i="18"/>
  <c r="H29" i="10"/>
  <c r="I29" i="10"/>
  <c r="I8" i="4"/>
  <c r="I20" i="4"/>
  <c r="I32" i="4"/>
  <c r="H33" i="2"/>
  <c r="F21" i="20"/>
  <c r="E20" i="19"/>
  <c r="F17" i="19"/>
  <c r="D25" i="19"/>
  <c r="F25" i="19"/>
  <c r="I19" i="19"/>
  <c r="D26" i="19"/>
  <c r="F26" i="19"/>
  <c r="H26" i="19"/>
  <c r="I26" i="19"/>
  <c r="D27" i="19"/>
  <c r="F27" i="19"/>
  <c r="H27" i="19"/>
  <c r="I27" i="19"/>
  <c r="F18" i="19"/>
  <c r="F22" i="20"/>
  <c r="F24" i="20"/>
  <c r="F25" i="20"/>
  <c r="F32" i="19"/>
  <c r="H25" i="19"/>
  <c r="I25" i="19"/>
  <c r="I32" i="19"/>
  <c r="I10" i="4"/>
  <c r="I17" i="10"/>
  <c r="F19" i="10"/>
  <c r="B13" i="11"/>
  <c r="F13" i="11"/>
  <c r="F20" i="11" s="1"/>
  <c r="I16" i="4"/>
  <c r="H19" i="2"/>
  <c r="H23" i="2"/>
  <c r="H27" i="2"/>
  <c r="H28" i="2"/>
  <c r="H22" i="2"/>
  <c r="H32" i="2"/>
  <c r="J11" i="21"/>
  <c r="H24" i="2"/>
  <c r="Q25" i="2"/>
  <c r="I19" i="10"/>
  <c r="E20" i="10"/>
  <c r="D25" i="10"/>
  <c r="F25" i="10"/>
  <c r="F32" i="10"/>
  <c r="H25" i="10"/>
  <c r="I25" i="10"/>
  <c r="I32" i="10"/>
  <c r="F18" i="10"/>
  <c r="J26" i="21"/>
  <c r="Q38" i="2"/>
  <c r="O16" i="2"/>
  <c r="O38" i="2"/>
  <c r="J21" i="21"/>
  <c r="O20" i="2"/>
  <c r="Q19" i="2"/>
  <c r="H15" i="2"/>
  <c r="Q17" i="2"/>
  <c r="O21" i="2"/>
  <c r="O22" i="2"/>
  <c r="H29" i="2"/>
  <c r="O30" i="2"/>
  <c r="Q35" i="2"/>
  <c r="Q30" i="2"/>
  <c r="O18" i="2"/>
  <c r="O29" i="2"/>
  <c r="O19" i="2"/>
  <c r="O24" i="2"/>
  <c r="Q29" i="2"/>
  <c r="Q24" i="2"/>
  <c r="F25" i="18"/>
  <c r="F29" i="18"/>
  <c r="F21" i="11"/>
  <c r="F23" i="11"/>
  <c r="F24" i="11"/>
  <c r="F2" i="21"/>
  <c r="I21" i="4"/>
  <c r="I12" i="4"/>
  <c r="L23" i="4"/>
  <c r="N23" i="4"/>
  <c r="O23" i="4"/>
  <c r="L17" i="4"/>
  <c r="N17" i="4"/>
  <c r="O17" i="4"/>
  <c r="L13" i="4"/>
  <c r="N13" i="4"/>
  <c r="O13" i="4"/>
  <c r="L10" i="4"/>
  <c r="N10" i="4"/>
  <c r="O10" i="4"/>
  <c r="L31" i="4"/>
  <c r="N31" i="4"/>
  <c r="O31" i="4"/>
  <c r="L28" i="4"/>
  <c r="N28" i="4"/>
  <c r="O28" i="4"/>
  <c r="L16" i="4"/>
  <c r="N16" i="4"/>
  <c r="O16" i="4"/>
  <c r="L14" i="4"/>
  <c r="N14" i="4"/>
  <c r="O14" i="4"/>
  <c r="L27" i="4"/>
  <c r="N27" i="4"/>
  <c r="O27" i="4"/>
  <c r="L34" i="4"/>
  <c r="N34" i="4"/>
  <c r="O34" i="4"/>
  <c r="L30" i="4"/>
  <c r="N30" i="4"/>
  <c r="O30" i="4"/>
  <c r="L18" i="4"/>
  <c r="N18" i="4"/>
  <c r="O18" i="4"/>
  <c r="L21" i="4"/>
  <c r="N21" i="4"/>
  <c r="O21" i="4"/>
  <c r="L29" i="4"/>
  <c r="N29" i="4"/>
  <c r="O29" i="4"/>
  <c r="L24" i="4"/>
  <c r="N24" i="4"/>
  <c r="O24" i="4"/>
  <c r="L12" i="4"/>
  <c r="N12" i="4"/>
  <c r="O12" i="4"/>
  <c r="L11" i="4"/>
  <c r="N11" i="4"/>
  <c r="O11" i="4"/>
  <c r="L32" i="4"/>
  <c r="N32" i="4"/>
  <c r="O32" i="4"/>
  <c r="P32" i="4" s="1"/>
  <c r="L26" i="4"/>
  <c r="N26" i="4"/>
  <c r="O26" i="4"/>
  <c r="L25" i="4"/>
  <c r="N25" i="4"/>
  <c r="O25" i="4"/>
  <c r="L19" i="4"/>
  <c r="N19" i="4"/>
  <c r="O19" i="4"/>
  <c r="L20" i="4"/>
  <c r="N20" i="4"/>
  <c r="O20" i="4"/>
  <c r="L33" i="4"/>
  <c r="N33" i="4"/>
  <c r="O33" i="4"/>
  <c r="L15" i="4"/>
  <c r="N15" i="4"/>
  <c r="O15" i="4"/>
  <c r="Q21" i="2"/>
  <c r="Q26" i="2"/>
  <c r="J23" i="21"/>
  <c r="Q27" i="2"/>
  <c r="O27" i="2"/>
  <c r="J25" i="21"/>
  <c r="O33" i="2"/>
  <c r="E2" i="21"/>
  <c r="J2" i="21"/>
  <c r="Q11" i="2"/>
  <c r="O7" i="4"/>
  <c r="J3" i="21"/>
  <c r="J22" i="21"/>
  <c r="J15" i="21"/>
  <c r="J17" i="21"/>
  <c r="J9" i="21"/>
  <c r="J24" i="21"/>
  <c r="J10" i="21"/>
  <c r="J20" i="21"/>
  <c r="J12" i="21"/>
  <c r="H10" i="2"/>
  <c r="E2" i="22"/>
  <c r="J19" i="21"/>
  <c r="M40" i="2"/>
  <c r="I44" i="2"/>
  <c r="L44" i="2"/>
  <c r="N40" i="2"/>
  <c r="I45" i="2"/>
  <c r="L45" i="2"/>
  <c r="Q16" i="2"/>
  <c r="J8" i="21"/>
  <c r="Q44" i="4"/>
  <c r="AC44" i="4"/>
  <c r="K48" i="4" s="1"/>
  <c r="L48" i="4" s="1"/>
  <c r="M48" i="4" s="1"/>
  <c r="L9" i="4"/>
  <c r="N9" i="4"/>
  <c r="AC43" i="4"/>
  <c r="I9" i="4"/>
  <c r="O9" i="4"/>
  <c r="V38" i="2" l="1"/>
  <c r="X38" i="2" s="1"/>
  <c r="G26" i="4"/>
  <c r="E26" i="4"/>
  <c r="C26" i="4"/>
  <c r="G12" i="4"/>
  <c r="E12" i="4"/>
  <c r="C12" i="4"/>
  <c r="G27" i="4"/>
  <c r="E27" i="4"/>
  <c r="C27" i="4"/>
  <c r="G22" i="4"/>
  <c r="E22" i="4"/>
  <c r="C22" i="4"/>
  <c r="G29" i="4"/>
  <c r="E29" i="4"/>
  <c r="C29" i="4"/>
  <c r="G24" i="4"/>
  <c r="E24" i="4"/>
  <c r="C24" i="4"/>
  <c r="G15" i="4"/>
  <c r="E15" i="4"/>
  <c r="C15" i="4"/>
  <c r="G13" i="4"/>
  <c r="E13" i="4"/>
  <c r="C13" i="4"/>
  <c r="G34" i="4"/>
  <c r="E34" i="4"/>
  <c r="C34" i="4"/>
  <c r="G23" i="4"/>
  <c r="E23" i="4"/>
  <c r="C23" i="4"/>
  <c r="G18" i="4"/>
  <c r="E18" i="4"/>
  <c r="C18" i="4"/>
  <c r="G20" i="4"/>
  <c r="E20" i="4"/>
  <c r="C20" i="4"/>
  <c r="G11" i="4"/>
  <c r="E11" i="4"/>
  <c r="C11" i="4"/>
  <c r="L5" i="4"/>
  <c r="N5" i="4" s="1"/>
  <c r="O5" i="4" s="1"/>
  <c r="G5" i="4"/>
  <c r="E5" i="4"/>
  <c r="C5" i="4"/>
  <c r="G25" i="4"/>
  <c r="E25" i="4"/>
  <c r="C25" i="4"/>
  <c r="G7" i="4"/>
  <c r="E7" i="4"/>
  <c r="C7" i="4"/>
  <c r="L40" i="2"/>
  <c r="G10" i="4"/>
  <c r="E10" i="4"/>
  <c r="C10" i="4"/>
  <c r="G32" i="4"/>
  <c r="E32" i="4"/>
  <c r="C32" i="4"/>
  <c r="G19" i="4"/>
  <c r="E19" i="4"/>
  <c r="C19" i="4"/>
  <c r="L6" i="4"/>
  <c r="N6" i="4" s="1"/>
  <c r="O6" i="4" s="1"/>
  <c r="G6" i="4"/>
  <c r="E6" i="4"/>
  <c r="C6" i="4"/>
  <c r="G9" i="4"/>
  <c r="E9" i="4"/>
  <c r="C9" i="4"/>
  <c r="Q14" i="2"/>
  <c r="O14" i="2"/>
  <c r="L8" i="4"/>
  <c r="N8" i="4" s="1"/>
  <c r="O8" i="4" s="1"/>
  <c r="J14" i="21"/>
  <c r="I4" i="4"/>
  <c r="L4" i="4"/>
  <c r="N4" i="4" s="1"/>
  <c r="M19" i="22" l="1"/>
  <c r="M20" i="22"/>
  <c r="M14" i="22"/>
  <c r="M10" i="22"/>
  <c r="M25" i="22"/>
  <c r="M13" i="22"/>
  <c r="M11" i="22"/>
  <c r="M24" i="22"/>
  <c r="M15" i="22"/>
  <c r="M18" i="22"/>
  <c r="M26" i="22"/>
  <c r="M21" i="22"/>
  <c r="M9" i="22"/>
  <c r="M23" i="22"/>
  <c r="M22" i="22"/>
  <c r="M16" i="22"/>
  <c r="M17" i="22"/>
  <c r="M12" i="22"/>
  <c r="O15" i="2"/>
  <c r="Q15" i="2"/>
  <c r="O13" i="2"/>
  <c r="Q13" i="2"/>
  <c r="Q12" i="2"/>
  <c r="Q40" i="2" s="1"/>
  <c r="O12" i="2"/>
  <c r="O40" i="2" s="1"/>
  <c r="M8" i="22"/>
  <c r="H16" i="2"/>
  <c r="H14" i="2"/>
  <c r="H13" i="2"/>
  <c r="H12" i="2"/>
  <c r="H11" i="2"/>
  <c r="H40" i="2" s="1"/>
  <c r="O4" i="4"/>
  <c r="N43" i="4"/>
  <c r="M3" i="22"/>
  <c r="I47" i="2" l="1"/>
  <c r="L47" i="2" s="1"/>
  <c r="N47" i="2" s="1"/>
  <c r="I43" i="2"/>
  <c r="L43" i="2" s="1"/>
  <c r="N43" i="2" s="1"/>
  <c r="N46" i="2" s="1"/>
  <c r="J4" i="21"/>
  <c r="M4" i="22"/>
  <c r="J5" i="21"/>
  <c r="M5" i="22"/>
  <c r="M6" i="22"/>
  <c r="J6" i="21"/>
  <c r="M7" i="22"/>
  <c r="J7" i="21"/>
  <c r="O43" i="4"/>
  <c r="P43" i="4" s="1"/>
  <c r="K47" i="4"/>
  <c r="X40" i="2"/>
  <c r="G2" i="22" l="1"/>
  <c r="M2" i="22" s="1"/>
  <c r="V40" i="2"/>
  <c r="L47" i="4"/>
  <c r="M47" i="4"/>
  <c r="I48" i="2" l="1"/>
  <c r="L48" i="2" s="1"/>
  <c r="N48" i="2" s="1"/>
</calcChain>
</file>

<file path=xl/sharedStrings.xml><?xml version="1.0" encoding="utf-8"?>
<sst xmlns="http://schemas.openxmlformats.org/spreadsheetml/2006/main" count="482" uniqueCount="186">
  <si>
    <t>Site Name</t>
  </si>
  <si>
    <t>Day</t>
  </si>
  <si>
    <t>Month</t>
  </si>
  <si>
    <t>Year</t>
  </si>
  <si>
    <t>Total Electricity Kwh</t>
  </si>
  <si>
    <t>Electricity Tariff ($/Kwh)</t>
  </si>
  <si>
    <t xml:space="preserve">LPG (Kg) </t>
  </si>
  <si>
    <t>LPG $/Kg</t>
  </si>
  <si>
    <t>Water Utility Supply (m3) m3</t>
  </si>
  <si>
    <t>Water Utility Supply (m3) $/m3</t>
  </si>
  <si>
    <t xml:space="preserve">Room Nights </t>
  </si>
  <si>
    <t xml:space="preserve">Total Guests </t>
  </si>
  <si>
    <t>Utilities day cost dh</t>
  </si>
  <si>
    <t>Casablanca</t>
  </si>
  <si>
    <t xml:space="preserve">Creuse 81 - KWh </t>
  </si>
  <si>
    <t>Pleine 82-KWh</t>
  </si>
  <si>
    <t>Pointe 83 - KWh</t>
  </si>
  <si>
    <t>Consommation mensuel Eau /électricité/Gaz</t>
  </si>
  <si>
    <t xml:space="preserve"> </t>
  </si>
  <si>
    <t>Date</t>
  </si>
  <si>
    <t>ROOM Nights</t>
  </si>
  <si>
    <t>Guests</t>
  </si>
  <si>
    <t>Cons Eau/Hotel</t>
  </si>
  <si>
    <t>Consommation du jour en DH</t>
  </si>
  <si>
    <t>date / électr</t>
  </si>
  <si>
    <t>ELECTRICITE en KWH</t>
  </si>
  <si>
    <t>total</t>
  </si>
  <si>
    <t>Cons Elec/Villa</t>
  </si>
  <si>
    <t>Cons Elec/RIAD</t>
  </si>
  <si>
    <t>GAZ en Kg</t>
  </si>
  <si>
    <t>creuse 81</t>
  </si>
  <si>
    <t>pleine 82</t>
  </si>
  <si>
    <t>pointe 83</t>
  </si>
  <si>
    <t>Désignation</t>
  </si>
  <si>
    <t xml:space="preserve">COUTS </t>
  </si>
  <si>
    <t xml:space="preserve">Consommations </t>
  </si>
  <si>
    <t>Consommations /DHs</t>
  </si>
  <si>
    <t>TOTAL Consommations /DHs</t>
  </si>
  <si>
    <t>ELECTRICITE /        Kw/h</t>
  </si>
  <si>
    <t>EAU HOTEL M3</t>
  </si>
  <si>
    <t>GAZ  Kg</t>
  </si>
  <si>
    <t>Suivi  Compteur  d'Eau- électricité Lydec- AVRIL 2022</t>
  </si>
  <si>
    <t>Département Engineering 2022</t>
  </si>
  <si>
    <t>Date/électriqie</t>
  </si>
  <si>
    <t>Incendie</t>
  </si>
  <si>
    <t>Eau m3</t>
  </si>
  <si>
    <t>Electricité Kw/h</t>
  </si>
  <si>
    <t>Compteur</t>
  </si>
  <si>
    <t>Consommation</t>
  </si>
  <si>
    <t xml:space="preserve">Consommation </t>
  </si>
  <si>
    <t>Compteur H.Creuse</t>
  </si>
  <si>
    <t>Consommation  H.Creuse</t>
  </si>
  <si>
    <t>Compteur H.Pleine</t>
  </si>
  <si>
    <t>Consommation H.Pleine</t>
  </si>
  <si>
    <t>Compteur H.Pointe</t>
  </si>
  <si>
    <t>Consommation  H.Pointe</t>
  </si>
  <si>
    <t xml:space="preserve">      </t>
  </si>
  <si>
    <t>suivi Gaz AVRIL 2022</t>
  </si>
  <si>
    <t>Relvé C1</t>
  </si>
  <si>
    <t>cons C1</t>
  </si>
  <si>
    <t>Relvé C2</t>
  </si>
  <si>
    <t>cons C2</t>
  </si>
  <si>
    <t>Relvé C3</t>
  </si>
  <si>
    <t>cons C3</t>
  </si>
  <si>
    <t>Relvé C4</t>
  </si>
  <si>
    <t>cons C4</t>
  </si>
  <si>
    <t>∑ des relevés</t>
  </si>
  <si>
    <t xml:space="preserve">moyen general % </t>
  </si>
  <si>
    <t>con.j</t>
  </si>
  <si>
    <t xml:space="preserve">∑ de volume en L </t>
  </si>
  <si>
    <t>cons./jen L</t>
  </si>
  <si>
    <t>cons./jen Kg</t>
  </si>
  <si>
    <t>cons./jen DH</t>
  </si>
  <si>
    <t xml:space="preserve">livraison C1 </t>
  </si>
  <si>
    <t>%Avant</t>
  </si>
  <si>
    <t>% Après</t>
  </si>
  <si>
    <t>livraison C2</t>
  </si>
  <si>
    <t>livraison C3</t>
  </si>
  <si>
    <t>livraison C4</t>
  </si>
  <si>
    <t>total livraison litre</t>
  </si>
  <si>
    <t>moyen general % Avant L</t>
  </si>
  <si>
    <t>moyen general % Aaprés L</t>
  </si>
  <si>
    <t>Litre</t>
  </si>
  <si>
    <t>Kg</t>
  </si>
  <si>
    <t>DH</t>
  </si>
  <si>
    <t xml:space="preserve">Consommation du mois </t>
  </si>
  <si>
    <t xml:space="preserve">Livraison  du mois </t>
  </si>
  <si>
    <t xml:space="preserve">      Estimation  de la consommation électrique Avril 2022</t>
  </si>
  <si>
    <t>Fiche technique</t>
  </si>
  <si>
    <t>DT fourseasons CBL</t>
  </si>
  <si>
    <t>N° de compteur</t>
  </si>
  <si>
    <t>Ancienne date de lecture</t>
  </si>
  <si>
    <t>Nouvelle date de lecture</t>
  </si>
  <si>
    <t>N de jours de consommation</t>
  </si>
  <si>
    <t xml:space="preserve">Heures pleines </t>
  </si>
  <si>
    <t>Heures creuses</t>
  </si>
  <si>
    <t>Heures de pointe</t>
  </si>
  <si>
    <t>30jours</t>
  </si>
  <si>
    <t>Type de comptage</t>
  </si>
  <si>
    <t>Puissance installée KVA</t>
  </si>
  <si>
    <t>Puissance souscrite KVA</t>
  </si>
  <si>
    <t>Puissance appelée KVA</t>
  </si>
  <si>
    <t>Dépassement de la puissance souscrite KVA</t>
  </si>
  <si>
    <t>4T</t>
  </si>
  <si>
    <t>Eléments de relève</t>
  </si>
  <si>
    <t>Nouvel Index</t>
  </si>
  <si>
    <t>Ancien Index</t>
  </si>
  <si>
    <t>Energie révaluée</t>
  </si>
  <si>
    <t>Consommation Compteur démarquant</t>
  </si>
  <si>
    <t>Energie à facturer</t>
  </si>
  <si>
    <t>HEURES PLEINE</t>
  </si>
  <si>
    <t>HEURES CREUSES</t>
  </si>
  <si>
    <t>HEURES DE POINTE</t>
  </si>
  <si>
    <t>TOTAL</t>
  </si>
  <si>
    <t xml:space="preserve">                                       </t>
  </si>
  <si>
    <t>Détail de la facture</t>
  </si>
  <si>
    <t>Quantité</t>
  </si>
  <si>
    <t>Prix unitaire</t>
  </si>
  <si>
    <t>Montant HT</t>
  </si>
  <si>
    <t>TVA</t>
  </si>
  <si>
    <t>Montant TTC</t>
  </si>
  <si>
    <t>Taux %</t>
  </si>
  <si>
    <t>Montant</t>
  </si>
  <si>
    <t>ENERGIE ACTIVE H. PLEINES</t>
  </si>
  <si>
    <t>ENERGIE ACTIVE H. CREUSES</t>
  </si>
  <si>
    <t>ENETGIE ACTIVE H. DE POINTE</t>
  </si>
  <si>
    <t>REDEVANCE DE PUISSANCE</t>
  </si>
  <si>
    <t>DEPASSEMENT DE PUISSANCE</t>
  </si>
  <si>
    <t>ENTRETIEN COMPTAGE</t>
  </si>
  <si>
    <t>LOCATION COMPTAGE</t>
  </si>
  <si>
    <t>Total</t>
  </si>
  <si>
    <t>01jours</t>
  </si>
  <si>
    <t>Estimation de la consommation d'Eau Sanitaire Avril 2022</t>
  </si>
  <si>
    <t>Type de relevé</t>
  </si>
  <si>
    <t>Ancien index</t>
  </si>
  <si>
    <t>Nouvel index</t>
  </si>
  <si>
    <t>Consommation M3</t>
  </si>
  <si>
    <t>RELEVEE</t>
  </si>
  <si>
    <t>Prix unitaire HT</t>
  </si>
  <si>
    <t xml:space="preserve">Montant HT </t>
  </si>
  <si>
    <t>Redevances Fixes</t>
  </si>
  <si>
    <t>Consommation eau</t>
  </si>
  <si>
    <t>Tranche unique</t>
  </si>
  <si>
    <t>Assainissement</t>
  </si>
  <si>
    <t>Tranche 1</t>
  </si>
  <si>
    <t>Tranche 2</t>
  </si>
  <si>
    <t>Tranche 3</t>
  </si>
  <si>
    <t>Tranche 4</t>
  </si>
  <si>
    <t>Total HT</t>
  </si>
  <si>
    <t>TVA 7%</t>
  </si>
  <si>
    <t>Timbres Fiscaux</t>
  </si>
  <si>
    <t>Total Taxes</t>
  </si>
  <si>
    <t>Net à payer</t>
  </si>
  <si>
    <t>Tranche 5</t>
  </si>
  <si>
    <t>Estimation de la consommation d'Eau incendie Avril 2022</t>
  </si>
  <si>
    <t>Tranche unique 1</t>
  </si>
  <si>
    <t>Tranche unique 2</t>
  </si>
  <si>
    <t>Tranche unique 3</t>
  </si>
  <si>
    <t>Tranche unique 4</t>
  </si>
  <si>
    <t>Tranche unique 5</t>
  </si>
  <si>
    <t>électricité en KW</t>
  </si>
  <si>
    <t>Janvier</t>
  </si>
  <si>
    <t>Février</t>
  </si>
  <si>
    <t xml:space="preserve">Mars </t>
  </si>
  <si>
    <t>avril</t>
  </si>
  <si>
    <t xml:space="preserve">Mai </t>
  </si>
  <si>
    <t xml:space="preserve">juin </t>
  </si>
  <si>
    <t>Juillet</t>
  </si>
  <si>
    <t xml:space="preserve">aout </t>
  </si>
  <si>
    <t>Septembre</t>
  </si>
  <si>
    <t>Octobre</t>
  </si>
  <si>
    <t>Novembre</t>
  </si>
  <si>
    <t>Décembre</t>
  </si>
  <si>
    <t>Année 2015</t>
  </si>
  <si>
    <t>Année 2016</t>
  </si>
  <si>
    <t>Année 2017</t>
  </si>
  <si>
    <t>Année 2018</t>
  </si>
  <si>
    <t>Année 2019</t>
  </si>
  <si>
    <t>Année 2020</t>
  </si>
  <si>
    <t>Année 2021</t>
  </si>
  <si>
    <t>Année 2022</t>
  </si>
  <si>
    <t>électricité en DH HT</t>
  </si>
  <si>
    <t>L'eau en M3</t>
  </si>
  <si>
    <t>L'eau en DH HT</t>
  </si>
  <si>
    <t>Gaz en KG</t>
  </si>
  <si>
    <t>GAZ en  DH HT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</si>
</sst>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* #,##0\ _€_-;\-* #,##0\ _€_-;_-* &quot;-&quot;\ _€_-;_-@_-"/>
    <numFmt numFmtId="165" formatCode="[$-40C]d\-mmm;@"/>
  </numFmts>
  <fonts count="49" x14ac:knownFonts="1">
    <font>
      <sz val="10"/>
      <name val="Arial"/>
    </font>
    <font>
      <b/>
      <sz val="14"/>
      <name val="Arial"/>
      <family val="2"/>
    </font>
    <font>
      <b/>
      <sz val="14"/>
      <color indexed="9"/>
      <name val="Arial"/>
      <family val="2"/>
    </font>
    <font>
      <sz val="14"/>
      <name val="Arial"/>
      <family val="2"/>
    </font>
    <font>
      <b/>
      <sz val="14"/>
      <color indexed="12"/>
      <name val="Arial"/>
      <family val="2"/>
    </font>
    <font>
      <b/>
      <sz val="14"/>
      <color indexed="52"/>
      <name val="Arial"/>
      <family val="2"/>
    </font>
    <font>
      <b/>
      <sz val="16"/>
      <name val="Arial"/>
      <family val="2"/>
    </font>
    <font>
      <b/>
      <sz val="16"/>
      <name val="Times New Roman"/>
      <family val="1"/>
    </font>
    <font>
      <sz val="10"/>
      <name val="Arial"/>
      <family val="2"/>
    </font>
    <font>
      <b/>
      <sz val="12"/>
      <name val="Arial"/>
      <family val="2"/>
    </font>
    <font>
      <b/>
      <sz val="36"/>
      <name val="Arial"/>
      <family val="2"/>
    </font>
    <font>
      <b/>
      <sz val="20"/>
      <name val="Arial"/>
      <family val="2"/>
    </font>
    <font>
      <b/>
      <sz val="20"/>
      <color indexed="10"/>
      <name val="Arial"/>
      <family val="2"/>
    </font>
    <font>
      <sz val="8"/>
      <name val="Arial"/>
      <family val="2"/>
    </font>
    <font>
      <b/>
      <sz val="10"/>
      <name val="Arial"/>
      <family val="2"/>
    </font>
    <font>
      <b/>
      <sz val="18"/>
      <color indexed="9"/>
      <name val="Arial"/>
      <family val="2"/>
    </font>
    <font>
      <sz val="10"/>
      <color indexed="8"/>
      <name val="Comic Sans MS"/>
      <family val="4"/>
    </font>
    <font>
      <b/>
      <sz val="36"/>
      <color indexed="8"/>
      <name val="Comic Sans MS"/>
      <family val="4"/>
    </font>
    <font>
      <b/>
      <sz val="10"/>
      <color indexed="8"/>
      <name val="Comic Sans MS"/>
      <family val="4"/>
    </font>
    <font>
      <b/>
      <sz val="12"/>
      <color indexed="8"/>
      <name val="Comic Sans MS"/>
      <family val="4"/>
    </font>
    <font>
      <sz val="10"/>
      <name val="Arial"/>
      <family val="2"/>
    </font>
    <font>
      <b/>
      <sz val="15"/>
      <name val="Arial"/>
      <family val="2"/>
    </font>
    <font>
      <b/>
      <sz val="14"/>
      <color indexed="8"/>
      <name val="Comic Sans MS"/>
      <family val="4"/>
    </font>
    <font>
      <b/>
      <i/>
      <sz val="10"/>
      <name val="Arial"/>
      <family val="2"/>
    </font>
    <font>
      <b/>
      <i/>
      <sz val="16"/>
      <name val="Arial"/>
      <family val="2"/>
    </font>
    <font>
      <b/>
      <sz val="18"/>
      <color indexed="10"/>
      <name val="Arial"/>
      <family val="2"/>
    </font>
    <font>
      <b/>
      <sz val="12"/>
      <name val="Comic Sans MS"/>
      <family val="4"/>
    </font>
    <font>
      <b/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color theme="9" tint="-0.249977111117893"/>
      <name val="Calibri"/>
      <family val="2"/>
      <scheme val="minor"/>
    </font>
    <font>
      <b/>
      <sz val="11"/>
      <color theme="9" tint="-0.249977111117893"/>
      <name val="Calibri"/>
      <family val="2"/>
      <scheme val="minor"/>
    </font>
    <font>
      <b/>
      <u/>
      <sz val="12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sz val="20"/>
      <color rgb="FFFF0000"/>
      <name val="Arial"/>
      <family val="2"/>
    </font>
    <font>
      <b/>
      <sz val="11"/>
      <color rgb="FFFF0000"/>
      <name val="Calibri"/>
      <family val="2"/>
      <scheme val="minor"/>
    </font>
    <font>
      <sz val="10"/>
      <color rgb="FFFF0000"/>
      <name val="Arial"/>
      <family val="2"/>
    </font>
    <font>
      <b/>
      <sz val="16"/>
      <color rgb="FFFF0000"/>
      <name val="Times New Roman"/>
      <family val="1"/>
    </font>
    <font>
      <b/>
      <sz val="16"/>
      <color theme="1"/>
      <name val="Times New Roman"/>
      <family val="1"/>
    </font>
    <font>
      <b/>
      <sz val="14"/>
      <color rgb="FFFF0000"/>
      <name val="Arial"/>
      <family val="2"/>
    </font>
    <font>
      <b/>
      <sz val="1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i/>
      <sz val="11"/>
      <name val="Calibri"/>
      <family val="2"/>
      <scheme val="minor"/>
    </font>
    <font>
      <b/>
      <sz val="12"/>
      <color theme="8" tint="-0.499984740745262"/>
      <name val="Calibri"/>
      <family val="2"/>
      <scheme val="minor"/>
    </font>
    <font>
      <b/>
      <u/>
      <sz val="11"/>
      <color theme="8" tint="-0.499984740745262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4"/>
      <color theme="8" tint="-0.499984740745262"/>
      <name val="Calibri"/>
      <family val="2"/>
      <scheme val="minor"/>
    </font>
  </fonts>
  <fills count="32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12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6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FF"/>
        <bgColor indexed="64"/>
      </patternFill>
    </fill>
  </fills>
  <borders count="60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double">
        <color indexed="64"/>
      </left>
      <right/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double">
        <color indexed="64"/>
      </left>
      <right style="double">
        <color indexed="64"/>
      </right>
      <top/>
      <bottom style="double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double">
        <color indexed="64"/>
      </left>
      <right style="double">
        <color indexed="64"/>
      </right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/>
      <bottom style="double">
        <color indexed="64"/>
      </bottom>
      <diagonal/>
    </border>
    <border>
      <left style="thin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</borders>
  <cellStyleXfs count="3">
    <xf numFmtId="0" fontId="0" fillId="0" borderId="0"/>
    <xf numFmtId="0" fontId="8" fillId="0" borderId="0"/>
    <xf numFmtId="0" fontId="20" fillId="0" borderId="0"/>
  </cellStyleXfs>
  <cellXfs count="437">
    <xf numFmtId="0" fontId="0" fillId="0" borderId="0" xfId="0"/>
    <xf numFmtId="0" fontId="2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4" fillId="2" borderId="0" xfId="0" applyFont="1" applyFill="1" applyAlignment="1">
      <alignment horizontal="center" vertical="center" wrapText="1"/>
    </xf>
    <xf numFmtId="0" fontId="4" fillId="2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14" fontId="4" fillId="3" borderId="1" xfId="0" applyNumberFormat="1" applyFont="1" applyFill="1" applyBorder="1" applyAlignment="1">
      <alignment horizontal="center" vertical="center"/>
    </xf>
    <xf numFmtId="14" fontId="4" fillId="2" borderId="0" xfId="0" applyNumberFormat="1" applyFont="1" applyFill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14" fontId="5" fillId="2" borderId="0" xfId="0" applyNumberFormat="1" applyFont="1" applyFill="1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0" fontId="7" fillId="2" borderId="0" xfId="0" applyFont="1" applyFill="1" applyAlignment="1">
      <alignment horizontal="center" vertical="center"/>
    </xf>
    <xf numFmtId="0" fontId="7" fillId="5" borderId="2" xfId="0" applyFont="1" applyFill="1" applyBorder="1" applyAlignment="1">
      <alignment horizontal="center" vertical="center"/>
    </xf>
    <xf numFmtId="0" fontId="6" fillId="2" borderId="0" xfId="0" applyFont="1" applyFill="1" applyAlignment="1" applyProtection="1">
      <alignment horizontal="center" vertical="center"/>
      <protection locked="0"/>
    </xf>
    <xf numFmtId="14" fontId="1" fillId="2" borderId="0" xfId="0" applyNumberFormat="1" applyFont="1" applyFill="1" applyAlignment="1">
      <alignment horizontal="center" vertical="center"/>
    </xf>
    <xf numFmtId="0" fontId="1" fillId="6" borderId="5" xfId="0" applyFont="1" applyFill="1" applyBorder="1" applyAlignment="1">
      <alignment horizontal="center" vertical="center" wrapText="1"/>
    </xf>
    <xf numFmtId="0" fontId="1" fillId="6" borderId="6" xfId="0" applyFont="1" applyFill="1" applyBorder="1" applyAlignment="1">
      <alignment horizontal="center" vertical="center" wrapText="1"/>
    </xf>
    <xf numFmtId="0" fontId="3" fillId="2" borderId="0" xfId="0" applyFont="1" applyFill="1" applyAlignment="1">
      <alignment horizontal="center" vertical="center" wrapText="1"/>
    </xf>
    <xf numFmtId="0" fontId="1" fillId="6" borderId="1" xfId="0" applyFont="1" applyFill="1" applyBorder="1" applyAlignment="1">
      <alignment horizontal="center" vertical="center" wrapText="1"/>
    </xf>
    <xf numFmtId="0" fontId="1" fillId="6" borderId="8" xfId="0" applyFont="1" applyFill="1" applyBorder="1" applyAlignment="1">
      <alignment horizontal="center" vertical="center" wrapText="1"/>
    </xf>
    <xf numFmtId="0" fontId="1" fillId="5" borderId="5" xfId="0" applyFont="1" applyFill="1" applyBorder="1" applyAlignment="1">
      <alignment horizontal="center" vertical="center" wrapText="1"/>
    </xf>
    <xf numFmtId="0" fontId="1" fillId="5" borderId="6" xfId="0" applyFont="1" applyFill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1" fillId="7" borderId="5" xfId="0" applyFont="1" applyFill="1" applyBorder="1" applyAlignment="1">
      <alignment horizontal="center" vertical="center" wrapText="1"/>
    </xf>
    <xf numFmtId="0" fontId="1" fillId="7" borderId="1" xfId="0" applyFont="1" applyFill="1" applyBorder="1" applyAlignment="1">
      <alignment horizontal="center" vertical="center" wrapText="1"/>
    </xf>
    <xf numFmtId="0" fontId="1" fillId="3" borderId="6" xfId="0" applyFont="1" applyFill="1" applyBorder="1" applyAlignment="1">
      <alignment vertical="center"/>
    </xf>
    <xf numFmtId="0" fontId="1" fillId="3" borderId="1" xfId="0" applyFont="1" applyFill="1" applyBorder="1" applyAlignment="1">
      <alignment horizontal="center" vertical="center"/>
    </xf>
    <xf numFmtId="1" fontId="7" fillId="6" borderId="9" xfId="0" applyNumberFormat="1" applyFont="1" applyFill="1" applyBorder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15" fillId="4" borderId="1" xfId="0" applyFont="1" applyFill="1" applyBorder="1" applyAlignment="1">
      <alignment horizontal="center" vertical="center"/>
    </xf>
    <xf numFmtId="0" fontId="15" fillId="2" borderId="0" xfId="0" applyFont="1" applyFill="1" applyAlignment="1">
      <alignment horizontal="center" vertical="center"/>
    </xf>
    <xf numFmtId="2" fontId="15" fillId="4" borderId="1" xfId="0" applyNumberFormat="1" applyFont="1" applyFill="1" applyBorder="1" applyAlignment="1">
      <alignment horizontal="center" vertical="center"/>
    </xf>
    <xf numFmtId="0" fontId="1" fillId="2" borderId="0" xfId="0" applyFont="1" applyFill="1" applyAlignment="1">
      <alignment vertical="center"/>
    </xf>
    <xf numFmtId="2" fontId="7" fillId="8" borderId="9" xfId="0" applyNumberFormat="1" applyFont="1" applyFill="1" applyBorder="1" applyAlignment="1">
      <alignment horizontal="center" vertical="center"/>
    </xf>
    <xf numFmtId="14" fontId="16" fillId="0" borderId="0" xfId="0" applyNumberFormat="1" applyFont="1" applyAlignment="1">
      <alignment horizontal="center" vertical="center"/>
    </xf>
    <xf numFmtId="0" fontId="16" fillId="0" borderId="0" xfId="0" applyFont="1"/>
    <xf numFmtId="0" fontId="16" fillId="0" borderId="0" xfId="0" applyFont="1" applyAlignment="1">
      <alignment horizontal="center" vertical="center"/>
    </xf>
    <xf numFmtId="0" fontId="16" fillId="0" borderId="0" xfId="0" applyFont="1" applyAlignment="1">
      <alignment horizontal="center"/>
    </xf>
    <xf numFmtId="0" fontId="19" fillId="0" borderId="10" xfId="0" applyFont="1" applyBorder="1" applyAlignment="1">
      <alignment horizontal="center" vertical="center"/>
    </xf>
    <xf numFmtId="165" fontId="19" fillId="0" borderId="10" xfId="0" applyNumberFormat="1" applyFont="1" applyBorder="1" applyAlignment="1">
      <alignment horizontal="center" vertical="center"/>
    </xf>
    <xf numFmtId="0" fontId="19" fillId="9" borderId="10" xfId="0" applyFont="1" applyFill="1" applyBorder="1" applyAlignment="1">
      <alignment horizontal="center" vertical="center"/>
    </xf>
    <xf numFmtId="0" fontId="19" fillId="8" borderId="10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/>
    </xf>
    <xf numFmtId="0" fontId="19" fillId="0" borderId="12" xfId="0" applyFont="1" applyBorder="1" applyAlignment="1">
      <alignment horizontal="center" vertical="center"/>
    </xf>
    <xf numFmtId="0" fontId="19" fillId="0" borderId="13" xfId="0" applyFont="1" applyBorder="1" applyAlignment="1">
      <alignment horizontal="center" vertical="center"/>
    </xf>
    <xf numFmtId="0" fontId="19" fillId="0" borderId="14" xfId="0" applyFont="1" applyBorder="1" applyAlignment="1">
      <alignment horizontal="center" vertical="center"/>
    </xf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0" fontId="0" fillId="0" borderId="15" xfId="0" applyBorder="1"/>
    <xf numFmtId="0" fontId="21" fillId="0" borderId="16" xfId="0" applyFont="1" applyBorder="1" applyAlignment="1">
      <alignment horizontal="center" vertical="center" wrapText="1"/>
    </xf>
    <xf numFmtId="0" fontId="21" fillId="7" borderId="16" xfId="0" applyFont="1" applyFill="1" applyBorder="1" applyAlignment="1">
      <alignment horizontal="center" vertical="center" wrapText="1"/>
    </xf>
    <xf numFmtId="14" fontId="21" fillId="0" borderId="0" xfId="0" applyNumberFormat="1" applyFont="1" applyAlignment="1">
      <alignment horizontal="center"/>
    </xf>
    <xf numFmtId="164" fontId="2" fillId="4" borderId="1" xfId="0" applyNumberFormat="1" applyFont="1" applyFill="1" applyBorder="1" applyAlignment="1">
      <alignment horizontal="center" vertical="center"/>
    </xf>
    <xf numFmtId="164" fontId="15" fillId="4" borderId="1" xfId="0" applyNumberFormat="1" applyFont="1" applyFill="1" applyBorder="1" applyAlignment="1">
      <alignment horizontal="center" vertical="center"/>
    </xf>
    <xf numFmtId="164" fontId="15" fillId="4" borderId="8" xfId="0" applyNumberFormat="1" applyFont="1" applyFill="1" applyBorder="1" applyAlignment="1">
      <alignment horizontal="center" vertical="center"/>
    </xf>
    <xf numFmtId="0" fontId="14" fillId="13" borderId="16" xfId="0" applyFont="1" applyFill="1" applyBorder="1" applyAlignment="1">
      <alignment horizontal="center" vertical="center" wrapText="1"/>
    </xf>
    <xf numFmtId="0" fontId="21" fillId="13" borderId="16" xfId="0" applyFont="1" applyFill="1" applyBorder="1" applyAlignment="1">
      <alignment horizontal="center" vertical="center" wrapText="1"/>
    </xf>
    <xf numFmtId="0" fontId="14" fillId="14" borderId="16" xfId="0" applyFont="1" applyFill="1" applyBorder="1" applyAlignment="1">
      <alignment horizontal="center" vertical="center" wrapText="1"/>
    </xf>
    <xf numFmtId="14" fontId="21" fillId="14" borderId="16" xfId="0" applyNumberFormat="1" applyFont="1" applyFill="1" applyBorder="1" applyAlignment="1">
      <alignment horizontal="center"/>
    </xf>
    <xf numFmtId="14" fontId="6" fillId="16" borderId="1" xfId="0" applyNumberFormat="1" applyFont="1" applyFill="1" applyBorder="1" applyAlignment="1">
      <alignment horizontal="center" vertical="center"/>
    </xf>
    <xf numFmtId="0" fontId="28" fillId="0" borderId="18" xfId="0" applyFont="1" applyBorder="1" applyAlignment="1">
      <alignment horizontal="center" vertical="center" wrapText="1"/>
    </xf>
    <xf numFmtId="0" fontId="0" fillId="0" borderId="10" xfId="0" applyBorder="1" applyAlignment="1">
      <alignment vertical="center"/>
    </xf>
    <xf numFmtId="0" fontId="29" fillId="0" borderId="20" xfId="0" applyFont="1" applyBorder="1" applyAlignment="1">
      <alignment horizontal="center" vertical="center" wrapText="1"/>
    </xf>
    <xf numFmtId="0" fontId="29" fillId="0" borderId="18" xfId="0" applyFont="1" applyBorder="1" applyAlignment="1">
      <alignment horizontal="center" vertical="center" wrapText="1"/>
    </xf>
    <xf numFmtId="0" fontId="0" fillId="0" borderId="21" xfId="0" applyBorder="1"/>
    <xf numFmtId="0" fontId="0" fillId="0" borderId="10" xfId="0" applyBorder="1"/>
    <xf numFmtId="0" fontId="0" fillId="0" borderId="22" xfId="0" applyBorder="1"/>
    <xf numFmtId="0" fontId="30" fillId="17" borderId="23" xfId="0" applyFont="1" applyFill="1" applyBorder="1"/>
    <xf numFmtId="0" fontId="30" fillId="17" borderId="24" xfId="0" applyFont="1" applyFill="1" applyBorder="1"/>
    <xf numFmtId="0" fontId="0" fillId="0" borderId="25" xfId="0" applyBorder="1"/>
    <xf numFmtId="0" fontId="29" fillId="0" borderId="21" xfId="0" applyFont="1" applyBorder="1" applyAlignment="1">
      <alignment horizontal="center"/>
    </xf>
    <xf numFmtId="0" fontId="0" fillId="0" borderId="26" xfId="0" applyBorder="1" applyAlignment="1">
      <alignment horizontal="right" vertical="center"/>
    </xf>
    <xf numFmtId="0" fontId="27" fillId="18" borderId="22" xfId="0" applyFont="1" applyFill="1" applyBorder="1" applyAlignment="1">
      <alignment horizontal="right"/>
    </xf>
    <xf numFmtId="0" fontId="0" fillId="0" borderId="27" xfId="0" applyBorder="1" applyAlignment="1">
      <alignment horizontal="right" vertical="center"/>
    </xf>
    <xf numFmtId="0" fontId="31" fillId="0" borderId="22" xfId="0" applyFont="1" applyBorder="1"/>
    <xf numFmtId="0" fontId="31" fillId="0" borderId="27" xfId="0" applyFont="1" applyBorder="1" applyAlignment="1">
      <alignment horizontal="right" vertical="center"/>
    </xf>
    <xf numFmtId="0" fontId="32" fillId="18" borderId="22" xfId="0" applyFont="1" applyFill="1" applyBorder="1" applyAlignment="1">
      <alignment horizontal="right"/>
    </xf>
    <xf numFmtId="0" fontId="31" fillId="0" borderId="0" xfId="0" applyFont="1"/>
    <xf numFmtId="0" fontId="0" fillId="0" borderId="27" xfId="0" applyBorder="1" applyAlignment="1">
      <alignment horizontal="right"/>
    </xf>
    <xf numFmtId="0" fontId="0" fillId="0" borderId="22" xfId="0" applyBorder="1" applyAlignment="1">
      <alignment horizontal="right"/>
    </xf>
    <xf numFmtId="0" fontId="0" fillId="0" borderId="23" xfId="0" applyBorder="1"/>
    <xf numFmtId="0" fontId="0" fillId="0" borderId="28" xfId="0" applyBorder="1" applyAlignment="1">
      <alignment horizontal="right"/>
    </xf>
    <xf numFmtId="0" fontId="0" fillId="0" borderId="23" xfId="0" applyBorder="1" applyAlignment="1">
      <alignment horizontal="right"/>
    </xf>
    <xf numFmtId="0" fontId="33" fillId="18" borderId="6" xfId="0" applyFont="1" applyFill="1" applyBorder="1" applyAlignment="1">
      <alignment horizontal="center" vertical="center"/>
    </xf>
    <xf numFmtId="0" fontId="34" fillId="0" borderId="19" xfId="0" applyFont="1" applyBorder="1" applyAlignment="1">
      <alignment vertical="center"/>
    </xf>
    <xf numFmtId="0" fontId="34" fillId="0" borderId="29" xfId="0" applyFont="1" applyBorder="1" applyAlignment="1">
      <alignment vertical="center"/>
    </xf>
    <xf numFmtId="0" fontId="33" fillId="18" borderId="8" xfId="0" applyFont="1" applyFill="1" applyBorder="1" applyAlignment="1">
      <alignment horizontal="center" vertical="center"/>
    </xf>
    <xf numFmtId="0" fontId="34" fillId="0" borderId="25" xfId="0" applyFont="1" applyBorder="1" applyAlignment="1">
      <alignment vertical="center"/>
    </xf>
    <xf numFmtId="0" fontId="34" fillId="0" borderId="24" xfId="0" applyFont="1" applyBorder="1" applyAlignment="1">
      <alignment vertical="center"/>
    </xf>
    <xf numFmtId="164" fontId="6" fillId="19" borderId="4" xfId="1" applyNumberFormat="1" applyFont="1" applyFill="1" applyBorder="1" applyAlignment="1" applyProtection="1">
      <alignment horizontal="center" vertical="center"/>
      <protection hidden="1"/>
    </xf>
    <xf numFmtId="164" fontId="6" fillId="19" borderId="6" xfId="1" applyNumberFormat="1" applyFont="1" applyFill="1" applyBorder="1" applyAlignment="1" applyProtection="1">
      <alignment horizontal="center" vertical="center"/>
      <protection hidden="1"/>
    </xf>
    <xf numFmtId="0" fontId="28" fillId="0" borderId="10" xfId="0" applyFont="1" applyBorder="1" applyAlignment="1">
      <alignment vertical="center"/>
    </xf>
    <xf numFmtId="0" fontId="28" fillId="0" borderId="10" xfId="0" applyFont="1" applyBorder="1" applyAlignment="1">
      <alignment vertical="center" wrapText="1"/>
    </xf>
    <xf numFmtId="0" fontId="28" fillId="0" borderId="10" xfId="0" applyFont="1" applyBorder="1" applyAlignment="1">
      <alignment horizontal="center" vertical="center" wrapText="1"/>
    </xf>
    <xf numFmtId="0" fontId="27" fillId="0" borderId="10" xfId="0" applyFont="1" applyBorder="1" applyAlignment="1">
      <alignment horizontal="center" vertical="center"/>
    </xf>
    <xf numFmtId="0" fontId="0" fillId="15" borderId="10" xfId="0" applyFill="1" applyBorder="1" applyAlignment="1">
      <alignment horizontal="right" vertical="center"/>
    </xf>
    <xf numFmtId="165" fontId="27" fillId="17" borderId="10" xfId="0" applyNumberFormat="1" applyFont="1" applyFill="1" applyBorder="1"/>
    <xf numFmtId="0" fontId="27" fillId="20" borderId="10" xfId="0" applyFont="1" applyFill="1" applyBorder="1"/>
    <xf numFmtId="0" fontId="27" fillId="0" borderId="10" xfId="0" applyFont="1" applyBorder="1"/>
    <xf numFmtId="0" fontId="27" fillId="0" borderId="0" xfId="0" applyFont="1"/>
    <xf numFmtId="0" fontId="27" fillId="0" borderId="24" xfId="0" applyFont="1" applyBorder="1"/>
    <xf numFmtId="0" fontId="28" fillId="0" borderId="10" xfId="0" applyFont="1" applyBorder="1"/>
    <xf numFmtId="0" fontId="29" fillId="0" borderId="10" xfId="0" applyFont="1" applyBorder="1"/>
    <xf numFmtId="0" fontId="14" fillId="0" borderId="10" xfId="0" applyFont="1" applyBorder="1" applyAlignment="1">
      <alignment horizontal="center" vertical="center"/>
    </xf>
    <xf numFmtId="14" fontId="23" fillId="21" borderId="21" xfId="0" applyNumberFormat="1" applyFont="1" applyFill="1" applyBorder="1" applyAlignment="1">
      <alignment horizontal="center" vertical="center"/>
    </xf>
    <xf numFmtId="0" fontId="23" fillId="13" borderId="10" xfId="0" applyFont="1" applyFill="1" applyBorder="1" applyAlignment="1">
      <alignment horizontal="center" vertical="center"/>
    </xf>
    <xf numFmtId="0" fontId="23" fillId="22" borderId="10" xfId="0" applyFont="1" applyFill="1" applyBorder="1" applyAlignment="1">
      <alignment horizontal="center" vertical="center"/>
    </xf>
    <xf numFmtId="0" fontId="23" fillId="23" borderId="10" xfId="0" applyFont="1" applyFill="1" applyBorder="1" applyAlignment="1">
      <alignment horizontal="center" vertical="center"/>
    </xf>
    <xf numFmtId="2" fontId="14" fillId="0" borderId="10" xfId="0" applyNumberFormat="1" applyFont="1" applyBorder="1" applyAlignment="1">
      <alignment horizontal="center" vertical="center"/>
    </xf>
    <xf numFmtId="0" fontId="8" fillId="0" borderId="0" xfId="0" applyFont="1"/>
    <xf numFmtId="2" fontId="27" fillId="0" borderId="19" xfId="0" applyNumberFormat="1" applyFont="1" applyBorder="1" applyAlignment="1">
      <alignment horizontal="center"/>
    </xf>
    <xf numFmtId="0" fontId="23" fillId="24" borderId="10" xfId="0" applyFont="1" applyFill="1" applyBorder="1" applyAlignment="1">
      <alignment horizontal="center" vertical="center"/>
    </xf>
    <xf numFmtId="14" fontId="8" fillId="0" borderId="10" xfId="0" applyNumberFormat="1" applyFont="1" applyBorder="1" applyAlignment="1">
      <alignment vertical="center"/>
    </xf>
    <xf numFmtId="0" fontId="14" fillId="25" borderId="33" xfId="0" applyFont="1" applyFill="1" applyBorder="1" applyAlignment="1">
      <alignment horizontal="center" vertical="center" wrapText="1"/>
    </xf>
    <xf numFmtId="1" fontId="21" fillId="0" borderId="16" xfId="0" applyNumberFormat="1" applyFont="1" applyBorder="1" applyAlignment="1">
      <alignment horizontal="center"/>
    </xf>
    <xf numFmtId="0" fontId="21" fillId="25" borderId="33" xfId="0" applyFont="1" applyFill="1" applyBorder="1" applyAlignment="1">
      <alignment horizontal="center" vertical="center" wrapText="1"/>
    </xf>
    <xf numFmtId="0" fontId="35" fillId="0" borderId="0" xfId="0" applyFont="1"/>
    <xf numFmtId="0" fontId="23" fillId="19" borderId="10" xfId="0" applyFont="1" applyFill="1" applyBorder="1" applyAlignment="1">
      <alignment horizontal="center" vertical="center"/>
    </xf>
    <xf numFmtId="14" fontId="16" fillId="0" borderId="0" xfId="0" applyNumberFormat="1" applyFont="1" applyAlignment="1">
      <alignment horizontal="center" vertical="center" wrapText="1"/>
    </xf>
    <xf numFmtId="0" fontId="18" fillId="10" borderId="13" xfId="0" applyFont="1" applyFill="1" applyBorder="1" applyAlignment="1">
      <alignment horizontal="center" vertical="center" wrapText="1"/>
    </xf>
    <xf numFmtId="0" fontId="18" fillId="10" borderId="14" xfId="0" applyFont="1" applyFill="1" applyBorder="1" applyAlignment="1">
      <alignment horizontal="center" vertical="center" wrapText="1"/>
    </xf>
    <xf numFmtId="0" fontId="18" fillId="10" borderId="6" xfId="0" applyFont="1" applyFill="1" applyBorder="1" applyAlignment="1">
      <alignment horizontal="center" vertical="center" wrapText="1"/>
    </xf>
    <xf numFmtId="0" fontId="18" fillId="10" borderId="34" xfId="0" applyFont="1" applyFill="1" applyBorder="1" applyAlignment="1">
      <alignment horizontal="center" vertical="center" wrapText="1"/>
    </xf>
    <xf numFmtId="0" fontId="18" fillId="10" borderId="23" xfId="0" applyFont="1" applyFill="1" applyBorder="1" applyAlignment="1">
      <alignment horizontal="center" vertical="center" wrapText="1"/>
    </xf>
    <xf numFmtId="0" fontId="18" fillId="10" borderId="35" xfId="0" applyFont="1" applyFill="1" applyBorder="1" applyAlignment="1">
      <alignment horizontal="center" vertical="center" wrapText="1"/>
    </xf>
    <xf numFmtId="0" fontId="22" fillId="10" borderId="35" xfId="0" applyFont="1" applyFill="1" applyBorder="1" applyAlignment="1">
      <alignment horizontal="center" vertical="center" wrapText="1"/>
    </xf>
    <xf numFmtId="0" fontId="18" fillId="10" borderId="36" xfId="0" applyFont="1" applyFill="1" applyBorder="1" applyAlignment="1">
      <alignment horizontal="center" vertical="center" wrapText="1"/>
    </xf>
    <xf numFmtId="0" fontId="18" fillId="11" borderId="0" xfId="0" applyFont="1" applyFill="1" applyAlignment="1">
      <alignment horizontal="center" vertical="center" wrapText="1"/>
    </xf>
    <xf numFmtId="0" fontId="16" fillId="10" borderId="0" xfId="0" applyFont="1" applyFill="1" applyAlignment="1">
      <alignment horizontal="center" vertical="center" wrapText="1"/>
    </xf>
    <xf numFmtId="0" fontId="16" fillId="0" borderId="0" xfId="0" applyFont="1" applyAlignment="1">
      <alignment wrapText="1"/>
    </xf>
    <xf numFmtId="0" fontId="27" fillId="0" borderId="32" xfId="0" applyFont="1" applyBorder="1" applyAlignment="1">
      <alignment wrapText="1"/>
    </xf>
    <xf numFmtId="0" fontId="27" fillId="0" borderId="0" xfId="0" applyFont="1" applyAlignment="1">
      <alignment wrapText="1"/>
    </xf>
    <xf numFmtId="2" fontId="0" fillId="0" borderId="0" xfId="0" applyNumberFormat="1"/>
    <xf numFmtId="2" fontId="0" fillId="0" borderId="0" xfId="0" applyNumberFormat="1" applyAlignment="1">
      <alignment horizontal="center"/>
    </xf>
    <xf numFmtId="0" fontId="27" fillId="0" borderId="32" xfId="0" applyFont="1" applyBorder="1" applyAlignment="1">
      <alignment horizontal="center"/>
    </xf>
    <xf numFmtId="0" fontId="8" fillId="0" borderId="0" xfId="0" applyFont="1" applyAlignment="1">
      <alignment horizontal="center"/>
    </xf>
    <xf numFmtId="1" fontId="0" fillId="0" borderId="0" xfId="0" applyNumberFormat="1" applyAlignment="1">
      <alignment horizontal="center"/>
    </xf>
    <xf numFmtId="0" fontId="36" fillId="0" borderId="32" xfId="0" applyFont="1" applyBorder="1" applyAlignment="1">
      <alignment horizontal="center"/>
    </xf>
    <xf numFmtId="1" fontId="36" fillId="0" borderId="32" xfId="0" applyNumberFormat="1" applyFont="1" applyBorder="1" applyAlignment="1">
      <alignment horizontal="center"/>
    </xf>
    <xf numFmtId="0" fontId="37" fillId="0" borderId="0" xfId="0" applyFont="1" applyAlignment="1">
      <alignment horizontal="center"/>
    </xf>
    <xf numFmtId="1" fontId="37" fillId="0" borderId="0" xfId="0" applyNumberFormat="1" applyFont="1" applyAlignment="1">
      <alignment horizontal="center"/>
    </xf>
    <xf numFmtId="0" fontId="27" fillId="0" borderId="32" xfId="0" applyFont="1" applyBorder="1" applyAlignment="1">
      <alignment horizontal="center" wrapText="1"/>
    </xf>
    <xf numFmtId="0" fontId="38" fillId="15" borderId="2" xfId="0" applyFont="1" applyFill="1" applyBorder="1" applyAlignment="1">
      <alignment horizontal="center" vertical="center"/>
    </xf>
    <xf numFmtId="0" fontId="3" fillId="0" borderId="0" xfId="0" applyFont="1"/>
    <xf numFmtId="1" fontId="27" fillId="0" borderId="32" xfId="0" applyNumberFormat="1" applyFont="1" applyBorder="1" applyAlignment="1">
      <alignment horizontal="center" wrapText="1"/>
    </xf>
    <xf numFmtId="2" fontId="39" fillId="7" borderId="9" xfId="0" applyNumberFormat="1" applyFont="1" applyFill="1" applyBorder="1" applyAlignment="1">
      <alignment horizontal="center" vertical="center"/>
    </xf>
    <xf numFmtId="0" fontId="23" fillId="26" borderId="10" xfId="0" applyFont="1" applyFill="1" applyBorder="1" applyAlignment="1">
      <alignment horizontal="center" vertical="center"/>
    </xf>
    <xf numFmtId="0" fontId="19" fillId="15" borderId="10" xfId="0" applyFont="1" applyFill="1" applyBorder="1" applyAlignment="1">
      <alignment horizontal="center" vertical="center"/>
    </xf>
    <xf numFmtId="0" fontId="26" fillId="0" borderId="10" xfId="0" applyFont="1" applyBorder="1" applyAlignment="1">
      <alignment horizontal="center" vertical="center"/>
    </xf>
    <xf numFmtId="0" fontId="23" fillId="27" borderId="10" xfId="0" applyFont="1" applyFill="1" applyBorder="1" applyAlignment="1">
      <alignment horizontal="center" vertical="center"/>
    </xf>
    <xf numFmtId="0" fontId="0" fillId="0" borderId="19" xfId="0" applyBorder="1"/>
    <xf numFmtId="2" fontId="2" fillId="4" borderId="1" xfId="0" applyNumberFormat="1" applyFont="1" applyFill="1" applyBorder="1" applyAlignment="1">
      <alignment horizontal="center" vertical="center"/>
    </xf>
    <xf numFmtId="2" fontId="1" fillId="6" borderId="30" xfId="0" applyNumberFormat="1" applyFont="1" applyFill="1" applyBorder="1" applyAlignment="1">
      <alignment horizontal="center" vertical="center" wrapText="1"/>
    </xf>
    <xf numFmtId="2" fontId="1" fillId="6" borderId="3" xfId="0" applyNumberFormat="1" applyFont="1" applyFill="1" applyBorder="1" applyAlignment="1">
      <alignment horizontal="center" vertical="center" wrapText="1"/>
    </xf>
    <xf numFmtId="0" fontId="1" fillId="19" borderId="1" xfId="0" applyFont="1" applyFill="1" applyBorder="1" applyAlignment="1">
      <alignment horizontal="center" vertical="center"/>
    </xf>
    <xf numFmtId="0" fontId="1" fillId="6" borderId="3" xfId="0" applyFont="1" applyFill="1" applyBorder="1" applyAlignment="1">
      <alignment horizontal="center" vertical="center" wrapText="1"/>
    </xf>
    <xf numFmtId="0" fontId="1" fillId="6" borderId="4" xfId="0" applyFont="1" applyFill="1" applyBorder="1" applyAlignment="1">
      <alignment horizontal="center" vertical="center" wrapText="1"/>
    </xf>
    <xf numFmtId="0" fontId="1" fillId="6" borderId="15" xfId="0" applyFont="1" applyFill="1" applyBorder="1" applyAlignment="1">
      <alignment horizontal="center" vertical="center" wrapText="1"/>
    </xf>
    <xf numFmtId="0" fontId="1" fillId="6" borderId="0" xfId="0" applyFont="1" applyFill="1" applyAlignment="1">
      <alignment horizontal="center" vertical="center" wrapText="1"/>
    </xf>
    <xf numFmtId="0" fontId="1" fillId="6" borderId="31" xfId="0" applyFont="1" applyFill="1" applyBorder="1" applyAlignment="1">
      <alignment horizontal="center" vertical="center" wrapText="1"/>
    </xf>
    <xf numFmtId="0" fontId="1" fillId="6" borderId="32" xfId="0" applyFont="1" applyFill="1" applyBorder="1" applyAlignment="1">
      <alignment horizontal="center" vertical="center" wrapText="1"/>
    </xf>
    <xf numFmtId="0" fontId="1" fillId="6" borderId="7" xfId="0" applyFont="1" applyFill="1" applyBorder="1" applyAlignment="1">
      <alignment horizontal="center" vertical="center" wrapText="1"/>
    </xf>
    <xf numFmtId="0" fontId="0" fillId="0" borderId="10" xfId="0" applyBorder="1" applyAlignment="1">
      <alignment horizontal="center" vertical="center"/>
    </xf>
    <xf numFmtId="0" fontId="29" fillId="0" borderId="10" xfId="0" applyFont="1" applyBorder="1" applyAlignment="1">
      <alignment horizontal="center"/>
    </xf>
    <xf numFmtId="0" fontId="27" fillId="0" borderId="10" xfId="0" applyFont="1" applyBorder="1" applyAlignment="1">
      <alignment horizontal="center"/>
    </xf>
    <xf numFmtId="0" fontId="23" fillId="30" borderId="10" xfId="0" applyFont="1" applyFill="1" applyBorder="1" applyAlignment="1">
      <alignment horizontal="center" vertical="center"/>
    </xf>
    <xf numFmtId="0" fontId="19" fillId="31" borderId="10" xfId="0" applyFont="1" applyFill="1" applyBorder="1" applyAlignment="1">
      <alignment horizontal="center" vertical="center"/>
    </xf>
    <xf numFmtId="2" fontId="7" fillId="8" borderId="38" xfId="0" applyNumberFormat="1" applyFont="1" applyFill="1" applyBorder="1" applyAlignment="1">
      <alignment horizontal="center" vertical="center"/>
    </xf>
    <xf numFmtId="2" fontId="7" fillId="8" borderId="39" xfId="0" applyNumberFormat="1" applyFont="1" applyFill="1" applyBorder="1" applyAlignment="1">
      <alignment horizontal="center" vertical="center"/>
    </xf>
    <xf numFmtId="2" fontId="1" fillId="6" borderId="30" xfId="0" applyNumberFormat="1" applyFont="1" applyFill="1" applyBorder="1" applyAlignment="1">
      <alignment horizontal="center" vertical="center" wrapText="1"/>
    </xf>
    <xf numFmtId="2" fontId="1" fillId="6" borderId="3" xfId="0" applyNumberFormat="1" applyFont="1" applyFill="1" applyBorder="1" applyAlignment="1">
      <alignment horizontal="center" vertical="center" wrapText="1"/>
    </xf>
    <xf numFmtId="0" fontId="1" fillId="16" borderId="6" xfId="0" applyFont="1" applyFill="1" applyBorder="1" applyAlignment="1">
      <alignment horizontal="center" vertical="center"/>
    </xf>
    <xf numFmtId="0" fontId="1" fillId="16" borderId="8" xfId="0" applyFont="1" applyFill="1" applyBorder="1" applyAlignment="1">
      <alignment horizontal="center" vertical="center"/>
    </xf>
    <xf numFmtId="0" fontId="1" fillId="8" borderId="6" xfId="0" applyFont="1" applyFill="1" applyBorder="1" applyAlignment="1">
      <alignment horizontal="center" vertical="center" wrapText="1"/>
    </xf>
    <xf numFmtId="0" fontId="3" fillId="8" borderId="8" xfId="0" applyFont="1" applyFill="1" applyBorder="1" applyAlignment="1">
      <alignment horizontal="center" vertical="center" wrapText="1"/>
    </xf>
    <xf numFmtId="0" fontId="1" fillId="19" borderId="1" xfId="0" applyFont="1" applyFill="1" applyBorder="1" applyAlignment="1">
      <alignment horizontal="center" vertical="center"/>
    </xf>
    <xf numFmtId="0" fontId="9" fillId="5" borderId="6" xfId="0" applyFont="1" applyFill="1" applyBorder="1" applyAlignment="1">
      <alignment horizontal="center" vertical="center" wrapText="1"/>
    </xf>
    <xf numFmtId="0" fontId="9" fillId="5" borderId="8" xfId="0" applyFont="1" applyFill="1" applyBorder="1" applyAlignment="1">
      <alignment horizontal="center" vertical="center" wrapText="1"/>
    </xf>
    <xf numFmtId="0" fontId="3" fillId="0" borderId="30" xfId="0" applyFont="1" applyBorder="1" applyAlignment="1">
      <alignment horizontal="center" vertical="center"/>
    </xf>
    <xf numFmtId="0" fontId="3" fillId="0" borderId="37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3" fillId="2" borderId="0" xfId="0" applyFont="1" applyFill="1" applyAlignment="1">
      <alignment horizontal="center" vertical="center"/>
    </xf>
    <xf numFmtId="0" fontId="9" fillId="8" borderId="34" xfId="0" applyFont="1" applyFill="1" applyBorder="1" applyAlignment="1">
      <alignment horizontal="center" vertical="center" wrapText="1"/>
    </xf>
    <xf numFmtId="0" fontId="9" fillId="8" borderId="40" xfId="0" applyFont="1" applyFill="1" applyBorder="1" applyAlignment="1">
      <alignment horizontal="center" vertical="center" wrapText="1"/>
    </xf>
    <xf numFmtId="0" fontId="9" fillId="8" borderId="4" xfId="0" applyFont="1" applyFill="1" applyBorder="1" applyAlignment="1">
      <alignment horizontal="center" vertical="center" wrapText="1"/>
    </xf>
    <xf numFmtId="0" fontId="9" fillId="8" borderId="31" xfId="0" applyFont="1" applyFill="1" applyBorder="1" applyAlignment="1">
      <alignment horizontal="center" vertical="center" wrapText="1"/>
    </xf>
    <xf numFmtId="0" fontId="9" fillId="8" borderId="32" xfId="0" applyFont="1" applyFill="1" applyBorder="1" applyAlignment="1">
      <alignment horizontal="center" vertical="center" wrapText="1"/>
    </xf>
    <xf numFmtId="0" fontId="9" fillId="8" borderId="7" xfId="0" applyFont="1" applyFill="1" applyBorder="1" applyAlignment="1">
      <alignment horizontal="center" vertical="center" wrapText="1"/>
    </xf>
    <xf numFmtId="0" fontId="10" fillId="28" borderId="30" xfId="0" applyFont="1" applyFill="1" applyBorder="1" applyAlignment="1">
      <alignment horizontal="center" vertical="center"/>
    </xf>
    <xf numFmtId="0" fontId="10" fillId="28" borderId="37" xfId="0" applyFont="1" applyFill="1" applyBorder="1" applyAlignment="1">
      <alignment horizontal="center" vertical="center"/>
    </xf>
    <xf numFmtId="0" fontId="3" fillId="2" borderId="32" xfId="0" applyFont="1" applyFill="1" applyBorder="1" applyAlignment="1">
      <alignment horizontal="center" vertical="center"/>
    </xf>
    <xf numFmtId="0" fontId="1" fillId="19" borderId="6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40" fillId="15" borderId="6" xfId="0" applyFont="1" applyFill="1" applyBorder="1" applyAlignment="1">
      <alignment horizontal="center" vertical="center" wrapText="1"/>
    </xf>
    <xf numFmtId="0" fontId="40" fillId="15" borderId="8" xfId="0" applyFont="1" applyFill="1" applyBorder="1" applyAlignment="1">
      <alignment horizontal="center" vertical="center" wrapText="1"/>
    </xf>
    <xf numFmtId="0" fontId="1" fillId="7" borderId="1" xfId="0" applyFont="1" applyFill="1" applyBorder="1" applyAlignment="1">
      <alignment horizontal="center" vertical="center"/>
    </xf>
    <xf numFmtId="0" fontId="3" fillId="7" borderId="1" xfId="0" applyFont="1" applyFill="1" applyBorder="1" applyAlignment="1">
      <alignment horizontal="center" vertical="center"/>
    </xf>
    <xf numFmtId="2" fontId="1" fillId="7" borderId="30" xfId="0" applyNumberFormat="1" applyFont="1" applyFill="1" applyBorder="1" applyAlignment="1">
      <alignment horizontal="center" vertical="center" wrapText="1"/>
    </xf>
    <xf numFmtId="2" fontId="1" fillId="7" borderId="3" xfId="0" applyNumberFormat="1" applyFont="1" applyFill="1" applyBorder="1" applyAlignment="1">
      <alignment horizontal="center" vertical="center" wrapText="1"/>
    </xf>
    <xf numFmtId="0" fontId="1" fillId="5" borderId="30" xfId="0" applyFont="1" applyFill="1" applyBorder="1" applyAlignment="1">
      <alignment horizontal="center" vertical="center" wrapText="1"/>
    </xf>
    <xf numFmtId="0" fontId="1" fillId="5" borderId="37" xfId="0" applyFont="1" applyFill="1" applyBorder="1" applyAlignment="1">
      <alignment horizontal="center" vertical="center" wrapText="1"/>
    </xf>
    <xf numFmtId="0" fontId="1" fillId="5" borderId="3" xfId="0" applyFont="1" applyFill="1" applyBorder="1" applyAlignment="1">
      <alignment horizontal="center" vertical="center" wrapText="1"/>
    </xf>
    <xf numFmtId="0" fontId="1" fillId="3" borderId="30" xfId="0" applyFont="1" applyFill="1" applyBorder="1" applyAlignment="1">
      <alignment horizontal="center" vertical="center"/>
    </xf>
    <xf numFmtId="0" fontId="1" fillId="3" borderId="37" xfId="0" applyFont="1" applyFill="1" applyBorder="1" applyAlignment="1">
      <alignment horizontal="center" vertical="center"/>
    </xf>
    <xf numFmtId="0" fontId="1" fillId="3" borderId="3" xfId="0" applyFont="1" applyFill="1" applyBorder="1" applyAlignment="1">
      <alignment horizontal="center" vertical="center"/>
    </xf>
    <xf numFmtId="2" fontId="1" fillId="5" borderId="30" xfId="0" applyNumberFormat="1" applyFont="1" applyFill="1" applyBorder="1" applyAlignment="1">
      <alignment horizontal="center" vertical="center" wrapText="1"/>
    </xf>
    <xf numFmtId="2" fontId="1" fillId="5" borderId="3" xfId="0" applyNumberFormat="1" applyFont="1" applyFill="1" applyBorder="1" applyAlignment="1">
      <alignment horizontal="center" vertical="center" wrapText="1"/>
    </xf>
    <xf numFmtId="0" fontId="1" fillId="6" borderId="30" xfId="0" applyFont="1" applyFill="1" applyBorder="1" applyAlignment="1">
      <alignment horizontal="center" vertical="center" wrapText="1"/>
    </xf>
    <xf numFmtId="0" fontId="1" fillId="6" borderId="37" xfId="0" applyFont="1" applyFill="1" applyBorder="1" applyAlignment="1">
      <alignment horizontal="center" vertical="center" wrapText="1"/>
    </xf>
    <xf numFmtId="0" fontId="1" fillId="6" borderId="3" xfId="0" applyFont="1" applyFill="1" applyBorder="1" applyAlignment="1">
      <alignment horizontal="center" vertical="center" wrapText="1"/>
    </xf>
    <xf numFmtId="0" fontId="1" fillId="6" borderId="34" xfId="0" applyFont="1" applyFill="1" applyBorder="1" applyAlignment="1">
      <alignment horizontal="center" vertical="center" wrapText="1"/>
    </xf>
    <xf numFmtId="0" fontId="1" fillId="6" borderId="40" xfId="0" applyFont="1" applyFill="1" applyBorder="1" applyAlignment="1">
      <alignment horizontal="center" vertical="center" wrapText="1"/>
    </xf>
    <xf numFmtId="0" fontId="1" fillId="6" borderId="4" xfId="0" applyFont="1" applyFill="1" applyBorder="1" applyAlignment="1">
      <alignment horizontal="center" vertical="center" wrapText="1"/>
    </xf>
    <xf numFmtId="0" fontId="1" fillId="6" borderId="15" xfId="0" applyFont="1" applyFill="1" applyBorder="1" applyAlignment="1">
      <alignment horizontal="center" vertical="center" wrapText="1"/>
    </xf>
    <xf numFmtId="0" fontId="1" fillId="6" borderId="0" xfId="0" applyFont="1" applyFill="1" applyAlignment="1">
      <alignment horizontal="center" vertical="center" wrapText="1"/>
    </xf>
    <xf numFmtId="0" fontId="1" fillId="6" borderId="41" xfId="0" applyFont="1" applyFill="1" applyBorder="1" applyAlignment="1">
      <alignment horizontal="center" vertical="center" wrapText="1"/>
    </xf>
    <xf numFmtId="0" fontId="1" fillId="3" borderId="34" xfId="0" applyFont="1" applyFill="1" applyBorder="1" applyAlignment="1">
      <alignment horizontal="center" vertical="center"/>
    </xf>
    <xf numFmtId="0" fontId="1" fillId="3" borderId="4" xfId="0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2" fontId="11" fillId="7" borderId="30" xfId="0" applyNumberFormat="1" applyFont="1" applyFill="1" applyBorder="1" applyAlignment="1">
      <alignment horizontal="center" vertical="center" wrapText="1"/>
    </xf>
    <xf numFmtId="2" fontId="11" fillId="7" borderId="37" xfId="0" applyNumberFormat="1" applyFont="1" applyFill="1" applyBorder="1" applyAlignment="1">
      <alignment horizontal="center" vertical="center" wrapText="1"/>
    </xf>
    <xf numFmtId="2" fontId="11" fillId="7" borderId="3" xfId="0" applyNumberFormat="1" applyFont="1" applyFill="1" applyBorder="1" applyAlignment="1">
      <alignment horizontal="center" vertical="center" wrapText="1"/>
    </xf>
    <xf numFmtId="2" fontId="12" fillId="5" borderId="30" xfId="0" applyNumberFormat="1" applyFont="1" applyFill="1" applyBorder="1" applyAlignment="1">
      <alignment horizontal="center" vertical="center" wrapText="1"/>
    </xf>
    <xf numFmtId="2" fontId="12" fillId="5" borderId="37" xfId="0" applyNumberFormat="1" applyFont="1" applyFill="1" applyBorder="1" applyAlignment="1">
      <alignment horizontal="center" vertical="center" wrapText="1"/>
    </xf>
    <xf numFmtId="2" fontId="12" fillId="5" borderId="3" xfId="0" applyNumberFormat="1" applyFont="1" applyFill="1" applyBorder="1" applyAlignment="1">
      <alignment horizontal="center" vertical="center" wrapText="1"/>
    </xf>
    <xf numFmtId="2" fontId="25" fillId="6" borderId="34" xfId="0" applyNumberFormat="1" applyFont="1" applyFill="1" applyBorder="1" applyAlignment="1">
      <alignment horizontal="center" vertical="center" wrapText="1"/>
    </xf>
    <xf numFmtId="2" fontId="25" fillId="6" borderId="40" xfId="0" applyNumberFormat="1" applyFont="1" applyFill="1" applyBorder="1" applyAlignment="1">
      <alignment horizontal="center" vertical="center" wrapText="1"/>
    </xf>
    <xf numFmtId="2" fontId="25" fillId="6" borderId="4" xfId="0" applyNumberFormat="1" applyFont="1" applyFill="1" applyBorder="1" applyAlignment="1">
      <alignment horizontal="center" vertical="center" wrapText="1"/>
    </xf>
    <xf numFmtId="2" fontId="25" fillId="6" borderId="15" xfId="0" applyNumberFormat="1" applyFont="1" applyFill="1" applyBorder="1" applyAlignment="1">
      <alignment horizontal="center" vertical="center" wrapText="1"/>
    </xf>
    <xf numFmtId="2" fontId="25" fillId="6" borderId="0" xfId="0" applyNumberFormat="1" applyFont="1" applyFill="1" applyAlignment="1">
      <alignment horizontal="center" vertical="center" wrapText="1"/>
    </xf>
    <xf numFmtId="2" fontId="25" fillId="6" borderId="41" xfId="0" applyNumberFormat="1" applyFont="1" applyFill="1" applyBorder="1" applyAlignment="1">
      <alignment horizontal="center" vertical="center" wrapText="1"/>
    </xf>
    <xf numFmtId="2" fontId="25" fillId="6" borderId="31" xfId="0" applyNumberFormat="1" applyFont="1" applyFill="1" applyBorder="1" applyAlignment="1">
      <alignment horizontal="center" vertical="center" wrapText="1"/>
    </xf>
    <xf numFmtId="2" fontId="25" fillId="6" borderId="32" xfId="0" applyNumberFormat="1" applyFont="1" applyFill="1" applyBorder="1" applyAlignment="1">
      <alignment horizontal="center" vertical="center" wrapText="1"/>
    </xf>
    <xf numFmtId="2" fontId="25" fillId="6" borderId="7" xfId="0" applyNumberFormat="1" applyFont="1" applyFill="1" applyBorder="1" applyAlignment="1">
      <alignment horizontal="center" vertical="center" wrapText="1"/>
    </xf>
    <xf numFmtId="0" fontId="1" fillId="7" borderId="30" xfId="0" applyFont="1" applyFill="1" applyBorder="1" applyAlignment="1">
      <alignment horizontal="center" vertical="center" wrapText="1"/>
    </xf>
    <xf numFmtId="0" fontId="1" fillId="7" borderId="37" xfId="0" applyFont="1" applyFill="1" applyBorder="1" applyAlignment="1">
      <alignment horizontal="center" vertical="center" wrapText="1"/>
    </xf>
    <xf numFmtId="0" fontId="1" fillId="7" borderId="3" xfId="0" applyFont="1" applyFill="1" applyBorder="1" applyAlignment="1">
      <alignment horizontal="center" vertical="center" wrapText="1"/>
    </xf>
    <xf numFmtId="2" fontId="1" fillId="7" borderId="37" xfId="0" applyNumberFormat="1" applyFont="1" applyFill="1" applyBorder="1" applyAlignment="1">
      <alignment horizontal="center" vertical="center" wrapText="1"/>
    </xf>
    <xf numFmtId="0" fontId="1" fillId="6" borderId="31" xfId="0" applyFont="1" applyFill="1" applyBorder="1" applyAlignment="1">
      <alignment horizontal="center" vertical="center" wrapText="1"/>
    </xf>
    <xf numFmtId="0" fontId="1" fillId="6" borderId="32" xfId="0" applyFont="1" applyFill="1" applyBorder="1" applyAlignment="1">
      <alignment horizontal="center" vertical="center" wrapText="1"/>
    </xf>
    <xf numFmtId="0" fontId="1" fillId="6" borderId="7" xfId="0" applyFont="1" applyFill="1" applyBorder="1" applyAlignment="1">
      <alignment horizontal="center" vertical="center" wrapText="1"/>
    </xf>
    <xf numFmtId="0" fontId="1" fillId="3" borderId="30" xfId="0" applyFont="1" applyFill="1" applyBorder="1" applyAlignment="1">
      <alignment horizontal="center" vertical="center" wrapText="1"/>
    </xf>
    <xf numFmtId="0" fontId="1" fillId="3" borderId="37" xfId="0" applyFont="1" applyFill="1" applyBorder="1" applyAlignment="1">
      <alignment horizontal="center" vertical="center" wrapText="1"/>
    </xf>
    <xf numFmtId="0" fontId="1" fillId="3" borderId="3" xfId="0" applyFont="1" applyFill="1" applyBorder="1" applyAlignment="1">
      <alignment horizontal="center" vertical="center" wrapText="1"/>
    </xf>
    <xf numFmtId="2" fontId="12" fillId="6" borderId="30" xfId="0" applyNumberFormat="1" applyFont="1" applyFill="1" applyBorder="1" applyAlignment="1">
      <alignment horizontal="center" vertical="center" wrapText="1"/>
    </xf>
    <xf numFmtId="2" fontId="12" fillId="6" borderId="37" xfId="0" applyNumberFormat="1" applyFont="1" applyFill="1" applyBorder="1" applyAlignment="1">
      <alignment horizontal="center" vertical="center" wrapText="1"/>
    </xf>
    <xf numFmtId="2" fontId="12" fillId="6" borderId="3" xfId="0" applyNumberFormat="1" applyFont="1" applyFill="1" applyBorder="1" applyAlignment="1">
      <alignment horizontal="center" vertical="center" wrapText="1"/>
    </xf>
    <xf numFmtId="2" fontId="2" fillId="4" borderId="30" xfId="0" applyNumberFormat="1" applyFont="1" applyFill="1" applyBorder="1" applyAlignment="1">
      <alignment horizontal="center" vertical="center"/>
    </xf>
    <xf numFmtId="2" fontId="2" fillId="4" borderId="37" xfId="0" applyNumberFormat="1" applyFont="1" applyFill="1" applyBorder="1" applyAlignment="1">
      <alignment horizontal="center" vertical="center"/>
    </xf>
    <xf numFmtId="2" fontId="2" fillId="4" borderId="3" xfId="0" applyNumberFormat="1" applyFont="1" applyFill="1" applyBorder="1" applyAlignment="1">
      <alignment horizontal="center" vertical="center"/>
    </xf>
    <xf numFmtId="0" fontId="14" fillId="14" borderId="42" xfId="0" applyFont="1" applyFill="1" applyBorder="1" applyAlignment="1">
      <alignment horizontal="center" vertical="center" wrapText="1"/>
    </xf>
    <xf numFmtId="0" fontId="14" fillId="14" borderId="33" xfId="0" applyFont="1" applyFill="1" applyBorder="1" applyAlignment="1">
      <alignment horizontal="center" vertical="center" wrapText="1"/>
    </xf>
    <xf numFmtId="0" fontId="1" fillId="3" borderId="34" xfId="0" applyFont="1" applyFill="1" applyBorder="1" applyAlignment="1">
      <alignment horizontal="center" vertical="center" wrapText="1"/>
    </xf>
    <xf numFmtId="0" fontId="1" fillId="3" borderId="40" xfId="0" applyFont="1" applyFill="1" applyBorder="1" applyAlignment="1">
      <alignment horizontal="center" vertical="center" wrapText="1"/>
    </xf>
    <xf numFmtId="0" fontId="1" fillId="3" borderId="4" xfId="0" applyFont="1" applyFill="1" applyBorder="1" applyAlignment="1">
      <alignment horizontal="center" vertical="center" wrapText="1"/>
    </xf>
    <xf numFmtId="0" fontId="1" fillId="3" borderId="15" xfId="0" applyFont="1" applyFill="1" applyBorder="1" applyAlignment="1">
      <alignment horizontal="center" vertical="center" wrapText="1"/>
    </xf>
    <xf numFmtId="0" fontId="1" fillId="3" borderId="0" xfId="0" applyFont="1" applyFill="1" applyAlignment="1">
      <alignment horizontal="center" vertical="center" wrapText="1"/>
    </xf>
    <xf numFmtId="0" fontId="1" fillId="3" borderId="41" xfId="0" applyFont="1" applyFill="1" applyBorder="1" applyAlignment="1">
      <alignment horizontal="center" vertical="center" wrapText="1"/>
    </xf>
    <xf numFmtId="0" fontId="1" fillId="3" borderId="31" xfId="0" applyFont="1" applyFill="1" applyBorder="1" applyAlignment="1">
      <alignment horizontal="center" vertical="center" wrapText="1"/>
    </xf>
    <xf numFmtId="0" fontId="1" fillId="3" borderId="32" xfId="0" applyFont="1" applyFill="1" applyBorder="1" applyAlignment="1">
      <alignment horizontal="center" vertical="center" wrapText="1"/>
    </xf>
    <xf numFmtId="0" fontId="1" fillId="3" borderId="7" xfId="0" applyFont="1" applyFill="1" applyBorder="1" applyAlignment="1">
      <alignment horizontal="center" vertical="center" wrapText="1"/>
    </xf>
    <xf numFmtId="0" fontId="1" fillId="0" borderId="40" xfId="0" applyFont="1" applyBorder="1" applyAlignment="1">
      <alignment horizontal="center" vertical="center" wrapText="1" readingOrder="1"/>
    </xf>
    <xf numFmtId="0" fontId="1" fillId="0" borderId="4" xfId="0" applyFont="1" applyBorder="1" applyAlignment="1">
      <alignment horizontal="center" vertical="center" wrapText="1" readingOrder="1"/>
    </xf>
    <xf numFmtId="0" fontId="1" fillId="0" borderId="0" xfId="0" applyFont="1" applyAlignment="1">
      <alignment horizontal="center" vertical="center" wrapText="1" readingOrder="1"/>
    </xf>
    <xf numFmtId="0" fontId="1" fillId="0" borderId="41" xfId="0" applyFont="1" applyBorder="1" applyAlignment="1">
      <alignment horizontal="center" vertical="center" wrapText="1" readingOrder="1"/>
    </xf>
    <xf numFmtId="0" fontId="1" fillId="0" borderId="32" xfId="0" applyFont="1" applyBorder="1" applyAlignment="1">
      <alignment horizontal="center" vertical="center" wrapText="1" readingOrder="1"/>
    </xf>
    <xf numFmtId="0" fontId="1" fillId="0" borderId="7" xfId="0" applyFont="1" applyBorder="1" applyAlignment="1">
      <alignment horizontal="center" vertical="center" wrapText="1" readingOrder="1"/>
    </xf>
    <xf numFmtId="0" fontId="14" fillId="13" borderId="16" xfId="0" applyFont="1" applyFill="1" applyBorder="1" applyAlignment="1">
      <alignment horizontal="center"/>
    </xf>
    <xf numFmtId="0" fontId="14" fillId="14" borderId="16" xfId="0" applyFont="1" applyFill="1" applyBorder="1" applyAlignment="1">
      <alignment horizontal="center"/>
    </xf>
    <xf numFmtId="0" fontId="0" fillId="0" borderId="34" xfId="0" applyBorder="1" applyAlignment="1">
      <alignment horizontal="center"/>
    </xf>
    <xf numFmtId="0" fontId="0" fillId="0" borderId="40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15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41" xfId="0" applyBorder="1" applyAlignment="1">
      <alignment horizontal="center"/>
    </xf>
    <xf numFmtId="0" fontId="0" fillId="0" borderId="31" xfId="0" applyBorder="1" applyAlignment="1">
      <alignment horizontal="center"/>
    </xf>
    <xf numFmtId="0" fontId="0" fillId="0" borderId="32" xfId="0" applyBorder="1" applyAlignment="1">
      <alignment horizontal="center"/>
    </xf>
    <xf numFmtId="0" fontId="0" fillId="0" borderId="7" xfId="0" applyBorder="1" applyAlignment="1">
      <alignment horizontal="center"/>
    </xf>
    <xf numFmtId="0" fontId="14" fillId="25" borderId="17" xfId="0" applyFont="1" applyFill="1" applyBorder="1" applyAlignment="1">
      <alignment horizontal="center" vertical="center" wrapText="1"/>
    </xf>
    <xf numFmtId="0" fontId="14" fillId="25" borderId="43" xfId="0" applyFont="1" applyFill="1" applyBorder="1" applyAlignment="1">
      <alignment horizontal="center" vertical="center" wrapText="1"/>
    </xf>
    <xf numFmtId="0" fontId="19" fillId="0" borderId="30" xfId="0" applyFont="1" applyBorder="1" applyAlignment="1">
      <alignment horizontal="center" vertical="center"/>
    </xf>
    <xf numFmtId="0" fontId="19" fillId="0" borderId="37" xfId="0" applyFont="1" applyBorder="1" applyAlignment="1">
      <alignment horizontal="center" vertical="center"/>
    </xf>
    <xf numFmtId="0" fontId="19" fillId="0" borderId="3" xfId="0" applyFont="1" applyBorder="1" applyAlignment="1">
      <alignment horizontal="center" vertical="center"/>
    </xf>
    <xf numFmtId="0" fontId="17" fillId="0" borderId="0" xfId="0" applyFont="1" applyAlignment="1">
      <alignment horizontal="center" vertical="center"/>
    </xf>
    <xf numFmtId="0" fontId="18" fillId="12" borderId="47" xfId="0" applyFont="1" applyFill="1" applyBorder="1" applyAlignment="1">
      <alignment horizontal="center" vertical="center"/>
    </xf>
    <xf numFmtId="0" fontId="18" fillId="12" borderId="48" xfId="0" applyFont="1" applyFill="1" applyBorder="1" applyAlignment="1">
      <alignment horizontal="center" vertical="center"/>
    </xf>
    <xf numFmtId="0" fontId="18" fillId="12" borderId="49" xfId="0" applyFont="1" applyFill="1" applyBorder="1" applyAlignment="1">
      <alignment horizontal="center" vertical="center"/>
    </xf>
    <xf numFmtId="0" fontId="18" fillId="12" borderId="50" xfId="0" applyFont="1" applyFill="1" applyBorder="1" applyAlignment="1">
      <alignment horizontal="center" vertical="center"/>
    </xf>
    <xf numFmtId="0" fontId="18" fillId="0" borderId="30" xfId="0" applyFont="1" applyBorder="1" applyAlignment="1">
      <alignment horizontal="center"/>
    </xf>
    <xf numFmtId="0" fontId="18" fillId="0" borderId="37" xfId="0" applyFont="1" applyBorder="1" applyAlignment="1">
      <alignment horizontal="center"/>
    </xf>
    <xf numFmtId="0" fontId="18" fillId="0" borderId="51" xfId="0" applyFont="1" applyBorder="1" applyAlignment="1">
      <alignment horizontal="center"/>
    </xf>
    <xf numFmtId="0" fontId="18" fillId="0" borderId="52" xfId="0" applyFont="1" applyBorder="1" applyAlignment="1">
      <alignment horizontal="center"/>
    </xf>
    <xf numFmtId="0" fontId="18" fillId="0" borderId="3" xfId="0" applyFont="1" applyBorder="1" applyAlignment="1">
      <alignment horizontal="center"/>
    </xf>
    <xf numFmtId="0" fontId="16" fillId="0" borderId="44" xfId="0" applyFont="1" applyBorder="1" applyAlignment="1">
      <alignment horizontal="center" vertical="center"/>
    </xf>
    <xf numFmtId="0" fontId="16" fillId="0" borderId="45" xfId="0" applyFont="1" applyBorder="1" applyAlignment="1">
      <alignment horizontal="center" vertical="center"/>
    </xf>
    <xf numFmtId="0" fontId="16" fillId="0" borderId="46" xfId="0" applyFont="1" applyBorder="1" applyAlignment="1">
      <alignment horizontal="center" vertical="center"/>
    </xf>
    <xf numFmtId="0" fontId="18" fillId="0" borderId="30" xfId="0" applyFont="1" applyBorder="1" applyAlignment="1">
      <alignment horizontal="center" vertical="center"/>
    </xf>
    <xf numFmtId="0" fontId="18" fillId="0" borderId="37" xfId="0" applyFont="1" applyBorder="1" applyAlignment="1">
      <alignment horizontal="center" vertical="center"/>
    </xf>
    <xf numFmtId="0" fontId="18" fillId="0" borderId="3" xfId="0" applyFont="1" applyBorder="1" applyAlignment="1">
      <alignment horizontal="center" vertical="center"/>
    </xf>
    <xf numFmtId="0" fontId="41" fillId="0" borderId="34" xfId="0" applyFont="1" applyBorder="1" applyAlignment="1">
      <alignment horizontal="center" vertical="center" wrapText="1"/>
    </xf>
    <xf numFmtId="0" fontId="41" fillId="0" borderId="40" xfId="0" applyFont="1" applyBorder="1" applyAlignment="1">
      <alignment horizontal="center" vertical="center" wrapText="1"/>
    </xf>
    <xf numFmtId="0" fontId="41" fillId="0" borderId="15" xfId="0" applyFont="1" applyBorder="1" applyAlignment="1">
      <alignment horizontal="center" vertical="center" wrapText="1"/>
    </xf>
    <xf numFmtId="0" fontId="41" fillId="0" borderId="0" xfId="0" applyFont="1" applyAlignment="1">
      <alignment horizontal="center" vertical="center" wrapText="1"/>
    </xf>
    <xf numFmtId="0" fontId="41" fillId="0" borderId="31" xfId="0" applyFont="1" applyBorder="1" applyAlignment="1">
      <alignment horizontal="center" vertical="center" wrapText="1"/>
    </xf>
    <xf numFmtId="0" fontId="41" fillId="0" borderId="32" xfId="0" applyFont="1" applyBorder="1" applyAlignment="1">
      <alignment horizontal="center" vertical="center" wrapText="1"/>
    </xf>
    <xf numFmtId="0" fontId="42" fillId="0" borderId="34" xfId="0" applyFont="1" applyBorder="1" applyAlignment="1">
      <alignment horizontal="center" vertical="center"/>
    </xf>
    <xf numFmtId="0" fontId="42" fillId="0" borderId="40" xfId="0" applyFont="1" applyBorder="1" applyAlignment="1">
      <alignment horizontal="center" vertical="center"/>
    </xf>
    <xf numFmtId="0" fontId="42" fillId="0" borderId="4" xfId="0" applyFont="1" applyBorder="1" applyAlignment="1">
      <alignment horizontal="center" vertical="center"/>
    </xf>
    <xf numFmtId="0" fontId="42" fillId="0" borderId="31" xfId="0" applyFont="1" applyBorder="1" applyAlignment="1">
      <alignment horizontal="center" vertical="center"/>
    </xf>
    <xf numFmtId="0" fontId="42" fillId="0" borderId="32" xfId="0" applyFont="1" applyBorder="1" applyAlignment="1">
      <alignment horizontal="center" vertical="center"/>
    </xf>
    <xf numFmtId="0" fontId="42" fillId="0" borderId="7" xfId="0" applyFont="1" applyBorder="1" applyAlignment="1">
      <alignment horizontal="center" vertical="center"/>
    </xf>
    <xf numFmtId="0" fontId="43" fillId="0" borderId="15" xfId="0" applyFont="1" applyBorder="1" applyAlignment="1">
      <alignment horizontal="center" vertical="center"/>
    </xf>
    <xf numFmtId="0" fontId="43" fillId="0" borderId="0" xfId="0" applyFont="1" applyAlignment="1">
      <alignment horizontal="center" vertical="center"/>
    </xf>
    <xf numFmtId="0" fontId="43" fillId="0" borderId="41" xfId="0" applyFont="1" applyBorder="1" applyAlignment="1">
      <alignment horizontal="center" vertical="center"/>
    </xf>
    <xf numFmtId="0" fontId="43" fillId="0" borderId="31" xfId="0" applyFont="1" applyBorder="1" applyAlignment="1">
      <alignment horizontal="center" vertical="center"/>
    </xf>
    <xf numFmtId="0" fontId="43" fillId="0" borderId="32" xfId="0" applyFont="1" applyBorder="1" applyAlignment="1">
      <alignment horizontal="center" vertical="center"/>
    </xf>
    <xf numFmtId="0" fontId="43" fillId="0" borderId="7" xfId="0" applyFont="1" applyBorder="1" applyAlignment="1">
      <alignment horizontal="center" vertical="center"/>
    </xf>
    <xf numFmtId="0" fontId="28" fillId="0" borderId="18" xfId="0" applyFont="1" applyBorder="1" applyAlignment="1">
      <alignment horizontal="center" vertical="center"/>
    </xf>
    <xf numFmtId="0" fontId="28" fillId="0" borderId="53" xfId="0" applyFont="1" applyBorder="1" applyAlignment="1">
      <alignment horizontal="center" vertical="center" wrapText="1"/>
    </xf>
    <xf numFmtId="0" fontId="28" fillId="0" borderId="54" xfId="0" applyFont="1" applyBorder="1" applyAlignment="1">
      <alignment horizontal="center" vertical="center" wrapText="1"/>
    </xf>
    <xf numFmtId="0" fontId="28" fillId="0" borderId="44" xfId="0" applyFont="1" applyBorder="1" applyAlignment="1">
      <alignment horizontal="center" vertical="center" wrapText="1"/>
    </xf>
    <xf numFmtId="0" fontId="28" fillId="0" borderId="46" xfId="0" applyFont="1" applyBorder="1" applyAlignment="1">
      <alignment horizontal="center" vertical="center" wrapText="1"/>
    </xf>
    <xf numFmtId="0" fontId="0" fillId="0" borderId="10" xfId="0" applyBorder="1" applyAlignment="1">
      <alignment horizontal="center" vertical="center"/>
    </xf>
    <xf numFmtId="14" fontId="8" fillId="0" borderId="44" xfId="0" applyNumberFormat="1" applyFont="1" applyBorder="1" applyAlignment="1">
      <alignment horizontal="center" vertical="center" readingOrder="2"/>
    </xf>
    <xf numFmtId="14" fontId="0" fillId="0" borderId="46" xfId="0" applyNumberFormat="1" applyBorder="1" applyAlignment="1">
      <alignment horizontal="center" vertical="center" readingOrder="2"/>
    </xf>
    <xf numFmtId="0" fontId="0" fillId="0" borderId="44" xfId="0" applyBorder="1" applyAlignment="1">
      <alignment horizontal="center" vertical="center"/>
    </xf>
    <xf numFmtId="0" fontId="0" fillId="0" borderId="46" xfId="0" applyBorder="1" applyAlignment="1">
      <alignment horizontal="center" vertical="center"/>
    </xf>
    <xf numFmtId="0" fontId="29" fillId="0" borderId="18" xfId="0" applyFont="1" applyBorder="1" applyAlignment="1">
      <alignment horizontal="center" vertical="center"/>
    </xf>
    <xf numFmtId="0" fontId="29" fillId="0" borderId="53" xfId="0" applyFont="1" applyBorder="1" applyAlignment="1">
      <alignment horizontal="center" vertical="center" wrapText="1"/>
    </xf>
    <xf numFmtId="0" fontId="29" fillId="0" borderId="54" xfId="0" applyFont="1" applyBorder="1" applyAlignment="1">
      <alignment horizontal="center" vertical="center" wrapText="1"/>
    </xf>
    <xf numFmtId="0" fontId="29" fillId="0" borderId="10" xfId="0" applyFont="1" applyBorder="1" applyAlignment="1">
      <alignment horizontal="center" vertical="center" wrapText="1"/>
    </xf>
    <xf numFmtId="0" fontId="29" fillId="0" borderId="18" xfId="0" applyFont="1" applyBorder="1" applyAlignment="1">
      <alignment horizontal="center" wrapText="1"/>
    </xf>
    <xf numFmtId="0" fontId="29" fillId="0" borderId="44" xfId="0" applyFont="1" applyBorder="1" applyAlignment="1">
      <alignment horizontal="center" vertical="center"/>
    </xf>
    <xf numFmtId="0" fontId="29" fillId="0" borderId="46" xfId="0" applyFont="1" applyBorder="1" applyAlignment="1">
      <alignment horizontal="center" vertical="center"/>
    </xf>
    <xf numFmtId="0" fontId="0" fillId="0" borderId="10" xfId="0" applyBorder="1" applyAlignment="1">
      <alignment horizontal="center" wrapText="1"/>
    </xf>
    <xf numFmtId="0" fontId="0" fillId="0" borderId="10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19" xfId="0" applyBorder="1" applyAlignment="1"/>
    <xf numFmtId="0" fontId="0" fillId="0" borderId="27" xfId="0" applyBorder="1" applyAlignment="1">
      <alignment horizontal="left"/>
    </xf>
    <xf numFmtId="0" fontId="0" fillId="0" borderId="0" xfId="0" applyAlignment="1">
      <alignment horizontal="left"/>
    </xf>
    <xf numFmtId="0" fontId="0" fillId="0" borderId="27" xfId="0" applyBorder="1" applyAlignment="1">
      <alignment horizontal="center"/>
    </xf>
    <xf numFmtId="0" fontId="0" fillId="0" borderId="55" xfId="0" applyBorder="1" applyAlignment="1">
      <alignment horizontal="center"/>
    </xf>
    <xf numFmtId="0" fontId="44" fillId="17" borderId="28" xfId="0" applyFont="1" applyFill="1" applyBorder="1" applyAlignment="1">
      <alignment horizontal="left"/>
    </xf>
    <xf numFmtId="0" fontId="44" fillId="17" borderId="25" xfId="0" applyFont="1" applyFill="1" applyBorder="1" applyAlignment="1">
      <alignment horizontal="left"/>
    </xf>
    <xf numFmtId="0" fontId="0" fillId="0" borderId="28" xfId="0" applyBorder="1" applyAlignment="1">
      <alignment horizontal="center"/>
    </xf>
    <xf numFmtId="0" fontId="0" fillId="0" borderId="24" xfId="0" applyBorder="1" applyAlignment="1">
      <alignment horizontal="center"/>
    </xf>
    <xf numFmtId="0" fontId="0" fillId="0" borderId="19" xfId="0" applyBorder="1" applyAlignment="1">
      <alignment horizontal="center"/>
    </xf>
    <xf numFmtId="0" fontId="0" fillId="0" borderId="56" xfId="0" applyBorder="1" applyAlignment="1">
      <alignment horizontal="center"/>
    </xf>
    <xf numFmtId="0" fontId="29" fillId="0" borderId="57" xfId="0" applyFont="1" applyBorder="1" applyAlignment="1">
      <alignment horizontal="left" vertical="center"/>
    </xf>
    <xf numFmtId="0" fontId="29" fillId="0" borderId="58" xfId="0" applyFont="1" applyBorder="1" applyAlignment="1">
      <alignment horizontal="left" vertical="center"/>
    </xf>
    <xf numFmtId="0" fontId="29" fillId="0" borderId="59" xfId="0" applyFont="1" applyBorder="1" applyAlignment="1">
      <alignment horizontal="left" vertical="center"/>
    </xf>
    <xf numFmtId="0" fontId="29" fillId="0" borderId="28" xfId="0" applyFont="1" applyBorder="1" applyAlignment="1">
      <alignment horizontal="left" vertical="center"/>
    </xf>
    <xf numFmtId="0" fontId="29" fillId="0" borderId="25" xfId="0" applyFont="1" applyBorder="1" applyAlignment="1">
      <alignment horizontal="left" vertical="center"/>
    </xf>
    <xf numFmtId="0" fontId="29" fillId="0" borderId="24" xfId="0" applyFont="1" applyBorder="1" applyAlignment="1">
      <alignment horizontal="left" vertical="center"/>
    </xf>
    <xf numFmtId="0" fontId="29" fillId="0" borderId="10" xfId="0" applyFont="1" applyBorder="1" applyAlignment="1">
      <alignment horizontal="center" vertical="center"/>
    </xf>
    <xf numFmtId="0" fontId="29" fillId="18" borderId="18" xfId="0" applyFont="1" applyFill="1" applyBorder="1" applyAlignment="1">
      <alignment horizontal="center" vertical="center"/>
    </xf>
    <xf numFmtId="0" fontId="29" fillId="18" borderId="10" xfId="0" applyFont="1" applyFill="1" applyBorder="1" applyAlignment="1">
      <alignment horizontal="center" vertical="center"/>
    </xf>
    <xf numFmtId="0" fontId="29" fillId="0" borderId="18" xfId="0" applyFont="1" applyBorder="1" applyAlignment="1">
      <alignment horizontal="center"/>
    </xf>
    <xf numFmtId="0" fontId="29" fillId="0" borderId="10" xfId="0" applyFont="1" applyBorder="1" applyAlignment="1">
      <alignment horizontal="center"/>
    </xf>
    <xf numFmtId="0" fontId="0" fillId="0" borderId="26" xfId="0" applyBorder="1" applyAlignment="1">
      <alignment horizontal="left" vertical="top"/>
    </xf>
    <xf numFmtId="0" fontId="0" fillId="0" borderId="19" xfId="0" applyBorder="1" applyAlignment="1">
      <alignment horizontal="left" vertical="top"/>
    </xf>
    <xf numFmtId="0" fontId="0" fillId="0" borderId="29" xfId="0" applyBorder="1" applyAlignment="1">
      <alignment horizontal="left" vertical="top"/>
    </xf>
    <xf numFmtId="0" fontId="0" fillId="0" borderId="44" xfId="0" applyBorder="1" applyAlignment="1">
      <alignment horizontal="center"/>
    </xf>
    <xf numFmtId="0" fontId="0" fillId="0" borderId="46" xfId="0" applyBorder="1" applyAlignment="1">
      <alignment horizontal="center"/>
    </xf>
    <xf numFmtId="0" fontId="0" fillId="0" borderId="27" xfId="0" applyBorder="1" applyAlignment="1">
      <alignment horizontal="left" vertical="top"/>
    </xf>
    <xf numFmtId="0" fontId="0" fillId="0" borderId="0" xfId="0" applyAlignment="1">
      <alignment horizontal="left" vertical="top"/>
    </xf>
    <xf numFmtId="0" fontId="0" fillId="0" borderId="55" xfId="0" applyBorder="1" applyAlignment="1">
      <alignment horizontal="left" vertical="top"/>
    </xf>
    <xf numFmtId="0" fontId="0" fillId="0" borderId="28" xfId="0" applyBorder="1" applyAlignment="1">
      <alignment horizontal="left" vertical="top"/>
    </xf>
    <xf numFmtId="0" fontId="0" fillId="0" borderId="25" xfId="0" applyBorder="1" applyAlignment="1">
      <alignment horizontal="left" vertical="top"/>
    </xf>
    <xf numFmtId="0" fontId="0" fillId="0" borderId="24" xfId="0" applyBorder="1" applyAlignment="1">
      <alignment horizontal="left" vertical="top"/>
    </xf>
    <xf numFmtId="0" fontId="34" fillId="0" borderId="26" xfId="0" applyFont="1" applyBorder="1" applyAlignment="1">
      <alignment horizontal="left" vertical="center"/>
    </xf>
    <xf numFmtId="0" fontId="34" fillId="0" borderId="19" xfId="0" applyFont="1" applyBorder="1" applyAlignment="1">
      <alignment horizontal="left" vertical="center"/>
    </xf>
    <xf numFmtId="0" fontId="34" fillId="0" borderId="28" xfId="0" applyFont="1" applyBorder="1" applyAlignment="1">
      <alignment horizontal="left" vertical="center"/>
    </xf>
    <xf numFmtId="0" fontId="34" fillId="0" borderId="25" xfId="0" applyFont="1" applyBorder="1" applyAlignment="1">
      <alignment horizontal="left" vertical="center"/>
    </xf>
    <xf numFmtId="0" fontId="36" fillId="0" borderId="10" xfId="0" applyFont="1" applyBorder="1" applyAlignment="1">
      <alignment horizontal="center" vertical="center"/>
    </xf>
    <xf numFmtId="0" fontId="31" fillId="0" borderId="27" xfId="0" applyFont="1" applyBorder="1" applyAlignment="1">
      <alignment horizontal="left" vertical="top"/>
    </xf>
    <xf numFmtId="0" fontId="31" fillId="0" borderId="0" xfId="0" applyFont="1" applyAlignment="1">
      <alignment horizontal="left" vertical="top"/>
    </xf>
    <xf numFmtId="0" fontId="31" fillId="0" borderId="55" xfId="0" applyFont="1" applyBorder="1" applyAlignment="1">
      <alignment horizontal="left" vertical="top"/>
    </xf>
    <xf numFmtId="0" fontId="31" fillId="0" borderId="44" xfId="0" applyFont="1" applyBorder="1" applyAlignment="1">
      <alignment horizontal="center"/>
    </xf>
    <xf numFmtId="0" fontId="31" fillId="0" borderId="46" xfId="0" applyFont="1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8" xfId="0" applyBorder="1" applyAlignment="1">
      <alignment horizontal="center"/>
    </xf>
    <xf numFmtId="0" fontId="27" fillId="0" borderId="34" xfId="0" applyFont="1" applyBorder="1" applyAlignment="1">
      <alignment horizontal="center" vertical="center"/>
    </xf>
    <xf numFmtId="0" fontId="27" fillId="0" borderId="40" xfId="0" applyFont="1" applyBorder="1" applyAlignment="1">
      <alignment horizontal="center" vertical="center"/>
    </xf>
    <xf numFmtId="0" fontId="27" fillId="0" borderId="4" xfId="0" applyFont="1" applyBorder="1" applyAlignment="1">
      <alignment horizontal="center" vertical="center"/>
    </xf>
    <xf numFmtId="0" fontId="27" fillId="0" borderId="15" xfId="0" applyFont="1" applyBorder="1" applyAlignment="1">
      <alignment horizontal="center" vertical="center"/>
    </xf>
    <xf numFmtId="0" fontId="27" fillId="0" borderId="0" xfId="0" applyFont="1" applyAlignment="1">
      <alignment horizontal="center" vertical="center"/>
    </xf>
    <xf numFmtId="0" fontId="27" fillId="0" borderId="41" xfId="0" applyFont="1" applyBorder="1" applyAlignment="1">
      <alignment horizontal="center" vertical="center"/>
    </xf>
    <xf numFmtId="0" fontId="27" fillId="0" borderId="31" xfId="0" applyFont="1" applyBorder="1" applyAlignment="1">
      <alignment horizontal="center" vertical="center"/>
    </xf>
    <xf numFmtId="0" fontId="27" fillId="0" borderId="32" xfId="0" applyFont="1" applyBorder="1" applyAlignment="1">
      <alignment horizontal="center" vertical="center"/>
    </xf>
    <xf numFmtId="0" fontId="27" fillId="0" borderId="7" xfId="0" applyFont="1" applyBorder="1" applyAlignment="1">
      <alignment horizontal="center" vertical="center"/>
    </xf>
    <xf numFmtId="0" fontId="27" fillId="0" borderId="44" xfId="0" applyFont="1" applyBorder="1" applyAlignment="1">
      <alignment horizontal="right" vertical="center"/>
    </xf>
    <xf numFmtId="0" fontId="27" fillId="0" borderId="46" xfId="0" applyFont="1" applyBorder="1" applyAlignment="1">
      <alignment horizontal="right" vertical="center"/>
    </xf>
    <xf numFmtId="0" fontId="27" fillId="0" borderId="10" xfId="0" applyFont="1" applyBorder="1" applyAlignment="1">
      <alignment horizontal="right" vertical="center"/>
    </xf>
    <xf numFmtId="0" fontId="27" fillId="0" borderId="45" xfId="0" applyFont="1" applyBorder="1" applyAlignment="1">
      <alignment horizontal="right" vertical="center"/>
    </xf>
    <xf numFmtId="0" fontId="27" fillId="0" borderId="10" xfId="0" applyFont="1" applyBorder="1" applyAlignment="1">
      <alignment horizontal="center"/>
    </xf>
    <xf numFmtId="0" fontId="41" fillId="0" borderId="45" xfId="0" applyFont="1" applyBorder="1" applyAlignment="1">
      <alignment horizontal="left"/>
    </xf>
    <xf numFmtId="2" fontId="27" fillId="0" borderId="10" xfId="0" applyNumberFormat="1" applyFont="1" applyBorder="1" applyAlignment="1">
      <alignment horizontal="center"/>
    </xf>
    <xf numFmtId="0" fontId="41" fillId="0" borderId="19" xfId="0" applyFont="1" applyBorder="1" applyAlignment="1">
      <alignment horizontal="left"/>
    </xf>
    <xf numFmtId="0" fontId="41" fillId="0" borderId="25" xfId="0" applyFont="1" applyBorder="1" applyAlignment="1">
      <alignment horizontal="left"/>
    </xf>
    <xf numFmtId="0" fontId="29" fillId="0" borderId="44" xfId="0" applyFont="1" applyBorder="1" applyAlignment="1">
      <alignment horizontal="left"/>
    </xf>
    <xf numFmtId="0" fontId="29" fillId="0" borderId="45" xfId="0" applyFont="1" applyBorder="1" applyAlignment="1">
      <alignment horizontal="left"/>
    </xf>
    <xf numFmtId="0" fontId="29" fillId="0" borderId="46" xfId="0" applyFont="1" applyBorder="1" applyAlignment="1">
      <alignment horizontal="left"/>
    </xf>
    <xf numFmtId="0" fontId="45" fillId="0" borderId="10" xfId="0" applyFont="1" applyBorder="1" applyAlignment="1">
      <alignment horizontal="center"/>
    </xf>
    <xf numFmtId="0" fontId="27" fillId="29" borderId="26" xfId="0" applyFont="1" applyFill="1" applyBorder="1" applyAlignment="1">
      <alignment horizontal="left"/>
    </xf>
    <xf numFmtId="0" fontId="27" fillId="29" borderId="19" xfId="0" applyFont="1" applyFill="1" applyBorder="1" applyAlignment="1">
      <alignment horizontal="left"/>
    </xf>
    <xf numFmtId="0" fontId="27" fillId="29" borderId="29" xfId="0" applyFont="1" applyFill="1" applyBorder="1" applyAlignment="1">
      <alignment horizontal="left"/>
    </xf>
    <xf numFmtId="0" fontId="27" fillId="29" borderId="28" xfId="0" applyFont="1" applyFill="1" applyBorder="1" applyAlignment="1">
      <alignment horizontal="left"/>
    </xf>
    <xf numFmtId="0" fontId="27" fillId="29" borderId="25" xfId="0" applyFont="1" applyFill="1" applyBorder="1" applyAlignment="1">
      <alignment horizontal="left"/>
    </xf>
    <xf numFmtId="0" fontId="27" fillId="29" borderId="24" xfId="0" applyFont="1" applyFill="1" applyBorder="1" applyAlignment="1">
      <alignment horizontal="left"/>
    </xf>
    <xf numFmtId="0" fontId="46" fillId="29" borderId="10" xfId="0" applyFont="1" applyFill="1" applyBorder="1" applyAlignment="1">
      <alignment horizontal="center"/>
    </xf>
    <xf numFmtId="0" fontId="47" fillId="18" borderId="44" xfId="0" applyFont="1" applyFill="1" applyBorder="1" applyAlignment="1">
      <alignment horizontal="left"/>
    </xf>
    <xf numFmtId="0" fontId="47" fillId="18" borderId="45" xfId="0" applyFont="1" applyFill="1" applyBorder="1" applyAlignment="1">
      <alignment horizontal="left"/>
    </xf>
    <xf numFmtId="0" fontId="47" fillId="18" borderId="46" xfId="0" applyFont="1" applyFill="1" applyBorder="1" applyAlignment="1">
      <alignment horizontal="left"/>
    </xf>
    <xf numFmtId="0" fontId="48" fillId="18" borderId="10" xfId="0" applyFont="1" applyFill="1" applyBorder="1" applyAlignment="1">
      <alignment horizontal="center"/>
    </xf>
    <xf numFmtId="0" fontId="29" fillId="0" borderId="44" xfId="0" applyFont="1" applyBorder="1" applyAlignment="1"/>
    <xf numFmtId="0" fontId="29" fillId="0" borderId="45" xfId="0" applyFont="1" applyBorder="1" applyAlignment="1"/>
    <xf numFmtId="0" fontId="29" fillId="0" borderId="46" xfId="0" applyFont="1" applyBorder="1" applyAlignment="1"/>
    <xf numFmtId="0" fontId="27" fillId="0" borderId="44" xfId="0" applyFont="1" applyBorder="1" applyAlignment="1">
      <alignment horizontal="center"/>
    </xf>
    <xf numFmtId="0" fontId="27" fillId="0" borderId="46" xfId="0" applyFont="1" applyBorder="1" applyAlignment="1">
      <alignment horizontal="center"/>
    </xf>
    <xf numFmtId="2" fontId="48" fillId="18" borderId="10" xfId="0" applyNumberFormat="1" applyFont="1" applyFill="1" applyBorder="1" applyAlignment="1">
      <alignment horizontal="center"/>
    </xf>
    <xf numFmtId="0" fontId="24" fillId="19" borderId="30" xfId="0" applyFont="1" applyFill="1" applyBorder="1" applyAlignment="1">
      <alignment horizontal="center"/>
    </xf>
    <xf numFmtId="0" fontId="0" fillId="19" borderId="37" xfId="0" applyFill="1" applyBorder="1" applyAlignment="1">
      <alignment horizontal="center"/>
    </xf>
    <xf numFmtId="0" fontId="0" fillId="19" borderId="3" xfId="0" applyFill="1" applyBorder="1" applyAlignment="1">
      <alignment horizontal="center"/>
    </xf>
    <xf numFmtId="0" fontId="24" fillId="19" borderId="31" xfId="0" applyFont="1" applyFill="1" applyBorder="1" applyAlignment="1">
      <alignment horizontal="center"/>
    </xf>
    <xf numFmtId="0" fontId="0" fillId="19" borderId="32" xfId="0" applyFill="1" applyBorder="1" applyAlignment="1">
      <alignment horizontal="center"/>
    </xf>
    <xf numFmtId="0" fontId="0" fillId="19" borderId="7" xfId="0" applyFill="1" applyBorder="1" applyAlignment="1">
      <alignment horizontal="center"/>
    </xf>
    <xf numFmtId="0" fontId="0" fillId="18" borderId="44" xfId="0" applyFill="1" applyBorder="1" applyAlignment="1">
      <alignment horizontal="center"/>
    </xf>
    <xf numFmtId="0" fontId="0" fillId="18" borderId="45" xfId="0" applyFill="1" applyBorder="1" applyAlignment="1">
      <alignment horizontal="center"/>
    </xf>
    <xf numFmtId="0" fontId="0" fillId="18" borderId="46" xfId="0" applyFill="1" applyBorder="1" applyAlignment="1">
      <alignment horizontal="center"/>
    </xf>
    <xf numFmtId="0" fontId="24" fillId="19" borderId="37" xfId="0" applyFont="1" applyFill="1" applyBorder="1" applyAlignment="1">
      <alignment horizontal="center"/>
    </xf>
    <xf numFmtId="0" fontId="24" fillId="19" borderId="3" xfId="0" applyFont="1" applyFill="1" applyBorder="1" applyAlignment="1">
      <alignment horizontal="center"/>
    </xf>
    <xf numFmtId="0" fontId="24" fillId="19" borderId="32" xfId="0" applyFont="1" applyFill="1" applyBorder="1" applyAlignment="1">
      <alignment horizontal="center"/>
    </xf>
    <xf numFmtId="0" fontId="24" fillId="19" borderId="7" xfId="0" applyFont="1" applyFill="1" applyBorder="1" applyAlignment="1">
      <alignment horizontal="center"/>
    </xf>
  </cellXfs>
  <cellStyles count="3">
    <cellStyle name="Normal" xfId="0" builtinId="0"/>
    <cellStyle name="Normal 2" xfId="1" xr:uid="{00000000-0005-0000-0000-000001000000}"/>
    <cellStyle name="Normal 3" xfId="2" xr:uid="{00000000-0005-0000-0000-000002000000}"/>
  </cellStyles>
  <dxfs count="5"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19"/>
    </mc:Choice>
    <mc:Fallback>
      <c:style val="19"/>
    </mc:Fallback>
  </mc:AlternateContent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Consommation Eau en m3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1.7834394904458598E-2"/>
          <c:y val="0.11368015414258188"/>
          <c:w val="0.94012738853503186"/>
          <c:h val="0.64932562620423895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'Suivi EAU-ELEC'!$D$7:$E$7</c:f>
              <c:strCache>
                <c:ptCount val="1"/>
                <c:pt idx="0">
                  <c:v>Eau m3</c:v>
                </c:pt>
              </c:strCache>
            </c:strRef>
          </c:tx>
          <c:invertIfNegative val="0"/>
          <c:cat>
            <c:numRef>
              <c:f>'Suivi EAU-ELEC'!$A$9:$A$39</c:f>
              <c:numCache>
                <c:formatCode>m/d/yyyy</c:formatCode>
                <c:ptCount val="31"/>
                <c:pt idx="0">
                  <c:v>44652</c:v>
                </c:pt>
                <c:pt idx="1">
                  <c:v>44653</c:v>
                </c:pt>
                <c:pt idx="2">
                  <c:v>44654</c:v>
                </c:pt>
                <c:pt idx="3">
                  <c:v>44655</c:v>
                </c:pt>
                <c:pt idx="4">
                  <c:v>44656</c:v>
                </c:pt>
                <c:pt idx="5">
                  <c:v>44657</c:v>
                </c:pt>
                <c:pt idx="6">
                  <c:v>44658</c:v>
                </c:pt>
                <c:pt idx="7">
                  <c:v>44659</c:v>
                </c:pt>
                <c:pt idx="8">
                  <c:v>44660</c:v>
                </c:pt>
                <c:pt idx="9">
                  <c:v>44661</c:v>
                </c:pt>
                <c:pt idx="10">
                  <c:v>44662</c:v>
                </c:pt>
                <c:pt idx="11">
                  <c:v>44663</c:v>
                </c:pt>
                <c:pt idx="12">
                  <c:v>44664</c:v>
                </c:pt>
                <c:pt idx="13">
                  <c:v>44665</c:v>
                </c:pt>
                <c:pt idx="14">
                  <c:v>44666</c:v>
                </c:pt>
                <c:pt idx="15">
                  <c:v>44667</c:v>
                </c:pt>
                <c:pt idx="16">
                  <c:v>44668</c:v>
                </c:pt>
                <c:pt idx="17">
                  <c:v>44669</c:v>
                </c:pt>
                <c:pt idx="18">
                  <c:v>44670</c:v>
                </c:pt>
                <c:pt idx="19">
                  <c:v>44671</c:v>
                </c:pt>
                <c:pt idx="20">
                  <c:v>44672</c:v>
                </c:pt>
                <c:pt idx="21">
                  <c:v>44673</c:v>
                </c:pt>
                <c:pt idx="22">
                  <c:v>44674</c:v>
                </c:pt>
                <c:pt idx="23">
                  <c:v>44675</c:v>
                </c:pt>
                <c:pt idx="24">
                  <c:v>44676</c:v>
                </c:pt>
                <c:pt idx="25">
                  <c:v>44677</c:v>
                </c:pt>
                <c:pt idx="26">
                  <c:v>44678</c:v>
                </c:pt>
                <c:pt idx="27">
                  <c:v>44679</c:v>
                </c:pt>
                <c:pt idx="28">
                  <c:v>44680</c:v>
                </c:pt>
                <c:pt idx="29">
                  <c:v>44681</c:v>
                </c:pt>
                <c:pt idx="30">
                  <c:v>44682</c:v>
                </c:pt>
              </c:numCache>
            </c:numRef>
          </c:cat>
          <c:val>
            <c:numRef>
              <c:f>'Suivi EAU-ELEC'!$E$9:$E$39</c:f>
              <c:numCache>
                <c:formatCode>General</c:formatCode>
                <c:ptCount val="31"/>
                <c:pt idx="0">
                  <c:v>118.89999999999418</c:v>
                </c:pt>
                <c:pt idx="1">
                  <c:v>143</c:v>
                </c:pt>
                <c:pt idx="2">
                  <c:v>137</c:v>
                </c:pt>
                <c:pt idx="3">
                  <c:v>134</c:v>
                </c:pt>
                <c:pt idx="4">
                  <c:v>63.899999999994179</c:v>
                </c:pt>
                <c:pt idx="5">
                  <c:v>124.5</c:v>
                </c:pt>
                <c:pt idx="6">
                  <c:v>99</c:v>
                </c:pt>
                <c:pt idx="7">
                  <c:v>104</c:v>
                </c:pt>
                <c:pt idx="8">
                  <c:v>136.80000000001746</c:v>
                </c:pt>
                <c:pt idx="9">
                  <c:v>131.79999999998836</c:v>
                </c:pt>
                <c:pt idx="10">
                  <c:v>88</c:v>
                </c:pt>
                <c:pt idx="11">
                  <c:v>104</c:v>
                </c:pt>
                <c:pt idx="12">
                  <c:v>143</c:v>
                </c:pt>
                <c:pt idx="13">
                  <c:v>109</c:v>
                </c:pt>
                <c:pt idx="14">
                  <c:v>108.5</c:v>
                </c:pt>
                <c:pt idx="15">
                  <c:v>156.5</c:v>
                </c:pt>
                <c:pt idx="16">
                  <c:v>126</c:v>
                </c:pt>
                <c:pt idx="17">
                  <c:v>91</c:v>
                </c:pt>
                <c:pt idx="18">
                  <c:v>109</c:v>
                </c:pt>
                <c:pt idx="19">
                  <c:v>104.10000000000582</c:v>
                </c:pt>
                <c:pt idx="20">
                  <c:v>123.5</c:v>
                </c:pt>
                <c:pt idx="21">
                  <c:v>124.39999999999418</c:v>
                </c:pt>
                <c:pt idx="22">
                  <c:v>105</c:v>
                </c:pt>
                <c:pt idx="23">
                  <c:v>100</c:v>
                </c:pt>
                <c:pt idx="24">
                  <c:v>90</c:v>
                </c:pt>
                <c:pt idx="25">
                  <c:v>124</c:v>
                </c:pt>
                <c:pt idx="26">
                  <c:v>84</c:v>
                </c:pt>
                <c:pt idx="27">
                  <c:v>109</c:v>
                </c:pt>
                <c:pt idx="28">
                  <c:v>114</c:v>
                </c:pt>
                <c:pt idx="29">
                  <c:v>94</c:v>
                </c:pt>
                <c:pt idx="30">
                  <c:v>112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582-4426-BED4-1DE601A3228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903033839"/>
        <c:axId val="1"/>
      </c:barChart>
      <c:dateAx>
        <c:axId val="1903033839"/>
        <c:scaling>
          <c:orientation val="minMax"/>
        </c:scaling>
        <c:delete val="0"/>
        <c:axPos val="b"/>
        <c:numFmt formatCode="m/d/yyyy" sourceLinked="0"/>
        <c:majorTickMark val="out"/>
        <c:minorTickMark val="none"/>
        <c:tickLblPos val="nextTo"/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auto val="1"/>
        <c:lblOffset val="100"/>
        <c:baseTimeUnit val="days"/>
      </c:dateAx>
      <c:valAx>
        <c:axId val="1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03033839"/>
        <c:crosses val="autoZero"/>
        <c:crossBetween val="between"/>
      </c:valAx>
    </c:plotArea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 orientation="landscape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18"/>
    </mc:Choice>
    <mc:Fallback>
      <c:style val="18"/>
    </mc:Fallback>
  </mc:AlternateContent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Consommation Electricité en Kw/h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6.9784728185078956E-2"/>
          <c:y val="9.5031946917566473E-2"/>
          <c:w val="0.9224813197654238"/>
          <c:h val="0.83941634826011124"/>
        </c:manualLayout>
      </c:layout>
      <c:lineChart>
        <c:grouping val="standard"/>
        <c:varyColors val="0"/>
        <c:ser>
          <c:idx val="0"/>
          <c:order val="0"/>
          <c:tx>
            <c:strRef>
              <c:f>'Suivi EAU-ELEC'!$G$8</c:f>
              <c:strCache>
                <c:ptCount val="1"/>
                <c:pt idx="0">
                  <c:v>Consommation  H.Creuse</c:v>
                </c:pt>
              </c:strCache>
            </c:strRef>
          </c:tx>
          <c:cat>
            <c:numRef>
              <c:f>'Suivi EAU-ELEC'!$A$9:$A$39</c:f>
              <c:numCache>
                <c:formatCode>m/d/yyyy</c:formatCode>
                <c:ptCount val="31"/>
                <c:pt idx="0">
                  <c:v>44652</c:v>
                </c:pt>
                <c:pt idx="1">
                  <c:v>44653</c:v>
                </c:pt>
                <c:pt idx="2">
                  <c:v>44654</c:v>
                </c:pt>
                <c:pt idx="3">
                  <c:v>44655</c:v>
                </c:pt>
                <c:pt idx="4">
                  <c:v>44656</c:v>
                </c:pt>
                <c:pt idx="5">
                  <c:v>44657</c:v>
                </c:pt>
                <c:pt idx="6">
                  <c:v>44658</c:v>
                </c:pt>
                <c:pt idx="7">
                  <c:v>44659</c:v>
                </c:pt>
                <c:pt idx="8">
                  <c:v>44660</c:v>
                </c:pt>
                <c:pt idx="9">
                  <c:v>44661</c:v>
                </c:pt>
                <c:pt idx="10">
                  <c:v>44662</c:v>
                </c:pt>
                <c:pt idx="11">
                  <c:v>44663</c:v>
                </c:pt>
                <c:pt idx="12">
                  <c:v>44664</c:v>
                </c:pt>
                <c:pt idx="13">
                  <c:v>44665</c:v>
                </c:pt>
                <c:pt idx="14">
                  <c:v>44666</c:v>
                </c:pt>
                <c:pt idx="15">
                  <c:v>44667</c:v>
                </c:pt>
                <c:pt idx="16">
                  <c:v>44668</c:v>
                </c:pt>
                <c:pt idx="17">
                  <c:v>44669</c:v>
                </c:pt>
                <c:pt idx="18">
                  <c:v>44670</c:v>
                </c:pt>
                <c:pt idx="19">
                  <c:v>44671</c:v>
                </c:pt>
                <c:pt idx="20">
                  <c:v>44672</c:v>
                </c:pt>
                <c:pt idx="21">
                  <c:v>44673</c:v>
                </c:pt>
                <c:pt idx="22">
                  <c:v>44674</c:v>
                </c:pt>
                <c:pt idx="23">
                  <c:v>44675</c:v>
                </c:pt>
                <c:pt idx="24">
                  <c:v>44676</c:v>
                </c:pt>
                <c:pt idx="25">
                  <c:v>44677</c:v>
                </c:pt>
                <c:pt idx="26">
                  <c:v>44678</c:v>
                </c:pt>
                <c:pt idx="27">
                  <c:v>44679</c:v>
                </c:pt>
                <c:pt idx="28">
                  <c:v>44680</c:v>
                </c:pt>
                <c:pt idx="29">
                  <c:v>44681</c:v>
                </c:pt>
                <c:pt idx="30">
                  <c:v>44682</c:v>
                </c:pt>
              </c:numCache>
            </c:numRef>
          </c:cat>
          <c:val>
            <c:numRef>
              <c:f>'Suivi EAU-ELEC'!$G$9:$G$37</c:f>
              <c:numCache>
                <c:formatCode>General</c:formatCode>
                <c:ptCount val="29"/>
                <c:pt idx="0">
                  <c:v>3872</c:v>
                </c:pt>
                <c:pt idx="1">
                  <c:v>2925</c:v>
                </c:pt>
                <c:pt idx="2">
                  <c:v>2848</c:v>
                </c:pt>
                <c:pt idx="3">
                  <c:v>2993</c:v>
                </c:pt>
                <c:pt idx="4">
                  <c:v>3095</c:v>
                </c:pt>
                <c:pt idx="5">
                  <c:v>2998</c:v>
                </c:pt>
                <c:pt idx="6">
                  <c:v>2968</c:v>
                </c:pt>
                <c:pt idx="7">
                  <c:v>2732</c:v>
                </c:pt>
                <c:pt idx="8">
                  <c:v>2858</c:v>
                </c:pt>
                <c:pt idx="9">
                  <c:v>3317</c:v>
                </c:pt>
                <c:pt idx="10">
                  <c:v>2959</c:v>
                </c:pt>
                <c:pt idx="11">
                  <c:v>3117</c:v>
                </c:pt>
                <c:pt idx="12">
                  <c:v>3569</c:v>
                </c:pt>
                <c:pt idx="13">
                  <c:v>3005</c:v>
                </c:pt>
                <c:pt idx="14">
                  <c:v>2878</c:v>
                </c:pt>
                <c:pt idx="15">
                  <c:v>3637</c:v>
                </c:pt>
                <c:pt idx="16">
                  <c:v>3222</c:v>
                </c:pt>
                <c:pt idx="17">
                  <c:v>3398</c:v>
                </c:pt>
                <c:pt idx="18">
                  <c:v>3298</c:v>
                </c:pt>
                <c:pt idx="19">
                  <c:v>2563</c:v>
                </c:pt>
                <c:pt idx="20">
                  <c:v>3536</c:v>
                </c:pt>
                <c:pt idx="21">
                  <c:v>3952</c:v>
                </c:pt>
                <c:pt idx="22">
                  <c:v>3257</c:v>
                </c:pt>
                <c:pt idx="23">
                  <c:v>3326</c:v>
                </c:pt>
                <c:pt idx="24">
                  <c:v>3187</c:v>
                </c:pt>
                <c:pt idx="25">
                  <c:v>3256</c:v>
                </c:pt>
                <c:pt idx="26">
                  <c:v>3215</c:v>
                </c:pt>
                <c:pt idx="27">
                  <c:v>3183</c:v>
                </c:pt>
                <c:pt idx="28">
                  <c:v>2685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30E-4187-977F-84E116563333}"/>
            </c:ext>
          </c:extLst>
        </c:ser>
        <c:ser>
          <c:idx val="1"/>
          <c:order val="1"/>
          <c:tx>
            <c:strRef>
              <c:f>'Suivi EAU-ELEC'!$I$8</c:f>
              <c:strCache>
                <c:ptCount val="1"/>
                <c:pt idx="0">
                  <c:v>Consommation H.Pleine</c:v>
                </c:pt>
              </c:strCache>
            </c:strRef>
          </c:tx>
          <c:dLbls>
            <c:dLbl>
              <c:idx val="5"/>
              <c:layout>
                <c:manualLayout>
                  <c:x val="-3.2562125107112254E-2"/>
                  <c:y val="-4.730669550790171E-2"/>
                </c:manualLayout>
              </c:layout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1000" b="0" i="0" u="none" strike="noStrike" baseline="0">
                      <a:solidFill>
                        <a:srgbClr val="000000"/>
                      </a:solidFill>
                      <a:latin typeface="Calibri"/>
                      <a:ea typeface="Calibri"/>
                      <a:cs typeface="Calibri"/>
                    </a:defRPr>
                  </a:pPr>
                  <a:endParaRPr lang="en-US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130E-4187-977F-84E116563333}"/>
                </c:ext>
              </c:extLst>
            </c:dLbl>
            <c:dLbl>
              <c:idx val="6"/>
              <c:layout>
                <c:manualLayout>
                  <c:x val="-5.1413881748071976E-3"/>
                  <c:y val="-5.0089442302484161E-2"/>
                </c:manualLayout>
              </c:layout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1000" b="0" i="0" u="none" strike="noStrike" baseline="0">
                      <a:solidFill>
                        <a:srgbClr val="000000"/>
                      </a:solidFill>
                      <a:latin typeface="Calibri"/>
                      <a:ea typeface="Calibri"/>
                      <a:cs typeface="Calibri"/>
                    </a:defRPr>
                  </a:pPr>
                  <a:endParaRPr lang="en-US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130E-4187-977F-84E116563333}"/>
                </c:ext>
              </c:extLst>
            </c:dLbl>
            <c:dLbl>
              <c:idx val="7"/>
              <c:layout>
                <c:manualLayout>
                  <c:x val="1.3710368466152529E-2"/>
                  <c:y val="1.391373397291226E-2"/>
                </c:manualLayout>
              </c:layout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1000" b="0" i="0" u="none" strike="noStrike" baseline="0">
                      <a:solidFill>
                        <a:srgbClr val="000000"/>
                      </a:solidFill>
                      <a:latin typeface="Calibri"/>
                      <a:ea typeface="Calibri"/>
                      <a:cs typeface="Calibri"/>
                    </a:defRPr>
                  </a:pPr>
                  <a:endParaRPr lang="en-US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130E-4187-977F-84E116563333}"/>
                </c:ext>
              </c:extLst>
            </c:dLbl>
            <c:numFmt formatCode="General" sourceLinked="0"/>
            <c:spPr>
              <a:noFill/>
              <a:ln w="25400">
                <a:noFill/>
              </a:ln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'Suivi EAU-ELEC'!$A$9:$A$39</c:f>
              <c:numCache>
                <c:formatCode>m/d/yyyy</c:formatCode>
                <c:ptCount val="31"/>
                <c:pt idx="0">
                  <c:v>44652</c:v>
                </c:pt>
                <c:pt idx="1">
                  <c:v>44653</c:v>
                </c:pt>
                <c:pt idx="2">
                  <c:v>44654</c:v>
                </c:pt>
                <c:pt idx="3">
                  <c:v>44655</c:v>
                </c:pt>
                <c:pt idx="4">
                  <c:v>44656</c:v>
                </c:pt>
                <c:pt idx="5">
                  <c:v>44657</c:v>
                </c:pt>
                <c:pt idx="6">
                  <c:v>44658</c:v>
                </c:pt>
                <c:pt idx="7">
                  <c:v>44659</c:v>
                </c:pt>
                <c:pt idx="8">
                  <c:v>44660</c:v>
                </c:pt>
                <c:pt idx="9">
                  <c:v>44661</c:v>
                </c:pt>
                <c:pt idx="10">
                  <c:v>44662</c:v>
                </c:pt>
                <c:pt idx="11">
                  <c:v>44663</c:v>
                </c:pt>
                <c:pt idx="12">
                  <c:v>44664</c:v>
                </c:pt>
                <c:pt idx="13">
                  <c:v>44665</c:v>
                </c:pt>
                <c:pt idx="14">
                  <c:v>44666</c:v>
                </c:pt>
                <c:pt idx="15">
                  <c:v>44667</c:v>
                </c:pt>
                <c:pt idx="16">
                  <c:v>44668</c:v>
                </c:pt>
                <c:pt idx="17">
                  <c:v>44669</c:v>
                </c:pt>
                <c:pt idx="18">
                  <c:v>44670</c:v>
                </c:pt>
                <c:pt idx="19">
                  <c:v>44671</c:v>
                </c:pt>
                <c:pt idx="20">
                  <c:v>44672</c:v>
                </c:pt>
                <c:pt idx="21">
                  <c:v>44673</c:v>
                </c:pt>
                <c:pt idx="22">
                  <c:v>44674</c:v>
                </c:pt>
                <c:pt idx="23">
                  <c:v>44675</c:v>
                </c:pt>
                <c:pt idx="24">
                  <c:v>44676</c:v>
                </c:pt>
                <c:pt idx="25">
                  <c:v>44677</c:v>
                </c:pt>
                <c:pt idx="26">
                  <c:v>44678</c:v>
                </c:pt>
                <c:pt idx="27">
                  <c:v>44679</c:v>
                </c:pt>
                <c:pt idx="28">
                  <c:v>44680</c:v>
                </c:pt>
                <c:pt idx="29">
                  <c:v>44681</c:v>
                </c:pt>
                <c:pt idx="30">
                  <c:v>44682</c:v>
                </c:pt>
              </c:numCache>
            </c:numRef>
          </c:cat>
          <c:val>
            <c:numRef>
              <c:f>'Suivi EAU-ELEC'!$I$9:$I$37</c:f>
              <c:numCache>
                <c:formatCode>General</c:formatCode>
                <c:ptCount val="29"/>
                <c:pt idx="0">
                  <c:v>5571</c:v>
                </c:pt>
                <c:pt idx="1">
                  <c:v>5835</c:v>
                </c:pt>
                <c:pt idx="2">
                  <c:v>5402</c:v>
                </c:pt>
                <c:pt idx="3">
                  <c:v>5079</c:v>
                </c:pt>
                <c:pt idx="4">
                  <c:v>4560</c:v>
                </c:pt>
                <c:pt idx="5">
                  <c:v>5103</c:v>
                </c:pt>
                <c:pt idx="6">
                  <c:v>5120</c:v>
                </c:pt>
                <c:pt idx="7">
                  <c:v>5401</c:v>
                </c:pt>
                <c:pt idx="8">
                  <c:v>5414</c:v>
                </c:pt>
                <c:pt idx="9">
                  <c:v>5290</c:v>
                </c:pt>
                <c:pt idx="10">
                  <c:v>5314</c:v>
                </c:pt>
                <c:pt idx="11">
                  <c:v>5458</c:v>
                </c:pt>
                <c:pt idx="12">
                  <c:v>5987</c:v>
                </c:pt>
                <c:pt idx="13">
                  <c:v>5960</c:v>
                </c:pt>
                <c:pt idx="14">
                  <c:v>5738</c:v>
                </c:pt>
                <c:pt idx="15">
                  <c:v>5811</c:v>
                </c:pt>
                <c:pt idx="16">
                  <c:v>5842</c:v>
                </c:pt>
                <c:pt idx="17">
                  <c:v>5729</c:v>
                </c:pt>
                <c:pt idx="18">
                  <c:v>6064</c:v>
                </c:pt>
                <c:pt idx="19">
                  <c:v>6082</c:v>
                </c:pt>
                <c:pt idx="20">
                  <c:v>5881</c:v>
                </c:pt>
                <c:pt idx="21">
                  <c:v>5742</c:v>
                </c:pt>
                <c:pt idx="22">
                  <c:v>5685</c:v>
                </c:pt>
                <c:pt idx="23">
                  <c:v>5857</c:v>
                </c:pt>
                <c:pt idx="24">
                  <c:v>8689</c:v>
                </c:pt>
                <c:pt idx="25">
                  <c:v>2767</c:v>
                </c:pt>
                <c:pt idx="26">
                  <c:v>5813</c:v>
                </c:pt>
                <c:pt idx="27">
                  <c:v>5776</c:v>
                </c:pt>
                <c:pt idx="28">
                  <c:v>5865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130E-4187-977F-84E116563333}"/>
            </c:ext>
          </c:extLst>
        </c:ser>
        <c:ser>
          <c:idx val="2"/>
          <c:order val="2"/>
          <c:tx>
            <c:strRef>
              <c:f>'Suivi EAU-ELEC'!$K$8</c:f>
              <c:strCache>
                <c:ptCount val="1"/>
                <c:pt idx="0">
                  <c:v>Consommation  H.Pointe</c:v>
                </c:pt>
              </c:strCache>
            </c:strRef>
          </c:tx>
          <c:cat>
            <c:numRef>
              <c:f>'Suivi EAU-ELEC'!$A$9:$A$39</c:f>
              <c:numCache>
                <c:formatCode>m/d/yyyy</c:formatCode>
                <c:ptCount val="31"/>
                <c:pt idx="0">
                  <c:v>44652</c:v>
                </c:pt>
                <c:pt idx="1">
                  <c:v>44653</c:v>
                </c:pt>
                <c:pt idx="2">
                  <c:v>44654</c:v>
                </c:pt>
                <c:pt idx="3">
                  <c:v>44655</c:v>
                </c:pt>
                <c:pt idx="4">
                  <c:v>44656</c:v>
                </c:pt>
                <c:pt idx="5">
                  <c:v>44657</c:v>
                </c:pt>
                <c:pt idx="6">
                  <c:v>44658</c:v>
                </c:pt>
                <c:pt idx="7">
                  <c:v>44659</c:v>
                </c:pt>
                <c:pt idx="8">
                  <c:v>44660</c:v>
                </c:pt>
                <c:pt idx="9">
                  <c:v>44661</c:v>
                </c:pt>
                <c:pt idx="10">
                  <c:v>44662</c:v>
                </c:pt>
                <c:pt idx="11">
                  <c:v>44663</c:v>
                </c:pt>
                <c:pt idx="12">
                  <c:v>44664</c:v>
                </c:pt>
                <c:pt idx="13">
                  <c:v>44665</c:v>
                </c:pt>
                <c:pt idx="14">
                  <c:v>44666</c:v>
                </c:pt>
                <c:pt idx="15">
                  <c:v>44667</c:v>
                </c:pt>
                <c:pt idx="16">
                  <c:v>44668</c:v>
                </c:pt>
                <c:pt idx="17">
                  <c:v>44669</c:v>
                </c:pt>
                <c:pt idx="18">
                  <c:v>44670</c:v>
                </c:pt>
                <c:pt idx="19">
                  <c:v>44671</c:v>
                </c:pt>
                <c:pt idx="20">
                  <c:v>44672</c:v>
                </c:pt>
                <c:pt idx="21">
                  <c:v>44673</c:v>
                </c:pt>
                <c:pt idx="22">
                  <c:v>44674</c:v>
                </c:pt>
                <c:pt idx="23">
                  <c:v>44675</c:v>
                </c:pt>
                <c:pt idx="24">
                  <c:v>44676</c:v>
                </c:pt>
                <c:pt idx="25">
                  <c:v>44677</c:v>
                </c:pt>
                <c:pt idx="26">
                  <c:v>44678</c:v>
                </c:pt>
                <c:pt idx="27">
                  <c:v>44679</c:v>
                </c:pt>
                <c:pt idx="28">
                  <c:v>44680</c:v>
                </c:pt>
                <c:pt idx="29">
                  <c:v>44681</c:v>
                </c:pt>
                <c:pt idx="30">
                  <c:v>44682</c:v>
                </c:pt>
              </c:numCache>
            </c:numRef>
          </c:cat>
          <c:val>
            <c:numRef>
              <c:f>'Suivi EAU-ELEC'!$K$9:$K$37</c:f>
              <c:numCache>
                <c:formatCode>General</c:formatCode>
                <c:ptCount val="29"/>
                <c:pt idx="0">
                  <c:v>2678</c:v>
                </c:pt>
                <c:pt idx="1">
                  <c:v>2283</c:v>
                </c:pt>
                <c:pt idx="2">
                  <c:v>2333</c:v>
                </c:pt>
                <c:pt idx="3">
                  <c:v>2389</c:v>
                </c:pt>
                <c:pt idx="4">
                  <c:v>2339</c:v>
                </c:pt>
                <c:pt idx="5">
                  <c:v>2130</c:v>
                </c:pt>
                <c:pt idx="6">
                  <c:v>2178</c:v>
                </c:pt>
                <c:pt idx="7">
                  <c:v>2478</c:v>
                </c:pt>
                <c:pt idx="8">
                  <c:v>2428</c:v>
                </c:pt>
                <c:pt idx="9">
                  <c:v>2491</c:v>
                </c:pt>
                <c:pt idx="10">
                  <c:v>2466</c:v>
                </c:pt>
                <c:pt idx="11">
                  <c:v>2539</c:v>
                </c:pt>
                <c:pt idx="12">
                  <c:v>2966</c:v>
                </c:pt>
                <c:pt idx="13">
                  <c:v>2522</c:v>
                </c:pt>
                <c:pt idx="14">
                  <c:v>2537</c:v>
                </c:pt>
                <c:pt idx="15">
                  <c:v>2703</c:v>
                </c:pt>
                <c:pt idx="16">
                  <c:v>2413</c:v>
                </c:pt>
                <c:pt idx="17">
                  <c:v>2560</c:v>
                </c:pt>
                <c:pt idx="18">
                  <c:v>2705</c:v>
                </c:pt>
                <c:pt idx="19">
                  <c:v>2698</c:v>
                </c:pt>
                <c:pt idx="20">
                  <c:v>3060</c:v>
                </c:pt>
                <c:pt idx="21">
                  <c:v>2751</c:v>
                </c:pt>
                <c:pt idx="22">
                  <c:v>2673</c:v>
                </c:pt>
                <c:pt idx="23">
                  <c:v>2544</c:v>
                </c:pt>
                <c:pt idx="24">
                  <c:v>3260</c:v>
                </c:pt>
                <c:pt idx="25">
                  <c:v>1770</c:v>
                </c:pt>
                <c:pt idx="26">
                  <c:v>2652</c:v>
                </c:pt>
                <c:pt idx="27">
                  <c:v>2585</c:v>
                </c:pt>
                <c:pt idx="28">
                  <c:v>2490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130E-4187-977F-84E11656333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03036335"/>
        <c:axId val="1"/>
      </c:lineChart>
      <c:dateAx>
        <c:axId val="1903036335"/>
        <c:scaling>
          <c:orientation val="minMax"/>
        </c:scaling>
        <c:delete val="0"/>
        <c:axPos val="b"/>
        <c:numFmt formatCode="m/d/yyyy" sourceLinked="0"/>
        <c:majorTickMark val="none"/>
        <c:minorTickMark val="none"/>
        <c:tickLblPos val="nextTo"/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auto val="1"/>
        <c:lblOffset val="100"/>
        <c:baseTimeUnit val="days"/>
      </c:dateAx>
      <c:valAx>
        <c:axId val="1"/>
        <c:scaling>
          <c:orientation val="minMax"/>
        </c:scaling>
        <c:delete val="0"/>
        <c:axPos val="l"/>
        <c:majorGridlines/>
        <c:numFmt formatCode="General" sourceLinked="1"/>
        <c:majorTickMark val="none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03036335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8.9974293059125965E-2"/>
          <c:y val="0.81702127659574464"/>
          <c:w val="0.80848383026671788"/>
          <c:h val="0.1063829787234043"/>
        </c:manualLayout>
      </c:layout>
      <c:overlay val="0"/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0022" l="0.70000000000000018" r="0.70000000000000018" t="0.75000000000000022" header="0.3000000000000001" footer="0.3000000000000001"/>
    <c:pageSetup orientation="landscape"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24"/>
    </mc:Choice>
    <mc:Fallback>
      <c:style val="24"/>
    </mc:Fallback>
  </mc:AlternateContent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Consommation Gaz en  Kg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4.4814340588988477E-2"/>
          <c:y val="0.1108433734939759"/>
          <c:w val="0.92317541613316256"/>
          <c:h val="0.70843373493975903"/>
        </c:manualLayout>
      </c:layout>
      <c:barChart>
        <c:barDir val="col"/>
        <c:grouping val="clustered"/>
        <c:varyColors val="0"/>
        <c:ser>
          <c:idx val="0"/>
          <c:order val="0"/>
          <c:invertIfNegative val="0"/>
          <c:cat>
            <c:numRef>
              <c:f>'Suvi Gaz'!$A$4:$A$34</c:f>
              <c:numCache>
                <c:formatCode>[$-40C]d\-mmm;@</c:formatCode>
                <c:ptCount val="31"/>
                <c:pt idx="0">
                  <c:v>44652</c:v>
                </c:pt>
                <c:pt idx="1">
                  <c:v>44653</c:v>
                </c:pt>
                <c:pt idx="2">
                  <c:v>44654</c:v>
                </c:pt>
                <c:pt idx="3">
                  <c:v>44655</c:v>
                </c:pt>
                <c:pt idx="4">
                  <c:v>44656</c:v>
                </c:pt>
                <c:pt idx="5">
                  <c:v>44657</c:v>
                </c:pt>
                <c:pt idx="6">
                  <c:v>44658</c:v>
                </c:pt>
                <c:pt idx="7">
                  <c:v>44659</c:v>
                </c:pt>
                <c:pt idx="8">
                  <c:v>44660</c:v>
                </c:pt>
                <c:pt idx="9">
                  <c:v>44661</c:v>
                </c:pt>
                <c:pt idx="10">
                  <c:v>44662</c:v>
                </c:pt>
                <c:pt idx="11">
                  <c:v>44663</c:v>
                </c:pt>
                <c:pt idx="12">
                  <c:v>44664</c:v>
                </c:pt>
                <c:pt idx="13">
                  <c:v>44665</c:v>
                </c:pt>
                <c:pt idx="14">
                  <c:v>44666</c:v>
                </c:pt>
                <c:pt idx="15">
                  <c:v>44667</c:v>
                </c:pt>
                <c:pt idx="16">
                  <c:v>44668</c:v>
                </c:pt>
                <c:pt idx="17">
                  <c:v>44669</c:v>
                </c:pt>
                <c:pt idx="18">
                  <c:v>44670</c:v>
                </c:pt>
                <c:pt idx="19">
                  <c:v>44671</c:v>
                </c:pt>
                <c:pt idx="20">
                  <c:v>44672</c:v>
                </c:pt>
                <c:pt idx="21">
                  <c:v>44673</c:v>
                </c:pt>
                <c:pt idx="22">
                  <c:v>44674</c:v>
                </c:pt>
                <c:pt idx="23">
                  <c:v>44675</c:v>
                </c:pt>
                <c:pt idx="24">
                  <c:v>44676</c:v>
                </c:pt>
                <c:pt idx="25">
                  <c:v>44677</c:v>
                </c:pt>
                <c:pt idx="26">
                  <c:v>44678</c:v>
                </c:pt>
                <c:pt idx="27">
                  <c:v>44679</c:v>
                </c:pt>
                <c:pt idx="28">
                  <c:v>44680</c:v>
                </c:pt>
                <c:pt idx="29">
                  <c:v>44681</c:v>
                </c:pt>
                <c:pt idx="30">
                  <c:v>44682</c:v>
                </c:pt>
              </c:numCache>
            </c:numRef>
          </c:cat>
          <c:val>
            <c:numRef>
              <c:f>'Suvi Gaz'!$O$4:$O$33</c:f>
              <c:numCache>
                <c:formatCode>General</c:formatCode>
                <c:ptCount val="30"/>
                <c:pt idx="0">
                  <c:v>575.98577999999998</c:v>
                </c:pt>
                <c:pt idx="1">
                  <c:v>703.98262</c:v>
                </c:pt>
                <c:pt idx="2">
                  <c:v>671.98341000000005</c:v>
                </c:pt>
                <c:pt idx="3">
                  <c:v>192.35820000000001</c:v>
                </c:pt>
                <c:pt idx="4">
                  <c:v>415.98973000000001</c:v>
                </c:pt>
                <c:pt idx="5">
                  <c:v>479.98815000000002</c:v>
                </c:pt>
                <c:pt idx="6">
                  <c:v>415.98973000000001</c:v>
                </c:pt>
                <c:pt idx="7">
                  <c:v>895.97788000000003</c:v>
                </c:pt>
                <c:pt idx="8">
                  <c:v>415.98973000000001</c:v>
                </c:pt>
                <c:pt idx="9">
                  <c:v>223.99447000000001</c:v>
                </c:pt>
                <c:pt idx="10">
                  <c:v>479.98815000000002</c:v>
                </c:pt>
                <c:pt idx="11">
                  <c:v>543.98657000000003</c:v>
                </c:pt>
                <c:pt idx="12">
                  <c:v>511.98736000000002</c:v>
                </c:pt>
                <c:pt idx="13">
                  <c:v>479.98815000000002</c:v>
                </c:pt>
                <c:pt idx="14">
                  <c:v>479.98815000000002</c:v>
                </c:pt>
                <c:pt idx="15">
                  <c:v>639.98419999999999</c:v>
                </c:pt>
                <c:pt idx="16">
                  <c:v>511.98736000000002</c:v>
                </c:pt>
                <c:pt idx="17">
                  <c:v>607.98499000000004</c:v>
                </c:pt>
                <c:pt idx="18">
                  <c:v>671.98341000000005</c:v>
                </c:pt>
                <c:pt idx="19">
                  <c:v>895.97788000000003</c:v>
                </c:pt>
                <c:pt idx="20">
                  <c:v>287.99288999999999</c:v>
                </c:pt>
                <c:pt idx="21">
                  <c:v>447.98894000000001</c:v>
                </c:pt>
                <c:pt idx="22">
                  <c:v>607.98499000000004</c:v>
                </c:pt>
                <c:pt idx="23">
                  <c:v>447.98894000000001</c:v>
                </c:pt>
                <c:pt idx="24">
                  <c:v>383.99052</c:v>
                </c:pt>
                <c:pt idx="25">
                  <c:v>479.98815000000002</c:v>
                </c:pt>
                <c:pt idx="26">
                  <c:v>415.98973000000001</c:v>
                </c:pt>
                <c:pt idx="27">
                  <c:v>479.98815000000002</c:v>
                </c:pt>
                <c:pt idx="28">
                  <c:v>671.98341000000005</c:v>
                </c:pt>
                <c:pt idx="29">
                  <c:v>159.99605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C10-4AB4-A5A7-4FE8F6FFC76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903037167"/>
        <c:axId val="1"/>
      </c:barChart>
      <c:dateAx>
        <c:axId val="1903037167"/>
        <c:scaling>
          <c:orientation val="minMax"/>
        </c:scaling>
        <c:delete val="0"/>
        <c:axPos val="b"/>
        <c:numFmt formatCode="[$-40C]d\-mmm;@" sourceLinked="0"/>
        <c:majorTickMark val="none"/>
        <c:minorTickMark val="none"/>
        <c:tickLblPos val="nextTo"/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auto val="1"/>
        <c:lblOffset val="100"/>
        <c:baseTimeUnit val="days"/>
      </c:dateAx>
      <c:valAx>
        <c:axId val="1"/>
        <c:scaling>
          <c:orientation val="minMax"/>
          <c:min val="100"/>
        </c:scaling>
        <c:delete val="0"/>
        <c:axPos val="l"/>
        <c:majorGridlines/>
        <c:numFmt formatCode="General" sourceLinked="1"/>
        <c:majorTickMark val="none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03037167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49807965425576606"/>
          <c:y val="0.94939871152469579"/>
          <c:w val="6.4020486555698142E-3"/>
          <c:h val="2.1686607355898668E-2"/>
        </c:manualLayout>
      </c:layout>
      <c:overlay val="0"/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0044" l="0.7000000000000004" r="0.7000000000000004" t="0.75000000000000044" header="0.30000000000000021" footer="0.30000000000000021"/>
    <c:pageSetup orientation="landscape"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4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Consommation d'électricité en KW</a:t>
            </a:r>
          </a:p>
        </c:rich>
      </c:tx>
      <c:overlay val="0"/>
      <c:spPr>
        <a:noFill/>
        <a:ln w="2540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'cons annuel électr'!$B$8</c:f>
              <c:strCache>
                <c:ptCount val="1"/>
                <c:pt idx="0">
                  <c:v>Année 2015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'cons annuel électr'!$C$7:$N$7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électr'!$C$8:$N$8</c:f>
              <c:numCache>
                <c:formatCode>General</c:formatCode>
                <c:ptCount val="12"/>
                <c:pt idx="9">
                  <c:v>544520</c:v>
                </c:pt>
                <c:pt idx="10">
                  <c:v>561765</c:v>
                </c:pt>
                <c:pt idx="11">
                  <c:v>546771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006-46AC-AAA2-1732D6503D6C}"/>
            </c:ext>
          </c:extLst>
        </c:ser>
        <c:ser>
          <c:idx val="1"/>
          <c:order val="1"/>
          <c:tx>
            <c:strRef>
              <c:f>'cons annuel électr'!$B$9</c:f>
              <c:strCache>
                <c:ptCount val="1"/>
                <c:pt idx="0">
                  <c:v>Année 2016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'cons annuel électr'!$C$7:$N$7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électr'!$C$9:$N$9</c:f>
              <c:numCache>
                <c:formatCode>General</c:formatCode>
                <c:ptCount val="12"/>
                <c:pt idx="0">
                  <c:v>564170</c:v>
                </c:pt>
                <c:pt idx="1">
                  <c:v>532072</c:v>
                </c:pt>
                <c:pt idx="2">
                  <c:v>405239</c:v>
                </c:pt>
                <c:pt idx="3">
                  <c:v>469130</c:v>
                </c:pt>
                <c:pt idx="4">
                  <c:v>543877</c:v>
                </c:pt>
                <c:pt idx="5">
                  <c:v>605744</c:v>
                </c:pt>
                <c:pt idx="6">
                  <c:v>722083</c:v>
                </c:pt>
                <c:pt idx="7">
                  <c:v>802210</c:v>
                </c:pt>
                <c:pt idx="8">
                  <c:v>762933</c:v>
                </c:pt>
                <c:pt idx="9">
                  <c:v>670848</c:v>
                </c:pt>
                <c:pt idx="10">
                  <c:v>626451</c:v>
                </c:pt>
                <c:pt idx="11">
                  <c:v>557392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006-46AC-AAA2-1732D6503D6C}"/>
            </c:ext>
          </c:extLst>
        </c:ser>
        <c:ser>
          <c:idx val="2"/>
          <c:order val="2"/>
          <c:tx>
            <c:strRef>
              <c:f>'cons annuel électr'!$B$10</c:f>
              <c:strCache>
                <c:ptCount val="1"/>
                <c:pt idx="0">
                  <c:v>Année 2017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'cons annuel électr'!$C$7:$N$7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électr'!$C$10:$N$10</c:f>
              <c:numCache>
                <c:formatCode>General</c:formatCode>
                <c:ptCount val="12"/>
                <c:pt idx="0">
                  <c:v>520977</c:v>
                </c:pt>
                <c:pt idx="1">
                  <c:v>541271</c:v>
                </c:pt>
                <c:pt idx="2">
                  <c:v>508392</c:v>
                </c:pt>
                <c:pt idx="3">
                  <c:v>659200</c:v>
                </c:pt>
                <c:pt idx="4">
                  <c:v>705703</c:v>
                </c:pt>
                <c:pt idx="5">
                  <c:v>784214</c:v>
                </c:pt>
                <c:pt idx="6">
                  <c:v>823726</c:v>
                </c:pt>
                <c:pt idx="7">
                  <c:v>913736</c:v>
                </c:pt>
                <c:pt idx="8">
                  <c:v>831734</c:v>
                </c:pt>
                <c:pt idx="9">
                  <c:v>794243</c:v>
                </c:pt>
                <c:pt idx="10">
                  <c:v>688127</c:v>
                </c:pt>
                <c:pt idx="11">
                  <c:v>577067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006-46AC-AAA2-1732D6503D6C}"/>
            </c:ext>
          </c:extLst>
        </c:ser>
        <c:ser>
          <c:idx val="3"/>
          <c:order val="3"/>
          <c:tx>
            <c:strRef>
              <c:f>'cons annuel électr'!$B$11</c:f>
              <c:strCache>
                <c:ptCount val="1"/>
                <c:pt idx="0">
                  <c:v>Année 2018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'cons annuel électr'!$C$7:$N$7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électr'!$C$11:$N$11</c:f>
              <c:numCache>
                <c:formatCode>General</c:formatCode>
                <c:ptCount val="12"/>
                <c:pt idx="0">
                  <c:v>586355</c:v>
                </c:pt>
                <c:pt idx="1">
                  <c:v>563735</c:v>
                </c:pt>
                <c:pt idx="2">
                  <c:v>512313</c:v>
                </c:pt>
                <c:pt idx="3">
                  <c:v>573440</c:v>
                </c:pt>
                <c:pt idx="4">
                  <c:v>535115</c:v>
                </c:pt>
                <c:pt idx="5">
                  <c:v>570139</c:v>
                </c:pt>
                <c:pt idx="6">
                  <c:v>669302</c:v>
                </c:pt>
                <c:pt idx="7">
                  <c:v>704714</c:v>
                </c:pt>
                <c:pt idx="8">
                  <c:v>682717</c:v>
                </c:pt>
                <c:pt idx="9">
                  <c:v>581239</c:v>
                </c:pt>
                <c:pt idx="10">
                  <c:v>438561</c:v>
                </c:pt>
                <c:pt idx="11">
                  <c:v>400672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0006-46AC-AAA2-1732D6503D6C}"/>
            </c:ext>
          </c:extLst>
        </c:ser>
        <c:ser>
          <c:idx val="4"/>
          <c:order val="4"/>
          <c:tx>
            <c:strRef>
              <c:f>'cons annuel électr'!$B$12</c:f>
              <c:strCache>
                <c:ptCount val="1"/>
                <c:pt idx="0">
                  <c:v>Année 2019</c:v>
                </c:pt>
              </c:strCache>
            </c:strRef>
          </c:tx>
          <c:cat>
            <c:strRef>
              <c:f>'cons annuel électr'!$C$7:$N$7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électr'!$C$12:$N$12</c:f>
              <c:numCache>
                <c:formatCode>General</c:formatCode>
                <c:ptCount val="12"/>
                <c:pt idx="0">
                  <c:v>388363</c:v>
                </c:pt>
                <c:pt idx="1">
                  <c:v>407737</c:v>
                </c:pt>
                <c:pt idx="2">
                  <c:v>392102</c:v>
                </c:pt>
                <c:pt idx="3">
                  <c:v>454554</c:v>
                </c:pt>
                <c:pt idx="4">
                  <c:v>448580</c:v>
                </c:pt>
                <c:pt idx="5">
                  <c:v>535391</c:v>
                </c:pt>
                <c:pt idx="6">
                  <c:v>549301</c:v>
                </c:pt>
                <c:pt idx="7">
                  <c:v>576078</c:v>
                </c:pt>
                <c:pt idx="8">
                  <c:v>612675</c:v>
                </c:pt>
                <c:pt idx="9">
                  <c:v>542640</c:v>
                </c:pt>
                <c:pt idx="10">
                  <c:v>507495</c:v>
                </c:pt>
                <c:pt idx="11">
                  <c:v>444826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0006-46AC-AAA2-1732D6503D6C}"/>
            </c:ext>
          </c:extLst>
        </c:ser>
        <c:ser>
          <c:idx val="5"/>
          <c:order val="5"/>
          <c:tx>
            <c:strRef>
              <c:f>'cons annuel électr'!$B$15</c:f>
              <c:strCache>
                <c:ptCount val="1"/>
                <c:pt idx="0">
                  <c:v>Année 2022</c:v>
                </c:pt>
              </c:strCache>
            </c:strRef>
          </c:tx>
          <c:cat>
            <c:strRef>
              <c:f>'cons annuel électr'!$C$7:$N$7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électr'!$C$15:$N$15</c:f>
              <c:numCache>
                <c:formatCode>General</c:formatCode>
                <c:ptCount val="12"/>
                <c:pt idx="0">
                  <c:v>206479</c:v>
                </c:pt>
                <c:pt idx="1">
                  <c:v>244783</c:v>
                </c:pt>
                <c:pt idx="2">
                  <c:v>316387</c:v>
                </c:pt>
                <c:pt idx="3">
                  <c:v>353545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0006-46AC-AAA2-1732D6503D6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03032591"/>
        <c:axId val="1"/>
      </c:lineChart>
      <c:catAx>
        <c:axId val="190303259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éléctricité en KW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03032591"/>
        <c:crosses val="autoZero"/>
        <c:crossBetween val="between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35056576732431871"/>
          <c:y val="0.94892727118787568"/>
          <c:w val="7.5616670694838406E-2"/>
          <c:h val="5.1072728812124324E-2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105" b="0" i="0" u="none" strike="noStrike" baseline="0">
              <a:solidFill>
                <a:srgbClr val="333333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4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Consommation d'électricité en DH HT</a:t>
            </a:r>
          </a:p>
        </c:rich>
      </c:tx>
      <c:layout>
        <c:manualLayout>
          <c:xMode val="edge"/>
          <c:yMode val="edge"/>
          <c:x val="0.18946532157413973"/>
          <c:y val="2.7777706648457561E-2"/>
        </c:manualLayout>
      </c:layout>
      <c:overlay val="0"/>
      <c:spPr>
        <a:noFill/>
        <a:ln w="2540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'cons annuel électr'!$B$19</c:f>
              <c:strCache>
                <c:ptCount val="1"/>
                <c:pt idx="0">
                  <c:v>Année 2015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'cons annuel électr'!$C$18:$N$18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électr'!$C$19:$N$19</c:f>
              <c:numCache>
                <c:formatCode>General</c:formatCode>
                <c:ptCount val="12"/>
                <c:pt idx="9">
                  <c:v>527344.76260000002</c:v>
                </c:pt>
                <c:pt idx="10">
                  <c:v>542887.95270000002</c:v>
                </c:pt>
                <c:pt idx="11">
                  <c:v>530789.10450000002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9F6-4732-9434-EF892AEE9119}"/>
            </c:ext>
          </c:extLst>
        </c:ser>
        <c:ser>
          <c:idx val="1"/>
          <c:order val="1"/>
          <c:tx>
            <c:strRef>
              <c:f>'cons annuel électr'!$B$20</c:f>
              <c:strCache>
                <c:ptCount val="1"/>
                <c:pt idx="0">
                  <c:v>Année 2016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'cons annuel électr'!$C$18:$N$18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électr'!$C$20:$N$20</c:f>
              <c:numCache>
                <c:formatCode>General</c:formatCode>
                <c:ptCount val="12"/>
                <c:pt idx="0">
                  <c:v>577599.26069999998</c:v>
                </c:pt>
                <c:pt idx="1">
                  <c:v>549500.304</c:v>
                </c:pt>
                <c:pt idx="2">
                  <c:v>437038.73300000001</c:v>
                </c:pt>
                <c:pt idx="3">
                  <c:v>498381.28909999994</c:v>
                </c:pt>
                <c:pt idx="4">
                  <c:v>567710.58700000006</c:v>
                </c:pt>
                <c:pt idx="5">
                  <c:v>626665.41229999997</c:v>
                </c:pt>
                <c:pt idx="6">
                  <c:v>732996.54229999997</c:v>
                </c:pt>
                <c:pt idx="7">
                  <c:v>807380.11509999994</c:v>
                </c:pt>
                <c:pt idx="8">
                  <c:v>765103.69790000003</c:v>
                </c:pt>
                <c:pt idx="9">
                  <c:v>674808.60869999998</c:v>
                </c:pt>
                <c:pt idx="10">
                  <c:v>636029.23249999993</c:v>
                </c:pt>
                <c:pt idx="11">
                  <c:v>575999.90890000004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9F6-4732-9434-EF892AEE9119}"/>
            </c:ext>
          </c:extLst>
        </c:ser>
        <c:ser>
          <c:idx val="2"/>
          <c:order val="2"/>
          <c:tx>
            <c:strRef>
              <c:f>'cons annuel électr'!$B$21</c:f>
              <c:strCache>
                <c:ptCount val="1"/>
                <c:pt idx="0">
                  <c:v>Année 2017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'cons annuel électr'!$C$18:$N$18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électr'!$C$21:$N$21</c:f>
              <c:numCache>
                <c:formatCode>General</c:formatCode>
                <c:ptCount val="12"/>
                <c:pt idx="0">
                  <c:v>565777.06310000003</c:v>
                </c:pt>
                <c:pt idx="1">
                  <c:v>589465.87030000007</c:v>
                </c:pt>
                <c:pt idx="2">
                  <c:v>559348.96649999998</c:v>
                </c:pt>
                <c:pt idx="3">
                  <c:v>706566.82740000007</c:v>
                </c:pt>
                <c:pt idx="4">
                  <c:v>750048.77370000002</c:v>
                </c:pt>
                <c:pt idx="5">
                  <c:v>823657.03619999997</c:v>
                </c:pt>
                <c:pt idx="6">
                  <c:v>863911.20730000001</c:v>
                </c:pt>
                <c:pt idx="7">
                  <c:v>948371.73810000008</c:v>
                </c:pt>
                <c:pt idx="8">
                  <c:v>870086.49040000001</c:v>
                </c:pt>
                <c:pt idx="9">
                  <c:v>828237.32940000005</c:v>
                </c:pt>
                <c:pt idx="10">
                  <c:v>728226.36450000003</c:v>
                </c:pt>
                <c:pt idx="11">
                  <c:v>620794.43210000009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D9F6-4732-9434-EF892AEE9119}"/>
            </c:ext>
          </c:extLst>
        </c:ser>
        <c:ser>
          <c:idx val="3"/>
          <c:order val="3"/>
          <c:tx>
            <c:strRef>
              <c:f>'cons annuel électr'!$B$22</c:f>
              <c:strCache>
                <c:ptCount val="1"/>
                <c:pt idx="0">
                  <c:v>Année 2018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'cons annuel électr'!$C$18:$N$18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électr'!$C$22:$N$22</c:f>
              <c:numCache>
                <c:formatCode>General</c:formatCode>
                <c:ptCount val="12"/>
                <c:pt idx="0">
                  <c:v>629018.45440000005</c:v>
                </c:pt>
                <c:pt idx="1">
                  <c:v>609232.05440000002</c:v>
                </c:pt>
                <c:pt idx="2">
                  <c:v>564099.54039999994</c:v>
                </c:pt>
                <c:pt idx="3">
                  <c:v>625412.74040000001</c:v>
                </c:pt>
                <c:pt idx="4">
                  <c:v>591310.6496</c:v>
                </c:pt>
                <c:pt idx="5">
                  <c:v>627578.14100000006</c:v>
                </c:pt>
                <c:pt idx="6">
                  <c:v>723790.51</c:v>
                </c:pt>
                <c:pt idx="7">
                  <c:v>756208.25020000001</c:v>
                </c:pt>
                <c:pt idx="8">
                  <c:v>734211.55240000004</c:v>
                </c:pt>
                <c:pt idx="9">
                  <c:v>634725.01650000003</c:v>
                </c:pt>
                <c:pt idx="10">
                  <c:v>492313.53600000002</c:v>
                </c:pt>
                <c:pt idx="11">
                  <c:v>430486.08379999996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9F6-4732-9434-EF892AEE9119}"/>
            </c:ext>
          </c:extLst>
        </c:ser>
        <c:ser>
          <c:idx val="4"/>
          <c:order val="4"/>
          <c:tx>
            <c:strRef>
              <c:f>'cons annuel électr'!$B$23</c:f>
              <c:strCache>
                <c:ptCount val="1"/>
                <c:pt idx="0">
                  <c:v>Année 2019</c:v>
                </c:pt>
              </c:strCache>
            </c:strRef>
          </c:tx>
          <c:cat>
            <c:strRef>
              <c:f>'cons annuel électr'!$C$18:$N$18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électr'!$C$23:$N$23</c:f>
              <c:numCache>
                <c:formatCode>General</c:formatCode>
                <c:ptCount val="12"/>
                <c:pt idx="0">
                  <c:v>417767.50199999998</c:v>
                </c:pt>
                <c:pt idx="1">
                  <c:v>437511.45040000003</c:v>
                </c:pt>
                <c:pt idx="2">
                  <c:v>422948.91399999999</c:v>
                </c:pt>
                <c:pt idx="3">
                  <c:v>483026.4265</c:v>
                </c:pt>
                <c:pt idx="4">
                  <c:v>494466.65997999994</c:v>
                </c:pt>
                <c:pt idx="5">
                  <c:v>589026.66199500009</c:v>
                </c:pt>
                <c:pt idx="6">
                  <c:v>597445.77220000012</c:v>
                </c:pt>
                <c:pt idx="7">
                  <c:v>624719.21129500004</c:v>
                </c:pt>
                <c:pt idx="8">
                  <c:v>662255.2733900001</c:v>
                </c:pt>
                <c:pt idx="9">
                  <c:v>572138.68634500005</c:v>
                </c:pt>
                <c:pt idx="10">
                  <c:v>536725.71495000005</c:v>
                </c:pt>
                <c:pt idx="11">
                  <c:v>473017.45039999997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D9F6-4732-9434-EF892AEE9119}"/>
            </c:ext>
          </c:extLst>
        </c:ser>
        <c:ser>
          <c:idx val="5"/>
          <c:order val="5"/>
          <c:tx>
            <c:strRef>
              <c:f>'cons annuel électr'!$B$26</c:f>
              <c:strCache>
                <c:ptCount val="1"/>
                <c:pt idx="0">
                  <c:v>Année 2022</c:v>
                </c:pt>
              </c:strCache>
            </c:strRef>
          </c:tx>
          <c:cat>
            <c:strRef>
              <c:f>'cons annuel électr'!$C$18:$N$18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électr'!$C$26:$N$26</c:f>
              <c:numCache>
                <c:formatCode>General</c:formatCode>
                <c:ptCount val="12"/>
                <c:pt idx="0">
                  <c:v>240995.18219999998</c:v>
                </c:pt>
                <c:pt idx="1">
                  <c:v>278597.25799999997</c:v>
                </c:pt>
                <c:pt idx="2">
                  <c:v>348747.65639999998</c:v>
                </c:pt>
                <c:pt idx="3">
                  <c:v>387220.18520000001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D9F6-4732-9434-EF892AEE911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03036751"/>
        <c:axId val="1"/>
      </c:lineChart>
      <c:catAx>
        <c:axId val="190303675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333333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électricité en DH HT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03036751"/>
        <c:crosses val="autoZero"/>
        <c:crossBetween val="between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35229117687303302"/>
          <c:y val="0.95122207285064975"/>
          <c:w val="7.3944264075995247E-2"/>
          <c:h val="4.8777927149350253E-2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105" b="0" i="0" u="none" strike="noStrike" baseline="0">
              <a:solidFill>
                <a:srgbClr val="333333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Consommation d'eau en M3 </a:t>
            </a:r>
          </a:p>
        </c:rich>
      </c:tx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8.1777276833339241E-2"/>
          <c:y val="8.9692566484052341E-2"/>
          <c:w val="0.89103706007194761"/>
          <c:h val="0.60236416831935913"/>
        </c:manualLayout>
      </c:layout>
      <c:lineChart>
        <c:grouping val="standard"/>
        <c:varyColors val="0"/>
        <c:ser>
          <c:idx val="0"/>
          <c:order val="0"/>
          <c:tx>
            <c:strRef>
              <c:f>'cons annuel EAU  '!$B$8</c:f>
              <c:strCache>
                <c:ptCount val="1"/>
                <c:pt idx="0">
                  <c:v>Année 2015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'cons annuel EAU  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'!$C$8:$N$8</c:f>
              <c:numCache>
                <c:formatCode>General</c:formatCode>
                <c:ptCount val="12"/>
                <c:pt idx="10">
                  <c:v>3298</c:v>
                </c:pt>
                <c:pt idx="11">
                  <c:v>3866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47D-4CD8-9BD5-108E2FEDAD61}"/>
            </c:ext>
          </c:extLst>
        </c:ser>
        <c:ser>
          <c:idx val="1"/>
          <c:order val="1"/>
          <c:tx>
            <c:strRef>
              <c:f>'cons annuel EAU  '!$B$9</c:f>
              <c:strCache>
                <c:ptCount val="1"/>
                <c:pt idx="0">
                  <c:v>Année 2016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'cons annuel EAU  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'!$C$9:$N$9</c:f>
              <c:numCache>
                <c:formatCode>General</c:formatCode>
                <c:ptCount val="12"/>
                <c:pt idx="0">
                  <c:v>4094</c:v>
                </c:pt>
                <c:pt idx="1">
                  <c:v>3691</c:v>
                </c:pt>
                <c:pt idx="2">
                  <c:v>3917</c:v>
                </c:pt>
                <c:pt idx="3">
                  <c:v>4785</c:v>
                </c:pt>
                <c:pt idx="4">
                  <c:v>5213</c:v>
                </c:pt>
                <c:pt idx="5">
                  <c:v>4103</c:v>
                </c:pt>
                <c:pt idx="6">
                  <c:v>5622</c:v>
                </c:pt>
                <c:pt idx="7">
                  <c:v>6568</c:v>
                </c:pt>
                <c:pt idx="8">
                  <c:v>4813</c:v>
                </c:pt>
                <c:pt idx="9">
                  <c:v>6088</c:v>
                </c:pt>
                <c:pt idx="10">
                  <c:v>4819</c:v>
                </c:pt>
                <c:pt idx="11">
                  <c:v>5252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47D-4CD8-9BD5-108E2FEDAD61}"/>
            </c:ext>
          </c:extLst>
        </c:ser>
        <c:ser>
          <c:idx val="2"/>
          <c:order val="2"/>
          <c:tx>
            <c:strRef>
              <c:f>'cons annuel EAU  '!$B$10</c:f>
              <c:strCache>
                <c:ptCount val="1"/>
                <c:pt idx="0">
                  <c:v>Année 2017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'cons annuel EAU  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'!$C$10:$N$10</c:f>
              <c:numCache>
                <c:formatCode>General</c:formatCode>
                <c:ptCount val="12"/>
                <c:pt idx="0">
                  <c:v>5132</c:v>
                </c:pt>
                <c:pt idx="1">
                  <c:v>4589</c:v>
                </c:pt>
                <c:pt idx="2">
                  <c:v>6190</c:v>
                </c:pt>
                <c:pt idx="3">
                  <c:v>6170</c:v>
                </c:pt>
                <c:pt idx="4">
                  <c:v>5980</c:v>
                </c:pt>
                <c:pt idx="5">
                  <c:v>6097.8</c:v>
                </c:pt>
                <c:pt idx="6">
                  <c:v>7050</c:v>
                </c:pt>
                <c:pt idx="7">
                  <c:v>8050</c:v>
                </c:pt>
                <c:pt idx="8">
                  <c:v>6678</c:v>
                </c:pt>
                <c:pt idx="9">
                  <c:v>6859</c:v>
                </c:pt>
                <c:pt idx="10">
                  <c:v>5960</c:v>
                </c:pt>
                <c:pt idx="11">
                  <c:v>5210.0999999999985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47D-4CD8-9BD5-108E2FEDAD61}"/>
            </c:ext>
          </c:extLst>
        </c:ser>
        <c:ser>
          <c:idx val="3"/>
          <c:order val="3"/>
          <c:tx>
            <c:strRef>
              <c:f>'cons annuel EAU  '!$B$11</c:f>
              <c:strCache>
                <c:ptCount val="1"/>
                <c:pt idx="0">
                  <c:v>Année 2018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'cons annuel EAU  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'!$C$11:$N$11</c:f>
              <c:numCache>
                <c:formatCode>General</c:formatCode>
                <c:ptCount val="12"/>
                <c:pt idx="0">
                  <c:v>5598.9000000000015</c:v>
                </c:pt>
                <c:pt idx="1">
                  <c:v>5297</c:v>
                </c:pt>
                <c:pt idx="2">
                  <c:v>5857</c:v>
                </c:pt>
                <c:pt idx="3">
                  <c:v>6284</c:v>
                </c:pt>
                <c:pt idx="4">
                  <c:v>5500</c:v>
                </c:pt>
                <c:pt idx="5">
                  <c:v>5583.8000000000029</c:v>
                </c:pt>
                <c:pt idx="6">
                  <c:v>6266.8999999999942</c:v>
                </c:pt>
                <c:pt idx="7">
                  <c:v>6178.3000000000029</c:v>
                </c:pt>
                <c:pt idx="8">
                  <c:v>6144.5</c:v>
                </c:pt>
                <c:pt idx="9">
                  <c:v>6117.5</c:v>
                </c:pt>
                <c:pt idx="10">
                  <c:v>5023</c:v>
                </c:pt>
                <c:pt idx="11">
                  <c:v>4767.8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647D-4CD8-9BD5-108E2FEDAD61}"/>
            </c:ext>
          </c:extLst>
        </c:ser>
        <c:ser>
          <c:idx val="4"/>
          <c:order val="4"/>
          <c:tx>
            <c:strRef>
              <c:f>'cons annuel EAU  '!$B$12</c:f>
              <c:strCache>
                <c:ptCount val="1"/>
                <c:pt idx="0">
                  <c:v>Année 2019</c:v>
                </c:pt>
              </c:strCache>
            </c:strRef>
          </c:tx>
          <c:cat>
            <c:strRef>
              <c:f>'cons annuel EAU  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'!$C$12:$N$12</c:f>
              <c:numCache>
                <c:formatCode>General</c:formatCode>
                <c:ptCount val="12"/>
                <c:pt idx="0">
                  <c:v>5044.8</c:v>
                </c:pt>
                <c:pt idx="1">
                  <c:v>5061</c:v>
                </c:pt>
                <c:pt idx="2">
                  <c:v>5504</c:v>
                </c:pt>
                <c:pt idx="3">
                  <c:v>5372.2999999999993</c:v>
                </c:pt>
                <c:pt idx="4">
                  <c:v>4507.2999999999993</c:v>
                </c:pt>
                <c:pt idx="5">
                  <c:v>5269.2000000000044</c:v>
                </c:pt>
                <c:pt idx="6">
                  <c:v>5509.1999999999971</c:v>
                </c:pt>
                <c:pt idx="7">
                  <c:v>5601</c:v>
                </c:pt>
                <c:pt idx="8">
                  <c:v>5387</c:v>
                </c:pt>
                <c:pt idx="9">
                  <c:v>6051</c:v>
                </c:pt>
                <c:pt idx="10">
                  <c:v>5532</c:v>
                </c:pt>
                <c:pt idx="11">
                  <c:v>5565.1999999999971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647D-4CD8-9BD5-108E2FEDAD61}"/>
            </c:ext>
          </c:extLst>
        </c:ser>
        <c:ser>
          <c:idx val="5"/>
          <c:order val="5"/>
          <c:tx>
            <c:strRef>
              <c:f>'cons annuel EAU  '!$B$15</c:f>
              <c:strCache>
                <c:ptCount val="1"/>
                <c:pt idx="0">
                  <c:v>Année 2022</c:v>
                </c:pt>
              </c:strCache>
            </c:strRef>
          </c:tx>
          <c:cat>
            <c:strRef>
              <c:f>'cons annuel EAU  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'!$C$15:$N$15</c:f>
              <c:numCache>
                <c:formatCode>General</c:formatCode>
                <c:ptCount val="12"/>
                <c:pt idx="0">
                  <c:v>1595.1000000000058</c:v>
                </c:pt>
                <c:pt idx="1">
                  <c:v>2215.8999999999942</c:v>
                </c:pt>
                <c:pt idx="2">
                  <c:v>3842</c:v>
                </c:pt>
                <c:pt idx="3">
                  <c:v>3393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647D-4CD8-9BD5-108E2FEDAD6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878498975"/>
        <c:axId val="1"/>
      </c:lineChart>
      <c:catAx>
        <c:axId val="187849897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333333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L'eau en M3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878498975"/>
        <c:crosses val="autoZero"/>
        <c:crossBetween val="between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32720626833410527"/>
          <c:y val="0.95273866886042224"/>
          <c:w val="8.6041763161957718E-2"/>
          <c:h val="4.7261331139577756E-2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105" b="0" i="0" u="none" strike="noStrike" baseline="0">
              <a:solidFill>
                <a:srgbClr val="333333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Consommation d'eau en DH HT </a:t>
            </a:r>
          </a:p>
        </c:rich>
      </c:tx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0122094450423913"/>
          <c:y val="0.13456498972111247"/>
          <c:w val="0.89877905549576087"/>
          <c:h val="0.56389511655870606"/>
        </c:manualLayout>
      </c:layout>
      <c:lineChart>
        <c:grouping val="standard"/>
        <c:varyColors val="0"/>
        <c:ser>
          <c:idx val="0"/>
          <c:order val="0"/>
          <c:tx>
            <c:strRef>
              <c:f>'cons annuel EAU  '!$B$19</c:f>
              <c:strCache>
                <c:ptCount val="1"/>
                <c:pt idx="0">
                  <c:v>Année 2015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'cons annuel EAU  '!$C$18:$N$18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'!$C$19:$N$19</c:f>
              <c:numCache>
                <c:formatCode>General</c:formatCode>
                <c:ptCount val="12"/>
                <c:pt idx="10">
                  <c:v>43165.84</c:v>
                </c:pt>
                <c:pt idx="11">
                  <c:v>50595.28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4A8-4EBE-8CDF-2D9512B2A3B3}"/>
            </c:ext>
          </c:extLst>
        </c:ser>
        <c:ser>
          <c:idx val="1"/>
          <c:order val="1"/>
          <c:tx>
            <c:strRef>
              <c:f>'cons annuel EAU  '!$B$20</c:f>
              <c:strCache>
                <c:ptCount val="1"/>
                <c:pt idx="0">
                  <c:v>Année 2016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'cons annuel EAU  '!$C$18:$N$18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'!$C$20:$N$20</c:f>
              <c:numCache>
                <c:formatCode>General</c:formatCode>
                <c:ptCount val="12"/>
                <c:pt idx="0">
                  <c:v>53565.520000000004</c:v>
                </c:pt>
                <c:pt idx="1">
                  <c:v>48294.28</c:v>
                </c:pt>
                <c:pt idx="2">
                  <c:v>51250.36</c:v>
                </c:pt>
                <c:pt idx="3">
                  <c:v>62603.8</c:v>
                </c:pt>
                <c:pt idx="4">
                  <c:v>68202.040000000008</c:v>
                </c:pt>
                <c:pt idx="5">
                  <c:v>53683.240000000005</c:v>
                </c:pt>
                <c:pt idx="6">
                  <c:v>73551.760000000009</c:v>
                </c:pt>
                <c:pt idx="7">
                  <c:v>85925.440000000002</c:v>
                </c:pt>
                <c:pt idx="8">
                  <c:v>57158.52</c:v>
                </c:pt>
                <c:pt idx="9">
                  <c:v>67234.52</c:v>
                </c:pt>
                <c:pt idx="10">
                  <c:v>53224.76</c:v>
                </c:pt>
                <c:pt idx="11">
                  <c:v>58005.08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4A8-4EBE-8CDF-2D9512B2A3B3}"/>
            </c:ext>
          </c:extLst>
        </c:ser>
        <c:ser>
          <c:idx val="2"/>
          <c:order val="2"/>
          <c:tx>
            <c:strRef>
              <c:f>'cons annuel EAU  '!$B$21</c:f>
              <c:strCache>
                <c:ptCount val="1"/>
                <c:pt idx="0">
                  <c:v>Année 2017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'cons annuel EAU  '!$C$18:$N$18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'!$C$21:$N$21</c:f>
              <c:numCache>
                <c:formatCode>General</c:formatCode>
                <c:ptCount val="12"/>
                <c:pt idx="0">
                  <c:v>56680.28</c:v>
                </c:pt>
                <c:pt idx="1">
                  <c:v>50685.56</c:v>
                </c:pt>
                <c:pt idx="2">
                  <c:v>68360.600000000006</c:v>
                </c:pt>
                <c:pt idx="3">
                  <c:v>68139.8</c:v>
                </c:pt>
                <c:pt idx="4">
                  <c:v>66042.2</c:v>
                </c:pt>
                <c:pt idx="5">
                  <c:v>67342.712</c:v>
                </c:pt>
                <c:pt idx="6">
                  <c:v>77855</c:v>
                </c:pt>
                <c:pt idx="7">
                  <c:v>88895</c:v>
                </c:pt>
                <c:pt idx="8">
                  <c:v>73748.12</c:v>
                </c:pt>
                <c:pt idx="9">
                  <c:v>75746.36</c:v>
                </c:pt>
                <c:pt idx="10">
                  <c:v>65821.399999999994</c:v>
                </c:pt>
                <c:pt idx="11">
                  <c:v>57542.503999999986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44A8-4EBE-8CDF-2D9512B2A3B3}"/>
            </c:ext>
          </c:extLst>
        </c:ser>
        <c:ser>
          <c:idx val="3"/>
          <c:order val="3"/>
          <c:tx>
            <c:strRef>
              <c:f>'cons annuel EAU  '!$B$22</c:f>
              <c:strCache>
                <c:ptCount val="1"/>
                <c:pt idx="0">
                  <c:v>Année 2018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'cons annuel EAU  '!$C$18:$N$18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'!$C$22:$N$22</c:f>
              <c:numCache>
                <c:formatCode>General</c:formatCode>
                <c:ptCount val="12"/>
                <c:pt idx="0">
                  <c:v>61834.856000000014</c:v>
                </c:pt>
                <c:pt idx="1">
                  <c:v>58501.880000000005</c:v>
                </c:pt>
                <c:pt idx="2">
                  <c:v>64684.28</c:v>
                </c:pt>
                <c:pt idx="3">
                  <c:v>69398.36</c:v>
                </c:pt>
                <c:pt idx="4">
                  <c:v>60743</c:v>
                </c:pt>
                <c:pt idx="5">
                  <c:v>61668.152000000031</c:v>
                </c:pt>
                <c:pt idx="6">
                  <c:v>69209.575999999943</c:v>
                </c:pt>
                <c:pt idx="7">
                  <c:v>68231.43200000003</c:v>
                </c:pt>
                <c:pt idx="8">
                  <c:v>67858.28</c:v>
                </c:pt>
                <c:pt idx="9">
                  <c:v>67560.2</c:v>
                </c:pt>
                <c:pt idx="10">
                  <c:v>55476.92</c:v>
                </c:pt>
                <c:pt idx="11">
                  <c:v>52659.512000000002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44A8-4EBE-8CDF-2D9512B2A3B3}"/>
            </c:ext>
          </c:extLst>
        </c:ser>
        <c:ser>
          <c:idx val="4"/>
          <c:order val="4"/>
          <c:tx>
            <c:strRef>
              <c:f>'cons annuel EAU  '!$B$23</c:f>
              <c:strCache>
                <c:ptCount val="1"/>
                <c:pt idx="0">
                  <c:v>Année 2019</c:v>
                </c:pt>
              </c:strCache>
            </c:strRef>
          </c:tx>
          <c:cat>
            <c:strRef>
              <c:f>'cons annuel EAU  '!$C$18:$N$18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'!$C$23:$N$23</c:f>
              <c:numCache>
                <c:formatCode>General</c:formatCode>
                <c:ptCount val="12"/>
                <c:pt idx="0">
                  <c:v>55717.592000000004</c:v>
                </c:pt>
                <c:pt idx="1">
                  <c:v>57718.399999999994</c:v>
                </c:pt>
                <c:pt idx="2">
                  <c:v>62768.599999999991</c:v>
                </c:pt>
                <c:pt idx="3">
                  <c:v>61267.219999999987</c:v>
                </c:pt>
                <c:pt idx="4">
                  <c:v>51406.219999999987</c:v>
                </c:pt>
                <c:pt idx="5">
                  <c:v>60091.880000000041</c:v>
                </c:pt>
                <c:pt idx="6">
                  <c:v>62827.879999999961</c:v>
                </c:pt>
                <c:pt idx="7">
                  <c:v>63874.400000000001</c:v>
                </c:pt>
                <c:pt idx="8">
                  <c:v>61434.799999999996</c:v>
                </c:pt>
                <c:pt idx="9">
                  <c:v>69004.399999999994</c:v>
                </c:pt>
                <c:pt idx="10">
                  <c:v>63087.799999999996</c:v>
                </c:pt>
                <c:pt idx="11">
                  <c:v>63466.279999999962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44A8-4EBE-8CDF-2D9512B2A3B3}"/>
            </c:ext>
          </c:extLst>
        </c:ser>
        <c:ser>
          <c:idx val="5"/>
          <c:order val="5"/>
          <c:tx>
            <c:strRef>
              <c:f>'cons annuel EAU  '!$B$26</c:f>
              <c:strCache>
                <c:ptCount val="1"/>
                <c:pt idx="0">
                  <c:v>Année 2022</c:v>
                </c:pt>
              </c:strCache>
            </c:strRef>
          </c:tx>
          <c:cat>
            <c:strRef>
              <c:f>'cons annuel EAU  '!$C$18:$N$18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'!$C$26:$N$26</c:f>
              <c:numCache>
                <c:formatCode>General</c:formatCode>
                <c:ptCount val="12"/>
                <c:pt idx="0">
                  <c:v>18207.140000000065</c:v>
                </c:pt>
                <c:pt idx="1">
                  <c:v>25284.259999999933</c:v>
                </c:pt>
                <c:pt idx="2">
                  <c:v>43821.8</c:v>
                </c:pt>
                <c:pt idx="3">
                  <c:v>38703.199999999997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44A8-4EBE-8CDF-2D9512B2A3B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03034671"/>
        <c:axId val="1"/>
      </c:lineChart>
      <c:catAx>
        <c:axId val="190303467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333333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L'eau en DH HT
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03034671"/>
        <c:crosses val="autoZero"/>
        <c:crossBetween val="between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33094849726968384"/>
          <c:y val="0.95331695331695332"/>
          <c:w val="8.3732950196967748E-2"/>
          <c:h val="4.6683046683046681E-2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105" b="0" i="0" u="none" strike="noStrike" baseline="0">
              <a:solidFill>
                <a:srgbClr val="333333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 sz="1800" b="0" i="0" u="none" strike="noStrike" baseline="0">
                <a:solidFill>
                  <a:srgbClr val="333333"/>
                </a:solidFill>
                <a:latin typeface="Calibri"/>
                <a:cs typeface="Calibri"/>
              </a:rPr>
              <a:t>Consommation de Gaz en KG</a:t>
            </a:r>
            <a:endParaRPr lang="en-US" sz="1400" b="0" i="0" u="none" strike="noStrike" baseline="0">
              <a:solidFill>
                <a:srgbClr val="333333"/>
              </a:solidFill>
              <a:latin typeface="Calibri"/>
              <a:cs typeface="Calibri"/>
            </a:endParaRPr>
          </a:p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 sz="1400" b="0" i="0" u="none" strike="noStrike" baseline="0">
              <a:solidFill>
                <a:srgbClr val="333333"/>
              </a:solidFill>
              <a:latin typeface="Calibri"/>
              <a:cs typeface="Calibri"/>
            </a:endParaRPr>
          </a:p>
        </c:rich>
      </c:tx>
      <c:overlay val="0"/>
      <c:spPr>
        <a:noFill/>
        <a:ln w="2540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'livraison annuel GAZ'!$B$8</c:f>
              <c:strCache>
                <c:ptCount val="1"/>
                <c:pt idx="0">
                  <c:v>Année 2015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'livraison annuel GAZ'!$C$7:$N$7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GAZ'!$C$8:$N$8</c:f>
              <c:numCache>
                <c:formatCode>General</c:formatCode>
                <c:ptCount val="12"/>
                <c:pt idx="9">
                  <c:v>19365</c:v>
                </c:pt>
                <c:pt idx="10">
                  <c:v>21235</c:v>
                </c:pt>
                <c:pt idx="11">
                  <c:v>34053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3A6-4ED1-8930-2F3DC7677FEF}"/>
            </c:ext>
          </c:extLst>
        </c:ser>
        <c:ser>
          <c:idx val="1"/>
          <c:order val="1"/>
          <c:tx>
            <c:strRef>
              <c:f>'livraison annuel GAZ'!$B$9</c:f>
              <c:strCache>
                <c:ptCount val="1"/>
                <c:pt idx="0">
                  <c:v>Année 2016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'livraison annuel GAZ'!$C$7:$N$7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GAZ'!$C$9:$N$9</c:f>
              <c:numCache>
                <c:formatCode>General</c:formatCode>
                <c:ptCount val="12"/>
                <c:pt idx="0">
                  <c:v>23598</c:v>
                </c:pt>
                <c:pt idx="1">
                  <c:v>28302</c:v>
                </c:pt>
                <c:pt idx="2">
                  <c:v>23000</c:v>
                </c:pt>
                <c:pt idx="3">
                  <c:v>28601</c:v>
                </c:pt>
                <c:pt idx="4">
                  <c:v>24612</c:v>
                </c:pt>
                <c:pt idx="5">
                  <c:v>16695</c:v>
                </c:pt>
                <c:pt idx="6">
                  <c:v>10756</c:v>
                </c:pt>
                <c:pt idx="7">
                  <c:v>14749</c:v>
                </c:pt>
                <c:pt idx="8">
                  <c:v>18297</c:v>
                </c:pt>
                <c:pt idx="9">
                  <c:v>20801</c:v>
                </c:pt>
                <c:pt idx="10">
                  <c:v>22927</c:v>
                </c:pt>
                <c:pt idx="11">
                  <c:v>38265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3A6-4ED1-8930-2F3DC7677FEF}"/>
            </c:ext>
          </c:extLst>
        </c:ser>
        <c:ser>
          <c:idx val="2"/>
          <c:order val="2"/>
          <c:tx>
            <c:strRef>
              <c:f>'livraison annuel GAZ'!$B$10</c:f>
              <c:strCache>
                <c:ptCount val="1"/>
                <c:pt idx="0">
                  <c:v>Année 2017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'livraison annuel GAZ'!$C$7:$N$7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GAZ'!$C$10:$N$10</c:f>
              <c:numCache>
                <c:formatCode>General</c:formatCode>
                <c:ptCount val="12"/>
                <c:pt idx="0">
                  <c:v>39843</c:v>
                </c:pt>
                <c:pt idx="1">
                  <c:v>27644</c:v>
                </c:pt>
                <c:pt idx="2">
                  <c:v>31207</c:v>
                </c:pt>
                <c:pt idx="3">
                  <c:v>34231</c:v>
                </c:pt>
                <c:pt idx="4">
                  <c:v>21149.420000000002</c:v>
                </c:pt>
                <c:pt idx="5">
                  <c:v>19502</c:v>
                </c:pt>
                <c:pt idx="6">
                  <c:v>22293</c:v>
                </c:pt>
                <c:pt idx="7">
                  <c:v>21244</c:v>
                </c:pt>
                <c:pt idx="8">
                  <c:v>20201</c:v>
                </c:pt>
                <c:pt idx="9">
                  <c:v>21000</c:v>
                </c:pt>
                <c:pt idx="10">
                  <c:v>30135</c:v>
                </c:pt>
                <c:pt idx="11">
                  <c:v>28841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F3A6-4ED1-8930-2F3DC7677FEF}"/>
            </c:ext>
          </c:extLst>
        </c:ser>
        <c:ser>
          <c:idx val="3"/>
          <c:order val="3"/>
          <c:tx>
            <c:strRef>
              <c:f>'livraison annuel GAZ'!$B$11</c:f>
              <c:strCache>
                <c:ptCount val="1"/>
                <c:pt idx="0">
                  <c:v>Année 2018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'livraison annuel GAZ'!$C$7:$N$7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GAZ'!$C$11:$N$11</c:f>
              <c:numCache>
                <c:formatCode>General</c:formatCode>
                <c:ptCount val="12"/>
                <c:pt idx="0">
                  <c:v>33210.620000000003</c:v>
                </c:pt>
                <c:pt idx="1">
                  <c:v>27328.669000000002</c:v>
                </c:pt>
                <c:pt idx="2">
                  <c:v>22296.292000000001</c:v>
                </c:pt>
                <c:pt idx="3">
                  <c:v>18205.006000000001</c:v>
                </c:pt>
                <c:pt idx="4">
                  <c:v>16641.811000000002</c:v>
                </c:pt>
                <c:pt idx="5">
                  <c:v>17087.758000000002</c:v>
                </c:pt>
                <c:pt idx="6">
                  <c:v>13220.239000000001</c:v>
                </c:pt>
                <c:pt idx="7">
                  <c:v>15457.909000000001</c:v>
                </c:pt>
                <c:pt idx="8">
                  <c:v>10651.944000000001</c:v>
                </c:pt>
                <c:pt idx="9">
                  <c:v>13951.846000000001</c:v>
                </c:pt>
                <c:pt idx="10">
                  <c:v>24676.263000000003</c:v>
                </c:pt>
                <c:pt idx="11">
                  <c:v>21781.575000000001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F3A6-4ED1-8930-2F3DC7677FEF}"/>
            </c:ext>
          </c:extLst>
        </c:ser>
        <c:ser>
          <c:idx val="4"/>
          <c:order val="4"/>
          <c:tx>
            <c:strRef>
              <c:f>'livraison annuel GAZ'!$B$12</c:f>
              <c:strCache>
                <c:ptCount val="1"/>
                <c:pt idx="0">
                  <c:v>Année 2019</c:v>
                </c:pt>
              </c:strCache>
            </c:strRef>
          </c:tx>
          <c:cat>
            <c:strRef>
              <c:f>'livraison annuel GAZ'!$C$7:$N$7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GAZ'!$C$12:$N$12</c:f>
              <c:numCache>
                <c:formatCode>General</c:formatCode>
                <c:ptCount val="12"/>
                <c:pt idx="0">
                  <c:v>26669.535</c:v>
                </c:pt>
                <c:pt idx="1">
                  <c:v>26601.294000000002</c:v>
                </c:pt>
                <c:pt idx="2">
                  <c:v>23114.126</c:v>
                </c:pt>
                <c:pt idx="3">
                  <c:v>20873.811000000002</c:v>
                </c:pt>
                <c:pt idx="4">
                  <c:v>14596.168000000001</c:v>
                </c:pt>
                <c:pt idx="5">
                  <c:v>10659.35</c:v>
                </c:pt>
                <c:pt idx="6">
                  <c:v>18584.299000000003</c:v>
                </c:pt>
                <c:pt idx="7">
                  <c:v>10559.897999999999</c:v>
                </c:pt>
                <c:pt idx="8">
                  <c:v>8546.5240000000013</c:v>
                </c:pt>
                <c:pt idx="9">
                  <c:v>17517.306</c:v>
                </c:pt>
                <c:pt idx="10">
                  <c:v>20452.198</c:v>
                </c:pt>
                <c:pt idx="11">
                  <c:v>27341.365000000002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F3A6-4ED1-8930-2F3DC7677FEF}"/>
            </c:ext>
          </c:extLst>
        </c:ser>
        <c:ser>
          <c:idx val="5"/>
          <c:order val="5"/>
          <c:tx>
            <c:strRef>
              <c:f>'livraison annuel GAZ'!$B$15</c:f>
              <c:strCache>
                <c:ptCount val="1"/>
                <c:pt idx="0">
                  <c:v>Année 2022</c:v>
                </c:pt>
              </c:strCache>
            </c:strRef>
          </c:tx>
          <c:cat>
            <c:strRef>
              <c:f>'livraison annuel GAZ'!$C$7:$N$7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GAZ'!$C$15:$N$15</c:f>
              <c:numCache>
                <c:formatCode>General</c:formatCode>
                <c:ptCount val="12"/>
                <c:pt idx="0">
                  <c:v>8859.1630000000005</c:v>
                </c:pt>
                <c:pt idx="1">
                  <c:v>13938.621000000001</c:v>
                </c:pt>
                <c:pt idx="3">
                  <c:v>23168.613000000001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F3A6-4ED1-8930-2F3DC7677FE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03031759"/>
        <c:axId val="1"/>
      </c:lineChart>
      <c:catAx>
        <c:axId val="190303175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333333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Gaz en Kg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03031759"/>
        <c:crosses val="autoZero"/>
        <c:crossBetween val="between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3251883646123182"/>
          <c:y val="0.95683679827791313"/>
          <c:w val="8.7982554812227443E-2"/>
          <c:h val="4.3163201722086875E-2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105" b="0" i="0" u="none" strike="noStrike" baseline="0">
              <a:solidFill>
                <a:srgbClr val="333333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8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Consommation de Gaz en DH HT</a:t>
            </a:r>
          </a:p>
        </c:rich>
      </c:tx>
      <c:overlay val="0"/>
      <c:spPr>
        <a:noFill/>
        <a:ln w="2540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'livraison annuel GAZ'!$B$19</c:f>
              <c:strCache>
                <c:ptCount val="1"/>
                <c:pt idx="0">
                  <c:v>Année 2015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'livraison annuel GAZ'!$C$18:$N$18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GAZ'!$C$19:$N$19</c:f>
              <c:numCache>
                <c:formatCode>General</c:formatCode>
                <c:ptCount val="12"/>
                <c:pt idx="9">
                  <c:v>222503.85</c:v>
                </c:pt>
                <c:pt idx="10">
                  <c:v>248385.8</c:v>
                </c:pt>
                <c:pt idx="11">
                  <c:v>412790.47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557-447F-9810-B2BA744DDD24}"/>
            </c:ext>
          </c:extLst>
        </c:ser>
        <c:ser>
          <c:idx val="1"/>
          <c:order val="1"/>
          <c:tx>
            <c:strRef>
              <c:f>'livraison annuel GAZ'!$B$20</c:f>
              <c:strCache>
                <c:ptCount val="1"/>
                <c:pt idx="0">
                  <c:v>Année 2016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'livraison annuel GAZ'!$C$18:$N$18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GAZ'!$C$20:$N$20</c:f>
              <c:numCache>
                <c:formatCode>General</c:formatCode>
                <c:ptCount val="12"/>
                <c:pt idx="0">
                  <c:v>281335.36</c:v>
                </c:pt>
                <c:pt idx="1">
                  <c:v>329491.88</c:v>
                </c:pt>
                <c:pt idx="2" formatCode="0.00">
                  <c:v>263166</c:v>
                </c:pt>
                <c:pt idx="3">
                  <c:v>334402.89</c:v>
                </c:pt>
                <c:pt idx="4">
                  <c:v>287763.5</c:v>
                </c:pt>
                <c:pt idx="5">
                  <c:v>200206.44</c:v>
                </c:pt>
                <c:pt idx="6">
                  <c:v>128985.95</c:v>
                </c:pt>
                <c:pt idx="7">
                  <c:v>174687.16</c:v>
                </c:pt>
                <c:pt idx="8">
                  <c:v>221708.41</c:v>
                </c:pt>
                <c:pt idx="9">
                  <c:v>257125.33</c:v>
                </c:pt>
                <c:pt idx="10">
                  <c:v>290283.33</c:v>
                </c:pt>
                <c:pt idx="11">
                  <c:v>491751.17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557-447F-9810-B2BA744DDD24}"/>
            </c:ext>
          </c:extLst>
        </c:ser>
        <c:ser>
          <c:idx val="2"/>
          <c:order val="2"/>
          <c:tx>
            <c:strRef>
              <c:f>'livraison annuel GAZ'!$B$21</c:f>
              <c:strCache>
                <c:ptCount val="1"/>
                <c:pt idx="0">
                  <c:v>Année 2017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'livraison annuel GAZ'!$C$18:$N$18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GAZ'!$C$21:$N$21</c:f>
              <c:numCache>
                <c:formatCode>General</c:formatCode>
                <c:ptCount val="12"/>
                <c:pt idx="0">
                  <c:v>534222.91</c:v>
                </c:pt>
                <c:pt idx="1">
                  <c:v>397841.39</c:v>
                </c:pt>
                <c:pt idx="2" formatCode="0.00">
                  <c:v>463317.85</c:v>
                </c:pt>
                <c:pt idx="3">
                  <c:v>473982.96</c:v>
                </c:pt>
                <c:pt idx="4">
                  <c:v>288617.67497200001</c:v>
                </c:pt>
                <c:pt idx="5">
                  <c:v>262138.08</c:v>
                </c:pt>
                <c:pt idx="6">
                  <c:v>290959.32</c:v>
                </c:pt>
                <c:pt idx="7">
                  <c:v>277268.19</c:v>
                </c:pt>
                <c:pt idx="8">
                  <c:v>269109.64</c:v>
                </c:pt>
                <c:pt idx="9">
                  <c:v>279753.59999999998</c:v>
                </c:pt>
                <c:pt idx="10">
                  <c:v>411233.26</c:v>
                </c:pt>
                <c:pt idx="11">
                  <c:v>393575.4632766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557-447F-9810-B2BA744DDD24}"/>
            </c:ext>
          </c:extLst>
        </c:ser>
        <c:ser>
          <c:idx val="3"/>
          <c:order val="3"/>
          <c:tx>
            <c:strRef>
              <c:f>'livraison annuel GAZ'!$B$22</c:f>
              <c:strCache>
                <c:ptCount val="1"/>
                <c:pt idx="0">
                  <c:v>Année 2018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'livraison annuel GAZ'!$C$18:$N$18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GAZ'!$C$22:$N$22</c:f>
              <c:numCache>
                <c:formatCode>General</c:formatCode>
                <c:ptCount val="12"/>
                <c:pt idx="0">
                  <c:v>433913.35561000003</c:v>
                </c:pt>
                <c:pt idx="1">
                  <c:v>365261.32551950007</c:v>
                </c:pt>
                <c:pt idx="2">
                  <c:v>291312.20312600001</c:v>
                </c:pt>
                <c:pt idx="3">
                  <c:v>213834.17997540004</c:v>
                </c:pt>
                <c:pt idx="4">
                  <c:v>197886.11041990001</c:v>
                </c:pt>
                <c:pt idx="5">
                  <c:v>143537.16720000003</c:v>
                </c:pt>
                <c:pt idx="6">
                  <c:v>111050.00760000001</c:v>
                </c:pt>
                <c:pt idx="7">
                  <c:v>129846.43560000001</c:v>
                </c:pt>
                <c:pt idx="8">
                  <c:v>97997.8848</c:v>
                </c:pt>
                <c:pt idx="9">
                  <c:v>117195.50640000001</c:v>
                </c:pt>
                <c:pt idx="10">
                  <c:v>207280.60920000004</c:v>
                </c:pt>
                <c:pt idx="11">
                  <c:v>182965.23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0557-447F-9810-B2BA744DDD24}"/>
            </c:ext>
          </c:extLst>
        </c:ser>
        <c:ser>
          <c:idx val="4"/>
          <c:order val="4"/>
          <c:tx>
            <c:strRef>
              <c:f>'livraison annuel GAZ'!$B$23</c:f>
              <c:strCache>
                <c:ptCount val="1"/>
                <c:pt idx="0">
                  <c:v>Année 2019</c:v>
                </c:pt>
              </c:strCache>
            </c:strRef>
          </c:tx>
          <c:cat>
            <c:strRef>
              <c:f>'livraison annuel GAZ'!$C$18:$N$18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GAZ'!$C$23:$N$23</c:f>
              <c:numCache>
                <c:formatCode>General</c:formatCode>
                <c:ptCount val="12"/>
                <c:pt idx="0">
                  <c:v>224024.09400000001</c:v>
                </c:pt>
                <c:pt idx="1">
                  <c:v>223450.86960000003</c:v>
                </c:pt>
                <c:pt idx="2">
                  <c:v>209182.84030000001</c:v>
                </c:pt>
                <c:pt idx="3">
                  <c:v>188907.98955000003</c:v>
                </c:pt>
                <c:pt idx="4">
                  <c:v>129176.0868</c:v>
                </c:pt>
                <c:pt idx="5">
                  <c:v>94335.247499999998</c:v>
                </c:pt>
                <c:pt idx="6">
                  <c:v>144957.53220000002</c:v>
                </c:pt>
                <c:pt idx="7">
                  <c:v>77405.108330000003</c:v>
                </c:pt>
                <c:pt idx="8">
                  <c:v>62646.875572400008</c:v>
                </c:pt>
                <c:pt idx="9">
                  <c:v>128403.6047106</c:v>
                </c:pt>
                <c:pt idx="10">
                  <c:v>149916.6565598</c:v>
                </c:pt>
                <c:pt idx="11">
                  <c:v>217831.38909150002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0557-447F-9810-B2BA744DDD24}"/>
            </c:ext>
          </c:extLst>
        </c:ser>
        <c:ser>
          <c:idx val="5"/>
          <c:order val="5"/>
          <c:tx>
            <c:strRef>
              <c:f>'livraison annuel GAZ'!$B$26</c:f>
              <c:strCache>
                <c:ptCount val="1"/>
                <c:pt idx="0">
                  <c:v>Année 2022</c:v>
                </c:pt>
              </c:strCache>
            </c:strRef>
          </c:tx>
          <c:cat>
            <c:strRef>
              <c:f>'livraison annuel GAZ'!$C$18:$N$18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GAZ'!$C$26:$M$26</c:f>
              <c:numCache>
                <c:formatCode>General</c:formatCode>
                <c:ptCount val="11"/>
                <c:pt idx="0">
                  <c:v>102456.220095</c:v>
                </c:pt>
                <c:pt idx="1">
                  <c:v>164336.34159</c:v>
                </c:pt>
                <c:pt idx="3">
                  <c:v>316019.88132000004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0557-447F-9810-B2BA744DDD2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03035087"/>
        <c:axId val="1"/>
      </c:lineChart>
      <c:catAx>
        <c:axId val="190303508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333333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Gaz en DH HT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03035087"/>
        <c:crosses val="autoZero"/>
        <c:crossBetween val="between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33952738171242108"/>
          <c:y val="0.9572456530819633"/>
          <c:w val="7.906540398666384E-2"/>
          <c:h val="4.2754346918036701E-2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105" b="0" i="0" u="none" strike="noStrike" baseline="0">
              <a:solidFill>
                <a:srgbClr val="333333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_rels/drawing9.xml.rels><?xml version="1.0" encoding="UTF-8" standalone="yes"?>
<Relationships xmlns="http://schemas.openxmlformats.org/package/2006/relationships"><Relationship Id="rId2" Type="http://schemas.openxmlformats.org/officeDocument/2006/relationships/chart" Target="../charts/chart7.xml"/><Relationship Id="rId1" Type="http://schemas.openxmlformats.org/officeDocument/2006/relationships/chart" Target="../charts/chart6.xml"/></Relationships>
</file>

<file path=xl/drawings/_rels/drawing10.xml.rels><?xml version="1.0" encoding="UTF-8" standalone="yes"?>
<Relationships xmlns="http://schemas.openxmlformats.org/package/2006/relationships"><Relationship Id="rId2" Type="http://schemas.openxmlformats.org/officeDocument/2006/relationships/chart" Target="../charts/chart9.xml"/><Relationship Id="rId1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969645</xdr:colOff>
      <xdr:row>1</xdr:row>
      <xdr:rowOff>800100</xdr:rowOff>
    </xdr:from>
    <xdr:to>
      <xdr:col>16</xdr:col>
      <xdr:colOff>640079</xdr:colOff>
      <xdr:row>2</xdr:row>
      <xdr:rowOff>0</xdr:rowOff>
    </xdr:to>
    <xdr:sp macro="" textlink="">
      <xdr:nvSpPr>
        <xdr:cNvPr id="20453784" name="WordArt 1">
          <a:extLst>
            <a:ext uri="{FF2B5EF4-FFF2-40B4-BE49-F238E27FC236}">
              <a16:creationId xmlns:a16="http://schemas.microsoft.com/office/drawing/2014/main" id="{07245B82-7B36-471F-A5A2-E330C7B2F9BE}"/>
            </a:ext>
          </a:extLst>
        </xdr:cNvPr>
        <xdr:cNvSpPr>
          <a:spLocks noChangeArrowheads="1" noChangeShapeType="1" noTextEdit="1"/>
        </xdr:cNvSpPr>
      </xdr:nvSpPr>
      <xdr:spPr bwMode="auto">
        <a:xfrm>
          <a:off x="6534150" y="1038225"/>
          <a:ext cx="10248900" cy="476250"/>
        </a:xfrm>
        <a:prstGeom prst="rect">
          <a:avLst/>
        </a:prstGeom>
      </xdr:spPr>
      <xdr:txBody>
        <a:bodyPr vertOverflow="clip" wrap="none" lIns="91440" tIns="45720" rIns="91440" bIns="45720" fromWordArt="1" anchor="t">
          <a:prstTxWarp prst="textPlain">
            <a:avLst>
              <a:gd name="adj" fmla="val 50000"/>
            </a:avLst>
          </a:prstTxWarp>
        </a:bodyPr>
        <a:lstStyle/>
        <a:p>
          <a:pPr algn="ctr" rtl="0">
            <a:buNone/>
          </a:pPr>
          <a:endParaRPr lang="fr-FR" sz="3600" u="sng" strike="sngStrike" kern="10" cap="small" spc="0">
            <a:ln w="9525">
              <a:solidFill>
                <a:srgbClr val="000000"/>
              </a:solidFill>
              <a:round/>
              <a:headEnd/>
              <a:tailEnd/>
            </a:ln>
            <a:solidFill>
              <a:srgbClr val="0000FF"/>
            </a:solidFill>
            <a:effectLst>
              <a:outerShdw dist="45791" dir="2021404" algn="ctr" rotWithShape="0">
                <a:srgbClr val="B2B2B2">
                  <a:alpha val="79999"/>
                </a:srgbClr>
              </a:outerShdw>
            </a:effectLst>
            <a:latin typeface="Monotype Corsiva" panose="03010101010201010101" pitchFamily="66" charset="0"/>
          </a:endParaRPr>
        </a:p>
      </xdr:txBody>
    </xdr:sp>
    <xdr:clientData/>
  </xdr:twoCellAnchor>
  <xdr:twoCellAnchor>
    <xdr:from>
      <xdr:col>5</xdr:col>
      <xdr:colOff>340995</xdr:colOff>
      <xdr:row>1</xdr:row>
      <xdr:rowOff>85725</xdr:rowOff>
    </xdr:from>
    <xdr:to>
      <xdr:col>12</xdr:col>
      <xdr:colOff>1672551</xdr:colOff>
      <xdr:row>1</xdr:row>
      <xdr:rowOff>619125</xdr:rowOff>
    </xdr:to>
    <xdr:sp macro="" textlink="">
      <xdr:nvSpPr>
        <xdr:cNvPr id="20453785" name="WordArt 1">
          <a:extLst>
            <a:ext uri="{FF2B5EF4-FFF2-40B4-BE49-F238E27FC236}">
              <a16:creationId xmlns:a16="http://schemas.microsoft.com/office/drawing/2014/main" id="{1F672150-C24B-4540-94A4-E6086D2B9688}"/>
            </a:ext>
          </a:extLst>
        </xdr:cNvPr>
        <xdr:cNvSpPr>
          <a:spLocks noChangeArrowheads="1" noChangeShapeType="1" noTextEdit="1"/>
        </xdr:cNvSpPr>
      </xdr:nvSpPr>
      <xdr:spPr bwMode="auto">
        <a:xfrm>
          <a:off x="5915025" y="323850"/>
          <a:ext cx="6848475" cy="533400"/>
        </a:xfrm>
        <a:prstGeom prst="rect">
          <a:avLst/>
        </a:prstGeom>
      </xdr:spPr>
      <xdr:txBody>
        <a:bodyPr vertOverflow="clip" wrap="none" lIns="91440" tIns="45720" rIns="91440" bIns="45720" fromWordArt="1" anchor="t">
          <a:prstTxWarp prst="textPlain">
            <a:avLst>
              <a:gd name="adj" fmla="val 45847"/>
            </a:avLst>
          </a:prstTxWarp>
        </a:bodyPr>
        <a:lstStyle/>
        <a:p>
          <a:pPr algn="r" rtl="0">
            <a:buNone/>
          </a:pPr>
          <a:endParaRPr lang="fr-FR" sz="3600" u="sng" strike="sngStrike" kern="10" cap="small" spc="0">
            <a:ln w="9525">
              <a:solidFill>
                <a:srgbClr val="000000"/>
              </a:solidFill>
              <a:round/>
              <a:headEnd/>
              <a:tailEnd/>
            </a:ln>
            <a:solidFill>
              <a:srgbClr val="0000FF"/>
            </a:solidFill>
            <a:effectLst>
              <a:outerShdw dist="45791" dir="2021404" algn="ctr" rotWithShape="0">
                <a:srgbClr val="B2B2B2">
                  <a:alpha val="79999"/>
                </a:srgbClr>
              </a:outerShdw>
            </a:effectLst>
            <a:latin typeface="Monotype Corsiva" panose="03010101010201010101" pitchFamily="66" charset="0"/>
          </a:endParaRPr>
        </a:p>
      </xdr:txBody>
    </xdr:sp>
    <xdr:clientData/>
  </xdr:twoCellAnchor>
  <xdr:twoCellAnchor editAs="oneCell">
    <xdr:from>
      <xdr:col>0</xdr:col>
      <xdr:colOff>609600</xdr:colOff>
      <xdr:row>1</xdr:row>
      <xdr:rowOff>161925</xdr:rowOff>
    </xdr:from>
    <xdr:to>
      <xdr:col>3</xdr:col>
      <xdr:colOff>704850</xdr:colOff>
      <xdr:row>2</xdr:row>
      <xdr:rowOff>0</xdr:rowOff>
    </xdr:to>
    <xdr:pic>
      <xdr:nvPicPr>
        <xdr:cNvPr id="26781375" name="Picture 1">
          <a:extLst>
            <a:ext uri="{FF2B5EF4-FFF2-40B4-BE49-F238E27FC236}">
              <a16:creationId xmlns:a16="http://schemas.microsoft.com/office/drawing/2014/main" id="{C905C53E-E0EC-474F-9CCC-8829D73721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0075" y="400050"/>
          <a:ext cx="2362200" cy="1114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57150</xdr:colOff>
      <xdr:row>2</xdr:row>
      <xdr:rowOff>371475</xdr:rowOff>
    </xdr:from>
    <xdr:to>
      <xdr:col>25</xdr:col>
      <xdr:colOff>676275</xdr:colOff>
      <xdr:row>20</xdr:row>
      <xdr:rowOff>314325</xdr:rowOff>
    </xdr:to>
    <xdr:graphicFrame macro="">
      <xdr:nvGraphicFramePr>
        <xdr:cNvPr id="27576912" name="Graphique 3">
          <a:extLst>
            <a:ext uri="{FF2B5EF4-FFF2-40B4-BE49-F238E27FC236}">
              <a16:creationId xmlns:a16="http://schemas.microsoft.com/office/drawing/2014/main" id="{315149A6-2E76-4BB7-876C-A790B17495F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16</xdr:col>
      <xdr:colOff>66675</xdr:colOff>
      <xdr:row>21</xdr:row>
      <xdr:rowOff>57150</xdr:rowOff>
    </xdr:from>
    <xdr:to>
      <xdr:col>25</xdr:col>
      <xdr:colOff>619125</xdr:colOff>
      <xdr:row>37</xdr:row>
      <xdr:rowOff>0</xdr:rowOff>
    </xdr:to>
    <xdr:graphicFrame macro="">
      <xdr:nvGraphicFramePr>
        <xdr:cNvPr id="27576913" name="Graphique 4">
          <a:extLst>
            <a:ext uri="{FF2B5EF4-FFF2-40B4-BE49-F238E27FC236}">
              <a16:creationId xmlns:a16="http://schemas.microsoft.com/office/drawing/2014/main" id="{44D2D192-376B-4869-878A-F11A425C8842}"/>
            </a:ext>
            <a:ext uri="{147F2762-F138-4A5C-976F-8EAC2B608ADB}">
              <a16:predDERef xmlns:a16="http://schemas.microsoft.com/office/drawing/2014/main" pred="{315149A6-2E76-4BB7-876C-A790B17495F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16</xdr:col>
      <xdr:colOff>76200</xdr:colOff>
      <xdr:row>37</xdr:row>
      <xdr:rowOff>0</xdr:rowOff>
    </xdr:from>
    <xdr:to>
      <xdr:col>25</xdr:col>
      <xdr:colOff>657225</xdr:colOff>
      <xdr:row>45</xdr:row>
      <xdr:rowOff>142875</xdr:rowOff>
    </xdr:to>
    <xdr:graphicFrame macro="">
      <xdr:nvGraphicFramePr>
        <xdr:cNvPr id="27576914" name="Graphique 5">
          <a:extLst>
            <a:ext uri="{FF2B5EF4-FFF2-40B4-BE49-F238E27FC236}">
              <a16:creationId xmlns:a16="http://schemas.microsoft.com/office/drawing/2014/main" id="{C94F0C91-2E70-48C0-A456-AACF2C4BE5CA}"/>
            </a:ext>
            <a:ext uri="{147F2762-F138-4A5C-976F-8EAC2B608ADB}">
              <a16:predDERef xmlns:a16="http://schemas.microsoft.com/office/drawing/2014/main" pred="{44D2D192-376B-4869-878A-F11A425C884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0</xdr:col>
      <xdr:colOff>1028700</xdr:colOff>
      <xdr:row>0</xdr:row>
      <xdr:rowOff>28575</xdr:rowOff>
    </xdr:from>
    <xdr:to>
      <xdr:col>2</xdr:col>
      <xdr:colOff>152400</xdr:colOff>
      <xdr:row>2</xdr:row>
      <xdr:rowOff>533400</xdr:rowOff>
    </xdr:to>
    <xdr:pic>
      <xdr:nvPicPr>
        <xdr:cNvPr id="27576915" name="Picture 1">
          <a:extLst>
            <a:ext uri="{FF2B5EF4-FFF2-40B4-BE49-F238E27FC236}">
              <a16:creationId xmlns:a16="http://schemas.microsoft.com/office/drawing/2014/main" id="{5123DF97-9F51-4C19-81EF-E48563A33BC2}"/>
            </a:ext>
            <a:ext uri="{147F2762-F138-4A5C-976F-8EAC2B608ADB}">
              <a16:predDERef xmlns:a16="http://schemas.microsoft.com/office/drawing/2014/main" pred="{C94F0C91-2E70-48C0-A456-AACF2C4BE5C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28700" y="28575"/>
          <a:ext cx="1638300" cy="876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28575</xdr:colOff>
      <xdr:row>0</xdr:row>
      <xdr:rowOff>66675</xdr:rowOff>
    </xdr:from>
    <xdr:to>
      <xdr:col>2</xdr:col>
      <xdr:colOff>0</xdr:colOff>
      <xdr:row>3</xdr:row>
      <xdr:rowOff>38100</xdr:rowOff>
    </xdr:to>
    <xdr:pic>
      <xdr:nvPicPr>
        <xdr:cNvPr id="25204520" name="Picture 1">
          <a:extLst>
            <a:ext uri="{FF2B5EF4-FFF2-40B4-BE49-F238E27FC236}">
              <a16:creationId xmlns:a16="http://schemas.microsoft.com/office/drawing/2014/main" id="{CBC7CD9F-D26A-4CAD-B5D8-C0C156CB272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" y="66675"/>
          <a:ext cx="1104900" cy="561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28575</xdr:colOff>
      <xdr:row>0</xdr:row>
      <xdr:rowOff>66675</xdr:rowOff>
    </xdr:from>
    <xdr:to>
      <xdr:col>2</xdr:col>
      <xdr:colOff>0</xdr:colOff>
      <xdr:row>3</xdr:row>
      <xdr:rowOff>38100</xdr:rowOff>
    </xdr:to>
    <xdr:pic>
      <xdr:nvPicPr>
        <xdr:cNvPr id="25204521" name="Picture 1">
          <a:extLst>
            <a:ext uri="{FF2B5EF4-FFF2-40B4-BE49-F238E27FC236}">
              <a16:creationId xmlns:a16="http://schemas.microsoft.com/office/drawing/2014/main" id="{7D6456DD-1702-4CAC-8B41-5B6DE2D668B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" y="66675"/>
          <a:ext cx="1104900" cy="561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28575</xdr:colOff>
      <xdr:row>0</xdr:row>
      <xdr:rowOff>66675</xdr:rowOff>
    </xdr:from>
    <xdr:to>
      <xdr:col>2</xdr:col>
      <xdr:colOff>0</xdr:colOff>
      <xdr:row>3</xdr:row>
      <xdr:rowOff>161925</xdr:rowOff>
    </xdr:to>
    <xdr:pic>
      <xdr:nvPicPr>
        <xdr:cNvPr id="25303827" name="Picture 1">
          <a:extLst>
            <a:ext uri="{FF2B5EF4-FFF2-40B4-BE49-F238E27FC236}">
              <a16:creationId xmlns:a16="http://schemas.microsoft.com/office/drawing/2014/main" id="{8CCB91CC-B04E-4FD0-9A61-EFDB698FD26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" y="66675"/>
          <a:ext cx="1104900" cy="685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28575</xdr:colOff>
      <xdr:row>0</xdr:row>
      <xdr:rowOff>66675</xdr:rowOff>
    </xdr:from>
    <xdr:to>
      <xdr:col>2</xdr:col>
      <xdr:colOff>0</xdr:colOff>
      <xdr:row>3</xdr:row>
      <xdr:rowOff>161925</xdr:rowOff>
    </xdr:to>
    <xdr:pic>
      <xdr:nvPicPr>
        <xdr:cNvPr id="25303828" name="Picture 1">
          <a:extLst>
            <a:ext uri="{FF2B5EF4-FFF2-40B4-BE49-F238E27FC236}">
              <a16:creationId xmlns:a16="http://schemas.microsoft.com/office/drawing/2014/main" id="{37020D0F-DFC5-464F-A7C2-7B617E82F8D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" y="66675"/>
          <a:ext cx="1104900" cy="685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04" name="Picture 1">
          <a:extLst>
            <a:ext uri="{FF2B5EF4-FFF2-40B4-BE49-F238E27FC236}">
              <a16:creationId xmlns:a16="http://schemas.microsoft.com/office/drawing/2014/main" id="{C75949A1-C352-46D8-BB81-E6F7A1C5B9C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05" name="Picture 1">
          <a:extLst>
            <a:ext uri="{FF2B5EF4-FFF2-40B4-BE49-F238E27FC236}">
              <a16:creationId xmlns:a16="http://schemas.microsoft.com/office/drawing/2014/main" id="{DC4D88B3-424C-4A77-8BD1-43E1B6229F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06" name="Picture 1">
          <a:extLst>
            <a:ext uri="{FF2B5EF4-FFF2-40B4-BE49-F238E27FC236}">
              <a16:creationId xmlns:a16="http://schemas.microsoft.com/office/drawing/2014/main" id="{F4B7F97F-D46F-4D45-B72A-D51AB38C04F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07" name="Picture 1">
          <a:extLst>
            <a:ext uri="{FF2B5EF4-FFF2-40B4-BE49-F238E27FC236}">
              <a16:creationId xmlns:a16="http://schemas.microsoft.com/office/drawing/2014/main" id="{2C651A59-03C2-4A57-904A-0F06D17677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08" name="Picture 1">
          <a:extLst>
            <a:ext uri="{FF2B5EF4-FFF2-40B4-BE49-F238E27FC236}">
              <a16:creationId xmlns:a16="http://schemas.microsoft.com/office/drawing/2014/main" id="{0DA89159-EBAF-4FA4-BFD1-65A165856BC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09" name="Picture 1">
          <a:extLst>
            <a:ext uri="{FF2B5EF4-FFF2-40B4-BE49-F238E27FC236}">
              <a16:creationId xmlns:a16="http://schemas.microsoft.com/office/drawing/2014/main" id="{F9C0F9A6-6DCB-4FD2-8B61-3CE08D33265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10" name="Picture 1">
          <a:extLst>
            <a:ext uri="{FF2B5EF4-FFF2-40B4-BE49-F238E27FC236}">
              <a16:creationId xmlns:a16="http://schemas.microsoft.com/office/drawing/2014/main" id="{BE9327B2-1458-4992-B51D-B8F1A747F13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11" name="Picture 1">
          <a:extLst>
            <a:ext uri="{FF2B5EF4-FFF2-40B4-BE49-F238E27FC236}">
              <a16:creationId xmlns:a16="http://schemas.microsoft.com/office/drawing/2014/main" id="{FEBB0CDC-7F01-4020-8177-7AFA574F539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12" name="Picture 1">
          <a:extLst>
            <a:ext uri="{FF2B5EF4-FFF2-40B4-BE49-F238E27FC236}">
              <a16:creationId xmlns:a16="http://schemas.microsoft.com/office/drawing/2014/main" id="{0A131103-E789-44AA-8C34-C1AB7B6BB0E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13" name="Picture 1">
          <a:extLst>
            <a:ext uri="{FF2B5EF4-FFF2-40B4-BE49-F238E27FC236}">
              <a16:creationId xmlns:a16="http://schemas.microsoft.com/office/drawing/2014/main" id="{7EA7752F-5A9D-4094-819C-6ABDAB5756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14" name="Picture 1">
          <a:extLst>
            <a:ext uri="{FF2B5EF4-FFF2-40B4-BE49-F238E27FC236}">
              <a16:creationId xmlns:a16="http://schemas.microsoft.com/office/drawing/2014/main" id="{C2A61F0E-6707-4B44-93B1-B0B94675B2E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15" name="Picture 1">
          <a:extLst>
            <a:ext uri="{FF2B5EF4-FFF2-40B4-BE49-F238E27FC236}">
              <a16:creationId xmlns:a16="http://schemas.microsoft.com/office/drawing/2014/main" id="{4ED3B96D-63C8-45BD-8315-32F00DE825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16" name="Picture 1">
          <a:extLst>
            <a:ext uri="{FF2B5EF4-FFF2-40B4-BE49-F238E27FC236}">
              <a16:creationId xmlns:a16="http://schemas.microsoft.com/office/drawing/2014/main" id="{AF4BD345-B8F1-43FD-A07D-27FF4FD68A3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17" name="Picture 1">
          <a:extLst>
            <a:ext uri="{FF2B5EF4-FFF2-40B4-BE49-F238E27FC236}">
              <a16:creationId xmlns:a16="http://schemas.microsoft.com/office/drawing/2014/main" id="{FFDEC405-1E3A-44FE-BBC0-D78F999331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18" name="Picture 1">
          <a:extLst>
            <a:ext uri="{FF2B5EF4-FFF2-40B4-BE49-F238E27FC236}">
              <a16:creationId xmlns:a16="http://schemas.microsoft.com/office/drawing/2014/main" id="{BA81C00C-39F2-4912-9F39-712001FDAE4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19" name="Picture 1">
          <a:extLst>
            <a:ext uri="{FF2B5EF4-FFF2-40B4-BE49-F238E27FC236}">
              <a16:creationId xmlns:a16="http://schemas.microsoft.com/office/drawing/2014/main" id="{D32FBE5D-45C4-43FD-9E67-06E42E7A50A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28" name="Picture 1">
          <a:extLst>
            <a:ext uri="{FF2B5EF4-FFF2-40B4-BE49-F238E27FC236}">
              <a16:creationId xmlns:a16="http://schemas.microsoft.com/office/drawing/2014/main" id="{3F330D0F-4F44-4920-A9A5-A6D8EB771C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29" name="Picture 1">
          <a:extLst>
            <a:ext uri="{FF2B5EF4-FFF2-40B4-BE49-F238E27FC236}">
              <a16:creationId xmlns:a16="http://schemas.microsoft.com/office/drawing/2014/main" id="{C15282BB-D2D2-4649-8063-D8E1BCB8826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30" name="Picture 1">
          <a:extLst>
            <a:ext uri="{FF2B5EF4-FFF2-40B4-BE49-F238E27FC236}">
              <a16:creationId xmlns:a16="http://schemas.microsoft.com/office/drawing/2014/main" id="{9B8EF7ED-862E-4B88-9E38-2C788F8D07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31" name="Picture 1">
          <a:extLst>
            <a:ext uri="{FF2B5EF4-FFF2-40B4-BE49-F238E27FC236}">
              <a16:creationId xmlns:a16="http://schemas.microsoft.com/office/drawing/2014/main" id="{899E49C4-286C-4B4F-870B-19895BDDAA2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32" name="Picture 1">
          <a:extLst>
            <a:ext uri="{FF2B5EF4-FFF2-40B4-BE49-F238E27FC236}">
              <a16:creationId xmlns:a16="http://schemas.microsoft.com/office/drawing/2014/main" id="{0B3998E2-9F9C-4F2B-8591-B0C199A692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33" name="Picture 1">
          <a:extLst>
            <a:ext uri="{FF2B5EF4-FFF2-40B4-BE49-F238E27FC236}">
              <a16:creationId xmlns:a16="http://schemas.microsoft.com/office/drawing/2014/main" id="{CAD0ACFF-CB27-4268-9590-B2809B6A913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34" name="Picture 1">
          <a:extLst>
            <a:ext uri="{FF2B5EF4-FFF2-40B4-BE49-F238E27FC236}">
              <a16:creationId xmlns:a16="http://schemas.microsoft.com/office/drawing/2014/main" id="{46D31028-4F1E-4057-8C0B-7EAD21E870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35" name="Picture 1">
          <a:extLst>
            <a:ext uri="{FF2B5EF4-FFF2-40B4-BE49-F238E27FC236}">
              <a16:creationId xmlns:a16="http://schemas.microsoft.com/office/drawing/2014/main" id="{E48FDEA7-C118-42D9-937D-BECC99C3D90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36" name="Picture 1">
          <a:extLst>
            <a:ext uri="{FF2B5EF4-FFF2-40B4-BE49-F238E27FC236}">
              <a16:creationId xmlns:a16="http://schemas.microsoft.com/office/drawing/2014/main" id="{293FA8D4-FD0A-49E4-A420-69AC6ADCDE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37" name="Picture 1">
          <a:extLst>
            <a:ext uri="{FF2B5EF4-FFF2-40B4-BE49-F238E27FC236}">
              <a16:creationId xmlns:a16="http://schemas.microsoft.com/office/drawing/2014/main" id="{BF4A5ED6-8521-49AF-A379-12E07B56ECC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38" name="Picture 1">
          <a:extLst>
            <a:ext uri="{FF2B5EF4-FFF2-40B4-BE49-F238E27FC236}">
              <a16:creationId xmlns:a16="http://schemas.microsoft.com/office/drawing/2014/main" id="{E689C451-A300-496A-AA92-B9A4BF7552F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39" name="Picture 1">
          <a:extLst>
            <a:ext uri="{FF2B5EF4-FFF2-40B4-BE49-F238E27FC236}">
              <a16:creationId xmlns:a16="http://schemas.microsoft.com/office/drawing/2014/main" id="{D0C6F4D2-535C-412A-9CA0-1DB44A3DA90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40" name="Picture 1">
          <a:extLst>
            <a:ext uri="{FF2B5EF4-FFF2-40B4-BE49-F238E27FC236}">
              <a16:creationId xmlns:a16="http://schemas.microsoft.com/office/drawing/2014/main" id="{0E4E6373-8FCF-4F9F-AE0B-5F14E25F131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41" name="Picture 1">
          <a:extLst>
            <a:ext uri="{FF2B5EF4-FFF2-40B4-BE49-F238E27FC236}">
              <a16:creationId xmlns:a16="http://schemas.microsoft.com/office/drawing/2014/main" id="{4DD64E91-AA94-4B7F-9F63-006D6858BE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42" name="Picture 1">
          <a:extLst>
            <a:ext uri="{FF2B5EF4-FFF2-40B4-BE49-F238E27FC236}">
              <a16:creationId xmlns:a16="http://schemas.microsoft.com/office/drawing/2014/main" id="{9BEBD65D-7A79-4147-938C-2033A91BC94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43" name="Picture 1">
          <a:extLst>
            <a:ext uri="{FF2B5EF4-FFF2-40B4-BE49-F238E27FC236}">
              <a16:creationId xmlns:a16="http://schemas.microsoft.com/office/drawing/2014/main" id="{E96F7F20-6150-4549-B962-88034A3210C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104775</xdr:rowOff>
    </xdr:to>
    <xdr:pic>
      <xdr:nvPicPr>
        <xdr:cNvPr id="27583056" name="Picture 1">
          <a:extLst>
            <a:ext uri="{FF2B5EF4-FFF2-40B4-BE49-F238E27FC236}">
              <a16:creationId xmlns:a16="http://schemas.microsoft.com/office/drawing/2014/main" id="{54ACD642-2F36-458A-A534-6982DBCE30F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876300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161925</xdr:rowOff>
    </xdr:to>
    <xdr:pic>
      <xdr:nvPicPr>
        <xdr:cNvPr id="27583057" name="Picture 1">
          <a:extLst>
            <a:ext uri="{FF2B5EF4-FFF2-40B4-BE49-F238E27FC236}">
              <a16:creationId xmlns:a16="http://schemas.microsoft.com/office/drawing/2014/main" id="{6B9FD64B-B9B2-4115-98F8-6D1D3007871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876300" cy="628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104775</xdr:rowOff>
    </xdr:to>
    <xdr:pic>
      <xdr:nvPicPr>
        <xdr:cNvPr id="27583058" name="Picture 1">
          <a:extLst>
            <a:ext uri="{FF2B5EF4-FFF2-40B4-BE49-F238E27FC236}">
              <a16:creationId xmlns:a16="http://schemas.microsoft.com/office/drawing/2014/main" id="{30E698A1-19CF-45F2-A85D-EEE03BD04C6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876300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161925</xdr:rowOff>
    </xdr:to>
    <xdr:pic>
      <xdr:nvPicPr>
        <xdr:cNvPr id="27583059" name="Picture 1">
          <a:extLst>
            <a:ext uri="{FF2B5EF4-FFF2-40B4-BE49-F238E27FC236}">
              <a16:creationId xmlns:a16="http://schemas.microsoft.com/office/drawing/2014/main" id="{B91A8D6C-9C54-4298-8F9D-068F13F643D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876300" cy="628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895350</xdr:colOff>
      <xdr:row>27</xdr:row>
      <xdr:rowOff>28575</xdr:rowOff>
    </xdr:from>
    <xdr:to>
      <xdr:col>13</xdr:col>
      <xdr:colOff>447675</xdr:colOff>
      <xdr:row>48</xdr:row>
      <xdr:rowOff>85725</xdr:rowOff>
    </xdr:to>
    <xdr:graphicFrame macro="">
      <xdr:nvGraphicFramePr>
        <xdr:cNvPr id="25208616" name="Chart 1">
          <a:extLst>
            <a:ext uri="{FF2B5EF4-FFF2-40B4-BE49-F238E27FC236}">
              <a16:creationId xmlns:a16="http://schemas.microsoft.com/office/drawing/2014/main" id="{A0DE5392-716C-494C-B105-E8A4BFFA16A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209550</xdr:colOff>
      <xdr:row>27</xdr:row>
      <xdr:rowOff>47625</xdr:rowOff>
    </xdr:from>
    <xdr:to>
      <xdr:col>6</xdr:col>
      <xdr:colOff>638175</xdr:colOff>
      <xdr:row>48</xdr:row>
      <xdr:rowOff>76200</xdr:rowOff>
    </xdr:to>
    <xdr:graphicFrame macro="">
      <xdr:nvGraphicFramePr>
        <xdr:cNvPr id="25208617" name="Chart 2">
          <a:extLst>
            <a:ext uri="{FF2B5EF4-FFF2-40B4-BE49-F238E27FC236}">
              <a16:creationId xmlns:a16="http://schemas.microsoft.com/office/drawing/2014/main" id="{7EBB85D7-933C-4B71-ACC9-B4A324414BF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476250</xdr:colOff>
      <xdr:row>28</xdr:row>
      <xdr:rowOff>28575</xdr:rowOff>
    </xdr:from>
    <xdr:to>
      <xdr:col>13</xdr:col>
      <xdr:colOff>981075</xdr:colOff>
      <xdr:row>51</xdr:row>
      <xdr:rowOff>47625</xdr:rowOff>
    </xdr:to>
    <xdr:graphicFrame macro="">
      <xdr:nvGraphicFramePr>
        <xdr:cNvPr id="25211688" name="Chart 1">
          <a:extLst>
            <a:ext uri="{FF2B5EF4-FFF2-40B4-BE49-F238E27FC236}">
              <a16:creationId xmlns:a16="http://schemas.microsoft.com/office/drawing/2014/main" id="{7516889A-4257-4E53-8120-3CE05ACFFB0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38100</xdr:colOff>
      <xdr:row>28</xdr:row>
      <xdr:rowOff>9525</xdr:rowOff>
    </xdr:from>
    <xdr:to>
      <xdr:col>6</xdr:col>
      <xdr:colOff>238125</xdr:colOff>
      <xdr:row>51</xdr:row>
      <xdr:rowOff>76200</xdr:rowOff>
    </xdr:to>
    <xdr:graphicFrame macro="">
      <xdr:nvGraphicFramePr>
        <xdr:cNvPr id="25211689" name="Chart 2">
          <a:extLst>
            <a:ext uri="{FF2B5EF4-FFF2-40B4-BE49-F238E27FC236}">
              <a16:creationId xmlns:a16="http://schemas.microsoft.com/office/drawing/2014/main" id="{CBB0A70C-0261-420A-90F3-867DF3E1F99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590550</xdr:colOff>
      <xdr:row>28</xdr:row>
      <xdr:rowOff>28575</xdr:rowOff>
    </xdr:from>
    <xdr:to>
      <xdr:col>13</xdr:col>
      <xdr:colOff>1114425</xdr:colOff>
      <xdr:row>52</xdr:row>
      <xdr:rowOff>28575</xdr:rowOff>
    </xdr:to>
    <xdr:graphicFrame macro="">
      <xdr:nvGraphicFramePr>
        <xdr:cNvPr id="25214760" name="Chart 1">
          <a:extLst>
            <a:ext uri="{FF2B5EF4-FFF2-40B4-BE49-F238E27FC236}">
              <a16:creationId xmlns:a16="http://schemas.microsoft.com/office/drawing/2014/main" id="{1C6973F1-40B1-411E-A45A-B64EBAE496F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495300</xdr:colOff>
      <xdr:row>28</xdr:row>
      <xdr:rowOff>9525</xdr:rowOff>
    </xdr:from>
    <xdr:to>
      <xdr:col>7</xdr:col>
      <xdr:colOff>66675</xdr:colOff>
      <xdr:row>52</xdr:row>
      <xdr:rowOff>47625</xdr:rowOff>
    </xdr:to>
    <xdr:graphicFrame macro="">
      <xdr:nvGraphicFramePr>
        <xdr:cNvPr id="25214761" name="Chart 2">
          <a:extLst>
            <a:ext uri="{FF2B5EF4-FFF2-40B4-BE49-F238E27FC236}">
              <a16:creationId xmlns:a16="http://schemas.microsoft.com/office/drawing/2014/main" id="{BE8EF027-8720-4CA1-90E1-26973AACDD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B0F0"/>
  </sheetPr>
  <dimension ref="A1:M40"/>
  <sheetViews>
    <sheetView tabSelected="1" workbookViewId="0">
      <selection activeCell="V17" sqref="V17"/>
    </sheetView>
  </sheetViews>
  <sheetFormatPr baseColWidth="10" defaultColWidth="8.85546875" defaultRowHeight="12.75" x14ac:dyDescent="0.2"/>
  <cols>
    <col min="1" max="1" width="12.42578125" style="47" customWidth="1"/>
    <col min="2" max="3" width="8.85546875" style="140" customWidth="1"/>
    <col min="4" max="4" width="13.42578125" style="141" customWidth="1"/>
    <col min="5" max="5" width="12.5703125" style="137" customWidth="1"/>
    <col min="6" max="6" width="12.5703125" style="47" customWidth="1"/>
    <col min="7" max="10" width="8.85546875" style="47" customWidth="1"/>
    <col min="11" max="12" width="8.85546875" style="137" customWidth="1"/>
    <col min="13" max="13" width="0" hidden="1" customWidth="1"/>
  </cols>
  <sheetData>
    <row r="1" spans="1:13" s="100" customFormat="1" ht="75.75" thickBot="1" x14ac:dyDescent="0.3">
      <c r="A1" s="135" t="s">
        <v>0</v>
      </c>
      <c r="B1" s="138" t="s">
        <v>1</v>
      </c>
      <c r="C1" s="138" t="s">
        <v>2</v>
      </c>
      <c r="D1" s="139" t="s">
        <v>3</v>
      </c>
      <c r="E1" s="145" t="s">
        <v>4</v>
      </c>
      <c r="F1" s="142" t="s">
        <v>5</v>
      </c>
      <c r="G1" s="142" t="s">
        <v>6</v>
      </c>
      <c r="H1" s="142" t="s">
        <v>7</v>
      </c>
      <c r="I1" s="142" t="s">
        <v>8</v>
      </c>
      <c r="J1" s="142" t="s">
        <v>9</v>
      </c>
      <c r="K1" s="145" t="s">
        <v>10</v>
      </c>
      <c r="L1" s="145" t="s">
        <v>11</v>
      </c>
      <c r="M1" s="132" t="s">
        <v>12</v>
      </c>
    </row>
    <row r="2" spans="1:13" x14ac:dyDescent="0.2">
      <c r="A2" s="136" t="s">
        <v>13</v>
      </c>
      <c r="B2" s="140">
        <v>1</v>
      </c>
      <c r="C2" s="140">
        <v>4</v>
      </c>
      <c r="D2" s="141">
        <v>2022</v>
      </c>
      <c r="E2" s="137">
        <f>submetering!E2+submetering!F2+submetering!G2</f>
        <v>12121</v>
      </c>
      <c r="F2" s="134">
        <v>1.05</v>
      </c>
      <c r="G2" s="134">
        <f>'Consommation mensuel énergie'!V10</f>
        <v>575.98577999999998</v>
      </c>
      <c r="H2" s="134">
        <v>13.64</v>
      </c>
      <c r="I2" s="134">
        <f>'Consommation mensuel énergie'!F10</f>
        <v>118.89999999999418</v>
      </c>
      <c r="J2" s="134">
        <v>11.4</v>
      </c>
      <c r="K2" s="137">
        <f>'Consommation mensuel énergie'!D10</f>
        <v>84</v>
      </c>
      <c r="L2" s="137">
        <f>'Consommation mensuel énergie'!E10</f>
        <v>145</v>
      </c>
      <c r="M2" s="133" t="e">
        <f>E2*F2+G2*H2+#REF!*#REF!+I2*J2</f>
        <v>#REF!</v>
      </c>
    </row>
    <row r="3" spans="1:13" x14ac:dyDescent="0.2">
      <c r="A3" s="136" t="s">
        <v>13</v>
      </c>
      <c r="B3" s="140">
        <f>B2+1</f>
        <v>2</v>
      </c>
      <c r="C3" s="140">
        <v>4</v>
      </c>
      <c r="D3" s="141">
        <v>2022</v>
      </c>
      <c r="E3" s="137">
        <f>submetering!E3+submetering!F3+submetering!G3</f>
        <v>11043</v>
      </c>
      <c r="F3" s="134">
        <v>1.05</v>
      </c>
      <c r="G3" s="134">
        <f>'Consommation mensuel énergie'!V11</f>
        <v>703.98262</v>
      </c>
      <c r="H3" s="134">
        <v>13.64</v>
      </c>
      <c r="I3" s="134">
        <f>'Consommation mensuel énergie'!F11</f>
        <v>143</v>
      </c>
      <c r="J3" s="134">
        <v>11.4</v>
      </c>
      <c r="K3" s="137">
        <f>'Consommation mensuel énergie'!D11</f>
        <v>86</v>
      </c>
      <c r="L3" s="137">
        <f>'Consommation mensuel énergie'!E11</f>
        <v>148</v>
      </c>
      <c r="M3" s="133" t="e">
        <f>E3*F3+G3*H3+#REF!*#REF!+I3*J3</f>
        <v>#REF!</v>
      </c>
    </row>
    <row r="4" spans="1:13" x14ac:dyDescent="0.2">
      <c r="A4" s="136" t="s">
        <v>13</v>
      </c>
      <c r="B4" s="140">
        <f t="shared" ref="B4:B25" si="0">B3+1</f>
        <v>3</v>
      </c>
      <c r="C4" s="140">
        <v>4</v>
      </c>
      <c r="D4" s="141">
        <v>2022</v>
      </c>
      <c r="E4" s="137">
        <f>submetering!E4+submetering!F4+submetering!G4</f>
        <v>10583</v>
      </c>
      <c r="F4" s="134">
        <v>1.05</v>
      </c>
      <c r="G4" s="134">
        <f>'Consommation mensuel énergie'!V12</f>
        <v>671.98341000000005</v>
      </c>
      <c r="H4" s="134">
        <v>13.64</v>
      </c>
      <c r="I4" s="134">
        <f>'Consommation mensuel énergie'!F12</f>
        <v>137</v>
      </c>
      <c r="J4" s="134">
        <v>11.4</v>
      </c>
      <c r="K4" s="137">
        <f>'Consommation mensuel énergie'!D12</f>
        <v>52</v>
      </c>
      <c r="L4" s="137">
        <f>'Consommation mensuel énergie'!E12</f>
        <v>86</v>
      </c>
      <c r="M4" s="133" t="e">
        <f>E4*F4+G4*H4+#REF!*#REF!+I4*J4</f>
        <v>#REF!</v>
      </c>
    </row>
    <row r="5" spans="1:13" x14ac:dyDescent="0.2">
      <c r="A5" s="136" t="s">
        <v>13</v>
      </c>
      <c r="B5" s="140">
        <f t="shared" si="0"/>
        <v>4</v>
      </c>
      <c r="C5" s="140">
        <v>4</v>
      </c>
      <c r="D5" s="141">
        <v>2022</v>
      </c>
      <c r="E5" s="137">
        <f>submetering!E5+submetering!F5+submetering!G5</f>
        <v>10461</v>
      </c>
      <c r="F5" s="134">
        <v>1.05</v>
      </c>
      <c r="G5" s="134">
        <f>'Consommation mensuel énergie'!V13</f>
        <v>192.35820000000001</v>
      </c>
      <c r="H5" s="134">
        <v>13.64</v>
      </c>
      <c r="I5" s="134">
        <f>'Consommation mensuel énergie'!F13</f>
        <v>134</v>
      </c>
      <c r="J5" s="134">
        <v>11.4</v>
      </c>
      <c r="K5" s="137">
        <f>'Consommation mensuel énergie'!D13</f>
        <v>84</v>
      </c>
      <c r="L5" s="137">
        <f>'Consommation mensuel énergie'!E13</f>
        <v>136</v>
      </c>
      <c r="M5" s="133" t="e">
        <f>E5*F5+G5*H5+#REF!*#REF!+I5*J5</f>
        <v>#REF!</v>
      </c>
    </row>
    <row r="6" spans="1:13" x14ac:dyDescent="0.2">
      <c r="A6" s="136" t="s">
        <v>13</v>
      </c>
      <c r="B6" s="140">
        <f t="shared" si="0"/>
        <v>5</v>
      </c>
      <c r="C6" s="140">
        <v>4</v>
      </c>
      <c r="D6" s="141">
        <v>2022</v>
      </c>
      <c r="E6" s="137">
        <f>submetering!E6+submetering!F6+submetering!G6</f>
        <v>9994</v>
      </c>
      <c r="F6" s="134">
        <v>1.05</v>
      </c>
      <c r="G6" s="134">
        <f>'Consommation mensuel énergie'!V14</f>
        <v>415.98973000000001</v>
      </c>
      <c r="H6" s="134">
        <v>13.64</v>
      </c>
      <c r="I6" s="134">
        <f>'Consommation mensuel énergie'!F14</f>
        <v>63.899999999994179</v>
      </c>
      <c r="J6" s="134">
        <v>11.4</v>
      </c>
      <c r="K6" s="137">
        <f>'Consommation mensuel énergie'!D14</f>
        <v>66</v>
      </c>
      <c r="L6" s="137">
        <f>'Consommation mensuel énergie'!E14</f>
        <v>100</v>
      </c>
      <c r="M6" s="133" t="e">
        <f>E6*F6+G6*H6+#REF!*#REF!+I6*J6</f>
        <v>#REF!</v>
      </c>
    </row>
    <row r="7" spans="1:13" x14ac:dyDescent="0.2">
      <c r="A7" s="136" t="s">
        <v>13</v>
      </c>
      <c r="B7" s="140">
        <f t="shared" si="0"/>
        <v>6</v>
      </c>
      <c r="C7" s="140">
        <v>4</v>
      </c>
      <c r="D7" s="141">
        <v>2022</v>
      </c>
      <c r="E7" s="137">
        <f>submetering!E7+submetering!F7+submetering!G7</f>
        <v>10231</v>
      </c>
      <c r="F7" s="134">
        <v>1.05</v>
      </c>
      <c r="G7" s="134">
        <f>'Consommation mensuel énergie'!V15</f>
        <v>479.98815000000002</v>
      </c>
      <c r="H7" s="134">
        <v>13.64</v>
      </c>
      <c r="I7" s="134">
        <f>'Consommation mensuel énergie'!F15</f>
        <v>124.5</v>
      </c>
      <c r="J7" s="134">
        <v>11.4</v>
      </c>
      <c r="K7" s="137">
        <f>'Consommation mensuel énergie'!D15</f>
        <v>81</v>
      </c>
      <c r="L7" s="137">
        <f>'Consommation mensuel énergie'!E15</f>
        <v>128</v>
      </c>
      <c r="M7" s="133" t="e">
        <f>E7*F7+G7*H7+#REF!*#REF!+I7*J7</f>
        <v>#REF!</v>
      </c>
    </row>
    <row r="8" spans="1:13" x14ac:dyDescent="0.2">
      <c r="A8" s="136" t="s">
        <v>13</v>
      </c>
      <c r="B8" s="140">
        <f t="shared" si="0"/>
        <v>7</v>
      </c>
      <c r="C8" s="140">
        <v>4</v>
      </c>
      <c r="D8" s="141">
        <v>2022</v>
      </c>
      <c r="E8" s="137">
        <f>submetering!E8+submetering!F8+submetering!G8</f>
        <v>10266</v>
      </c>
      <c r="F8" s="134">
        <v>1.05</v>
      </c>
      <c r="G8" s="134">
        <f>'Consommation mensuel énergie'!V16</f>
        <v>415.98973000000001</v>
      </c>
      <c r="H8" s="134">
        <v>13.64</v>
      </c>
      <c r="I8" s="134">
        <f>'Consommation mensuel énergie'!F16</f>
        <v>99</v>
      </c>
      <c r="J8" s="134">
        <v>11.4</v>
      </c>
      <c r="K8" s="137">
        <f>'Consommation mensuel énergie'!D16</f>
        <v>76</v>
      </c>
      <c r="L8" s="137">
        <f>'Consommation mensuel énergie'!E16</f>
        <v>122</v>
      </c>
      <c r="M8" s="133" t="e">
        <f>E8*F8+G8*H8+#REF!*#REF!+I8*J8</f>
        <v>#REF!</v>
      </c>
    </row>
    <row r="9" spans="1:13" x14ac:dyDescent="0.2">
      <c r="A9" s="136" t="s">
        <v>13</v>
      </c>
      <c r="B9" s="140">
        <f t="shared" si="0"/>
        <v>8</v>
      </c>
      <c r="C9" s="140">
        <v>4</v>
      </c>
      <c r="D9" s="141">
        <v>2022</v>
      </c>
      <c r="E9" s="137">
        <f>submetering!E9+submetering!F9+submetering!G9</f>
        <v>10611</v>
      </c>
      <c r="F9" s="134">
        <v>1.05</v>
      </c>
      <c r="G9" s="134">
        <f>'Consommation mensuel énergie'!V17</f>
        <v>895.97788000000003</v>
      </c>
      <c r="H9" s="134">
        <v>13.64</v>
      </c>
      <c r="I9" s="134">
        <f>'Consommation mensuel énergie'!F17</f>
        <v>104</v>
      </c>
      <c r="J9" s="134">
        <v>11.4</v>
      </c>
      <c r="K9" s="137">
        <f>'Consommation mensuel énergie'!D17</f>
        <v>70</v>
      </c>
      <c r="L9" s="137">
        <f>'Consommation mensuel énergie'!E17</f>
        <v>115</v>
      </c>
      <c r="M9" s="133" t="e">
        <f>E9*F9+G9*H9+#REF!*#REF!+I9*J9</f>
        <v>#REF!</v>
      </c>
    </row>
    <row r="10" spans="1:13" x14ac:dyDescent="0.2">
      <c r="A10" s="136" t="s">
        <v>13</v>
      </c>
      <c r="B10" s="140">
        <f t="shared" si="0"/>
        <v>9</v>
      </c>
      <c r="C10" s="140">
        <v>4</v>
      </c>
      <c r="D10" s="141">
        <v>2022</v>
      </c>
      <c r="E10" s="137">
        <f>submetering!E10+submetering!F10+submetering!G10</f>
        <v>10700</v>
      </c>
      <c r="F10" s="134">
        <v>1.05</v>
      </c>
      <c r="G10" s="134">
        <f>'Consommation mensuel énergie'!V18</f>
        <v>415.98973000000001</v>
      </c>
      <c r="H10" s="134">
        <v>13.64</v>
      </c>
      <c r="I10" s="134">
        <f>'Consommation mensuel énergie'!F18</f>
        <v>136.80000000001746</v>
      </c>
      <c r="J10" s="134">
        <v>11.4</v>
      </c>
      <c r="K10" s="137">
        <f>'Consommation mensuel énergie'!D18</f>
        <v>90</v>
      </c>
      <c r="L10" s="137">
        <f>'Consommation mensuel énergie'!E18</f>
        <v>160</v>
      </c>
      <c r="M10" s="133" t="e">
        <f>E10*F10+G10*H10+#REF!*#REF!+I10*J10</f>
        <v>#REF!</v>
      </c>
    </row>
    <row r="11" spans="1:13" x14ac:dyDescent="0.2">
      <c r="A11" s="136" t="s">
        <v>13</v>
      </c>
      <c r="B11" s="140">
        <f t="shared" si="0"/>
        <v>10</v>
      </c>
      <c r="C11" s="140">
        <v>4</v>
      </c>
      <c r="D11" s="141">
        <v>2022</v>
      </c>
      <c r="E11" s="137">
        <f>submetering!E11+submetering!F11+submetering!G11</f>
        <v>11098</v>
      </c>
      <c r="F11" s="134">
        <v>1.05</v>
      </c>
      <c r="G11" s="134">
        <f>'Consommation mensuel énergie'!V19</f>
        <v>223.99447000000001</v>
      </c>
      <c r="H11" s="134">
        <v>13.64</v>
      </c>
      <c r="I11" s="134">
        <f>'Consommation mensuel énergie'!F19</f>
        <v>131.79999999998836</v>
      </c>
      <c r="J11" s="134">
        <v>11.4</v>
      </c>
      <c r="K11" s="137">
        <f>'Consommation mensuel énergie'!D19</f>
        <v>80</v>
      </c>
      <c r="L11" s="137">
        <f>'Consommation mensuel énergie'!E19</f>
        <v>135</v>
      </c>
      <c r="M11" s="133" t="e">
        <f>E11*F11+G11*H11+#REF!*#REF!+I11*J11</f>
        <v>#REF!</v>
      </c>
    </row>
    <row r="12" spans="1:13" x14ac:dyDescent="0.2">
      <c r="A12" s="136" t="s">
        <v>13</v>
      </c>
      <c r="B12" s="140">
        <f t="shared" si="0"/>
        <v>11</v>
      </c>
      <c r="C12" s="140">
        <v>4</v>
      </c>
      <c r="D12" s="141">
        <v>2022</v>
      </c>
      <c r="E12" s="137">
        <f>submetering!E12+submetering!F12+submetering!G12</f>
        <v>10739</v>
      </c>
      <c r="F12" s="134">
        <v>1.05</v>
      </c>
      <c r="G12" s="134">
        <f>'Consommation mensuel énergie'!V20</f>
        <v>479.98815000000002</v>
      </c>
      <c r="H12" s="134">
        <v>13.64</v>
      </c>
      <c r="I12" s="134">
        <f>'Consommation mensuel énergie'!F20</f>
        <v>88</v>
      </c>
      <c r="J12" s="134">
        <v>11.4</v>
      </c>
      <c r="K12" s="137">
        <f>'Consommation mensuel énergie'!D20</f>
        <v>100</v>
      </c>
      <c r="L12" s="137">
        <f>'Consommation mensuel énergie'!E20</f>
        <v>172</v>
      </c>
      <c r="M12" s="133" t="e">
        <f>E12*F12+G12*H12+#REF!*#REF!+I12*J12</f>
        <v>#REF!</v>
      </c>
    </row>
    <row r="13" spans="1:13" x14ac:dyDescent="0.2">
      <c r="A13" s="136" t="s">
        <v>13</v>
      </c>
      <c r="B13" s="140">
        <f t="shared" si="0"/>
        <v>12</v>
      </c>
      <c r="C13" s="140">
        <v>4</v>
      </c>
      <c r="D13" s="141">
        <v>2022</v>
      </c>
      <c r="E13" s="137">
        <f>submetering!E13+submetering!F13+submetering!G13</f>
        <v>11114</v>
      </c>
      <c r="F13" s="134">
        <v>1.05</v>
      </c>
      <c r="G13" s="134">
        <f>'Consommation mensuel énergie'!V21</f>
        <v>543.98657000000003</v>
      </c>
      <c r="H13" s="134">
        <v>13.64</v>
      </c>
      <c r="I13" s="134">
        <f>'Consommation mensuel énergie'!F21</f>
        <v>104</v>
      </c>
      <c r="J13" s="134">
        <v>11.4</v>
      </c>
      <c r="K13" s="137">
        <f>'Consommation mensuel énergie'!D21</f>
        <v>106</v>
      </c>
      <c r="L13" s="137">
        <f>'Consommation mensuel énergie'!E21</f>
        <v>170</v>
      </c>
      <c r="M13" s="133" t="e">
        <f>E13*F13+G13*H13+#REF!*#REF!+I13*J13</f>
        <v>#REF!</v>
      </c>
    </row>
    <row r="14" spans="1:13" x14ac:dyDescent="0.2">
      <c r="A14" s="136" t="s">
        <v>13</v>
      </c>
      <c r="B14" s="140">
        <f t="shared" si="0"/>
        <v>13</v>
      </c>
      <c r="C14" s="140">
        <v>4</v>
      </c>
      <c r="D14" s="141">
        <v>2022</v>
      </c>
      <c r="E14" s="137">
        <f>submetering!E14+submetering!F14+submetering!G14</f>
        <v>12522</v>
      </c>
      <c r="F14" s="134">
        <v>1.05</v>
      </c>
      <c r="G14" s="134">
        <f>'Consommation mensuel énergie'!V22</f>
        <v>511.98736000000002</v>
      </c>
      <c r="H14" s="134">
        <v>13.64</v>
      </c>
      <c r="I14" s="134">
        <f>'Consommation mensuel énergie'!F22</f>
        <v>143</v>
      </c>
      <c r="J14" s="134">
        <v>11.4</v>
      </c>
      <c r="K14" s="137">
        <f>'Consommation mensuel énergie'!D22</f>
        <v>89</v>
      </c>
      <c r="L14" s="137">
        <f>'Consommation mensuel énergie'!E22</f>
        <v>152</v>
      </c>
      <c r="M14" s="133" t="e">
        <f>E14*F14+G14*H14+#REF!*#REF!+I14*J14</f>
        <v>#REF!</v>
      </c>
    </row>
    <row r="15" spans="1:13" x14ac:dyDescent="0.2">
      <c r="A15" s="136" t="s">
        <v>13</v>
      </c>
      <c r="B15" s="140">
        <f t="shared" si="0"/>
        <v>14</v>
      </c>
      <c r="C15" s="140">
        <v>4</v>
      </c>
      <c r="D15" s="141">
        <v>2022</v>
      </c>
      <c r="E15" s="137">
        <f>submetering!E15+submetering!F15+submetering!G15</f>
        <v>11487</v>
      </c>
      <c r="F15" s="134">
        <v>1.05</v>
      </c>
      <c r="G15" s="134">
        <f>'Consommation mensuel énergie'!V23</f>
        <v>479.98815000000002</v>
      </c>
      <c r="H15" s="134">
        <v>13.64</v>
      </c>
      <c r="I15" s="134">
        <f>'Consommation mensuel énergie'!F23</f>
        <v>109</v>
      </c>
      <c r="J15" s="134">
        <v>11.4</v>
      </c>
      <c r="K15" s="137">
        <f>'Consommation mensuel énergie'!D23</f>
        <v>99</v>
      </c>
      <c r="L15" s="137">
        <f>'Consommation mensuel énergie'!E23</f>
        <v>183</v>
      </c>
      <c r="M15" s="133" t="e">
        <f>E15*F15+G15*H15+#REF!*#REF!+I15*J15</f>
        <v>#REF!</v>
      </c>
    </row>
    <row r="16" spans="1:13" x14ac:dyDescent="0.2">
      <c r="A16" s="136" t="s">
        <v>13</v>
      </c>
      <c r="B16" s="140">
        <f t="shared" si="0"/>
        <v>15</v>
      </c>
      <c r="C16" s="140">
        <v>4</v>
      </c>
      <c r="D16" s="141">
        <v>2022</v>
      </c>
      <c r="E16" s="137">
        <f>submetering!E16+submetering!F16+submetering!G16</f>
        <v>11153</v>
      </c>
      <c r="F16" s="134">
        <v>1.05</v>
      </c>
      <c r="G16" s="134">
        <f>'Consommation mensuel énergie'!V24</f>
        <v>479.98815000000002</v>
      </c>
      <c r="H16" s="134">
        <v>13.64</v>
      </c>
      <c r="I16" s="134">
        <f>'Consommation mensuel énergie'!F24</f>
        <v>108.5</v>
      </c>
      <c r="J16" s="134">
        <v>11.4</v>
      </c>
      <c r="K16" s="137">
        <f>'Consommation mensuel énergie'!D24</f>
        <v>84</v>
      </c>
      <c r="L16" s="137">
        <f>'Consommation mensuel énergie'!E24</f>
        <v>156</v>
      </c>
      <c r="M16" s="133" t="e">
        <f>E16*F16+G16*H16+#REF!*#REF!+I16*J16</f>
        <v>#REF!</v>
      </c>
    </row>
    <row r="17" spans="1:13" x14ac:dyDescent="0.2">
      <c r="A17" s="136" t="s">
        <v>13</v>
      </c>
      <c r="B17" s="140">
        <f t="shared" si="0"/>
        <v>16</v>
      </c>
      <c r="C17" s="140">
        <v>4</v>
      </c>
      <c r="D17" s="141">
        <v>2022</v>
      </c>
      <c r="E17" s="137">
        <f>submetering!E17+submetering!F17+submetering!G17</f>
        <v>12151</v>
      </c>
      <c r="F17" s="134">
        <v>1.05</v>
      </c>
      <c r="G17" s="134">
        <f>'Consommation mensuel énergie'!V25</f>
        <v>639.98419999999999</v>
      </c>
      <c r="H17" s="134">
        <v>13.64</v>
      </c>
      <c r="I17" s="134">
        <f>'Consommation mensuel énergie'!F25</f>
        <v>156.5</v>
      </c>
      <c r="J17" s="134">
        <v>11.4</v>
      </c>
      <c r="K17" s="137">
        <f>'Consommation mensuel énergie'!D25</f>
        <v>93</v>
      </c>
      <c r="L17" s="137">
        <f>'Consommation mensuel énergie'!E25</f>
        <v>177</v>
      </c>
      <c r="M17" s="133" t="e">
        <f>E17*F17+G17*H17+#REF!*#REF!+I17*J17</f>
        <v>#REF!</v>
      </c>
    </row>
    <row r="18" spans="1:13" x14ac:dyDescent="0.2">
      <c r="A18" s="136" t="s">
        <v>13</v>
      </c>
      <c r="B18" s="140">
        <f t="shared" si="0"/>
        <v>17</v>
      </c>
      <c r="C18" s="140">
        <v>4</v>
      </c>
      <c r="D18" s="141">
        <v>2022</v>
      </c>
      <c r="E18" s="137">
        <f>submetering!E18+submetering!F18+submetering!G18</f>
        <v>11477</v>
      </c>
      <c r="F18" s="134">
        <v>1.05</v>
      </c>
      <c r="G18" s="134">
        <f>'Consommation mensuel énergie'!V26</f>
        <v>511.98736000000002</v>
      </c>
      <c r="H18" s="134">
        <v>13.64</v>
      </c>
      <c r="I18" s="134">
        <f>'Consommation mensuel énergie'!F26</f>
        <v>126</v>
      </c>
      <c r="J18" s="134">
        <v>11.4</v>
      </c>
      <c r="K18" s="137">
        <f>'Consommation mensuel énergie'!D26</f>
        <v>80</v>
      </c>
      <c r="L18" s="137">
        <f>'Consommation mensuel énergie'!E26</f>
        <v>138</v>
      </c>
      <c r="M18" s="133" t="e">
        <f>E18*F18+G18*H18+#REF!*#REF!+I18*J18</f>
        <v>#REF!</v>
      </c>
    </row>
    <row r="19" spans="1:13" x14ac:dyDescent="0.2">
      <c r="A19" s="136" t="s">
        <v>13</v>
      </c>
      <c r="B19" s="140">
        <f t="shared" si="0"/>
        <v>18</v>
      </c>
      <c r="C19" s="140">
        <v>4</v>
      </c>
      <c r="D19" s="141">
        <v>2022</v>
      </c>
      <c r="E19" s="137">
        <f>submetering!E19+submetering!F19+submetering!G19</f>
        <v>11687</v>
      </c>
      <c r="F19" s="134">
        <v>1.05</v>
      </c>
      <c r="G19" s="134">
        <f>'Consommation mensuel énergie'!V27</f>
        <v>607.98499000000004</v>
      </c>
      <c r="H19" s="134">
        <v>13.64</v>
      </c>
      <c r="I19" s="134">
        <f>'Consommation mensuel énergie'!F27</f>
        <v>91</v>
      </c>
      <c r="J19" s="134">
        <v>11.4</v>
      </c>
      <c r="K19" s="137">
        <f>'Consommation mensuel énergie'!D27</f>
        <v>101</v>
      </c>
      <c r="L19" s="137">
        <f>'Consommation mensuel énergie'!E27</f>
        <v>152</v>
      </c>
      <c r="M19" s="133" t="e">
        <f>E19*F19+G19*H19+#REF!*#REF!+I19*J19</f>
        <v>#REF!</v>
      </c>
    </row>
    <row r="20" spans="1:13" x14ac:dyDescent="0.2">
      <c r="A20" s="136" t="s">
        <v>13</v>
      </c>
      <c r="B20" s="140">
        <f t="shared" si="0"/>
        <v>19</v>
      </c>
      <c r="C20" s="140">
        <v>4</v>
      </c>
      <c r="D20" s="141">
        <v>2022</v>
      </c>
      <c r="E20" s="137">
        <f>submetering!E20+submetering!F20+submetering!G20</f>
        <v>12067</v>
      </c>
      <c r="F20" s="134">
        <v>1.05</v>
      </c>
      <c r="G20" s="134">
        <f>'Consommation mensuel énergie'!V28</f>
        <v>671.98341000000005</v>
      </c>
      <c r="H20" s="134">
        <v>13.64</v>
      </c>
      <c r="I20" s="134">
        <f>'Consommation mensuel énergie'!F28</f>
        <v>109</v>
      </c>
      <c r="J20" s="134">
        <v>11.4</v>
      </c>
      <c r="K20" s="137">
        <f>'Consommation mensuel énergie'!D28</f>
        <v>86</v>
      </c>
      <c r="L20" s="137">
        <f>'Consommation mensuel énergie'!E28</f>
        <v>128</v>
      </c>
      <c r="M20" s="133" t="e">
        <f>E20*F20+G20*H20+#REF!*#REF!+I20*J20</f>
        <v>#REF!</v>
      </c>
    </row>
    <row r="21" spans="1:13" x14ac:dyDescent="0.2">
      <c r="A21" s="136" t="s">
        <v>13</v>
      </c>
      <c r="B21" s="140">
        <f t="shared" si="0"/>
        <v>20</v>
      </c>
      <c r="C21" s="140">
        <v>4</v>
      </c>
      <c r="D21" s="141">
        <v>2022</v>
      </c>
      <c r="E21" s="137">
        <f>submetering!E21+submetering!F21+submetering!G21</f>
        <v>11343</v>
      </c>
      <c r="F21" s="134">
        <v>1.05</v>
      </c>
      <c r="G21" s="134">
        <f>'Consommation mensuel énergie'!V29</f>
        <v>895.97788000000003</v>
      </c>
      <c r="H21" s="134">
        <v>13.64</v>
      </c>
      <c r="I21" s="134">
        <f>'Consommation mensuel énergie'!F29</f>
        <v>104.10000000000582</v>
      </c>
      <c r="J21" s="134">
        <v>11.4</v>
      </c>
      <c r="K21" s="137">
        <f>'Consommation mensuel énergie'!D29</f>
        <v>84</v>
      </c>
      <c r="L21" s="137">
        <f>'Consommation mensuel énergie'!E29</f>
        <v>131</v>
      </c>
      <c r="M21" s="133" t="e">
        <f>E21*F21+G21*H21+#REF!*#REF!+I21*J21</f>
        <v>#REF!</v>
      </c>
    </row>
    <row r="22" spans="1:13" x14ac:dyDescent="0.2">
      <c r="A22" s="136" t="s">
        <v>13</v>
      </c>
      <c r="B22" s="140">
        <f t="shared" si="0"/>
        <v>21</v>
      </c>
      <c r="C22" s="140">
        <v>4</v>
      </c>
      <c r="D22" s="141">
        <v>2022</v>
      </c>
      <c r="E22" s="137">
        <f>submetering!E22+submetering!F22+submetering!G22</f>
        <v>12477</v>
      </c>
      <c r="F22" s="134">
        <v>1.05</v>
      </c>
      <c r="G22" s="134">
        <f>'Consommation mensuel énergie'!V30</f>
        <v>287.99288999999999</v>
      </c>
      <c r="H22" s="134">
        <v>13.64</v>
      </c>
      <c r="I22" s="134">
        <f>'Consommation mensuel énergie'!F30</f>
        <v>123.5</v>
      </c>
      <c r="J22" s="134">
        <v>11.4</v>
      </c>
      <c r="K22" s="137">
        <f>'Consommation mensuel énergie'!D30</f>
        <v>97</v>
      </c>
      <c r="L22" s="137">
        <f>'Consommation mensuel énergie'!E30</f>
        <v>156</v>
      </c>
      <c r="M22" s="133" t="e">
        <f>E22*F22+G22*H22+#REF!*#REF!+I22*J22</f>
        <v>#REF!</v>
      </c>
    </row>
    <row r="23" spans="1:13" x14ac:dyDescent="0.2">
      <c r="A23" s="136" t="s">
        <v>13</v>
      </c>
      <c r="B23" s="140">
        <f t="shared" si="0"/>
        <v>22</v>
      </c>
      <c r="C23" s="140">
        <v>4</v>
      </c>
      <c r="D23" s="141">
        <v>2022</v>
      </c>
      <c r="E23" s="137">
        <f>submetering!E23+submetering!F23+submetering!G23</f>
        <v>12445</v>
      </c>
      <c r="F23" s="134">
        <v>1.05</v>
      </c>
      <c r="G23" s="134">
        <f>'Consommation mensuel énergie'!V31</f>
        <v>447.98894000000001</v>
      </c>
      <c r="H23" s="134">
        <v>13.64</v>
      </c>
      <c r="I23" s="134">
        <f>'Consommation mensuel énergie'!F31</f>
        <v>124.39999999999418</v>
      </c>
      <c r="J23" s="134">
        <v>11.4</v>
      </c>
      <c r="K23" s="137">
        <f>'Consommation mensuel énergie'!D31</f>
        <v>86</v>
      </c>
      <c r="L23" s="137">
        <f>'Consommation mensuel énergie'!E31</f>
        <v>159</v>
      </c>
      <c r="M23" s="133" t="e">
        <f>E23*F23+G23*H23+#REF!*#REF!+I23*J23</f>
        <v>#REF!</v>
      </c>
    </row>
    <row r="24" spans="1:13" x14ac:dyDescent="0.2">
      <c r="A24" s="136" t="s">
        <v>13</v>
      </c>
      <c r="B24" s="140">
        <f t="shared" si="0"/>
        <v>23</v>
      </c>
      <c r="C24" s="140">
        <v>4</v>
      </c>
      <c r="D24" s="141">
        <v>2022</v>
      </c>
      <c r="E24" s="137">
        <f>submetering!E24+submetering!F24+submetering!G24</f>
        <v>11615</v>
      </c>
      <c r="F24" s="134">
        <v>1.05</v>
      </c>
      <c r="G24" s="134">
        <f>'Consommation mensuel énergie'!V32</f>
        <v>607.98499000000004</v>
      </c>
      <c r="H24" s="134">
        <v>13.64</v>
      </c>
      <c r="I24" s="134">
        <f>'Consommation mensuel énergie'!F32</f>
        <v>105</v>
      </c>
      <c r="J24" s="134">
        <v>11.4</v>
      </c>
      <c r="K24" s="137">
        <f>'Consommation mensuel énergie'!D32</f>
        <v>92</v>
      </c>
      <c r="L24" s="137">
        <f>'Consommation mensuel énergie'!E32</f>
        <v>167</v>
      </c>
      <c r="M24" s="133" t="e">
        <f>E24*F24+G24*H24+#REF!*#REF!+I24*J24</f>
        <v>#REF!</v>
      </c>
    </row>
    <row r="25" spans="1:13" x14ac:dyDescent="0.2">
      <c r="A25" s="136" t="s">
        <v>13</v>
      </c>
      <c r="B25" s="140">
        <f t="shared" si="0"/>
        <v>24</v>
      </c>
      <c r="C25" s="140">
        <v>4</v>
      </c>
      <c r="D25" s="141">
        <v>2022</v>
      </c>
      <c r="E25" s="137">
        <f>submetering!E25+submetering!F25+submetering!G25</f>
        <v>11727</v>
      </c>
      <c r="F25" s="134">
        <v>1.05</v>
      </c>
      <c r="G25" s="134">
        <f>'Consommation mensuel énergie'!V33</f>
        <v>447.98894000000001</v>
      </c>
      <c r="H25" s="134">
        <v>13.64</v>
      </c>
      <c r="I25" s="134">
        <f>'Consommation mensuel énergie'!F33</f>
        <v>100</v>
      </c>
      <c r="J25" s="134">
        <v>11.4</v>
      </c>
      <c r="K25" s="137">
        <f>'Consommation mensuel énergie'!D33</f>
        <v>81</v>
      </c>
      <c r="L25" s="137">
        <f>'Consommation mensuel énergie'!E33</f>
        <v>139</v>
      </c>
      <c r="M25" s="133" t="e">
        <f>E25*F25+G25*H25+#REF!*#REF!+I25*J25</f>
        <v>#REF!</v>
      </c>
    </row>
    <row r="26" spans="1:13" x14ac:dyDescent="0.2">
      <c r="A26" s="136" t="s">
        <v>13</v>
      </c>
      <c r="B26" s="140">
        <f>B25+1</f>
        <v>25</v>
      </c>
      <c r="C26" s="140">
        <v>4</v>
      </c>
      <c r="D26" s="141">
        <v>2022</v>
      </c>
      <c r="E26" s="137">
        <f>submetering!E26+submetering!F26+submetering!G26</f>
        <v>15136</v>
      </c>
      <c r="F26" s="134">
        <v>1.05</v>
      </c>
      <c r="G26" s="134">
        <f>'Consommation mensuel énergie'!V34</f>
        <v>383.99052</v>
      </c>
      <c r="H26" s="134">
        <v>13.64</v>
      </c>
      <c r="I26" s="134">
        <f>'Consommation mensuel énergie'!F34</f>
        <v>90</v>
      </c>
      <c r="J26" s="134">
        <v>11.4</v>
      </c>
      <c r="K26" s="137">
        <f>'Consommation mensuel énergie'!D34</f>
        <v>84</v>
      </c>
      <c r="L26" s="137">
        <f>'Consommation mensuel énergie'!E34</f>
        <v>140</v>
      </c>
      <c r="M26" s="133" t="e">
        <f>E26*F26+G26*H26+#REF!*#REF!+I26*J26</f>
        <v>#REF!</v>
      </c>
    </row>
    <row r="27" spans="1:13" x14ac:dyDescent="0.2">
      <c r="A27" s="136" t="s">
        <v>13</v>
      </c>
      <c r="B27" s="140">
        <f t="shared" ref="B27:B31" si="1">B26+1</f>
        <v>26</v>
      </c>
      <c r="C27" s="140">
        <v>4</v>
      </c>
      <c r="D27" s="141">
        <v>2022</v>
      </c>
      <c r="E27" s="137">
        <f>submetering!E27+submetering!F27+submetering!G27</f>
        <v>7793</v>
      </c>
      <c r="F27" s="134">
        <v>1.05</v>
      </c>
      <c r="G27" s="134">
        <f>'Consommation mensuel énergie'!V35</f>
        <v>479.98815000000002</v>
      </c>
      <c r="H27" s="134">
        <v>13.64</v>
      </c>
      <c r="I27" s="134">
        <f>'Consommation mensuel énergie'!F35</f>
        <v>124</v>
      </c>
      <c r="J27" s="134">
        <v>11.4</v>
      </c>
      <c r="K27" s="137">
        <f>'Consommation mensuel énergie'!D35</f>
        <v>75</v>
      </c>
      <c r="L27" s="137">
        <f>'Consommation mensuel énergie'!E35</f>
        <v>130</v>
      </c>
      <c r="M27" s="133"/>
    </row>
    <row r="28" spans="1:13" x14ac:dyDescent="0.2">
      <c r="A28" s="136" t="s">
        <v>13</v>
      </c>
      <c r="B28" s="140">
        <f t="shared" si="1"/>
        <v>27</v>
      </c>
      <c r="C28" s="140">
        <v>4</v>
      </c>
      <c r="D28" s="141">
        <v>2022</v>
      </c>
      <c r="E28" s="137">
        <f>submetering!E28+submetering!F28+submetering!G28</f>
        <v>11680</v>
      </c>
      <c r="F28" s="134">
        <v>1.05</v>
      </c>
      <c r="G28" s="134">
        <f>'Consommation mensuel énergie'!V36</f>
        <v>415.98973000000001</v>
      </c>
      <c r="H28" s="134">
        <v>13.64</v>
      </c>
      <c r="I28" s="134">
        <f>'Consommation mensuel énergie'!F36</f>
        <v>84</v>
      </c>
      <c r="J28" s="134">
        <v>11.4</v>
      </c>
      <c r="K28" s="137">
        <f>'Consommation mensuel énergie'!D36</f>
        <v>61</v>
      </c>
      <c r="L28" s="137">
        <f>'Consommation mensuel énergie'!E36</f>
        <v>108</v>
      </c>
      <c r="M28" s="133"/>
    </row>
    <row r="29" spans="1:13" x14ac:dyDescent="0.2">
      <c r="A29" s="136" t="s">
        <v>13</v>
      </c>
      <c r="B29" s="140">
        <f t="shared" si="1"/>
        <v>28</v>
      </c>
      <c r="C29" s="140">
        <v>4</v>
      </c>
      <c r="D29" s="141">
        <v>2022</v>
      </c>
      <c r="E29" s="137">
        <f>submetering!E29+submetering!F29+submetering!G29</f>
        <v>11544</v>
      </c>
      <c r="F29" s="134">
        <v>1.05</v>
      </c>
      <c r="G29" s="134">
        <f>'Consommation mensuel énergie'!V37</f>
        <v>479.98815000000002</v>
      </c>
      <c r="H29" s="134">
        <v>13.64</v>
      </c>
      <c r="I29" s="134">
        <f>'Consommation mensuel énergie'!F37</f>
        <v>109</v>
      </c>
      <c r="J29" s="134">
        <v>11.4</v>
      </c>
      <c r="K29" s="137">
        <f>'Consommation mensuel énergie'!D37</f>
        <v>74</v>
      </c>
      <c r="L29" s="137">
        <f>'Consommation mensuel énergie'!E37</f>
        <v>120</v>
      </c>
      <c r="M29" s="133"/>
    </row>
    <row r="30" spans="1:13" x14ac:dyDescent="0.2">
      <c r="A30" s="136" t="s">
        <v>13</v>
      </c>
      <c r="B30" s="140">
        <f t="shared" si="1"/>
        <v>29</v>
      </c>
      <c r="C30" s="140">
        <v>4</v>
      </c>
      <c r="D30" s="141">
        <v>2022</v>
      </c>
      <c r="E30" s="137">
        <f>submetering!E30+submetering!F30+submetering!G30</f>
        <v>11040</v>
      </c>
      <c r="F30" s="134">
        <v>1.05</v>
      </c>
      <c r="G30" s="134">
        <f>'Consommation mensuel énergie'!V38</f>
        <v>671.98341000000005</v>
      </c>
      <c r="H30" s="134">
        <v>13.64</v>
      </c>
      <c r="I30" s="134">
        <f>'Consommation mensuel énergie'!F38</f>
        <v>114</v>
      </c>
      <c r="J30" s="134">
        <v>11.4</v>
      </c>
      <c r="K30" s="137">
        <f>'Consommation mensuel énergie'!D38</f>
        <v>83</v>
      </c>
      <c r="L30" s="137">
        <f>'Consommation mensuel énergie'!E38</f>
        <v>145</v>
      </c>
      <c r="M30" s="133"/>
    </row>
    <row r="31" spans="1:13" x14ac:dyDescent="0.2">
      <c r="A31" s="136" t="s">
        <v>13</v>
      </c>
      <c r="B31" s="140">
        <f t="shared" si="1"/>
        <v>30</v>
      </c>
      <c r="C31" s="140">
        <v>4</v>
      </c>
      <c r="D31" s="141">
        <v>2022</v>
      </c>
      <c r="E31" s="137">
        <f>submetering!E31+submetering!F31+submetering!G31</f>
        <v>12485</v>
      </c>
      <c r="F31" s="134">
        <v>1.05</v>
      </c>
      <c r="G31" s="134">
        <f>'Consommation mensuel énergie'!V39</f>
        <v>159.99605</v>
      </c>
      <c r="H31" s="134">
        <v>13.64</v>
      </c>
      <c r="I31" s="134">
        <f>'Consommation mensuel énergie'!F39</f>
        <v>94</v>
      </c>
      <c r="J31" s="134">
        <v>11.4</v>
      </c>
      <c r="K31" s="137">
        <f>'Consommation mensuel énergie'!D39</f>
        <v>94</v>
      </c>
      <c r="L31" s="137">
        <f>'Consommation mensuel énergie'!E39</f>
        <v>179</v>
      </c>
      <c r="M31" s="133"/>
    </row>
    <row r="32" spans="1:13" x14ac:dyDescent="0.2">
      <c r="A32" s="136"/>
      <c r="F32" s="134"/>
      <c r="G32" s="134"/>
      <c r="H32" s="134"/>
      <c r="I32" s="134"/>
      <c r="J32" s="134"/>
      <c r="M32" s="133"/>
    </row>
    <row r="33" spans="1:13" x14ac:dyDescent="0.2">
      <c r="A33" s="136"/>
      <c r="F33" s="134"/>
      <c r="G33" s="134"/>
      <c r="H33" s="134"/>
      <c r="I33" s="134"/>
      <c r="J33" s="134"/>
      <c r="M33" s="133"/>
    </row>
    <row r="34" spans="1:13" x14ac:dyDescent="0.2">
      <c r="F34" s="134"/>
      <c r="G34" s="134"/>
      <c r="H34" s="134"/>
      <c r="I34" s="134"/>
      <c r="J34" s="134"/>
    </row>
    <row r="35" spans="1:13" x14ac:dyDescent="0.2">
      <c r="F35" s="134"/>
      <c r="G35" s="134"/>
      <c r="H35" s="134"/>
      <c r="I35" s="134"/>
      <c r="J35" s="134"/>
    </row>
    <row r="36" spans="1:13" x14ac:dyDescent="0.2">
      <c r="F36" s="134"/>
      <c r="G36" s="134"/>
      <c r="H36" s="134"/>
      <c r="I36" s="134"/>
      <c r="J36" s="134"/>
    </row>
    <row r="37" spans="1:13" x14ac:dyDescent="0.2">
      <c r="F37" s="134"/>
      <c r="G37" s="134"/>
      <c r="H37" s="134"/>
      <c r="I37" s="134"/>
      <c r="J37" s="134"/>
    </row>
    <row r="38" spans="1:13" x14ac:dyDescent="0.2">
      <c r="F38" s="134"/>
      <c r="G38" s="134"/>
      <c r="H38" s="134"/>
      <c r="I38" s="134"/>
      <c r="J38" s="134"/>
    </row>
    <row r="39" spans="1:13" x14ac:dyDescent="0.2">
      <c r="F39" s="134"/>
      <c r="G39" s="134"/>
      <c r="H39" s="134"/>
      <c r="I39" s="134"/>
      <c r="J39" s="134"/>
    </row>
    <row r="40" spans="1:13" x14ac:dyDescent="0.2">
      <c r="F40" s="134"/>
      <c r="G40" s="134"/>
      <c r="H40" s="134"/>
      <c r="I40" s="134"/>
      <c r="J40" s="134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B0F0"/>
  </sheetPr>
  <dimension ref="A1:J38"/>
  <sheetViews>
    <sheetView topLeftCell="A9" workbookViewId="0">
      <selection activeCell="G2" sqref="G2:G31"/>
    </sheetView>
  </sheetViews>
  <sheetFormatPr baseColWidth="10" defaultColWidth="8.85546875" defaultRowHeight="12.75" x14ac:dyDescent="0.2"/>
  <cols>
    <col min="1" max="1" width="12.42578125" style="47" customWidth="1"/>
    <col min="2" max="3" width="8.85546875" style="140" customWidth="1"/>
    <col min="4" max="4" width="13.42578125" style="141" customWidth="1"/>
    <col min="5" max="6" width="12.5703125" style="47" customWidth="1"/>
    <col min="7" max="7" width="8.85546875" style="47" customWidth="1"/>
    <col min="8" max="9" width="8.85546875" customWidth="1"/>
    <col min="10" max="10" width="0" hidden="1" customWidth="1"/>
  </cols>
  <sheetData>
    <row r="1" spans="1:10" s="100" customFormat="1" ht="45.75" thickBot="1" x14ac:dyDescent="0.3">
      <c r="A1" s="135" t="s">
        <v>0</v>
      </c>
      <c r="B1" s="138" t="s">
        <v>1</v>
      </c>
      <c r="C1" s="138" t="s">
        <v>2</v>
      </c>
      <c r="D1" s="139" t="s">
        <v>3</v>
      </c>
      <c r="E1" s="142" t="s">
        <v>14</v>
      </c>
      <c r="F1" s="142" t="s">
        <v>15</v>
      </c>
      <c r="G1" s="142" t="s">
        <v>16</v>
      </c>
      <c r="H1" s="131" t="s">
        <v>10</v>
      </c>
      <c r="I1" s="131" t="s">
        <v>11</v>
      </c>
      <c r="J1" s="132" t="s">
        <v>12</v>
      </c>
    </row>
    <row r="2" spans="1:10" x14ac:dyDescent="0.2">
      <c r="A2" s="136" t="s">
        <v>13</v>
      </c>
      <c r="B2" s="140">
        <v>1</v>
      </c>
      <c r="C2" s="140">
        <v>4</v>
      </c>
      <c r="D2" s="141">
        <v>2022</v>
      </c>
      <c r="E2" s="137">
        <f>'Consommation mensuel énergie'!L10</f>
        <v>3872</v>
      </c>
      <c r="F2" s="137">
        <f>'Consommation mensuel énergie'!M10</f>
        <v>5571</v>
      </c>
      <c r="G2" s="137">
        <f>'Consommation mensuel énergie'!N10</f>
        <v>2678</v>
      </c>
      <c r="H2" s="137">
        <f>'Consommation mensuel énergie'!D10</f>
        <v>84</v>
      </c>
      <c r="I2" s="137">
        <f>'Consommation mensuel énergie'!E10</f>
        <v>145</v>
      </c>
      <c r="J2" s="133" t="e">
        <f>E2*F2+G2*#REF!+#REF!*#REF!+#REF!*#REF!</f>
        <v>#REF!</v>
      </c>
    </row>
    <row r="3" spans="1:10" x14ac:dyDescent="0.2">
      <c r="A3" s="136" t="s">
        <v>13</v>
      </c>
      <c r="B3" s="140">
        <f>B2+1</f>
        <v>2</v>
      </c>
      <c r="C3" s="140">
        <v>4</v>
      </c>
      <c r="D3" s="141">
        <v>2022</v>
      </c>
      <c r="E3" s="137">
        <f>'Consommation mensuel énergie'!L11</f>
        <v>2925</v>
      </c>
      <c r="F3" s="137">
        <f>'Consommation mensuel énergie'!M11</f>
        <v>5835</v>
      </c>
      <c r="G3" s="137">
        <f>'Consommation mensuel énergie'!N11</f>
        <v>2283</v>
      </c>
      <c r="H3" s="137">
        <f>'Consommation mensuel énergie'!D11</f>
        <v>86</v>
      </c>
      <c r="I3" s="137">
        <f>'Consommation mensuel énergie'!E11</f>
        <v>148</v>
      </c>
      <c r="J3" s="133" t="e">
        <f>E3*F3+G3*#REF!+#REF!*#REF!+#REF!*#REF!</f>
        <v>#REF!</v>
      </c>
    </row>
    <row r="4" spans="1:10" x14ac:dyDescent="0.2">
      <c r="A4" s="136" t="s">
        <v>13</v>
      </c>
      <c r="B4" s="140">
        <f t="shared" ref="B4:B25" si="0">B3+1</f>
        <v>3</v>
      </c>
      <c r="C4" s="140">
        <v>4</v>
      </c>
      <c r="D4" s="141">
        <v>2022</v>
      </c>
      <c r="E4" s="137">
        <f>'Consommation mensuel énergie'!L12</f>
        <v>2848</v>
      </c>
      <c r="F4" s="137">
        <f>'Consommation mensuel énergie'!M12</f>
        <v>5402</v>
      </c>
      <c r="G4" s="137">
        <f>'Consommation mensuel énergie'!N12</f>
        <v>2333</v>
      </c>
      <c r="H4" s="137">
        <f>'Consommation mensuel énergie'!D12</f>
        <v>52</v>
      </c>
      <c r="I4" s="137">
        <f>'Consommation mensuel énergie'!E12</f>
        <v>86</v>
      </c>
      <c r="J4" s="133" t="e">
        <f>E4*F4+G4*#REF!+#REF!*#REF!+#REF!*#REF!</f>
        <v>#REF!</v>
      </c>
    </row>
    <row r="5" spans="1:10" x14ac:dyDescent="0.2">
      <c r="A5" s="136" t="s">
        <v>13</v>
      </c>
      <c r="B5" s="140">
        <f t="shared" si="0"/>
        <v>4</v>
      </c>
      <c r="C5" s="140">
        <v>4</v>
      </c>
      <c r="D5" s="141">
        <v>2022</v>
      </c>
      <c r="E5" s="137">
        <f>'Consommation mensuel énergie'!L13</f>
        <v>2993</v>
      </c>
      <c r="F5" s="137">
        <f>'Consommation mensuel énergie'!M13</f>
        <v>5079</v>
      </c>
      <c r="G5" s="137">
        <f>'Consommation mensuel énergie'!N13</f>
        <v>2389</v>
      </c>
      <c r="H5" s="137">
        <f>'Consommation mensuel énergie'!D13</f>
        <v>84</v>
      </c>
      <c r="I5" s="137">
        <f>'Consommation mensuel énergie'!E13</f>
        <v>136</v>
      </c>
      <c r="J5" s="133" t="e">
        <f>E5*F5+G5*#REF!+#REF!*#REF!+#REF!*#REF!</f>
        <v>#REF!</v>
      </c>
    </row>
    <row r="6" spans="1:10" x14ac:dyDescent="0.2">
      <c r="A6" s="136" t="s">
        <v>13</v>
      </c>
      <c r="B6" s="140">
        <f t="shared" si="0"/>
        <v>5</v>
      </c>
      <c r="C6" s="140">
        <v>4</v>
      </c>
      <c r="D6" s="141">
        <v>2022</v>
      </c>
      <c r="E6" s="137">
        <f>'Consommation mensuel énergie'!L14</f>
        <v>3095</v>
      </c>
      <c r="F6" s="137">
        <f>'Consommation mensuel énergie'!M14</f>
        <v>4560</v>
      </c>
      <c r="G6" s="137">
        <f>'Consommation mensuel énergie'!N14</f>
        <v>2339</v>
      </c>
      <c r="H6" s="137">
        <f>'Consommation mensuel énergie'!D14</f>
        <v>66</v>
      </c>
      <c r="I6" s="137">
        <f>'Consommation mensuel énergie'!E14</f>
        <v>100</v>
      </c>
      <c r="J6" s="133" t="e">
        <f>E6*F6+G6*#REF!+#REF!*#REF!+#REF!*#REF!</f>
        <v>#REF!</v>
      </c>
    </row>
    <row r="7" spans="1:10" x14ac:dyDescent="0.2">
      <c r="A7" s="136" t="s">
        <v>13</v>
      </c>
      <c r="B7" s="140">
        <f t="shared" si="0"/>
        <v>6</v>
      </c>
      <c r="C7" s="140">
        <v>4</v>
      </c>
      <c r="D7" s="141">
        <v>2022</v>
      </c>
      <c r="E7" s="137">
        <f>'Consommation mensuel énergie'!L15</f>
        <v>2998</v>
      </c>
      <c r="F7" s="137">
        <f>'Consommation mensuel énergie'!M15</f>
        <v>5103</v>
      </c>
      <c r="G7" s="137">
        <f>'Consommation mensuel énergie'!N15</f>
        <v>2130</v>
      </c>
      <c r="H7" s="137">
        <f>'Consommation mensuel énergie'!D15</f>
        <v>81</v>
      </c>
      <c r="I7" s="137">
        <f>'Consommation mensuel énergie'!E15</f>
        <v>128</v>
      </c>
      <c r="J7" s="133" t="e">
        <f>E7*F7+G7*#REF!+#REF!*#REF!+#REF!*#REF!</f>
        <v>#REF!</v>
      </c>
    </row>
    <row r="8" spans="1:10" x14ac:dyDescent="0.2">
      <c r="A8" s="136" t="s">
        <v>13</v>
      </c>
      <c r="B8" s="140">
        <f t="shared" si="0"/>
        <v>7</v>
      </c>
      <c r="C8" s="140">
        <v>4</v>
      </c>
      <c r="D8" s="141">
        <v>2022</v>
      </c>
      <c r="E8" s="137">
        <f>'Consommation mensuel énergie'!L16</f>
        <v>2968</v>
      </c>
      <c r="F8" s="137">
        <f>'Consommation mensuel énergie'!M16</f>
        <v>5120</v>
      </c>
      <c r="G8" s="137">
        <f>'Consommation mensuel énergie'!N16</f>
        <v>2178</v>
      </c>
      <c r="H8" s="137">
        <f>'Consommation mensuel énergie'!D16</f>
        <v>76</v>
      </c>
      <c r="I8" s="137">
        <f>'Consommation mensuel énergie'!E16</f>
        <v>122</v>
      </c>
      <c r="J8" s="133" t="e">
        <f>E8*F8+G8*#REF!+#REF!*#REF!+#REF!*#REF!</f>
        <v>#REF!</v>
      </c>
    </row>
    <row r="9" spans="1:10" x14ac:dyDescent="0.2">
      <c r="A9" s="136" t="s">
        <v>13</v>
      </c>
      <c r="B9" s="140">
        <f t="shared" si="0"/>
        <v>8</v>
      </c>
      <c r="C9" s="140">
        <v>4</v>
      </c>
      <c r="D9" s="141">
        <v>2022</v>
      </c>
      <c r="E9" s="137">
        <f>'Consommation mensuel énergie'!L17</f>
        <v>2732</v>
      </c>
      <c r="F9" s="137">
        <f>'Consommation mensuel énergie'!M17</f>
        <v>5401</v>
      </c>
      <c r="G9" s="137">
        <f>'Consommation mensuel énergie'!N17</f>
        <v>2478</v>
      </c>
      <c r="H9" s="137">
        <f>'Consommation mensuel énergie'!D17</f>
        <v>70</v>
      </c>
      <c r="I9" s="137">
        <f>'Consommation mensuel énergie'!E17</f>
        <v>115</v>
      </c>
      <c r="J9" s="133" t="e">
        <f>E9*F9+G9*#REF!+#REF!*#REF!+#REF!*#REF!</f>
        <v>#REF!</v>
      </c>
    </row>
    <row r="10" spans="1:10" x14ac:dyDescent="0.2">
      <c r="A10" s="136" t="s">
        <v>13</v>
      </c>
      <c r="B10" s="140">
        <f t="shared" si="0"/>
        <v>9</v>
      </c>
      <c r="C10" s="140">
        <v>4</v>
      </c>
      <c r="D10" s="141">
        <v>2022</v>
      </c>
      <c r="E10" s="137">
        <f>'Consommation mensuel énergie'!L18</f>
        <v>2858</v>
      </c>
      <c r="F10" s="137">
        <f>'Consommation mensuel énergie'!M18</f>
        <v>5414</v>
      </c>
      <c r="G10" s="137">
        <f>'Consommation mensuel énergie'!N18</f>
        <v>2428</v>
      </c>
      <c r="H10" s="137">
        <f>'Consommation mensuel énergie'!D18</f>
        <v>90</v>
      </c>
      <c r="I10" s="137">
        <f>'Consommation mensuel énergie'!E18</f>
        <v>160</v>
      </c>
      <c r="J10" s="133" t="e">
        <f>E10*F10+G10*#REF!+#REF!*#REF!+#REF!*#REF!</f>
        <v>#REF!</v>
      </c>
    </row>
    <row r="11" spans="1:10" x14ac:dyDescent="0.2">
      <c r="A11" s="136" t="s">
        <v>13</v>
      </c>
      <c r="B11" s="140">
        <f t="shared" si="0"/>
        <v>10</v>
      </c>
      <c r="C11" s="140">
        <v>4</v>
      </c>
      <c r="D11" s="141">
        <v>2022</v>
      </c>
      <c r="E11" s="137">
        <f>'Consommation mensuel énergie'!L19</f>
        <v>3317</v>
      </c>
      <c r="F11" s="137">
        <f>'Consommation mensuel énergie'!M19</f>
        <v>5290</v>
      </c>
      <c r="G11" s="137">
        <f>'Consommation mensuel énergie'!N19</f>
        <v>2491</v>
      </c>
      <c r="H11" s="137">
        <f>'Consommation mensuel énergie'!D19</f>
        <v>80</v>
      </c>
      <c r="I11" s="137">
        <f>'Consommation mensuel énergie'!E19</f>
        <v>135</v>
      </c>
      <c r="J11" s="133" t="e">
        <f>E11*F11+G11*#REF!+#REF!*#REF!+#REF!*#REF!</f>
        <v>#REF!</v>
      </c>
    </row>
    <row r="12" spans="1:10" x14ac:dyDescent="0.2">
      <c r="A12" s="136" t="s">
        <v>13</v>
      </c>
      <c r="B12" s="140">
        <f t="shared" si="0"/>
        <v>11</v>
      </c>
      <c r="C12" s="140">
        <v>4</v>
      </c>
      <c r="D12" s="141">
        <v>2022</v>
      </c>
      <c r="E12" s="137">
        <f>'Consommation mensuel énergie'!L20</f>
        <v>2959</v>
      </c>
      <c r="F12" s="137">
        <f>'Consommation mensuel énergie'!M20</f>
        <v>5314</v>
      </c>
      <c r="G12" s="137">
        <f>'Consommation mensuel énergie'!N20</f>
        <v>2466</v>
      </c>
      <c r="H12" s="137">
        <f>'Consommation mensuel énergie'!D20</f>
        <v>100</v>
      </c>
      <c r="I12" s="137">
        <f>'Consommation mensuel énergie'!E20</f>
        <v>172</v>
      </c>
      <c r="J12" s="133" t="e">
        <f>E12*F12+G12*#REF!+#REF!*#REF!+#REF!*#REF!</f>
        <v>#REF!</v>
      </c>
    </row>
    <row r="13" spans="1:10" x14ac:dyDescent="0.2">
      <c r="A13" s="136" t="s">
        <v>13</v>
      </c>
      <c r="B13" s="140">
        <f t="shared" si="0"/>
        <v>12</v>
      </c>
      <c r="C13" s="140">
        <v>4</v>
      </c>
      <c r="D13" s="141">
        <v>2022</v>
      </c>
      <c r="E13" s="137">
        <f>'Consommation mensuel énergie'!L21</f>
        <v>3117</v>
      </c>
      <c r="F13" s="137">
        <f>'Consommation mensuel énergie'!M21</f>
        <v>5458</v>
      </c>
      <c r="G13" s="137">
        <f>'Consommation mensuel énergie'!N21</f>
        <v>2539</v>
      </c>
      <c r="H13" s="137">
        <f>'Consommation mensuel énergie'!D21</f>
        <v>106</v>
      </c>
      <c r="I13" s="137">
        <f>'Consommation mensuel énergie'!E21</f>
        <v>170</v>
      </c>
      <c r="J13" s="133" t="e">
        <f>E13*F13+G13*#REF!+#REF!*#REF!+#REF!*#REF!</f>
        <v>#REF!</v>
      </c>
    </row>
    <row r="14" spans="1:10" x14ac:dyDescent="0.2">
      <c r="A14" s="136" t="s">
        <v>13</v>
      </c>
      <c r="B14" s="140">
        <f t="shared" si="0"/>
        <v>13</v>
      </c>
      <c r="C14" s="140">
        <v>4</v>
      </c>
      <c r="D14" s="141">
        <v>2022</v>
      </c>
      <c r="E14" s="137">
        <f>'Consommation mensuel énergie'!L22</f>
        <v>3569</v>
      </c>
      <c r="F14" s="137">
        <f>'Consommation mensuel énergie'!M22</f>
        <v>5987</v>
      </c>
      <c r="G14" s="137">
        <f>'Consommation mensuel énergie'!N22</f>
        <v>2966</v>
      </c>
      <c r="H14" s="137">
        <f>'Consommation mensuel énergie'!D22</f>
        <v>89</v>
      </c>
      <c r="I14" s="137">
        <f>'Consommation mensuel énergie'!E22</f>
        <v>152</v>
      </c>
      <c r="J14" s="133" t="e">
        <f>E14*F14+G14*#REF!+#REF!*#REF!+#REF!*#REF!</f>
        <v>#REF!</v>
      </c>
    </row>
    <row r="15" spans="1:10" x14ac:dyDescent="0.2">
      <c r="A15" s="136" t="s">
        <v>13</v>
      </c>
      <c r="B15" s="140">
        <f t="shared" si="0"/>
        <v>14</v>
      </c>
      <c r="C15" s="140">
        <v>4</v>
      </c>
      <c r="D15" s="141">
        <v>2022</v>
      </c>
      <c r="E15" s="137">
        <f>'Consommation mensuel énergie'!L23</f>
        <v>3005</v>
      </c>
      <c r="F15" s="137">
        <f>'Consommation mensuel énergie'!M23</f>
        <v>5960</v>
      </c>
      <c r="G15" s="137">
        <f>'Consommation mensuel énergie'!N23</f>
        <v>2522</v>
      </c>
      <c r="H15" s="137">
        <f>'Consommation mensuel énergie'!D23</f>
        <v>99</v>
      </c>
      <c r="I15" s="137">
        <f>'Consommation mensuel énergie'!E23</f>
        <v>183</v>
      </c>
      <c r="J15" s="133" t="e">
        <f>E15*F15+G15*#REF!+#REF!*#REF!+#REF!*#REF!</f>
        <v>#REF!</v>
      </c>
    </row>
    <row r="16" spans="1:10" x14ac:dyDescent="0.2">
      <c r="A16" s="136" t="s">
        <v>13</v>
      </c>
      <c r="B16" s="140">
        <f t="shared" si="0"/>
        <v>15</v>
      </c>
      <c r="C16" s="140">
        <v>4</v>
      </c>
      <c r="D16" s="141">
        <v>2022</v>
      </c>
      <c r="E16" s="137">
        <f>'Consommation mensuel énergie'!L24</f>
        <v>2878</v>
      </c>
      <c r="F16" s="137">
        <f>'Consommation mensuel énergie'!M24</f>
        <v>5738</v>
      </c>
      <c r="G16" s="137">
        <f>'Consommation mensuel énergie'!N24</f>
        <v>2537</v>
      </c>
      <c r="H16" s="137">
        <f>'Consommation mensuel énergie'!D24</f>
        <v>84</v>
      </c>
      <c r="I16" s="137">
        <f>'Consommation mensuel énergie'!E24</f>
        <v>156</v>
      </c>
      <c r="J16" s="133" t="e">
        <f>E16*F16+G16*#REF!+#REF!*#REF!+#REF!*#REF!</f>
        <v>#REF!</v>
      </c>
    </row>
    <row r="17" spans="1:10" x14ac:dyDescent="0.2">
      <c r="A17" s="136" t="s">
        <v>13</v>
      </c>
      <c r="B17" s="140">
        <f t="shared" si="0"/>
        <v>16</v>
      </c>
      <c r="C17" s="140">
        <v>4</v>
      </c>
      <c r="D17" s="141">
        <v>2022</v>
      </c>
      <c r="E17" s="137">
        <f>'Consommation mensuel énergie'!L25</f>
        <v>3637</v>
      </c>
      <c r="F17" s="137">
        <f>'Consommation mensuel énergie'!M25</f>
        <v>5811</v>
      </c>
      <c r="G17" s="137">
        <f>'Consommation mensuel énergie'!N25</f>
        <v>2703</v>
      </c>
      <c r="H17" s="137">
        <f>'Consommation mensuel énergie'!D25</f>
        <v>93</v>
      </c>
      <c r="I17" s="137">
        <f>'Consommation mensuel énergie'!E25</f>
        <v>177</v>
      </c>
      <c r="J17" s="133" t="e">
        <f>E17*F17+G17*#REF!+#REF!*#REF!+#REF!*#REF!</f>
        <v>#REF!</v>
      </c>
    </row>
    <row r="18" spans="1:10" x14ac:dyDescent="0.2">
      <c r="A18" s="136" t="s">
        <v>13</v>
      </c>
      <c r="B18" s="140">
        <f t="shared" si="0"/>
        <v>17</v>
      </c>
      <c r="C18" s="140">
        <v>4</v>
      </c>
      <c r="D18" s="141">
        <v>2022</v>
      </c>
      <c r="E18" s="137">
        <f>'Consommation mensuel énergie'!L26</f>
        <v>3222</v>
      </c>
      <c r="F18" s="137">
        <f>'Consommation mensuel énergie'!M26</f>
        <v>5842</v>
      </c>
      <c r="G18" s="137">
        <f>'Consommation mensuel énergie'!N26</f>
        <v>2413</v>
      </c>
      <c r="H18" s="137">
        <f>'Consommation mensuel énergie'!D26</f>
        <v>80</v>
      </c>
      <c r="I18" s="137">
        <f>'Consommation mensuel énergie'!E26</f>
        <v>138</v>
      </c>
      <c r="J18" s="133" t="e">
        <f>E18*F18+G18*#REF!+#REF!*#REF!+#REF!*#REF!</f>
        <v>#REF!</v>
      </c>
    </row>
    <row r="19" spans="1:10" x14ac:dyDescent="0.2">
      <c r="A19" s="136" t="s">
        <v>13</v>
      </c>
      <c r="B19" s="140">
        <f t="shared" si="0"/>
        <v>18</v>
      </c>
      <c r="C19" s="140">
        <v>4</v>
      </c>
      <c r="D19" s="141">
        <v>2022</v>
      </c>
      <c r="E19" s="137">
        <f>'Consommation mensuel énergie'!L27</f>
        <v>3398</v>
      </c>
      <c r="F19" s="137">
        <f>'Consommation mensuel énergie'!M27</f>
        <v>5729</v>
      </c>
      <c r="G19" s="137">
        <f>'Consommation mensuel énergie'!N27</f>
        <v>2560</v>
      </c>
      <c r="H19" s="137">
        <f>'Consommation mensuel énergie'!D27</f>
        <v>101</v>
      </c>
      <c r="I19" s="137">
        <f>'Consommation mensuel énergie'!E27</f>
        <v>152</v>
      </c>
      <c r="J19" s="133" t="e">
        <f>E19*F19+G19*#REF!+#REF!*#REF!+#REF!*#REF!</f>
        <v>#REF!</v>
      </c>
    </row>
    <row r="20" spans="1:10" x14ac:dyDescent="0.2">
      <c r="A20" s="136" t="s">
        <v>13</v>
      </c>
      <c r="B20" s="140">
        <f t="shared" si="0"/>
        <v>19</v>
      </c>
      <c r="C20" s="140">
        <v>4</v>
      </c>
      <c r="D20" s="141">
        <v>2022</v>
      </c>
      <c r="E20" s="137">
        <f>'Consommation mensuel énergie'!L28</f>
        <v>3298</v>
      </c>
      <c r="F20" s="137">
        <f>'Consommation mensuel énergie'!M28</f>
        <v>6064</v>
      </c>
      <c r="G20" s="137">
        <f>'Consommation mensuel énergie'!N28</f>
        <v>2705</v>
      </c>
      <c r="H20" s="137">
        <f>'Consommation mensuel énergie'!D28</f>
        <v>86</v>
      </c>
      <c r="I20" s="137">
        <f>'Consommation mensuel énergie'!E28</f>
        <v>128</v>
      </c>
      <c r="J20" s="133" t="e">
        <f>E20*F20+G20*#REF!+#REF!*#REF!+#REF!*#REF!</f>
        <v>#REF!</v>
      </c>
    </row>
    <row r="21" spans="1:10" x14ac:dyDescent="0.2">
      <c r="A21" s="136" t="s">
        <v>13</v>
      </c>
      <c r="B21" s="140">
        <f t="shared" si="0"/>
        <v>20</v>
      </c>
      <c r="C21" s="140">
        <v>4</v>
      </c>
      <c r="D21" s="141">
        <v>2022</v>
      </c>
      <c r="E21" s="137">
        <f>'Consommation mensuel énergie'!L29</f>
        <v>2563</v>
      </c>
      <c r="F21" s="137">
        <f>'Consommation mensuel énergie'!M29</f>
        <v>6082</v>
      </c>
      <c r="G21" s="137">
        <f>'Consommation mensuel énergie'!N29</f>
        <v>2698</v>
      </c>
      <c r="H21" s="137">
        <f>'Consommation mensuel énergie'!D29</f>
        <v>84</v>
      </c>
      <c r="I21" s="137">
        <f>'Consommation mensuel énergie'!E29</f>
        <v>131</v>
      </c>
      <c r="J21" s="133" t="e">
        <f>E21*F21+G21*#REF!+#REF!*#REF!+#REF!*#REF!</f>
        <v>#REF!</v>
      </c>
    </row>
    <row r="22" spans="1:10" x14ac:dyDescent="0.2">
      <c r="A22" s="136" t="s">
        <v>13</v>
      </c>
      <c r="B22" s="140">
        <f t="shared" si="0"/>
        <v>21</v>
      </c>
      <c r="C22" s="140">
        <v>4</v>
      </c>
      <c r="D22" s="141">
        <v>2022</v>
      </c>
      <c r="E22" s="137">
        <f>'Consommation mensuel énergie'!L30</f>
        <v>3536</v>
      </c>
      <c r="F22" s="137">
        <f>'Consommation mensuel énergie'!M30</f>
        <v>5881</v>
      </c>
      <c r="G22" s="137">
        <f>'Consommation mensuel énergie'!N30</f>
        <v>3060</v>
      </c>
      <c r="H22" s="137">
        <f>'Consommation mensuel énergie'!D30</f>
        <v>97</v>
      </c>
      <c r="I22" s="137">
        <f>'Consommation mensuel énergie'!E30</f>
        <v>156</v>
      </c>
      <c r="J22" s="133" t="e">
        <f>E22*F22+G22*#REF!+#REF!*#REF!+#REF!*#REF!</f>
        <v>#REF!</v>
      </c>
    </row>
    <row r="23" spans="1:10" x14ac:dyDescent="0.2">
      <c r="A23" s="136" t="s">
        <v>13</v>
      </c>
      <c r="B23" s="140">
        <f t="shared" si="0"/>
        <v>22</v>
      </c>
      <c r="C23" s="140">
        <v>4</v>
      </c>
      <c r="D23" s="141">
        <v>2022</v>
      </c>
      <c r="E23" s="137">
        <f>'Consommation mensuel énergie'!L31</f>
        <v>3952</v>
      </c>
      <c r="F23" s="137">
        <f>'Consommation mensuel énergie'!M31</f>
        <v>5742</v>
      </c>
      <c r="G23" s="137">
        <f>'Consommation mensuel énergie'!N31</f>
        <v>2751</v>
      </c>
      <c r="H23" s="137">
        <f>'Consommation mensuel énergie'!D31</f>
        <v>86</v>
      </c>
      <c r="I23" s="137">
        <f>'Consommation mensuel énergie'!E31</f>
        <v>159</v>
      </c>
      <c r="J23" s="133" t="e">
        <f>E23*F23+G23*#REF!+#REF!*#REF!+#REF!*#REF!</f>
        <v>#REF!</v>
      </c>
    </row>
    <row r="24" spans="1:10" x14ac:dyDescent="0.2">
      <c r="A24" s="136" t="s">
        <v>13</v>
      </c>
      <c r="B24" s="140">
        <f t="shared" si="0"/>
        <v>23</v>
      </c>
      <c r="C24" s="140">
        <v>4</v>
      </c>
      <c r="D24" s="141">
        <v>2022</v>
      </c>
      <c r="E24" s="137">
        <f>'Consommation mensuel énergie'!L32</f>
        <v>3257</v>
      </c>
      <c r="F24" s="137">
        <f>'Consommation mensuel énergie'!M32</f>
        <v>5685</v>
      </c>
      <c r="G24" s="137">
        <f>'Consommation mensuel énergie'!N32</f>
        <v>2673</v>
      </c>
      <c r="H24" s="137">
        <f>'Consommation mensuel énergie'!D32</f>
        <v>92</v>
      </c>
      <c r="I24" s="137">
        <f>'Consommation mensuel énergie'!E32</f>
        <v>167</v>
      </c>
      <c r="J24" s="133" t="e">
        <f>E24*F24+G24*#REF!+#REF!*#REF!+#REF!*#REF!</f>
        <v>#REF!</v>
      </c>
    </row>
    <row r="25" spans="1:10" x14ac:dyDescent="0.2">
      <c r="A25" s="136" t="s">
        <v>13</v>
      </c>
      <c r="B25" s="140">
        <f t="shared" si="0"/>
        <v>24</v>
      </c>
      <c r="C25" s="140">
        <v>4</v>
      </c>
      <c r="D25" s="141">
        <v>2022</v>
      </c>
      <c r="E25" s="137">
        <f>'Consommation mensuel énergie'!L33</f>
        <v>3326</v>
      </c>
      <c r="F25" s="137">
        <f>'Consommation mensuel énergie'!M33</f>
        <v>5857</v>
      </c>
      <c r="G25" s="137">
        <f>'Consommation mensuel énergie'!N33</f>
        <v>2544</v>
      </c>
      <c r="H25" s="137">
        <f>'Consommation mensuel énergie'!D33</f>
        <v>81</v>
      </c>
      <c r="I25" s="137">
        <f>'Consommation mensuel énergie'!E33</f>
        <v>139</v>
      </c>
      <c r="J25" s="133" t="e">
        <f>E25*F25+G25*#REF!+#REF!*#REF!+#REF!*#REF!</f>
        <v>#REF!</v>
      </c>
    </row>
    <row r="26" spans="1:10" x14ac:dyDescent="0.2">
      <c r="A26" s="136" t="s">
        <v>13</v>
      </c>
      <c r="B26" s="140">
        <f>B25+1</f>
        <v>25</v>
      </c>
      <c r="C26" s="140">
        <v>4</v>
      </c>
      <c r="D26" s="141">
        <v>2022</v>
      </c>
      <c r="E26" s="137">
        <f>'Consommation mensuel énergie'!L34</f>
        <v>3187</v>
      </c>
      <c r="F26" s="137">
        <f>'Consommation mensuel énergie'!M34</f>
        <v>8689</v>
      </c>
      <c r="G26" s="137">
        <f>'Consommation mensuel énergie'!N34</f>
        <v>3260</v>
      </c>
      <c r="H26" s="137">
        <f>'Consommation mensuel énergie'!D34</f>
        <v>84</v>
      </c>
      <c r="I26" s="137">
        <f>'Consommation mensuel énergie'!E34</f>
        <v>140</v>
      </c>
      <c r="J26" s="133" t="e">
        <f>E26*F26+G26*#REF!+#REF!*#REF!+#REF!*#REF!</f>
        <v>#REF!</v>
      </c>
    </row>
    <row r="27" spans="1:10" x14ac:dyDescent="0.2">
      <c r="A27" s="136" t="s">
        <v>13</v>
      </c>
      <c r="B27" s="140">
        <f t="shared" ref="B27:B31" si="1">B26+1</f>
        <v>26</v>
      </c>
      <c r="C27" s="140">
        <v>4</v>
      </c>
      <c r="D27" s="141">
        <v>2022</v>
      </c>
      <c r="E27" s="137">
        <f>'Consommation mensuel énergie'!L35</f>
        <v>3256</v>
      </c>
      <c r="F27" s="137">
        <f>'Consommation mensuel énergie'!M35</f>
        <v>2767</v>
      </c>
      <c r="G27" s="137">
        <f>'Consommation mensuel énergie'!N35</f>
        <v>1770</v>
      </c>
      <c r="H27" s="137">
        <f>'Consommation mensuel énergie'!D35</f>
        <v>75</v>
      </c>
      <c r="I27" s="137">
        <f>'Consommation mensuel énergie'!E35</f>
        <v>130</v>
      </c>
      <c r="J27" s="133"/>
    </row>
    <row r="28" spans="1:10" x14ac:dyDescent="0.2">
      <c r="A28" s="136" t="s">
        <v>13</v>
      </c>
      <c r="B28" s="140">
        <f t="shared" si="1"/>
        <v>27</v>
      </c>
      <c r="C28" s="140">
        <v>4</v>
      </c>
      <c r="D28" s="141">
        <v>2022</v>
      </c>
      <c r="E28" s="137">
        <f>'Consommation mensuel énergie'!L36</f>
        <v>3215</v>
      </c>
      <c r="F28" s="137">
        <f>'Consommation mensuel énergie'!M36</f>
        <v>5813</v>
      </c>
      <c r="G28" s="137">
        <f>'Consommation mensuel énergie'!N36</f>
        <v>2652</v>
      </c>
      <c r="H28" s="137">
        <f>'Consommation mensuel énergie'!D36</f>
        <v>61</v>
      </c>
      <c r="I28" s="137">
        <f>'Consommation mensuel énergie'!E36</f>
        <v>108</v>
      </c>
      <c r="J28" s="133"/>
    </row>
    <row r="29" spans="1:10" x14ac:dyDescent="0.2">
      <c r="A29" s="136" t="s">
        <v>13</v>
      </c>
      <c r="B29" s="140">
        <f t="shared" si="1"/>
        <v>28</v>
      </c>
      <c r="C29" s="140">
        <v>4</v>
      </c>
      <c r="D29" s="141">
        <v>2022</v>
      </c>
      <c r="E29" s="137">
        <f>'Consommation mensuel énergie'!L37</f>
        <v>3183</v>
      </c>
      <c r="F29" s="137">
        <f>'Consommation mensuel énergie'!M37</f>
        <v>5776</v>
      </c>
      <c r="G29" s="137">
        <f>'Consommation mensuel énergie'!N37</f>
        <v>2585</v>
      </c>
      <c r="H29" s="137">
        <f>'Consommation mensuel énergie'!D37</f>
        <v>74</v>
      </c>
      <c r="I29" s="137">
        <f>'Consommation mensuel énergie'!E37</f>
        <v>120</v>
      </c>
      <c r="J29" s="133"/>
    </row>
    <row r="30" spans="1:10" x14ac:dyDescent="0.2">
      <c r="A30" s="136" t="s">
        <v>13</v>
      </c>
      <c r="B30" s="140">
        <f t="shared" si="1"/>
        <v>29</v>
      </c>
      <c r="C30" s="140">
        <v>4</v>
      </c>
      <c r="D30" s="141">
        <v>2022</v>
      </c>
      <c r="E30" s="137">
        <f>'Consommation mensuel énergie'!L38</f>
        <v>2685</v>
      </c>
      <c r="F30" s="137">
        <f>'Consommation mensuel énergie'!M38</f>
        <v>5865</v>
      </c>
      <c r="G30" s="137">
        <f>'Consommation mensuel énergie'!N38</f>
        <v>2490</v>
      </c>
      <c r="H30" s="137">
        <f>'Consommation mensuel énergie'!D38</f>
        <v>83</v>
      </c>
      <c r="I30" s="137">
        <f>'Consommation mensuel énergie'!E38</f>
        <v>145</v>
      </c>
      <c r="J30" s="133"/>
    </row>
    <row r="31" spans="1:10" x14ac:dyDescent="0.2">
      <c r="A31" s="136" t="s">
        <v>13</v>
      </c>
      <c r="B31" s="140">
        <f t="shared" si="1"/>
        <v>30</v>
      </c>
      <c r="C31" s="140">
        <v>4</v>
      </c>
      <c r="D31" s="141">
        <v>2022</v>
      </c>
      <c r="E31" s="137">
        <f>'Consommation mensuel énergie'!L39</f>
        <v>3900</v>
      </c>
      <c r="F31" s="137">
        <f>'Consommation mensuel énergie'!M39</f>
        <v>5770</v>
      </c>
      <c r="G31" s="137">
        <f>'Consommation mensuel énergie'!N39</f>
        <v>2815</v>
      </c>
      <c r="H31" s="137">
        <f>'Consommation mensuel énergie'!D39</f>
        <v>94</v>
      </c>
      <c r="I31" s="137">
        <f>'Consommation mensuel énergie'!E39</f>
        <v>179</v>
      </c>
      <c r="J31" s="133"/>
    </row>
    <row r="32" spans="1:10" x14ac:dyDescent="0.2">
      <c r="E32" s="134"/>
      <c r="F32" s="134"/>
      <c r="G32" s="134"/>
      <c r="H32" s="133"/>
      <c r="I32" s="133"/>
    </row>
    <row r="33" spans="5:9" x14ac:dyDescent="0.2">
      <c r="E33" s="134"/>
      <c r="F33" s="134"/>
      <c r="G33" s="134"/>
      <c r="H33" s="133"/>
      <c r="I33" s="133"/>
    </row>
    <row r="34" spans="5:9" x14ac:dyDescent="0.2">
      <c r="E34" s="134"/>
      <c r="F34" s="134"/>
      <c r="G34" s="134"/>
      <c r="H34" s="133"/>
      <c r="I34" s="133"/>
    </row>
    <row r="35" spans="5:9" x14ac:dyDescent="0.2">
      <c r="E35" s="134"/>
      <c r="F35" s="134"/>
      <c r="G35" s="134"/>
      <c r="H35" s="133"/>
      <c r="I35" s="133"/>
    </row>
    <row r="36" spans="5:9" x14ac:dyDescent="0.2">
      <c r="E36" s="134"/>
      <c r="F36" s="134"/>
      <c r="G36" s="134"/>
      <c r="H36" s="133"/>
      <c r="I36" s="133"/>
    </row>
    <row r="37" spans="5:9" x14ac:dyDescent="0.2">
      <c r="E37" s="134"/>
      <c r="F37" s="134"/>
      <c r="G37" s="134"/>
      <c r="H37" s="133"/>
      <c r="I37" s="133"/>
    </row>
    <row r="38" spans="5:9" x14ac:dyDescent="0.2">
      <c r="E38" s="134"/>
      <c r="F38" s="134"/>
      <c r="G38" s="134"/>
      <c r="H38" s="133"/>
      <c r="I38" s="133"/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X54"/>
  <sheetViews>
    <sheetView showGridLines="0" zoomScale="55" zoomScaleNormal="55" workbookViewId="0">
      <pane xSplit="3" ySplit="9" topLeftCell="D38" activePane="bottomRight" state="frozen"/>
      <selection pane="topRight" activeCell="B21" sqref="A21:IV21"/>
      <selection pane="bottomLeft" activeCell="B21" sqref="A21:IV21"/>
      <selection pane="bottomRight" activeCell="E38" sqref="E38"/>
    </sheetView>
  </sheetViews>
  <sheetFormatPr baseColWidth="10" defaultColWidth="11.42578125" defaultRowHeight="18" x14ac:dyDescent="0.2"/>
  <cols>
    <col min="1" max="1" width="9" style="9" customWidth="1"/>
    <col min="2" max="2" width="24.85546875" style="9" customWidth="1"/>
    <col min="3" max="3" width="2.85546875" style="9" hidden="1" customWidth="1"/>
    <col min="4" max="6" width="24.7109375" style="9" customWidth="1"/>
    <col min="7" max="7" width="1.7109375" style="9" customWidth="1"/>
    <col min="8" max="8" width="16.85546875" style="9" customWidth="1"/>
    <col min="9" max="9" width="1.7109375" style="9" customWidth="1"/>
    <col min="10" max="10" width="11.7109375" style="9" customWidth="1"/>
    <col min="11" max="11" width="0.140625" style="9" customWidth="1"/>
    <col min="12" max="12" width="24.42578125" style="9" customWidth="1"/>
    <col min="13" max="13" width="26.7109375" style="9" customWidth="1"/>
    <col min="14" max="14" width="22.42578125" style="9" customWidth="1"/>
    <col min="15" max="15" width="24.85546875" style="9" customWidth="1"/>
    <col min="16" max="16" width="1.5703125" style="9" customWidth="1"/>
    <col min="17" max="17" width="26.5703125" style="9" customWidth="1"/>
    <col min="18" max="18" width="1.5703125" style="9" customWidth="1"/>
    <col min="19" max="19" width="0.28515625" style="9" hidden="1" customWidth="1"/>
    <col min="20" max="20" width="0.5703125" style="9" hidden="1" customWidth="1"/>
    <col min="21" max="21" width="0.42578125" style="9" customWidth="1"/>
    <col min="22" max="22" width="27.42578125" style="9" customWidth="1"/>
    <col min="23" max="23" width="1.28515625" style="9" customWidth="1"/>
    <col min="24" max="24" width="25.140625" style="9" customWidth="1"/>
    <col min="25" max="16384" width="11.42578125" style="9"/>
  </cols>
  <sheetData>
    <row r="1" spans="1:24" ht="18.75" thickBot="1" x14ac:dyDescent="0.25"/>
    <row r="2" spans="1:24" ht="100.5" customHeight="1" thickBot="1" x14ac:dyDescent="0.25">
      <c r="A2" s="179"/>
      <c r="B2" s="180"/>
      <c r="C2" s="180"/>
      <c r="D2" s="180"/>
      <c r="E2" s="180"/>
      <c r="F2" s="180"/>
      <c r="G2" s="180"/>
      <c r="H2" s="181"/>
      <c r="I2" s="190" t="s">
        <v>17</v>
      </c>
      <c r="J2" s="191"/>
      <c r="K2" s="191"/>
      <c r="L2" s="191"/>
      <c r="M2" s="191"/>
      <c r="N2" s="191"/>
      <c r="O2" s="191"/>
      <c r="P2" s="191"/>
      <c r="Q2" s="191"/>
      <c r="R2" s="191"/>
      <c r="S2" s="191"/>
      <c r="T2" s="191"/>
      <c r="U2" s="191"/>
      <c r="V2" s="191"/>
      <c r="W2" s="191"/>
      <c r="X2" s="191"/>
    </row>
    <row r="3" spans="1:24" ht="15" hidden="1" customHeight="1" thickBot="1" x14ac:dyDescent="0.25"/>
    <row r="4" spans="1:24" ht="39" hidden="1" customHeight="1" thickBot="1" x14ac:dyDescent="0.25">
      <c r="A4" s="182"/>
      <c r="B4" s="182"/>
      <c r="C4" s="182"/>
      <c r="D4" s="5"/>
      <c r="E4" s="5"/>
      <c r="F4" s="5"/>
      <c r="G4" s="5"/>
      <c r="H4" s="5"/>
      <c r="I4" s="5"/>
      <c r="J4" s="5"/>
      <c r="K4" s="5"/>
      <c r="L4" s="5"/>
      <c r="M4" s="2" t="s">
        <v>18</v>
      </c>
      <c r="N4" s="2"/>
      <c r="O4" s="2"/>
      <c r="P4" s="2"/>
      <c r="Q4" s="2"/>
      <c r="R4" s="2"/>
      <c r="S4" s="2"/>
      <c r="T4" s="2"/>
      <c r="U4" s="2"/>
      <c r="V4" s="2"/>
      <c r="W4" s="2"/>
      <c r="X4" s="2"/>
    </row>
    <row r="5" spans="1:24" ht="37.5" hidden="1" customHeight="1" thickBot="1" x14ac:dyDescent="0.25">
      <c r="A5" s="182"/>
      <c r="B5" s="182"/>
      <c r="C5" s="182"/>
      <c r="D5" s="5"/>
      <c r="E5" s="5"/>
      <c r="F5" s="5"/>
      <c r="G5" s="5"/>
      <c r="H5" s="5"/>
      <c r="I5" s="5"/>
      <c r="J5" s="5"/>
      <c r="K5" s="5"/>
      <c r="L5" s="5"/>
      <c r="M5" s="183"/>
      <c r="N5" s="183"/>
      <c r="O5" s="183"/>
      <c r="P5" s="183"/>
      <c r="Q5" s="183"/>
      <c r="R5" s="183"/>
      <c r="S5" s="183"/>
      <c r="T5" s="183"/>
      <c r="U5" s="183"/>
      <c r="V5" s="183"/>
      <c r="W5" s="183"/>
      <c r="X5" s="183"/>
    </row>
    <row r="6" spans="1:24" s="5" customFormat="1" ht="44.25" hidden="1" customHeight="1" thickBot="1" x14ac:dyDescent="0.25">
      <c r="A6" s="3"/>
      <c r="B6" s="3"/>
      <c r="C6" s="3"/>
      <c r="M6" s="183"/>
      <c r="N6" s="183"/>
      <c r="O6" s="183"/>
      <c r="P6" s="183"/>
      <c r="Q6" s="183"/>
      <c r="R6" s="183"/>
      <c r="S6" s="183"/>
      <c r="T6" s="183"/>
      <c r="U6" s="183"/>
      <c r="V6" s="183"/>
      <c r="W6" s="183"/>
      <c r="X6" s="183"/>
    </row>
    <row r="7" spans="1:24" s="5" customFormat="1" ht="18.75" hidden="1" customHeight="1" thickBot="1" x14ac:dyDescent="0.25">
      <c r="F7" s="183"/>
      <c r="G7" s="183"/>
      <c r="H7" s="183"/>
      <c r="I7" s="183"/>
      <c r="J7" s="183"/>
      <c r="K7" s="183"/>
      <c r="L7" s="183"/>
      <c r="M7" s="183"/>
      <c r="N7" s="192"/>
      <c r="O7" s="192"/>
      <c r="P7" s="183"/>
      <c r="Q7" s="183"/>
      <c r="R7" s="183"/>
      <c r="S7" s="183"/>
      <c r="T7" s="183"/>
      <c r="U7" s="183"/>
      <c r="V7" s="183"/>
      <c r="W7" s="183"/>
      <c r="X7" s="183"/>
    </row>
    <row r="8" spans="1:24" ht="18.75" customHeight="1" thickBot="1" x14ac:dyDescent="0.25">
      <c r="A8" s="183"/>
      <c r="B8" s="194" t="s">
        <v>19</v>
      </c>
      <c r="C8" s="4"/>
      <c r="D8" s="195" t="s">
        <v>20</v>
      </c>
      <c r="E8" s="195" t="s">
        <v>21</v>
      </c>
      <c r="F8" s="177" t="s">
        <v>22</v>
      </c>
      <c r="G8" s="2"/>
      <c r="H8" s="184" t="s">
        <v>23</v>
      </c>
      <c r="I8" s="185"/>
      <c r="J8" s="186"/>
      <c r="K8" s="172" t="s">
        <v>24</v>
      </c>
      <c r="L8" s="176" t="s">
        <v>25</v>
      </c>
      <c r="M8" s="176"/>
      <c r="N8" s="176"/>
      <c r="O8" s="176" t="s">
        <v>26</v>
      </c>
      <c r="P8" s="2"/>
      <c r="Q8" s="174" t="s">
        <v>23</v>
      </c>
      <c r="R8" s="2"/>
      <c r="S8" s="174" t="s">
        <v>27</v>
      </c>
      <c r="T8" s="2"/>
      <c r="U8" s="174" t="s">
        <v>28</v>
      </c>
      <c r="V8" s="197" t="s">
        <v>29</v>
      </c>
      <c r="W8" s="2"/>
      <c r="X8" s="174" t="s">
        <v>23</v>
      </c>
    </row>
    <row r="9" spans="1:24" ht="59.25" customHeight="1" thickBot="1" x14ac:dyDescent="0.25">
      <c r="A9" s="183"/>
      <c r="B9" s="194"/>
      <c r="C9" s="4"/>
      <c r="D9" s="196"/>
      <c r="E9" s="196"/>
      <c r="F9" s="178"/>
      <c r="G9" s="2"/>
      <c r="H9" s="187"/>
      <c r="I9" s="188"/>
      <c r="J9" s="189"/>
      <c r="K9" s="173"/>
      <c r="L9" s="155" t="s">
        <v>30</v>
      </c>
      <c r="M9" s="155" t="s">
        <v>31</v>
      </c>
      <c r="N9" s="155" t="s">
        <v>32</v>
      </c>
      <c r="O9" s="193"/>
      <c r="P9" s="2"/>
      <c r="Q9" s="175"/>
      <c r="R9" s="2"/>
      <c r="S9" s="175"/>
      <c r="T9" s="2"/>
      <c r="U9" s="175"/>
      <c r="V9" s="198"/>
      <c r="W9" s="2"/>
      <c r="X9" s="175"/>
    </row>
    <row r="10" spans="1:24" ht="32.25" customHeight="1" x14ac:dyDescent="0.2">
      <c r="A10" s="2"/>
      <c r="B10" s="6">
        <v>44652</v>
      </c>
      <c r="C10" s="7"/>
      <c r="D10" s="143">
        <v>84</v>
      </c>
      <c r="E10" s="143">
        <v>145</v>
      </c>
      <c r="F10" s="13">
        <f>'Suivi EAU-ELEC'!E9</f>
        <v>118.89999999999418</v>
      </c>
      <c r="G10" s="11"/>
      <c r="H10" s="168">
        <f>F10*8.79</f>
        <v>1045.1309999999487</v>
      </c>
      <c r="I10" s="169"/>
      <c r="J10" s="169"/>
      <c r="K10" s="60">
        <v>42278</v>
      </c>
      <c r="L10" s="90">
        <f>'Suivi EAU-ELEC'!G9</f>
        <v>3872</v>
      </c>
      <c r="M10" s="91">
        <f>'Suivi EAU-ELEC'!I9</f>
        <v>5571</v>
      </c>
      <c r="N10" s="91">
        <f>'Suivi EAU-ELEC'!K9</f>
        <v>2678</v>
      </c>
      <c r="O10" s="91">
        <f>L10+M10+N10</f>
        <v>12121</v>
      </c>
      <c r="P10" s="11"/>
      <c r="Q10" s="34">
        <f>L10*0.6985+M10*0.9514+N10*1.3304</f>
        <v>11567.652599999999</v>
      </c>
      <c r="R10" s="11"/>
      <c r="S10" s="28"/>
      <c r="T10" s="11"/>
      <c r="U10" s="28"/>
      <c r="V10" s="146">
        <f>'Suvi Gaz'!O4</f>
        <v>575.98577999999998</v>
      </c>
      <c r="W10" s="11"/>
      <c r="X10" s="34">
        <f>V10*13.64</f>
        <v>7856.4460392000001</v>
      </c>
    </row>
    <row r="11" spans="1:24" ht="32.25" customHeight="1" x14ac:dyDescent="0.2">
      <c r="A11" s="2"/>
      <c r="B11" s="6">
        <v>44653</v>
      </c>
      <c r="C11" s="7"/>
      <c r="D11" s="143">
        <v>86</v>
      </c>
      <c r="E11" s="143">
        <v>148</v>
      </c>
      <c r="F11" s="13">
        <f>'Suivi EAU-ELEC'!E10</f>
        <v>143</v>
      </c>
      <c r="G11" s="11"/>
      <c r="H11" s="168">
        <f t="shared" ref="H11:H21" si="0">F11*8.79</f>
        <v>1256.9699999999998</v>
      </c>
      <c r="I11" s="169"/>
      <c r="J11" s="169"/>
      <c r="K11" s="60">
        <v>42279</v>
      </c>
      <c r="L11" s="90">
        <f>'Suivi EAU-ELEC'!G10</f>
        <v>2925</v>
      </c>
      <c r="M11" s="91">
        <f>'Suivi EAU-ELEC'!I10</f>
        <v>5835</v>
      </c>
      <c r="N11" s="91">
        <f>'Suivi EAU-ELEC'!K10</f>
        <v>2283</v>
      </c>
      <c r="O11" s="91">
        <f>L11+M11+N11</f>
        <v>11043</v>
      </c>
      <c r="P11" s="11"/>
      <c r="Q11" s="34">
        <f>L11*0.6985+M11*0.9514+N14*1.3304</f>
        <v>10706.337100000001</v>
      </c>
      <c r="R11" s="11"/>
      <c r="S11" s="28"/>
      <c r="T11" s="11"/>
      <c r="U11" s="28"/>
      <c r="V11" s="146">
        <f>'Suvi Gaz'!O5</f>
        <v>703.98262</v>
      </c>
      <c r="W11" s="11"/>
      <c r="X11" s="34">
        <f t="shared" ref="X11:X39" si="1">V11*13.64</f>
        <v>9602.3229368000011</v>
      </c>
    </row>
    <row r="12" spans="1:24" ht="32.25" customHeight="1" x14ac:dyDescent="0.2">
      <c r="A12" s="2"/>
      <c r="B12" s="6">
        <v>44654</v>
      </c>
      <c r="C12" s="7"/>
      <c r="D12" s="143">
        <v>52</v>
      </c>
      <c r="E12" s="143">
        <v>86</v>
      </c>
      <c r="F12" s="13">
        <f>'Suivi EAU-ELEC'!E11</f>
        <v>137</v>
      </c>
      <c r="G12" s="11"/>
      <c r="H12" s="168">
        <f t="shared" si="0"/>
        <v>1204.2299999999998</v>
      </c>
      <c r="I12" s="169"/>
      <c r="J12" s="169"/>
      <c r="K12" s="60">
        <v>42280</v>
      </c>
      <c r="L12" s="90">
        <f>'Suivi EAU-ELEC'!G11</f>
        <v>2848</v>
      </c>
      <c r="M12" s="91">
        <f>'Suivi EAU-ELEC'!I11</f>
        <v>5402</v>
      </c>
      <c r="N12" s="91">
        <f>'Suivi EAU-ELEC'!K11</f>
        <v>2333</v>
      </c>
      <c r="O12" s="91">
        <f>L12+M12+N12</f>
        <v>10583</v>
      </c>
      <c r="P12" s="11"/>
      <c r="Q12" s="34">
        <f>L12*0.6985+M12*0.9514+N12*1.3304</f>
        <v>10232.614000000001</v>
      </c>
      <c r="R12" s="11"/>
      <c r="S12" s="28"/>
      <c r="T12" s="11"/>
      <c r="U12" s="28"/>
      <c r="V12" s="146">
        <f>'Suvi Gaz'!O6</f>
        <v>671.98341000000005</v>
      </c>
      <c r="W12" s="11"/>
      <c r="X12" s="34">
        <f t="shared" si="1"/>
        <v>9165.8537124000013</v>
      </c>
    </row>
    <row r="13" spans="1:24" ht="32.25" customHeight="1" x14ac:dyDescent="0.2">
      <c r="A13" s="2"/>
      <c r="B13" s="6">
        <v>44655</v>
      </c>
      <c r="C13" s="7"/>
      <c r="D13" s="143">
        <v>84</v>
      </c>
      <c r="E13" s="143">
        <v>136</v>
      </c>
      <c r="F13" s="13">
        <f>'Suivi EAU-ELEC'!E12</f>
        <v>134</v>
      </c>
      <c r="G13" s="11"/>
      <c r="H13" s="168">
        <f t="shared" si="0"/>
        <v>1177.8599999999999</v>
      </c>
      <c r="I13" s="169"/>
      <c r="J13" s="169"/>
      <c r="K13" s="60">
        <v>42281</v>
      </c>
      <c r="L13" s="90">
        <f>'Suivi EAU-ELEC'!G12</f>
        <v>2993</v>
      </c>
      <c r="M13" s="91">
        <f>'Suivi EAU-ELEC'!I12</f>
        <v>5079</v>
      </c>
      <c r="N13" s="91">
        <f>'Suivi EAU-ELEC'!K12</f>
        <v>2389</v>
      </c>
      <c r="O13" s="91">
        <f t="shared" ref="O13:O39" si="2">L13+M13+N13</f>
        <v>10461</v>
      </c>
      <c r="P13" s="11"/>
      <c r="Q13" s="34">
        <f t="shared" ref="Q13:Q39" si="3">L13*0.6985+M13*0.9514+N13*1.3304</f>
        <v>10101.0967</v>
      </c>
      <c r="R13" s="11"/>
      <c r="S13" s="28"/>
      <c r="T13" s="11"/>
      <c r="U13" s="28"/>
      <c r="V13" s="146">
        <f>'Suvi Gaz'!O7</f>
        <v>192.35820000000001</v>
      </c>
      <c r="W13" s="11"/>
      <c r="X13" s="34">
        <f t="shared" si="1"/>
        <v>2623.7658480000005</v>
      </c>
    </row>
    <row r="14" spans="1:24" ht="32.25" customHeight="1" x14ac:dyDescent="0.2">
      <c r="A14" s="2"/>
      <c r="B14" s="6">
        <v>44656</v>
      </c>
      <c r="C14" s="7"/>
      <c r="D14" s="143">
        <v>66</v>
      </c>
      <c r="E14" s="143">
        <v>100</v>
      </c>
      <c r="F14" s="13">
        <f>'Suivi EAU-ELEC'!E13</f>
        <v>63.899999999994179</v>
      </c>
      <c r="G14" s="12"/>
      <c r="H14" s="168">
        <f t="shared" si="0"/>
        <v>561.68099999994877</v>
      </c>
      <c r="I14" s="169"/>
      <c r="J14" s="169"/>
      <c r="K14" s="60">
        <v>42282</v>
      </c>
      <c r="L14" s="90">
        <f>'Suivi EAU-ELEC'!G13</f>
        <v>3095</v>
      </c>
      <c r="M14" s="91">
        <f>'Suivi EAU-ELEC'!I13</f>
        <v>4560</v>
      </c>
      <c r="N14" s="91">
        <f>'Suivi EAU-ELEC'!K13</f>
        <v>2339</v>
      </c>
      <c r="O14" s="91">
        <f t="shared" si="2"/>
        <v>9994</v>
      </c>
      <c r="P14" s="12"/>
      <c r="Q14" s="34">
        <f t="shared" si="3"/>
        <v>9612.0470999999998</v>
      </c>
      <c r="R14" s="12"/>
      <c r="S14" s="28"/>
      <c r="T14" s="12"/>
      <c r="U14" s="28"/>
      <c r="V14" s="146">
        <f>'Suvi Gaz'!O8</f>
        <v>415.98973000000001</v>
      </c>
      <c r="W14" s="11"/>
      <c r="X14" s="34">
        <f t="shared" si="1"/>
        <v>5674.0999172000002</v>
      </c>
    </row>
    <row r="15" spans="1:24" ht="32.25" customHeight="1" x14ac:dyDescent="0.2">
      <c r="A15" s="5"/>
      <c r="B15" s="6">
        <v>44657</v>
      </c>
      <c r="C15" s="7"/>
      <c r="D15" s="143">
        <v>81</v>
      </c>
      <c r="E15" s="143">
        <v>128</v>
      </c>
      <c r="F15" s="13">
        <f>'Suivi EAU-ELEC'!E14</f>
        <v>124.5</v>
      </c>
      <c r="G15" s="11"/>
      <c r="H15" s="168">
        <f t="shared" si="0"/>
        <v>1094.3549999999998</v>
      </c>
      <c r="I15" s="169"/>
      <c r="J15" s="169"/>
      <c r="K15" s="60">
        <v>42283</v>
      </c>
      <c r="L15" s="90">
        <f>'Suivi EAU-ELEC'!G14</f>
        <v>2998</v>
      </c>
      <c r="M15" s="91">
        <f>'Suivi EAU-ELEC'!I14</f>
        <v>5103</v>
      </c>
      <c r="N15" s="91">
        <f>'Suivi EAU-ELEC'!K14</f>
        <v>2130</v>
      </c>
      <c r="O15" s="91">
        <f t="shared" si="2"/>
        <v>10231</v>
      </c>
      <c r="P15" s="12"/>
      <c r="Q15" s="34">
        <f>L15*0.6985+M15*0.9514+N15*1.3304</f>
        <v>9782.8492000000006</v>
      </c>
      <c r="R15" s="12"/>
      <c r="S15" s="28"/>
      <c r="T15" s="12"/>
      <c r="U15" s="28"/>
      <c r="V15" s="146">
        <f>'Suvi Gaz'!O9</f>
        <v>479.98815000000002</v>
      </c>
      <c r="W15" s="11"/>
      <c r="X15" s="34">
        <f t="shared" si="1"/>
        <v>6547.0383660000007</v>
      </c>
    </row>
    <row r="16" spans="1:24" ht="32.25" customHeight="1" x14ac:dyDescent="0.2">
      <c r="A16" s="5"/>
      <c r="B16" s="6">
        <v>44658</v>
      </c>
      <c r="C16" s="7"/>
      <c r="D16" s="143">
        <v>76</v>
      </c>
      <c r="E16" s="143">
        <v>122</v>
      </c>
      <c r="F16" s="13">
        <f>'Suivi EAU-ELEC'!E15</f>
        <v>99</v>
      </c>
      <c r="G16" s="11"/>
      <c r="H16" s="168">
        <f t="shared" si="0"/>
        <v>870.20999999999992</v>
      </c>
      <c r="I16" s="169"/>
      <c r="J16" s="169"/>
      <c r="K16" s="60">
        <v>42284</v>
      </c>
      <c r="L16" s="90">
        <f>'Suivi EAU-ELEC'!G15</f>
        <v>2968</v>
      </c>
      <c r="M16" s="91">
        <f>'Suivi EAU-ELEC'!I15</f>
        <v>5120</v>
      </c>
      <c r="N16" s="91">
        <f>'Suivi EAU-ELEC'!K15</f>
        <v>2178</v>
      </c>
      <c r="O16" s="91">
        <f t="shared" si="2"/>
        <v>10266</v>
      </c>
      <c r="P16" s="11"/>
      <c r="Q16" s="34">
        <f t="shared" si="3"/>
        <v>9841.9272000000001</v>
      </c>
      <c r="R16" s="11"/>
      <c r="S16" s="28"/>
      <c r="T16" s="11"/>
      <c r="U16" s="28"/>
      <c r="V16" s="146">
        <f>'Suvi Gaz'!O10</f>
        <v>415.98973000000001</v>
      </c>
      <c r="W16" s="11"/>
      <c r="X16" s="34">
        <f t="shared" si="1"/>
        <v>5674.0999172000002</v>
      </c>
    </row>
    <row r="17" spans="1:24" s="5" customFormat="1" ht="32.25" customHeight="1" x14ac:dyDescent="0.2">
      <c r="A17" s="2"/>
      <c r="B17" s="6">
        <v>44659</v>
      </c>
      <c r="C17" s="7"/>
      <c r="D17" s="143">
        <v>70</v>
      </c>
      <c r="E17" s="143">
        <v>115</v>
      </c>
      <c r="F17" s="13">
        <f>'Suivi EAU-ELEC'!E16</f>
        <v>104</v>
      </c>
      <c r="G17" s="11"/>
      <c r="H17" s="168">
        <f t="shared" si="0"/>
        <v>914.15999999999985</v>
      </c>
      <c r="I17" s="169"/>
      <c r="J17" s="169"/>
      <c r="K17" s="60">
        <v>42285</v>
      </c>
      <c r="L17" s="90">
        <f>'Suivi EAU-ELEC'!G16</f>
        <v>2732</v>
      </c>
      <c r="M17" s="91">
        <f>'Suivi EAU-ELEC'!I16</f>
        <v>5401</v>
      </c>
      <c r="N17" s="91">
        <f>'Suivi EAU-ELEC'!K16</f>
        <v>2478</v>
      </c>
      <c r="O17" s="91">
        <f t="shared" si="2"/>
        <v>10611</v>
      </c>
      <c r="P17" s="12"/>
      <c r="Q17" s="34">
        <f t="shared" si="3"/>
        <v>10343.544600000001</v>
      </c>
      <c r="R17" s="12"/>
      <c r="S17" s="28"/>
      <c r="T17" s="12"/>
      <c r="U17" s="28"/>
      <c r="V17" s="146">
        <f>'Suvi Gaz'!O11</f>
        <v>895.97788000000003</v>
      </c>
      <c r="W17" s="11"/>
      <c r="X17" s="34">
        <f t="shared" si="1"/>
        <v>12221.138283200002</v>
      </c>
    </row>
    <row r="18" spans="1:24" ht="32.25" customHeight="1" x14ac:dyDescent="0.2">
      <c r="A18" s="2"/>
      <c r="B18" s="6">
        <v>44660</v>
      </c>
      <c r="C18" s="7"/>
      <c r="D18" s="143">
        <v>90</v>
      </c>
      <c r="E18" s="143">
        <v>160</v>
      </c>
      <c r="F18" s="13">
        <f>'Suivi EAU-ELEC'!E17</f>
        <v>136.80000000001746</v>
      </c>
      <c r="G18" s="11"/>
      <c r="H18" s="168">
        <f t="shared" si="0"/>
        <v>1202.4720000001535</v>
      </c>
      <c r="I18" s="169"/>
      <c r="J18" s="169"/>
      <c r="K18" s="60">
        <v>42286</v>
      </c>
      <c r="L18" s="90">
        <f>'Suivi EAU-ELEC'!G17</f>
        <v>2858</v>
      </c>
      <c r="M18" s="91">
        <f>'Suivi EAU-ELEC'!I17</f>
        <v>5414</v>
      </c>
      <c r="N18" s="91">
        <f>'Suivi EAU-ELEC'!K17</f>
        <v>2428</v>
      </c>
      <c r="O18" s="91">
        <f t="shared" si="2"/>
        <v>10700</v>
      </c>
      <c r="P18" s="12"/>
      <c r="Q18" s="34">
        <f t="shared" si="3"/>
        <v>10377.4038</v>
      </c>
      <c r="R18" s="12"/>
      <c r="S18" s="28"/>
      <c r="T18" s="12"/>
      <c r="U18" s="28"/>
      <c r="V18" s="146">
        <f>'Suvi Gaz'!O12</f>
        <v>415.98973000000001</v>
      </c>
      <c r="W18" s="11"/>
      <c r="X18" s="34">
        <f t="shared" si="1"/>
        <v>5674.0999172000002</v>
      </c>
    </row>
    <row r="19" spans="1:24" ht="32.25" customHeight="1" x14ac:dyDescent="0.2">
      <c r="A19" s="2"/>
      <c r="B19" s="6">
        <v>44661</v>
      </c>
      <c r="C19" s="7"/>
      <c r="D19" s="143">
        <v>80</v>
      </c>
      <c r="E19" s="143">
        <v>135</v>
      </c>
      <c r="F19" s="13">
        <f>'Suivi EAU-ELEC'!E18</f>
        <v>131.79999999998836</v>
      </c>
      <c r="G19" s="12"/>
      <c r="H19" s="168">
        <f t="shared" si="0"/>
        <v>1158.5219999998976</v>
      </c>
      <c r="I19" s="169"/>
      <c r="J19" s="169"/>
      <c r="K19" s="60">
        <v>42287</v>
      </c>
      <c r="L19" s="90">
        <f>'Suivi EAU-ELEC'!G18</f>
        <v>3317</v>
      </c>
      <c r="M19" s="91">
        <f>'Suivi EAU-ELEC'!I18</f>
        <v>5290</v>
      </c>
      <c r="N19" s="91">
        <f>'Suivi EAU-ELEC'!K18</f>
        <v>2491</v>
      </c>
      <c r="O19" s="91">
        <f t="shared" si="2"/>
        <v>11098</v>
      </c>
      <c r="P19" s="12"/>
      <c r="Q19" s="34">
        <f t="shared" si="3"/>
        <v>10663.856900000001</v>
      </c>
      <c r="R19" s="12"/>
      <c r="S19" s="28"/>
      <c r="T19" s="12"/>
      <c r="U19" s="28"/>
      <c r="V19" s="146">
        <f>'Suvi Gaz'!O13</f>
        <v>223.99447000000001</v>
      </c>
      <c r="W19" s="11"/>
      <c r="X19" s="34">
        <f t="shared" si="1"/>
        <v>3055.2845708000004</v>
      </c>
    </row>
    <row r="20" spans="1:24" ht="32.25" customHeight="1" x14ac:dyDescent="0.2">
      <c r="A20" s="2"/>
      <c r="B20" s="6">
        <v>44662</v>
      </c>
      <c r="C20" s="7"/>
      <c r="D20" s="143">
        <v>100</v>
      </c>
      <c r="E20" s="143">
        <v>172</v>
      </c>
      <c r="F20" s="13">
        <f>'Suivi EAU-ELEC'!E19</f>
        <v>88</v>
      </c>
      <c r="G20" s="12"/>
      <c r="H20" s="168">
        <f t="shared" si="0"/>
        <v>773.52</v>
      </c>
      <c r="I20" s="169"/>
      <c r="J20" s="169"/>
      <c r="K20" s="60">
        <v>42288</v>
      </c>
      <c r="L20" s="90">
        <f>'Suivi EAU-ELEC'!G19</f>
        <v>2959</v>
      </c>
      <c r="M20" s="91">
        <f>'Suivi EAU-ELEC'!I19</f>
        <v>5314</v>
      </c>
      <c r="N20" s="91">
        <f>'Suivi EAU-ELEC'!K19</f>
        <v>2466</v>
      </c>
      <c r="O20" s="91">
        <f t="shared" si="2"/>
        <v>10739</v>
      </c>
      <c r="P20" s="12"/>
      <c r="Q20" s="34">
        <f t="shared" si="3"/>
        <v>10403.3675</v>
      </c>
      <c r="R20" s="12"/>
      <c r="S20" s="28"/>
      <c r="T20" s="12"/>
      <c r="U20" s="28"/>
      <c r="V20" s="146">
        <f>'Suvi Gaz'!O14</f>
        <v>479.98815000000002</v>
      </c>
      <c r="W20" s="11"/>
      <c r="X20" s="34">
        <f t="shared" si="1"/>
        <v>6547.0383660000007</v>
      </c>
    </row>
    <row r="21" spans="1:24" ht="32.25" customHeight="1" x14ac:dyDescent="0.2">
      <c r="A21" s="2"/>
      <c r="B21" s="6">
        <v>44663</v>
      </c>
      <c r="C21" s="7"/>
      <c r="D21" s="143">
        <v>106</v>
      </c>
      <c r="E21" s="143">
        <v>170</v>
      </c>
      <c r="F21" s="13">
        <f>'Suivi EAU-ELEC'!E20</f>
        <v>104</v>
      </c>
      <c r="G21" s="12"/>
      <c r="H21" s="168">
        <f t="shared" si="0"/>
        <v>914.15999999999985</v>
      </c>
      <c r="I21" s="169"/>
      <c r="J21" s="169"/>
      <c r="K21" s="60">
        <v>42289</v>
      </c>
      <c r="L21" s="90">
        <f>'Suivi EAU-ELEC'!G20</f>
        <v>3117</v>
      </c>
      <c r="M21" s="91">
        <f>'Suivi EAU-ELEC'!I20</f>
        <v>5458</v>
      </c>
      <c r="N21" s="91">
        <f>'Suivi EAU-ELEC'!K20</f>
        <v>2539</v>
      </c>
      <c r="O21" s="91">
        <f>L21+M21+N21</f>
        <v>11114</v>
      </c>
      <c r="P21" s="12"/>
      <c r="Q21" s="34">
        <f t="shared" si="3"/>
        <v>10747.8513</v>
      </c>
      <c r="R21" s="12"/>
      <c r="S21" s="28"/>
      <c r="T21" s="12"/>
      <c r="U21" s="28"/>
      <c r="V21" s="146">
        <f>'Suvi Gaz'!O15</f>
        <v>543.98657000000003</v>
      </c>
      <c r="W21" s="11"/>
      <c r="X21" s="34">
        <f t="shared" si="1"/>
        <v>7419.9768148000003</v>
      </c>
    </row>
    <row r="22" spans="1:24" ht="32.25" customHeight="1" x14ac:dyDescent="0.2">
      <c r="A22" s="2"/>
      <c r="B22" s="6">
        <v>44664</v>
      </c>
      <c r="C22" s="7"/>
      <c r="D22" s="143">
        <v>89</v>
      </c>
      <c r="E22" s="143">
        <v>152</v>
      </c>
      <c r="F22" s="13">
        <f>'Suivi EAU-ELEC'!E21</f>
        <v>143</v>
      </c>
      <c r="G22" s="12"/>
      <c r="H22" s="168">
        <f t="shared" ref="H22:H35" si="4">F22*8.79</f>
        <v>1256.9699999999998</v>
      </c>
      <c r="I22" s="169"/>
      <c r="J22" s="169"/>
      <c r="K22" s="60">
        <v>42290</v>
      </c>
      <c r="L22" s="90">
        <f>'Suivi EAU-ELEC'!G21</f>
        <v>3569</v>
      </c>
      <c r="M22" s="91">
        <f>'Suivi EAU-ELEC'!I21</f>
        <v>5987</v>
      </c>
      <c r="N22" s="91">
        <f>'Suivi EAU-ELEC'!K21</f>
        <v>2966</v>
      </c>
      <c r="O22" s="91">
        <f t="shared" si="2"/>
        <v>12522</v>
      </c>
      <c r="P22" s="12"/>
      <c r="Q22" s="34">
        <f t="shared" si="3"/>
        <v>12134.9447</v>
      </c>
      <c r="R22" s="12"/>
      <c r="S22" s="28"/>
      <c r="T22" s="12"/>
      <c r="U22" s="28"/>
      <c r="V22" s="146">
        <f>'Suvi Gaz'!O16</f>
        <v>511.98736000000002</v>
      </c>
      <c r="W22" s="11"/>
      <c r="X22" s="34">
        <f t="shared" si="1"/>
        <v>6983.5075904000005</v>
      </c>
    </row>
    <row r="23" spans="1:24" ht="32.25" customHeight="1" x14ac:dyDescent="0.2">
      <c r="A23" s="2"/>
      <c r="B23" s="6">
        <v>44665</v>
      </c>
      <c r="C23" s="7"/>
      <c r="D23" s="143">
        <v>99</v>
      </c>
      <c r="E23" s="143">
        <v>183</v>
      </c>
      <c r="F23" s="13">
        <f>'Suivi EAU-ELEC'!E22</f>
        <v>109</v>
      </c>
      <c r="G23" s="14"/>
      <c r="H23" s="168">
        <f t="shared" si="4"/>
        <v>958.1099999999999</v>
      </c>
      <c r="I23" s="169"/>
      <c r="J23" s="169"/>
      <c r="K23" s="60">
        <v>42291</v>
      </c>
      <c r="L23" s="90">
        <f>'Suivi EAU-ELEC'!G22</f>
        <v>3005</v>
      </c>
      <c r="M23" s="91">
        <f>'Suivi EAU-ELEC'!I22</f>
        <v>5960</v>
      </c>
      <c r="N23" s="91">
        <f>'Suivi EAU-ELEC'!K22</f>
        <v>2522</v>
      </c>
      <c r="O23" s="91">
        <f>L23+M23+N23</f>
        <v>11487</v>
      </c>
      <c r="P23" s="12"/>
      <c r="Q23" s="34">
        <f>L23*0.6985+M23*0.9514+N23*1.3304</f>
        <v>11124.605299999999</v>
      </c>
      <c r="R23" s="12"/>
      <c r="S23" s="28"/>
      <c r="T23" s="14"/>
      <c r="U23" s="28"/>
      <c r="V23" s="146">
        <f>'Suvi Gaz'!O17</f>
        <v>479.98815000000002</v>
      </c>
      <c r="W23" s="11"/>
      <c r="X23" s="34">
        <f t="shared" si="1"/>
        <v>6547.0383660000007</v>
      </c>
    </row>
    <row r="24" spans="1:24" ht="32.25" customHeight="1" x14ac:dyDescent="0.2">
      <c r="A24" s="2"/>
      <c r="B24" s="6">
        <v>44666</v>
      </c>
      <c r="C24" s="7"/>
      <c r="D24" s="143">
        <v>84</v>
      </c>
      <c r="E24" s="143">
        <v>156</v>
      </c>
      <c r="F24" s="13">
        <f>'Suivi EAU-ELEC'!E23</f>
        <v>108.5</v>
      </c>
      <c r="G24" s="14"/>
      <c r="H24" s="168">
        <f t="shared" si="4"/>
        <v>953.71499999999992</v>
      </c>
      <c r="I24" s="169"/>
      <c r="J24" s="169"/>
      <c r="K24" s="60">
        <v>42292</v>
      </c>
      <c r="L24" s="90">
        <f>'Suivi EAU-ELEC'!G23</f>
        <v>2878</v>
      </c>
      <c r="M24" s="91">
        <f>'Suivi EAU-ELEC'!I23</f>
        <v>5738</v>
      </c>
      <c r="N24" s="91">
        <f>'Suivi EAU-ELEC'!K23</f>
        <v>2537</v>
      </c>
      <c r="O24" s="91">
        <f>L24+M24+N24</f>
        <v>11153</v>
      </c>
      <c r="P24" s="12"/>
      <c r="Q24" s="34">
        <f>L24*0.6985+M24*0.9514+N24*1.3304</f>
        <v>10844.641</v>
      </c>
      <c r="R24" s="12"/>
      <c r="S24" s="28"/>
      <c r="T24" s="14"/>
      <c r="U24" s="28"/>
      <c r="V24" s="146">
        <f>'Suvi Gaz'!O18</f>
        <v>479.98815000000002</v>
      </c>
      <c r="W24" s="11"/>
      <c r="X24" s="34">
        <f t="shared" si="1"/>
        <v>6547.0383660000007</v>
      </c>
    </row>
    <row r="25" spans="1:24" ht="32.25" customHeight="1" x14ac:dyDescent="0.2">
      <c r="A25" s="2"/>
      <c r="B25" s="6">
        <v>44667</v>
      </c>
      <c r="C25" s="7"/>
      <c r="D25" s="143">
        <v>93</v>
      </c>
      <c r="E25" s="143">
        <v>177</v>
      </c>
      <c r="F25" s="13">
        <f>'Suivi EAU-ELEC'!E24</f>
        <v>156.5</v>
      </c>
      <c r="G25" s="14"/>
      <c r="H25" s="168">
        <f t="shared" si="4"/>
        <v>1375.6349999999998</v>
      </c>
      <c r="I25" s="169"/>
      <c r="J25" s="169"/>
      <c r="K25" s="60">
        <v>42293</v>
      </c>
      <c r="L25" s="90">
        <f>'Suivi EAU-ELEC'!G24</f>
        <v>3637</v>
      </c>
      <c r="M25" s="91">
        <f>'Suivi EAU-ELEC'!I24</f>
        <v>5811</v>
      </c>
      <c r="N25" s="91">
        <f>'Suivi EAU-ELEC'!K24</f>
        <v>2703</v>
      </c>
      <c r="O25" s="91">
        <f>L25+M25+N25</f>
        <v>12151</v>
      </c>
      <c r="P25" s="12"/>
      <c r="Q25" s="34">
        <f>L25*0.6985+M25*0.9514+N25*1.3304</f>
        <v>11665.1011</v>
      </c>
      <c r="R25" s="12"/>
      <c r="S25" s="28"/>
      <c r="T25" s="14"/>
      <c r="U25" s="28"/>
      <c r="V25" s="146">
        <f>'Suvi Gaz'!O19</f>
        <v>639.98419999999999</v>
      </c>
      <c r="W25" s="11"/>
      <c r="X25" s="34">
        <f t="shared" si="1"/>
        <v>8729.3844879999997</v>
      </c>
    </row>
    <row r="26" spans="1:24" ht="32.25" customHeight="1" x14ac:dyDescent="0.2">
      <c r="A26" s="2"/>
      <c r="B26" s="6">
        <v>44668</v>
      </c>
      <c r="C26" s="7"/>
      <c r="D26" s="143">
        <v>80</v>
      </c>
      <c r="E26" s="143">
        <v>138</v>
      </c>
      <c r="F26" s="13">
        <f>'Suivi EAU-ELEC'!E25</f>
        <v>126</v>
      </c>
      <c r="G26" s="14"/>
      <c r="H26" s="168">
        <f t="shared" si="4"/>
        <v>1107.54</v>
      </c>
      <c r="I26" s="169"/>
      <c r="J26" s="169"/>
      <c r="K26" s="60">
        <v>42294</v>
      </c>
      <c r="L26" s="90">
        <f>'Suivi EAU-ELEC'!G25</f>
        <v>3222</v>
      </c>
      <c r="M26" s="91">
        <f>'Suivi EAU-ELEC'!I25</f>
        <v>5842</v>
      </c>
      <c r="N26" s="91">
        <f>'Suivi EAU-ELEC'!K25</f>
        <v>2413</v>
      </c>
      <c r="O26" s="91">
        <f>L26+M26+N26</f>
        <v>11477</v>
      </c>
      <c r="P26" s="14"/>
      <c r="Q26" s="34">
        <f>L26*0.6985+M26*0.9514+N26*1.3304</f>
        <v>11018.901</v>
      </c>
      <c r="R26" s="14"/>
      <c r="S26" s="28"/>
      <c r="T26" s="14"/>
      <c r="U26" s="28"/>
      <c r="V26" s="146">
        <f>'Suvi Gaz'!O20</f>
        <v>511.98736000000002</v>
      </c>
      <c r="W26" s="11"/>
      <c r="X26" s="34">
        <f t="shared" si="1"/>
        <v>6983.5075904000005</v>
      </c>
    </row>
    <row r="27" spans="1:24" ht="32.25" customHeight="1" x14ac:dyDescent="0.2">
      <c r="A27" s="2"/>
      <c r="B27" s="6">
        <v>44669</v>
      </c>
      <c r="C27" s="7"/>
      <c r="D27" s="143">
        <v>101</v>
      </c>
      <c r="E27" s="143">
        <v>152</v>
      </c>
      <c r="F27" s="13">
        <f>'Suivi EAU-ELEC'!E26</f>
        <v>91</v>
      </c>
      <c r="G27" s="14"/>
      <c r="H27" s="168">
        <f t="shared" si="4"/>
        <v>799.88999999999987</v>
      </c>
      <c r="I27" s="169"/>
      <c r="J27" s="169"/>
      <c r="K27" s="60">
        <v>42295</v>
      </c>
      <c r="L27" s="90">
        <f>'Suivi EAU-ELEC'!G26</f>
        <v>3398</v>
      </c>
      <c r="M27" s="91">
        <f>'Suivi EAU-ELEC'!I26</f>
        <v>5729</v>
      </c>
      <c r="N27" s="91">
        <f>'Suivi EAU-ELEC'!K26</f>
        <v>2560</v>
      </c>
      <c r="O27" s="91">
        <f t="shared" si="2"/>
        <v>11687</v>
      </c>
      <c r="P27" s="14"/>
      <c r="Q27" s="34">
        <f t="shared" si="3"/>
        <v>11229.8976</v>
      </c>
      <c r="R27" s="14"/>
      <c r="S27" s="28"/>
      <c r="T27" s="14"/>
      <c r="U27" s="28"/>
      <c r="V27" s="146">
        <f>'Suvi Gaz'!O21</f>
        <v>607.98499000000004</v>
      </c>
      <c r="W27" s="11"/>
      <c r="X27" s="34">
        <f t="shared" si="1"/>
        <v>8292.9152636000017</v>
      </c>
    </row>
    <row r="28" spans="1:24" ht="32.25" customHeight="1" x14ac:dyDescent="0.2">
      <c r="A28" s="2"/>
      <c r="B28" s="6">
        <v>44670</v>
      </c>
      <c r="C28" s="7"/>
      <c r="D28" s="143">
        <v>86</v>
      </c>
      <c r="E28" s="143">
        <v>128</v>
      </c>
      <c r="F28" s="13">
        <f>'Suivi EAU-ELEC'!E27</f>
        <v>109</v>
      </c>
      <c r="G28" s="11"/>
      <c r="H28" s="168">
        <f t="shared" si="4"/>
        <v>958.1099999999999</v>
      </c>
      <c r="I28" s="169"/>
      <c r="J28" s="169"/>
      <c r="K28" s="60">
        <v>42296</v>
      </c>
      <c r="L28" s="90">
        <f>'Suivi EAU-ELEC'!G27</f>
        <v>3298</v>
      </c>
      <c r="M28" s="91">
        <f>'Suivi EAU-ELEC'!I27</f>
        <v>6064</v>
      </c>
      <c r="N28" s="91">
        <f>'Suivi EAU-ELEC'!K27</f>
        <v>2705</v>
      </c>
      <c r="O28" s="91">
        <f t="shared" si="2"/>
        <v>12067</v>
      </c>
      <c r="P28" s="11"/>
      <c r="Q28" s="34">
        <f>L28*0.6985+M28*0.9514+N28*1.3304</f>
        <v>11671.6746</v>
      </c>
      <c r="R28" s="11"/>
      <c r="S28" s="28"/>
      <c r="T28" s="11"/>
      <c r="U28" s="28"/>
      <c r="V28" s="146">
        <f>'Suvi Gaz'!O22</f>
        <v>671.98341000000005</v>
      </c>
      <c r="W28" s="11"/>
      <c r="X28" s="34">
        <f t="shared" si="1"/>
        <v>9165.8537124000013</v>
      </c>
    </row>
    <row r="29" spans="1:24" ht="32.25" customHeight="1" x14ac:dyDescent="0.2">
      <c r="A29" s="2"/>
      <c r="B29" s="6">
        <v>44671</v>
      </c>
      <c r="C29" s="7"/>
      <c r="D29" s="143">
        <v>84</v>
      </c>
      <c r="E29" s="143">
        <v>131</v>
      </c>
      <c r="F29" s="13">
        <f>'Suivi EAU-ELEC'!E28</f>
        <v>104.10000000000582</v>
      </c>
      <c r="G29" s="11"/>
      <c r="H29" s="168">
        <f t="shared" si="4"/>
        <v>915.03900000005103</v>
      </c>
      <c r="I29" s="169"/>
      <c r="J29" s="169"/>
      <c r="K29" s="60">
        <v>42297</v>
      </c>
      <c r="L29" s="90">
        <f>'Suivi EAU-ELEC'!G28</f>
        <v>2563</v>
      </c>
      <c r="M29" s="91">
        <f>'Suivi EAU-ELEC'!I28</f>
        <v>6082</v>
      </c>
      <c r="N29" s="91">
        <f>'Suivi EAU-ELEC'!K28</f>
        <v>2698</v>
      </c>
      <c r="O29" s="91">
        <f>L29+M29+N29</f>
        <v>11343</v>
      </c>
      <c r="P29" s="11"/>
      <c r="Q29" s="34">
        <f t="shared" si="3"/>
        <v>11166.089500000002</v>
      </c>
      <c r="R29" s="11"/>
      <c r="S29" s="28"/>
      <c r="T29" s="11"/>
      <c r="U29" s="28"/>
      <c r="V29" s="146">
        <f>'Suvi Gaz'!O23</f>
        <v>895.97788000000003</v>
      </c>
      <c r="W29" s="11"/>
      <c r="X29" s="34">
        <f t="shared" si="1"/>
        <v>12221.138283200002</v>
      </c>
    </row>
    <row r="30" spans="1:24" ht="32.25" customHeight="1" x14ac:dyDescent="0.2">
      <c r="A30" s="2"/>
      <c r="B30" s="6">
        <v>44672</v>
      </c>
      <c r="C30" s="7"/>
      <c r="D30" s="143">
        <v>97</v>
      </c>
      <c r="E30" s="143">
        <v>156</v>
      </c>
      <c r="F30" s="13">
        <f>'Suivi EAU-ELEC'!E29</f>
        <v>123.5</v>
      </c>
      <c r="G30" s="11"/>
      <c r="H30" s="168">
        <f t="shared" si="4"/>
        <v>1085.5649999999998</v>
      </c>
      <c r="I30" s="169"/>
      <c r="J30" s="169"/>
      <c r="K30" s="60">
        <v>42298</v>
      </c>
      <c r="L30" s="90">
        <f>'Suivi EAU-ELEC'!G29</f>
        <v>3536</v>
      </c>
      <c r="M30" s="91">
        <f>'Suivi EAU-ELEC'!I29</f>
        <v>5881</v>
      </c>
      <c r="N30" s="91">
        <f>'Suivi EAU-ELEC'!K29</f>
        <v>3060</v>
      </c>
      <c r="O30" s="91">
        <f>L30+M30+N30</f>
        <v>12477</v>
      </c>
      <c r="P30" s="11"/>
      <c r="Q30" s="34">
        <f>L30*0.6985+M30*0.9514+N30*1.3304</f>
        <v>12136.1034</v>
      </c>
      <c r="R30" s="11"/>
      <c r="S30" s="28"/>
      <c r="T30" s="11"/>
      <c r="U30" s="28"/>
      <c r="V30" s="146">
        <f>'Suvi Gaz'!O24</f>
        <v>287.99288999999999</v>
      </c>
      <c r="W30" s="11"/>
      <c r="X30" s="34">
        <f t="shared" si="1"/>
        <v>3928.2230196</v>
      </c>
    </row>
    <row r="31" spans="1:24" ht="27.75" customHeight="1" x14ac:dyDescent="0.2">
      <c r="A31" s="2"/>
      <c r="B31" s="6">
        <v>44673</v>
      </c>
      <c r="C31" s="7"/>
      <c r="D31" s="143">
        <v>86</v>
      </c>
      <c r="E31" s="143">
        <v>159</v>
      </c>
      <c r="F31" s="13">
        <f>'Suivi EAU-ELEC'!E30</f>
        <v>124.39999999999418</v>
      </c>
      <c r="G31" s="11"/>
      <c r="H31" s="168">
        <f t="shared" si="4"/>
        <v>1093.4759999999487</v>
      </c>
      <c r="I31" s="169"/>
      <c r="J31" s="169"/>
      <c r="K31" s="60">
        <v>42299</v>
      </c>
      <c r="L31" s="90">
        <f>'Suivi EAU-ELEC'!G30</f>
        <v>3952</v>
      </c>
      <c r="M31" s="91">
        <f>'Suivi EAU-ELEC'!I30</f>
        <v>5742</v>
      </c>
      <c r="N31" s="91">
        <f>'Suivi EAU-ELEC'!K30</f>
        <v>2751</v>
      </c>
      <c r="O31" s="91">
        <f>L31+M31+N31</f>
        <v>12445</v>
      </c>
      <c r="P31" s="11"/>
      <c r="Q31" s="34">
        <f>L31*0.6985+M31*0.9514+N31*1.3304</f>
        <v>11883.341199999999</v>
      </c>
      <c r="R31" s="11"/>
      <c r="S31" s="28"/>
      <c r="T31" s="11"/>
      <c r="U31" s="28"/>
      <c r="V31" s="146">
        <f>'Suvi Gaz'!O25</f>
        <v>447.98894000000001</v>
      </c>
      <c r="W31" s="11"/>
      <c r="X31" s="34">
        <f t="shared" si="1"/>
        <v>6110.5691416000009</v>
      </c>
    </row>
    <row r="32" spans="1:24" ht="37.5" customHeight="1" x14ac:dyDescent="0.2">
      <c r="A32" s="2"/>
      <c r="B32" s="6">
        <v>44674</v>
      </c>
      <c r="C32" s="7"/>
      <c r="D32" s="143">
        <v>92</v>
      </c>
      <c r="E32" s="143">
        <v>167</v>
      </c>
      <c r="F32" s="13">
        <f>'Suivi EAU-ELEC'!E31</f>
        <v>105</v>
      </c>
      <c r="G32" s="11"/>
      <c r="H32" s="168">
        <f t="shared" si="4"/>
        <v>922.94999999999993</v>
      </c>
      <c r="I32" s="169"/>
      <c r="J32" s="169"/>
      <c r="K32" s="60">
        <v>42300</v>
      </c>
      <c r="L32" s="90">
        <f>'Suivi EAU-ELEC'!G31</f>
        <v>3257</v>
      </c>
      <c r="M32" s="91">
        <f>'Suivi EAU-ELEC'!I31</f>
        <v>5685</v>
      </c>
      <c r="N32" s="91">
        <f>'Suivi EAU-ELEC'!K31</f>
        <v>2673</v>
      </c>
      <c r="O32" s="91">
        <f t="shared" si="2"/>
        <v>11615</v>
      </c>
      <c r="P32" s="11"/>
      <c r="Q32" s="34">
        <f t="shared" si="3"/>
        <v>11239.8827</v>
      </c>
      <c r="R32" s="11"/>
      <c r="S32" s="28"/>
      <c r="T32" s="11"/>
      <c r="U32" s="28"/>
      <c r="V32" s="146">
        <f>'Suvi Gaz'!O26</f>
        <v>607.98499000000004</v>
      </c>
      <c r="W32" s="11"/>
      <c r="X32" s="34">
        <f t="shared" si="1"/>
        <v>8292.9152636000017</v>
      </c>
    </row>
    <row r="33" spans="1:24" ht="37.5" customHeight="1" x14ac:dyDescent="0.2">
      <c r="A33" s="2"/>
      <c r="B33" s="6">
        <v>44675</v>
      </c>
      <c r="C33" s="7"/>
      <c r="D33" s="143">
        <v>81</v>
      </c>
      <c r="E33" s="143">
        <v>139</v>
      </c>
      <c r="F33" s="13">
        <f>'Suivi EAU-ELEC'!E32</f>
        <v>100</v>
      </c>
      <c r="G33" s="11"/>
      <c r="H33" s="168">
        <f t="shared" si="4"/>
        <v>878.99999999999989</v>
      </c>
      <c r="I33" s="169"/>
      <c r="J33" s="169"/>
      <c r="K33" s="60">
        <v>42301</v>
      </c>
      <c r="L33" s="90">
        <f>'Suivi EAU-ELEC'!G32</f>
        <v>3326</v>
      </c>
      <c r="M33" s="91">
        <f>'Suivi EAU-ELEC'!I32</f>
        <v>5857</v>
      </c>
      <c r="N33" s="91">
        <f>'Suivi EAU-ELEC'!K32</f>
        <v>2544</v>
      </c>
      <c r="O33" s="91">
        <f t="shared" si="2"/>
        <v>11727</v>
      </c>
      <c r="P33" s="11"/>
      <c r="Q33" s="34">
        <f t="shared" si="3"/>
        <v>11280.098400000001</v>
      </c>
      <c r="R33" s="11"/>
      <c r="S33" s="28"/>
      <c r="T33" s="11"/>
      <c r="U33" s="28"/>
      <c r="V33" s="146">
        <f>'Suvi Gaz'!O27</f>
        <v>447.98894000000001</v>
      </c>
      <c r="W33" s="11"/>
      <c r="X33" s="34">
        <f t="shared" si="1"/>
        <v>6110.5691416000009</v>
      </c>
    </row>
    <row r="34" spans="1:24" ht="37.5" customHeight="1" x14ac:dyDescent="0.2">
      <c r="A34" s="2"/>
      <c r="B34" s="6">
        <v>44676</v>
      </c>
      <c r="C34" s="7"/>
      <c r="D34" s="143">
        <v>84</v>
      </c>
      <c r="E34" s="143">
        <v>140</v>
      </c>
      <c r="F34" s="13">
        <f>'Suivi EAU-ELEC'!E33</f>
        <v>90</v>
      </c>
      <c r="G34" s="11"/>
      <c r="H34" s="168">
        <f t="shared" si="4"/>
        <v>791.09999999999991</v>
      </c>
      <c r="I34" s="169"/>
      <c r="J34" s="169"/>
      <c r="K34" s="60">
        <v>42302</v>
      </c>
      <c r="L34" s="90">
        <f>'Suivi EAU-ELEC'!G33</f>
        <v>3187</v>
      </c>
      <c r="M34" s="91">
        <f>'Suivi EAU-ELEC'!I33</f>
        <v>8689</v>
      </c>
      <c r="N34" s="91">
        <f>'Suivi EAU-ELEC'!K33</f>
        <v>3260</v>
      </c>
      <c r="O34" s="91">
        <f t="shared" si="2"/>
        <v>15136</v>
      </c>
      <c r="P34" s="11"/>
      <c r="Q34" s="34">
        <f t="shared" si="3"/>
        <v>14829.938099999999</v>
      </c>
      <c r="R34" s="11"/>
      <c r="S34" s="28"/>
      <c r="T34" s="11"/>
      <c r="U34" s="28"/>
      <c r="V34" s="146">
        <f>'Suvi Gaz'!O28</f>
        <v>383.99052</v>
      </c>
      <c r="W34" s="11"/>
      <c r="X34" s="34">
        <f t="shared" si="1"/>
        <v>5237.6306928000004</v>
      </c>
    </row>
    <row r="35" spans="1:24" ht="33.75" customHeight="1" x14ac:dyDescent="0.2">
      <c r="A35" s="2"/>
      <c r="B35" s="6">
        <v>44677</v>
      </c>
      <c r="C35" s="7"/>
      <c r="D35" s="143">
        <v>75</v>
      </c>
      <c r="E35" s="143">
        <v>130</v>
      </c>
      <c r="F35" s="13">
        <f>'Suivi EAU-ELEC'!E34</f>
        <v>124</v>
      </c>
      <c r="G35" s="11"/>
      <c r="H35" s="168">
        <f t="shared" si="4"/>
        <v>1089.9599999999998</v>
      </c>
      <c r="I35" s="169"/>
      <c r="J35" s="169"/>
      <c r="K35" s="60">
        <v>42303</v>
      </c>
      <c r="L35" s="90">
        <f>'Suivi EAU-ELEC'!G34</f>
        <v>3256</v>
      </c>
      <c r="M35" s="91">
        <f>'Suivi EAU-ELEC'!I34</f>
        <v>2767</v>
      </c>
      <c r="N35" s="91">
        <f>'Suivi EAU-ELEC'!K34</f>
        <v>1770</v>
      </c>
      <c r="O35" s="91">
        <f t="shared" si="2"/>
        <v>7793</v>
      </c>
      <c r="P35" s="11"/>
      <c r="Q35" s="34">
        <f t="shared" si="3"/>
        <v>7261.6477999999997</v>
      </c>
      <c r="R35" s="11"/>
      <c r="S35" s="28"/>
      <c r="T35" s="11"/>
      <c r="U35" s="28"/>
      <c r="V35" s="146">
        <f>'Suvi Gaz'!O29</f>
        <v>479.98815000000002</v>
      </c>
      <c r="W35" s="11"/>
      <c r="X35" s="34">
        <f t="shared" si="1"/>
        <v>6547.0383660000007</v>
      </c>
    </row>
    <row r="36" spans="1:24" ht="33.75" customHeight="1" x14ac:dyDescent="0.2">
      <c r="A36" s="2"/>
      <c r="B36" s="6">
        <v>44678</v>
      </c>
      <c r="C36" s="7"/>
      <c r="D36" s="143">
        <v>61</v>
      </c>
      <c r="E36" s="143">
        <v>108</v>
      </c>
      <c r="F36" s="13">
        <f>'Suivi EAU-ELEC'!E35</f>
        <v>84</v>
      </c>
      <c r="G36" s="11"/>
      <c r="H36" s="168">
        <f t="shared" ref="H36:H37" si="5">F36*8.79</f>
        <v>738.3599999999999</v>
      </c>
      <c r="I36" s="169"/>
      <c r="J36" s="169"/>
      <c r="K36" s="60"/>
      <c r="L36" s="90">
        <f>'Suivi EAU-ELEC'!G35</f>
        <v>3215</v>
      </c>
      <c r="M36" s="91">
        <f>'Suivi EAU-ELEC'!I35</f>
        <v>5813</v>
      </c>
      <c r="N36" s="91">
        <f>'Suivi EAU-ELEC'!K35</f>
        <v>2652</v>
      </c>
      <c r="O36" s="91">
        <f t="shared" si="2"/>
        <v>11680</v>
      </c>
      <c r="P36" s="11"/>
      <c r="Q36" s="34">
        <f t="shared" si="3"/>
        <v>11304.386500000001</v>
      </c>
      <c r="R36" s="11"/>
      <c r="S36" s="28"/>
      <c r="T36" s="11"/>
      <c r="U36" s="28"/>
      <c r="V36" s="146">
        <f>'Suvi Gaz'!O30</f>
        <v>415.98973000000001</v>
      </c>
      <c r="W36" s="11"/>
      <c r="X36" s="34">
        <f t="shared" si="1"/>
        <v>5674.0999172000002</v>
      </c>
    </row>
    <row r="37" spans="1:24" ht="33.75" customHeight="1" x14ac:dyDescent="0.2">
      <c r="A37" s="2"/>
      <c r="B37" s="6">
        <v>44679</v>
      </c>
      <c r="C37" s="7"/>
      <c r="D37" s="143">
        <v>74</v>
      </c>
      <c r="E37" s="143">
        <v>120</v>
      </c>
      <c r="F37" s="13">
        <f>'Suivi EAU-ELEC'!E36</f>
        <v>109</v>
      </c>
      <c r="G37" s="11"/>
      <c r="H37" s="168">
        <f t="shared" si="5"/>
        <v>958.1099999999999</v>
      </c>
      <c r="I37" s="169"/>
      <c r="J37" s="169"/>
      <c r="K37" s="60"/>
      <c r="L37" s="90">
        <f>'Suivi EAU-ELEC'!G36</f>
        <v>3183</v>
      </c>
      <c r="M37" s="91">
        <f>'Suivi EAU-ELEC'!I36</f>
        <v>5776</v>
      </c>
      <c r="N37" s="91">
        <f>'Suivi EAU-ELEC'!K36</f>
        <v>2585</v>
      </c>
      <c r="O37" s="91">
        <f>L37+M37+N37</f>
        <v>11544</v>
      </c>
      <c r="P37" s="11"/>
      <c r="Q37" s="34">
        <f>L37*0.6985+M37*0.9514+N37*1.3304</f>
        <v>11157.695900000001</v>
      </c>
      <c r="R37" s="11"/>
      <c r="S37" s="28"/>
      <c r="T37" s="11"/>
      <c r="U37" s="28"/>
      <c r="V37" s="146">
        <f>'Suvi Gaz'!O31</f>
        <v>479.98815000000002</v>
      </c>
      <c r="W37" s="11"/>
      <c r="X37" s="34">
        <f t="shared" si="1"/>
        <v>6547.0383660000007</v>
      </c>
    </row>
    <row r="38" spans="1:24" ht="33.75" customHeight="1" x14ac:dyDescent="0.2">
      <c r="A38" s="2"/>
      <c r="B38" s="6">
        <v>44680</v>
      </c>
      <c r="C38" s="7"/>
      <c r="D38" s="143">
        <v>83</v>
      </c>
      <c r="E38" s="143">
        <v>145</v>
      </c>
      <c r="F38" s="13">
        <f>'Suivi EAU-ELEC'!E37</f>
        <v>114</v>
      </c>
      <c r="G38" s="11"/>
      <c r="H38" s="168">
        <f>F38*8.79</f>
        <v>1002.06</v>
      </c>
      <c r="I38" s="169"/>
      <c r="J38" s="169"/>
      <c r="K38" s="60">
        <v>42304</v>
      </c>
      <c r="L38" s="90">
        <f>'Suivi EAU-ELEC'!G37</f>
        <v>2685</v>
      </c>
      <c r="M38" s="91">
        <f>'Suivi EAU-ELEC'!I37</f>
        <v>5865</v>
      </c>
      <c r="N38" s="91">
        <f>'Suivi EAU-ELEC'!K37</f>
        <v>2490</v>
      </c>
      <c r="O38" s="91">
        <f>L38+M38+N38</f>
        <v>11040</v>
      </c>
      <c r="P38" s="11"/>
      <c r="Q38" s="34">
        <f>L38*0.6985+M38*0.9514+N38*1.3304</f>
        <v>10768.129499999999</v>
      </c>
      <c r="R38" s="11"/>
      <c r="S38" s="28"/>
      <c r="T38" s="11"/>
      <c r="U38" s="28"/>
      <c r="V38" s="146">
        <f>'Suvi Gaz'!O32</f>
        <v>671.98341000000005</v>
      </c>
      <c r="W38" s="11"/>
      <c r="X38" s="34">
        <f t="shared" si="1"/>
        <v>9165.8537124000013</v>
      </c>
    </row>
    <row r="39" spans="1:24" ht="33.75" customHeight="1" x14ac:dyDescent="0.2">
      <c r="A39" s="2"/>
      <c r="B39" s="6">
        <v>44681</v>
      </c>
      <c r="C39" s="7"/>
      <c r="D39" s="143">
        <v>94</v>
      </c>
      <c r="E39" s="143">
        <v>179</v>
      </c>
      <c r="F39" s="13">
        <f>'Suivi EAU-ELEC'!E38</f>
        <v>94</v>
      </c>
      <c r="G39" s="11"/>
      <c r="H39" s="168">
        <f>F39*8.79</f>
        <v>826.25999999999988</v>
      </c>
      <c r="I39" s="169"/>
      <c r="J39" s="169"/>
      <c r="K39" s="60"/>
      <c r="L39" s="90">
        <f>'Suivi EAU-ELEC'!G38</f>
        <v>3900</v>
      </c>
      <c r="M39" s="91">
        <f>'Suivi EAU-ELEC'!I38</f>
        <v>5770</v>
      </c>
      <c r="N39" s="91">
        <f>'Suivi EAU-ELEC'!K38</f>
        <v>2815</v>
      </c>
      <c r="O39" s="91">
        <f t="shared" si="2"/>
        <v>12485</v>
      </c>
      <c r="P39" s="11"/>
      <c r="Q39" s="34">
        <f t="shared" si="3"/>
        <v>11958.804</v>
      </c>
      <c r="R39" s="11"/>
      <c r="S39" s="28"/>
      <c r="T39" s="11"/>
      <c r="U39" s="28"/>
      <c r="V39" s="146">
        <f>'Suvi Gaz'!O33</f>
        <v>159.99605</v>
      </c>
      <c r="W39" s="11"/>
      <c r="X39" s="34">
        <f t="shared" si="1"/>
        <v>2182.3461219999999</v>
      </c>
    </row>
    <row r="40" spans="1:24" ht="42.75" customHeight="1" x14ac:dyDescent="0.2">
      <c r="A40" s="2"/>
      <c r="B40" s="10"/>
      <c r="C40" s="10"/>
      <c r="D40" s="8">
        <f>SUM(D10:D39)</f>
        <v>2518</v>
      </c>
      <c r="E40" s="8">
        <f>SUM(E10:E39)</f>
        <v>4277</v>
      </c>
      <c r="F40" s="152">
        <f>SUM(F10:F39)</f>
        <v>3399.8999999999942</v>
      </c>
      <c r="G40" s="1"/>
      <c r="H40" s="249">
        <f>SUM(H10:H39)</f>
        <v>29885.120999999945</v>
      </c>
      <c r="I40" s="250"/>
      <c r="J40" s="251"/>
      <c r="K40" s="1"/>
      <c r="L40" s="53">
        <f>SUM(L10:L39)</f>
        <v>95749</v>
      </c>
      <c r="M40" s="53">
        <f>SUM(M10:M39)</f>
        <v>168605</v>
      </c>
      <c r="N40" s="54">
        <f>SUM(N10:N39)</f>
        <v>76436</v>
      </c>
      <c r="O40" s="55">
        <f>SUM(O10:O39)</f>
        <v>340790</v>
      </c>
      <c r="P40" s="31"/>
      <c r="Q40" s="32">
        <f>SUM(Q10:Q39)</f>
        <v>329056.43029999995</v>
      </c>
      <c r="R40" s="31"/>
      <c r="S40" s="30">
        <f>SUM(S10:S39)</f>
        <v>0</v>
      </c>
      <c r="T40" s="31"/>
      <c r="U40" s="30">
        <f>SUM(U10:U39)</f>
        <v>0</v>
      </c>
      <c r="V40" s="32">
        <f>SUM(V10:V39)</f>
        <v>15199.98769</v>
      </c>
      <c r="W40" s="31"/>
      <c r="X40" s="32">
        <f>SUM(X10:X39)</f>
        <v>207327.83209159996</v>
      </c>
    </row>
    <row r="41" spans="1:24" s="5" customFormat="1" ht="12.75" customHeight="1" x14ac:dyDescent="0.2">
      <c r="A41" s="2"/>
      <c r="B41" s="2"/>
      <c r="C41" s="2"/>
      <c r="D41" s="2"/>
      <c r="E41" s="2"/>
      <c r="F41" s="2"/>
      <c r="G41" s="2"/>
      <c r="H41" s="15"/>
      <c r="I41" s="2"/>
      <c r="J41" s="15"/>
      <c r="K41" s="2"/>
      <c r="O41" s="1"/>
      <c r="P41" s="1"/>
      <c r="Q41" s="2"/>
      <c r="R41" s="1"/>
      <c r="S41" s="2"/>
      <c r="T41" s="1"/>
      <c r="U41" s="2"/>
      <c r="V41" s="2"/>
      <c r="W41" s="1"/>
      <c r="X41" s="2"/>
    </row>
    <row r="42" spans="1:24" s="5" customFormat="1" ht="32.25" customHeight="1" thickBot="1" x14ac:dyDescent="0.25">
      <c r="A42" s="204" t="s">
        <v>33</v>
      </c>
      <c r="B42" s="205"/>
      <c r="C42" s="205"/>
      <c r="D42" s="205"/>
      <c r="E42" s="205"/>
      <c r="F42" s="206"/>
      <c r="G42" s="26"/>
      <c r="H42" s="27" t="s">
        <v>34</v>
      </c>
      <c r="I42" s="243" t="s">
        <v>35</v>
      </c>
      <c r="J42" s="244"/>
      <c r="K42" s="245"/>
      <c r="L42" s="218" t="s">
        <v>36</v>
      </c>
      <c r="M42" s="219"/>
      <c r="N42" s="204" t="s">
        <v>37</v>
      </c>
      <c r="O42" s="205"/>
      <c r="P42" s="205"/>
      <c r="Q42" s="205"/>
      <c r="R42" s="205"/>
      <c r="S42" s="205"/>
      <c r="T42" s="205"/>
      <c r="U42" s="205"/>
      <c r="V42" s="205"/>
      <c r="W42" s="205"/>
      <c r="X42" s="206"/>
    </row>
    <row r="43" spans="1:24" s="18" customFormat="1" ht="29.25" customHeight="1" thickBot="1" x14ac:dyDescent="0.25">
      <c r="A43" s="212" t="s">
        <v>38</v>
      </c>
      <c r="B43" s="213"/>
      <c r="C43" s="214"/>
      <c r="D43" s="157" t="s">
        <v>30</v>
      </c>
      <c r="E43" s="157" t="s">
        <v>30</v>
      </c>
      <c r="F43" s="157" t="s">
        <v>30</v>
      </c>
      <c r="G43" s="16"/>
      <c r="H43" s="17">
        <v>0.69850000000000001</v>
      </c>
      <c r="I43" s="209">
        <f>L40</f>
        <v>95749</v>
      </c>
      <c r="J43" s="210"/>
      <c r="K43" s="211"/>
      <c r="L43" s="170">
        <f>I43*H43</f>
        <v>66880.676500000001</v>
      </c>
      <c r="M43" s="171"/>
      <c r="N43" s="227">
        <f>L43+L44+L45</f>
        <v>328981.92790000001</v>
      </c>
      <c r="O43" s="228"/>
      <c r="P43" s="228"/>
      <c r="Q43" s="228"/>
      <c r="R43" s="228"/>
      <c r="S43" s="228"/>
      <c r="T43" s="228"/>
      <c r="U43" s="228"/>
      <c r="V43" s="228"/>
      <c r="W43" s="228"/>
      <c r="X43" s="229"/>
    </row>
    <row r="44" spans="1:24" s="18" customFormat="1" ht="29.25" customHeight="1" thickBot="1" x14ac:dyDescent="0.25">
      <c r="A44" s="215"/>
      <c r="B44" s="216"/>
      <c r="C44" s="217"/>
      <c r="D44" s="156" t="s">
        <v>31</v>
      </c>
      <c r="E44" s="156" t="s">
        <v>31</v>
      </c>
      <c r="F44" s="156" t="s">
        <v>31</v>
      </c>
      <c r="G44" s="16"/>
      <c r="H44" s="19">
        <v>0.95140000000000002</v>
      </c>
      <c r="I44" s="209">
        <f>M40</f>
        <v>168605</v>
      </c>
      <c r="J44" s="210"/>
      <c r="K44" s="211"/>
      <c r="L44" s="170">
        <f>I44*H44</f>
        <v>160410.79699999999</v>
      </c>
      <c r="M44" s="171"/>
      <c r="N44" s="230"/>
      <c r="O44" s="231"/>
      <c r="P44" s="231"/>
      <c r="Q44" s="231"/>
      <c r="R44" s="231"/>
      <c r="S44" s="231"/>
      <c r="T44" s="231"/>
      <c r="U44" s="231"/>
      <c r="V44" s="231"/>
      <c r="W44" s="231"/>
      <c r="X44" s="232"/>
    </row>
    <row r="45" spans="1:24" s="18" customFormat="1" ht="24.75" customHeight="1" thickBot="1" x14ac:dyDescent="0.25">
      <c r="A45" s="215"/>
      <c r="B45" s="216"/>
      <c r="C45" s="217"/>
      <c r="D45" s="162" t="s">
        <v>32</v>
      </c>
      <c r="E45" s="162" t="s">
        <v>32</v>
      </c>
      <c r="F45" s="162" t="s">
        <v>32</v>
      </c>
      <c r="G45" s="20"/>
      <c r="H45" s="20">
        <v>1.3304</v>
      </c>
      <c r="I45" s="240">
        <f>N40</f>
        <v>76436</v>
      </c>
      <c r="J45" s="241"/>
      <c r="K45" s="242"/>
      <c r="L45" s="170">
        <f>I45*H45</f>
        <v>101690.4544</v>
      </c>
      <c r="M45" s="171"/>
      <c r="N45" s="233"/>
      <c r="O45" s="234"/>
      <c r="P45" s="234"/>
      <c r="Q45" s="234"/>
      <c r="R45" s="234"/>
      <c r="S45" s="234"/>
      <c r="T45" s="234"/>
      <c r="U45" s="234"/>
      <c r="V45" s="234"/>
      <c r="W45" s="234"/>
      <c r="X45" s="235"/>
    </row>
    <row r="46" spans="1:24" s="18" customFormat="1" ht="43.5" customHeight="1" thickBot="1" x14ac:dyDescent="0.25">
      <c r="A46" s="158"/>
      <c r="B46" s="159"/>
      <c r="C46" s="159"/>
      <c r="D46" s="162"/>
      <c r="E46" s="162"/>
      <c r="F46" s="162"/>
      <c r="G46" s="16"/>
      <c r="H46" s="16"/>
      <c r="I46" s="160"/>
      <c r="J46" s="161"/>
      <c r="K46" s="162"/>
      <c r="L46" s="153"/>
      <c r="M46" s="154"/>
      <c r="N46" s="246">
        <f>N43*1.3</f>
        <v>427676.50627000001</v>
      </c>
      <c r="O46" s="247"/>
      <c r="P46" s="247"/>
      <c r="Q46" s="247"/>
      <c r="R46" s="247"/>
      <c r="S46" s="247"/>
      <c r="T46" s="247"/>
      <c r="U46" s="247"/>
      <c r="V46" s="247"/>
      <c r="W46" s="247"/>
      <c r="X46" s="248"/>
    </row>
    <row r="47" spans="1:24" s="23" customFormat="1" ht="32.25" customHeight="1" thickBot="1" x14ac:dyDescent="0.25">
      <c r="A47" s="201" t="s">
        <v>39</v>
      </c>
      <c r="B47" s="202"/>
      <c r="C47" s="202"/>
      <c r="D47" s="202"/>
      <c r="E47" s="202"/>
      <c r="F47" s="203"/>
      <c r="G47" s="21"/>
      <c r="H47" s="22">
        <v>8.7899999999999991</v>
      </c>
      <c r="I47" s="201">
        <f>F40</f>
        <v>3399.8999999999942</v>
      </c>
      <c r="J47" s="202"/>
      <c r="K47" s="203"/>
      <c r="L47" s="207">
        <f>I47*H47</f>
        <v>29885.120999999945</v>
      </c>
      <c r="M47" s="208"/>
      <c r="N47" s="224">
        <f>L47</f>
        <v>29885.120999999945</v>
      </c>
      <c r="O47" s="225"/>
      <c r="P47" s="225"/>
      <c r="Q47" s="225"/>
      <c r="R47" s="225"/>
      <c r="S47" s="225"/>
      <c r="T47" s="225"/>
      <c r="U47" s="225"/>
      <c r="V47" s="225"/>
      <c r="W47" s="225"/>
      <c r="X47" s="226"/>
    </row>
    <row r="48" spans="1:24" s="23" customFormat="1" ht="36.75" customHeight="1" x14ac:dyDescent="0.2">
      <c r="A48" s="236" t="s">
        <v>40</v>
      </c>
      <c r="B48" s="237"/>
      <c r="C48" s="237"/>
      <c r="D48" s="237"/>
      <c r="E48" s="237"/>
      <c r="F48" s="238"/>
      <c r="G48" s="24"/>
      <c r="H48" s="25">
        <v>13.64</v>
      </c>
      <c r="I48" s="199">
        <f>V40</f>
        <v>15199.98769</v>
      </c>
      <c r="J48" s="239"/>
      <c r="K48" s="200"/>
      <c r="L48" s="199">
        <f>I48*H48</f>
        <v>207327.83209159999</v>
      </c>
      <c r="M48" s="200"/>
      <c r="N48" s="221">
        <f>L48</f>
        <v>207327.83209159999</v>
      </c>
      <c r="O48" s="222"/>
      <c r="P48" s="222"/>
      <c r="Q48" s="222"/>
      <c r="R48" s="222"/>
      <c r="S48" s="222"/>
      <c r="T48" s="222"/>
      <c r="U48" s="222"/>
      <c r="V48" s="222"/>
      <c r="W48" s="222"/>
      <c r="X48" s="223"/>
    </row>
    <row r="49" spans="1:24" ht="27" customHeight="1" x14ac:dyDescent="0.2">
      <c r="A49" s="2"/>
      <c r="B49" s="2"/>
      <c r="C49" s="2"/>
      <c r="D49" s="2"/>
      <c r="E49" s="2"/>
      <c r="F49" s="2"/>
      <c r="G49" s="33"/>
      <c r="H49" s="33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33"/>
      <c r="U49" s="33"/>
      <c r="V49" s="33"/>
      <c r="W49" s="33"/>
      <c r="X49" s="33"/>
    </row>
    <row r="50" spans="1:24" ht="18.75" customHeight="1" x14ac:dyDescent="0.2"/>
    <row r="54" spans="1:24" ht="39" customHeight="1" x14ac:dyDescent="0.2">
      <c r="B54" s="220"/>
      <c r="C54" s="220"/>
      <c r="D54" s="220"/>
      <c r="E54" s="220"/>
      <c r="F54" s="220"/>
      <c r="G54" s="220"/>
      <c r="H54" s="220"/>
      <c r="I54" s="220"/>
      <c r="J54" s="220"/>
      <c r="K54" s="220"/>
      <c r="L54" s="220"/>
      <c r="M54" s="220"/>
      <c r="N54" s="220"/>
      <c r="O54" s="220"/>
      <c r="P54" s="220"/>
      <c r="Q54" s="220"/>
      <c r="R54" s="220"/>
      <c r="S54" s="220"/>
      <c r="T54" s="220"/>
      <c r="U54" s="220"/>
      <c r="V54" s="220"/>
      <c r="W54" s="220"/>
      <c r="X54" s="220"/>
    </row>
  </sheetData>
  <mergeCells count="72">
    <mergeCell ref="H28:J28"/>
    <mergeCell ref="H32:J32"/>
    <mergeCell ref="H29:J29"/>
    <mergeCell ref="B54:X54"/>
    <mergeCell ref="N48:X48"/>
    <mergeCell ref="N47:X47"/>
    <mergeCell ref="N43:X45"/>
    <mergeCell ref="N42:X42"/>
    <mergeCell ref="A48:F48"/>
    <mergeCell ref="I48:K48"/>
    <mergeCell ref="I45:K45"/>
    <mergeCell ref="I42:K42"/>
    <mergeCell ref="N46:X46"/>
    <mergeCell ref="L45:M45"/>
    <mergeCell ref="H40:J40"/>
    <mergeCell ref="H30:J30"/>
    <mergeCell ref="D8:D9"/>
    <mergeCell ref="X8:X9"/>
    <mergeCell ref="V8:V9"/>
    <mergeCell ref="H26:J26"/>
    <mergeCell ref="L48:M48"/>
    <mergeCell ref="A47:F47"/>
    <mergeCell ref="A42:F42"/>
    <mergeCell ref="I47:K47"/>
    <mergeCell ref="L47:M47"/>
    <mergeCell ref="L44:M44"/>
    <mergeCell ref="H34:J34"/>
    <mergeCell ref="I43:K43"/>
    <mergeCell ref="A43:C45"/>
    <mergeCell ref="L42:M42"/>
    <mergeCell ref="H27:J27"/>
    <mergeCell ref="I44:K44"/>
    <mergeCell ref="S8:S9"/>
    <mergeCell ref="L8:N8"/>
    <mergeCell ref="F8:F9"/>
    <mergeCell ref="H15:J15"/>
    <mergeCell ref="A2:H2"/>
    <mergeCell ref="A4:C5"/>
    <mergeCell ref="F7:L7"/>
    <mergeCell ref="H8:J9"/>
    <mergeCell ref="I2:X2"/>
    <mergeCell ref="M5:X7"/>
    <mergeCell ref="U8:U9"/>
    <mergeCell ref="Q8:Q9"/>
    <mergeCell ref="O8:O9"/>
    <mergeCell ref="A8:A9"/>
    <mergeCell ref="B8:B9"/>
    <mergeCell ref="E8:E9"/>
    <mergeCell ref="H11:J11"/>
    <mergeCell ref="K8:K9"/>
    <mergeCell ref="H22:J22"/>
    <mergeCell ref="H10:J10"/>
    <mergeCell ref="H12:J12"/>
    <mergeCell ref="H14:J14"/>
    <mergeCell ref="H18:J18"/>
    <mergeCell ref="H17:J17"/>
    <mergeCell ref="H16:J16"/>
    <mergeCell ref="H13:J13"/>
    <mergeCell ref="H25:J25"/>
    <mergeCell ref="H20:J20"/>
    <mergeCell ref="H24:J24"/>
    <mergeCell ref="H21:J21"/>
    <mergeCell ref="H19:J19"/>
    <mergeCell ref="H23:J23"/>
    <mergeCell ref="H38:J38"/>
    <mergeCell ref="L43:M43"/>
    <mergeCell ref="H33:J33"/>
    <mergeCell ref="H31:J31"/>
    <mergeCell ref="H35:J35"/>
    <mergeCell ref="H36:J36"/>
    <mergeCell ref="H37:J37"/>
    <mergeCell ref="H39:J39"/>
  </mergeCells>
  <phoneticPr fontId="13" type="noConversion"/>
  <pageMargins left="0.86614173228346458" right="0.19685039370078741" top="1.3779527559055118" bottom="0.23622047244094491" header="0.51181102362204722" footer="0.19685039370078741"/>
  <pageSetup scale="28" orientation="portrait" r:id="rId1"/>
  <headerFooter alignWithMargins="0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C42"/>
  <sheetViews>
    <sheetView showGridLines="0" zoomScale="70" zoomScaleNormal="70" workbookViewId="0">
      <pane xSplit="1" ySplit="8" topLeftCell="B36" activePane="bottomRight" state="frozen"/>
      <selection pane="topRight" activeCell="B1" sqref="B1"/>
      <selection pane="bottomLeft" activeCell="A9" sqref="A9"/>
      <selection pane="bottomRight" activeCell="K37" sqref="K37:K38"/>
    </sheetView>
  </sheetViews>
  <sheetFormatPr baseColWidth="10" defaultColWidth="11.42578125" defaultRowHeight="18" x14ac:dyDescent="0.25"/>
  <cols>
    <col min="1" max="1" width="18.5703125" style="47" customWidth="1"/>
    <col min="2" max="3" width="19.140625" style="47" customWidth="1"/>
    <col min="4" max="4" width="16.7109375" customWidth="1"/>
    <col min="5" max="5" width="19.5703125" style="144" customWidth="1"/>
    <col min="6" max="11" width="16.7109375" customWidth="1"/>
    <col min="12" max="12" width="24.28515625" customWidth="1"/>
  </cols>
  <sheetData>
    <row r="1" spans="1:12" ht="12.75" customHeight="1" x14ac:dyDescent="0.2">
      <c r="A1" s="271"/>
      <c r="B1" s="272"/>
      <c r="C1" s="272"/>
      <c r="D1" s="273"/>
      <c r="E1" s="254" t="s">
        <v>41</v>
      </c>
      <c r="F1" s="255"/>
      <c r="G1" s="255"/>
      <c r="H1" s="255"/>
      <c r="I1" s="256"/>
      <c r="J1" s="263" t="s">
        <v>42</v>
      </c>
      <c r="K1" s="264"/>
      <c r="L1" s="49"/>
    </row>
    <row r="2" spans="1:12" ht="16.5" customHeight="1" x14ac:dyDescent="0.2">
      <c r="A2" s="274"/>
      <c r="B2" s="275"/>
      <c r="C2" s="275"/>
      <c r="D2" s="276"/>
      <c r="E2" s="257"/>
      <c r="F2" s="258"/>
      <c r="G2" s="258"/>
      <c r="H2" s="258"/>
      <c r="I2" s="259"/>
      <c r="J2" s="265"/>
      <c r="K2" s="266"/>
      <c r="L2" s="49"/>
    </row>
    <row r="3" spans="1:12" ht="48" customHeight="1" x14ac:dyDescent="0.2">
      <c r="A3" s="277"/>
      <c r="B3" s="278"/>
      <c r="C3" s="278"/>
      <c r="D3" s="279"/>
      <c r="E3" s="260"/>
      <c r="F3" s="261"/>
      <c r="G3" s="261"/>
      <c r="H3" s="261"/>
      <c r="I3" s="262"/>
      <c r="J3" s="267"/>
      <c r="K3" s="268"/>
      <c r="L3" s="49"/>
    </row>
    <row r="6" spans="1:12" ht="10.5" customHeight="1" x14ac:dyDescent="0.25"/>
    <row r="7" spans="1:12" ht="16.5" customHeight="1" x14ac:dyDescent="0.2">
      <c r="A7" s="252" t="s">
        <v>43</v>
      </c>
      <c r="B7" s="280" t="s">
        <v>44</v>
      </c>
      <c r="C7" s="281"/>
      <c r="D7" s="269" t="s">
        <v>45</v>
      </c>
      <c r="E7" s="269"/>
      <c r="F7" s="270" t="s">
        <v>46</v>
      </c>
      <c r="G7" s="270"/>
      <c r="H7" s="270"/>
      <c r="I7" s="270"/>
      <c r="J7" s="270"/>
      <c r="K7" s="270"/>
    </row>
    <row r="8" spans="1:12" s="29" customFormat="1" ht="28.5" customHeight="1" x14ac:dyDescent="0.2">
      <c r="A8" s="253"/>
      <c r="B8" s="114" t="s">
        <v>47</v>
      </c>
      <c r="C8" s="114" t="s">
        <v>48</v>
      </c>
      <c r="D8" s="56" t="s">
        <v>47</v>
      </c>
      <c r="E8" s="56" t="s">
        <v>49</v>
      </c>
      <c r="F8" s="58" t="s">
        <v>50</v>
      </c>
      <c r="G8" s="58" t="s">
        <v>51</v>
      </c>
      <c r="H8" s="58" t="s">
        <v>52</v>
      </c>
      <c r="I8" s="58" t="s">
        <v>53</v>
      </c>
      <c r="J8" s="58" t="s">
        <v>54</v>
      </c>
      <c r="K8" s="58" t="s">
        <v>55</v>
      </c>
    </row>
    <row r="9" spans="1:12" ht="19.5" x14ac:dyDescent="0.3">
      <c r="A9" s="59">
        <v>44652</v>
      </c>
      <c r="B9" s="116">
        <v>2560</v>
      </c>
      <c r="C9" s="115">
        <v>0</v>
      </c>
      <c r="D9" s="57">
        <v>140352</v>
      </c>
      <c r="E9" s="50">
        <v>118.89999999999418</v>
      </c>
      <c r="F9" s="51">
        <v>11621823</v>
      </c>
      <c r="G9" s="50">
        <v>3872</v>
      </c>
      <c r="H9" s="51">
        <v>19679373</v>
      </c>
      <c r="I9" s="50">
        <v>5571</v>
      </c>
      <c r="J9" s="51">
        <v>8651499</v>
      </c>
      <c r="K9" s="50">
        <v>2678</v>
      </c>
    </row>
    <row r="10" spans="1:12" ht="19.5" x14ac:dyDescent="0.3">
      <c r="A10" s="59">
        <v>44653</v>
      </c>
      <c r="B10" s="116">
        <v>2560</v>
      </c>
      <c r="C10" s="115">
        <f>B10-B9</f>
        <v>0</v>
      </c>
      <c r="D10" s="57">
        <v>140495</v>
      </c>
      <c r="E10" s="50">
        <f t="shared" ref="E10:E29" si="0">D10-D9</f>
        <v>143</v>
      </c>
      <c r="F10" s="51">
        <v>11624748</v>
      </c>
      <c r="G10" s="50">
        <f t="shared" ref="G10:G19" si="1">F10-F9</f>
        <v>2925</v>
      </c>
      <c r="H10" s="51">
        <v>19685208</v>
      </c>
      <c r="I10" s="50">
        <f t="shared" ref="I10:I33" si="2">H10-H9</f>
        <v>5835</v>
      </c>
      <c r="J10" s="51">
        <v>8653782</v>
      </c>
      <c r="K10" s="50">
        <f t="shared" ref="K10:K33" si="3">J10-J9</f>
        <v>2283</v>
      </c>
    </row>
    <row r="11" spans="1:12" ht="19.5" x14ac:dyDescent="0.3">
      <c r="A11" s="59">
        <v>44654</v>
      </c>
      <c r="B11" s="116">
        <v>2560</v>
      </c>
      <c r="C11" s="115">
        <f>B11-B10</f>
        <v>0</v>
      </c>
      <c r="D11" s="57">
        <v>140632</v>
      </c>
      <c r="E11" s="50">
        <f t="shared" si="0"/>
        <v>137</v>
      </c>
      <c r="F11" s="51">
        <v>11627596</v>
      </c>
      <c r="G11" s="50">
        <f t="shared" si="1"/>
        <v>2848</v>
      </c>
      <c r="H11" s="51">
        <v>19690610</v>
      </c>
      <c r="I11" s="50">
        <f t="shared" si="2"/>
        <v>5402</v>
      </c>
      <c r="J11" s="51">
        <v>8656115</v>
      </c>
      <c r="K11" s="50">
        <f t="shared" si="3"/>
        <v>2333</v>
      </c>
    </row>
    <row r="12" spans="1:12" ht="19.5" x14ac:dyDescent="0.3">
      <c r="A12" s="59">
        <v>44655</v>
      </c>
      <c r="B12" s="116">
        <v>2560</v>
      </c>
      <c r="C12" s="115">
        <f t="shared" ref="C12:C32" si="4">B12-B11</f>
        <v>0</v>
      </c>
      <c r="D12" s="57">
        <v>140766</v>
      </c>
      <c r="E12" s="50">
        <f t="shared" si="0"/>
        <v>134</v>
      </c>
      <c r="F12" s="51">
        <v>11630589</v>
      </c>
      <c r="G12" s="50">
        <f t="shared" si="1"/>
        <v>2993</v>
      </c>
      <c r="H12" s="51">
        <v>19695689</v>
      </c>
      <c r="I12" s="50">
        <f t="shared" si="2"/>
        <v>5079</v>
      </c>
      <c r="J12" s="51">
        <v>8658504</v>
      </c>
      <c r="K12" s="50">
        <f t="shared" si="3"/>
        <v>2389</v>
      </c>
    </row>
    <row r="13" spans="1:12" ht="19.5" x14ac:dyDescent="0.3">
      <c r="A13" s="59">
        <v>44656</v>
      </c>
      <c r="B13" s="116">
        <v>2560</v>
      </c>
      <c r="C13" s="115">
        <f t="shared" si="4"/>
        <v>0</v>
      </c>
      <c r="D13" s="57">
        <v>140829.9</v>
      </c>
      <c r="E13" s="50">
        <f t="shared" si="0"/>
        <v>63.899999999994179</v>
      </c>
      <c r="F13" s="51">
        <v>11633684</v>
      </c>
      <c r="G13" s="50">
        <f t="shared" si="1"/>
        <v>3095</v>
      </c>
      <c r="H13" s="51">
        <v>19700249</v>
      </c>
      <c r="I13" s="50">
        <f t="shared" si="2"/>
        <v>4560</v>
      </c>
      <c r="J13" s="51">
        <v>8660843</v>
      </c>
      <c r="K13" s="50">
        <f t="shared" si="3"/>
        <v>2339</v>
      </c>
    </row>
    <row r="14" spans="1:12" ht="19.5" x14ac:dyDescent="0.3">
      <c r="A14" s="59">
        <v>44657</v>
      </c>
      <c r="B14" s="116">
        <v>2560</v>
      </c>
      <c r="C14" s="115">
        <f t="shared" si="4"/>
        <v>0</v>
      </c>
      <c r="D14" s="57">
        <v>140954.4</v>
      </c>
      <c r="E14" s="50">
        <f t="shared" si="0"/>
        <v>124.5</v>
      </c>
      <c r="F14" s="51">
        <v>11636682</v>
      </c>
      <c r="G14" s="50">
        <f t="shared" si="1"/>
        <v>2998</v>
      </c>
      <c r="H14" s="51">
        <v>19705352</v>
      </c>
      <c r="I14" s="50">
        <f t="shared" si="2"/>
        <v>5103</v>
      </c>
      <c r="J14" s="51">
        <v>8662973</v>
      </c>
      <c r="K14" s="50">
        <f t="shared" si="3"/>
        <v>2130</v>
      </c>
    </row>
    <row r="15" spans="1:12" ht="19.5" x14ac:dyDescent="0.3">
      <c r="A15" s="59">
        <v>44658</v>
      </c>
      <c r="B15" s="116">
        <v>2560</v>
      </c>
      <c r="C15" s="115">
        <f t="shared" si="4"/>
        <v>0</v>
      </c>
      <c r="D15" s="57">
        <v>141053.4</v>
      </c>
      <c r="E15" s="50">
        <f t="shared" si="0"/>
        <v>99</v>
      </c>
      <c r="F15" s="51">
        <v>11639650</v>
      </c>
      <c r="G15" s="50">
        <f t="shared" si="1"/>
        <v>2968</v>
      </c>
      <c r="H15" s="51">
        <v>19710472</v>
      </c>
      <c r="I15" s="50">
        <f t="shared" si="2"/>
        <v>5120</v>
      </c>
      <c r="J15" s="51">
        <v>8665151</v>
      </c>
      <c r="K15" s="50">
        <f t="shared" si="3"/>
        <v>2178</v>
      </c>
    </row>
    <row r="16" spans="1:12" ht="19.5" x14ac:dyDescent="0.3">
      <c r="A16" s="59">
        <v>44659</v>
      </c>
      <c r="B16" s="116">
        <v>2560</v>
      </c>
      <c r="C16" s="115">
        <f t="shared" si="4"/>
        <v>0</v>
      </c>
      <c r="D16" s="57">
        <v>141157.4</v>
      </c>
      <c r="E16" s="50">
        <f t="shared" si="0"/>
        <v>104</v>
      </c>
      <c r="F16" s="51">
        <v>11642382</v>
      </c>
      <c r="G16" s="50">
        <f t="shared" si="1"/>
        <v>2732</v>
      </c>
      <c r="H16" s="51">
        <v>19715873</v>
      </c>
      <c r="I16" s="50">
        <f t="shared" si="2"/>
        <v>5401</v>
      </c>
      <c r="J16" s="51">
        <v>8667629</v>
      </c>
      <c r="K16" s="50">
        <f t="shared" si="3"/>
        <v>2478</v>
      </c>
    </row>
    <row r="17" spans="1:29" ht="19.5" x14ac:dyDescent="0.3">
      <c r="A17" s="59">
        <v>44660</v>
      </c>
      <c r="B17" s="116">
        <v>2560</v>
      </c>
      <c r="C17" s="115">
        <f t="shared" si="4"/>
        <v>0</v>
      </c>
      <c r="D17" s="57">
        <v>141294.20000000001</v>
      </c>
      <c r="E17" s="50">
        <f t="shared" si="0"/>
        <v>136.80000000001746</v>
      </c>
      <c r="F17" s="51">
        <v>11645240</v>
      </c>
      <c r="G17" s="50">
        <f t="shared" si="1"/>
        <v>2858</v>
      </c>
      <c r="H17" s="51">
        <v>19721287</v>
      </c>
      <c r="I17" s="50">
        <f t="shared" si="2"/>
        <v>5414</v>
      </c>
      <c r="J17" s="51">
        <v>8670057</v>
      </c>
      <c r="K17" s="50">
        <f t="shared" si="3"/>
        <v>2428</v>
      </c>
    </row>
    <row r="18" spans="1:29" ht="19.5" x14ac:dyDescent="0.3">
      <c r="A18" s="59">
        <v>44661</v>
      </c>
      <c r="B18" s="116">
        <v>2560</v>
      </c>
      <c r="C18" s="115">
        <f t="shared" si="4"/>
        <v>0</v>
      </c>
      <c r="D18" s="57">
        <v>141426</v>
      </c>
      <c r="E18" s="50">
        <f t="shared" si="0"/>
        <v>131.79999999998836</v>
      </c>
      <c r="F18" s="51">
        <v>11648557</v>
      </c>
      <c r="G18" s="50">
        <f t="shared" si="1"/>
        <v>3317</v>
      </c>
      <c r="H18" s="51">
        <v>19726577</v>
      </c>
      <c r="I18" s="50">
        <f t="shared" si="2"/>
        <v>5290</v>
      </c>
      <c r="J18" s="51">
        <v>8672548</v>
      </c>
      <c r="K18" s="50">
        <f t="shared" si="3"/>
        <v>2491</v>
      </c>
    </row>
    <row r="19" spans="1:29" ht="19.5" x14ac:dyDescent="0.3">
      <c r="A19" s="59">
        <v>44662</v>
      </c>
      <c r="B19" s="116">
        <v>2560</v>
      </c>
      <c r="C19" s="115">
        <f t="shared" si="4"/>
        <v>0</v>
      </c>
      <c r="D19" s="57">
        <v>141514</v>
      </c>
      <c r="E19" s="50">
        <f t="shared" si="0"/>
        <v>88</v>
      </c>
      <c r="F19" s="51">
        <v>11651516</v>
      </c>
      <c r="G19" s="50">
        <f t="shared" si="1"/>
        <v>2959</v>
      </c>
      <c r="H19" s="51">
        <v>19731891</v>
      </c>
      <c r="I19" s="50">
        <f t="shared" si="2"/>
        <v>5314</v>
      </c>
      <c r="J19" s="51">
        <v>8675014</v>
      </c>
      <c r="K19" s="50">
        <f t="shared" si="3"/>
        <v>2466</v>
      </c>
    </row>
    <row r="20" spans="1:29" ht="25.5" x14ac:dyDescent="0.35">
      <c r="A20" s="59">
        <v>44663</v>
      </c>
      <c r="B20" s="116">
        <v>2560</v>
      </c>
      <c r="C20" s="115">
        <f t="shared" si="4"/>
        <v>0</v>
      </c>
      <c r="D20" s="57">
        <v>141618</v>
      </c>
      <c r="E20" s="50">
        <f t="shared" si="0"/>
        <v>104</v>
      </c>
      <c r="F20" s="51">
        <v>11654633</v>
      </c>
      <c r="G20" s="50">
        <f t="shared" ref="G20:G32" si="5">F20-F19</f>
        <v>3117</v>
      </c>
      <c r="H20" s="51">
        <v>19737349</v>
      </c>
      <c r="I20" s="50">
        <f t="shared" si="2"/>
        <v>5458</v>
      </c>
      <c r="J20" s="51">
        <v>8677553</v>
      </c>
      <c r="K20" s="50">
        <f t="shared" si="3"/>
        <v>2539</v>
      </c>
      <c r="L20" s="117" t="s">
        <v>18</v>
      </c>
      <c r="AC20" t="s">
        <v>56</v>
      </c>
    </row>
    <row r="21" spans="1:29" ht="19.5" x14ac:dyDescent="0.3">
      <c r="A21" s="59">
        <v>44664</v>
      </c>
      <c r="B21" s="116">
        <v>2560</v>
      </c>
      <c r="C21" s="115">
        <f t="shared" si="4"/>
        <v>0</v>
      </c>
      <c r="D21" s="57">
        <v>141761</v>
      </c>
      <c r="E21" s="50">
        <f t="shared" si="0"/>
        <v>143</v>
      </c>
      <c r="F21" s="51">
        <v>11658202</v>
      </c>
      <c r="G21" s="50">
        <f t="shared" si="5"/>
        <v>3569</v>
      </c>
      <c r="H21" s="51">
        <v>19743336</v>
      </c>
      <c r="I21" s="50">
        <f t="shared" si="2"/>
        <v>5987</v>
      </c>
      <c r="J21" s="51">
        <v>8680519</v>
      </c>
      <c r="K21" s="50">
        <f t="shared" si="3"/>
        <v>2966</v>
      </c>
    </row>
    <row r="22" spans="1:29" ht="19.5" x14ac:dyDescent="0.3">
      <c r="A22" s="59">
        <v>44665</v>
      </c>
      <c r="B22" s="116">
        <v>2560</v>
      </c>
      <c r="C22" s="115">
        <f t="shared" si="4"/>
        <v>0</v>
      </c>
      <c r="D22" s="57">
        <v>141870</v>
      </c>
      <c r="E22" s="50">
        <f t="shared" si="0"/>
        <v>109</v>
      </c>
      <c r="F22" s="51">
        <v>11661207</v>
      </c>
      <c r="G22" s="50">
        <f t="shared" si="5"/>
        <v>3005</v>
      </c>
      <c r="H22" s="51">
        <v>19749296</v>
      </c>
      <c r="I22" s="50">
        <f t="shared" si="2"/>
        <v>5960</v>
      </c>
      <c r="J22" s="51">
        <v>8683041</v>
      </c>
      <c r="K22" s="50">
        <f t="shared" si="3"/>
        <v>2522</v>
      </c>
    </row>
    <row r="23" spans="1:29" ht="19.5" x14ac:dyDescent="0.3">
      <c r="A23" s="59">
        <v>44666</v>
      </c>
      <c r="B23" s="116">
        <v>2560</v>
      </c>
      <c r="C23" s="115">
        <f t="shared" si="4"/>
        <v>0</v>
      </c>
      <c r="D23" s="57">
        <v>141978.5</v>
      </c>
      <c r="E23" s="50">
        <f t="shared" si="0"/>
        <v>108.5</v>
      </c>
      <c r="F23" s="51">
        <v>11664085</v>
      </c>
      <c r="G23" s="50">
        <f t="shared" si="5"/>
        <v>2878</v>
      </c>
      <c r="H23" s="51">
        <v>19755034</v>
      </c>
      <c r="I23" s="50">
        <f t="shared" si="2"/>
        <v>5738</v>
      </c>
      <c r="J23" s="51">
        <v>8685578</v>
      </c>
      <c r="K23" s="50">
        <f t="shared" si="3"/>
        <v>2537</v>
      </c>
    </row>
    <row r="24" spans="1:29" ht="19.5" x14ac:dyDescent="0.3">
      <c r="A24" s="59">
        <v>44667</v>
      </c>
      <c r="B24" s="116">
        <v>2560</v>
      </c>
      <c r="C24" s="115">
        <f t="shared" si="4"/>
        <v>0</v>
      </c>
      <c r="D24" s="57">
        <v>142135</v>
      </c>
      <c r="E24" s="50">
        <f t="shared" si="0"/>
        <v>156.5</v>
      </c>
      <c r="F24" s="51">
        <v>11667722</v>
      </c>
      <c r="G24" s="50">
        <f t="shared" si="5"/>
        <v>3637</v>
      </c>
      <c r="H24" s="51">
        <v>19760845</v>
      </c>
      <c r="I24" s="50">
        <f t="shared" si="2"/>
        <v>5811</v>
      </c>
      <c r="J24" s="51">
        <v>8688281</v>
      </c>
      <c r="K24" s="50">
        <f t="shared" si="3"/>
        <v>2703</v>
      </c>
    </row>
    <row r="25" spans="1:29" ht="19.5" x14ac:dyDescent="0.3">
      <c r="A25" s="59">
        <v>44668</v>
      </c>
      <c r="B25" s="116">
        <v>2560</v>
      </c>
      <c r="C25" s="115">
        <f t="shared" si="4"/>
        <v>0</v>
      </c>
      <c r="D25" s="57">
        <v>142261</v>
      </c>
      <c r="E25" s="50">
        <f t="shared" si="0"/>
        <v>126</v>
      </c>
      <c r="F25" s="51">
        <v>11670944</v>
      </c>
      <c r="G25" s="50">
        <f t="shared" si="5"/>
        <v>3222</v>
      </c>
      <c r="H25" s="51">
        <v>19766687</v>
      </c>
      <c r="I25" s="50">
        <f t="shared" si="2"/>
        <v>5842</v>
      </c>
      <c r="J25" s="51">
        <v>8690694</v>
      </c>
      <c r="K25" s="50">
        <f t="shared" si="3"/>
        <v>2413</v>
      </c>
    </row>
    <row r="26" spans="1:29" ht="19.5" x14ac:dyDescent="0.3">
      <c r="A26" s="59">
        <v>44669</v>
      </c>
      <c r="B26" s="116">
        <v>2560</v>
      </c>
      <c r="C26" s="115">
        <f t="shared" si="4"/>
        <v>0</v>
      </c>
      <c r="D26" s="57">
        <v>142352</v>
      </c>
      <c r="E26" s="50">
        <f t="shared" si="0"/>
        <v>91</v>
      </c>
      <c r="F26" s="51">
        <v>11674342</v>
      </c>
      <c r="G26" s="50">
        <f t="shared" si="5"/>
        <v>3398</v>
      </c>
      <c r="H26" s="51">
        <v>19772416</v>
      </c>
      <c r="I26" s="50">
        <f t="shared" si="2"/>
        <v>5729</v>
      </c>
      <c r="J26" s="51">
        <v>8693254</v>
      </c>
      <c r="K26" s="50">
        <f t="shared" si="3"/>
        <v>2560</v>
      </c>
    </row>
    <row r="27" spans="1:29" ht="19.5" x14ac:dyDescent="0.3">
      <c r="A27" s="59">
        <v>44670</v>
      </c>
      <c r="B27" s="116">
        <v>2560</v>
      </c>
      <c r="C27" s="115">
        <f t="shared" si="4"/>
        <v>0</v>
      </c>
      <c r="D27" s="57">
        <v>142461</v>
      </c>
      <c r="E27" s="50">
        <f t="shared" si="0"/>
        <v>109</v>
      </c>
      <c r="F27" s="51">
        <v>11677640</v>
      </c>
      <c r="G27" s="50">
        <f t="shared" si="5"/>
        <v>3298</v>
      </c>
      <c r="H27" s="51">
        <v>19778480</v>
      </c>
      <c r="I27" s="50">
        <f t="shared" si="2"/>
        <v>6064</v>
      </c>
      <c r="J27" s="51">
        <v>8695959</v>
      </c>
      <c r="K27" s="50">
        <f t="shared" si="3"/>
        <v>2705</v>
      </c>
    </row>
    <row r="28" spans="1:29" ht="19.5" x14ac:dyDescent="0.3">
      <c r="A28" s="59">
        <v>44671</v>
      </c>
      <c r="B28" s="116">
        <v>2560</v>
      </c>
      <c r="C28" s="115">
        <f t="shared" si="4"/>
        <v>0</v>
      </c>
      <c r="D28" s="57">
        <v>142565.1</v>
      </c>
      <c r="E28" s="50">
        <f t="shared" si="0"/>
        <v>104.10000000000582</v>
      </c>
      <c r="F28" s="51">
        <v>11680203</v>
      </c>
      <c r="G28" s="50">
        <f t="shared" si="5"/>
        <v>2563</v>
      </c>
      <c r="H28" s="51">
        <v>19784562</v>
      </c>
      <c r="I28" s="50">
        <f t="shared" si="2"/>
        <v>6082</v>
      </c>
      <c r="J28" s="51">
        <v>8698657</v>
      </c>
      <c r="K28" s="50">
        <f t="shared" si="3"/>
        <v>2698</v>
      </c>
    </row>
    <row r="29" spans="1:29" ht="19.5" x14ac:dyDescent="0.3">
      <c r="A29" s="59">
        <v>44672</v>
      </c>
      <c r="B29" s="116">
        <v>2560</v>
      </c>
      <c r="C29" s="115">
        <f t="shared" si="4"/>
        <v>0</v>
      </c>
      <c r="D29" s="57">
        <v>142688.6</v>
      </c>
      <c r="E29" s="50">
        <f t="shared" si="0"/>
        <v>123.5</v>
      </c>
      <c r="F29" s="51">
        <v>11683739</v>
      </c>
      <c r="G29" s="50">
        <f t="shared" si="5"/>
        <v>3536</v>
      </c>
      <c r="H29" s="51">
        <v>19790443</v>
      </c>
      <c r="I29" s="50">
        <f t="shared" si="2"/>
        <v>5881</v>
      </c>
      <c r="J29" s="51">
        <v>8701717</v>
      </c>
      <c r="K29" s="50">
        <f t="shared" si="3"/>
        <v>3060</v>
      </c>
    </row>
    <row r="30" spans="1:29" ht="19.5" x14ac:dyDescent="0.3">
      <c r="A30" s="59">
        <v>44673</v>
      </c>
      <c r="B30" s="116">
        <v>2560</v>
      </c>
      <c r="C30" s="115">
        <f t="shared" si="4"/>
        <v>0</v>
      </c>
      <c r="D30" s="57">
        <v>142813</v>
      </c>
      <c r="E30" s="50">
        <f t="shared" ref="E30:E32" si="6">D30-D29</f>
        <v>124.39999999999418</v>
      </c>
      <c r="F30" s="51">
        <v>11687691</v>
      </c>
      <c r="G30" s="50">
        <f t="shared" si="5"/>
        <v>3952</v>
      </c>
      <c r="H30" s="51">
        <v>19796185</v>
      </c>
      <c r="I30" s="50">
        <f t="shared" si="2"/>
        <v>5742</v>
      </c>
      <c r="J30" s="51">
        <v>8704468</v>
      </c>
      <c r="K30" s="50">
        <f t="shared" si="3"/>
        <v>2751</v>
      </c>
    </row>
    <row r="31" spans="1:29" ht="19.5" x14ac:dyDescent="0.3">
      <c r="A31" s="59">
        <v>44674</v>
      </c>
      <c r="B31" s="116">
        <v>2560</v>
      </c>
      <c r="C31" s="115">
        <f t="shared" si="4"/>
        <v>0</v>
      </c>
      <c r="D31" s="57">
        <v>142918</v>
      </c>
      <c r="E31" s="50">
        <f t="shared" si="6"/>
        <v>105</v>
      </c>
      <c r="F31" s="51">
        <v>11690948</v>
      </c>
      <c r="G31" s="50">
        <f t="shared" si="5"/>
        <v>3257</v>
      </c>
      <c r="H31" s="51">
        <v>19801870</v>
      </c>
      <c r="I31" s="50">
        <f t="shared" si="2"/>
        <v>5685</v>
      </c>
      <c r="J31" s="51">
        <v>8707141</v>
      </c>
      <c r="K31" s="50">
        <f t="shared" si="3"/>
        <v>2673</v>
      </c>
    </row>
    <row r="32" spans="1:29" ht="19.5" x14ac:dyDescent="0.3">
      <c r="A32" s="59">
        <v>44675</v>
      </c>
      <c r="B32" s="116">
        <v>2560</v>
      </c>
      <c r="C32" s="115">
        <f t="shared" si="4"/>
        <v>0</v>
      </c>
      <c r="D32" s="57">
        <v>143018</v>
      </c>
      <c r="E32" s="50">
        <f t="shared" si="6"/>
        <v>100</v>
      </c>
      <c r="F32" s="51">
        <v>11694274</v>
      </c>
      <c r="G32" s="50">
        <f t="shared" si="5"/>
        <v>3326</v>
      </c>
      <c r="H32" s="51">
        <v>19807727</v>
      </c>
      <c r="I32" s="50">
        <f t="shared" si="2"/>
        <v>5857</v>
      </c>
      <c r="J32" s="51">
        <v>8709685</v>
      </c>
      <c r="K32" s="50">
        <f t="shared" si="3"/>
        <v>2544</v>
      </c>
    </row>
    <row r="33" spans="1:11" ht="19.5" x14ac:dyDescent="0.3">
      <c r="A33" s="59">
        <v>44676</v>
      </c>
      <c r="B33" s="116">
        <v>2560</v>
      </c>
      <c r="C33" s="115">
        <f>B33-B32</f>
        <v>0</v>
      </c>
      <c r="D33" s="57">
        <v>143108</v>
      </c>
      <c r="E33" s="50">
        <f>D33-D32</f>
        <v>90</v>
      </c>
      <c r="F33" s="51">
        <v>11697461</v>
      </c>
      <c r="G33" s="50">
        <f>F33-F32</f>
        <v>3187</v>
      </c>
      <c r="H33" s="51">
        <v>19816416</v>
      </c>
      <c r="I33" s="50">
        <f t="shared" si="2"/>
        <v>8689</v>
      </c>
      <c r="J33" s="51">
        <v>8712945</v>
      </c>
      <c r="K33" s="50">
        <f t="shared" si="3"/>
        <v>3260</v>
      </c>
    </row>
    <row r="34" spans="1:11" ht="19.5" x14ac:dyDescent="0.3">
      <c r="A34" s="59">
        <v>44677</v>
      </c>
      <c r="B34" s="116">
        <v>2560</v>
      </c>
      <c r="C34" s="115">
        <f t="shared" ref="C34:C38" si="7">B34-B33</f>
        <v>0</v>
      </c>
      <c r="D34" s="57">
        <v>143232</v>
      </c>
      <c r="E34" s="50">
        <f t="shared" ref="E34:E38" si="8">D34-D33</f>
        <v>124</v>
      </c>
      <c r="F34" s="51">
        <v>11700717</v>
      </c>
      <c r="G34" s="50">
        <f t="shared" ref="G34:G38" si="9">F34-F33</f>
        <v>3256</v>
      </c>
      <c r="H34" s="51">
        <v>19819183</v>
      </c>
      <c r="I34" s="50">
        <f t="shared" ref="I34:I38" si="10">H34-H33</f>
        <v>2767</v>
      </c>
      <c r="J34" s="51">
        <v>8714715</v>
      </c>
      <c r="K34" s="50">
        <f t="shared" ref="K34:K38" si="11">J34-J33</f>
        <v>1770</v>
      </c>
    </row>
    <row r="35" spans="1:11" ht="19.5" x14ac:dyDescent="0.3">
      <c r="A35" s="59">
        <v>44678</v>
      </c>
      <c r="B35" s="116">
        <v>2560</v>
      </c>
      <c r="C35" s="115">
        <f t="shared" si="7"/>
        <v>0</v>
      </c>
      <c r="D35" s="57">
        <v>143316</v>
      </c>
      <c r="E35" s="50">
        <f t="shared" si="8"/>
        <v>84</v>
      </c>
      <c r="F35" s="51">
        <v>11703932</v>
      </c>
      <c r="G35" s="50">
        <f t="shared" si="9"/>
        <v>3215</v>
      </c>
      <c r="H35" s="51">
        <v>19824996</v>
      </c>
      <c r="I35" s="50">
        <f t="shared" si="10"/>
        <v>5813</v>
      </c>
      <c r="J35" s="51">
        <v>8717367</v>
      </c>
      <c r="K35" s="50">
        <f t="shared" si="11"/>
        <v>2652</v>
      </c>
    </row>
    <row r="36" spans="1:11" ht="19.5" x14ac:dyDescent="0.3">
      <c r="A36" s="59">
        <v>44679</v>
      </c>
      <c r="B36" s="116">
        <v>2560</v>
      </c>
      <c r="C36" s="115">
        <f t="shared" si="7"/>
        <v>0</v>
      </c>
      <c r="D36" s="57">
        <v>143425</v>
      </c>
      <c r="E36" s="50">
        <f t="shared" si="8"/>
        <v>109</v>
      </c>
      <c r="F36" s="51">
        <v>11707115</v>
      </c>
      <c r="G36" s="50">
        <f t="shared" si="9"/>
        <v>3183</v>
      </c>
      <c r="H36" s="51">
        <v>19830772</v>
      </c>
      <c r="I36" s="50">
        <f t="shared" si="10"/>
        <v>5776</v>
      </c>
      <c r="J36" s="51">
        <v>8719952</v>
      </c>
      <c r="K36" s="50">
        <f t="shared" si="11"/>
        <v>2585</v>
      </c>
    </row>
    <row r="37" spans="1:11" ht="19.5" x14ac:dyDescent="0.3">
      <c r="A37" s="59">
        <v>44680</v>
      </c>
      <c r="B37" s="116">
        <v>2560</v>
      </c>
      <c r="C37" s="115">
        <f t="shared" si="7"/>
        <v>0</v>
      </c>
      <c r="D37" s="57">
        <v>143539</v>
      </c>
      <c r="E37" s="50">
        <f t="shared" si="8"/>
        <v>114</v>
      </c>
      <c r="F37" s="51">
        <v>11709800</v>
      </c>
      <c r="G37" s="50">
        <f t="shared" si="9"/>
        <v>2685</v>
      </c>
      <c r="H37" s="51">
        <v>19836637</v>
      </c>
      <c r="I37" s="50">
        <f t="shared" si="10"/>
        <v>5865</v>
      </c>
      <c r="J37" s="51">
        <v>8722442</v>
      </c>
      <c r="K37" s="50">
        <f t="shared" si="11"/>
        <v>2490</v>
      </c>
    </row>
    <row r="38" spans="1:11" ht="19.5" x14ac:dyDescent="0.3">
      <c r="A38" s="59">
        <v>44681</v>
      </c>
      <c r="B38" s="116">
        <v>2560</v>
      </c>
      <c r="C38" s="115">
        <f t="shared" si="7"/>
        <v>0</v>
      </c>
      <c r="D38" s="57">
        <v>143633</v>
      </c>
      <c r="E38" s="50">
        <f t="shared" si="8"/>
        <v>94</v>
      </c>
      <c r="F38" s="51">
        <v>11713700</v>
      </c>
      <c r="G38" s="50">
        <f t="shared" si="9"/>
        <v>3900</v>
      </c>
      <c r="H38" s="51">
        <v>19842407</v>
      </c>
      <c r="I38" s="50">
        <f t="shared" si="10"/>
        <v>5770</v>
      </c>
      <c r="J38" s="51">
        <v>8725257</v>
      </c>
      <c r="K38" s="50">
        <f t="shared" si="11"/>
        <v>2815</v>
      </c>
    </row>
    <row r="39" spans="1:11" ht="19.5" x14ac:dyDescent="0.3">
      <c r="A39" s="59">
        <v>44682</v>
      </c>
      <c r="B39" s="116">
        <v>2560</v>
      </c>
      <c r="C39" s="115">
        <f>B39-B38</f>
        <v>0</v>
      </c>
      <c r="D39" s="57">
        <v>143745</v>
      </c>
      <c r="E39" s="50">
        <f>D39-D38</f>
        <v>112</v>
      </c>
      <c r="F39" s="51">
        <v>11716956</v>
      </c>
      <c r="G39" s="50">
        <f>F39-F38</f>
        <v>3256</v>
      </c>
      <c r="H39" s="51">
        <v>19848066</v>
      </c>
      <c r="I39" s="50">
        <f>H39-H38</f>
        <v>5659</v>
      </c>
      <c r="J39" s="51">
        <v>8727820</v>
      </c>
      <c r="K39" s="50">
        <f t="shared" ref="K39" si="12">J39-J38</f>
        <v>2563</v>
      </c>
    </row>
    <row r="40" spans="1:11" ht="24" customHeight="1" x14ac:dyDescent="0.3">
      <c r="A40" s="52"/>
      <c r="B40" s="52"/>
      <c r="C40" s="52"/>
    </row>
    <row r="41" spans="1:11" x14ac:dyDescent="0.25">
      <c r="A41" s="48"/>
      <c r="B41" s="48"/>
      <c r="C41" s="48"/>
    </row>
    <row r="42" spans="1:11" x14ac:dyDescent="0.25">
      <c r="A42" s="48"/>
      <c r="B42" s="48"/>
      <c r="C42" s="48"/>
    </row>
  </sheetData>
  <mergeCells count="7">
    <mergeCell ref="A7:A8"/>
    <mergeCell ref="E1:I3"/>
    <mergeCell ref="J1:K3"/>
    <mergeCell ref="D7:E7"/>
    <mergeCell ref="F7:K7"/>
    <mergeCell ref="A1:D3"/>
    <mergeCell ref="B7:C7"/>
  </mergeCells>
  <phoneticPr fontId="13" type="noConversion"/>
  <conditionalFormatting sqref="E1 E4:E8 E40:E65532">
    <cfRule type="cellIs" dxfId="4" priority="61" stopIfTrue="1" operator="lessThanOrEqual">
      <formula>0</formula>
    </cfRule>
  </conditionalFormatting>
  <conditionalFormatting sqref="E10:E39">
    <cfRule type="cellIs" dxfId="3" priority="8" stopIfTrue="1" operator="lessThanOrEqual">
      <formula>0</formula>
    </cfRule>
  </conditionalFormatting>
  <conditionalFormatting sqref="E10:E39">
    <cfRule type="cellIs" dxfId="2" priority="7" stopIfTrue="1" operator="lessThanOrEqual">
      <formula>0</formula>
    </cfRule>
  </conditionalFormatting>
  <conditionalFormatting sqref="E9">
    <cfRule type="cellIs" dxfId="1" priority="6" stopIfTrue="1" operator="lessThanOrEqual">
      <formula>0</formula>
    </cfRule>
  </conditionalFormatting>
  <conditionalFormatting sqref="E9">
    <cfRule type="cellIs" dxfId="0" priority="5" stopIfTrue="1" operator="lessThanOrEqual">
      <formula>0</formula>
    </cfRule>
  </conditionalFormatting>
  <pageMargins left="0.2" right="0.2" top="0.2" bottom="0.47" header="0.2" footer="0.28999999999999998"/>
  <pageSetup paperSize="9" scale="65" orientation="portrait" r:id="rId1"/>
  <headerFooter alignWithMargins="0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E48"/>
  <sheetViews>
    <sheetView showGridLines="0" zoomScale="60" zoomScaleNormal="60" workbookViewId="0">
      <pane xSplit="1" ySplit="3" topLeftCell="J48" activePane="bottomRight" state="frozen"/>
      <selection pane="topRight" activeCell="B1" sqref="B1"/>
      <selection pane="bottomLeft" activeCell="A4" sqref="A4"/>
      <selection pane="bottomRight" activeCell="M48" sqref="M48"/>
    </sheetView>
  </sheetViews>
  <sheetFormatPr baseColWidth="10" defaultColWidth="11.42578125" defaultRowHeight="15" x14ac:dyDescent="0.3"/>
  <cols>
    <col min="1" max="1" width="18.7109375" style="35" customWidth="1"/>
    <col min="2" max="3" width="9.5703125" style="36" customWidth="1"/>
    <col min="4" max="4" width="9.85546875" style="36" customWidth="1"/>
    <col min="5" max="5" width="8.85546875" style="36" customWidth="1"/>
    <col min="6" max="6" width="11.42578125" style="36" customWidth="1"/>
    <col min="7" max="7" width="8.85546875" style="36" customWidth="1"/>
    <col min="8" max="8" width="9.85546875" style="36" customWidth="1"/>
    <col min="9" max="9" width="12.140625" style="36" customWidth="1"/>
    <col min="10" max="10" width="16.140625" style="36" customWidth="1"/>
    <col min="11" max="11" width="17.28515625" style="36" customWidth="1"/>
    <col min="12" max="12" width="14.28515625" style="36" customWidth="1"/>
    <col min="13" max="13" width="16.28515625" style="36" customWidth="1"/>
    <col min="14" max="14" width="14.140625" style="36" customWidth="1"/>
    <col min="15" max="15" width="14.42578125" style="36" customWidth="1"/>
    <col min="16" max="16" width="15.85546875" style="36" customWidth="1"/>
    <col min="17" max="17" width="11.85546875" style="36" customWidth="1"/>
    <col min="18" max="18" width="8.42578125" style="36" customWidth="1"/>
    <col min="19" max="19" width="9.85546875" style="36" customWidth="1"/>
    <col min="20" max="20" width="11.28515625" style="36" customWidth="1"/>
    <col min="21" max="21" width="8.42578125" style="36" customWidth="1"/>
    <col min="22" max="22" width="9.85546875" style="36" customWidth="1"/>
    <col min="23" max="23" width="11.28515625" style="36" customWidth="1"/>
    <col min="24" max="24" width="8.42578125" style="36" customWidth="1"/>
    <col min="25" max="25" width="9.85546875" style="36" customWidth="1"/>
    <col min="26" max="26" width="11.28515625" style="36" customWidth="1"/>
    <col min="27" max="27" width="8.42578125" style="36" customWidth="1"/>
    <col min="28" max="28" width="9.85546875" style="36" customWidth="1"/>
    <col min="29" max="29" width="15.28515625" style="37" customWidth="1"/>
    <col min="30" max="30" width="20.140625" style="36" customWidth="1"/>
    <col min="31" max="31" width="24.5703125" style="36" customWidth="1"/>
    <col min="32" max="16384" width="11.42578125" style="36"/>
  </cols>
  <sheetData>
    <row r="1" spans="1:31" ht="62.25" customHeight="1" thickBot="1" x14ac:dyDescent="0.35">
      <c r="F1" s="285" t="s">
        <v>57</v>
      </c>
      <c r="G1" s="285"/>
      <c r="H1" s="285"/>
      <c r="I1" s="285"/>
      <c r="J1" s="285"/>
      <c r="K1" s="285"/>
      <c r="L1" s="285"/>
      <c r="M1" s="285"/>
      <c r="N1" s="285"/>
      <c r="O1" s="285"/>
      <c r="P1" s="285"/>
      <c r="Q1" s="285"/>
      <c r="R1" s="285"/>
      <c r="S1" s="285"/>
      <c r="T1" s="285"/>
      <c r="U1" s="285"/>
      <c r="V1" s="285"/>
      <c r="W1" s="285"/>
      <c r="X1" s="285"/>
      <c r="Y1" s="285"/>
      <c r="Z1" s="285"/>
    </row>
    <row r="2" spans="1:31" ht="41.25" customHeight="1" thickBot="1" x14ac:dyDescent="0.4">
      <c r="Q2" s="290">
        <v>803</v>
      </c>
      <c r="R2" s="291"/>
      <c r="S2" s="292"/>
      <c r="T2" s="293">
        <v>519</v>
      </c>
      <c r="U2" s="291"/>
      <c r="V2" s="292"/>
      <c r="W2" s="293">
        <v>800</v>
      </c>
      <c r="X2" s="291"/>
      <c r="Y2" s="292"/>
      <c r="Z2" s="293">
        <v>802</v>
      </c>
      <c r="AA2" s="291"/>
      <c r="AB2" s="294"/>
      <c r="AC2" s="36"/>
    </row>
    <row r="3" spans="1:31" s="130" customFormat="1" ht="50.25" customHeight="1" x14ac:dyDescent="0.3">
      <c r="A3" s="119"/>
      <c r="B3" s="120" t="s">
        <v>58</v>
      </c>
      <c r="C3" s="121" t="s">
        <v>59</v>
      </c>
      <c r="D3" s="120" t="s">
        <v>60</v>
      </c>
      <c r="E3" s="121" t="s">
        <v>61</v>
      </c>
      <c r="F3" s="120" t="s">
        <v>62</v>
      </c>
      <c r="G3" s="121" t="s">
        <v>63</v>
      </c>
      <c r="H3" s="120" t="s">
        <v>64</v>
      </c>
      <c r="I3" s="121" t="s">
        <v>65</v>
      </c>
      <c r="J3" s="122" t="s">
        <v>66</v>
      </c>
      <c r="K3" s="122" t="s">
        <v>67</v>
      </c>
      <c r="L3" s="122" t="s">
        <v>68</v>
      </c>
      <c r="M3" s="122" t="s">
        <v>69</v>
      </c>
      <c r="N3" s="122" t="s">
        <v>70</v>
      </c>
      <c r="O3" s="123" t="s">
        <v>71</v>
      </c>
      <c r="P3" s="123" t="s">
        <v>72</v>
      </c>
      <c r="Q3" s="124" t="s">
        <v>73</v>
      </c>
      <c r="R3" s="124" t="s">
        <v>74</v>
      </c>
      <c r="S3" s="124" t="s">
        <v>75</v>
      </c>
      <c r="T3" s="125" t="s">
        <v>76</v>
      </c>
      <c r="U3" s="126" t="s">
        <v>74</v>
      </c>
      <c r="V3" s="125" t="s">
        <v>75</v>
      </c>
      <c r="W3" s="125" t="s">
        <v>77</v>
      </c>
      <c r="X3" s="125" t="s">
        <v>74</v>
      </c>
      <c r="Y3" s="125" t="s">
        <v>75</v>
      </c>
      <c r="Z3" s="125" t="s">
        <v>78</v>
      </c>
      <c r="AA3" s="125" t="s">
        <v>74</v>
      </c>
      <c r="AB3" s="127" t="s">
        <v>75</v>
      </c>
      <c r="AC3" s="128" t="s">
        <v>79</v>
      </c>
      <c r="AD3" s="129" t="s">
        <v>80</v>
      </c>
      <c r="AE3" s="129" t="s">
        <v>81</v>
      </c>
    </row>
    <row r="4" spans="1:31" ht="32.25" customHeight="1" x14ac:dyDescent="0.3">
      <c r="A4" s="40">
        <v>44652</v>
      </c>
      <c r="B4" s="41">
        <v>60</v>
      </c>
      <c r="C4" s="39">
        <f t="shared" ref="C4" si="0">IF(AC4&gt;0,((B4-R4)+(S4-B5)),IF(B5=0, ,(B4-B5)))</f>
        <v>4</v>
      </c>
      <c r="D4" s="41">
        <v>65</v>
      </c>
      <c r="E4" s="39">
        <f t="shared" ref="E4" si="1">IF(AC4&gt;0,((D4-U4)+(V4-D5)),IF(D5=0, ,(D4-D5)))</f>
        <v>5</v>
      </c>
      <c r="F4" s="41">
        <v>66</v>
      </c>
      <c r="G4" s="39">
        <f t="shared" ref="G4" si="2">IF(AC4&gt;0,((F4-X4)+(Y4-F5)),IF(F5=0, ,(F4-F5)))</f>
        <v>5</v>
      </c>
      <c r="H4" s="41">
        <v>72</v>
      </c>
      <c r="I4" s="39">
        <f>IF(AC4&gt;0,((H4-AA4)+(AB4-H5)),IF(H5=0, ,(H4-H5)))</f>
        <v>4</v>
      </c>
      <c r="J4" s="39">
        <f>B4+D4+F4+H4</f>
        <v>263</v>
      </c>
      <c r="K4" s="39">
        <f>J4/4</f>
        <v>65.75</v>
      </c>
      <c r="L4" s="39">
        <f>IF(AC4&gt;0,((K4-AD4)+(AE4-K5)),IF(K5=0, ,(K4-K5)))</f>
        <v>4.5</v>
      </c>
      <c r="M4" s="149">
        <f t="shared" ref="M4:M7" si="3">6049*4</f>
        <v>24196</v>
      </c>
      <c r="N4" s="39">
        <f>L4*M4/100</f>
        <v>1088.82</v>
      </c>
      <c r="O4" s="167">
        <f>N4*0.529</f>
        <v>575.98577999999998</v>
      </c>
      <c r="P4" s="42">
        <f>O4*13.64</f>
        <v>7856.4460392000001</v>
      </c>
      <c r="Q4" s="39"/>
      <c r="R4" s="39"/>
      <c r="S4" s="39"/>
      <c r="T4" s="39"/>
      <c r="U4" s="39"/>
      <c r="V4" s="39"/>
      <c r="W4" s="39"/>
      <c r="X4" s="39"/>
      <c r="Y4" s="39"/>
      <c r="Z4" s="39"/>
      <c r="AA4" s="39"/>
      <c r="AB4" s="39"/>
      <c r="AC4" s="39">
        <f t="shared" ref="AC4:AC25" si="4">Q4+T4+W4+Z4</f>
        <v>0</v>
      </c>
      <c r="AD4" s="38">
        <f t="shared" ref="AD4:AD24" si="5">(R4+U4+X4+AA4)/4</f>
        <v>0</v>
      </c>
      <c r="AE4" s="38">
        <f t="shared" ref="AE4:AE24" si="6">(S4+V4+Y4+AB4)/4</f>
        <v>0</v>
      </c>
    </row>
    <row r="5" spans="1:31" ht="32.25" customHeight="1" x14ac:dyDescent="0.3">
      <c r="A5" s="40">
        <v>44653</v>
      </c>
      <c r="B5" s="41">
        <v>56</v>
      </c>
      <c r="C5" s="39">
        <f t="shared" ref="C5:C35" si="7">IF(AC5&gt;0,((B5-R5)+(S5-B6)),IF(B6=0, ,(B5-B6)))</f>
        <v>5</v>
      </c>
      <c r="D5" s="41">
        <v>60</v>
      </c>
      <c r="E5" s="39">
        <f t="shared" ref="E5:E35" si="8">IF(AC5&gt;0,((D5-U5)+(V5-D6)),IF(D6=0, ,(D5-D6)))</f>
        <v>6</v>
      </c>
      <c r="F5" s="41">
        <v>61</v>
      </c>
      <c r="G5" s="39">
        <f t="shared" ref="G5:G35" si="9">IF(AC5&gt;0,((F5-X5)+(Y5-F6)),IF(F6=0, ,(F5-F6)))</f>
        <v>5</v>
      </c>
      <c r="H5" s="41">
        <v>68</v>
      </c>
      <c r="I5" s="39">
        <f>IF(AC5&gt;0,((H5-AA5)+(AB5-H6)),IF(H6=0, ,(H5-H6)))</f>
        <v>6</v>
      </c>
      <c r="J5" s="39">
        <f>B5+D5+F5+H5</f>
        <v>245</v>
      </c>
      <c r="K5" s="39">
        <f>J5/4</f>
        <v>61.25</v>
      </c>
      <c r="L5" s="39">
        <f>IF(AC5&gt;0,((K5-AD5)+(AE5-K6)),IF(K6=0, ,(K5-K6)))</f>
        <v>5.5</v>
      </c>
      <c r="M5" s="149">
        <f t="shared" si="3"/>
        <v>24196</v>
      </c>
      <c r="N5" s="39">
        <f>L5*M5/100</f>
        <v>1330.78</v>
      </c>
      <c r="O5" s="39">
        <f>N5*0.529</f>
        <v>703.98262</v>
      </c>
      <c r="P5" s="42">
        <f t="shared" ref="P5:P36" si="10">O5*13.64</f>
        <v>9602.3229368000011</v>
      </c>
      <c r="Q5" s="39"/>
      <c r="R5" s="39"/>
      <c r="S5" s="39"/>
      <c r="T5" s="39"/>
      <c r="U5" s="39"/>
      <c r="V5" s="39"/>
      <c r="W5" s="39"/>
      <c r="X5" s="39"/>
      <c r="Y5" s="39"/>
      <c r="Z5" s="39"/>
      <c r="AA5" s="39"/>
      <c r="AB5" s="39"/>
      <c r="AC5" s="39">
        <f t="shared" si="4"/>
        <v>0</v>
      </c>
      <c r="AD5" s="38">
        <f t="shared" si="5"/>
        <v>0</v>
      </c>
      <c r="AE5" s="38">
        <f t="shared" si="6"/>
        <v>0</v>
      </c>
    </row>
    <row r="6" spans="1:31" ht="32.25" customHeight="1" x14ac:dyDescent="0.3">
      <c r="A6" s="40">
        <v>44654</v>
      </c>
      <c r="B6" s="41">
        <v>51</v>
      </c>
      <c r="C6" s="39">
        <f t="shared" si="7"/>
        <v>5</v>
      </c>
      <c r="D6" s="41">
        <v>54</v>
      </c>
      <c r="E6" s="39">
        <f t="shared" si="8"/>
        <v>6</v>
      </c>
      <c r="F6" s="41">
        <v>56</v>
      </c>
      <c r="G6" s="39">
        <f t="shared" si="9"/>
        <v>5</v>
      </c>
      <c r="H6" s="41">
        <v>62</v>
      </c>
      <c r="I6" s="39">
        <f t="shared" ref="I6:I36" si="11">IF(AC6&gt;0,((H6-AA6)+(AB6-H7)),IF(H7=0, ,(H6-H7)))</f>
        <v>5</v>
      </c>
      <c r="J6" s="39">
        <f t="shared" ref="J6:J42" si="12">B6+D6+F6+H6</f>
        <v>223</v>
      </c>
      <c r="K6" s="39">
        <f t="shared" ref="K6:K42" si="13">J6/4</f>
        <v>55.75</v>
      </c>
      <c r="L6" s="39">
        <f t="shared" ref="L6:L19" si="14">IF(AC6&gt;0,((K6-AD6)+(AE6-K7)),IF(K7=0, ,(K6-K7)))</f>
        <v>5.25</v>
      </c>
      <c r="M6" s="149">
        <f t="shared" si="3"/>
        <v>24196</v>
      </c>
      <c r="N6" s="39">
        <f t="shared" ref="N6:N42" si="15">L6*M6/100</f>
        <v>1270.29</v>
      </c>
      <c r="O6" s="39">
        <f>N6*0.529</f>
        <v>671.98341000000005</v>
      </c>
      <c r="P6" s="42">
        <f t="shared" si="10"/>
        <v>9165.8537124000013</v>
      </c>
      <c r="Q6" s="39"/>
      <c r="R6" s="39"/>
      <c r="S6" s="39"/>
      <c r="T6" s="39"/>
      <c r="U6" s="39"/>
      <c r="V6" s="39"/>
      <c r="W6" s="39"/>
      <c r="X6" s="39"/>
      <c r="Y6" s="39"/>
      <c r="Z6" s="39"/>
      <c r="AA6" s="39"/>
      <c r="AB6" s="39"/>
      <c r="AC6" s="39">
        <f t="shared" si="4"/>
        <v>0</v>
      </c>
      <c r="AD6" s="38">
        <f t="shared" si="5"/>
        <v>0</v>
      </c>
      <c r="AE6" s="38">
        <f t="shared" si="6"/>
        <v>0</v>
      </c>
    </row>
    <row r="7" spans="1:31" ht="32.25" customHeight="1" x14ac:dyDescent="0.3">
      <c r="A7" s="40">
        <v>44655</v>
      </c>
      <c r="B7" s="41">
        <v>46</v>
      </c>
      <c r="C7" s="39">
        <f t="shared" si="7"/>
        <v>3</v>
      </c>
      <c r="D7" s="41">
        <v>48</v>
      </c>
      <c r="E7" s="39">
        <f t="shared" si="8"/>
        <v>0</v>
      </c>
      <c r="F7" s="41">
        <v>51</v>
      </c>
      <c r="G7" s="39">
        <f t="shared" si="9"/>
        <v>1</v>
      </c>
      <c r="H7" s="41">
        <v>57</v>
      </c>
      <c r="I7" s="39">
        <f t="shared" si="11"/>
        <v>2</v>
      </c>
      <c r="J7" s="39">
        <f t="shared" si="12"/>
        <v>202</v>
      </c>
      <c r="K7" s="39">
        <f t="shared" si="13"/>
        <v>50.5</v>
      </c>
      <c r="L7" s="39">
        <f t="shared" si="14"/>
        <v>1.5</v>
      </c>
      <c r="M7" s="149">
        <f t="shared" si="3"/>
        <v>24196</v>
      </c>
      <c r="N7" s="39">
        <f t="shared" si="15"/>
        <v>362.94</v>
      </c>
      <c r="O7" s="39">
        <f>N7*0.53</f>
        <v>192.35820000000001</v>
      </c>
      <c r="P7" s="42">
        <f t="shared" si="10"/>
        <v>2623.7658480000005</v>
      </c>
      <c r="Q7" s="39">
        <v>1890</v>
      </c>
      <c r="R7" s="39">
        <v>45</v>
      </c>
      <c r="S7" s="39">
        <v>72</v>
      </c>
      <c r="T7" s="39">
        <v>1890</v>
      </c>
      <c r="U7" s="39">
        <v>48</v>
      </c>
      <c r="V7" s="39">
        <v>72</v>
      </c>
      <c r="W7" s="39">
        <v>1890</v>
      </c>
      <c r="X7" s="39">
        <v>50</v>
      </c>
      <c r="Y7" s="39">
        <v>75</v>
      </c>
      <c r="Z7" s="39">
        <v>1890</v>
      </c>
      <c r="AA7" s="39">
        <v>55</v>
      </c>
      <c r="AB7" s="39">
        <v>80</v>
      </c>
      <c r="AC7" s="39">
        <f t="shared" si="4"/>
        <v>7560</v>
      </c>
      <c r="AD7" s="38">
        <f t="shared" si="5"/>
        <v>49.5</v>
      </c>
      <c r="AE7" s="38">
        <f t="shared" si="6"/>
        <v>74.75</v>
      </c>
    </row>
    <row r="8" spans="1:31" ht="32.25" customHeight="1" x14ac:dyDescent="0.3">
      <c r="A8" s="40">
        <v>44656</v>
      </c>
      <c r="B8" s="41">
        <v>70</v>
      </c>
      <c r="C8" s="39">
        <f t="shared" si="7"/>
        <v>2</v>
      </c>
      <c r="D8" s="41">
        <v>72</v>
      </c>
      <c r="E8" s="39">
        <f t="shared" si="8"/>
        <v>3</v>
      </c>
      <c r="F8" s="41">
        <v>75</v>
      </c>
      <c r="G8" s="39">
        <f t="shared" si="9"/>
        <v>3</v>
      </c>
      <c r="H8" s="41">
        <v>80</v>
      </c>
      <c r="I8" s="39">
        <f t="shared" si="11"/>
        <v>5</v>
      </c>
      <c r="J8" s="39">
        <f t="shared" si="12"/>
        <v>297</v>
      </c>
      <c r="K8" s="39">
        <f t="shared" si="13"/>
        <v>74.25</v>
      </c>
      <c r="L8" s="39">
        <f t="shared" si="14"/>
        <v>3.25</v>
      </c>
      <c r="M8" s="149">
        <f>6049*4</f>
        <v>24196</v>
      </c>
      <c r="N8" s="39">
        <f t="shared" si="15"/>
        <v>786.37</v>
      </c>
      <c r="O8" s="148">
        <f t="shared" ref="O8:O37" si="16">N8*0.529</f>
        <v>415.98973000000001</v>
      </c>
      <c r="P8" s="42">
        <f t="shared" si="10"/>
        <v>5674.0999172000002</v>
      </c>
      <c r="Q8" s="39"/>
      <c r="R8" s="39"/>
      <c r="S8" s="39"/>
      <c r="T8" s="39"/>
      <c r="U8" s="39"/>
      <c r="V8" s="39"/>
      <c r="W8" s="39"/>
      <c r="X8" s="39"/>
      <c r="Y8" s="39"/>
      <c r="Z8" s="39"/>
      <c r="AA8" s="39"/>
      <c r="AB8" s="39"/>
      <c r="AC8" s="39">
        <f t="shared" si="4"/>
        <v>0</v>
      </c>
      <c r="AD8" s="38">
        <f t="shared" si="5"/>
        <v>0</v>
      </c>
      <c r="AE8" s="38">
        <f t="shared" si="6"/>
        <v>0</v>
      </c>
    </row>
    <row r="9" spans="1:31" ht="32.25" customHeight="1" x14ac:dyDescent="0.3">
      <c r="A9" s="40">
        <v>44657</v>
      </c>
      <c r="B9" s="41">
        <v>68</v>
      </c>
      <c r="C9" s="39">
        <f t="shared" si="7"/>
        <v>3</v>
      </c>
      <c r="D9" s="41">
        <v>69</v>
      </c>
      <c r="E9" s="39">
        <f t="shared" si="8"/>
        <v>4</v>
      </c>
      <c r="F9" s="41">
        <v>72</v>
      </c>
      <c r="G9" s="39">
        <f t="shared" si="9"/>
        <v>3</v>
      </c>
      <c r="H9" s="41">
        <v>75</v>
      </c>
      <c r="I9" s="39">
        <f t="shared" si="11"/>
        <v>5</v>
      </c>
      <c r="J9" s="39">
        <f t="shared" si="12"/>
        <v>284</v>
      </c>
      <c r="K9" s="39">
        <f t="shared" si="13"/>
        <v>71</v>
      </c>
      <c r="L9" s="39">
        <f t="shared" si="14"/>
        <v>3.75</v>
      </c>
      <c r="M9" s="149">
        <f t="shared" ref="M9:M42" si="17">6049*4</f>
        <v>24196</v>
      </c>
      <c r="N9" s="39">
        <f t="shared" si="15"/>
        <v>907.35</v>
      </c>
      <c r="O9" s="39">
        <f t="shared" si="16"/>
        <v>479.98815000000002</v>
      </c>
      <c r="P9" s="42">
        <f t="shared" si="10"/>
        <v>6547.0383660000007</v>
      </c>
      <c r="Q9" s="39"/>
      <c r="R9" s="39"/>
      <c r="S9" s="39"/>
      <c r="T9" s="39"/>
      <c r="U9" s="39"/>
      <c r="V9" s="39"/>
      <c r="W9" s="39"/>
      <c r="X9" s="39"/>
      <c r="Y9" s="39"/>
      <c r="Z9" s="39"/>
      <c r="AA9" s="39"/>
      <c r="AB9" s="39"/>
      <c r="AC9" s="39">
        <f t="shared" si="4"/>
        <v>0</v>
      </c>
      <c r="AD9" s="38">
        <f t="shared" si="5"/>
        <v>0</v>
      </c>
      <c r="AE9" s="38">
        <f t="shared" si="6"/>
        <v>0</v>
      </c>
    </row>
    <row r="10" spans="1:31" ht="32.25" customHeight="1" x14ac:dyDescent="0.3">
      <c r="A10" s="40">
        <v>44658</v>
      </c>
      <c r="B10" s="41">
        <v>65</v>
      </c>
      <c r="C10" s="39">
        <f t="shared" si="7"/>
        <v>5</v>
      </c>
      <c r="D10" s="41">
        <v>65</v>
      </c>
      <c r="E10" s="39">
        <f t="shared" si="8"/>
        <v>4</v>
      </c>
      <c r="F10" s="41">
        <v>69</v>
      </c>
      <c r="G10" s="39">
        <f t="shared" si="9"/>
        <v>3</v>
      </c>
      <c r="H10" s="41">
        <v>70</v>
      </c>
      <c r="I10" s="39">
        <f t="shared" si="11"/>
        <v>1</v>
      </c>
      <c r="J10" s="39">
        <f t="shared" si="12"/>
        <v>269</v>
      </c>
      <c r="K10" s="39">
        <f t="shared" si="13"/>
        <v>67.25</v>
      </c>
      <c r="L10" s="39">
        <f t="shared" si="14"/>
        <v>3.25</v>
      </c>
      <c r="M10" s="149">
        <f t="shared" si="17"/>
        <v>24196</v>
      </c>
      <c r="N10" s="39">
        <f t="shared" si="15"/>
        <v>786.37</v>
      </c>
      <c r="O10" s="148">
        <f t="shared" si="16"/>
        <v>415.98973000000001</v>
      </c>
      <c r="P10" s="42">
        <f t="shared" si="10"/>
        <v>5674.0999172000002</v>
      </c>
      <c r="Q10" s="39"/>
      <c r="R10" s="39"/>
      <c r="S10" s="39"/>
      <c r="T10" s="39"/>
      <c r="U10" s="39"/>
      <c r="V10" s="39"/>
      <c r="W10" s="39"/>
      <c r="X10" s="39"/>
      <c r="Y10" s="39"/>
      <c r="Z10" s="39"/>
      <c r="AA10" s="39"/>
      <c r="AB10" s="39"/>
      <c r="AC10" s="39">
        <f t="shared" si="4"/>
        <v>0</v>
      </c>
      <c r="AD10" s="38">
        <f t="shared" si="5"/>
        <v>0</v>
      </c>
      <c r="AE10" s="38">
        <f t="shared" si="6"/>
        <v>0</v>
      </c>
    </row>
    <row r="11" spans="1:31" ht="32.25" customHeight="1" x14ac:dyDescent="0.3">
      <c r="A11" s="40">
        <v>44659</v>
      </c>
      <c r="B11" s="41">
        <v>60</v>
      </c>
      <c r="C11" s="39">
        <f t="shared" si="7"/>
        <v>5</v>
      </c>
      <c r="D11" s="41">
        <v>61</v>
      </c>
      <c r="E11" s="39">
        <f t="shared" si="8"/>
        <v>7</v>
      </c>
      <c r="F11" s="41">
        <v>66</v>
      </c>
      <c r="G11" s="39">
        <f t="shared" si="9"/>
        <v>7</v>
      </c>
      <c r="H11" s="41">
        <v>69</v>
      </c>
      <c r="I11" s="39">
        <f t="shared" si="11"/>
        <v>9</v>
      </c>
      <c r="J11" s="39">
        <f t="shared" si="12"/>
        <v>256</v>
      </c>
      <c r="K11" s="39">
        <f t="shared" si="13"/>
        <v>64</v>
      </c>
      <c r="L11" s="39">
        <f t="shared" si="14"/>
        <v>7</v>
      </c>
      <c r="M11" s="149">
        <f t="shared" si="17"/>
        <v>24196</v>
      </c>
      <c r="N11" s="39">
        <f t="shared" si="15"/>
        <v>1693.72</v>
      </c>
      <c r="O11" s="39">
        <f t="shared" si="16"/>
        <v>895.97788000000003</v>
      </c>
      <c r="P11" s="42">
        <f t="shared" si="10"/>
        <v>12221.138283200002</v>
      </c>
      <c r="Q11" s="39"/>
      <c r="R11" s="39"/>
      <c r="S11" s="39"/>
      <c r="T11" s="39"/>
      <c r="U11" s="39"/>
      <c r="V11" s="39"/>
      <c r="W11" s="39"/>
      <c r="X11" s="39"/>
      <c r="Y11" s="39"/>
      <c r="Z11" s="39"/>
      <c r="AA11" s="39"/>
      <c r="AB11" s="39"/>
      <c r="AC11" s="39">
        <f t="shared" si="4"/>
        <v>0</v>
      </c>
      <c r="AD11" s="38">
        <f t="shared" si="5"/>
        <v>0</v>
      </c>
      <c r="AE11" s="38">
        <f t="shared" si="6"/>
        <v>0</v>
      </c>
    </row>
    <row r="12" spans="1:31" ht="32.25" customHeight="1" x14ac:dyDescent="0.3">
      <c r="A12" s="40">
        <v>44660</v>
      </c>
      <c r="B12" s="41">
        <v>55</v>
      </c>
      <c r="C12" s="39">
        <f t="shared" si="7"/>
        <v>5</v>
      </c>
      <c r="D12" s="41">
        <v>54</v>
      </c>
      <c r="E12" s="39">
        <f t="shared" si="8"/>
        <v>4</v>
      </c>
      <c r="F12" s="41">
        <v>59</v>
      </c>
      <c r="G12" s="39">
        <f t="shared" si="9"/>
        <v>4</v>
      </c>
      <c r="H12" s="41">
        <v>60</v>
      </c>
      <c r="I12" s="39">
        <f t="shared" si="11"/>
        <v>0</v>
      </c>
      <c r="J12" s="39">
        <f t="shared" si="12"/>
        <v>228</v>
      </c>
      <c r="K12" s="39">
        <f t="shared" si="13"/>
        <v>57</v>
      </c>
      <c r="L12" s="39">
        <f t="shared" si="14"/>
        <v>3.25</v>
      </c>
      <c r="M12" s="149">
        <f t="shared" si="17"/>
        <v>24196</v>
      </c>
      <c r="N12" s="39">
        <f t="shared" si="15"/>
        <v>786.37</v>
      </c>
      <c r="O12" s="39">
        <f t="shared" si="16"/>
        <v>415.98973000000001</v>
      </c>
      <c r="P12" s="42">
        <f t="shared" si="10"/>
        <v>5674.0999172000002</v>
      </c>
      <c r="Q12" s="39">
        <v>2989</v>
      </c>
      <c r="R12" s="39">
        <v>50</v>
      </c>
      <c r="S12" s="39">
        <v>85</v>
      </c>
      <c r="T12" s="39">
        <v>2994</v>
      </c>
      <c r="U12" s="39">
        <v>50</v>
      </c>
      <c r="V12" s="39">
        <v>85</v>
      </c>
      <c r="W12" s="39">
        <v>2602</v>
      </c>
      <c r="X12" s="39">
        <v>55</v>
      </c>
      <c r="Y12" s="39">
        <v>85</v>
      </c>
      <c r="Z12" s="39">
        <v>2160</v>
      </c>
      <c r="AA12" s="39">
        <v>60</v>
      </c>
      <c r="AB12" s="39">
        <v>85</v>
      </c>
      <c r="AC12" s="39">
        <f t="shared" si="4"/>
        <v>10745</v>
      </c>
      <c r="AD12" s="38">
        <f t="shared" si="5"/>
        <v>53.75</v>
      </c>
      <c r="AE12" s="38">
        <f t="shared" si="6"/>
        <v>85</v>
      </c>
    </row>
    <row r="13" spans="1:31" ht="32.25" customHeight="1" x14ac:dyDescent="0.3">
      <c r="A13" s="40">
        <v>44661</v>
      </c>
      <c r="B13" s="41">
        <v>85</v>
      </c>
      <c r="C13" s="39">
        <f t="shared" si="7"/>
        <v>5</v>
      </c>
      <c r="D13" s="41">
        <v>85</v>
      </c>
      <c r="E13" s="39">
        <f t="shared" si="8"/>
        <v>2</v>
      </c>
      <c r="F13" s="41">
        <v>85</v>
      </c>
      <c r="G13" s="39">
        <f t="shared" si="9"/>
        <v>0</v>
      </c>
      <c r="H13" s="41">
        <v>85</v>
      </c>
      <c r="I13" s="39">
        <f t="shared" si="11"/>
        <v>0</v>
      </c>
      <c r="J13" s="39">
        <f t="shared" si="12"/>
        <v>340</v>
      </c>
      <c r="K13" s="39">
        <f t="shared" si="13"/>
        <v>85</v>
      </c>
      <c r="L13" s="39">
        <f t="shared" si="14"/>
        <v>1.75</v>
      </c>
      <c r="M13" s="149">
        <f t="shared" si="17"/>
        <v>24196</v>
      </c>
      <c r="N13" s="39">
        <f t="shared" si="15"/>
        <v>423.43</v>
      </c>
      <c r="O13" s="39">
        <f t="shared" si="16"/>
        <v>223.99447000000001</v>
      </c>
      <c r="P13" s="42">
        <f t="shared" si="10"/>
        <v>3055.2845708000004</v>
      </c>
      <c r="Q13" s="39"/>
      <c r="R13" s="39"/>
      <c r="S13" s="39"/>
      <c r="T13" s="39"/>
      <c r="U13" s="39"/>
      <c r="V13" s="39"/>
      <c r="W13" s="39"/>
      <c r="X13" s="39"/>
      <c r="Y13" s="39"/>
      <c r="Z13" s="39"/>
      <c r="AA13" s="39"/>
      <c r="AB13" s="39"/>
      <c r="AC13" s="39">
        <f t="shared" si="4"/>
        <v>0</v>
      </c>
      <c r="AD13" s="38">
        <f t="shared" si="5"/>
        <v>0</v>
      </c>
      <c r="AE13" s="38">
        <f t="shared" si="6"/>
        <v>0</v>
      </c>
    </row>
    <row r="14" spans="1:31" ht="32.25" customHeight="1" x14ac:dyDescent="0.3">
      <c r="A14" s="40">
        <v>44662</v>
      </c>
      <c r="B14" s="41">
        <v>80</v>
      </c>
      <c r="C14" s="39">
        <f t="shared" si="7"/>
        <v>5</v>
      </c>
      <c r="D14" s="41">
        <v>83</v>
      </c>
      <c r="E14" s="39">
        <f t="shared" si="8"/>
        <v>3</v>
      </c>
      <c r="F14" s="41">
        <v>85</v>
      </c>
      <c r="G14" s="39">
        <f t="shared" si="9"/>
        <v>3</v>
      </c>
      <c r="H14" s="41">
        <v>85</v>
      </c>
      <c r="I14" s="39">
        <f>IF(AC14&gt;0,((H14-AA14)+(AB14-H15)),IF(H15=0, ,(H14-H15)))</f>
        <v>4</v>
      </c>
      <c r="J14" s="39">
        <f t="shared" si="12"/>
        <v>333</v>
      </c>
      <c r="K14" s="39">
        <f t="shared" si="13"/>
        <v>83.25</v>
      </c>
      <c r="L14" s="39">
        <f t="shared" si="14"/>
        <v>3.75</v>
      </c>
      <c r="M14" s="149">
        <f t="shared" si="17"/>
        <v>24196</v>
      </c>
      <c r="N14" s="39">
        <f t="shared" si="15"/>
        <v>907.35</v>
      </c>
      <c r="O14" s="39">
        <f t="shared" si="16"/>
        <v>479.98815000000002</v>
      </c>
      <c r="P14" s="42">
        <f t="shared" si="10"/>
        <v>6547.0383660000007</v>
      </c>
      <c r="Q14" s="39"/>
      <c r="R14" s="39"/>
      <c r="S14" s="39"/>
      <c r="T14" s="39"/>
      <c r="U14" s="39"/>
      <c r="V14" s="39"/>
      <c r="W14" s="39"/>
      <c r="X14" s="39"/>
      <c r="Y14" s="39"/>
      <c r="Z14" s="39"/>
      <c r="AA14" s="39"/>
      <c r="AB14" s="39"/>
      <c r="AC14" s="39">
        <f>Q14+T14+W14+Z14</f>
        <v>0</v>
      </c>
      <c r="AD14" s="38">
        <f>(R14+U14+X14+AA14)/4</f>
        <v>0</v>
      </c>
      <c r="AE14" s="38">
        <f>(S14+V14+Y14+AB14)/4</f>
        <v>0</v>
      </c>
    </row>
    <row r="15" spans="1:31" ht="32.25" customHeight="1" x14ac:dyDescent="0.3">
      <c r="A15" s="40">
        <v>44663</v>
      </c>
      <c r="B15" s="41">
        <v>75</v>
      </c>
      <c r="C15" s="39">
        <f t="shared" si="7"/>
        <v>3</v>
      </c>
      <c r="D15" s="41">
        <v>80</v>
      </c>
      <c r="E15" s="39">
        <f t="shared" si="8"/>
        <v>5</v>
      </c>
      <c r="F15" s="41">
        <v>82</v>
      </c>
      <c r="G15" s="39">
        <f t="shared" si="9"/>
        <v>7</v>
      </c>
      <c r="H15" s="41">
        <v>81</v>
      </c>
      <c r="I15" s="39">
        <f>IF(AC15&gt;0,((H15-AA15)+(AB15-H16)),IF(H16=0, ,(H15-H16)))</f>
        <v>2</v>
      </c>
      <c r="J15" s="39">
        <f t="shared" si="12"/>
        <v>318</v>
      </c>
      <c r="K15" s="39">
        <f t="shared" si="13"/>
        <v>79.5</v>
      </c>
      <c r="L15" s="39">
        <f t="shared" si="14"/>
        <v>4.25</v>
      </c>
      <c r="M15" s="149">
        <f t="shared" si="17"/>
        <v>24196</v>
      </c>
      <c r="N15" s="39">
        <f t="shared" si="15"/>
        <v>1028.33</v>
      </c>
      <c r="O15" s="39">
        <f t="shared" si="16"/>
        <v>543.98657000000003</v>
      </c>
      <c r="P15" s="42">
        <f t="shared" si="10"/>
        <v>7419.9768148000003</v>
      </c>
      <c r="Q15" s="39"/>
      <c r="R15" s="39"/>
      <c r="S15" s="39"/>
      <c r="T15" s="39"/>
      <c r="U15" s="39"/>
      <c r="V15" s="39"/>
      <c r="W15" s="39"/>
      <c r="X15" s="39"/>
      <c r="Y15" s="39"/>
      <c r="Z15" s="39"/>
      <c r="AA15" s="39"/>
      <c r="AB15" s="39"/>
      <c r="AC15" s="39">
        <f>Q15+T15+W15+Z15</f>
        <v>0</v>
      </c>
      <c r="AD15" s="38">
        <f>(R15+U15+X15+AA15)/4</f>
        <v>0</v>
      </c>
      <c r="AE15" s="38">
        <f>(S15+V15+Y15+AB15)/4</f>
        <v>0</v>
      </c>
    </row>
    <row r="16" spans="1:31" ht="32.25" customHeight="1" x14ac:dyDescent="0.3">
      <c r="A16" s="40">
        <v>44664</v>
      </c>
      <c r="B16" s="41">
        <v>72</v>
      </c>
      <c r="C16" s="39">
        <f t="shared" si="7"/>
        <v>5</v>
      </c>
      <c r="D16" s="41">
        <v>75</v>
      </c>
      <c r="E16" s="39">
        <f t="shared" si="8"/>
        <v>3</v>
      </c>
      <c r="F16" s="41">
        <v>75</v>
      </c>
      <c r="G16" s="39">
        <f t="shared" si="9"/>
        <v>4</v>
      </c>
      <c r="H16" s="41">
        <v>79</v>
      </c>
      <c r="I16" s="39">
        <f t="shared" si="11"/>
        <v>4</v>
      </c>
      <c r="J16" s="39">
        <f t="shared" si="12"/>
        <v>301</v>
      </c>
      <c r="K16" s="39">
        <f t="shared" si="13"/>
        <v>75.25</v>
      </c>
      <c r="L16" s="39">
        <f t="shared" si="14"/>
        <v>4</v>
      </c>
      <c r="M16" s="149">
        <f t="shared" si="17"/>
        <v>24196</v>
      </c>
      <c r="N16" s="39">
        <f t="shared" si="15"/>
        <v>967.84</v>
      </c>
      <c r="O16" s="39">
        <f t="shared" si="16"/>
        <v>511.98736000000002</v>
      </c>
      <c r="P16" s="42">
        <f t="shared" si="10"/>
        <v>6983.5075904000005</v>
      </c>
      <c r="Q16" s="39"/>
      <c r="R16" s="39"/>
      <c r="S16" s="39"/>
      <c r="T16" s="39"/>
      <c r="U16" s="39"/>
      <c r="V16" s="39"/>
      <c r="W16" s="39"/>
      <c r="X16" s="39"/>
      <c r="Y16" s="39"/>
      <c r="Z16" s="39"/>
      <c r="AA16" s="39"/>
      <c r="AB16" s="39"/>
      <c r="AC16" s="39">
        <f t="shared" si="4"/>
        <v>0</v>
      </c>
      <c r="AD16" s="38">
        <f t="shared" si="5"/>
        <v>0</v>
      </c>
      <c r="AE16" s="38">
        <f t="shared" si="6"/>
        <v>0</v>
      </c>
    </row>
    <row r="17" spans="1:31" ht="32.25" customHeight="1" x14ac:dyDescent="0.3">
      <c r="A17" s="40">
        <v>44665</v>
      </c>
      <c r="B17" s="41">
        <v>67</v>
      </c>
      <c r="C17" s="39">
        <f t="shared" si="7"/>
        <v>3</v>
      </c>
      <c r="D17" s="41">
        <v>72</v>
      </c>
      <c r="E17" s="39">
        <f t="shared" si="8"/>
        <v>6</v>
      </c>
      <c r="F17" s="41">
        <v>71</v>
      </c>
      <c r="G17" s="39">
        <f t="shared" si="9"/>
        <v>1</v>
      </c>
      <c r="H17" s="41">
        <v>75</v>
      </c>
      <c r="I17" s="39">
        <f t="shared" si="11"/>
        <v>5</v>
      </c>
      <c r="J17" s="39">
        <f t="shared" si="12"/>
        <v>285</v>
      </c>
      <c r="K17" s="39">
        <f t="shared" si="13"/>
        <v>71.25</v>
      </c>
      <c r="L17" s="39">
        <f t="shared" si="14"/>
        <v>3.75</v>
      </c>
      <c r="M17" s="149">
        <f t="shared" si="17"/>
        <v>24196</v>
      </c>
      <c r="N17" s="39">
        <f t="shared" si="15"/>
        <v>907.35</v>
      </c>
      <c r="O17" s="39">
        <f t="shared" si="16"/>
        <v>479.98815000000002</v>
      </c>
      <c r="P17" s="42">
        <f t="shared" si="10"/>
        <v>6547.0383660000007</v>
      </c>
      <c r="Q17" s="39"/>
      <c r="R17" s="39"/>
      <c r="S17" s="39"/>
      <c r="T17" s="39"/>
      <c r="U17" s="39"/>
      <c r="V17" s="39"/>
      <c r="W17" s="39"/>
      <c r="X17" s="39"/>
      <c r="Y17" s="39"/>
      <c r="Z17" s="39"/>
      <c r="AA17" s="39"/>
      <c r="AB17" s="39"/>
      <c r="AC17" s="39">
        <f t="shared" si="4"/>
        <v>0</v>
      </c>
      <c r="AD17" s="38">
        <f t="shared" si="5"/>
        <v>0</v>
      </c>
      <c r="AE17" s="38">
        <f t="shared" si="6"/>
        <v>0</v>
      </c>
    </row>
    <row r="18" spans="1:31" ht="32.25" customHeight="1" x14ac:dyDescent="0.3">
      <c r="A18" s="40">
        <v>44666</v>
      </c>
      <c r="B18" s="41">
        <v>64</v>
      </c>
      <c r="C18" s="39">
        <f t="shared" si="7"/>
        <v>4</v>
      </c>
      <c r="D18" s="41">
        <v>66</v>
      </c>
      <c r="E18" s="39">
        <f t="shared" si="8"/>
        <v>4</v>
      </c>
      <c r="F18" s="41">
        <v>70</v>
      </c>
      <c r="G18" s="39">
        <f t="shared" si="9"/>
        <v>3</v>
      </c>
      <c r="H18" s="41">
        <v>70</v>
      </c>
      <c r="I18" s="39">
        <f t="shared" si="11"/>
        <v>4</v>
      </c>
      <c r="J18" s="39">
        <f t="shared" si="12"/>
        <v>270</v>
      </c>
      <c r="K18" s="39">
        <f t="shared" si="13"/>
        <v>67.5</v>
      </c>
      <c r="L18" s="39">
        <f t="shared" si="14"/>
        <v>3.75</v>
      </c>
      <c r="M18" s="149">
        <f t="shared" si="17"/>
        <v>24196</v>
      </c>
      <c r="N18" s="39">
        <f t="shared" si="15"/>
        <v>907.35</v>
      </c>
      <c r="O18" s="39">
        <f t="shared" si="16"/>
        <v>479.98815000000002</v>
      </c>
      <c r="P18" s="42">
        <f t="shared" si="10"/>
        <v>6547.0383660000007</v>
      </c>
      <c r="Q18" s="39"/>
      <c r="R18" s="39"/>
      <c r="S18" s="39"/>
      <c r="T18" s="39"/>
      <c r="U18" s="39"/>
      <c r="V18" s="39"/>
      <c r="W18" s="39"/>
      <c r="X18" s="39"/>
      <c r="Y18" s="39"/>
      <c r="Z18" s="39"/>
      <c r="AA18" s="39"/>
      <c r="AB18" s="39"/>
      <c r="AC18" s="39">
        <f t="shared" si="4"/>
        <v>0</v>
      </c>
      <c r="AD18" s="38">
        <f t="shared" si="5"/>
        <v>0</v>
      </c>
      <c r="AE18" s="38">
        <f t="shared" si="6"/>
        <v>0</v>
      </c>
    </row>
    <row r="19" spans="1:31" ht="32.25" customHeight="1" x14ac:dyDescent="0.3">
      <c r="A19" s="40">
        <v>44667</v>
      </c>
      <c r="B19" s="41">
        <v>60</v>
      </c>
      <c r="C19" s="39">
        <f t="shared" si="7"/>
        <v>5</v>
      </c>
      <c r="D19" s="41">
        <v>62</v>
      </c>
      <c r="E19" s="39">
        <f t="shared" si="8"/>
        <v>6</v>
      </c>
      <c r="F19" s="41">
        <v>67</v>
      </c>
      <c r="G19" s="39">
        <f t="shared" si="9"/>
        <v>5</v>
      </c>
      <c r="H19" s="41">
        <v>66</v>
      </c>
      <c r="I19" s="39">
        <f t="shared" si="11"/>
        <v>4</v>
      </c>
      <c r="J19" s="39">
        <f t="shared" si="12"/>
        <v>255</v>
      </c>
      <c r="K19" s="39">
        <f t="shared" si="13"/>
        <v>63.75</v>
      </c>
      <c r="L19" s="39">
        <f t="shared" si="14"/>
        <v>5</v>
      </c>
      <c r="M19" s="149">
        <f t="shared" si="17"/>
        <v>24196</v>
      </c>
      <c r="N19" s="39">
        <f t="shared" si="15"/>
        <v>1209.8</v>
      </c>
      <c r="O19" s="39">
        <f t="shared" si="16"/>
        <v>639.98419999999999</v>
      </c>
      <c r="P19" s="42">
        <f t="shared" si="10"/>
        <v>8729.3844879999997</v>
      </c>
      <c r="Q19" s="39"/>
      <c r="R19" s="39"/>
      <c r="S19" s="39"/>
      <c r="T19" s="39"/>
      <c r="U19" s="39"/>
      <c r="V19" s="39"/>
      <c r="W19" s="39"/>
      <c r="X19" s="39"/>
      <c r="Y19" s="39"/>
      <c r="Z19" s="39"/>
      <c r="AA19" s="39"/>
      <c r="AB19" s="39"/>
      <c r="AC19" s="39">
        <f t="shared" si="4"/>
        <v>0</v>
      </c>
      <c r="AD19" s="38">
        <f t="shared" si="5"/>
        <v>0</v>
      </c>
      <c r="AE19" s="38">
        <f t="shared" si="6"/>
        <v>0</v>
      </c>
    </row>
    <row r="20" spans="1:31" ht="32.25" customHeight="1" x14ac:dyDescent="0.3">
      <c r="A20" s="40">
        <v>44668</v>
      </c>
      <c r="B20" s="41">
        <v>55</v>
      </c>
      <c r="C20" s="39">
        <f t="shared" si="7"/>
        <v>5</v>
      </c>
      <c r="D20" s="41">
        <v>56</v>
      </c>
      <c r="E20" s="39">
        <f t="shared" si="8"/>
        <v>2</v>
      </c>
      <c r="F20" s="41">
        <v>62</v>
      </c>
      <c r="G20" s="39">
        <f t="shared" si="9"/>
        <v>7</v>
      </c>
      <c r="H20" s="41">
        <v>62</v>
      </c>
      <c r="I20" s="39">
        <f t="shared" si="11"/>
        <v>2</v>
      </c>
      <c r="J20" s="39">
        <f t="shared" si="12"/>
        <v>235</v>
      </c>
      <c r="K20" s="39">
        <f t="shared" si="13"/>
        <v>58.75</v>
      </c>
      <c r="L20" s="39">
        <f t="shared" ref="L20:L42" si="18">IF(AC20&gt;0,((K20-AD20)+(AE20-K21)),IF(K21=0, ,(K20-K21)))</f>
        <v>4</v>
      </c>
      <c r="M20" s="149">
        <f t="shared" si="17"/>
        <v>24196</v>
      </c>
      <c r="N20" s="39">
        <f t="shared" si="15"/>
        <v>967.84</v>
      </c>
      <c r="O20" s="39">
        <f t="shared" si="16"/>
        <v>511.98736000000002</v>
      </c>
      <c r="P20" s="42">
        <f t="shared" si="10"/>
        <v>6983.5075904000005</v>
      </c>
      <c r="Q20" s="39"/>
      <c r="R20" s="39"/>
      <c r="S20" s="39"/>
      <c r="T20" s="39"/>
      <c r="U20" s="39"/>
      <c r="V20" s="39"/>
      <c r="W20" s="39"/>
      <c r="X20" s="39"/>
      <c r="Y20" s="39"/>
      <c r="Z20" s="39"/>
      <c r="AA20" s="39"/>
      <c r="AB20" s="39"/>
      <c r="AC20" s="39">
        <f t="shared" si="4"/>
        <v>0</v>
      </c>
      <c r="AD20" s="38">
        <f t="shared" si="5"/>
        <v>0</v>
      </c>
      <c r="AE20" s="38">
        <f t="shared" si="6"/>
        <v>0</v>
      </c>
    </row>
    <row r="21" spans="1:31" ht="32.25" customHeight="1" x14ac:dyDescent="0.3">
      <c r="A21" s="40">
        <v>44669</v>
      </c>
      <c r="B21" s="41">
        <v>50</v>
      </c>
      <c r="C21" s="39">
        <f t="shared" si="7"/>
        <v>5</v>
      </c>
      <c r="D21" s="41">
        <v>54</v>
      </c>
      <c r="E21" s="39">
        <f t="shared" si="8"/>
        <v>4</v>
      </c>
      <c r="F21" s="41">
        <v>55</v>
      </c>
      <c r="G21" s="39">
        <f t="shared" si="9"/>
        <v>5</v>
      </c>
      <c r="H21" s="41">
        <v>60</v>
      </c>
      <c r="I21" s="39">
        <f t="shared" si="11"/>
        <v>5</v>
      </c>
      <c r="J21" s="39">
        <f t="shared" si="12"/>
        <v>219</v>
      </c>
      <c r="K21" s="39">
        <f t="shared" si="13"/>
        <v>54.75</v>
      </c>
      <c r="L21" s="39">
        <f>IF(AC21&gt;0,((K21-AD21)+(AE21-K22)),IF(K22=0, ,(K21-K22)))</f>
        <v>4.75</v>
      </c>
      <c r="M21" s="149">
        <f t="shared" si="17"/>
        <v>24196</v>
      </c>
      <c r="N21" s="39">
        <f t="shared" si="15"/>
        <v>1149.31</v>
      </c>
      <c r="O21" s="39">
        <f t="shared" si="16"/>
        <v>607.98499000000004</v>
      </c>
      <c r="P21" s="42">
        <f t="shared" si="10"/>
        <v>8292.9152636000017</v>
      </c>
      <c r="Q21" s="39"/>
      <c r="R21" s="39"/>
      <c r="S21" s="39"/>
      <c r="T21" s="39"/>
      <c r="U21" s="39"/>
      <c r="V21" s="39"/>
      <c r="W21" s="39"/>
      <c r="X21" s="39"/>
      <c r="Y21" s="39"/>
      <c r="Z21" s="39"/>
      <c r="AA21" s="39"/>
      <c r="AB21" s="39"/>
      <c r="AC21" s="39">
        <f t="shared" si="4"/>
        <v>0</v>
      </c>
      <c r="AD21" s="38">
        <f t="shared" si="5"/>
        <v>0</v>
      </c>
      <c r="AE21" s="38">
        <f t="shared" si="6"/>
        <v>0</v>
      </c>
    </row>
    <row r="22" spans="1:31" ht="32.25" customHeight="1" x14ac:dyDescent="0.3">
      <c r="A22" s="40">
        <v>44670</v>
      </c>
      <c r="B22" s="41">
        <v>45</v>
      </c>
      <c r="C22" s="39">
        <f t="shared" si="7"/>
        <v>3</v>
      </c>
      <c r="D22" s="41">
        <v>50</v>
      </c>
      <c r="E22" s="39">
        <f t="shared" si="8"/>
        <v>7</v>
      </c>
      <c r="F22" s="41">
        <v>50</v>
      </c>
      <c r="G22" s="39">
        <f t="shared" si="9"/>
        <v>5</v>
      </c>
      <c r="H22" s="41">
        <v>55</v>
      </c>
      <c r="I22" s="39">
        <f t="shared" si="11"/>
        <v>6</v>
      </c>
      <c r="J22" s="39">
        <f t="shared" si="12"/>
        <v>200</v>
      </c>
      <c r="K22" s="39">
        <f t="shared" si="13"/>
        <v>50</v>
      </c>
      <c r="L22" s="39">
        <f>IF(AC22&gt;0,((K22-AD22)+(AE22-K23)),IF(K23=0, ,(K22-K23)))</f>
        <v>5.25</v>
      </c>
      <c r="M22" s="149">
        <f t="shared" si="17"/>
        <v>24196</v>
      </c>
      <c r="N22" s="39">
        <f t="shared" si="15"/>
        <v>1270.29</v>
      </c>
      <c r="O22" s="39">
        <f t="shared" si="16"/>
        <v>671.98341000000005</v>
      </c>
      <c r="P22" s="42">
        <f t="shared" si="10"/>
        <v>9165.8537124000013</v>
      </c>
      <c r="Q22" s="39">
        <v>1727</v>
      </c>
      <c r="R22" s="39">
        <v>42</v>
      </c>
      <c r="S22" s="39">
        <v>68</v>
      </c>
      <c r="T22" s="39">
        <v>1804</v>
      </c>
      <c r="U22" s="39">
        <v>45</v>
      </c>
      <c r="V22" s="39">
        <v>66</v>
      </c>
      <c r="W22" s="39">
        <v>1740</v>
      </c>
      <c r="X22" s="39">
        <v>45</v>
      </c>
      <c r="Y22" s="39">
        <v>70</v>
      </c>
      <c r="Z22" s="39">
        <v>1780</v>
      </c>
      <c r="AA22" s="39">
        <v>50</v>
      </c>
      <c r="AB22" s="39">
        <v>75</v>
      </c>
      <c r="AC22" s="39">
        <f>Q22+T22+W22+Z22</f>
        <v>7051</v>
      </c>
      <c r="AD22" s="38">
        <f t="shared" si="5"/>
        <v>45.5</v>
      </c>
      <c r="AE22" s="38">
        <f t="shared" si="6"/>
        <v>69.75</v>
      </c>
    </row>
    <row r="23" spans="1:31" ht="32.25" customHeight="1" x14ac:dyDescent="0.3">
      <c r="A23" s="40">
        <v>44671</v>
      </c>
      <c r="B23" s="41">
        <v>68</v>
      </c>
      <c r="C23" s="39">
        <f t="shared" si="7"/>
        <v>14</v>
      </c>
      <c r="D23" s="41">
        <v>64</v>
      </c>
      <c r="E23" s="39">
        <f t="shared" si="8"/>
        <v>4</v>
      </c>
      <c r="F23" s="41">
        <v>70</v>
      </c>
      <c r="G23" s="39">
        <f t="shared" si="9"/>
        <v>6</v>
      </c>
      <c r="H23" s="41">
        <v>74</v>
      </c>
      <c r="I23" s="39">
        <f t="shared" si="11"/>
        <v>4</v>
      </c>
      <c r="J23" s="39">
        <f t="shared" si="12"/>
        <v>276</v>
      </c>
      <c r="K23" s="39">
        <f t="shared" si="13"/>
        <v>69</v>
      </c>
      <c r="L23" s="39">
        <f t="shared" si="18"/>
        <v>7</v>
      </c>
      <c r="M23" s="149">
        <f t="shared" si="17"/>
        <v>24196</v>
      </c>
      <c r="N23" s="39">
        <f t="shared" si="15"/>
        <v>1693.72</v>
      </c>
      <c r="O23" s="39">
        <f t="shared" si="16"/>
        <v>895.97788000000003</v>
      </c>
      <c r="P23" s="42">
        <f t="shared" si="10"/>
        <v>12221.138283200002</v>
      </c>
      <c r="Q23" s="39"/>
      <c r="R23" s="39"/>
      <c r="S23" s="39"/>
      <c r="T23" s="39"/>
      <c r="U23" s="39"/>
      <c r="V23" s="39"/>
      <c r="W23" s="39"/>
      <c r="X23" s="39"/>
      <c r="Y23" s="39"/>
      <c r="Z23" s="39"/>
      <c r="AA23" s="39"/>
      <c r="AB23" s="39"/>
      <c r="AC23" s="39">
        <f t="shared" si="4"/>
        <v>0</v>
      </c>
      <c r="AD23" s="38">
        <f t="shared" si="5"/>
        <v>0</v>
      </c>
      <c r="AE23" s="38">
        <f t="shared" si="6"/>
        <v>0</v>
      </c>
    </row>
    <row r="24" spans="1:31" ht="32.25" customHeight="1" x14ac:dyDescent="0.3">
      <c r="A24" s="40">
        <v>44672</v>
      </c>
      <c r="B24" s="41">
        <v>54</v>
      </c>
      <c r="C24" s="39">
        <f t="shared" si="7"/>
        <v>0</v>
      </c>
      <c r="D24" s="41">
        <v>60</v>
      </c>
      <c r="E24" s="39">
        <f t="shared" si="8"/>
        <v>1</v>
      </c>
      <c r="F24" s="41">
        <v>64</v>
      </c>
      <c r="G24" s="39">
        <f t="shared" si="9"/>
        <v>3</v>
      </c>
      <c r="H24" s="41">
        <v>70</v>
      </c>
      <c r="I24" s="39">
        <f t="shared" si="11"/>
        <v>5</v>
      </c>
      <c r="J24" s="39">
        <f t="shared" si="12"/>
        <v>248</v>
      </c>
      <c r="K24" s="39">
        <f t="shared" si="13"/>
        <v>62</v>
      </c>
      <c r="L24" s="39">
        <f t="shared" si="18"/>
        <v>2.25</v>
      </c>
      <c r="M24" s="149">
        <f t="shared" si="17"/>
        <v>24196</v>
      </c>
      <c r="N24" s="39">
        <f t="shared" si="15"/>
        <v>544.41</v>
      </c>
      <c r="O24" s="39">
        <f t="shared" si="16"/>
        <v>287.99288999999999</v>
      </c>
      <c r="P24" s="42">
        <f t="shared" si="10"/>
        <v>3928.2230196</v>
      </c>
      <c r="Q24" s="39"/>
      <c r="R24" s="39"/>
      <c r="S24" s="39"/>
      <c r="T24" s="39"/>
      <c r="U24" s="39"/>
      <c r="V24" s="39"/>
      <c r="W24" s="39"/>
      <c r="X24" s="39"/>
      <c r="Y24" s="39"/>
      <c r="Z24" s="39"/>
      <c r="AA24" s="39"/>
      <c r="AB24" s="39"/>
      <c r="AC24" s="39">
        <f t="shared" si="4"/>
        <v>0</v>
      </c>
      <c r="AD24" s="38">
        <f t="shared" si="5"/>
        <v>0</v>
      </c>
      <c r="AE24" s="38">
        <f t="shared" si="6"/>
        <v>0</v>
      </c>
    </row>
    <row r="25" spans="1:31" ht="32.25" customHeight="1" x14ac:dyDescent="0.3">
      <c r="A25" s="40">
        <v>44673</v>
      </c>
      <c r="B25" s="41">
        <v>54</v>
      </c>
      <c r="C25" s="39">
        <f t="shared" si="7"/>
        <v>4</v>
      </c>
      <c r="D25" s="41">
        <v>59</v>
      </c>
      <c r="E25" s="39">
        <f t="shared" si="8"/>
        <v>3</v>
      </c>
      <c r="F25" s="41">
        <v>61</v>
      </c>
      <c r="G25" s="39">
        <f t="shared" si="9"/>
        <v>3</v>
      </c>
      <c r="H25" s="41">
        <v>65</v>
      </c>
      <c r="I25" s="39">
        <f t="shared" si="11"/>
        <v>4</v>
      </c>
      <c r="J25" s="39">
        <f t="shared" si="12"/>
        <v>239</v>
      </c>
      <c r="K25" s="39">
        <f t="shared" si="13"/>
        <v>59.75</v>
      </c>
      <c r="L25" s="39">
        <f t="shared" si="18"/>
        <v>3.5</v>
      </c>
      <c r="M25" s="149">
        <f t="shared" si="17"/>
        <v>24196</v>
      </c>
      <c r="N25" s="39">
        <f t="shared" si="15"/>
        <v>846.86</v>
      </c>
      <c r="O25" s="167">
        <f t="shared" si="16"/>
        <v>447.98894000000001</v>
      </c>
      <c r="P25" s="42">
        <f t="shared" si="10"/>
        <v>6110.5691416000009</v>
      </c>
      <c r="Q25" s="39"/>
      <c r="R25" s="39"/>
      <c r="S25" s="39"/>
      <c r="T25" s="39"/>
      <c r="U25" s="39"/>
      <c r="V25" s="39"/>
      <c r="W25" s="39"/>
      <c r="X25" s="39"/>
      <c r="Y25" s="39"/>
      <c r="Z25" s="39"/>
      <c r="AA25" s="39"/>
      <c r="AB25" s="39"/>
      <c r="AC25" s="39">
        <f t="shared" si="4"/>
        <v>0</v>
      </c>
      <c r="AD25" s="38">
        <f t="shared" ref="AD25:AD42" si="19">(R25+U25+X25+AA25)/4</f>
        <v>0</v>
      </c>
      <c r="AE25" s="38">
        <f>(S25+V25+Y25+AB25)/4</f>
        <v>0</v>
      </c>
    </row>
    <row r="26" spans="1:31" ht="32.25" customHeight="1" x14ac:dyDescent="0.3">
      <c r="A26" s="40">
        <v>44674</v>
      </c>
      <c r="B26" s="41">
        <v>50</v>
      </c>
      <c r="C26" s="39">
        <f t="shared" si="7"/>
        <v>5</v>
      </c>
      <c r="D26" s="41">
        <v>56</v>
      </c>
      <c r="E26" s="39">
        <f t="shared" si="8"/>
        <v>6</v>
      </c>
      <c r="F26" s="41">
        <v>58</v>
      </c>
      <c r="G26" s="39">
        <f t="shared" si="9"/>
        <v>5</v>
      </c>
      <c r="H26" s="41">
        <v>61</v>
      </c>
      <c r="I26" s="39">
        <f t="shared" si="11"/>
        <v>3</v>
      </c>
      <c r="J26" s="39">
        <f t="shared" si="12"/>
        <v>225</v>
      </c>
      <c r="K26" s="39">
        <f t="shared" si="13"/>
        <v>56.25</v>
      </c>
      <c r="L26" s="39">
        <f t="shared" si="18"/>
        <v>4.75</v>
      </c>
      <c r="M26" s="149">
        <f t="shared" si="17"/>
        <v>24196</v>
      </c>
      <c r="N26" s="39">
        <f t="shared" si="15"/>
        <v>1149.31</v>
      </c>
      <c r="O26" s="39">
        <f t="shared" si="16"/>
        <v>607.98499000000004</v>
      </c>
      <c r="P26" s="42">
        <f t="shared" si="10"/>
        <v>8292.9152636000017</v>
      </c>
      <c r="Q26" s="39">
        <v>3270</v>
      </c>
      <c r="R26" s="39">
        <v>45</v>
      </c>
      <c r="S26" s="39">
        <v>85</v>
      </c>
      <c r="T26" s="39">
        <v>2826</v>
      </c>
      <c r="U26" s="39">
        <v>50</v>
      </c>
      <c r="V26" s="39">
        <v>85</v>
      </c>
      <c r="W26" s="39">
        <v>2508</v>
      </c>
      <c r="X26" s="39">
        <v>53</v>
      </c>
      <c r="Y26" s="39">
        <v>85</v>
      </c>
      <c r="Z26" s="39">
        <v>2314</v>
      </c>
      <c r="AA26" s="39">
        <v>58</v>
      </c>
      <c r="AB26" s="39">
        <v>85</v>
      </c>
      <c r="AC26" s="39">
        <f t="shared" ref="AC26:AC43" si="20">Q26+T26+W26+Z26</f>
        <v>10918</v>
      </c>
      <c r="AD26" s="38">
        <f t="shared" si="19"/>
        <v>51.5</v>
      </c>
      <c r="AE26" s="38">
        <f>(S26+V26+Y26+AB26)/4</f>
        <v>85</v>
      </c>
    </row>
    <row r="27" spans="1:31" ht="32.25" customHeight="1" x14ac:dyDescent="0.3">
      <c r="A27" s="40">
        <v>44675</v>
      </c>
      <c r="B27" s="41">
        <v>85</v>
      </c>
      <c r="C27" s="39">
        <f t="shared" ref="C27" si="21">IF(AC27&gt;0,((B27-R27)+(S27-B28)),IF(B28=0, ,(B27-B28)))</f>
        <v>5</v>
      </c>
      <c r="D27" s="41">
        <v>85</v>
      </c>
      <c r="E27" s="39">
        <f t="shared" ref="E27" si="22">IF(AC27&gt;0,((D27-U27)+(V27-D28)),IF(D28=0, ,(D27-D28)))</f>
        <v>3</v>
      </c>
      <c r="F27" s="41">
        <v>85</v>
      </c>
      <c r="G27" s="39">
        <f t="shared" ref="G27" si="23">IF(AC27&gt;0,((F27-X27)+(Y27-F28)),IF(F28=0, ,(F27-F28)))</f>
        <v>3</v>
      </c>
      <c r="H27" s="41">
        <v>85</v>
      </c>
      <c r="I27" s="39">
        <f t="shared" si="11"/>
        <v>3</v>
      </c>
      <c r="J27" s="39">
        <f t="shared" si="12"/>
        <v>340</v>
      </c>
      <c r="K27" s="39">
        <f t="shared" si="13"/>
        <v>85</v>
      </c>
      <c r="L27" s="39">
        <f t="shared" si="18"/>
        <v>3.5</v>
      </c>
      <c r="M27" s="149">
        <f t="shared" si="17"/>
        <v>24196</v>
      </c>
      <c r="N27" s="39">
        <f t="shared" si="15"/>
        <v>846.86</v>
      </c>
      <c r="O27" s="39">
        <f t="shared" si="16"/>
        <v>447.98894000000001</v>
      </c>
      <c r="P27" s="42">
        <f t="shared" si="10"/>
        <v>6110.5691416000009</v>
      </c>
      <c r="Q27" s="39"/>
      <c r="R27" s="39"/>
      <c r="S27" s="39"/>
      <c r="T27" s="39"/>
      <c r="U27" s="39"/>
      <c r="V27" s="39"/>
      <c r="W27" s="39"/>
      <c r="X27" s="39"/>
      <c r="Y27" s="39"/>
      <c r="Z27" s="39"/>
      <c r="AA27" s="39"/>
      <c r="AB27" s="39"/>
      <c r="AC27" s="39">
        <f t="shared" si="20"/>
        <v>0</v>
      </c>
      <c r="AD27" s="38">
        <f t="shared" si="19"/>
        <v>0</v>
      </c>
      <c r="AE27" s="38">
        <f>(S27+V27+Y27+AB27)/4</f>
        <v>0</v>
      </c>
    </row>
    <row r="28" spans="1:31" ht="32.25" customHeight="1" x14ac:dyDescent="0.3">
      <c r="A28" s="40">
        <v>44676</v>
      </c>
      <c r="B28" s="41">
        <v>80</v>
      </c>
      <c r="C28" s="39">
        <f t="shared" si="7"/>
        <v>4</v>
      </c>
      <c r="D28" s="41">
        <v>82</v>
      </c>
      <c r="E28" s="39">
        <f t="shared" si="8"/>
        <v>4</v>
      </c>
      <c r="F28" s="41">
        <v>82</v>
      </c>
      <c r="G28" s="39">
        <f t="shared" si="9"/>
        <v>2</v>
      </c>
      <c r="H28" s="41">
        <v>82</v>
      </c>
      <c r="I28" s="39">
        <f>IF(AC28&gt;0,((H28-AA28)+(AB28-H29)),IF(H29=0, ,(H28-H29)))</f>
        <v>2</v>
      </c>
      <c r="J28" s="39">
        <f t="shared" si="12"/>
        <v>326</v>
      </c>
      <c r="K28" s="39">
        <f t="shared" si="13"/>
        <v>81.5</v>
      </c>
      <c r="L28" s="39">
        <f t="shared" si="18"/>
        <v>3</v>
      </c>
      <c r="M28" s="149">
        <f t="shared" si="17"/>
        <v>24196</v>
      </c>
      <c r="N28" s="39">
        <f t="shared" si="15"/>
        <v>725.88</v>
      </c>
      <c r="O28" s="39">
        <f t="shared" si="16"/>
        <v>383.99052</v>
      </c>
      <c r="P28" s="42">
        <f t="shared" si="10"/>
        <v>5237.6306928000004</v>
      </c>
      <c r="Q28" s="39"/>
      <c r="R28" s="39"/>
      <c r="S28" s="39"/>
      <c r="T28" s="39"/>
      <c r="U28" s="39"/>
      <c r="V28" s="39"/>
      <c r="W28" s="39"/>
      <c r="X28" s="39"/>
      <c r="Y28" s="39"/>
      <c r="Z28" s="39"/>
      <c r="AA28" s="39"/>
      <c r="AB28" s="39"/>
      <c r="AC28" s="39">
        <f t="shared" si="20"/>
        <v>0</v>
      </c>
      <c r="AD28" s="38">
        <f t="shared" si="19"/>
        <v>0</v>
      </c>
      <c r="AE28" s="38">
        <f>(S28+V28+Y28+AB28)/4</f>
        <v>0</v>
      </c>
    </row>
    <row r="29" spans="1:31" ht="32.25" customHeight="1" x14ac:dyDescent="0.3">
      <c r="A29" s="40">
        <v>44677</v>
      </c>
      <c r="B29" s="41">
        <v>76</v>
      </c>
      <c r="C29" s="39">
        <f t="shared" si="7"/>
        <v>5</v>
      </c>
      <c r="D29" s="41">
        <v>78</v>
      </c>
      <c r="E29" s="39">
        <f t="shared" si="8"/>
        <v>3</v>
      </c>
      <c r="F29" s="41">
        <v>80</v>
      </c>
      <c r="G29" s="39">
        <f t="shared" si="9"/>
        <v>3</v>
      </c>
      <c r="H29" s="41">
        <v>80</v>
      </c>
      <c r="I29" s="39">
        <f t="shared" si="11"/>
        <v>4</v>
      </c>
      <c r="J29" s="39">
        <f t="shared" si="12"/>
        <v>314</v>
      </c>
      <c r="K29" s="39">
        <f t="shared" si="13"/>
        <v>78.5</v>
      </c>
      <c r="L29" s="39">
        <f t="shared" si="18"/>
        <v>3.75</v>
      </c>
      <c r="M29" s="149">
        <f t="shared" si="17"/>
        <v>24196</v>
      </c>
      <c r="N29" s="39">
        <f t="shared" si="15"/>
        <v>907.35</v>
      </c>
      <c r="O29" s="39">
        <f t="shared" si="16"/>
        <v>479.98815000000002</v>
      </c>
      <c r="P29" s="42">
        <f t="shared" si="10"/>
        <v>6547.0383660000007</v>
      </c>
      <c r="Q29" s="39"/>
      <c r="R29" s="39"/>
      <c r="S29" s="39"/>
      <c r="T29" s="39"/>
      <c r="U29" s="39"/>
      <c r="V29" s="39"/>
      <c r="W29" s="39"/>
      <c r="X29" s="39"/>
      <c r="Y29" s="39"/>
      <c r="Z29" s="39"/>
      <c r="AA29" s="39"/>
      <c r="AB29" s="39"/>
      <c r="AC29" s="39">
        <f>Q29+T29+W29+Z29</f>
        <v>0</v>
      </c>
      <c r="AD29" s="38">
        <f t="shared" si="19"/>
        <v>0</v>
      </c>
      <c r="AE29" s="38">
        <f>(S29+V29+Y29+AB29)/4</f>
        <v>0</v>
      </c>
    </row>
    <row r="30" spans="1:31" ht="32.25" customHeight="1" x14ac:dyDescent="0.3">
      <c r="A30" s="40">
        <v>44678</v>
      </c>
      <c r="B30" s="41">
        <v>71</v>
      </c>
      <c r="C30" s="39">
        <f t="shared" si="7"/>
        <v>1</v>
      </c>
      <c r="D30" s="41">
        <v>75</v>
      </c>
      <c r="E30" s="39">
        <f t="shared" si="8"/>
        <v>5</v>
      </c>
      <c r="F30" s="41">
        <v>77</v>
      </c>
      <c r="G30" s="39">
        <f t="shared" si="9"/>
        <v>5</v>
      </c>
      <c r="H30" s="41">
        <v>76</v>
      </c>
      <c r="I30" s="39">
        <f t="shared" si="11"/>
        <v>2</v>
      </c>
      <c r="J30" s="39">
        <f t="shared" si="12"/>
        <v>299</v>
      </c>
      <c r="K30" s="39">
        <f t="shared" si="13"/>
        <v>74.75</v>
      </c>
      <c r="L30" s="39">
        <f t="shared" si="18"/>
        <v>3.25</v>
      </c>
      <c r="M30" s="149">
        <f t="shared" si="17"/>
        <v>24196</v>
      </c>
      <c r="N30" s="39">
        <f t="shared" si="15"/>
        <v>786.37</v>
      </c>
      <c r="O30" s="39">
        <f t="shared" si="16"/>
        <v>415.98973000000001</v>
      </c>
      <c r="P30" s="42">
        <f t="shared" si="10"/>
        <v>5674.0999172000002</v>
      </c>
      <c r="Q30" s="39"/>
      <c r="R30" s="39"/>
      <c r="S30" s="39"/>
      <c r="T30" s="39"/>
      <c r="U30" s="39"/>
      <c r="V30" s="39"/>
      <c r="W30" s="39"/>
      <c r="X30" s="39"/>
      <c r="Y30" s="39"/>
      <c r="Z30" s="39"/>
      <c r="AA30" s="39"/>
      <c r="AB30" s="39"/>
      <c r="AC30" s="39">
        <f t="shared" si="20"/>
        <v>0</v>
      </c>
      <c r="AD30" s="38">
        <f t="shared" si="19"/>
        <v>0</v>
      </c>
      <c r="AE30" s="38">
        <f t="shared" ref="AE30:AE42" si="24">(S30+V30+Y30+AB30)/4</f>
        <v>0</v>
      </c>
    </row>
    <row r="31" spans="1:31" ht="32.25" customHeight="1" x14ac:dyDescent="0.3">
      <c r="A31" s="40">
        <v>44679</v>
      </c>
      <c r="B31" s="41">
        <v>70</v>
      </c>
      <c r="C31" s="39">
        <f t="shared" si="7"/>
        <v>5</v>
      </c>
      <c r="D31" s="41">
        <v>70</v>
      </c>
      <c r="E31" s="39">
        <f t="shared" si="8"/>
        <v>4</v>
      </c>
      <c r="F31" s="41">
        <v>72</v>
      </c>
      <c r="G31" s="39">
        <f t="shared" si="9"/>
        <v>2</v>
      </c>
      <c r="H31" s="41">
        <v>74</v>
      </c>
      <c r="I31" s="39">
        <f t="shared" si="11"/>
        <v>4</v>
      </c>
      <c r="J31" s="39">
        <f t="shared" si="12"/>
        <v>286</v>
      </c>
      <c r="K31" s="39">
        <f t="shared" si="13"/>
        <v>71.5</v>
      </c>
      <c r="L31" s="39">
        <f t="shared" si="18"/>
        <v>3.75</v>
      </c>
      <c r="M31" s="149">
        <f t="shared" si="17"/>
        <v>24196</v>
      </c>
      <c r="N31" s="39">
        <f t="shared" si="15"/>
        <v>907.35</v>
      </c>
      <c r="O31" s="39">
        <f t="shared" si="16"/>
        <v>479.98815000000002</v>
      </c>
      <c r="P31" s="42">
        <f t="shared" si="10"/>
        <v>6547.0383660000007</v>
      </c>
      <c r="Q31" s="39"/>
      <c r="R31" s="39"/>
      <c r="S31" s="39"/>
      <c r="T31" s="39"/>
      <c r="U31" s="39"/>
      <c r="V31" s="39"/>
      <c r="W31" s="39"/>
      <c r="X31" s="39"/>
      <c r="Y31" s="39"/>
      <c r="Z31" s="39"/>
      <c r="AA31" s="39"/>
      <c r="AB31" s="39"/>
      <c r="AC31" s="39">
        <f t="shared" si="20"/>
        <v>0</v>
      </c>
      <c r="AD31" s="38">
        <f t="shared" si="19"/>
        <v>0</v>
      </c>
      <c r="AE31" s="38">
        <f t="shared" si="24"/>
        <v>0</v>
      </c>
    </row>
    <row r="32" spans="1:31" ht="32.25" customHeight="1" x14ac:dyDescent="0.3">
      <c r="A32" s="40">
        <v>44680</v>
      </c>
      <c r="B32" s="41">
        <v>65</v>
      </c>
      <c r="C32" s="39">
        <f t="shared" si="7"/>
        <v>3</v>
      </c>
      <c r="D32" s="41">
        <v>66</v>
      </c>
      <c r="E32" s="39">
        <f t="shared" si="8"/>
        <v>6</v>
      </c>
      <c r="F32" s="41">
        <v>70</v>
      </c>
      <c r="G32" s="39">
        <f t="shared" si="9"/>
        <v>6</v>
      </c>
      <c r="H32" s="41">
        <v>70</v>
      </c>
      <c r="I32" s="39">
        <f t="shared" si="11"/>
        <v>6</v>
      </c>
      <c r="J32" s="39">
        <f t="shared" si="12"/>
        <v>271</v>
      </c>
      <c r="K32" s="39">
        <f t="shared" si="13"/>
        <v>67.75</v>
      </c>
      <c r="L32" s="39">
        <f t="shared" si="18"/>
        <v>5.25</v>
      </c>
      <c r="M32" s="149">
        <f t="shared" si="17"/>
        <v>24196</v>
      </c>
      <c r="N32" s="39">
        <f t="shared" si="15"/>
        <v>1270.29</v>
      </c>
      <c r="O32" s="149">
        <f t="shared" si="16"/>
        <v>671.98341000000005</v>
      </c>
      <c r="P32" s="42">
        <f t="shared" si="10"/>
        <v>9165.8537124000013</v>
      </c>
      <c r="Q32" s="39">
        <v>1840</v>
      </c>
      <c r="R32" s="39">
        <v>62</v>
      </c>
      <c r="S32" s="39">
        <v>85</v>
      </c>
      <c r="T32" s="39">
        <v>1983</v>
      </c>
      <c r="U32" s="39">
        <v>60</v>
      </c>
      <c r="V32" s="39">
        <v>85</v>
      </c>
      <c r="W32" s="39">
        <v>1880</v>
      </c>
      <c r="X32" s="39">
        <v>64</v>
      </c>
      <c r="Y32" s="39">
        <v>85</v>
      </c>
      <c r="Z32" s="39">
        <v>1820</v>
      </c>
      <c r="AA32" s="39">
        <v>64</v>
      </c>
      <c r="AB32" s="39">
        <v>85</v>
      </c>
      <c r="AC32" s="39">
        <f>Q32+T32+W32+Z32</f>
        <v>7523</v>
      </c>
      <c r="AD32" s="38">
        <f t="shared" si="19"/>
        <v>62.5</v>
      </c>
      <c r="AE32" s="38">
        <f t="shared" si="24"/>
        <v>85</v>
      </c>
    </row>
    <row r="33" spans="1:31" ht="32.25" customHeight="1" x14ac:dyDescent="0.3">
      <c r="A33" s="40">
        <v>44681</v>
      </c>
      <c r="B33" s="41">
        <v>85</v>
      </c>
      <c r="C33" s="39">
        <f t="shared" si="7"/>
        <v>5</v>
      </c>
      <c r="D33" s="41">
        <v>85</v>
      </c>
      <c r="E33" s="39">
        <f t="shared" si="8"/>
        <v>0</v>
      </c>
      <c r="F33" s="41">
        <v>85</v>
      </c>
      <c r="G33" s="39">
        <f t="shared" si="9"/>
        <v>0</v>
      </c>
      <c r="H33" s="41">
        <v>85</v>
      </c>
      <c r="I33" s="39">
        <f t="shared" si="11"/>
        <v>0</v>
      </c>
      <c r="J33" s="39">
        <f t="shared" si="12"/>
        <v>340</v>
      </c>
      <c r="K33" s="39">
        <f t="shared" si="13"/>
        <v>85</v>
      </c>
      <c r="L33" s="39">
        <f t="shared" si="18"/>
        <v>1.25</v>
      </c>
      <c r="M33" s="149">
        <f t="shared" si="17"/>
        <v>24196</v>
      </c>
      <c r="N33" s="39">
        <f t="shared" si="15"/>
        <v>302.45</v>
      </c>
      <c r="O33" s="39">
        <f t="shared" si="16"/>
        <v>159.99605</v>
      </c>
      <c r="P33" s="42">
        <f t="shared" si="10"/>
        <v>2182.3461219999999</v>
      </c>
      <c r="Q33" s="39"/>
      <c r="R33" s="39"/>
      <c r="S33" s="39"/>
      <c r="T33" s="39"/>
      <c r="U33" s="39"/>
      <c r="V33" s="39"/>
      <c r="W33" s="39"/>
      <c r="X33" s="39"/>
      <c r="Y33" s="39"/>
      <c r="Z33" s="39"/>
      <c r="AA33" s="39"/>
      <c r="AB33" s="39"/>
      <c r="AC33" s="39">
        <f>Q33+T33+W33+Z33</f>
        <v>0</v>
      </c>
      <c r="AD33" s="38">
        <f t="shared" si="19"/>
        <v>0</v>
      </c>
      <c r="AE33" s="38">
        <f t="shared" si="24"/>
        <v>0</v>
      </c>
    </row>
    <row r="34" spans="1:31" ht="32.25" customHeight="1" x14ac:dyDescent="0.3">
      <c r="A34" s="40">
        <v>44682</v>
      </c>
      <c r="B34" s="41">
        <v>80</v>
      </c>
      <c r="C34" s="39">
        <f t="shared" si="7"/>
        <v>0</v>
      </c>
      <c r="D34" s="41">
        <v>85</v>
      </c>
      <c r="E34" s="39">
        <f t="shared" si="8"/>
        <v>0</v>
      </c>
      <c r="F34" s="41">
        <v>85</v>
      </c>
      <c r="G34" s="39">
        <f t="shared" si="9"/>
        <v>0</v>
      </c>
      <c r="H34" s="41">
        <v>85</v>
      </c>
      <c r="I34" s="39">
        <f t="shared" si="11"/>
        <v>0</v>
      </c>
      <c r="J34" s="39">
        <f>B34+D34+F34+H34</f>
        <v>335</v>
      </c>
      <c r="K34" s="39">
        <f>J34/4</f>
        <v>83.75</v>
      </c>
      <c r="L34" s="39">
        <f>IF(AC34&gt;0,((K34-AD34)+(AE34-K35)),IF(K35=0, ,(K34-K35)))</f>
        <v>0</v>
      </c>
      <c r="M34" s="149">
        <f t="shared" si="17"/>
        <v>24196</v>
      </c>
      <c r="N34" s="39">
        <f>L34*M34/100</f>
        <v>0</v>
      </c>
      <c r="O34" s="39">
        <f>N34*0.529</f>
        <v>0</v>
      </c>
      <c r="P34" s="42">
        <f t="shared" si="10"/>
        <v>0</v>
      </c>
      <c r="Q34" s="39"/>
      <c r="R34" s="39"/>
      <c r="S34" s="39"/>
      <c r="T34" s="39"/>
      <c r="U34" s="39"/>
      <c r="V34" s="39"/>
      <c r="W34" s="39"/>
      <c r="X34" s="39"/>
      <c r="Y34" s="39"/>
      <c r="Z34" s="39"/>
      <c r="AA34" s="39"/>
      <c r="AB34" s="39"/>
      <c r="AC34" s="39">
        <f t="shared" si="20"/>
        <v>0</v>
      </c>
      <c r="AD34" s="38">
        <f t="shared" si="19"/>
        <v>0</v>
      </c>
      <c r="AE34" s="38">
        <f t="shared" si="24"/>
        <v>0</v>
      </c>
    </row>
    <row r="35" spans="1:31" ht="32.25" customHeight="1" x14ac:dyDescent="0.3">
      <c r="A35" s="40">
        <v>44683</v>
      </c>
      <c r="B35" s="41"/>
      <c r="C35" s="39">
        <f t="shared" si="7"/>
        <v>0</v>
      </c>
      <c r="D35" s="41"/>
      <c r="E35" s="39">
        <f t="shared" si="8"/>
        <v>0</v>
      </c>
      <c r="F35" s="41"/>
      <c r="G35" s="39">
        <f t="shared" si="9"/>
        <v>0</v>
      </c>
      <c r="H35" s="41"/>
      <c r="I35" s="39">
        <f t="shared" si="11"/>
        <v>0</v>
      </c>
      <c r="J35" s="39">
        <f>B35+D35+F35+H35</f>
        <v>0</v>
      </c>
      <c r="K35" s="39">
        <f>J35/4</f>
        <v>0</v>
      </c>
      <c r="L35" s="39">
        <f t="shared" si="18"/>
        <v>0</v>
      </c>
      <c r="M35" s="149">
        <f t="shared" si="17"/>
        <v>24196</v>
      </c>
      <c r="N35" s="39">
        <f t="shared" si="15"/>
        <v>0</v>
      </c>
      <c r="O35" s="39">
        <f t="shared" si="16"/>
        <v>0</v>
      </c>
      <c r="P35" s="42">
        <f t="shared" si="10"/>
        <v>0</v>
      </c>
      <c r="Q35" s="39"/>
      <c r="R35" s="39"/>
      <c r="S35" s="39"/>
      <c r="T35" s="39"/>
      <c r="U35" s="39"/>
      <c r="V35" s="39"/>
      <c r="W35" s="39"/>
      <c r="X35" s="39"/>
      <c r="Y35" s="39"/>
      <c r="Z35" s="39"/>
      <c r="AA35" s="39"/>
      <c r="AB35" s="39"/>
      <c r="AC35" s="39">
        <f t="shared" si="20"/>
        <v>0</v>
      </c>
      <c r="AD35" s="38">
        <f t="shared" si="19"/>
        <v>0</v>
      </c>
      <c r="AE35" s="38">
        <f t="shared" si="24"/>
        <v>0</v>
      </c>
    </row>
    <row r="36" spans="1:31" ht="32.25" customHeight="1" x14ac:dyDescent="0.3">
      <c r="A36" s="40"/>
      <c r="B36" s="41"/>
      <c r="C36" s="39">
        <f>IF(AC36&gt;0,((B36-R36)+(S36-B37)),IF(B37=0, ,(B36-B37)))</f>
        <v>0</v>
      </c>
      <c r="D36" s="41"/>
      <c r="E36" s="39">
        <f t="shared" ref="E36" si="25">IF(AC36&gt;0,((D36-U36)+(V36-D37)),IF(D37=0, ,(D36-D37)))</f>
        <v>0</v>
      </c>
      <c r="F36" s="41"/>
      <c r="G36" s="39">
        <f t="shared" ref="G36" si="26">IF(AC36&gt;0,((F36-X36)+(Y36-F37)),IF(F37=0, ,(F36-F37)))</f>
        <v>0</v>
      </c>
      <c r="H36" s="41"/>
      <c r="I36" s="39">
        <f t="shared" si="11"/>
        <v>0</v>
      </c>
      <c r="J36" s="39">
        <f t="shared" si="12"/>
        <v>0</v>
      </c>
      <c r="K36" s="39">
        <f t="shared" si="13"/>
        <v>0</v>
      </c>
      <c r="L36" s="39">
        <f t="shared" si="18"/>
        <v>0</v>
      </c>
      <c r="M36" s="149">
        <f t="shared" si="17"/>
        <v>24196</v>
      </c>
      <c r="N36" s="39">
        <f t="shared" si="15"/>
        <v>0</v>
      </c>
      <c r="O36" s="39">
        <f t="shared" si="16"/>
        <v>0</v>
      </c>
      <c r="P36" s="42">
        <f t="shared" si="10"/>
        <v>0</v>
      </c>
      <c r="Q36" s="39"/>
      <c r="R36" s="39"/>
      <c r="S36" s="39"/>
      <c r="T36" s="39"/>
      <c r="U36" s="39"/>
      <c r="V36" s="39"/>
      <c r="W36" s="39"/>
      <c r="X36" s="39"/>
      <c r="Y36" s="39"/>
      <c r="Z36" s="39"/>
      <c r="AA36" s="39"/>
      <c r="AB36" s="39"/>
      <c r="AC36" s="39">
        <f t="shared" si="20"/>
        <v>0</v>
      </c>
      <c r="AD36" s="38">
        <f t="shared" si="19"/>
        <v>0</v>
      </c>
      <c r="AE36" s="38">
        <f t="shared" si="24"/>
        <v>0</v>
      </c>
    </row>
    <row r="37" spans="1:31" ht="32.25" customHeight="1" x14ac:dyDescent="0.3">
      <c r="A37" s="40"/>
      <c r="B37" s="41"/>
      <c r="C37" s="39">
        <f t="shared" ref="C37:C42" si="27">IF(AC37&gt;0,((B37-R37)+(S37-B38)),IF(B38=0, ,(B37-B38)))</f>
        <v>0</v>
      </c>
      <c r="D37" s="41"/>
      <c r="E37" s="39">
        <f>IF(AC37:AC60&gt;0,((D37-U37)+(V37-D38)),IF(D38=0, ,(D37-D38)))</f>
        <v>0</v>
      </c>
      <c r="F37" s="41"/>
      <c r="G37" s="39">
        <f t="shared" ref="G37:G42" si="28">IF(AC37&gt;0,((F37-X37)+(Y37-F38)),IF(F38=0, ,(F37-F38)))</f>
        <v>0</v>
      </c>
      <c r="H37" s="41"/>
      <c r="I37" s="39">
        <f t="shared" ref="I37:I42" si="29">IF(AC37&gt;0,((H37-AA37)+(AB37-H38)),IF(H38=0, ,(H37-H38)))</f>
        <v>0</v>
      </c>
      <c r="J37" s="39">
        <f t="shared" si="12"/>
        <v>0</v>
      </c>
      <c r="K37" s="39">
        <f t="shared" si="13"/>
        <v>0</v>
      </c>
      <c r="L37" s="39">
        <f t="shared" si="18"/>
        <v>0</v>
      </c>
      <c r="M37" s="149">
        <f t="shared" si="17"/>
        <v>24196</v>
      </c>
      <c r="N37" s="39">
        <f t="shared" si="15"/>
        <v>0</v>
      </c>
      <c r="O37" s="39">
        <f t="shared" si="16"/>
        <v>0</v>
      </c>
      <c r="P37" s="42">
        <f t="shared" ref="P37" si="30">O37*12.64</f>
        <v>0</v>
      </c>
      <c r="Q37" s="39"/>
      <c r="R37" s="39"/>
      <c r="S37" s="39"/>
      <c r="T37" s="39"/>
      <c r="U37" s="39"/>
      <c r="V37" s="39"/>
      <c r="W37" s="39"/>
      <c r="X37" s="39"/>
      <c r="Y37" s="39"/>
      <c r="Z37" s="39"/>
      <c r="AA37" s="39"/>
      <c r="AB37" s="39"/>
      <c r="AC37" s="39">
        <f t="shared" si="20"/>
        <v>0</v>
      </c>
      <c r="AD37" s="38">
        <f t="shared" si="19"/>
        <v>0</v>
      </c>
      <c r="AE37" s="38">
        <f t="shared" si="24"/>
        <v>0</v>
      </c>
    </row>
    <row r="38" spans="1:31" ht="32.25" customHeight="1" x14ac:dyDescent="0.3">
      <c r="A38" s="40"/>
      <c r="B38" s="41"/>
      <c r="C38" s="39">
        <f t="shared" si="27"/>
        <v>0</v>
      </c>
      <c r="D38" s="41"/>
      <c r="E38" s="39">
        <f>IF(AC38:AC61&gt;0,((D38-U38)+(V38-D39)),IF(D39=0, ,(D38-D39)))</f>
        <v>0</v>
      </c>
      <c r="F38" s="41"/>
      <c r="G38" s="39">
        <f t="shared" si="28"/>
        <v>0</v>
      </c>
      <c r="H38" s="41"/>
      <c r="I38" s="39">
        <f t="shared" si="29"/>
        <v>0</v>
      </c>
      <c r="J38" s="39">
        <f t="shared" si="12"/>
        <v>0</v>
      </c>
      <c r="K38" s="39">
        <f t="shared" si="13"/>
        <v>0</v>
      </c>
      <c r="L38" s="39">
        <f t="shared" si="18"/>
        <v>0</v>
      </c>
      <c r="M38" s="149">
        <f t="shared" si="17"/>
        <v>24196</v>
      </c>
      <c r="N38" s="39">
        <f t="shared" si="15"/>
        <v>0</v>
      </c>
      <c r="O38" s="39">
        <f>N38*0.53</f>
        <v>0</v>
      </c>
      <c r="P38" s="42">
        <f t="shared" ref="P38" si="31">O38*11.565</f>
        <v>0</v>
      </c>
      <c r="Q38" s="39"/>
      <c r="R38" s="39"/>
      <c r="S38" s="39"/>
      <c r="T38" s="39"/>
      <c r="U38" s="39"/>
      <c r="V38" s="39"/>
      <c r="W38" s="39"/>
      <c r="X38" s="39"/>
      <c r="Y38" s="39"/>
      <c r="Z38" s="39"/>
      <c r="AA38" s="39"/>
      <c r="AB38" s="39"/>
      <c r="AC38" s="39">
        <f t="shared" si="20"/>
        <v>0</v>
      </c>
      <c r="AD38" s="38">
        <f t="shared" si="19"/>
        <v>0</v>
      </c>
      <c r="AE38" s="38">
        <f t="shared" si="24"/>
        <v>0</v>
      </c>
    </row>
    <row r="39" spans="1:31" ht="32.25" customHeight="1" x14ac:dyDescent="0.3">
      <c r="A39" s="40"/>
      <c r="B39" s="41"/>
      <c r="C39" s="39">
        <f t="shared" si="27"/>
        <v>0</v>
      </c>
      <c r="D39" s="41"/>
      <c r="E39" s="39">
        <f>IF(AC39&gt;0,((D39-U39)+(V39-D40)),IF(D40=0, ,(D39-D40)))</f>
        <v>0</v>
      </c>
      <c r="F39" s="41"/>
      <c r="G39" s="39">
        <f t="shared" si="28"/>
        <v>0</v>
      </c>
      <c r="H39" s="41"/>
      <c r="I39" s="39">
        <f t="shared" si="29"/>
        <v>0</v>
      </c>
      <c r="J39" s="39">
        <f t="shared" si="12"/>
        <v>0</v>
      </c>
      <c r="K39" s="39">
        <f t="shared" si="13"/>
        <v>0</v>
      </c>
      <c r="L39" s="39">
        <f t="shared" si="18"/>
        <v>0</v>
      </c>
      <c r="M39" s="149">
        <f t="shared" si="17"/>
        <v>24196</v>
      </c>
      <c r="N39" s="39">
        <f t="shared" si="15"/>
        <v>0</v>
      </c>
      <c r="O39" s="39">
        <f>N39*0.53</f>
        <v>0</v>
      </c>
      <c r="P39" s="42">
        <f t="shared" ref="P39" si="32">O39*11.2513</f>
        <v>0</v>
      </c>
      <c r="Q39" s="39"/>
      <c r="R39" s="39"/>
      <c r="S39" s="39"/>
      <c r="T39" s="39"/>
      <c r="U39" s="39"/>
      <c r="V39" s="39"/>
      <c r="W39" s="39"/>
      <c r="X39" s="39"/>
      <c r="Y39" s="39"/>
      <c r="Z39" s="39"/>
      <c r="AA39" s="39"/>
      <c r="AB39" s="39"/>
      <c r="AC39" s="39">
        <f t="shared" si="20"/>
        <v>0</v>
      </c>
      <c r="AD39" s="38">
        <f t="shared" si="19"/>
        <v>0</v>
      </c>
      <c r="AE39" s="38">
        <f t="shared" si="24"/>
        <v>0</v>
      </c>
    </row>
    <row r="40" spans="1:31" ht="32.25" customHeight="1" x14ac:dyDescent="0.3">
      <c r="A40" s="40"/>
      <c r="B40" s="41"/>
      <c r="C40" s="39">
        <f t="shared" si="27"/>
        <v>0</v>
      </c>
      <c r="D40" s="41"/>
      <c r="E40" s="39">
        <f>IF(AC40&gt;0,((D40-U40)+(V40-D41)),IF(D41=0, ,(D40-D41)))</f>
        <v>0</v>
      </c>
      <c r="F40" s="41"/>
      <c r="G40" s="39">
        <f t="shared" si="28"/>
        <v>0</v>
      </c>
      <c r="H40" s="41"/>
      <c r="I40" s="39">
        <f t="shared" si="29"/>
        <v>0</v>
      </c>
      <c r="J40" s="39">
        <f t="shared" si="12"/>
        <v>0</v>
      </c>
      <c r="K40" s="39">
        <f t="shared" si="13"/>
        <v>0</v>
      </c>
      <c r="L40" s="39">
        <f t="shared" si="18"/>
        <v>0</v>
      </c>
      <c r="M40" s="149">
        <f t="shared" si="17"/>
        <v>24196</v>
      </c>
      <c r="N40" s="39">
        <f t="shared" si="15"/>
        <v>0</v>
      </c>
      <c r="O40" s="39">
        <f>N40*0.53</f>
        <v>0</v>
      </c>
      <c r="P40" s="42">
        <f t="shared" ref="P40:P42" si="33">O40*9.965</f>
        <v>0</v>
      </c>
      <c r="Q40" s="39"/>
      <c r="R40" s="39"/>
      <c r="S40" s="39"/>
      <c r="T40" s="39"/>
      <c r="U40" s="39"/>
      <c r="V40" s="39"/>
      <c r="W40" s="39"/>
      <c r="X40" s="39"/>
      <c r="Y40" s="39"/>
      <c r="Z40" s="39"/>
      <c r="AA40" s="39"/>
      <c r="AB40" s="39"/>
      <c r="AC40" s="39">
        <f t="shared" si="20"/>
        <v>0</v>
      </c>
      <c r="AD40" s="38">
        <f t="shared" si="19"/>
        <v>0</v>
      </c>
      <c r="AE40" s="38">
        <f t="shared" si="24"/>
        <v>0</v>
      </c>
    </row>
    <row r="41" spans="1:31" ht="32.25" customHeight="1" x14ac:dyDescent="0.3">
      <c r="A41" s="40"/>
      <c r="B41" s="41"/>
      <c r="C41" s="39">
        <f t="shared" si="27"/>
        <v>0</v>
      </c>
      <c r="D41" s="41"/>
      <c r="E41" s="39">
        <f>IF(AC41&gt;0,((D41-U41)+(V41-D42)),IF(D42=0, ,(D41-D42)))</f>
        <v>0</v>
      </c>
      <c r="F41" s="41"/>
      <c r="G41" s="39">
        <f t="shared" si="28"/>
        <v>0</v>
      </c>
      <c r="H41" s="41"/>
      <c r="I41" s="39">
        <f t="shared" si="29"/>
        <v>0</v>
      </c>
      <c r="J41" s="39">
        <f t="shared" si="12"/>
        <v>0</v>
      </c>
      <c r="K41" s="39">
        <f t="shared" si="13"/>
        <v>0</v>
      </c>
      <c r="L41" s="39">
        <f t="shared" si="18"/>
        <v>0</v>
      </c>
      <c r="M41" s="149">
        <f t="shared" si="17"/>
        <v>24196</v>
      </c>
      <c r="N41" s="39">
        <f t="shared" si="15"/>
        <v>0</v>
      </c>
      <c r="O41" s="39">
        <f>N41*0.53</f>
        <v>0</v>
      </c>
      <c r="P41" s="42">
        <f t="shared" si="33"/>
        <v>0</v>
      </c>
      <c r="Q41" s="39"/>
      <c r="R41" s="39"/>
      <c r="S41" s="39"/>
      <c r="T41" s="39"/>
      <c r="U41" s="39"/>
      <c r="V41" s="39"/>
      <c r="W41" s="39"/>
      <c r="X41" s="39"/>
      <c r="Y41" s="39"/>
      <c r="Z41" s="39"/>
      <c r="AA41" s="39"/>
      <c r="AB41" s="39"/>
      <c r="AC41" s="39">
        <f t="shared" si="20"/>
        <v>0</v>
      </c>
      <c r="AD41" s="38">
        <f t="shared" si="19"/>
        <v>0</v>
      </c>
      <c r="AE41" s="38">
        <f t="shared" si="24"/>
        <v>0</v>
      </c>
    </row>
    <row r="42" spans="1:31" ht="32.25" customHeight="1" x14ac:dyDescent="0.3">
      <c r="A42" s="40"/>
      <c r="B42" s="41"/>
      <c r="C42" s="39">
        <f t="shared" si="27"/>
        <v>0</v>
      </c>
      <c r="D42" s="41"/>
      <c r="E42" s="39">
        <f>IF(AC42&gt;0,((D42-U42)+(V42-D43)),IF(D43=0, ,(D42-D43)))</f>
        <v>0</v>
      </c>
      <c r="F42" s="41"/>
      <c r="G42" s="39">
        <f t="shared" si="28"/>
        <v>0</v>
      </c>
      <c r="H42" s="41"/>
      <c r="I42" s="39">
        <f t="shared" si="29"/>
        <v>0</v>
      </c>
      <c r="J42" s="39">
        <f t="shared" si="12"/>
        <v>0</v>
      </c>
      <c r="K42" s="39">
        <f t="shared" si="13"/>
        <v>0</v>
      </c>
      <c r="L42" s="39">
        <f t="shared" si="18"/>
        <v>0</v>
      </c>
      <c r="M42" s="149">
        <f t="shared" si="17"/>
        <v>24196</v>
      </c>
      <c r="N42" s="39">
        <f t="shared" si="15"/>
        <v>0</v>
      </c>
      <c r="O42" s="39">
        <f>N42*0.53</f>
        <v>0</v>
      </c>
      <c r="P42" s="42">
        <f t="shared" si="33"/>
        <v>0</v>
      </c>
      <c r="Q42" s="39"/>
      <c r="R42" s="39"/>
      <c r="S42" s="39"/>
      <c r="T42" s="39"/>
      <c r="U42" s="39"/>
      <c r="V42" s="39"/>
      <c r="W42" s="39"/>
      <c r="X42" s="39"/>
      <c r="Y42" s="39"/>
      <c r="Z42" s="39"/>
      <c r="AA42" s="39"/>
      <c r="AB42" s="39"/>
      <c r="AC42" s="39">
        <f t="shared" si="20"/>
        <v>0</v>
      </c>
      <c r="AD42" s="38">
        <f t="shared" si="19"/>
        <v>0</v>
      </c>
      <c r="AE42" s="38">
        <f t="shared" si="24"/>
        <v>0</v>
      </c>
    </row>
    <row r="43" spans="1:31" ht="32.25" customHeight="1" thickBot="1" x14ac:dyDescent="0.35">
      <c r="B43" s="37"/>
      <c r="C43" s="37"/>
      <c r="D43" s="37"/>
      <c r="E43" s="37"/>
      <c r="F43" s="37"/>
      <c r="G43" s="37"/>
      <c r="H43" s="37"/>
      <c r="I43" s="37"/>
      <c r="J43" s="37"/>
      <c r="K43" s="37"/>
      <c r="L43" s="37"/>
      <c r="M43" s="37"/>
      <c r="N43" s="39">
        <f>SUM(N4:N42)</f>
        <v>28732.750000000004</v>
      </c>
      <c r="O43" s="39">
        <f>N43*0.529</f>
        <v>15199.624750000003</v>
      </c>
      <c r="P43" s="42">
        <f>O43*13.64</f>
        <v>207322.88159000003</v>
      </c>
      <c r="Q43" s="286">
        <f>SUM(Q4:Q42)</f>
        <v>11716</v>
      </c>
      <c r="R43" s="287"/>
      <c r="S43" s="288"/>
      <c r="T43" s="289">
        <f>SUM(T4:T42)</f>
        <v>11497</v>
      </c>
      <c r="U43" s="287"/>
      <c r="V43" s="288"/>
      <c r="W43" s="289">
        <f>SUM(W4:W42)</f>
        <v>10620</v>
      </c>
      <c r="X43" s="287"/>
      <c r="Y43" s="288"/>
      <c r="Z43" s="289">
        <f>SUM(Z4:Z42)</f>
        <v>9964</v>
      </c>
      <c r="AA43" s="287"/>
      <c r="AB43" s="288"/>
      <c r="AC43" s="39">
        <f t="shared" si="20"/>
        <v>43797</v>
      </c>
    </row>
    <row r="44" spans="1:31" ht="35.25" customHeight="1" thickBot="1" x14ac:dyDescent="0.35">
      <c r="B44" s="295"/>
      <c r="C44" s="296"/>
      <c r="D44" s="296"/>
      <c r="E44" s="296"/>
      <c r="F44" s="296"/>
      <c r="G44" s="296"/>
      <c r="H44" s="296"/>
      <c r="I44" s="297"/>
      <c r="J44" s="37"/>
      <c r="K44" s="37"/>
      <c r="L44" s="37"/>
      <c r="M44" s="37"/>
      <c r="N44" s="37"/>
      <c r="O44" s="37"/>
      <c r="P44" s="37"/>
      <c r="Q44" s="298">
        <f>Q43+T43+W43+Z43</f>
        <v>43797</v>
      </c>
      <c r="R44" s="299"/>
      <c r="S44" s="299"/>
      <c r="T44" s="299"/>
      <c r="U44" s="299"/>
      <c r="V44" s="299"/>
      <c r="W44" s="299"/>
      <c r="X44" s="299"/>
      <c r="Y44" s="299"/>
      <c r="Z44" s="299"/>
      <c r="AA44" s="299"/>
      <c r="AB44" s="300"/>
      <c r="AC44" s="39">
        <f>Q44+T44+W44+Z44</f>
        <v>43797</v>
      </c>
    </row>
    <row r="45" spans="1:31" ht="7.5" customHeight="1" thickBot="1" x14ac:dyDescent="0.35">
      <c r="D45" s="36" t="s">
        <v>18</v>
      </c>
    </row>
    <row r="46" spans="1:31" ht="51" customHeight="1" thickBot="1" x14ac:dyDescent="0.35">
      <c r="H46" s="37"/>
      <c r="I46" s="37"/>
      <c r="J46" s="37"/>
      <c r="K46" s="43" t="s">
        <v>82</v>
      </c>
      <c r="L46" s="44" t="s">
        <v>83</v>
      </c>
      <c r="M46" s="44" t="s">
        <v>84</v>
      </c>
    </row>
    <row r="47" spans="1:31" ht="48" customHeight="1" thickBot="1" x14ac:dyDescent="0.35">
      <c r="H47" s="282" t="s">
        <v>85</v>
      </c>
      <c r="I47" s="283"/>
      <c r="J47" s="284"/>
      <c r="K47" s="45">
        <f>N43</f>
        <v>28732.750000000004</v>
      </c>
      <c r="L47" s="46">
        <f>O43</f>
        <v>15199.624750000003</v>
      </c>
      <c r="M47" s="46">
        <f>P43</f>
        <v>207322.88159000003</v>
      </c>
    </row>
    <row r="48" spans="1:31" ht="54.75" customHeight="1" thickBot="1" x14ac:dyDescent="0.35">
      <c r="H48" s="282" t="s">
        <v>86</v>
      </c>
      <c r="I48" s="283"/>
      <c r="J48" s="284"/>
      <c r="K48" s="43">
        <f>AC44</f>
        <v>43797</v>
      </c>
      <c r="L48" s="44">
        <f>K48*0.529</f>
        <v>23168.613000000001</v>
      </c>
      <c r="M48" s="44">
        <f>L48*13.64</f>
        <v>316019.88132000004</v>
      </c>
    </row>
  </sheetData>
  <mergeCells count="13">
    <mergeCell ref="H48:J48"/>
    <mergeCell ref="F1:Z1"/>
    <mergeCell ref="Q43:S43"/>
    <mergeCell ref="T43:V43"/>
    <mergeCell ref="W43:Y43"/>
    <mergeCell ref="Z43:AB43"/>
    <mergeCell ref="Q2:S2"/>
    <mergeCell ref="T2:V2"/>
    <mergeCell ref="W2:Y2"/>
    <mergeCell ref="Z2:AB2"/>
    <mergeCell ref="B44:I44"/>
    <mergeCell ref="Q44:AB44"/>
    <mergeCell ref="H47:J47"/>
  </mergeCells>
  <phoneticPr fontId="13" type="noConversion"/>
  <printOptions horizontalCentered="1"/>
  <pageMargins left="0.19685039370078741" right="0.19685039370078741" top="0" bottom="0" header="0" footer="0"/>
  <pageSetup paperSize="9" scale="35" orientation="landscape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J33"/>
  <sheetViews>
    <sheetView topLeftCell="A7" zoomScaleNormal="100" workbookViewId="0">
      <selection activeCell="F32" sqref="F32"/>
    </sheetView>
  </sheetViews>
  <sheetFormatPr baseColWidth="10" defaultColWidth="11.42578125" defaultRowHeight="12.75" x14ac:dyDescent="0.2"/>
  <cols>
    <col min="2" max="2" width="5.5703125" customWidth="1"/>
    <col min="3" max="3" width="9.85546875" customWidth="1"/>
    <col min="4" max="4" width="10" customWidth="1"/>
    <col min="5" max="5" width="10.5703125" customWidth="1"/>
    <col min="6" max="6" width="16" customWidth="1"/>
    <col min="7" max="7" width="7" customWidth="1"/>
    <col min="8" max="8" width="10" customWidth="1"/>
    <col min="9" max="9" width="18.42578125" customWidth="1"/>
    <col min="10" max="10" width="2.7109375" customWidth="1"/>
    <col min="12" max="12" width="11.140625" customWidth="1"/>
  </cols>
  <sheetData>
    <row r="1" spans="1:10" ht="15" customHeight="1" x14ac:dyDescent="0.2">
      <c r="A1" s="271"/>
      <c r="B1" s="273"/>
      <c r="C1" s="301" t="s">
        <v>87</v>
      </c>
      <c r="D1" s="302"/>
      <c r="E1" s="302"/>
      <c r="F1" s="302"/>
      <c r="G1" s="302"/>
      <c r="H1" s="307" t="s">
        <v>88</v>
      </c>
      <c r="I1" s="308"/>
      <c r="J1" s="309"/>
    </row>
    <row r="2" spans="1:10" ht="16.5" customHeight="1" thickBot="1" x14ac:dyDescent="0.25">
      <c r="A2" s="274"/>
      <c r="B2" s="276"/>
      <c r="C2" s="303"/>
      <c r="D2" s="304"/>
      <c r="E2" s="304"/>
      <c r="F2" s="304"/>
      <c r="G2" s="304"/>
      <c r="H2" s="310"/>
      <c r="I2" s="311"/>
      <c r="J2" s="312"/>
    </row>
    <row r="3" spans="1:10" ht="15" customHeight="1" x14ac:dyDescent="0.2">
      <c r="A3" s="274"/>
      <c r="B3" s="276"/>
      <c r="C3" s="303"/>
      <c r="D3" s="304"/>
      <c r="E3" s="304"/>
      <c r="F3" s="304"/>
      <c r="G3" s="304"/>
      <c r="H3" s="313" t="s">
        <v>89</v>
      </c>
      <c r="I3" s="314"/>
      <c r="J3" s="315"/>
    </row>
    <row r="4" spans="1:10" ht="15.75" customHeight="1" thickBot="1" x14ac:dyDescent="0.25">
      <c r="A4" s="277"/>
      <c r="B4" s="279"/>
      <c r="C4" s="305"/>
      <c r="D4" s="306"/>
      <c r="E4" s="306"/>
      <c r="F4" s="306"/>
      <c r="G4" s="306"/>
      <c r="H4" s="316"/>
      <c r="I4" s="317"/>
      <c r="J4" s="318"/>
    </row>
    <row r="6" spans="1:10" ht="33" customHeight="1" thickBot="1" x14ac:dyDescent="0.25"/>
    <row r="7" spans="1:10" ht="36.75" thickTop="1" x14ac:dyDescent="0.2">
      <c r="A7" s="319" t="s">
        <v>90</v>
      </c>
      <c r="B7" s="319"/>
      <c r="C7" s="320" t="s">
        <v>91</v>
      </c>
      <c r="D7" s="321"/>
      <c r="E7" s="61" t="s">
        <v>92</v>
      </c>
      <c r="F7" s="61" t="s">
        <v>93</v>
      </c>
      <c r="G7" s="61" t="s">
        <v>94</v>
      </c>
      <c r="H7" s="61" t="s">
        <v>95</v>
      </c>
      <c r="I7" s="322" t="s">
        <v>96</v>
      </c>
      <c r="J7" s="323"/>
    </row>
    <row r="8" spans="1:10" x14ac:dyDescent="0.2">
      <c r="A8" s="324">
        <v>95670781</v>
      </c>
      <c r="B8" s="324"/>
      <c r="C8" s="325">
        <v>44283</v>
      </c>
      <c r="D8" s="326"/>
      <c r="E8" s="113">
        <v>44679</v>
      </c>
      <c r="F8" s="163" t="s">
        <v>97</v>
      </c>
      <c r="G8" s="62"/>
      <c r="H8" s="62"/>
      <c r="I8" s="327"/>
      <c r="J8" s="328"/>
    </row>
    <row r="10" spans="1:10" ht="23.25" customHeight="1" thickBot="1" x14ac:dyDescent="0.25"/>
    <row r="11" spans="1:10" ht="24.75" customHeight="1" thickTop="1" x14ac:dyDescent="0.2">
      <c r="A11" s="329" t="s">
        <v>98</v>
      </c>
      <c r="B11" s="329"/>
      <c r="C11" s="330" t="s">
        <v>99</v>
      </c>
      <c r="D11" s="331"/>
      <c r="E11" s="329" t="s">
        <v>100</v>
      </c>
      <c r="F11" s="329"/>
      <c r="G11" s="330" t="s">
        <v>101</v>
      </c>
      <c r="H11" s="331"/>
      <c r="I11" s="332" t="s">
        <v>102</v>
      </c>
      <c r="J11" s="332"/>
    </row>
    <row r="12" spans="1:10" x14ac:dyDescent="0.2">
      <c r="A12" s="324" t="s">
        <v>103</v>
      </c>
      <c r="B12" s="324"/>
      <c r="C12" s="324">
        <v>3750</v>
      </c>
      <c r="D12" s="324"/>
      <c r="E12" s="324">
        <v>1000</v>
      </c>
      <c r="F12" s="324"/>
      <c r="G12" s="336">
        <v>793</v>
      </c>
      <c r="H12" s="336"/>
      <c r="I12" s="337"/>
      <c r="J12" s="337"/>
    </row>
    <row r="13" spans="1:10" x14ac:dyDescent="0.2">
      <c r="A13" s="338"/>
      <c r="B13" s="339"/>
      <c r="C13" s="339"/>
      <c r="D13" s="339"/>
      <c r="E13" s="339"/>
      <c r="F13" s="339"/>
      <c r="G13" s="339"/>
      <c r="H13" s="339"/>
      <c r="I13" s="339"/>
      <c r="J13" s="339"/>
    </row>
    <row r="15" spans="1:10" ht="13.5" thickBot="1" x14ac:dyDescent="0.25"/>
    <row r="16" spans="1:10" ht="26.25" thickTop="1" x14ac:dyDescent="0.2">
      <c r="A16" s="329" t="s">
        <v>104</v>
      </c>
      <c r="B16" s="329"/>
      <c r="C16" s="63" t="s">
        <v>105</v>
      </c>
      <c r="D16" s="64" t="s">
        <v>106</v>
      </c>
      <c r="E16" s="64" t="s">
        <v>48</v>
      </c>
      <c r="F16" s="64" t="s">
        <v>107</v>
      </c>
      <c r="G16" s="333" t="s">
        <v>108</v>
      </c>
      <c r="H16" s="333"/>
      <c r="I16" s="334" t="s">
        <v>109</v>
      </c>
      <c r="J16" s="335"/>
    </row>
    <row r="17" spans="1:10" x14ac:dyDescent="0.2">
      <c r="A17" s="340" t="s">
        <v>110</v>
      </c>
      <c r="B17" s="341"/>
      <c r="C17" s="66">
        <v>19830772</v>
      </c>
      <c r="D17" s="66">
        <v>19657009</v>
      </c>
      <c r="E17" s="67">
        <f>MIN(C17-D17)</f>
        <v>173763</v>
      </c>
      <c r="F17" s="67">
        <f>+E17</f>
        <v>173763</v>
      </c>
      <c r="G17" s="342"/>
      <c r="H17" s="343"/>
      <c r="I17" s="342">
        <f>+E17</f>
        <v>173763</v>
      </c>
      <c r="J17" s="343"/>
    </row>
    <row r="18" spans="1:10" x14ac:dyDescent="0.2">
      <c r="A18" s="340" t="s">
        <v>111</v>
      </c>
      <c r="B18" s="341"/>
      <c r="C18" s="66">
        <v>11704653</v>
      </c>
      <c r="D18" s="66">
        <v>11604171</v>
      </c>
      <c r="E18" s="67">
        <f>MIN(C18-D18)</f>
        <v>100482</v>
      </c>
      <c r="F18" s="67">
        <f>+E18</f>
        <v>100482</v>
      </c>
      <c r="G18" s="342"/>
      <c r="H18" s="343"/>
      <c r="I18" s="342">
        <f>+E18</f>
        <v>100482</v>
      </c>
      <c r="J18" s="343"/>
    </row>
    <row r="19" spans="1:10" x14ac:dyDescent="0.2">
      <c r="A19" s="340" t="s">
        <v>112</v>
      </c>
      <c r="B19" s="341"/>
      <c r="C19" s="66">
        <v>8719952</v>
      </c>
      <c r="D19" s="66">
        <v>8640652</v>
      </c>
      <c r="E19" s="67">
        <f>AVERAGE(C19-D19)</f>
        <v>79300</v>
      </c>
      <c r="F19" s="67">
        <f>+E19</f>
        <v>79300</v>
      </c>
      <c r="G19" s="342"/>
      <c r="H19" s="343"/>
      <c r="I19" s="342">
        <f>+E19</f>
        <v>79300</v>
      </c>
      <c r="J19" s="343"/>
    </row>
    <row r="20" spans="1:10" ht="15" x14ac:dyDescent="0.25">
      <c r="A20" s="344" t="s">
        <v>113</v>
      </c>
      <c r="B20" s="345"/>
      <c r="C20" s="68"/>
      <c r="D20" s="69"/>
      <c r="E20" s="68">
        <f>SUM(E17:E19)</f>
        <v>353545</v>
      </c>
      <c r="F20" s="70"/>
      <c r="G20" s="346"/>
      <c r="H20" s="347"/>
      <c r="I20" s="346"/>
      <c r="J20" s="347"/>
    </row>
    <row r="21" spans="1:10" x14ac:dyDescent="0.2">
      <c r="C21" s="110" t="s">
        <v>18</v>
      </c>
      <c r="D21" t="s">
        <v>114</v>
      </c>
      <c r="G21" s="348"/>
      <c r="H21" s="348"/>
    </row>
    <row r="22" spans="1:10" ht="13.5" thickBot="1" x14ac:dyDescent="0.25">
      <c r="G22" s="349"/>
      <c r="H22" s="349"/>
    </row>
    <row r="23" spans="1:10" ht="13.5" thickTop="1" x14ac:dyDescent="0.2">
      <c r="A23" s="350" t="s">
        <v>115</v>
      </c>
      <c r="B23" s="351"/>
      <c r="C23" s="352"/>
      <c r="D23" s="329" t="s">
        <v>116</v>
      </c>
      <c r="E23" s="329" t="s">
        <v>117</v>
      </c>
      <c r="F23" s="357" t="s">
        <v>118</v>
      </c>
      <c r="G23" s="359" t="s">
        <v>119</v>
      </c>
      <c r="H23" s="359"/>
      <c r="I23" s="360" t="s">
        <v>120</v>
      </c>
      <c r="J23" s="360"/>
    </row>
    <row r="24" spans="1:10" x14ac:dyDescent="0.2">
      <c r="A24" s="353"/>
      <c r="B24" s="354"/>
      <c r="C24" s="355"/>
      <c r="D24" s="356"/>
      <c r="E24" s="356"/>
      <c r="F24" s="358"/>
      <c r="G24" s="164" t="s">
        <v>121</v>
      </c>
      <c r="H24" s="71" t="s">
        <v>122</v>
      </c>
      <c r="I24" s="360"/>
      <c r="J24" s="360"/>
    </row>
    <row r="25" spans="1:10" ht="15" x14ac:dyDescent="0.25">
      <c r="A25" s="361" t="s">
        <v>123</v>
      </c>
      <c r="B25" s="362"/>
      <c r="C25" s="363"/>
      <c r="D25" s="67">
        <f>+E17</f>
        <v>173763</v>
      </c>
      <c r="E25" s="72">
        <v>0.95140000000000002</v>
      </c>
      <c r="F25" s="73">
        <f>PRODUCT(D25*E25)</f>
        <v>165318.1182</v>
      </c>
      <c r="G25" s="151">
        <v>14</v>
      </c>
      <c r="H25" s="65">
        <f>PRODUCT(0.14,F25)</f>
        <v>23144.536548</v>
      </c>
      <c r="I25" s="364">
        <f>SUM(H25,F25)</f>
        <v>188462.654748</v>
      </c>
      <c r="J25" s="365"/>
    </row>
    <row r="26" spans="1:10" ht="15" x14ac:dyDescent="0.25">
      <c r="A26" s="366" t="s">
        <v>124</v>
      </c>
      <c r="B26" s="367"/>
      <c r="C26" s="368"/>
      <c r="D26" s="67">
        <f>+E18</f>
        <v>100482</v>
      </c>
      <c r="E26" s="74">
        <v>0.69850000000000001</v>
      </c>
      <c r="F26" s="73">
        <f>PRODUCT(D26*E26)</f>
        <v>70186.676999999996</v>
      </c>
      <c r="G26">
        <v>14</v>
      </c>
      <c r="H26" s="67">
        <f>PRODUCT(0.14,F26)</f>
        <v>9826.1347800000003</v>
      </c>
      <c r="I26" s="364">
        <f t="shared" ref="I26:I31" si="0">SUM(H26,F26)</f>
        <v>80012.811779999989</v>
      </c>
      <c r="J26" s="365"/>
    </row>
    <row r="27" spans="1:10" ht="15" x14ac:dyDescent="0.25">
      <c r="A27" s="366" t="s">
        <v>125</v>
      </c>
      <c r="B27" s="367"/>
      <c r="C27" s="368"/>
      <c r="D27" s="67">
        <f>+E19</f>
        <v>79300</v>
      </c>
      <c r="E27" s="74">
        <v>1.3304</v>
      </c>
      <c r="F27" s="73">
        <f>PRODUCT(D27*E27)</f>
        <v>105500.72</v>
      </c>
      <c r="G27">
        <v>14</v>
      </c>
      <c r="H27" s="67">
        <f>PRODUCT(0.14,F27)</f>
        <v>14770.100800000002</v>
      </c>
      <c r="I27" s="364">
        <f>SUM(H27,F27)</f>
        <v>120270.8208</v>
      </c>
      <c r="J27" s="365"/>
    </row>
    <row r="28" spans="1:10" ht="15" x14ac:dyDescent="0.25">
      <c r="A28" s="366" t="s">
        <v>126</v>
      </c>
      <c r="B28" s="367"/>
      <c r="C28" s="368"/>
      <c r="D28" s="67">
        <v>1000</v>
      </c>
      <c r="E28" s="74">
        <v>43.88167</v>
      </c>
      <c r="F28" s="73">
        <f>PRODUCT(D28,E28)</f>
        <v>43881.67</v>
      </c>
      <c r="G28">
        <v>14</v>
      </c>
      <c r="H28" s="67">
        <f>PRODUCT(0.14,F28)</f>
        <v>6143.4338000000007</v>
      </c>
      <c r="I28" s="364">
        <f t="shared" si="0"/>
        <v>50025.103799999997</v>
      </c>
      <c r="J28" s="365"/>
    </row>
    <row r="29" spans="1:10" ht="15" x14ac:dyDescent="0.25">
      <c r="A29" s="377" t="s">
        <v>127</v>
      </c>
      <c r="B29" s="378"/>
      <c r="C29" s="379"/>
      <c r="D29" s="75">
        <v>0</v>
      </c>
      <c r="E29" s="76">
        <f>E28*1.5</f>
        <v>65.822505000000007</v>
      </c>
      <c r="F29" s="77">
        <f>PRODUCT(D29,E29)</f>
        <v>0</v>
      </c>
      <c r="G29" s="78">
        <v>14</v>
      </c>
      <c r="H29" s="75">
        <f>PRODUCT(0.14,F29)</f>
        <v>0</v>
      </c>
      <c r="I29" s="380">
        <f t="shared" si="0"/>
        <v>0</v>
      </c>
      <c r="J29" s="381"/>
    </row>
    <row r="30" spans="1:10" ht="15" x14ac:dyDescent="0.25">
      <c r="A30" s="366" t="s">
        <v>128</v>
      </c>
      <c r="B30" s="367"/>
      <c r="C30" s="368"/>
      <c r="D30" s="67"/>
      <c r="E30" s="79"/>
      <c r="F30" s="73">
        <v>841</v>
      </c>
      <c r="G30">
        <v>20</v>
      </c>
      <c r="H30" s="80">
        <f>PRODUCT(F30,0.2)</f>
        <v>168.20000000000002</v>
      </c>
      <c r="I30" s="364">
        <f>SUM(H30,F30)</f>
        <v>1009.2</v>
      </c>
      <c r="J30" s="365"/>
    </row>
    <row r="31" spans="1:10" ht="15.75" thickBot="1" x14ac:dyDescent="0.3">
      <c r="A31" s="369" t="s">
        <v>129</v>
      </c>
      <c r="B31" s="370"/>
      <c r="C31" s="371"/>
      <c r="D31" s="81"/>
      <c r="E31" s="82"/>
      <c r="F31" s="73">
        <v>1492</v>
      </c>
      <c r="G31" s="70">
        <v>7</v>
      </c>
      <c r="H31" s="83">
        <f>PRODUCT(F31,0.07)</f>
        <v>104.44000000000001</v>
      </c>
      <c r="I31" s="364">
        <f t="shared" si="0"/>
        <v>1596.44</v>
      </c>
      <c r="J31" s="365"/>
    </row>
    <row r="32" spans="1:10" ht="21" x14ac:dyDescent="0.2">
      <c r="A32" s="372" t="s">
        <v>130</v>
      </c>
      <c r="B32" s="373"/>
      <c r="C32" s="373"/>
      <c r="D32" s="373"/>
      <c r="E32" s="373"/>
      <c r="F32" s="84">
        <f>SUM(F25:F31)</f>
        <v>387220.18520000001</v>
      </c>
      <c r="G32" s="85"/>
      <c r="H32" s="86"/>
      <c r="I32" s="376">
        <f>SUM(I25:J31)</f>
        <v>441377.03112799994</v>
      </c>
      <c r="J32" s="376"/>
    </row>
    <row r="33" spans="1:10" ht="21.75" thickBot="1" x14ac:dyDescent="0.25">
      <c r="A33" s="374"/>
      <c r="B33" s="375"/>
      <c r="C33" s="375"/>
      <c r="D33" s="375"/>
      <c r="E33" s="375"/>
      <c r="F33" s="87"/>
      <c r="G33" s="88"/>
      <c r="H33" s="89"/>
      <c r="I33" s="376"/>
      <c r="J33" s="376"/>
    </row>
  </sheetData>
  <mergeCells count="60">
    <mergeCell ref="A27:C27"/>
    <mergeCell ref="I27:J27"/>
    <mergeCell ref="A31:C31"/>
    <mergeCell ref="I31:J31"/>
    <mergeCell ref="A32:E33"/>
    <mergeCell ref="I32:J33"/>
    <mergeCell ref="A28:C28"/>
    <mergeCell ref="I28:J28"/>
    <mergeCell ref="A29:C29"/>
    <mergeCell ref="I29:J29"/>
    <mergeCell ref="A30:C30"/>
    <mergeCell ref="I30:J30"/>
    <mergeCell ref="I23:J24"/>
    <mergeCell ref="A25:C25"/>
    <mergeCell ref="I25:J25"/>
    <mergeCell ref="A26:C26"/>
    <mergeCell ref="I26:J26"/>
    <mergeCell ref="G21:H21"/>
    <mergeCell ref="G22:H22"/>
    <mergeCell ref="A23:C24"/>
    <mergeCell ref="D23:D24"/>
    <mergeCell ref="E23:E24"/>
    <mergeCell ref="F23:F24"/>
    <mergeCell ref="G23:H23"/>
    <mergeCell ref="A19:B19"/>
    <mergeCell ref="G19:H19"/>
    <mergeCell ref="I19:J19"/>
    <mergeCell ref="A20:B20"/>
    <mergeCell ref="G20:H20"/>
    <mergeCell ref="I20:J20"/>
    <mergeCell ref="A17:B17"/>
    <mergeCell ref="G17:H17"/>
    <mergeCell ref="I17:J17"/>
    <mergeCell ref="A18:B18"/>
    <mergeCell ref="G18:H18"/>
    <mergeCell ref="I18:J18"/>
    <mergeCell ref="A16:B16"/>
    <mergeCell ref="G16:H16"/>
    <mergeCell ref="I16:J16"/>
    <mergeCell ref="A12:B12"/>
    <mergeCell ref="C12:D12"/>
    <mergeCell ref="E12:F12"/>
    <mergeCell ref="G12:H12"/>
    <mergeCell ref="I12:J12"/>
    <mergeCell ref="A13:J13"/>
    <mergeCell ref="A8:B8"/>
    <mergeCell ref="C8:D8"/>
    <mergeCell ref="I8:J8"/>
    <mergeCell ref="A11:B11"/>
    <mergeCell ref="C11:D11"/>
    <mergeCell ref="E11:F11"/>
    <mergeCell ref="G11:H11"/>
    <mergeCell ref="I11:J11"/>
    <mergeCell ref="A1:B4"/>
    <mergeCell ref="C1:G4"/>
    <mergeCell ref="H1:J2"/>
    <mergeCell ref="H3:J4"/>
    <mergeCell ref="A7:B7"/>
    <mergeCell ref="C7:D7"/>
    <mergeCell ref="I7:J7"/>
  </mergeCells>
  <pageMargins left="0.31496062992125984" right="0.70866141732283472" top="0.94488188976377963" bottom="0.74803149606299213" header="0.31496062992125984" footer="0.31496062992125984"/>
  <pageSetup paperSize="9" scale="93"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J33"/>
  <sheetViews>
    <sheetView topLeftCell="A11" workbookViewId="0">
      <selection activeCell="H1" sqref="H1:J2"/>
    </sheetView>
  </sheetViews>
  <sheetFormatPr baseColWidth="10" defaultColWidth="11.42578125" defaultRowHeight="12.75" x14ac:dyDescent="0.2"/>
  <cols>
    <col min="2" max="2" width="5.5703125" customWidth="1"/>
    <col min="3" max="3" width="9.85546875" customWidth="1"/>
    <col min="4" max="4" width="9.7109375" customWidth="1"/>
    <col min="5" max="5" width="10.5703125" customWidth="1"/>
    <col min="6" max="6" width="16" customWidth="1"/>
    <col min="7" max="7" width="7" customWidth="1"/>
    <col min="8" max="8" width="10" customWidth="1"/>
    <col min="9" max="9" width="18.42578125" customWidth="1"/>
    <col min="10" max="10" width="2.7109375" customWidth="1"/>
  </cols>
  <sheetData>
    <row r="1" spans="1:10" ht="15" customHeight="1" x14ac:dyDescent="0.2">
      <c r="A1" s="271"/>
      <c r="B1" s="273"/>
      <c r="C1" s="301" t="s">
        <v>87</v>
      </c>
      <c r="D1" s="302"/>
      <c r="E1" s="302"/>
      <c r="F1" s="302"/>
      <c r="G1" s="302"/>
      <c r="H1" s="307" t="s">
        <v>88</v>
      </c>
      <c r="I1" s="308"/>
      <c r="J1" s="309"/>
    </row>
    <row r="2" spans="1:10" ht="16.5" customHeight="1" thickBot="1" x14ac:dyDescent="0.25">
      <c r="A2" s="274"/>
      <c r="B2" s="276"/>
      <c r="C2" s="303"/>
      <c r="D2" s="304"/>
      <c r="E2" s="304"/>
      <c r="F2" s="304"/>
      <c r="G2" s="304"/>
      <c r="H2" s="310"/>
      <c r="I2" s="311"/>
      <c r="J2" s="312"/>
    </row>
    <row r="3" spans="1:10" ht="15" customHeight="1" x14ac:dyDescent="0.2">
      <c r="A3" s="274"/>
      <c r="B3" s="276"/>
      <c r="C3" s="303"/>
      <c r="D3" s="304"/>
      <c r="E3" s="304"/>
      <c r="F3" s="304"/>
      <c r="G3" s="304"/>
      <c r="H3" s="313" t="s">
        <v>89</v>
      </c>
      <c r="I3" s="314"/>
      <c r="J3" s="315"/>
    </row>
    <row r="4" spans="1:10" ht="15.75" customHeight="1" thickBot="1" x14ac:dyDescent="0.25">
      <c r="A4" s="277"/>
      <c r="B4" s="279"/>
      <c r="C4" s="305"/>
      <c r="D4" s="306"/>
      <c r="E4" s="306"/>
      <c r="F4" s="306"/>
      <c r="G4" s="306"/>
      <c r="H4" s="316"/>
      <c r="I4" s="317"/>
      <c r="J4" s="318"/>
    </row>
    <row r="6" spans="1:10" ht="33" customHeight="1" thickBot="1" x14ac:dyDescent="0.25"/>
    <row r="7" spans="1:10" ht="36.75" thickTop="1" x14ac:dyDescent="0.2">
      <c r="A7" s="319" t="s">
        <v>90</v>
      </c>
      <c r="B7" s="319"/>
      <c r="C7" s="320" t="s">
        <v>91</v>
      </c>
      <c r="D7" s="321"/>
      <c r="E7" s="61" t="s">
        <v>92</v>
      </c>
      <c r="F7" s="61" t="s">
        <v>93</v>
      </c>
      <c r="G7" s="61" t="s">
        <v>94</v>
      </c>
      <c r="H7" s="61" t="s">
        <v>95</v>
      </c>
      <c r="I7" s="322" t="s">
        <v>96</v>
      </c>
      <c r="J7" s="323"/>
    </row>
    <row r="8" spans="1:10" x14ac:dyDescent="0.2">
      <c r="A8" s="324">
        <v>95670781</v>
      </c>
      <c r="B8" s="324"/>
      <c r="C8" s="325">
        <v>44655</v>
      </c>
      <c r="D8" s="326"/>
      <c r="E8" s="113">
        <v>44685</v>
      </c>
      <c r="F8" s="163" t="s">
        <v>131</v>
      </c>
      <c r="G8" s="62"/>
      <c r="H8" s="62"/>
      <c r="I8" s="327"/>
      <c r="J8" s="328"/>
    </row>
    <row r="10" spans="1:10" ht="23.25" customHeight="1" thickBot="1" x14ac:dyDescent="0.25"/>
    <row r="11" spans="1:10" ht="24.75" customHeight="1" thickTop="1" x14ac:dyDescent="0.2">
      <c r="A11" s="329" t="s">
        <v>98</v>
      </c>
      <c r="B11" s="329"/>
      <c r="C11" s="330" t="s">
        <v>99</v>
      </c>
      <c r="D11" s="331"/>
      <c r="E11" s="329" t="s">
        <v>100</v>
      </c>
      <c r="F11" s="329"/>
      <c r="G11" s="330" t="s">
        <v>101</v>
      </c>
      <c r="H11" s="331"/>
      <c r="I11" s="332" t="s">
        <v>102</v>
      </c>
      <c r="J11" s="332"/>
    </row>
    <row r="12" spans="1:10" x14ac:dyDescent="0.2">
      <c r="A12" s="324" t="s">
        <v>103</v>
      </c>
      <c r="B12" s="324"/>
      <c r="C12" s="324">
        <v>3750</v>
      </c>
      <c r="D12" s="324"/>
      <c r="E12" s="324">
        <v>1000</v>
      </c>
      <c r="F12" s="324"/>
      <c r="G12" s="336">
        <v>793</v>
      </c>
      <c r="H12" s="336"/>
      <c r="I12" s="337"/>
      <c r="J12" s="337"/>
    </row>
    <row r="13" spans="1:10" x14ac:dyDescent="0.2">
      <c r="A13" s="338"/>
      <c r="B13" s="339"/>
      <c r="C13" s="339"/>
      <c r="D13" s="339"/>
      <c r="E13" s="339"/>
      <c r="F13" s="339"/>
      <c r="G13" s="339"/>
      <c r="H13" s="339"/>
      <c r="I13" s="339"/>
      <c r="J13" s="339"/>
    </row>
    <row r="15" spans="1:10" ht="13.5" thickBot="1" x14ac:dyDescent="0.25"/>
    <row r="16" spans="1:10" ht="26.25" thickTop="1" x14ac:dyDescent="0.2">
      <c r="A16" s="329" t="s">
        <v>104</v>
      </c>
      <c r="B16" s="329"/>
      <c r="C16" s="63" t="s">
        <v>105</v>
      </c>
      <c r="D16" s="64" t="s">
        <v>106</v>
      </c>
      <c r="E16" s="64" t="s">
        <v>48</v>
      </c>
      <c r="F16" s="64" t="s">
        <v>107</v>
      </c>
      <c r="G16" s="333" t="s">
        <v>108</v>
      </c>
      <c r="H16" s="333"/>
      <c r="I16" s="334" t="s">
        <v>109</v>
      </c>
      <c r="J16" s="335"/>
    </row>
    <row r="17" spans="1:10" x14ac:dyDescent="0.2">
      <c r="A17" s="340" t="s">
        <v>110</v>
      </c>
      <c r="B17" s="341"/>
      <c r="C17" s="66">
        <v>19067297</v>
      </c>
      <c r="D17" s="66">
        <v>19060410</v>
      </c>
      <c r="E17" s="67">
        <f>MIN(C17-D17)</f>
        <v>6887</v>
      </c>
      <c r="F17" s="67">
        <f>+E17</f>
        <v>6887</v>
      </c>
      <c r="G17" s="342"/>
      <c r="H17" s="343"/>
      <c r="I17" s="342">
        <f>+E17</f>
        <v>6887</v>
      </c>
      <c r="J17" s="343"/>
    </row>
    <row r="18" spans="1:10" x14ac:dyDescent="0.2">
      <c r="A18" s="340" t="s">
        <v>111</v>
      </c>
      <c r="B18" s="341"/>
      <c r="C18" s="66">
        <v>11187556</v>
      </c>
      <c r="D18" s="66">
        <v>11183757</v>
      </c>
      <c r="E18" s="67">
        <f>MIN(C18-D18)</f>
        <v>3799</v>
      </c>
      <c r="F18" s="67">
        <f>+E18</f>
        <v>3799</v>
      </c>
      <c r="G18" s="342"/>
      <c r="H18" s="343"/>
      <c r="I18" s="342">
        <f>+E18</f>
        <v>3799</v>
      </c>
      <c r="J18" s="343"/>
    </row>
    <row r="19" spans="1:10" x14ac:dyDescent="0.2">
      <c r="A19" s="340" t="s">
        <v>112</v>
      </c>
      <c r="B19" s="341"/>
      <c r="C19" s="66">
        <v>8363547</v>
      </c>
      <c r="D19" s="66">
        <v>8360474</v>
      </c>
      <c r="E19" s="67">
        <f>AVERAGE(C19-D19)</f>
        <v>3073</v>
      </c>
      <c r="F19" s="67">
        <f>+E19</f>
        <v>3073</v>
      </c>
      <c r="G19" s="342"/>
      <c r="H19" s="343"/>
      <c r="I19" s="342">
        <f>+E19</f>
        <v>3073</v>
      </c>
      <c r="J19" s="343"/>
    </row>
    <row r="20" spans="1:10" ht="15" x14ac:dyDescent="0.25">
      <c r="A20" s="344" t="s">
        <v>113</v>
      </c>
      <c r="B20" s="345"/>
      <c r="C20" s="68"/>
      <c r="D20" s="69"/>
      <c r="E20" s="68">
        <f>SUM(E17:E19)</f>
        <v>13759</v>
      </c>
      <c r="F20" s="70"/>
      <c r="G20" s="346"/>
      <c r="H20" s="347"/>
      <c r="I20" s="346"/>
      <c r="J20" s="347"/>
    </row>
    <row r="21" spans="1:10" x14ac:dyDescent="0.2">
      <c r="C21" s="110" t="s">
        <v>18</v>
      </c>
      <c r="D21" t="s">
        <v>114</v>
      </c>
      <c r="G21" s="348"/>
      <c r="H21" s="348"/>
    </row>
    <row r="22" spans="1:10" ht="13.5" thickBot="1" x14ac:dyDescent="0.25">
      <c r="G22" s="349"/>
      <c r="H22" s="349"/>
    </row>
    <row r="23" spans="1:10" ht="13.5" thickTop="1" x14ac:dyDescent="0.2">
      <c r="A23" s="350" t="s">
        <v>115</v>
      </c>
      <c r="B23" s="351"/>
      <c r="C23" s="352"/>
      <c r="D23" s="329" t="s">
        <v>116</v>
      </c>
      <c r="E23" s="329" t="s">
        <v>117</v>
      </c>
      <c r="F23" s="357" t="s">
        <v>118</v>
      </c>
      <c r="G23" s="359" t="s">
        <v>119</v>
      </c>
      <c r="H23" s="359"/>
      <c r="I23" s="360" t="s">
        <v>120</v>
      </c>
      <c r="J23" s="360"/>
    </row>
    <row r="24" spans="1:10" x14ac:dyDescent="0.2">
      <c r="A24" s="353"/>
      <c r="B24" s="354"/>
      <c r="C24" s="355"/>
      <c r="D24" s="356"/>
      <c r="E24" s="356"/>
      <c r="F24" s="358"/>
      <c r="G24" s="164" t="s">
        <v>121</v>
      </c>
      <c r="H24" s="71" t="s">
        <v>122</v>
      </c>
      <c r="I24" s="360"/>
      <c r="J24" s="360"/>
    </row>
    <row r="25" spans="1:10" ht="15" x14ac:dyDescent="0.25">
      <c r="A25" s="361" t="s">
        <v>123</v>
      </c>
      <c r="B25" s="362"/>
      <c r="C25" s="363"/>
      <c r="D25" s="67">
        <f>+E17</f>
        <v>6887</v>
      </c>
      <c r="E25" s="72">
        <v>0.95140000000000002</v>
      </c>
      <c r="F25" s="73">
        <f>PRODUCT(D25*E25)</f>
        <v>6552.2918</v>
      </c>
      <c r="G25" s="151">
        <v>14</v>
      </c>
      <c r="H25" s="65">
        <f>PRODUCT(0.14,F25)</f>
        <v>917.32085200000006</v>
      </c>
      <c r="I25" s="364">
        <f>SUM(H25,F25)</f>
        <v>7469.6126519999998</v>
      </c>
      <c r="J25" s="365"/>
    </row>
    <row r="26" spans="1:10" ht="15" x14ac:dyDescent="0.25">
      <c r="A26" s="366" t="s">
        <v>124</v>
      </c>
      <c r="B26" s="367"/>
      <c r="C26" s="368"/>
      <c r="D26" s="67">
        <f>+E18</f>
        <v>3799</v>
      </c>
      <c r="E26" s="74">
        <v>0.69850000000000001</v>
      </c>
      <c r="F26" s="73">
        <f>PRODUCT(D26*E26)</f>
        <v>2653.6015000000002</v>
      </c>
      <c r="G26">
        <v>14</v>
      </c>
      <c r="H26" s="67">
        <f>PRODUCT(0.14,F26)</f>
        <v>371.50421000000006</v>
      </c>
      <c r="I26" s="364">
        <f t="shared" ref="I26:I31" si="0">SUM(H26,F26)</f>
        <v>3025.1057100000003</v>
      </c>
      <c r="J26" s="365"/>
    </row>
    <row r="27" spans="1:10" ht="15" x14ac:dyDescent="0.25">
      <c r="A27" s="366" t="s">
        <v>125</v>
      </c>
      <c r="B27" s="367"/>
      <c r="C27" s="368"/>
      <c r="D27" s="67">
        <f>+E19</f>
        <v>3073</v>
      </c>
      <c r="E27" s="74">
        <v>1.3304</v>
      </c>
      <c r="F27" s="73">
        <f>PRODUCT(D27*E27)</f>
        <v>4088.3191999999999</v>
      </c>
      <c r="G27">
        <v>14</v>
      </c>
      <c r="H27" s="67">
        <f>PRODUCT(0.14,F27)</f>
        <v>572.364688</v>
      </c>
      <c r="I27" s="364">
        <f>SUM(H27,F27)</f>
        <v>4660.6838879999996</v>
      </c>
      <c r="J27" s="365"/>
    </row>
    <row r="28" spans="1:10" ht="15" x14ac:dyDescent="0.25">
      <c r="A28" s="366" t="s">
        <v>126</v>
      </c>
      <c r="B28" s="367"/>
      <c r="C28" s="368"/>
      <c r="D28" s="67">
        <v>1000</v>
      </c>
      <c r="E28" s="74">
        <v>43.88167</v>
      </c>
      <c r="F28" s="73">
        <f>PRODUCT(D28,E28)</f>
        <v>43881.67</v>
      </c>
      <c r="G28">
        <v>14</v>
      </c>
      <c r="H28" s="67">
        <f>PRODUCT(0.14,F28)</f>
        <v>6143.4338000000007</v>
      </c>
      <c r="I28" s="364">
        <f t="shared" si="0"/>
        <v>50025.103799999997</v>
      </c>
      <c r="J28" s="365"/>
    </row>
    <row r="29" spans="1:10" ht="15" x14ac:dyDescent="0.25">
      <c r="A29" s="377" t="s">
        <v>127</v>
      </c>
      <c r="B29" s="378"/>
      <c r="C29" s="379"/>
      <c r="D29" s="75">
        <v>0</v>
      </c>
      <c r="E29" s="76">
        <v>48.972490000000001</v>
      </c>
      <c r="F29" s="77">
        <f>PRODUCT(D29,E29)</f>
        <v>0</v>
      </c>
      <c r="G29" s="78">
        <v>14</v>
      </c>
      <c r="H29" s="75">
        <f>PRODUCT(0.14,F29)</f>
        <v>0</v>
      </c>
      <c r="I29" s="380">
        <f t="shared" si="0"/>
        <v>0</v>
      </c>
      <c r="J29" s="381"/>
    </row>
    <row r="30" spans="1:10" ht="15" x14ac:dyDescent="0.25">
      <c r="A30" s="366" t="s">
        <v>128</v>
      </c>
      <c r="B30" s="367"/>
      <c r="C30" s="368"/>
      <c r="D30" s="67"/>
      <c r="E30" s="79"/>
      <c r="F30" s="73">
        <v>841</v>
      </c>
      <c r="G30">
        <v>20</v>
      </c>
      <c r="H30" s="80">
        <f>PRODUCT(F30,0.2)</f>
        <v>168.20000000000002</v>
      </c>
      <c r="I30" s="364">
        <f>SUM(H30,F30)</f>
        <v>1009.2</v>
      </c>
      <c r="J30" s="365"/>
    </row>
    <row r="31" spans="1:10" ht="15.75" thickBot="1" x14ac:dyDescent="0.3">
      <c r="A31" s="369" t="s">
        <v>129</v>
      </c>
      <c r="B31" s="370"/>
      <c r="C31" s="371"/>
      <c r="D31" s="81"/>
      <c r="E31" s="82"/>
      <c r="F31" s="73">
        <v>1492</v>
      </c>
      <c r="G31" s="70">
        <v>7</v>
      </c>
      <c r="H31" s="83">
        <f>PRODUCT(F31,0.07)</f>
        <v>104.44000000000001</v>
      </c>
      <c r="I31" s="364">
        <f t="shared" si="0"/>
        <v>1596.44</v>
      </c>
      <c r="J31" s="365"/>
    </row>
    <row r="32" spans="1:10" ht="21" x14ac:dyDescent="0.2">
      <c r="A32" s="372" t="s">
        <v>130</v>
      </c>
      <c r="B32" s="373"/>
      <c r="C32" s="373"/>
      <c r="D32" s="373"/>
      <c r="E32" s="373"/>
      <c r="F32" s="84">
        <f>SUM(F25:F31)</f>
        <v>59508.8825</v>
      </c>
      <c r="G32" s="85"/>
      <c r="H32" s="86"/>
      <c r="I32" s="376">
        <f>SUM(I25:J31)</f>
        <v>67786.146049999996</v>
      </c>
      <c r="J32" s="376"/>
    </row>
    <row r="33" spans="1:10" ht="21.75" thickBot="1" x14ac:dyDescent="0.25">
      <c r="A33" s="374"/>
      <c r="B33" s="375"/>
      <c r="C33" s="375"/>
      <c r="D33" s="375"/>
      <c r="E33" s="375"/>
      <c r="F33" s="87"/>
      <c r="G33" s="88"/>
      <c r="H33" s="89"/>
      <c r="I33" s="376"/>
      <c r="J33" s="376"/>
    </row>
  </sheetData>
  <mergeCells count="60">
    <mergeCell ref="A1:B4"/>
    <mergeCell ref="C1:G4"/>
    <mergeCell ref="H1:J2"/>
    <mergeCell ref="H3:J4"/>
    <mergeCell ref="A7:B7"/>
    <mergeCell ref="C7:D7"/>
    <mergeCell ref="I7:J7"/>
    <mergeCell ref="A13:J13"/>
    <mergeCell ref="A8:B8"/>
    <mergeCell ref="C8:D8"/>
    <mergeCell ref="I8:J8"/>
    <mergeCell ref="A11:B11"/>
    <mergeCell ref="C11:D11"/>
    <mergeCell ref="E11:F11"/>
    <mergeCell ref="G11:H11"/>
    <mergeCell ref="I11:J11"/>
    <mergeCell ref="A12:B12"/>
    <mergeCell ref="C12:D12"/>
    <mergeCell ref="E12:F12"/>
    <mergeCell ref="G12:H12"/>
    <mergeCell ref="I12:J12"/>
    <mergeCell ref="A16:B16"/>
    <mergeCell ref="G16:H16"/>
    <mergeCell ref="I16:J16"/>
    <mergeCell ref="A17:B17"/>
    <mergeCell ref="G17:H17"/>
    <mergeCell ref="I17:J17"/>
    <mergeCell ref="A25:C25"/>
    <mergeCell ref="I25:J25"/>
    <mergeCell ref="A26:C26"/>
    <mergeCell ref="A18:B18"/>
    <mergeCell ref="G18:H18"/>
    <mergeCell ref="I18:J18"/>
    <mergeCell ref="A19:B19"/>
    <mergeCell ref="G19:H19"/>
    <mergeCell ref="I19:J19"/>
    <mergeCell ref="A23:C24"/>
    <mergeCell ref="D23:D24"/>
    <mergeCell ref="E23:E24"/>
    <mergeCell ref="F23:F24"/>
    <mergeCell ref="G23:H23"/>
    <mergeCell ref="A20:B20"/>
    <mergeCell ref="G20:H20"/>
    <mergeCell ref="I20:J20"/>
    <mergeCell ref="G21:H21"/>
    <mergeCell ref="G22:H22"/>
    <mergeCell ref="I26:J26"/>
    <mergeCell ref="I23:J24"/>
    <mergeCell ref="A27:C27"/>
    <mergeCell ref="I27:J27"/>
    <mergeCell ref="A31:C31"/>
    <mergeCell ref="I31:J31"/>
    <mergeCell ref="A32:E33"/>
    <mergeCell ref="I32:J33"/>
    <mergeCell ref="A28:C28"/>
    <mergeCell ref="I28:J28"/>
    <mergeCell ref="A29:C29"/>
    <mergeCell ref="I29:J29"/>
    <mergeCell ref="A30:C30"/>
    <mergeCell ref="I30:J30"/>
  </mergeCells>
  <pageMargins left="0.7" right="0.7" top="0.75" bottom="0.75" header="0.3" footer="0.3"/>
  <pageSetup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H25"/>
  <sheetViews>
    <sheetView topLeftCell="A7" workbookViewId="0">
      <selection activeCell="F20" sqref="F20:H20"/>
    </sheetView>
  </sheetViews>
  <sheetFormatPr baseColWidth="10" defaultColWidth="11.42578125" defaultRowHeight="12.75" x14ac:dyDescent="0.2"/>
  <cols>
    <col min="1" max="1" width="14.85546875" bestFit="1" customWidth="1"/>
    <col min="3" max="5" width="11.5703125" bestFit="1" customWidth="1"/>
    <col min="6" max="6" width="10.5703125" customWidth="1"/>
    <col min="7" max="7" width="13.42578125" customWidth="1"/>
    <col min="8" max="8" width="9" hidden="1" customWidth="1"/>
  </cols>
  <sheetData>
    <row r="1" spans="1:8" ht="15" customHeight="1" x14ac:dyDescent="0.2">
      <c r="A1" s="382"/>
      <c r="B1" s="301" t="s">
        <v>132</v>
      </c>
      <c r="C1" s="302"/>
      <c r="D1" s="302"/>
      <c r="E1" s="302"/>
      <c r="F1" s="385" t="s">
        <v>88</v>
      </c>
      <c r="G1" s="386"/>
      <c r="H1" s="387"/>
    </row>
    <row r="2" spans="1:8" ht="15.75" customHeight="1" thickBot="1" x14ac:dyDescent="0.25">
      <c r="A2" s="383"/>
      <c r="B2" s="303"/>
      <c r="C2" s="304"/>
      <c r="D2" s="304"/>
      <c r="E2" s="304"/>
      <c r="F2" s="388"/>
      <c r="G2" s="389"/>
      <c r="H2" s="390"/>
    </row>
    <row r="3" spans="1:8" ht="15" customHeight="1" x14ac:dyDescent="0.2">
      <c r="A3" s="383"/>
      <c r="B3" s="303"/>
      <c r="C3" s="304"/>
      <c r="D3" s="304"/>
      <c r="E3" s="304"/>
      <c r="F3" s="385" t="s">
        <v>89</v>
      </c>
      <c r="G3" s="386"/>
      <c r="H3" s="387"/>
    </row>
    <row r="4" spans="1:8" ht="15.75" customHeight="1" thickBot="1" x14ac:dyDescent="0.25">
      <c r="A4" s="384"/>
      <c r="B4" s="305"/>
      <c r="C4" s="306"/>
      <c r="D4" s="306"/>
      <c r="E4" s="306"/>
      <c r="F4" s="391"/>
      <c r="G4" s="392"/>
      <c r="H4" s="393"/>
    </row>
    <row r="6" spans="1:8" ht="42.75" customHeight="1" x14ac:dyDescent="0.2"/>
    <row r="7" spans="1:8" ht="42.75" customHeight="1" x14ac:dyDescent="0.2">
      <c r="A7" s="92" t="s">
        <v>90</v>
      </c>
      <c r="B7" s="92" t="s">
        <v>133</v>
      </c>
      <c r="C7" s="92" t="s">
        <v>134</v>
      </c>
      <c r="D7" s="94" t="s">
        <v>91</v>
      </c>
      <c r="E7" s="92" t="s">
        <v>135</v>
      </c>
      <c r="F7" s="94" t="s">
        <v>92</v>
      </c>
      <c r="G7" s="94" t="s">
        <v>136</v>
      </c>
      <c r="H7" s="93" t="s">
        <v>93</v>
      </c>
    </row>
    <row r="8" spans="1:8" ht="15" x14ac:dyDescent="0.25">
      <c r="A8" s="165"/>
      <c r="B8" s="95" t="s">
        <v>137</v>
      </c>
      <c r="C8" s="96">
        <v>140352</v>
      </c>
      <c r="D8" s="97">
        <v>44652</v>
      </c>
      <c r="E8" s="96">
        <v>143745</v>
      </c>
      <c r="F8" s="97">
        <v>44682</v>
      </c>
      <c r="G8" s="98">
        <f>E8-C8</f>
        <v>3393</v>
      </c>
      <c r="H8" s="99"/>
    </row>
    <row r="9" spans="1:8" ht="36" customHeight="1" x14ac:dyDescent="0.25">
      <c r="A9" s="100"/>
      <c r="B9" s="100"/>
      <c r="C9" s="100"/>
      <c r="D9" s="100"/>
      <c r="E9" s="100"/>
      <c r="F9" s="100"/>
      <c r="G9" s="100"/>
      <c r="H9" s="100"/>
    </row>
    <row r="10" spans="1:8" ht="15" x14ac:dyDescent="0.25">
      <c r="A10" s="101"/>
      <c r="B10" s="394" t="s">
        <v>116</v>
      </c>
      <c r="C10" s="395"/>
      <c r="D10" s="396" t="s">
        <v>138</v>
      </c>
      <c r="E10" s="396"/>
      <c r="F10" s="394" t="s">
        <v>139</v>
      </c>
      <c r="G10" s="397"/>
      <c r="H10" s="395"/>
    </row>
    <row r="11" spans="1:8" ht="15" x14ac:dyDescent="0.25">
      <c r="A11" s="102" t="s">
        <v>140</v>
      </c>
      <c r="B11" s="398"/>
      <c r="C11" s="398"/>
      <c r="D11" s="398"/>
      <c r="E11" s="398"/>
      <c r="F11" s="398">
        <v>23</v>
      </c>
      <c r="G11" s="398"/>
      <c r="H11" s="398"/>
    </row>
    <row r="12" spans="1:8" ht="21" x14ac:dyDescent="0.35">
      <c r="A12" s="399" t="s">
        <v>141</v>
      </c>
      <c r="B12" s="399"/>
      <c r="C12" s="399"/>
      <c r="D12" s="399"/>
      <c r="E12" s="399"/>
      <c r="F12" s="399"/>
      <c r="G12" s="399"/>
      <c r="H12" s="399"/>
    </row>
    <row r="13" spans="1:8" ht="15" x14ac:dyDescent="0.25">
      <c r="A13" s="102" t="s">
        <v>142</v>
      </c>
      <c r="B13" s="398">
        <f>G8</f>
        <v>3393</v>
      </c>
      <c r="C13" s="398"/>
      <c r="D13" s="398">
        <v>8.7899999999999991</v>
      </c>
      <c r="E13" s="398"/>
      <c r="F13" s="400">
        <f>PRODUCT(D13,B13)</f>
        <v>29824.469999999998</v>
      </c>
      <c r="G13" s="400"/>
      <c r="H13" s="400"/>
    </row>
    <row r="14" spans="1:8" ht="45" customHeight="1" x14ac:dyDescent="0.2">
      <c r="A14" s="401" t="s">
        <v>143</v>
      </c>
      <c r="B14" s="401"/>
      <c r="C14" s="401"/>
      <c r="D14" s="401"/>
      <c r="E14" s="401"/>
      <c r="F14" s="401"/>
      <c r="G14" s="401"/>
      <c r="H14" s="401"/>
    </row>
    <row r="15" spans="1:8" x14ac:dyDescent="0.2">
      <c r="A15" s="402"/>
      <c r="B15" s="402"/>
      <c r="C15" s="402"/>
      <c r="D15" s="402"/>
      <c r="E15" s="402"/>
      <c r="F15" s="402"/>
      <c r="G15" s="402"/>
      <c r="H15" s="402"/>
    </row>
    <row r="16" spans="1:8" ht="15" x14ac:dyDescent="0.25">
      <c r="A16" s="103" t="s">
        <v>144</v>
      </c>
      <c r="B16" s="398">
        <v>0</v>
      </c>
      <c r="C16" s="398"/>
      <c r="D16" s="398">
        <v>0</v>
      </c>
      <c r="E16" s="398"/>
      <c r="F16" s="398">
        <f>PRODUCT(D16,B16)</f>
        <v>0</v>
      </c>
      <c r="G16" s="398"/>
      <c r="H16" s="398"/>
    </row>
    <row r="17" spans="1:8" ht="15" x14ac:dyDescent="0.25">
      <c r="A17" s="103" t="s">
        <v>145</v>
      </c>
      <c r="B17" s="398">
        <v>0</v>
      </c>
      <c r="C17" s="398"/>
      <c r="D17" s="398">
        <v>0</v>
      </c>
      <c r="E17" s="398"/>
      <c r="F17" s="398">
        <f>PRODUCT(D17,B17)</f>
        <v>0</v>
      </c>
      <c r="G17" s="398"/>
      <c r="H17" s="398"/>
    </row>
    <row r="18" spans="1:8" ht="15" x14ac:dyDescent="0.25">
      <c r="A18" s="103" t="s">
        <v>146</v>
      </c>
      <c r="B18" s="398">
        <v>0</v>
      </c>
      <c r="C18" s="398"/>
      <c r="D18" s="398">
        <v>0</v>
      </c>
      <c r="E18" s="398"/>
      <c r="F18" s="398">
        <f>PRODUCT(D18,B18)</f>
        <v>0</v>
      </c>
      <c r="G18" s="398"/>
      <c r="H18" s="398"/>
    </row>
    <row r="19" spans="1:8" ht="15" x14ac:dyDescent="0.25">
      <c r="A19" s="103" t="s">
        <v>147</v>
      </c>
      <c r="B19" s="398">
        <f>G8</f>
        <v>3393</v>
      </c>
      <c r="C19" s="398"/>
      <c r="D19" s="398">
        <v>2.61</v>
      </c>
      <c r="E19" s="398"/>
      <c r="F19" s="398">
        <f>PRODUCT(D19,B19)</f>
        <v>8855.73</v>
      </c>
      <c r="G19" s="398"/>
      <c r="H19" s="398"/>
    </row>
    <row r="20" spans="1:8" ht="18.75" x14ac:dyDescent="0.3">
      <c r="A20" s="414" t="s">
        <v>148</v>
      </c>
      <c r="B20" s="415"/>
      <c r="C20" s="415"/>
      <c r="D20" s="415"/>
      <c r="E20" s="416"/>
      <c r="F20" s="417">
        <f>SUM(F11+F13+F16+F17+F18+F19)</f>
        <v>38703.199999999997</v>
      </c>
      <c r="G20" s="417"/>
      <c r="H20" s="417"/>
    </row>
    <row r="21" spans="1:8" ht="15" x14ac:dyDescent="0.25">
      <c r="A21" s="403" t="s">
        <v>149</v>
      </c>
      <c r="B21" s="404"/>
      <c r="C21" s="404"/>
      <c r="D21" s="404"/>
      <c r="E21" s="405"/>
      <c r="F21" s="398">
        <f>PRODUCT(F20,0.07)</f>
        <v>2709.2240000000002</v>
      </c>
      <c r="G21" s="398"/>
      <c r="H21" s="398"/>
    </row>
    <row r="22" spans="1:8" ht="15" x14ac:dyDescent="0.25">
      <c r="A22" s="418" t="s">
        <v>150</v>
      </c>
      <c r="B22" s="419"/>
      <c r="C22" s="419"/>
      <c r="D22" s="419"/>
      <c r="E22" s="420"/>
      <c r="F22" s="398">
        <v>208.26</v>
      </c>
      <c r="G22" s="398"/>
      <c r="H22" s="398"/>
    </row>
    <row r="23" spans="1:8" ht="15.75" x14ac:dyDescent="0.25">
      <c r="A23" s="403" t="s">
        <v>151</v>
      </c>
      <c r="B23" s="404"/>
      <c r="C23" s="404"/>
      <c r="D23" s="404"/>
      <c r="E23" s="405"/>
      <c r="F23" s="406">
        <f>SUM(F21:H22)</f>
        <v>2917.4840000000004</v>
      </c>
      <c r="G23" s="406"/>
      <c r="H23" s="406"/>
    </row>
    <row r="24" spans="1:8" x14ac:dyDescent="0.2">
      <c r="A24" s="407" t="s">
        <v>152</v>
      </c>
      <c r="B24" s="408"/>
      <c r="C24" s="408"/>
      <c r="D24" s="408"/>
      <c r="E24" s="409"/>
      <c r="F24" s="413">
        <f>SUM(F20,F23)</f>
        <v>41620.683999999994</v>
      </c>
      <c r="G24" s="413"/>
      <c r="H24" s="413"/>
    </row>
    <row r="25" spans="1:8" x14ac:dyDescent="0.2">
      <c r="A25" s="410"/>
      <c r="B25" s="411"/>
      <c r="C25" s="411"/>
      <c r="D25" s="411"/>
      <c r="E25" s="412"/>
      <c r="F25" s="413"/>
      <c r="G25" s="413"/>
      <c r="H25" s="413"/>
    </row>
  </sheetData>
  <mergeCells count="37">
    <mergeCell ref="A23:E23"/>
    <mergeCell ref="F23:H23"/>
    <mergeCell ref="A24:E25"/>
    <mergeCell ref="F24:H25"/>
    <mergeCell ref="A20:E20"/>
    <mergeCell ref="F20:H20"/>
    <mergeCell ref="A21:E21"/>
    <mergeCell ref="F21:H21"/>
    <mergeCell ref="A22:E22"/>
    <mergeCell ref="F22:H22"/>
    <mergeCell ref="B18:C18"/>
    <mergeCell ref="D18:E18"/>
    <mergeCell ref="F18:H18"/>
    <mergeCell ref="B19:C19"/>
    <mergeCell ref="D19:E19"/>
    <mergeCell ref="F19:H19"/>
    <mergeCell ref="A14:H15"/>
    <mergeCell ref="B16:C16"/>
    <mergeCell ref="D16:E16"/>
    <mergeCell ref="F16:H16"/>
    <mergeCell ref="B17:C17"/>
    <mergeCell ref="D17:E17"/>
    <mergeCell ref="F17:H17"/>
    <mergeCell ref="B11:C11"/>
    <mergeCell ref="D11:E11"/>
    <mergeCell ref="F11:H11"/>
    <mergeCell ref="A12:H12"/>
    <mergeCell ref="B13:C13"/>
    <mergeCell ref="D13:E13"/>
    <mergeCell ref="F13:H13"/>
    <mergeCell ref="A1:A4"/>
    <mergeCell ref="B1:E4"/>
    <mergeCell ref="F1:H2"/>
    <mergeCell ref="F3:H4"/>
    <mergeCell ref="B10:C10"/>
    <mergeCell ref="D10:E10"/>
    <mergeCell ref="F10:H10"/>
  </mergeCells>
  <pageMargins left="0.7" right="0.7" top="0.75" bottom="0.75" header="0.3" footer="0.3"/>
  <pageSetup orientation="portrait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H26"/>
  <sheetViews>
    <sheetView workbookViewId="0">
      <selection activeCell="F1" sqref="F1:H2"/>
    </sheetView>
  </sheetViews>
  <sheetFormatPr baseColWidth="10" defaultColWidth="11.42578125" defaultRowHeight="12.75" x14ac:dyDescent="0.2"/>
  <cols>
    <col min="1" max="1" width="14.85546875" bestFit="1" customWidth="1"/>
    <col min="3" max="5" width="11.5703125" bestFit="1" customWidth="1"/>
    <col min="6" max="6" width="10.5703125" customWidth="1"/>
    <col min="7" max="7" width="13.42578125" customWidth="1"/>
    <col min="8" max="8" width="9" hidden="1" customWidth="1"/>
  </cols>
  <sheetData>
    <row r="1" spans="1:8" ht="15" customHeight="1" x14ac:dyDescent="0.2">
      <c r="A1" s="382"/>
      <c r="B1" s="301" t="s">
        <v>132</v>
      </c>
      <c r="C1" s="302"/>
      <c r="D1" s="302"/>
      <c r="E1" s="302"/>
      <c r="F1" s="385" t="s">
        <v>88</v>
      </c>
      <c r="G1" s="386"/>
      <c r="H1" s="387"/>
    </row>
    <row r="2" spans="1:8" ht="15.75" customHeight="1" thickBot="1" x14ac:dyDescent="0.25">
      <c r="A2" s="383"/>
      <c r="B2" s="303"/>
      <c r="C2" s="304"/>
      <c r="D2" s="304"/>
      <c r="E2" s="304"/>
      <c r="F2" s="388"/>
      <c r="G2" s="389"/>
      <c r="H2" s="390"/>
    </row>
    <row r="3" spans="1:8" ht="15" customHeight="1" x14ac:dyDescent="0.2">
      <c r="A3" s="383"/>
      <c r="B3" s="303"/>
      <c r="C3" s="304"/>
      <c r="D3" s="304"/>
      <c r="E3" s="304"/>
      <c r="F3" s="385" t="s">
        <v>89</v>
      </c>
      <c r="G3" s="386"/>
      <c r="H3" s="387"/>
    </row>
    <row r="4" spans="1:8" ht="15.75" customHeight="1" thickBot="1" x14ac:dyDescent="0.25">
      <c r="A4" s="384"/>
      <c r="B4" s="305"/>
      <c r="C4" s="306"/>
      <c r="D4" s="306"/>
      <c r="E4" s="306"/>
      <c r="F4" s="391"/>
      <c r="G4" s="392"/>
      <c r="H4" s="393"/>
    </row>
    <row r="6" spans="1:8" ht="42.75" customHeight="1" x14ac:dyDescent="0.2"/>
    <row r="7" spans="1:8" ht="42.75" customHeight="1" x14ac:dyDescent="0.2">
      <c r="A7" s="92" t="s">
        <v>90</v>
      </c>
      <c r="B7" s="92" t="s">
        <v>133</v>
      </c>
      <c r="C7" s="92" t="s">
        <v>134</v>
      </c>
      <c r="D7" s="94" t="s">
        <v>91</v>
      </c>
      <c r="E7" s="92" t="s">
        <v>135</v>
      </c>
      <c r="F7" s="94" t="s">
        <v>92</v>
      </c>
      <c r="G7" s="94" t="s">
        <v>136</v>
      </c>
      <c r="H7" s="93" t="s">
        <v>93</v>
      </c>
    </row>
    <row r="8" spans="1:8" ht="15" x14ac:dyDescent="0.25">
      <c r="A8" s="165"/>
      <c r="B8" s="95" t="s">
        <v>137</v>
      </c>
      <c r="C8" s="96">
        <v>127985.9</v>
      </c>
      <c r="D8" s="97">
        <v>44655</v>
      </c>
      <c r="E8" s="96">
        <v>128105.7</v>
      </c>
      <c r="F8" s="97">
        <v>44686</v>
      </c>
      <c r="G8" s="98">
        <f>E8-C8</f>
        <v>119.80000000000291</v>
      </c>
      <c r="H8" s="99"/>
    </row>
    <row r="9" spans="1:8" ht="36" customHeight="1" x14ac:dyDescent="0.25">
      <c r="A9" s="100"/>
      <c r="B9" s="100"/>
      <c r="C9" s="100"/>
      <c r="D9" s="100"/>
      <c r="E9" s="100"/>
      <c r="F9" s="100"/>
      <c r="G9" s="100"/>
      <c r="H9" s="100"/>
    </row>
    <row r="10" spans="1:8" ht="15" x14ac:dyDescent="0.25">
      <c r="A10" s="101"/>
      <c r="B10" s="394" t="s">
        <v>116</v>
      </c>
      <c r="C10" s="395"/>
      <c r="D10" s="396" t="s">
        <v>138</v>
      </c>
      <c r="E10" s="396"/>
      <c r="F10" s="394" t="s">
        <v>139</v>
      </c>
      <c r="G10" s="397"/>
      <c r="H10" s="395"/>
    </row>
    <row r="11" spans="1:8" ht="15" x14ac:dyDescent="0.25">
      <c r="A11" s="102" t="s">
        <v>140</v>
      </c>
      <c r="B11" s="398"/>
      <c r="C11" s="398"/>
      <c r="D11" s="398"/>
      <c r="E11" s="398"/>
      <c r="F11" s="398">
        <v>23</v>
      </c>
      <c r="G11" s="398"/>
      <c r="H11" s="398"/>
    </row>
    <row r="12" spans="1:8" ht="21" x14ac:dyDescent="0.35">
      <c r="A12" s="399" t="s">
        <v>141</v>
      </c>
      <c r="B12" s="399"/>
      <c r="C12" s="399"/>
      <c r="D12" s="399"/>
      <c r="E12" s="399"/>
      <c r="F12" s="399"/>
      <c r="G12" s="399"/>
      <c r="H12" s="399"/>
    </row>
    <row r="13" spans="1:8" ht="15" x14ac:dyDescent="0.25">
      <c r="A13" s="102" t="s">
        <v>142</v>
      </c>
      <c r="B13" s="398">
        <f>G8</f>
        <v>119.80000000000291</v>
      </c>
      <c r="C13" s="398"/>
      <c r="D13" s="398">
        <v>8.5</v>
      </c>
      <c r="E13" s="398"/>
      <c r="F13" s="400">
        <f>PRODUCT(D13,B13)</f>
        <v>1018.3000000000247</v>
      </c>
      <c r="G13" s="400"/>
      <c r="H13" s="400"/>
    </row>
    <row r="14" spans="1:8" ht="45" customHeight="1" x14ac:dyDescent="0.2">
      <c r="A14" s="401" t="s">
        <v>143</v>
      </c>
      <c r="B14" s="401"/>
      <c r="C14" s="401"/>
      <c r="D14" s="401"/>
      <c r="E14" s="401"/>
      <c r="F14" s="401"/>
      <c r="G14" s="401"/>
      <c r="H14" s="401"/>
    </row>
    <row r="15" spans="1:8" x14ac:dyDescent="0.2">
      <c r="A15" s="402"/>
      <c r="B15" s="402"/>
      <c r="C15" s="402"/>
      <c r="D15" s="402"/>
      <c r="E15" s="402"/>
      <c r="F15" s="402"/>
      <c r="G15" s="402"/>
      <c r="H15" s="402"/>
    </row>
    <row r="16" spans="1:8" ht="15" x14ac:dyDescent="0.25">
      <c r="A16" s="103" t="s">
        <v>144</v>
      </c>
      <c r="B16" s="398">
        <v>0</v>
      </c>
      <c r="C16" s="398"/>
      <c r="D16" s="398">
        <v>0</v>
      </c>
      <c r="E16" s="398"/>
      <c r="F16" s="398">
        <f>PRODUCT(D16,B16)</f>
        <v>0</v>
      </c>
      <c r="G16" s="398"/>
      <c r="H16" s="398"/>
    </row>
    <row r="17" spans="1:8" ht="15" x14ac:dyDescent="0.25">
      <c r="A17" s="103" t="s">
        <v>145</v>
      </c>
      <c r="B17" s="398">
        <v>0</v>
      </c>
      <c r="C17" s="398"/>
      <c r="D17" s="398">
        <v>0</v>
      </c>
      <c r="E17" s="398"/>
      <c r="F17" s="398">
        <f>PRODUCT(D17,B17)</f>
        <v>0</v>
      </c>
      <c r="G17" s="398"/>
      <c r="H17" s="398"/>
    </row>
    <row r="18" spans="1:8" ht="15" x14ac:dyDescent="0.25">
      <c r="A18" s="103" t="s">
        <v>146</v>
      </c>
      <c r="B18" s="398">
        <v>0</v>
      </c>
      <c r="C18" s="398"/>
      <c r="D18" s="398">
        <v>0</v>
      </c>
      <c r="E18" s="398"/>
      <c r="F18" s="398">
        <f>PRODUCT(D18,B18)</f>
        <v>0</v>
      </c>
      <c r="G18" s="398"/>
      <c r="H18" s="398"/>
    </row>
    <row r="19" spans="1:8" ht="15" x14ac:dyDescent="0.25">
      <c r="A19" s="103" t="s">
        <v>147</v>
      </c>
      <c r="B19" s="398">
        <v>0</v>
      </c>
      <c r="C19" s="398"/>
      <c r="D19" s="421">
        <v>0</v>
      </c>
      <c r="E19" s="422"/>
      <c r="F19" s="421">
        <v>0</v>
      </c>
      <c r="G19" s="422"/>
      <c r="H19" s="165"/>
    </row>
    <row r="20" spans="1:8" ht="15" x14ac:dyDescent="0.25">
      <c r="A20" s="103" t="s">
        <v>153</v>
      </c>
      <c r="B20" s="398">
        <f>G8</f>
        <v>119.80000000000291</v>
      </c>
      <c r="C20" s="398"/>
      <c r="D20" s="398">
        <v>2.54</v>
      </c>
      <c r="E20" s="398"/>
      <c r="F20" s="398">
        <f>PRODUCT(D20,B20)</f>
        <v>304.29200000000742</v>
      </c>
      <c r="G20" s="398"/>
      <c r="H20" s="398"/>
    </row>
    <row r="21" spans="1:8" ht="18.75" x14ac:dyDescent="0.3">
      <c r="A21" s="414" t="s">
        <v>148</v>
      </c>
      <c r="B21" s="415"/>
      <c r="C21" s="415"/>
      <c r="D21" s="415"/>
      <c r="E21" s="416"/>
      <c r="F21" s="417">
        <f>SUM(F11+F13+F16+F17+F18+F20)</f>
        <v>1345.5920000000322</v>
      </c>
      <c r="G21" s="417"/>
      <c r="H21" s="417"/>
    </row>
    <row r="22" spans="1:8" ht="15" x14ac:dyDescent="0.25">
      <c r="A22" s="403" t="s">
        <v>149</v>
      </c>
      <c r="B22" s="404"/>
      <c r="C22" s="404"/>
      <c r="D22" s="404"/>
      <c r="E22" s="405"/>
      <c r="F22" s="398">
        <f>PRODUCT(F21,0.07)</f>
        <v>94.19144000000226</v>
      </c>
      <c r="G22" s="398"/>
      <c r="H22" s="398"/>
    </row>
    <row r="23" spans="1:8" ht="15" x14ac:dyDescent="0.25">
      <c r="A23" s="418" t="s">
        <v>150</v>
      </c>
      <c r="B23" s="419"/>
      <c r="C23" s="419"/>
      <c r="D23" s="419"/>
      <c r="E23" s="420"/>
      <c r="F23" s="398">
        <v>208.26</v>
      </c>
      <c r="G23" s="398"/>
      <c r="H23" s="398"/>
    </row>
    <row r="24" spans="1:8" ht="15.75" x14ac:dyDescent="0.25">
      <c r="A24" s="403" t="s">
        <v>151</v>
      </c>
      <c r="B24" s="404"/>
      <c r="C24" s="404"/>
      <c r="D24" s="404"/>
      <c r="E24" s="405"/>
      <c r="F24" s="406">
        <f>SUM(F22:H23)</f>
        <v>302.45144000000226</v>
      </c>
      <c r="G24" s="406"/>
      <c r="H24" s="406"/>
    </row>
    <row r="25" spans="1:8" x14ac:dyDescent="0.2">
      <c r="A25" s="407" t="s">
        <v>152</v>
      </c>
      <c r="B25" s="408"/>
      <c r="C25" s="408"/>
      <c r="D25" s="408"/>
      <c r="E25" s="409"/>
      <c r="F25" s="413">
        <f>SUM(F21,F24)</f>
        <v>1648.0434400000345</v>
      </c>
      <c r="G25" s="413"/>
      <c r="H25" s="413"/>
    </row>
    <row r="26" spans="1:8" x14ac:dyDescent="0.2">
      <c r="A26" s="410"/>
      <c r="B26" s="411"/>
      <c r="C26" s="411"/>
      <c r="D26" s="411"/>
      <c r="E26" s="412"/>
      <c r="F26" s="413"/>
      <c r="G26" s="413"/>
      <c r="H26" s="413"/>
    </row>
  </sheetData>
  <mergeCells count="40">
    <mergeCell ref="A1:A4"/>
    <mergeCell ref="B1:E4"/>
    <mergeCell ref="F1:H2"/>
    <mergeCell ref="F3:H4"/>
    <mergeCell ref="B10:C10"/>
    <mergeCell ref="D10:E10"/>
    <mergeCell ref="F10:H10"/>
    <mergeCell ref="B11:C11"/>
    <mergeCell ref="D11:E11"/>
    <mergeCell ref="F11:H11"/>
    <mergeCell ref="A12:H12"/>
    <mergeCell ref="B13:C13"/>
    <mergeCell ref="D13:E13"/>
    <mergeCell ref="F13:H13"/>
    <mergeCell ref="A14:H15"/>
    <mergeCell ref="B16:C16"/>
    <mergeCell ref="D16:E16"/>
    <mergeCell ref="F16:H16"/>
    <mergeCell ref="B17:C17"/>
    <mergeCell ref="D17:E17"/>
    <mergeCell ref="F17:H17"/>
    <mergeCell ref="B18:C18"/>
    <mergeCell ref="D18:E18"/>
    <mergeCell ref="F18:H18"/>
    <mergeCell ref="B20:C20"/>
    <mergeCell ref="D20:E20"/>
    <mergeCell ref="F20:H20"/>
    <mergeCell ref="A24:E24"/>
    <mergeCell ref="F24:H24"/>
    <mergeCell ref="A25:E26"/>
    <mergeCell ref="F25:H26"/>
    <mergeCell ref="B19:C19"/>
    <mergeCell ref="D19:E19"/>
    <mergeCell ref="F19:G19"/>
    <mergeCell ref="A21:E21"/>
    <mergeCell ref="F21:H21"/>
    <mergeCell ref="A22:E22"/>
    <mergeCell ref="F22:H22"/>
    <mergeCell ref="A23:E23"/>
    <mergeCell ref="F23:H23"/>
  </mergeCells>
  <pageMargins left="0.7" right="0.7" top="0.75" bottom="0.75" header="0.3" footer="0.3"/>
  <pageSetup orientation="portrait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H30"/>
  <sheetViews>
    <sheetView workbookViewId="0">
      <selection activeCell="D9" sqref="D9"/>
    </sheetView>
  </sheetViews>
  <sheetFormatPr baseColWidth="10" defaultColWidth="11.42578125" defaultRowHeight="12.75" x14ac:dyDescent="0.2"/>
  <cols>
    <col min="1" max="1" width="13.7109375" bestFit="1" customWidth="1"/>
    <col min="3" max="5" width="11.5703125" bestFit="1" customWidth="1"/>
    <col min="6" max="6" width="10.5703125" customWidth="1"/>
    <col min="7" max="7" width="13.42578125" customWidth="1"/>
    <col min="8" max="8" width="9" hidden="1" customWidth="1"/>
  </cols>
  <sheetData>
    <row r="1" spans="1:8" ht="15" customHeight="1" x14ac:dyDescent="0.2">
      <c r="A1" s="382"/>
      <c r="B1" s="301" t="s">
        <v>154</v>
      </c>
      <c r="C1" s="302"/>
      <c r="D1" s="302"/>
      <c r="E1" s="302"/>
      <c r="F1" s="385" t="s">
        <v>88</v>
      </c>
      <c r="G1" s="386"/>
      <c r="H1" s="387"/>
    </row>
    <row r="2" spans="1:8" ht="15.75" customHeight="1" thickBot="1" x14ac:dyDescent="0.25">
      <c r="A2" s="383"/>
      <c r="B2" s="303"/>
      <c r="C2" s="304"/>
      <c r="D2" s="304"/>
      <c r="E2" s="304"/>
      <c r="F2" s="388"/>
      <c r="G2" s="389"/>
      <c r="H2" s="390"/>
    </row>
    <row r="3" spans="1:8" ht="15" customHeight="1" x14ac:dyDescent="0.2">
      <c r="A3" s="383"/>
      <c r="B3" s="303"/>
      <c r="C3" s="304"/>
      <c r="D3" s="304"/>
      <c r="E3" s="304"/>
      <c r="F3" s="385" t="s">
        <v>89</v>
      </c>
      <c r="G3" s="386"/>
      <c r="H3" s="387"/>
    </row>
    <row r="4" spans="1:8" ht="15.75" customHeight="1" thickBot="1" x14ac:dyDescent="0.25">
      <c r="A4" s="384"/>
      <c r="B4" s="305"/>
      <c r="C4" s="306"/>
      <c r="D4" s="306"/>
      <c r="E4" s="306"/>
      <c r="F4" s="391"/>
      <c r="G4" s="392"/>
      <c r="H4" s="393"/>
    </row>
    <row r="6" spans="1:8" ht="42.75" customHeight="1" x14ac:dyDescent="0.2"/>
    <row r="7" spans="1:8" ht="42.75" customHeight="1" x14ac:dyDescent="0.2">
      <c r="A7" s="92" t="s">
        <v>90</v>
      </c>
      <c r="B7" s="92" t="s">
        <v>133</v>
      </c>
      <c r="C7" s="92" t="s">
        <v>134</v>
      </c>
      <c r="D7" s="94" t="s">
        <v>91</v>
      </c>
      <c r="E7" s="92" t="s">
        <v>135</v>
      </c>
      <c r="F7" s="94" t="s">
        <v>92</v>
      </c>
      <c r="G7" s="94" t="s">
        <v>136</v>
      </c>
      <c r="H7" s="93" t="s">
        <v>93</v>
      </c>
    </row>
    <row r="8" spans="1:8" ht="15" x14ac:dyDescent="0.25">
      <c r="A8" s="165"/>
      <c r="B8" s="95" t="s">
        <v>137</v>
      </c>
      <c r="C8" s="96">
        <v>2560</v>
      </c>
      <c r="D8" s="97">
        <v>44287</v>
      </c>
      <c r="E8" s="96">
        <v>2560</v>
      </c>
      <c r="F8" s="97">
        <v>44682</v>
      </c>
      <c r="G8" s="98">
        <f>E8-C8</f>
        <v>0</v>
      </c>
      <c r="H8" s="99"/>
    </row>
    <row r="9" spans="1:8" ht="36" customHeight="1" x14ac:dyDescent="0.25">
      <c r="A9" s="100"/>
      <c r="B9" s="100"/>
      <c r="C9" s="100"/>
      <c r="D9" s="100"/>
      <c r="E9" s="100"/>
      <c r="F9" s="100"/>
      <c r="G9" s="100"/>
      <c r="H9" s="100"/>
    </row>
    <row r="10" spans="1:8" ht="15" x14ac:dyDescent="0.25">
      <c r="A10" s="101"/>
      <c r="B10" s="394" t="s">
        <v>116</v>
      </c>
      <c r="C10" s="395"/>
      <c r="D10" s="396" t="s">
        <v>138</v>
      </c>
      <c r="E10" s="396"/>
      <c r="F10" s="394" t="s">
        <v>139</v>
      </c>
      <c r="G10" s="397"/>
      <c r="H10" s="395"/>
    </row>
    <row r="11" spans="1:8" ht="15" x14ac:dyDescent="0.25">
      <c r="A11" s="102" t="s">
        <v>140</v>
      </c>
      <c r="B11" s="398"/>
      <c r="C11" s="398"/>
      <c r="D11" s="398"/>
      <c r="E11" s="398"/>
      <c r="F11" s="398">
        <v>15</v>
      </c>
      <c r="G11" s="398"/>
      <c r="H11" s="398"/>
    </row>
    <row r="12" spans="1:8" ht="21" x14ac:dyDescent="0.35">
      <c r="A12" s="399" t="s">
        <v>141</v>
      </c>
      <c r="B12" s="399"/>
      <c r="C12" s="399"/>
      <c r="D12" s="399"/>
      <c r="E12" s="399"/>
      <c r="F12" s="399"/>
      <c r="G12" s="399"/>
      <c r="H12" s="399"/>
    </row>
    <row r="13" spans="1:8" ht="15" x14ac:dyDescent="0.25">
      <c r="A13" s="102" t="s">
        <v>155</v>
      </c>
      <c r="B13" s="398">
        <f>G8</f>
        <v>0</v>
      </c>
      <c r="C13" s="398"/>
      <c r="D13" s="398">
        <v>16.48</v>
      </c>
      <c r="E13" s="398"/>
      <c r="F13" s="400">
        <f>PRODUCT(D13,B13)</f>
        <v>0</v>
      </c>
      <c r="G13" s="400"/>
      <c r="H13" s="400"/>
    </row>
    <row r="14" spans="1:8" ht="15" x14ac:dyDescent="0.25">
      <c r="A14" s="102" t="s">
        <v>156</v>
      </c>
      <c r="B14" s="421"/>
      <c r="C14" s="422"/>
      <c r="D14" s="421"/>
      <c r="E14" s="422"/>
      <c r="F14" s="421"/>
      <c r="G14" s="422"/>
      <c r="H14" s="111"/>
    </row>
    <row r="15" spans="1:8" ht="15" x14ac:dyDescent="0.25">
      <c r="A15" s="102" t="s">
        <v>157</v>
      </c>
      <c r="B15" s="421"/>
      <c r="C15" s="422"/>
      <c r="D15" s="421"/>
      <c r="E15" s="422"/>
      <c r="F15" s="421"/>
      <c r="G15" s="422"/>
      <c r="H15" s="111"/>
    </row>
    <row r="16" spans="1:8" ht="15" x14ac:dyDescent="0.25">
      <c r="A16" s="102" t="s">
        <v>158</v>
      </c>
      <c r="B16" s="421"/>
      <c r="C16" s="422"/>
      <c r="D16" s="421"/>
      <c r="E16" s="422"/>
      <c r="F16" s="421"/>
      <c r="G16" s="422"/>
      <c r="H16" s="111"/>
    </row>
    <row r="17" spans="1:8" ht="15" x14ac:dyDescent="0.25">
      <c r="A17" s="102" t="s">
        <v>159</v>
      </c>
      <c r="B17" s="421"/>
      <c r="C17" s="422"/>
      <c r="D17" s="421"/>
      <c r="E17" s="422"/>
      <c r="F17" s="421"/>
      <c r="G17" s="422"/>
      <c r="H17" s="111"/>
    </row>
    <row r="18" spans="1:8" ht="45" customHeight="1" x14ac:dyDescent="0.2">
      <c r="A18" s="401" t="s">
        <v>143</v>
      </c>
      <c r="B18" s="401"/>
      <c r="C18" s="401"/>
      <c r="D18" s="401"/>
      <c r="E18" s="401"/>
      <c r="F18" s="401"/>
      <c r="G18" s="401"/>
      <c r="H18" s="401"/>
    </row>
    <row r="19" spans="1:8" x14ac:dyDescent="0.2">
      <c r="A19" s="402"/>
      <c r="B19" s="402"/>
      <c r="C19" s="402"/>
      <c r="D19" s="402"/>
      <c r="E19" s="402"/>
      <c r="F19" s="402"/>
      <c r="G19" s="402"/>
      <c r="H19" s="402"/>
    </row>
    <row r="20" spans="1:8" ht="15" x14ac:dyDescent="0.25">
      <c r="A20" s="103" t="s">
        <v>144</v>
      </c>
      <c r="B20" s="398">
        <v>0</v>
      </c>
      <c r="C20" s="398"/>
      <c r="D20" s="398">
        <v>0</v>
      </c>
      <c r="E20" s="398"/>
      <c r="F20" s="398">
        <f>PRODUCT(D20,B20)</f>
        <v>0</v>
      </c>
      <c r="G20" s="398"/>
      <c r="H20" s="398"/>
    </row>
    <row r="21" spans="1:8" ht="15" x14ac:dyDescent="0.25">
      <c r="A21" s="103" t="s">
        <v>145</v>
      </c>
      <c r="B21" s="398">
        <v>0</v>
      </c>
      <c r="C21" s="398"/>
      <c r="D21" s="398">
        <v>0</v>
      </c>
      <c r="E21" s="398"/>
      <c r="F21" s="398">
        <f>PRODUCT(D21,B21)</f>
        <v>0</v>
      </c>
      <c r="G21" s="398"/>
      <c r="H21" s="398"/>
    </row>
    <row r="22" spans="1:8" ht="15" x14ac:dyDescent="0.25">
      <c r="A22" s="103" t="s">
        <v>146</v>
      </c>
      <c r="B22" s="398">
        <v>0</v>
      </c>
      <c r="C22" s="398"/>
      <c r="D22" s="398">
        <v>0</v>
      </c>
      <c r="E22" s="398"/>
      <c r="F22" s="398">
        <f>PRODUCT(D22,B22)</f>
        <v>0</v>
      </c>
      <c r="G22" s="398"/>
      <c r="H22" s="398"/>
    </row>
    <row r="23" spans="1:8" ht="15" x14ac:dyDescent="0.25">
      <c r="A23" s="103" t="s">
        <v>147</v>
      </c>
      <c r="B23" s="398">
        <f>G8</f>
        <v>0</v>
      </c>
      <c r="C23" s="398"/>
      <c r="D23" s="398">
        <v>0</v>
      </c>
      <c r="E23" s="398"/>
      <c r="F23" s="398">
        <f>PRODUCT(D23,B23)</f>
        <v>0</v>
      </c>
      <c r="G23" s="398"/>
      <c r="H23" s="398"/>
    </row>
    <row r="24" spans="1:8" ht="15" x14ac:dyDescent="0.25">
      <c r="A24" s="103" t="s">
        <v>153</v>
      </c>
      <c r="B24" s="421">
        <v>0</v>
      </c>
      <c r="C24" s="422"/>
      <c r="D24" s="421">
        <v>2.54</v>
      </c>
      <c r="E24" s="422"/>
      <c r="F24" s="421">
        <f>B24*D24</f>
        <v>0</v>
      </c>
      <c r="G24" s="422"/>
      <c r="H24" s="165"/>
    </row>
    <row r="25" spans="1:8" ht="18.75" x14ac:dyDescent="0.3">
      <c r="A25" s="414" t="s">
        <v>148</v>
      </c>
      <c r="B25" s="415"/>
      <c r="C25" s="415"/>
      <c r="D25" s="415"/>
      <c r="E25" s="416"/>
      <c r="F25" s="423">
        <f>SUM(F11+F13+F20+F21+F22+F23)</f>
        <v>15</v>
      </c>
      <c r="G25" s="417"/>
      <c r="H25" s="417"/>
    </row>
    <row r="26" spans="1:8" ht="15" x14ac:dyDescent="0.25">
      <c r="A26" s="403" t="s">
        <v>149</v>
      </c>
      <c r="B26" s="404"/>
      <c r="C26" s="404"/>
      <c r="D26" s="404"/>
      <c r="E26" s="405"/>
      <c r="F26" s="398">
        <v>63.63</v>
      </c>
      <c r="G26" s="398"/>
      <c r="H26" s="398"/>
    </row>
    <row r="27" spans="1:8" ht="15" x14ac:dyDescent="0.25">
      <c r="A27" s="418" t="s">
        <v>150</v>
      </c>
      <c r="B27" s="419"/>
      <c r="C27" s="419"/>
      <c r="D27" s="419"/>
      <c r="E27" s="420"/>
      <c r="F27" s="398">
        <v>2.4300000000000002</v>
      </c>
      <c r="G27" s="398"/>
      <c r="H27" s="398"/>
    </row>
    <row r="28" spans="1:8" ht="15.75" x14ac:dyDescent="0.25">
      <c r="A28" s="403" t="s">
        <v>151</v>
      </c>
      <c r="B28" s="404"/>
      <c r="C28" s="404"/>
      <c r="D28" s="404"/>
      <c r="E28" s="405"/>
      <c r="F28" s="406">
        <f>SUM(F26:H27)</f>
        <v>66.06</v>
      </c>
      <c r="G28" s="406"/>
      <c r="H28" s="406"/>
    </row>
    <row r="29" spans="1:8" x14ac:dyDescent="0.2">
      <c r="A29" s="407" t="s">
        <v>152</v>
      </c>
      <c r="B29" s="408"/>
      <c r="C29" s="408"/>
      <c r="D29" s="408"/>
      <c r="E29" s="409"/>
      <c r="F29" s="413">
        <f>SUM(F25,F28)</f>
        <v>81.06</v>
      </c>
      <c r="G29" s="413"/>
      <c r="H29" s="413"/>
    </row>
    <row r="30" spans="1:8" x14ac:dyDescent="0.2">
      <c r="A30" s="410"/>
      <c r="B30" s="411"/>
      <c r="C30" s="411"/>
      <c r="D30" s="411"/>
      <c r="E30" s="412"/>
      <c r="F30" s="413"/>
      <c r="G30" s="413"/>
      <c r="H30" s="413"/>
    </row>
  </sheetData>
  <mergeCells count="52">
    <mergeCell ref="F14:G14"/>
    <mergeCell ref="F15:G15"/>
    <mergeCell ref="F16:G16"/>
    <mergeCell ref="F17:G17"/>
    <mergeCell ref="B14:C14"/>
    <mergeCell ref="B15:C15"/>
    <mergeCell ref="B16:C16"/>
    <mergeCell ref="B17:C17"/>
    <mergeCell ref="D14:E14"/>
    <mergeCell ref="D15:E15"/>
    <mergeCell ref="D16:E16"/>
    <mergeCell ref="D17:E17"/>
    <mergeCell ref="A28:E28"/>
    <mergeCell ref="F28:H28"/>
    <mergeCell ref="A29:E30"/>
    <mergeCell ref="F29:H30"/>
    <mergeCell ref="F24:G24"/>
    <mergeCell ref="B24:C24"/>
    <mergeCell ref="D24:E24"/>
    <mergeCell ref="A25:E25"/>
    <mergeCell ref="F25:H25"/>
    <mergeCell ref="A26:E26"/>
    <mergeCell ref="F26:H26"/>
    <mergeCell ref="A27:E27"/>
    <mergeCell ref="F27:H27"/>
    <mergeCell ref="F23:H23"/>
    <mergeCell ref="A18:H19"/>
    <mergeCell ref="B20:C20"/>
    <mergeCell ref="D20:E20"/>
    <mergeCell ref="F20:H20"/>
    <mergeCell ref="B21:C21"/>
    <mergeCell ref="D21:E21"/>
    <mergeCell ref="F21:H21"/>
    <mergeCell ref="B22:C22"/>
    <mergeCell ref="D22:E22"/>
    <mergeCell ref="F22:H22"/>
    <mergeCell ref="B23:C23"/>
    <mergeCell ref="D23:E23"/>
    <mergeCell ref="B11:C11"/>
    <mergeCell ref="D11:E11"/>
    <mergeCell ref="F11:H11"/>
    <mergeCell ref="A12:H12"/>
    <mergeCell ref="B13:C13"/>
    <mergeCell ref="D13:E13"/>
    <mergeCell ref="F13:H13"/>
    <mergeCell ref="A1:A4"/>
    <mergeCell ref="B1:E4"/>
    <mergeCell ref="F1:H2"/>
    <mergeCell ref="F3:H4"/>
    <mergeCell ref="B10:C10"/>
    <mergeCell ref="D10:E10"/>
    <mergeCell ref="F10:H10"/>
  </mergeCells>
  <pageMargins left="0.7" right="0.7" top="0.75" bottom="0.75" header="0.3" footer="0.3"/>
  <pageSetup orientation="portrait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B4:N33"/>
  <sheetViews>
    <sheetView topLeftCell="A16" zoomScaleNormal="100" workbookViewId="0">
      <selection activeCell="F26" sqref="F26"/>
    </sheetView>
  </sheetViews>
  <sheetFormatPr baseColWidth="10" defaultColWidth="14.140625" defaultRowHeight="12.75" x14ac:dyDescent="0.2"/>
  <cols>
    <col min="1" max="1" width="8" customWidth="1"/>
    <col min="2" max="2" width="23.7109375" customWidth="1"/>
    <col min="4" max="4" width="15.7109375" customWidth="1"/>
    <col min="6" max="6" width="16.28515625" customWidth="1"/>
    <col min="7" max="7" width="15.5703125" customWidth="1"/>
    <col min="8" max="8" width="17.28515625" customWidth="1"/>
    <col min="10" max="11" width="16" customWidth="1"/>
    <col min="12" max="13" width="15.85546875" customWidth="1"/>
    <col min="14" max="14" width="16.28515625" customWidth="1"/>
  </cols>
  <sheetData>
    <row r="4" spans="2:14" ht="13.5" thickBot="1" x14ac:dyDescent="0.25"/>
    <row r="5" spans="2:14" ht="21" thickBot="1" x14ac:dyDescent="0.35">
      <c r="C5" s="424" t="s">
        <v>160</v>
      </c>
      <c r="D5" s="425"/>
      <c r="E5" s="425"/>
      <c r="F5" s="425"/>
      <c r="G5" s="425"/>
      <c r="H5" s="425"/>
      <c r="I5" s="425"/>
      <c r="J5" s="425"/>
      <c r="K5" s="425"/>
      <c r="L5" s="425"/>
      <c r="M5" s="425"/>
      <c r="N5" s="426"/>
    </row>
    <row r="7" spans="2:14" x14ac:dyDescent="0.2">
      <c r="C7" s="105" t="s">
        <v>161</v>
      </c>
      <c r="D7" s="105" t="s">
        <v>162</v>
      </c>
      <c r="E7" s="105" t="s">
        <v>163</v>
      </c>
      <c r="F7" s="105" t="s">
        <v>164</v>
      </c>
      <c r="G7" s="105" t="s">
        <v>165</v>
      </c>
      <c r="H7" s="105" t="s">
        <v>166</v>
      </c>
      <c r="I7" s="105" t="s">
        <v>167</v>
      </c>
      <c r="J7" s="105" t="s">
        <v>168</v>
      </c>
      <c r="K7" s="105" t="s">
        <v>169</v>
      </c>
      <c r="L7" s="105" t="s">
        <v>170</v>
      </c>
      <c r="M7" s="105" t="s">
        <v>171</v>
      </c>
      <c r="N7" s="105" t="s">
        <v>172</v>
      </c>
    </row>
    <row r="8" spans="2:14" ht="32.25" customHeight="1" x14ac:dyDescent="0.2">
      <c r="B8" s="106" t="s">
        <v>173</v>
      </c>
      <c r="C8" s="430"/>
      <c r="D8" s="431"/>
      <c r="E8" s="431"/>
      <c r="F8" s="431"/>
      <c r="G8" s="431"/>
      <c r="H8" s="431"/>
      <c r="I8" s="431"/>
      <c r="J8" s="431"/>
      <c r="K8" s="432"/>
      <c r="L8" s="104">
        <v>544520</v>
      </c>
      <c r="M8" s="104">
        <v>561765</v>
      </c>
      <c r="N8" s="104">
        <v>546771</v>
      </c>
    </row>
    <row r="9" spans="2:14" ht="33" customHeight="1" x14ac:dyDescent="0.2">
      <c r="B9" s="107" t="s">
        <v>174</v>
      </c>
      <c r="C9" s="104">
        <v>564170</v>
      </c>
      <c r="D9" s="104">
        <v>532072</v>
      </c>
      <c r="E9" s="104">
        <v>405239</v>
      </c>
      <c r="F9" s="104">
        <v>469130</v>
      </c>
      <c r="G9" s="104">
        <v>543877</v>
      </c>
      <c r="H9" s="104">
        <v>605744</v>
      </c>
      <c r="I9" s="104">
        <v>722083</v>
      </c>
      <c r="J9" s="104">
        <v>802210</v>
      </c>
      <c r="K9" s="104">
        <v>762933</v>
      </c>
      <c r="L9" s="104">
        <v>670848</v>
      </c>
      <c r="M9" s="104">
        <v>626451</v>
      </c>
      <c r="N9" s="104">
        <v>557392</v>
      </c>
    </row>
    <row r="10" spans="2:14" ht="33" customHeight="1" x14ac:dyDescent="0.2">
      <c r="B10" s="112" t="s">
        <v>175</v>
      </c>
      <c r="C10" s="104">
        <v>520977</v>
      </c>
      <c r="D10" s="104">
        <v>541271</v>
      </c>
      <c r="E10" s="104">
        <v>508392</v>
      </c>
      <c r="F10" s="104">
        <v>659200</v>
      </c>
      <c r="G10" s="104">
        <v>705703</v>
      </c>
      <c r="H10" s="104">
        <v>784214</v>
      </c>
      <c r="I10" s="104">
        <v>823726</v>
      </c>
      <c r="J10" s="104">
        <v>913736</v>
      </c>
      <c r="K10" s="104">
        <v>831734</v>
      </c>
      <c r="L10" s="104">
        <v>794243</v>
      </c>
      <c r="M10" s="104">
        <v>688127</v>
      </c>
      <c r="N10" s="104">
        <v>577067</v>
      </c>
    </row>
    <row r="11" spans="2:14" ht="29.25" customHeight="1" x14ac:dyDescent="0.2">
      <c r="B11" s="108" t="s">
        <v>176</v>
      </c>
      <c r="C11" s="104">
        <v>586355</v>
      </c>
      <c r="D11" s="104">
        <v>563735</v>
      </c>
      <c r="E11" s="104">
        <v>512313</v>
      </c>
      <c r="F11" s="104">
        <v>573440</v>
      </c>
      <c r="G11" s="104">
        <v>535115</v>
      </c>
      <c r="H11" s="104">
        <v>570139</v>
      </c>
      <c r="I11" s="104">
        <v>669302</v>
      </c>
      <c r="J11" s="104">
        <v>704714</v>
      </c>
      <c r="K11" s="104">
        <v>682717</v>
      </c>
      <c r="L11" s="104">
        <v>581239</v>
      </c>
      <c r="M11" s="104">
        <v>438561</v>
      </c>
      <c r="N11" s="104">
        <v>400672</v>
      </c>
    </row>
    <row r="12" spans="2:14" ht="33.75" customHeight="1" x14ac:dyDescent="0.2">
      <c r="B12" s="118" t="s">
        <v>177</v>
      </c>
      <c r="C12" s="104">
        <v>388363</v>
      </c>
      <c r="D12" s="104">
        <v>407737</v>
      </c>
      <c r="E12" s="104">
        <v>392102</v>
      </c>
      <c r="F12" s="104">
        <v>454554</v>
      </c>
      <c r="G12" s="104">
        <v>448580</v>
      </c>
      <c r="H12" s="104">
        <v>535391</v>
      </c>
      <c r="I12" s="104">
        <v>549301</v>
      </c>
      <c r="J12" s="104">
        <v>576078</v>
      </c>
      <c r="K12" s="104">
        <v>612675</v>
      </c>
      <c r="L12" s="104">
        <v>542640</v>
      </c>
      <c r="M12" s="104">
        <v>507495</v>
      </c>
      <c r="N12" s="104">
        <v>444826</v>
      </c>
    </row>
    <row r="13" spans="2:14" ht="33.75" customHeight="1" x14ac:dyDescent="0.2">
      <c r="B13" s="147" t="s">
        <v>178</v>
      </c>
      <c r="C13" s="104">
        <v>417018</v>
      </c>
      <c r="D13" s="104">
        <v>434912</v>
      </c>
      <c r="E13" s="104">
        <v>278008</v>
      </c>
      <c r="F13" s="104">
        <v>90895</v>
      </c>
      <c r="G13" s="104">
        <v>70143</v>
      </c>
      <c r="H13" s="104">
        <v>76577</v>
      </c>
      <c r="I13" s="104">
        <v>238549</v>
      </c>
      <c r="J13" s="104">
        <v>371235</v>
      </c>
      <c r="K13" s="104">
        <v>295161</v>
      </c>
      <c r="L13" s="104">
        <v>318184</v>
      </c>
      <c r="M13" s="104">
        <v>297355</v>
      </c>
      <c r="N13" s="104">
        <v>260661</v>
      </c>
    </row>
    <row r="14" spans="2:14" ht="33.75" customHeight="1" x14ac:dyDescent="0.2">
      <c r="B14" s="150" t="s">
        <v>179</v>
      </c>
      <c r="C14" s="104">
        <v>239911</v>
      </c>
      <c r="D14" s="104">
        <v>247692</v>
      </c>
      <c r="E14" s="104">
        <v>242350</v>
      </c>
      <c r="F14" s="104">
        <v>282564</v>
      </c>
      <c r="G14" s="104">
        <v>272836</v>
      </c>
      <c r="H14" s="104">
        <v>362809</v>
      </c>
      <c r="I14" s="104">
        <v>454598</v>
      </c>
      <c r="J14" s="104">
        <v>470109</v>
      </c>
      <c r="K14" s="104">
        <v>458455</v>
      </c>
      <c r="L14" s="104">
        <v>444199</v>
      </c>
      <c r="M14" s="104">
        <v>374528</v>
      </c>
      <c r="N14" s="104">
        <v>256419</v>
      </c>
    </row>
    <row r="15" spans="2:14" ht="33.75" customHeight="1" x14ac:dyDescent="0.2">
      <c r="B15" s="166" t="s">
        <v>180</v>
      </c>
      <c r="C15" s="104">
        <v>206479</v>
      </c>
      <c r="D15" s="104">
        <v>244783</v>
      </c>
      <c r="E15" s="104">
        <v>316387</v>
      </c>
      <c r="F15" s="104">
        <v>353545</v>
      </c>
      <c r="G15" s="104"/>
      <c r="H15" s="104"/>
      <c r="I15" s="104"/>
      <c r="J15" s="104"/>
      <c r="K15" s="104"/>
      <c r="L15" s="104"/>
      <c r="M15" s="104"/>
      <c r="N15" s="104"/>
    </row>
    <row r="16" spans="2:14" ht="21" thickBot="1" x14ac:dyDescent="0.35">
      <c r="C16" s="427" t="s">
        <v>181</v>
      </c>
      <c r="D16" s="428"/>
      <c r="E16" s="428"/>
      <c r="F16" s="428"/>
      <c r="G16" s="428"/>
      <c r="H16" s="428"/>
      <c r="I16" s="428"/>
      <c r="J16" s="428"/>
      <c r="K16" s="428"/>
      <c r="L16" s="428"/>
      <c r="M16" s="428"/>
      <c r="N16" s="429"/>
    </row>
    <row r="18" spans="2:14" x14ac:dyDescent="0.2">
      <c r="C18" s="105" t="s">
        <v>161</v>
      </c>
      <c r="D18" s="105" t="s">
        <v>162</v>
      </c>
      <c r="E18" s="105" t="s">
        <v>163</v>
      </c>
      <c r="F18" s="105" t="s">
        <v>164</v>
      </c>
      <c r="G18" s="105" t="s">
        <v>165</v>
      </c>
      <c r="H18" s="105" t="s">
        <v>166</v>
      </c>
      <c r="I18" s="105" t="s">
        <v>167</v>
      </c>
      <c r="J18" s="105" t="s">
        <v>168</v>
      </c>
      <c r="K18" s="105" t="s">
        <v>169</v>
      </c>
      <c r="L18" s="105" t="s">
        <v>170</v>
      </c>
      <c r="M18" s="105" t="s">
        <v>171</v>
      </c>
      <c r="N18" s="105" t="s">
        <v>172</v>
      </c>
    </row>
    <row r="19" spans="2:14" ht="28.5" customHeight="1" x14ac:dyDescent="0.2">
      <c r="B19" s="106" t="s">
        <v>173</v>
      </c>
      <c r="C19" s="430"/>
      <c r="D19" s="431"/>
      <c r="E19" s="431"/>
      <c r="F19" s="431"/>
      <c r="G19" s="431"/>
      <c r="H19" s="431"/>
      <c r="I19" s="431"/>
      <c r="J19" s="431"/>
      <c r="K19" s="432"/>
      <c r="L19" s="104">
        <v>527344.76260000002</v>
      </c>
      <c r="M19" s="104">
        <v>542887.95270000002</v>
      </c>
      <c r="N19" s="104">
        <v>530789.10450000002</v>
      </c>
    </row>
    <row r="20" spans="2:14" ht="26.25" customHeight="1" x14ac:dyDescent="0.2">
      <c r="B20" s="107" t="s">
        <v>174</v>
      </c>
      <c r="C20" s="104">
        <v>577599.26069999998</v>
      </c>
      <c r="D20" s="104">
        <v>549500.304</v>
      </c>
      <c r="E20" s="104">
        <v>437038.73300000001</v>
      </c>
      <c r="F20" s="104">
        <v>498381.28909999994</v>
      </c>
      <c r="G20" s="104">
        <v>567710.58700000006</v>
      </c>
      <c r="H20" s="104">
        <v>626665.41229999997</v>
      </c>
      <c r="I20" s="104">
        <v>732996.54229999997</v>
      </c>
      <c r="J20" s="104">
        <v>807380.11509999994</v>
      </c>
      <c r="K20" s="104">
        <v>765103.69790000003</v>
      </c>
      <c r="L20" s="104">
        <v>674808.60869999998</v>
      </c>
      <c r="M20" s="104">
        <v>636029.23249999993</v>
      </c>
      <c r="N20" s="104">
        <v>575999.90890000004</v>
      </c>
    </row>
    <row r="21" spans="2:14" ht="28.5" customHeight="1" x14ac:dyDescent="0.2">
      <c r="B21" s="112" t="s">
        <v>175</v>
      </c>
      <c r="C21" s="104">
        <v>565777.06310000003</v>
      </c>
      <c r="D21" s="104">
        <v>589465.87030000007</v>
      </c>
      <c r="E21" s="104">
        <v>559348.96649999998</v>
      </c>
      <c r="F21" s="104">
        <v>706566.82740000007</v>
      </c>
      <c r="G21" s="104">
        <v>750048.77370000002</v>
      </c>
      <c r="H21" s="104">
        <v>823657.03619999997</v>
      </c>
      <c r="I21" s="104">
        <v>863911.20730000001</v>
      </c>
      <c r="J21" s="104">
        <v>948371.73810000008</v>
      </c>
      <c r="K21" s="104">
        <v>870086.49040000001</v>
      </c>
      <c r="L21" s="104">
        <v>828237.32940000005</v>
      </c>
      <c r="M21" s="104">
        <v>728226.36450000003</v>
      </c>
      <c r="N21" s="104">
        <v>620794.43210000009</v>
      </c>
    </row>
    <row r="22" spans="2:14" ht="30" customHeight="1" x14ac:dyDescent="0.2">
      <c r="B22" s="108" t="s">
        <v>176</v>
      </c>
      <c r="C22" s="104">
        <v>629018.45440000005</v>
      </c>
      <c r="D22" s="104">
        <v>609232.05440000002</v>
      </c>
      <c r="E22" s="104">
        <v>564099.54039999994</v>
      </c>
      <c r="F22" s="104">
        <v>625412.74040000001</v>
      </c>
      <c r="G22" s="104">
        <v>591310.6496</v>
      </c>
      <c r="H22" s="104">
        <v>627578.14100000006</v>
      </c>
      <c r="I22" s="104">
        <v>723790.51</v>
      </c>
      <c r="J22" s="104">
        <v>756208.25020000001</v>
      </c>
      <c r="K22" s="104">
        <v>734211.55240000004</v>
      </c>
      <c r="L22" s="104">
        <v>634725.01650000003</v>
      </c>
      <c r="M22" s="104">
        <v>492313.53600000002</v>
      </c>
      <c r="N22" s="104">
        <v>430486.08379999996</v>
      </c>
    </row>
    <row r="23" spans="2:14" ht="32.25" customHeight="1" x14ac:dyDescent="0.2">
      <c r="B23" s="118" t="s">
        <v>177</v>
      </c>
      <c r="C23" s="104">
        <v>417767.50199999998</v>
      </c>
      <c r="D23" s="104">
        <v>437511.45040000003</v>
      </c>
      <c r="E23" s="104">
        <v>422948.91399999999</v>
      </c>
      <c r="F23" s="104">
        <v>483026.4265</v>
      </c>
      <c r="G23" s="104">
        <v>494466.65997999994</v>
      </c>
      <c r="H23" s="104">
        <v>589026.66199500009</v>
      </c>
      <c r="I23" s="104">
        <v>597445.77220000012</v>
      </c>
      <c r="J23" s="104">
        <v>624719.21129500004</v>
      </c>
      <c r="K23" s="104">
        <v>662255.2733900001</v>
      </c>
      <c r="L23" s="104">
        <v>572138.68634500005</v>
      </c>
      <c r="M23" s="104">
        <v>536725.71495000005</v>
      </c>
      <c r="N23" s="104">
        <v>473017.45039999997</v>
      </c>
    </row>
    <row r="24" spans="2:14" ht="32.25" customHeight="1" x14ac:dyDescent="0.2">
      <c r="B24" s="147" t="s">
        <v>178</v>
      </c>
      <c r="C24" s="104">
        <v>445089.4596</v>
      </c>
      <c r="D24" s="104">
        <v>464838.33001999994</v>
      </c>
      <c r="E24" s="104">
        <v>310234.47700000001</v>
      </c>
      <c r="F24" s="104">
        <v>132086.1189</v>
      </c>
      <c r="G24" s="104">
        <v>81934.237999999998</v>
      </c>
      <c r="H24" s="104">
        <v>88016.122900000017</v>
      </c>
      <c r="I24" s="104">
        <v>290744.43883500004</v>
      </c>
      <c r="J24" s="104">
        <v>372885.53719999996</v>
      </c>
      <c r="K24" s="104">
        <v>328998.32740000001</v>
      </c>
      <c r="L24" s="104">
        <v>350713.83590000001</v>
      </c>
      <c r="M24" s="104">
        <v>329624.08839999995</v>
      </c>
      <c r="N24" s="104">
        <v>294931.19809999998</v>
      </c>
    </row>
    <row r="25" spans="2:14" ht="32.25" customHeight="1" x14ac:dyDescent="0.2">
      <c r="B25" s="150" t="s">
        <v>179</v>
      </c>
      <c r="C25" s="104">
        <v>274561.56439999997</v>
      </c>
      <c r="D25" s="104">
        <v>283692.47039999999</v>
      </c>
      <c r="E25" s="104">
        <v>278888.13439999998</v>
      </c>
      <c r="F25" s="104">
        <v>318224.91959999996</v>
      </c>
      <c r="G25" s="104">
        <v>309500.67789999995</v>
      </c>
      <c r="H25" s="104">
        <v>396582.05849999998</v>
      </c>
      <c r="I25" s="104">
        <v>498105.10527500004</v>
      </c>
      <c r="J25" s="104">
        <v>506423.32253</v>
      </c>
      <c r="K25" s="104">
        <v>486424.27340000001</v>
      </c>
      <c r="L25" s="104">
        <v>473503.95079999999</v>
      </c>
      <c r="M25" s="104">
        <v>403992.3469</v>
      </c>
      <c r="N25" s="104">
        <v>289205.48600000003</v>
      </c>
    </row>
    <row r="26" spans="2:14" ht="32.25" customHeight="1" x14ac:dyDescent="0.2">
      <c r="B26" s="166" t="s">
        <v>180</v>
      </c>
      <c r="C26" s="104">
        <v>240995.18219999998</v>
      </c>
      <c r="D26" s="104">
        <v>278597.25799999997</v>
      </c>
      <c r="E26" s="104">
        <v>348747.65639999998</v>
      </c>
      <c r="F26" s="104">
        <v>387220.18520000001</v>
      </c>
      <c r="G26" s="104"/>
      <c r="H26" s="104"/>
      <c r="I26" s="104"/>
      <c r="J26" s="104"/>
      <c r="K26" s="104"/>
      <c r="L26" s="104"/>
      <c r="M26" s="104"/>
      <c r="N26" s="104"/>
    </row>
    <row r="32" spans="2:14" ht="16.5" customHeight="1" x14ac:dyDescent="0.2"/>
    <row r="33" ht="15.75" customHeight="1" x14ac:dyDescent="0.2"/>
  </sheetData>
  <mergeCells count="4">
    <mergeCell ref="C5:N5"/>
    <mergeCell ref="C16:N16"/>
    <mergeCell ref="C8:K8"/>
    <mergeCell ref="C19:K19"/>
  </mergeCells>
  <pageMargins left="0.7" right="0.7" top="0.75" bottom="0.75" header="0.3" footer="0.3"/>
  <pageSetup paperSize="9" scale="58" orientation="landscape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B4:O32"/>
  <sheetViews>
    <sheetView topLeftCell="A19" zoomScaleNormal="100" workbookViewId="0">
      <selection activeCell="F26" sqref="F26:H26"/>
    </sheetView>
  </sheetViews>
  <sheetFormatPr baseColWidth="10" defaultColWidth="14.140625" defaultRowHeight="12.75" x14ac:dyDescent="0.2"/>
  <cols>
    <col min="1" max="1" width="8" customWidth="1"/>
    <col min="2" max="2" width="20.28515625" customWidth="1"/>
  </cols>
  <sheetData>
    <row r="4" spans="2:14" ht="13.5" thickBot="1" x14ac:dyDescent="0.25"/>
    <row r="5" spans="2:14" ht="21" thickBot="1" x14ac:dyDescent="0.35">
      <c r="C5" s="424" t="s">
        <v>182</v>
      </c>
      <c r="D5" s="433"/>
      <c r="E5" s="433"/>
      <c r="F5" s="433"/>
      <c r="G5" s="433"/>
      <c r="H5" s="433"/>
      <c r="I5" s="433"/>
      <c r="J5" s="433"/>
      <c r="K5" s="433"/>
      <c r="L5" s="433"/>
      <c r="M5" s="433"/>
      <c r="N5" s="434"/>
    </row>
    <row r="6" spans="2:14" ht="21" customHeight="1" x14ac:dyDescent="0.2"/>
    <row r="7" spans="2:14" x14ac:dyDescent="0.2">
      <c r="C7" s="105" t="s">
        <v>161</v>
      </c>
      <c r="D7" s="105" t="s">
        <v>162</v>
      </c>
      <c r="E7" s="105" t="s">
        <v>163</v>
      </c>
      <c r="F7" s="105" t="s">
        <v>164</v>
      </c>
      <c r="G7" s="105" t="s">
        <v>165</v>
      </c>
      <c r="H7" s="105" t="s">
        <v>166</v>
      </c>
      <c r="I7" s="105" t="s">
        <v>167</v>
      </c>
      <c r="J7" s="105" t="s">
        <v>168</v>
      </c>
      <c r="K7" s="105" t="s">
        <v>169</v>
      </c>
      <c r="L7" s="105" t="s">
        <v>170</v>
      </c>
      <c r="M7" s="105" t="s">
        <v>171</v>
      </c>
      <c r="N7" s="105" t="s">
        <v>172</v>
      </c>
    </row>
    <row r="8" spans="2:14" ht="33" customHeight="1" x14ac:dyDescent="0.2">
      <c r="B8" s="106" t="s">
        <v>173</v>
      </c>
      <c r="C8" s="430"/>
      <c r="D8" s="431"/>
      <c r="E8" s="431"/>
      <c r="F8" s="431"/>
      <c r="G8" s="431"/>
      <c r="H8" s="431"/>
      <c r="I8" s="431"/>
      <c r="J8" s="431"/>
      <c r="K8" s="432"/>
      <c r="L8" s="104"/>
      <c r="M8" s="104">
        <v>3298</v>
      </c>
      <c r="N8" s="104">
        <v>3866</v>
      </c>
    </row>
    <row r="9" spans="2:14" ht="39" customHeight="1" x14ac:dyDescent="0.2">
      <c r="B9" s="107" t="s">
        <v>174</v>
      </c>
      <c r="C9" s="104">
        <v>4094</v>
      </c>
      <c r="D9" s="104">
        <v>3691</v>
      </c>
      <c r="E9" s="104">
        <v>3917</v>
      </c>
      <c r="F9" s="104">
        <v>4785</v>
      </c>
      <c r="G9" s="104">
        <v>5213</v>
      </c>
      <c r="H9" s="104">
        <v>4103</v>
      </c>
      <c r="I9" s="104">
        <v>5622</v>
      </c>
      <c r="J9" s="104">
        <v>6568</v>
      </c>
      <c r="K9" s="104">
        <v>4813</v>
      </c>
      <c r="L9" s="104">
        <v>6088</v>
      </c>
      <c r="M9" s="104">
        <v>4819</v>
      </c>
      <c r="N9" s="104">
        <v>5252</v>
      </c>
    </row>
    <row r="10" spans="2:14" ht="36" customHeight="1" x14ac:dyDescent="0.2">
      <c r="B10" s="112" t="s">
        <v>175</v>
      </c>
      <c r="C10" s="104">
        <v>5132</v>
      </c>
      <c r="D10" s="104">
        <v>4589</v>
      </c>
      <c r="E10" s="104">
        <v>6190</v>
      </c>
      <c r="F10" s="104">
        <v>6170</v>
      </c>
      <c r="G10" s="104">
        <v>5980</v>
      </c>
      <c r="H10" s="104">
        <v>6097.8</v>
      </c>
      <c r="I10" s="104">
        <v>7050</v>
      </c>
      <c r="J10" s="104">
        <v>8050</v>
      </c>
      <c r="K10" s="104">
        <v>6678</v>
      </c>
      <c r="L10" s="104">
        <v>6859</v>
      </c>
      <c r="M10" s="104">
        <v>5960</v>
      </c>
      <c r="N10" s="104">
        <v>5210.0999999999985</v>
      </c>
    </row>
    <row r="11" spans="2:14" ht="36.75" customHeight="1" x14ac:dyDescent="0.2">
      <c r="B11" s="108" t="s">
        <v>176</v>
      </c>
      <c r="C11" s="104">
        <v>5598.9000000000015</v>
      </c>
      <c r="D11" s="104">
        <v>5297</v>
      </c>
      <c r="E11" s="104">
        <v>5857</v>
      </c>
      <c r="F11" s="104">
        <v>6284</v>
      </c>
      <c r="G11" s="104">
        <v>5500</v>
      </c>
      <c r="H11" s="104">
        <v>5583.8000000000029</v>
      </c>
      <c r="I11" s="104">
        <v>6266.8999999999942</v>
      </c>
      <c r="J11" s="104">
        <v>6178.3000000000029</v>
      </c>
      <c r="K11" s="104">
        <v>6144.5</v>
      </c>
      <c r="L11" s="104">
        <v>6117.5</v>
      </c>
      <c r="M11" s="104">
        <v>5023</v>
      </c>
      <c r="N11" s="104">
        <v>4767.8</v>
      </c>
    </row>
    <row r="12" spans="2:14" ht="33.75" customHeight="1" x14ac:dyDescent="0.2">
      <c r="B12" s="118" t="s">
        <v>177</v>
      </c>
      <c r="C12" s="104">
        <v>5044.8</v>
      </c>
      <c r="D12" s="104">
        <v>5061</v>
      </c>
      <c r="E12" s="104">
        <v>5504</v>
      </c>
      <c r="F12" s="104">
        <v>5372.2999999999993</v>
      </c>
      <c r="G12" s="104">
        <v>4507.2999999999993</v>
      </c>
      <c r="H12" s="104">
        <v>5269.2000000000044</v>
      </c>
      <c r="I12" s="104">
        <v>5509.1999999999971</v>
      </c>
      <c r="J12" s="104">
        <v>5601</v>
      </c>
      <c r="K12" s="104">
        <v>5387</v>
      </c>
      <c r="L12" s="104">
        <v>6051</v>
      </c>
      <c r="M12" s="104">
        <v>5532</v>
      </c>
      <c r="N12" s="104">
        <v>5565.1999999999971</v>
      </c>
    </row>
    <row r="13" spans="2:14" ht="33.75" customHeight="1" x14ac:dyDescent="0.2">
      <c r="B13" s="147" t="s">
        <v>178</v>
      </c>
      <c r="C13" s="104">
        <v>5763.4000000000087</v>
      </c>
      <c r="D13" s="104">
        <v>5632.3999999999942</v>
      </c>
      <c r="E13" s="104">
        <v>3058.6999999999971</v>
      </c>
      <c r="F13" s="104">
        <v>714.5</v>
      </c>
      <c r="G13" s="104">
        <v>439.80000000000291</v>
      </c>
      <c r="H13" s="104">
        <v>1383.3999999999942</v>
      </c>
      <c r="I13" s="104">
        <v>3491.8000000000029</v>
      </c>
      <c r="J13" s="104">
        <v>2618.6999999999971</v>
      </c>
      <c r="K13" s="104">
        <v>1829.7000000000116</v>
      </c>
      <c r="L13" s="104">
        <v>3000</v>
      </c>
      <c r="M13" s="104">
        <v>1896</v>
      </c>
      <c r="N13" s="104">
        <v>1780.5999999999913</v>
      </c>
    </row>
    <row r="14" spans="2:14" ht="33.75" customHeight="1" x14ac:dyDescent="0.2">
      <c r="B14" s="150" t="s">
        <v>179</v>
      </c>
      <c r="C14" s="104">
        <v>2083.1999999999971</v>
      </c>
      <c r="D14" s="104">
        <v>2115.3000000000029</v>
      </c>
      <c r="E14" s="104">
        <v>2406.3000000000029</v>
      </c>
      <c r="F14" s="104">
        <v>2166.1999999999971</v>
      </c>
      <c r="G14" s="104">
        <v>2527.1999999999971</v>
      </c>
      <c r="H14" s="104">
        <v>2925.2000000000116</v>
      </c>
      <c r="I14" s="104">
        <v>3819.2999999999884</v>
      </c>
      <c r="J14" s="104">
        <v>3510.1000000000058</v>
      </c>
      <c r="K14" s="104">
        <v>3086.1999999999971</v>
      </c>
      <c r="L14" s="104">
        <v>3330.5</v>
      </c>
      <c r="M14" s="104">
        <v>2932.1999999999971</v>
      </c>
      <c r="N14" s="104">
        <v>2091.1000000000058</v>
      </c>
    </row>
    <row r="15" spans="2:14" ht="33.75" customHeight="1" x14ac:dyDescent="0.2">
      <c r="B15" s="166" t="s">
        <v>180</v>
      </c>
      <c r="C15" s="104">
        <v>1595.1000000000058</v>
      </c>
      <c r="D15" s="104">
        <v>2215.8999999999942</v>
      </c>
      <c r="E15" s="104">
        <v>3842</v>
      </c>
      <c r="F15" s="104">
        <v>3393</v>
      </c>
      <c r="G15" s="104"/>
      <c r="H15" s="104"/>
      <c r="I15" s="104"/>
      <c r="J15" s="104"/>
      <c r="K15" s="104"/>
      <c r="L15" s="104"/>
      <c r="M15" s="104"/>
      <c r="N15" s="104"/>
    </row>
    <row r="16" spans="2:14" ht="21" thickBot="1" x14ac:dyDescent="0.35">
      <c r="C16" s="427" t="s">
        <v>183</v>
      </c>
      <c r="D16" s="435"/>
      <c r="E16" s="435"/>
      <c r="F16" s="435"/>
      <c r="G16" s="435"/>
      <c r="H16" s="435"/>
      <c r="I16" s="435"/>
      <c r="J16" s="435"/>
      <c r="K16" s="435"/>
      <c r="L16" s="435"/>
      <c r="M16" s="435"/>
      <c r="N16" s="436"/>
    </row>
    <row r="18" spans="2:15" ht="18" customHeight="1" x14ac:dyDescent="0.2">
      <c r="C18" s="105" t="s">
        <v>161</v>
      </c>
      <c r="D18" s="105" t="s">
        <v>162</v>
      </c>
      <c r="E18" s="105" t="s">
        <v>163</v>
      </c>
      <c r="F18" s="105" t="s">
        <v>164</v>
      </c>
      <c r="G18" s="105" t="s">
        <v>165</v>
      </c>
      <c r="H18" s="105" t="s">
        <v>166</v>
      </c>
      <c r="I18" s="105" t="s">
        <v>167</v>
      </c>
      <c r="J18" s="105" t="s">
        <v>168</v>
      </c>
      <c r="K18" s="105" t="s">
        <v>169</v>
      </c>
      <c r="L18" s="105" t="s">
        <v>170</v>
      </c>
      <c r="M18" s="105" t="s">
        <v>171</v>
      </c>
      <c r="N18" s="105" t="s">
        <v>172</v>
      </c>
    </row>
    <row r="19" spans="2:15" ht="30" customHeight="1" x14ac:dyDescent="0.2">
      <c r="B19" s="106" t="s">
        <v>173</v>
      </c>
      <c r="C19" s="430"/>
      <c r="D19" s="431"/>
      <c r="E19" s="431"/>
      <c r="F19" s="431"/>
      <c r="G19" s="431"/>
      <c r="H19" s="431"/>
      <c r="I19" s="431"/>
      <c r="J19" s="431"/>
      <c r="K19" s="432"/>
      <c r="L19" s="104"/>
      <c r="M19" s="104">
        <v>43165.84</v>
      </c>
      <c r="N19" s="104">
        <v>50595.28</v>
      </c>
    </row>
    <row r="20" spans="2:15" ht="31.5" customHeight="1" x14ac:dyDescent="0.2">
      <c r="B20" s="107" t="s">
        <v>174</v>
      </c>
      <c r="C20" s="104">
        <v>53565.520000000004</v>
      </c>
      <c r="D20" s="104">
        <v>48294.28</v>
      </c>
      <c r="E20" s="104">
        <v>51250.36</v>
      </c>
      <c r="F20" s="104">
        <v>62603.8</v>
      </c>
      <c r="G20" s="104">
        <v>68202.040000000008</v>
      </c>
      <c r="H20" s="104">
        <v>53683.240000000005</v>
      </c>
      <c r="I20" s="104">
        <v>73551.760000000009</v>
      </c>
      <c r="J20" s="104">
        <v>85925.440000000002</v>
      </c>
      <c r="K20" s="104">
        <v>57158.52</v>
      </c>
      <c r="L20" s="104">
        <v>67234.52</v>
      </c>
      <c r="M20" s="104">
        <v>53224.76</v>
      </c>
      <c r="N20" s="104">
        <v>58005.08</v>
      </c>
    </row>
    <row r="21" spans="2:15" ht="34.5" customHeight="1" x14ac:dyDescent="0.2">
      <c r="B21" s="112" t="s">
        <v>175</v>
      </c>
      <c r="C21" s="104">
        <v>56680.28</v>
      </c>
      <c r="D21" s="104">
        <v>50685.56</v>
      </c>
      <c r="E21" s="104">
        <v>68360.600000000006</v>
      </c>
      <c r="F21" s="104">
        <v>68139.8</v>
      </c>
      <c r="G21" s="104">
        <v>66042.2</v>
      </c>
      <c r="H21" s="104">
        <v>67342.712</v>
      </c>
      <c r="I21" s="104">
        <v>77855</v>
      </c>
      <c r="J21" s="104">
        <v>88895</v>
      </c>
      <c r="K21" s="104">
        <v>73748.12</v>
      </c>
      <c r="L21" s="104">
        <v>75746.36</v>
      </c>
      <c r="M21" s="104">
        <v>65821.399999999994</v>
      </c>
      <c r="N21" s="104">
        <v>57542.503999999986</v>
      </c>
    </row>
    <row r="22" spans="2:15" ht="36" customHeight="1" x14ac:dyDescent="0.2">
      <c r="B22" s="108" t="s">
        <v>176</v>
      </c>
      <c r="C22" s="104">
        <v>61834.856000000014</v>
      </c>
      <c r="D22" s="104">
        <v>58501.880000000005</v>
      </c>
      <c r="E22" s="104">
        <v>64684.28</v>
      </c>
      <c r="F22" s="104">
        <v>69398.36</v>
      </c>
      <c r="G22" s="104">
        <v>60743</v>
      </c>
      <c r="H22" s="104">
        <v>61668.152000000031</v>
      </c>
      <c r="I22" s="104">
        <v>69209.575999999943</v>
      </c>
      <c r="J22" s="104">
        <v>68231.43200000003</v>
      </c>
      <c r="K22" s="104">
        <v>67858.28</v>
      </c>
      <c r="L22" s="104">
        <v>67560.2</v>
      </c>
      <c r="M22" s="104">
        <v>55476.92</v>
      </c>
      <c r="N22" s="104">
        <v>52659.512000000002</v>
      </c>
    </row>
    <row r="23" spans="2:15" ht="32.25" customHeight="1" x14ac:dyDescent="0.2">
      <c r="B23" s="118" t="s">
        <v>177</v>
      </c>
      <c r="C23" s="104">
        <v>55717.592000000004</v>
      </c>
      <c r="D23" s="104">
        <v>57718.399999999994</v>
      </c>
      <c r="E23" s="104">
        <v>62768.599999999991</v>
      </c>
      <c r="F23" s="104">
        <v>61267.219999999987</v>
      </c>
      <c r="G23" s="104">
        <v>51406.219999999987</v>
      </c>
      <c r="H23" s="104">
        <v>60091.880000000041</v>
      </c>
      <c r="I23" s="104">
        <v>62827.879999999961</v>
      </c>
      <c r="J23" s="104">
        <v>63874.400000000001</v>
      </c>
      <c r="K23" s="104">
        <v>61434.799999999996</v>
      </c>
      <c r="L23" s="104">
        <v>69004.399999999994</v>
      </c>
      <c r="M23" s="104">
        <v>63087.799999999996</v>
      </c>
      <c r="N23" s="104">
        <v>63466.279999999962</v>
      </c>
    </row>
    <row r="24" spans="2:15" ht="32.25" customHeight="1" x14ac:dyDescent="0.2">
      <c r="B24" s="147" t="s">
        <v>178</v>
      </c>
      <c r="C24" s="104">
        <v>65725.760000000097</v>
      </c>
      <c r="D24" s="104">
        <v>64232.359999999928</v>
      </c>
      <c r="E24" s="104">
        <v>34892.179999999964</v>
      </c>
      <c r="F24" s="104">
        <v>8168.2999999999993</v>
      </c>
      <c r="G24" s="104">
        <v>5036.7200000000321</v>
      </c>
      <c r="H24" s="104">
        <v>15793.759999999933</v>
      </c>
      <c r="I24" s="104">
        <v>39829.519999999997</v>
      </c>
      <c r="J24" s="104">
        <v>29876.179999999964</v>
      </c>
      <c r="K24" s="104">
        <v>20881.580000000129</v>
      </c>
      <c r="L24" s="104">
        <v>34223</v>
      </c>
      <c r="M24" s="104">
        <v>21637.4</v>
      </c>
      <c r="N24" s="104">
        <v>20321.839999999898</v>
      </c>
    </row>
    <row r="25" spans="2:15" ht="32.25" customHeight="1" x14ac:dyDescent="0.2">
      <c r="B25" s="150" t="s">
        <v>179</v>
      </c>
      <c r="C25" s="104">
        <v>23771.479999999963</v>
      </c>
      <c r="D25" s="104">
        <v>24137.420000000031</v>
      </c>
      <c r="E25" s="104">
        <v>27454.820000000029</v>
      </c>
      <c r="F25" s="104">
        <v>24717.679999999964</v>
      </c>
      <c r="G25" s="104">
        <v>28833.079999999962</v>
      </c>
      <c r="H25" s="104">
        <v>33370.28000000013</v>
      </c>
      <c r="I25" s="104">
        <v>43563.019999999866</v>
      </c>
      <c r="J25" s="104">
        <v>40038.140000000065</v>
      </c>
      <c r="K25" s="104">
        <v>35205.679999999964</v>
      </c>
      <c r="L25" s="104">
        <v>37990.699999999997</v>
      </c>
      <c r="M25" s="104">
        <v>33450.079999999965</v>
      </c>
      <c r="N25" s="104">
        <v>23861.540000000066</v>
      </c>
    </row>
    <row r="26" spans="2:15" ht="32.25" customHeight="1" x14ac:dyDescent="0.2">
      <c r="B26" s="166" t="s">
        <v>180</v>
      </c>
      <c r="C26" s="104">
        <v>18207.140000000065</v>
      </c>
      <c r="D26" s="104">
        <v>25284.259999999933</v>
      </c>
      <c r="E26" s="104">
        <v>43821.8</v>
      </c>
      <c r="F26" s="104">
        <v>38703.199999999997</v>
      </c>
      <c r="G26" s="104"/>
      <c r="H26" s="104"/>
      <c r="I26" s="104"/>
      <c r="J26" s="104"/>
      <c r="K26" s="104"/>
      <c r="L26" s="104"/>
      <c r="M26" s="104"/>
      <c r="N26" s="104"/>
    </row>
    <row r="31" spans="2:15" ht="16.5" customHeight="1" x14ac:dyDescent="0.2">
      <c r="O31" t="s">
        <v>18</v>
      </c>
    </row>
    <row r="32" spans="2:15" ht="15.75" customHeight="1" x14ac:dyDescent="0.2"/>
  </sheetData>
  <mergeCells count="4">
    <mergeCell ref="C5:N5"/>
    <mergeCell ref="C8:K8"/>
    <mergeCell ref="C16:N16"/>
    <mergeCell ref="C19:K19"/>
  </mergeCells>
  <pageMargins left="0.70866141732283472" right="0.70866141732283472" top="0.74803149606299213" bottom="0.74803149606299213" header="0.31496062992125984" footer="0.31496062992125984"/>
  <pageSetup scale="63" orientation="landscape" r:id="rId1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B4:N32"/>
  <sheetViews>
    <sheetView topLeftCell="A20" zoomScaleNormal="100" workbookViewId="0">
      <selection activeCell="F26" sqref="F26"/>
    </sheetView>
  </sheetViews>
  <sheetFormatPr baseColWidth="10" defaultColWidth="14.140625" defaultRowHeight="12.75" x14ac:dyDescent="0.2"/>
  <cols>
    <col min="1" max="1" width="8" customWidth="1"/>
    <col min="2" max="2" width="20.28515625" customWidth="1"/>
  </cols>
  <sheetData>
    <row r="4" spans="2:14" ht="13.5" thickBot="1" x14ac:dyDescent="0.25"/>
    <row r="5" spans="2:14" ht="21" thickBot="1" x14ac:dyDescent="0.35">
      <c r="C5" s="424" t="s">
        <v>184</v>
      </c>
      <c r="D5" s="425"/>
      <c r="E5" s="425"/>
      <c r="F5" s="425"/>
      <c r="G5" s="425"/>
      <c r="H5" s="425"/>
      <c r="I5" s="425"/>
      <c r="J5" s="425"/>
      <c r="K5" s="425"/>
      <c r="L5" s="425"/>
      <c r="M5" s="425"/>
      <c r="N5" s="426"/>
    </row>
    <row r="6" spans="2:14" ht="23.25" customHeight="1" x14ac:dyDescent="0.2"/>
    <row r="7" spans="2:14" x14ac:dyDescent="0.2">
      <c r="C7" s="105" t="s">
        <v>161</v>
      </c>
      <c r="D7" s="105" t="s">
        <v>162</v>
      </c>
      <c r="E7" s="105" t="s">
        <v>163</v>
      </c>
      <c r="F7" s="105" t="s">
        <v>164</v>
      </c>
      <c r="G7" s="105" t="s">
        <v>165</v>
      </c>
      <c r="H7" s="105" t="s">
        <v>166</v>
      </c>
      <c r="I7" s="105" t="s">
        <v>167</v>
      </c>
      <c r="J7" s="105" t="s">
        <v>168</v>
      </c>
      <c r="K7" s="105" t="s">
        <v>169</v>
      </c>
      <c r="L7" s="105" t="s">
        <v>170</v>
      </c>
      <c r="M7" s="105" t="s">
        <v>171</v>
      </c>
      <c r="N7" s="105" t="s">
        <v>172</v>
      </c>
    </row>
    <row r="8" spans="2:14" ht="33.75" customHeight="1" x14ac:dyDescent="0.2">
      <c r="B8" s="106" t="s">
        <v>173</v>
      </c>
      <c r="C8" s="430"/>
      <c r="D8" s="431"/>
      <c r="E8" s="431"/>
      <c r="F8" s="431"/>
      <c r="G8" s="431"/>
      <c r="H8" s="431"/>
      <c r="I8" s="431"/>
      <c r="J8" s="431"/>
      <c r="K8" s="432"/>
      <c r="L8" s="104">
        <v>19365</v>
      </c>
      <c r="M8" s="104">
        <v>21235</v>
      </c>
      <c r="N8" s="104">
        <v>34053</v>
      </c>
    </row>
    <row r="9" spans="2:14" ht="35.25" customHeight="1" x14ac:dyDescent="0.2">
      <c r="B9" s="107" t="s">
        <v>174</v>
      </c>
      <c r="C9" s="104">
        <v>23598</v>
      </c>
      <c r="D9" s="104">
        <v>28302</v>
      </c>
      <c r="E9" s="104">
        <v>23000</v>
      </c>
      <c r="F9" s="104">
        <v>28601</v>
      </c>
      <c r="G9" s="104">
        <v>24612</v>
      </c>
      <c r="H9" s="104">
        <v>16695</v>
      </c>
      <c r="I9" s="104">
        <v>10756</v>
      </c>
      <c r="J9" s="104">
        <v>14749</v>
      </c>
      <c r="K9" s="104">
        <v>18297</v>
      </c>
      <c r="L9" s="104">
        <v>20801</v>
      </c>
      <c r="M9" s="104">
        <v>22927</v>
      </c>
      <c r="N9" s="104">
        <v>38265</v>
      </c>
    </row>
    <row r="10" spans="2:14" ht="32.25" customHeight="1" x14ac:dyDescent="0.2">
      <c r="B10" s="112" t="s">
        <v>175</v>
      </c>
      <c r="C10" s="104">
        <v>39843</v>
      </c>
      <c r="D10" s="104">
        <v>27644</v>
      </c>
      <c r="E10" s="104">
        <v>31207</v>
      </c>
      <c r="F10" s="104">
        <v>34231</v>
      </c>
      <c r="G10" s="104">
        <v>21149.420000000002</v>
      </c>
      <c r="H10" s="104">
        <v>19502</v>
      </c>
      <c r="I10" s="104">
        <v>22293</v>
      </c>
      <c r="J10" s="104">
        <v>21244</v>
      </c>
      <c r="K10" s="104">
        <v>20201</v>
      </c>
      <c r="L10" s="104">
        <v>21000</v>
      </c>
      <c r="M10" s="104">
        <v>30135</v>
      </c>
      <c r="N10" s="104">
        <v>28841</v>
      </c>
    </row>
    <row r="11" spans="2:14" ht="34.5" customHeight="1" x14ac:dyDescent="0.2">
      <c r="B11" s="108" t="s">
        <v>176</v>
      </c>
      <c r="C11" s="104">
        <v>33210.620000000003</v>
      </c>
      <c r="D11" s="104">
        <v>27328.669000000002</v>
      </c>
      <c r="E11" s="104">
        <v>22296.292000000001</v>
      </c>
      <c r="F11" s="104">
        <v>18205.006000000001</v>
      </c>
      <c r="G11" s="104">
        <v>16641.811000000002</v>
      </c>
      <c r="H11" s="104">
        <v>17087.758000000002</v>
      </c>
      <c r="I11" s="104">
        <v>13220.239000000001</v>
      </c>
      <c r="J11" s="104">
        <v>15457.909000000001</v>
      </c>
      <c r="K11" s="104">
        <v>10651.944000000001</v>
      </c>
      <c r="L11" s="104">
        <v>13951.846000000001</v>
      </c>
      <c r="M11" s="104">
        <v>24676.263000000003</v>
      </c>
      <c r="N11" s="104">
        <v>21781.575000000001</v>
      </c>
    </row>
    <row r="12" spans="2:14" ht="36.75" customHeight="1" x14ac:dyDescent="0.2">
      <c r="B12" s="118" t="s">
        <v>177</v>
      </c>
      <c r="C12" s="104">
        <v>26669.535</v>
      </c>
      <c r="D12" s="104">
        <v>26601.294000000002</v>
      </c>
      <c r="E12" s="104">
        <v>23114.126</v>
      </c>
      <c r="F12" s="104">
        <v>20873.811000000002</v>
      </c>
      <c r="G12" s="104">
        <v>14596.168000000001</v>
      </c>
      <c r="H12" s="104">
        <v>10659.35</v>
      </c>
      <c r="I12" s="104">
        <v>18584.299000000003</v>
      </c>
      <c r="J12" s="104">
        <v>10559.897999999999</v>
      </c>
      <c r="K12" s="104">
        <v>8546.5240000000013</v>
      </c>
      <c r="L12" s="104">
        <v>17517.306</v>
      </c>
      <c r="M12" s="104">
        <v>20452.198</v>
      </c>
      <c r="N12" s="104">
        <v>27341.365000000002</v>
      </c>
    </row>
    <row r="13" spans="2:14" ht="36.75" customHeight="1" x14ac:dyDescent="0.2">
      <c r="B13" s="147" t="s">
        <v>178</v>
      </c>
      <c r="C13" s="104">
        <v>30735.958000000002</v>
      </c>
      <c r="D13" s="104">
        <v>21724.442999999999</v>
      </c>
      <c r="E13" s="104">
        <v>11128.573</v>
      </c>
      <c r="F13" s="104">
        <v>4506.0219999999999</v>
      </c>
      <c r="G13" s="104">
        <v>0</v>
      </c>
      <c r="H13" s="104">
        <v>2998.3720000000003</v>
      </c>
      <c r="I13" s="104">
        <v>8663.5590000000011</v>
      </c>
      <c r="J13" s="104">
        <v>4731.9050000000007</v>
      </c>
      <c r="K13" s="104">
        <v>4832.415</v>
      </c>
      <c r="L13" s="104">
        <v>13092.221000000001</v>
      </c>
      <c r="M13" s="104">
        <v>17284.017</v>
      </c>
      <c r="N13" s="104">
        <v>16432.856</v>
      </c>
    </row>
    <row r="14" spans="2:14" ht="36.75" customHeight="1" x14ac:dyDescent="0.2">
      <c r="B14" s="150" t="s">
        <v>179</v>
      </c>
      <c r="C14" s="104">
        <v>16222.314</v>
      </c>
      <c r="D14" s="104">
        <v>13578.901</v>
      </c>
      <c r="E14" s="104">
        <v>18500.717000000001</v>
      </c>
      <c r="F14" s="104">
        <v>11555.476000000001</v>
      </c>
      <c r="G14" s="104">
        <v>10801.651</v>
      </c>
      <c r="H14" s="104">
        <v>13800.552000000001</v>
      </c>
      <c r="I14" s="104">
        <v>9448.469000000001</v>
      </c>
      <c r="J14" s="104">
        <v>8828.4809999999998</v>
      </c>
      <c r="K14" s="104">
        <v>11498.344000000001</v>
      </c>
      <c r="L14" s="104">
        <v>11280.396000000001</v>
      </c>
      <c r="M14" s="104">
        <v>20677.552</v>
      </c>
      <c r="N14" s="104">
        <v>12106.165000000001</v>
      </c>
    </row>
    <row r="15" spans="2:14" ht="36.75" customHeight="1" x14ac:dyDescent="0.2">
      <c r="B15" s="166" t="s">
        <v>180</v>
      </c>
      <c r="C15" s="104">
        <v>8859.1630000000005</v>
      </c>
      <c r="D15" s="104">
        <v>13938.621000000001</v>
      </c>
      <c r="E15" s="104"/>
      <c r="F15" s="104">
        <v>23168.613000000001</v>
      </c>
      <c r="G15" s="104"/>
      <c r="H15" s="104"/>
      <c r="I15" s="104"/>
      <c r="J15" s="104"/>
      <c r="K15" s="104"/>
      <c r="L15" s="104"/>
      <c r="M15" s="104"/>
      <c r="N15" s="104"/>
    </row>
    <row r="16" spans="2:14" ht="21" thickBot="1" x14ac:dyDescent="0.35">
      <c r="C16" s="427" t="s">
        <v>185</v>
      </c>
      <c r="D16" s="428"/>
      <c r="E16" s="428"/>
      <c r="F16" s="428"/>
      <c r="G16" s="428"/>
      <c r="H16" s="428"/>
      <c r="I16" s="428"/>
      <c r="J16" s="428"/>
      <c r="K16" s="428"/>
      <c r="L16" s="428"/>
      <c r="M16" s="428"/>
      <c r="N16" s="429"/>
    </row>
    <row r="18" spans="2:14" ht="17.25" customHeight="1" x14ac:dyDescent="0.2">
      <c r="C18" s="105" t="s">
        <v>161</v>
      </c>
      <c r="D18" s="105" t="s">
        <v>162</v>
      </c>
      <c r="E18" s="105" t="s">
        <v>163</v>
      </c>
      <c r="F18" s="105" t="s">
        <v>164</v>
      </c>
      <c r="G18" s="105" t="s">
        <v>165</v>
      </c>
      <c r="H18" s="105" t="s">
        <v>166</v>
      </c>
      <c r="I18" s="105" t="s">
        <v>167</v>
      </c>
      <c r="J18" s="105" t="s">
        <v>168</v>
      </c>
      <c r="K18" s="105" t="s">
        <v>169</v>
      </c>
      <c r="L18" s="105" t="s">
        <v>170</v>
      </c>
      <c r="M18" s="105" t="s">
        <v>171</v>
      </c>
      <c r="N18" s="105" t="s">
        <v>172</v>
      </c>
    </row>
    <row r="19" spans="2:14" ht="30" customHeight="1" x14ac:dyDescent="0.2">
      <c r="B19" s="106" t="s">
        <v>173</v>
      </c>
      <c r="C19" s="430"/>
      <c r="D19" s="431"/>
      <c r="E19" s="431"/>
      <c r="F19" s="431"/>
      <c r="G19" s="431"/>
      <c r="H19" s="431"/>
      <c r="I19" s="431"/>
      <c r="J19" s="431"/>
      <c r="K19" s="432"/>
      <c r="L19" s="104">
        <v>222503.85</v>
      </c>
      <c r="M19" s="104">
        <v>248385.8</v>
      </c>
      <c r="N19" s="104">
        <v>412790.47</v>
      </c>
    </row>
    <row r="20" spans="2:14" ht="30" customHeight="1" x14ac:dyDescent="0.2">
      <c r="B20" s="107" t="s">
        <v>174</v>
      </c>
      <c r="C20" s="104">
        <v>281335.36</v>
      </c>
      <c r="D20" s="104">
        <v>329491.88</v>
      </c>
      <c r="E20" s="109">
        <v>263166</v>
      </c>
      <c r="F20" s="104">
        <v>334402.89</v>
      </c>
      <c r="G20" s="104">
        <v>287763.5</v>
      </c>
      <c r="H20" s="104">
        <v>200206.44</v>
      </c>
      <c r="I20" s="104">
        <v>128985.95</v>
      </c>
      <c r="J20" s="104">
        <v>174687.16</v>
      </c>
      <c r="K20" s="104">
        <v>221708.41</v>
      </c>
      <c r="L20" s="104">
        <v>257125.33</v>
      </c>
      <c r="M20" s="104">
        <v>290283.33</v>
      </c>
      <c r="N20" s="104">
        <v>491751.17</v>
      </c>
    </row>
    <row r="21" spans="2:14" ht="38.25" customHeight="1" x14ac:dyDescent="0.2">
      <c r="B21" s="112" t="s">
        <v>175</v>
      </c>
      <c r="C21" s="104">
        <v>534222.91</v>
      </c>
      <c r="D21" s="104">
        <v>397841.39</v>
      </c>
      <c r="E21" s="109">
        <v>463317.85</v>
      </c>
      <c r="F21" s="104">
        <v>473982.96</v>
      </c>
      <c r="G21" s="104">
        <v>288617.67497200001</v>
      </c>
      <c r="H21" s="104">
        <v>262138.08</v>
      </c>
      <c r="I21" s="104">
        <v>290959.32</v>
      </c>
      <c r="J21" s="104">
        <v>277268.19</v>
      </c>
      <c r="K21" s="104">
        <v>269109.64</v>
      </c>
      <c r="L21" s="104">
        <v>279753.59999999998</v>
      </c>
      <c r="M21" s="104">
        <v>411233.26</v>
      </c>
      <c r="N21" s="104">
        <v>393575.4632766</v>
      </c>
    </row>
    <row r="22" spans="2:14" ht="36" customHeight="1" x14ac:dyDescent="0.2">
      <c r="B22" s="108" t="s">
        <v>176</v>
      </c>
      <c r="C22" s="104">
        <v>433913.35561000003</v>
      </c>
      <c r="D22" s="104">
        <v>365261.32551950007</v>
      </c>
      <c r="E22" s="104">
        <v>291312.20312600001</v>
      </c>
      <c r="F22" s="104">
        <v>213834.17997540004</v>
      </c>
      <c r="G22" s="104">
        <v>197886.11041990001</v>
      </c>
      <c r="H22" s="104">
        <v>143537.16720000003</v>
      </c>
      <c r="I22" s="104">
        <v>111050.00760000001</v>
      </c>
      <c r="J22" s="104">
        <v>129846.43560000001</v>
      </c>
      <c r="K22" s="104">
        <v>97997.8848</v>
      </c>
      <c r="L22" s="104">
        <v>117195.50640000001</v>
      </c>
      <c r="M22" s="104">
        <v>207280.60920000004</v>
      </c>
      <c r="N22" s="104">
        <v>182965.23</v>
      </c>
    </row>
    <row r="23" spans="2:14" ht="36.75" customHeight="1" x14ac:dyDescent="0.2">
      <c r="B23" s="118" t="s">
        <v>177</v>
      </c>
      <c r="C23" s="104">
        <v>224024.09400000001</v>
      </c>
      <c r="D23" s="104">
        <v>223450.86960000003</v>
      </c>
      <c r="E23" s="104">
        <v>209182.84030000001</v>
      </c>
      <c r="F23" s="104">
        <v>188907.98955000003</v>
      </c>
      <c r="G23" s="104">
        <v>129176.0868</v>
      </c>
      <c r="H23" s="104">
        <v>94335.247499999998</v>
      </c>
      <c r="I23" s="104">
        <v>144957.53220000002</v>
      </c>
      <c r="J23" s="104">
        <v>77405.108330000003</v>
      </c>
      <c r="K23" s="104">
        <v>62646.875572400008</v>
      </c>
      <c r="L23" s="104">
        <v>128403.6047106</v>
      </c>
      <c r="M23" s="104">
        <v>149916.6565598</v>
      </c>
      <c r="N23" s="104">
        <v>217831.38909150002</v>
      </c>
    </row>
    <row r="24" spans="2:14" ht="36.75" customHeight="1" x14ac:dyDescent="0.2">
      <c r="B24" s="147" t="s">
        <v>178</v>
      </c>
      <c r="C24" s="104">
        <v>244876.45098180004</v>
      </c>
      <c r="D24" s="104">
        <v>193260.64492800002</v>
      </c>
      <c r="E24" s="104">
        <v>87871.212408000007</v>
      </c>
      <c r="F24" s="104">
        <v>35579.549712</v>
      </c>
      <c r="G24" s="104">
        <v>0</v>
      </c>
      <c r="H24" s="104">
        <v>23675.145312000001</v>
      </c>
      <c r="I24" s="104">
        <v>72782.559159000011</v>
      </c>
      <c r="J24" s="104">
        <v>40462.519659999998</v>
      </c>
      <c r="K24" s="104">
        <v>41321.980665000003</v>
      </c>
      <c r="L24" s="104">
        <v>111951.58177100001</v>
      </c>
      <c r="M24" s="104">
        <v>151252.43276699999</v>
      </c>
      <c r="N24" s="104">
        <v>147090.494056</v>
      </c>
    </row>
    <row r="25" spans="2:14" ht="36.75" customHeight="1" x14ac:dyDescent="0.2">
      <c r="B25" s="150" t="s">
        <v>179</v>
      </c>
      <c r="C25" s="104">
        <v>175249.65814200003</v>
      </c>
      <c r="D25" s="104">
        <v>133357.0288309</v>
      </c>
      <c r="E25" s="104">
        <v>160956.23789999998</v>
      </c>
      <c r="F25" s="104">
        <v>100532.6412</v>
      </c>
      <c r="G25" s="104">
        <v>93974.363699999987</v>
      </c>
      <c r="H25" s="104">
        <v>120064.8024</v>
      </c>
      <c r="I25" s="104">
        <v>79461.624290000007</v>
      </c>
      <c r="J25" s="104">
        <v>84841.702409999998</v>
      </c>
      <c r="K25" s="104">
        <v>114580.99796000001</v>
      </c>
      <c r="L25" s="104">
        <v>126919.11951480001</v>
      </c>
      <c r="M25" s="104">
        <v>216928.19803199999</v>
      </c>
      <c r="N25" s="104">
        <v>127005.777015</v>
      </c>
    </row>
    <row r="26" spans="2:14" ht="36.75" customHeight="1" x14ac:dyDescent="0.2">
      <c r="B26" s="166" t="s">
        <v>180</v>
      </c>
      <c r="C26" s="104">
        <v>102456.220095</v>
      </c>
      <c r="D26" s="104">
        <v>164336.34159</v>
      </c>
      <c r="E26" s="104"/>
      <c r="F26" s="104">
        <v>316019.88132000004</v>
      </c>
      <c r="G26" s="104"/>
      <c r="H26" s="104"/>
      <c r="I26" s="104"/>
      <c r="J26" s="104"/>
      <c r="K26" s="104"/>
      <c r="L26" s="104"/>
      <c r="M26" s="104"/>
      <c r="N26" s="104"/>
    </row>
    <row r="31" spans="2:14" ht="16.5" customHeight="1" x14ac:dyDescent="0.2"/>
    <row r="32" spans="2:14" ht="15.75" customHeight="1" x14ac:dyDescent="0.2"/>
  </sheetData>
  <mergeCells count="4">
    <mergeCell ref="C5:N5"/>
    <mergeCell ref="C8:K8"/>
    <mergeCell ref="C16:N16"/>
    <mergeCell ref="C19:K19"/>
  </mergeCells>
  <pageMargins left="0.70866141732283472" right="0.70866141732283472" top="0.74803149606299213" bottom="0.74803149606299213" header="0.31496062992125984" footer="0.31496062992125984"/>
  <pageSetup scale="63" orientation="landscape" r:id="rId1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"/>
  <sheetViews>
    <sheetView workbookViewId="0"/>
  </sheetViews>
  <sheetFormatPr baseColWidth="10" defaultColWidth="11.42578125" defaultRowHeight="12.75" x14ac:dyDescent="0.2"/>
  <sheetData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14</vt:i4>
      </vt:variant>
      <vt:variant>
        <vt:lpstr>Plages nommées</vt:lpstr>
      </vt:variant>
      <vt:variant>
        <vt:i4>4</vt:i4>
      </vt:variant>
    </vt:vector>
  </HeadingPairs>
  <TitlesOfParts>
    <vt:vector size="18" baseType="lpstr">
      <vt:lpstr>TOTAL</vt:lpstr>
      <vt:lpstr>submetering</vt:lpstr>
      <vt:lpstr>Consommation mensuel énergie</vt:lpstr>
      <vt:lpstr>Suivi EAU-ELEC</vt:lpstr>
      <vt:lpstr>Suvi Gaz</vt:lpstr>
      <vt:lpstr>facture électricité</vt:lpstr>
      <vt:lpstr>Facture journalier D'élect</vt:lpstr>
      <vt:lpstr>facture d'eau</vt:lpstr>
      <vt:lpstr>Facture journalier d'eau</vt:lpstr>
      <vt:lpstr>facture incendie</vt:lpstr>
      <vt:lpstr>cons annuel électr</vt:lpstr>
      <vt:lpstr>cons annuel EAU  </vt:lpstr>
      <vt:lpstr>livraison annuel GAZ</vt:lpstr>
      <vt:lpstr>Feuil1</vt:lpstr>
      <vt:lpstr>'Consommation mensuel énergie'!Zone_d_impression</vt:lpstr>
      <vt:lpstr>'facture électricité'!Zone_d_impression</vt:lpstr>
      <vt:lpstr>'Suivi EAU-ELEC'!Zone_d_impression</vt:lpstr>
      <vt:lpstr>'Suvi Gaz'!Zone_d_impression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Microsoft Corporation</dc:creator>
  <cp:keywords/>
  <dc:description/>
  <cp:lastModifiedBy>Salaheddine Lasmar</cp:lastModifiedBy>
  <cp:revision/>
  <dcterms:created xsi:type="dcterms:W3CDTF">1996-10-21T11:03:58Z</dcterms:created>
  <dcterms:modified xsi:type="dcterms:W3CDTF">2023-02-16T20:07:02Z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V_QUERY_LIST_4F35BF76-6C0D-4D9B-82B2-816C12CF3733">
    <vt:lpwstr>empty_477D106A-C0D6-4607-AEBD-E2C9D60EA279</vt:lpwstr>
  </property>
</Properties>
</file>