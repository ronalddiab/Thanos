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<sst xmlns="http://schemas.openxmlformats.org/spreadsheetml/2006/main" count="104" uniqueCount="33">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</sst>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2020</v>
      </c>
      <c r="E2" s="20">
        <f>Submetering!E3</f>
        <v>7305.75</v>
      </c>
      <c r="F2" s="16">
        <v>0.12</v>
      </c>
      <c r="G2" s="20">
        <f>Submetering!F3+Submetering!G3</f>
        <v>516.85148377457949</v>
      </c>
      <c r="H2" s="16">
        <v>0.71</v>
      </c>
      <c r="I2" s="20">
        <f>Submetering!J3+Submetering!I3+Submetering!H3</f>
        <v>75.573485900499989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2020</v>
      </c>
      <c r="E3" s="20">
        <f>Submetering!E4</f>
        <v>7380</v>
      </c>
      <c r="F3" s="16">
        <v>0.12</v>
      </c>
      <c r="G3" s="20">
        <f>Submetering!F4+Submetering!G4</f>
        <v>460.02099753158882</v>
      </c>
      <c r="H3" s="16">
        <v>0.71</v>
      </c>
      <c r="I3" s="20">
        <f>Submetering!J4+Submetering!I4+Submetering!H4</f>
        <v>74.822760841699989</v>
      </c>
      <c r="J3" s="16">
        <v>2.3196172978505634</v>
      </c>
      <c r="K3" s="20">
        <f>Submetering!K3</f>
        <v>101</v>
      </c>
      <c r="L3" s="20">
        <f>Submetering!L3</f>
        <v>0</v>
      </c>
    </row>
    <row r="4" spans="1:24" x14ac:dyDescent="0.25">
      <c r="A4" s="17" t="s">
        <v>32</v>
      </c>
      <c r="B4" s="9">
        <f t="shared" ref="B4:B30" si="0">B3+1</f>
        <v>3</v>
      </c>
      <c r="C4" s="6">
        <v>2</v>
      </c>
      <c r="D4" s="9">
        <v>2020</v>
      </c>
      <c r="E4" s="20">
        <f>Submetering!E5</f>
        <v>7425</v>
      </c>
      <c r="F4" s="16">
        <v>0.12</v>
      </c>
      <c r="G4" s="20">
        <f>Submetering!F5+Submetering!G5</f>
        <v>650.20140014504682</v>
      </c>
      <c r="H4" s="16">
        <v>0.71</v>
      </c>
      <c r="I4" s="20">
        <f>Submetering!J5+Submetering!I5+Submetering!H5</f>
        <v>65.331994413400011</v>
      </c>
      <c r="J4" s="16">
        <v>2.3196172978505634</v>
      </c>
      <c r="K4" s="20">
        <f>Submetering!K4</f>
        <v>84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2020</v>
      </c>
      <c r="E5" s="20">
        <f>Submetering!E6</f>
        <v>7364.25</v>
      </c>
      <c r="F5" s="16">
        <v>0.12</v>
      </c>
      <c r="G5" s="20">
        <f>Submetering!F6+Submetering!G6</f>
        <v>705.34241826878508</v>
      </c>
      <c r="H5" s="16">
        <v>0.71</v>
      </c>
      <c r="I5" s="20">
        <f>Submetering!J6+Submetering!I6+Submetering!H6</f>
        <v>70.125828062799997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2020</v>
      </c>
      <c r="E6" s="20">
        <f>Submetering!E7</f>
        <v>7328.25</v>
      </c>
      <c r="F6" s="16">
        <v>0.12</v>
      </c>
      <c r="G6" s="20">
        <f>Submetering!F7+Submetering!G7</f>
        <v>793.31251475644865</v>
      </c>
      <c r="H6" s="16">
        <v>0.71</v>
      </c>
      <c r="I6" s="20">
        <f>Submetering!J7+Submetering!I7+Submetering!H7</f>
        <v>70.442166407300007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2020</v>
      </c>
      <c r="E7" s="20">
        <f>Submetering!E8</f>
        <v>7429.5</v>
      </c>
      <c r="F7" s="16">
        <v>0.12</v>
      </c>
      <c r="G7" s="20">
        <f>Submetering!F8+Submetering!G8</f>
        <v>793.16574910551401</v>
      </c>
      <c r="H7" s="16">
        <v>0.71</v>
      </c>
      <c r="I7" s="20">
        <f>Submetering!J8+Submetering!I8+Submetering!H8</f>
        <v>76.314822563099995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2020</v>
      </c>
      <c r="E8" s="20">
        <f>Submetering!E9</f>
        <v>7040.25</v>
      </c>
      <c r="F8" s="16">
        <v>0.12</v>
      </c>
      <c r="G8" s="20">
        <f>Submetering!F9+Submetering!G9</f>
        <v>719.14173043757012</v>
      </c>
      <c r="H8" s="16">
        <v>0.71</v>
      </c>
      <c r="I8" s="20">
        <f>Submetering!J9+Submetering!I9+Submetering!H9</f>
        <v>63.359349337300003</v>
      </c>
      <c r="J8" s="16">
        <v>2.3196172978505634</v>
      </c>
      <c r="K8" s="20">
        <f>Submetering!K8</f>
        <v>58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2020</v>
      </c>
      <c r="E9" s="20">
        <f>Submetering!E9</f>
        <v>7040.25</v>
      </c>
      <c r="F9" s="16">
        <v>0.12</v>
      </c>
      <c r="G9" s="20">
        <f>Submetering!F10+Submetering!G10</f>
        <v>623.87244113570091</v>
      </c>
      <c r="H9" s="16">
        <v>0.71</v>
      </c>
      <c r="I9" s="20">
        <f>Submetering!J10+Submetering!I10+Submetering!H10</f>
        <v>63.190054550900001</v>
      </c>
      <c r="J9" s="16">
        <v>2.3196172978505634</v>
      </c>
      <c r="K9" s="20">
        <f>Submetering!K9</f>
        <v>57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2020</v>
      </c>
      <c r="E10" s="20">
        <f>Submetering!E10</f>
        <v>6815.25</v>
      </c>
      <c r="F10" s="16">
        <v>0.12</v>
      </c>
      <c r="G10" s="20">
        <f>Submetering!F11+Submetering!G11</f>
        <v>16.137721324205611</v>
      </c>
      <c r="H10" s="16">
        <v>0.71</v>
      </c>
      <c r="I10" s="20">
        <f>Submetering!J10+Submetering!I10+Submetering!H10</f>
        <v>63.190054550900001</v>
      </c>
      <c r="J10" s="16">
        <v>2.3196172978505634</v>
      </c>
      <c r="K10" s="20">
        <f>Submetering!K10</f>
        <v>61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2020</v>
      </c>
      <c r="E11" s="20">
        <f>Submetering!E11</f>
        <v>7229.25</v>
      </c>
      <c r="F11" s="16">
        <v>0.12</v>
      </c>
      <c r="G11" s="20">
        <f>Submetering!F11+Submetering!G11</f>
        <v>16.137721324205611</v>
      </c>
      <c r="H11" s="16">
        <v>0.71</v>
      </c>
      <c r="I11" s="20">
        <f>Submetering!J11+Submetering!I11+Submetering!H11</f>
        <v>5.1459999999999999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2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0" sqref="K1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2020</v>
      </c>
      <c r="E2" s="20">
        <v>7269.75</v>
      </c>
      <c r="F2" s="20">
        <v>536.0798109009346</v>
      </c>
      <c r="G2" s="20">
        <v>16.332591857383179</v>
      </c>
      <c r="H2" s="20">
        <v>1.2649999999999999</v>
      </c>
      <c r="I2" s="20">
        <v>47</v>
      </c>
      <c r="J2" s="20">
        <v>25.0093010147</v>
      </c>
      <c r="K2" s="20">
        <v>96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2020</v>
      </c>
      <c r="E3" s="20">
        <v>7305.75</v>
      </c>
      <c r="F3" s="20">
        <v>501.17839484205615</v>
      </c>
      <c r="G3" s="20">
        <v>15.673088932523367</v>
      </c>
      <c r="H3" s="20">
        <v>1.2070000000000001</v>
      </c>
      <c r="I3" s="20">
        <v>47</v>
      </c>
      <c r="J3" s="20">
        <v>27.366485900499999</v>
      </c>
      <c r="K3" s="20">
        <v>101</v>
      </c>
    </row>
    <row r="4" spans="1:12" x14ac:dyDescent="0.25">
      <c r="A4" s="17" t="s">
        <v>32</v>
      </c>
      <c r="B4" s="6">
        <f t="shared" ref="B4:B30" si="0">B3+1</f>
        <v>3</v>
      </c>
      <c r="C4" s="6">
        <v>2</v>
      </c>
      <c r="D4" s="6">
        <v>2020</v>
      </c>
      <c r="E4" s="20">
        <v>7380</v>
      </c>
      <c r="F4" s="20">
        <v>444.66031483457948</v>
      </c>
      <c r="G4" s="20">
        <v>15.360682697009347</v>
      </c>
      <c r="H4" s="20">
        <v>1.2010000000000001</v>
      </c>
      <c r="I4" s="20">
        <v>45</v>
      </c>
      <c r="J4" s="20">
        <v>28.621760841699999</v>
      </c>
      <c r="K4" s="20">
        <v>84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2020</v>
      </c>
      <c r="E5" s="20">
        <v>7425</v>
      </c>
      <c r="F5" s="20">
        <v>633.08992314672901</v>
      </c>
      <c r="G5" s="20">
        <v>17.111476998317759</v>
      </c>
      <c r="H5" s="20">
        <v>1.3129999999999999</v>
      </c>
      <c r="I5" s="20">
        <v>38</v>
      </c>
      <c r="J5" s="20">
        <v>26.018994413400002</v>
      </c>
      <c r="K5" s="20">
        <v>86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2020</v>
      </c>
      <c r="E6" s="20">
        <v>7364.25</v>
      </c>
      <c r="F6" s="20">
        <v>688.48371076448598</v>
      </c>
      <c r="G6" s="20">
        <v>16.858707504299066</v>
      </c>
      <c r="H6" s="20">
        <v>1.1259999999999999</v>
      </c>
      <c r="I6" s="20">
        <v>44</v>
      </c>
      <c r="J6" s="20">
        <v>24.999828062799999</v>
      </c>
      <c r="K6" s="20">
        <v>86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2020</v>
      </c>
      <c r="E7" s="20">
        <v>7328.25</v>
      </c>
      <c r="F7" s="20">
        <v>777.00369609158884</v>
      </c>
      <c r="G7" s="20">
        <v>16.308818664859814</v>
      </c>
      <c r="H7" s="20">
        <v>1.456</v>
      </c>
      <c r="I7" s="20">
        <v>42</v>
      </c>
      <c r="J7" s="20">
        <v>26.986166407300001</v>
      </c>
      <c r="K7" s="20">
        <v>93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2020</v>
      </c>
      <c r="E8" s="20">
        <v>7429.5</v>
      </c>
      <c r="F8" s="20">
        <v>776.74172013644863</v>
      </c>
      <c r="G8" s="20">
        <v>16.424028969065422</v>
      </c>
      <c r="H8" s="20">
        <v>1.3149999999999999</v>
      </c>
      <c r="I8" s="6">
        <v>47</v>
      </c>
      <c r="J8" s="20">
        <v>27.9998225631</v>
      </c>
      <c r="K8" s="20">
        <v>58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2020</v>
      </c>
      <c r="E9" s="20">
        <v>7040.25</v>
      </c>
      <c r="F9" s="20">
        <v>705.25648601869159</v>
      </c>
      <c r="G9" s="20">
        <v>13.885244418878505</v>
      </c>
      <c r="H9" s="20">
        <v>1.3620000000000001</v>
      </c>
      <c r="I9" s="6">
        <v>39</v>
      </c>
      <c r="J9" s="20">
        <v>22.997349337300001</v>
      </c>
      <c r="K9" s="20">
        <v>57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2020</v>
      </c>
      <c r="E10" s="20">
        <v>6815.25</v>
      </c>
      <c r="F10" s="20">
        <v>609.0711927514019</v>
      </c>
      <c r="G10" s="20">
        <v>14.801248384299067</v>
      </c>
      <c r="H10" s="20">
        <v>1.1830000000000001</v>
      </c>
      <c r="I10" s="6">
        <v>39</v>
      </c>
      <c r="J10" s="20">
        <v>23.007054550900001</v>
      </c>
      <c r="K10" s="20">
        <v>61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2020</v>
      </c>
      <c r="E11" s="20">
        <v>7229.25</v>
      </c>
      <c r="F11" s="20">
        <v>0</v>
      </c>
      <c r="G11" s="20">
        <v>16.137721324205611</v>
      </c>
      <c r="H11" s="20">
        <v>5.1459999999999999</v>
      </c>
      <c r="I11" s="6"/>
      <c r="K11" s="20">
        <v>84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2</v>
      </c>
      <c r="D30" s="6">
        <v>2020</v>
      </c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2020-02-11T07:25:49Z</dcterms:modified>
</cp:coreProperties>
</file>