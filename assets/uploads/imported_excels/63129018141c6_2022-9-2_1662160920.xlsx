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6" i="3"/>
  <c r="C4" i="5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1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5" i="2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5" i="2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5" i="2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5" i="2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S33" i="2"/>
  <c r="AF5" i="1"/>
  <c r="AF6" i="1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5" i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5" i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5" i="1"/>
  <c r="K6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5" i="1"/>
  <c r="H6" i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17" i="2"/>
  <c r="S17" i="2"/>
  <c r="R6" i="2" l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 l="1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K33" i="4" s="1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W33" i="4" l="1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Y33" i="4" s="1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A33" i="1"/>
  <c r="AE32" i="1"/>
  <c r="AE31" i="1"/>
  <c r="AE33" i="1" s="1"/>
  <c r="AA21" i="8"/>
  <c r="F3" i="8"/>
  <c r="E3" i="3"/>
  <c r="Y3" i="1"/>
  <c r="Y33" i="1" s="1"/>
  <c r="G29" i="9"/>
  <c r="J22" i="11" l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J33" i="1" s="1"/>
  <c r="G5" i="1"/>
  <c r="D5" i="1"/>
  <c r="G16" i="3"/>
  <c r="G17" i="3"/>
  <c r="G16" i="8" s="1"/>
  <c r="G18" i="3"/>
  <c r="G17" i="8" s="1"/>
  <c r="D33" i="1" l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C33" i="3" l="1"/>
  <c r="J4" i="3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33" i="3" s="1"/>
  <c r="I5" i="3"/>
  <c r="I33" i="3" s="1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G4" i="8" l="1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K33" i="3" s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<sst xmlns="http://schemas.openxmlformats.org/spreadsheetml/2006/main" count="518" uniqueCount="151">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</sst>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1918.1259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0</v>
      </c>
      <c r="F4" s="138">
        <v>1.27</v>
      </c>
      <c r="G4" s="36">
        <f>Gas!C5*0.9147</f>
        <v>0</v>
      </c>
      <c r="H4" s="139">
        <v>3.65</v>
      </c>
      <c r="I4" s="141">
        <f>Submetering!H4+Submetering!AD4+Submetering!AE4</f>
        <v>-194</v>
      </c>
      <c r="J4" s="141">
        <v>10.029999999999999</v>
      </c>
      <c r="K4" s="36">
        <f>ELECT.!B5</f>
        <v>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0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0</v>
      </c>
      <c r="F4" s="36">
        <f>Water!E5</f>
        <v>0</v>
      </c>
      <c r="G4" s="36">
        <f>Water!G5</f>
        <v>0</v>
      </c>
      <c r="H4" s="36">
        <f>Water!I5</f>
        <v>0</v>
      </c>
      <c r="I4" s="36" t="str">
        <f>ELECT.!F5</f>
        <v>0</v>
      </c>
      <c r="J4" s="36" t="str">
        <f>ELECT.!H5</f>
        <v>0</v>
      </c>
      <c r="K4" s="36">
        <f>ELECT.!K5</f>
        <v>0</v>
      </c>
      <c r="L4" s="36" t="str">
        <f>ELECT.!M5</f>
        <v>0</v>
      </c>
      <c r="M4" s="36">
        <f>ELECT.!O5</f>
        <v>0</v>
      </c>
      <c r="N4" s="36" t="str">
        <f>ELECT.!Q5</f>
        <v>0</v>
      </c>
      <c r="O4" s="36" t="str">
        <f>ELECT.!S5</f>
        <v>0</v>
      </c>
      <c r="P4" s="36">
        <f>ELECT.!W5*2</f>
        <v>0</v>
      </c>
      <c r="Q4" s="36">
        <f>ELECT.!D5</f>
        <v>0</v>
      </c>
      <c r="R4" s="141">
        <f>BTU!C5</f>
        <v>0</v>
      </c>
      <c r="S4" s="141">
        <f>BTU!F5</f>
        <v>0</v>
      </c>
      <c r="T4" s="141">
        <f>BTU!I5</f>
        <v>0</v>
      </c>
      <c r="U4" s="141">
        <f>BTU!O5</f>
        <v>0</v>
      </c>
      <c r="V4" s="141">
        <f>BTU!L5</f>
        <v>0</v>
      </c>
      <c r="W4" s="141">
        <f>BTU!R5</f>
        <v>0</v>
      </c>
      <c r="X4" s="34">
        <f>ELECT.!B5</f>
        <v>0</v>
      </c>
      <c r="Y4" s="34">
        <f t="shared" si="0"/>
        <v>0</v>
      </c>
      <c r="Z4">
        <f>'Mall, Citadel, Rotana'!C5+'Mall, Citadel, Rotana'!E5+'Mall, Citadel, Rotana'!G5+'Mall, Citadel, Rotana'!I5</f>
        <v>0</v>
      </c>
      <c r="AA4">
        <f>'Mall, Citadel, Rotana'!K5+'Mall, Citadel, Rotana'!M5</f>
        <v>0</v>
      </c>
      <c r="AB4">
        <f>'Mall, Citadel, Rotana'!O5</f>
        <v>0</v>
      </c>
      <c r="AC4">
        <f>'Mall, Citadel, Rotana'!Q5+'Mall, Citadel, Rotana'!S5</f>
        <v>0</v>
      </c>
      <c r="AD4" s="34">
        <f t="shared" si="1"/>
        <v>-25.569199999999999</v>
      </c>
      <c r="AE4" s="34">
        <f t="shared" si="2"/>
        <v>-168.4308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>
        <f>ELECT.!F6</f>
        <v>0</v>
      </c>
      <c r="J5" s="36">
        <f>ELECT.!H6</f>
        <v>0</v>
      </c>
      <c r="K5" s="36">
        <f>ELECT.!K6</f>
        <v>0</v>
      </c>
      <c r="L5" s="36">
        <f>ELECT.!M6</f>
        <v>0</v>
      </c>
      <c r="M5" s="36">
        <f>ELECT.!O6</f>
        <v>0</v>
      </c>
      <c r="N5" s="36">
        <f>ELECT.!Q6</f>
        <v>0</v>
      </c>
      <c r="O5" s="36">
        <f>ELECT.!S6</f>
        <v>0</v>
      </c>
      <c r="P5" s="36">
        <f>ELECT.!W6*2</f>
        <v>0</v>
      </c>
      <c r="Q5" s="36">
        <f>ELECT.!D6</f>
        <v>0</v>
      </c>
      <c r="R5" s="141">
        <f>BTU!C6</f>
        <v>0</v>
      </c>
      <c r="S5" s="141">
        <f>BTU!F6</f>
        <v>0</v>
      </c>
      <c r="T5" s="141">
        <f>BTU!I6</f>
        <v>0</v>
      </c>
      <c r="U5" s="141">
        <f>BTU!O6</f>
        <v>0</v>
      </c>
      <c r="V5" s="141">
        <f>BTU!L6</f>
        <v>0</v>
      </c>
      <c r="W5" s="141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f t="shared" ref="B4:B32" si="11">B4</f>
        <v>47518</v>
      </c>
      <c r="C5" s="14">
        <f t="shared" si="3"/>
        <v>0</v>
      </c>
      <c r="D5" s="32">
        <f t="shared" ref="D4:D32" si="12">D4</f>
        <v>40930</v>
      </c>
      <c r="E5" s="14">
        <f t="shared" si="4"/>
        <v>0</v>
      </c>
      <c r="F5" s="32">
        <f t="shared" ref="F4:F32" si="13">F4</f>
        <v>22026</v>
      </c>
      <c r="G5" s="14">
        <f t="shared" si="5"/>
        <v>0</v>
      </c>
      <c r="H5" s="32">
        <f t="shared" ref="H4:H32" si="14">H4</f>
        <v>258022</v>
      </c>
      <c r="I5" s="14">
        <f t="shared" si="6"/>
        <v>0</v>
      </c>
      <c r="J5" s="32">
        <f t="shared" ref="J4:J32" si="15">J4</f>
        <v>330907</v>
      </c>
      <c r="K5" s="14">
        <f t="shared" si="7"/>
        <v>0</v>
      </c>
      <c r="L5" s="32">
        <f t="shared" ref="L4:L32" si="16">L4</f>
        <v>26455</v>
      </c>
      <c r="M5" s="14">
        <f t="shared" si="8"/>
        <v>0</v>
      </c>
      <c r="N5" s="32">
        <f t="shared" ref="N4:N32" si="17">N4</f>
        <v>226336</v>
      </c>
      <c r="O5" s="14">
        <f t="shared" si="9"/>
        <v>0</v>
      </c>
      <c r="P5" s="32">
        <f t="shared" ref="P4:P32" si="18">P4</f>
        <v>167942</v>
      </c>
      <c r="Q5" s="14">
        <f t="shared" si="2"/>
        <v>0</v>
      </c>
      <c r="R5" s="1">
        <f>R4</f>
        <v>55047</v>
      </c>
      <c r="S5" s="14">
        <f t="shared" ref="S5:S32" si="19">R5-R4</f>
        <v>0</v>
      </c>
      <c r="T5" s="32">
        <f t="shared" ref="T4:T32" si="20">T4</f>
        <v>4046</v>
      </c>
      <c r="U5" s="14">
        <f t="shared" si="10"/>
        <v>0</v>
      </c>
    </row>
    <row r="6" spans="1:24" ht="13.5" thickBot="1" x14ac:dyDescent="0.25">
      <c r="A6" s="9">
        <v>44808</v>
      </c>
      <c r="B6" s="32">
        <f t="shared" si="11"/>
        <v>47518</v>
      </c>
      <c r="C6" s="14">
        <f t="shared" si="3"/>
        <v>0</v>
      </c>
      <c r="D6" s="32">
        <f t="shared" si="12"/>
        <v>40930</v>
      </c>
      <c r="E6" s="14">
        <f t="shared" si="4"/>
        <v>0</v>
      </c>
      <c r="F6" s="32">
        <f t="shared" si="13"/>
        <v>22026</v>
      </c>
      <c r="G6" s="14">
        <f t="shared" si="5"/>
        <v>0</v>
      </c>
      <c r="H6" s="32">
        <f t="shared" si="14"/>
        <v>258022</v>
      </c>
      <c r="I6" s="14">
        <f t="shared" si="6"/>
        <v>0</v>
      </c>
      <c r="J6" s="32">
        <f t="shared" si="15"/>
        <v>330907</v>
      </c>
      <c r="K6" s="14">
        <f t="shared" si="7"/>
        <v>0</v>
      </c>
      <c r="L6" s="32">
        <f t="shared" si="16"/>
        <v>26455</v>
      </c>
      <c r="M6" s="14">
        <f t="shared" si="8"/>
        <v>0</v>
      </c>
      <c r="N6" s="32">
        <f t="shared" si="17"/>
        <v>226336</v>
      </c>
      <c r="O6" s="14">
        <f t="shared" si="9"/>
        <v>0</v>
      </c>
      <c r="P6" s="32">
        <f t="shared" si="18"/>
        <v>167942</v>
      </c>
      <c r="Q6" s="14">
        <f t="shared" si="2"/>
        <v>0</v>
      </c>
      <c r="R6" s="1">
        <f t="shared" ref="R6:R32" si="21">R5</f>
        <v>55047</v>
      </c>
      <c r="S6" s="14">
        <v>0</v>
      </c>
      <c r="T6" s="32">
        <f t="shared" si="20"/>
        <v>4046</v>
      </c>
      <c r="U6" s="14">
        <f t="shared" si="10"/>
        <v>0</v>
      </c>
    </row>
    <row r="7" spans="1:24" ht="13.5" thickBot="1" x14ac:dyDescent="0.25">
      <c r="A7" s="9">
        <v>44809</v>
      </c>
      <c r="B7" s="32">
        <f t="shared" si="11"/>
        <v>47518</v>
      </c>
      <c r="C7" s="14">
        <f t="shared" si="3"/>
        <v>0</v>
      </c>
      <c r="D7" s="32">
        <f t="shared" si="12"/>
        <v>40930</v>
      </c>
      <c r="E7" s="14">
        <f t="shared" si="4"/>
        <v>0</v>
      </c>
      <c r="F7" s="32">
        <f t="shared" si="13"/>
        <v>22026</v>
      </c>
      <c r="G7" s="14">
        <f t="shared" si="5"/>
        <v>0</v>
      </c>
      <c r="H7" s="32">
        <f t="shared" si="14"/>
        <v>258022</v>
      </c>
      <c r="I7" s="14">
        <f t="shared" si="6"/>
        <v>0</v>
      </c>
      <c r="J7" s="32">
        <f t="shared" si="15"/>
        <v>330907</v>
      </c>
      <c r="K7" s="14">
        <f t="shared" si="7"/>
        <v>0</v>
      </c>
      <c r="L7" s="32">
        <f t="shared" si="16"/>
        <v>26455</v>
      </c>
      <c r="M7" s="14">
        <f t="shared" si="8"/>
        <v>0</v>
      </c>
      <c r="N7" s="32">
        <f t="shared" si="17"/>
        <v>226336</v>
      </c>
      <c r="O7" s="14">
        <f t="shared" si="9"/>
        <v>0</v>
      </c>
      <c r="P7" s="32">
        <f t="shared" si="18"/>
        <v>167942</v>
      </c>
      <c r="Q7" s="14">
        <f t="shared" si="2"/>
        <v>0</v>
      </c>
      <c r="R7" s="1">
        <f t="shared" si="21"/>
        <v>55047</v>
      </c>
      <c r="S7" s="14">
        <v>0</v>
      </c>
      <c r="T7" s="32">
        <f t="shared" si="20"/>
        <v>4046</v>
      </c>
      <c r="U7" s="14">
        <f t="shared" si="10"/>
        <v>0</v>
      </c>
    </row>
    <row r="8" spans="1:24" ht="13.5" thickBot="1" x14ac:dyDescent="0.25">
      <c r="A8" s="9">
        <v>44810</v>
      </c>
      <c r="B8" s="32">
        <f t="shared" si="11"/>
        <v>47518</v>
      </c>
      <c r="C8" s="14">
        <f t="shared" si="3"/>
        <v>0</v>
      </c>
      <c r="D8" s="32">
        <f t="shared" si="12"/>
        <v>40930</v>
      </c>
      <c r="E8" s="14">
        <f t="shared" si="4"/>
        <v>0</v>
      </c>
      <c r="F8" s="32">
        <f t="shared" si="13"/>
        <v>22026</v>
      </c>
      <c r="G8" s="14">
        <f t="shared" si="5"/>
        <v>0</v>
      </c>
      <c r="H8" s="32">
        <f t="shared" si="14"/>
        <v>258022</v>
      </c>
      <c r="I8" s="14">
        <f t="shared" si="6"/>
        <v>0</v>
      </c>
      <c r="J8" s="32">
        <f t="shared" si="15"/>
        <v>330907</v>
      </c>
      <c r="K8" s="14">
        <f t="shared" si="7"/>
        <v>0</v>
      </c>
      <c r="L8" s="32">
        <f t="shared" si="16"/>
        <v>26455</v>
      </c>
      <c r="M8" s="14">
        <f t="shared" si="8"/>
        <v>0</v>
      </c>
      <c r="N8" s="32">
        <f t="shared" si="17"/>
        <v>226336</v>
      </c>
      <c r="O8" s="14">
        <f t="shared" si="9"/>
        <v>0</v>
      </c>
      <c r="P8" s="32">
        <f t="shared" si="18"/>
        <v>167942</v>
      </c>
      <c r="Q8" s="14">
        <f t="shared" si="2"/>
        <v>0</v>
      </c>
      <c r="R8" s="1">
        <f t="shared" si="21"/>
        <v>55047</v>
      </c>
      <c r="S8" s="14">
        <f>R8-R7</f>
        <v>0</v>
      </c>
      <c r="T8" s="32">
        <f t="shared" si="20"/>
        <v>4046</v>
      </c>
      <c r="U8" s="14">
        <f t="shared" si="10"/>
        <v>0</v>
      </c>
    </row>
    <row r="9" spans="1:24" ht="13.5" thickBot="1" x14ac:dyDescent="0.25">
      <c r="A9" s="9">
        <v>44811</v>
      </c>
      <c r="B9" s="32">
        <f t="shared" si="11"/>
        <v>47518</v>
      </c>
      <c r="C9" s="14">
        <f t="shared" si="3"/>
        <v>0</v>
      </c>
      <c r="D9" s="32">
        <f t="shared" si="12"/>
        <v>40930</v>
      </c>
      <c r="E9" s="14">
        <f t="shared" si="4"/>
        <v>0</v>
      </c>
      <c r="F9" s="32">
        <f t="shared" si="13"/>
        <v>22026</v>
      </c>
      <c r="G9" s="14">
        <f t="shared" si="5"/>
        <v>0</v>
      </c>
      <c r="H9" s="32">
        <f t="shared" si="14"/>
        <v>258022</v>
      </c>
      <c r="I9" s="14">
        <f t="shared" si="6"/>
        <v>0</v>
      </c>
      <c r="J9" s="32">
        <f t="shared" si="15"/>
        <v>330907</v>
      </c>
      <c r="K9" s="14">
        <f t="shared" si="7"/>
        <v>0</v>
      </c>
      <c r="L9" s="32">
        <f t="shared" si="16"/>
        <v>26455</v>
      </c>
      <c r="M9" s="14">
        <f t="shared" si="8"/>
        <v>0</v>
      </c>
      <c r="N9" s="32">
        <f t="shared" si="17"/>
        <v>226336</v>
      </c>
      <c r="O9" s="14">
        <f t="shared" si="9"/>
        <v>0</v>
      </c>
      <c r="P9" s="32">
        <f t="shared" si="18"/>
        <v>167942</v>
      </c>
      <c r="Q9" s="14">
        <f t="shared" si="2"/>
        <v>0</v>
      </c>
      <c r="R9" s="1">
        <f t="shared" si="21"/>
        <v>55047</v>
      </c>
      <c r="S9" s="14">
        <f>R9-R8</f>
        <v>0</v>
      </c>
      <c r="T9" s="32">
        <f t="shared" si="20"/>
        <v>4046</v>
      </c>
      <c r="U9" s="14">
        <f t="shared" si="10"/>
        <v>0</v>
      </c>
    </row>
    <row r="10" spans="1:24" ht="13.5" thickBot="1" x14ac:dyDescent="0.25">
      <c r="A10" s="9">
        <v>44812</v>
      </c>
      <c r="B10" s="32">
        <f t="shared" si="11"/>
        <v>47518</v>
      </c>
      <c r="C10" s="14">
        <f t="shared" si="3"/>
        <v>0</v>
      </c>
      <c r="D10" s="32">
        <f t="shared" si="12"/>
        <v>40930</v>
      </c>
      <c r="E10" s="14">
        <f t="shared" si="4"/>
        <v>0</v>
      </c>
      <c r="F10" s="32">
        <f t="shared" si="13"/>
        <v>22026</v>
      </c>
      <c r="G10" s="14">
        <f t="shared" si="5"/>
        <v>0</v>
      </c>
      <c r="H10" s="32">
        <f t="shared" si="14"/>
        <v>258022</v>
      </c>
      <c r="I10" s="14">
        <f t="shared" si="6"/>
        <v>0</v>
      </c>
      <c r="J10" s="32">
        <f t="shared" si="15"/>
        <v>330907</v>
      </c>
      <c r="K10" s="14">
        <f t="shared" si="7"/>
        <v>0</v>
      </c>
      <c r="L10" s="32">
        <f t="shared" si="16"/>
        <v>26455</v>
      </c>
      <c r="M10" s="14">
        <f t="shared" si="8"/>
        <v>0</v>
      </c>
      <c r="N10" s="32">
        <f t="shared" si="17"/>
        <v>226336</v>
      </c>
      <c r="O10" s="14">
        <f t="shared" si="9"/>
        <v>0</v>
      </c>
      <c r="P10" s="32">
        <f t="shared" si="18"/>
        <v>167942</v>
      </c>
      <c r="Q10" s="14">
        <f t="shared" si="2"/>
        <v>0</v>
      </c>
      <c r="R10" s="1">
        <f t="shared" si="21"/>
        <v>55047</v>
      </c>
      <c r="S10" s="14">
        <f>R10-R9</f>
        <v>0</v>
      </c>
      <c r="T10" s="32">
        <f t="shared" si="20"/>
        <v>4046</v>
      </c>
      <c r="U10" s="14">
        <f t="shared" si="10"/>
        <v>0</v>
      </c>
    </row>
    <row r="11" spans="1:24" ht="13.5" thickBot="1" x14ac:dyDescent="0.25">
      <c r="A11" s="9">
        <v>44813</v>
      </c>
      <c r="B11" s="32">
        <f t="shared" si="11"/>
        <v>47518</v>
      </c>
      <c r="C11" s="14">
        <f t="shared" si="3"/>
        <v>0</v>
      </c>
      <c r="D11" s="32">
        <f t="shared" si="12"/>
        <v>40930</v>
      </c>
      <c r="E11" s="14">
        <f t="shared" si="4"/>
        <v>0</v>
      </c>
      <c r="F11" s="32">
        <f t="shared" si="13"/>
        <v>22026</v>
      </c>
      <c r="G11" s="14">
        <f t="shared" si="5"/>
        <v>0</v>
      </c>
      <c r="H11" s="32">
        <f t="shared" si="14"/>
        <v>258022</v>
      </c>
      <c r="I11" s="14">
        <f t="shared" si="6"/>
        <v>0</v>
      </c>
      <c r="J11" s="32">
        <f t="shared" si="15"/>
        <v>330907</v>
      </c>
      <c r="K11" s="14">
        <f t="shared" si="7"/>
        <v>0</v>
      </c>
      <c r="L11" s="32">
        <f t="shared" si="16"/>
        <v>26455</v>
      </c>
      <c r="M11" s="14">
        <f t="shared" si="8"/>
        <v>0</v>
      </c>
      <c r="N11" s="32">
        <f t="shared" si="17"/>
        <v>226336</v>
      </c>
      <c r="O11" s="14">
        <f t="shared" si="9"/>
        <v>0</v>
      </c>
      <c r="P11" s="32">
        <f t="shared" si="18"/>
        <v>167942</v>
      </c>
      <c r="Q11" s="14">
        <f t="shared" si="2"/>
        <v>0</v>
      </c>
      <c r="R11" s="1">
        <f t="shared" si="21"/>
        <v>55047</v>
      </c>
      <c r="S11" s="14">
        <f t="shared" si="19"/>
        <v>0</v>
      </c>
      <c r="T11" s="32">
        <f t="shared" si="20"/>
        <v>4046</v>
      </c>
      <c r="U11" s="14">
        <f t="shared" si="10"/>
        <v>0</v>
      </c>
    </row>
    <row r="12" spans="1:24" ht="13.5" thickBot="1" x14ac:dyDescent="0.25">
      <c r="A12" s="9">
        <v>44814</v>
      </c>
      <c r="B12" s="32">
        <f t="shared" si="11"/>
        <v>47518</v>
      </c>
      <c r="C12" s="14">
        <f t="shared" si="3"/>
        <v>0</v>
      </c>
      <c r="D12" s="32">
        <f t="shared" si="12"/>
        <v>40930</v>
      </c>
      <c r="E12" s="14">
        <f t="shared" si="4"/>
        <v>0</v>
      </c>
      <c r="F12" s="32">
        <f t="shared" si="13"/>
        <v>22026</v>
      </c>
      <c r="G12" s="14">
        <f t="shared" si="5"/>
        <v>0</v>
      </c>
      <c r="H12" s="32">
        <f t="shared" si="14"/>
        <v>258022</v>
      </c>
      <c r="I12" s="14">
        <f t="shared" si="6"/>
        <v>0</v>
      </c>
      <c r="J12" s="32">
        <f t="shared" si="15"/>
        <v>330907</v>
      </c>
      <c r="K12" s="14">
        <f t="shared" si="7"/>
        <v>0</v>
      </c>
      <c r="L12" s="32">
        <f t="shared" si="16"/>
        <v>26455</v>
      </c>
      <c r="M12" s="14">
        <f t="shared" si="8"/>
        <v>0</v>
      </c>
      <c r="N12" s="32">
        <f t="shared" si="17"/>
        <v>226336</v>
      </c>
      <c r="O12" s="14">
        <f t="shared" si="9"/>
        <v>0</v>
      </c>
      <c r="P12" s="32">
        <f t="shared" si="18"/>
        <v>167942</v>
      </c>
      <c r="Q12" s="14">
        <f t="shared" si="2"/>
        <v>0</v>
      </c>
      <c r="R12" s="1">
        <f t="shared" si="21"/>
        <v>55047</v>
      </c>
      <c r="S12" s="14">
        <f t="shared" si="19"/>
        <v>0</v>
      </c>
      <c r="T12" s="32">
        <f t="shared" si="20"/>
        <v>4046</v>
      </c>
      <c r="U12" s="14">
        <f t="shared" si="10"/>
        <v>0</v>
      </c>
    </row>
    <row r="13" spans="1:24" ht="13.5" thickBot="1" x14ac:dyDescent="0.25">
      <c r="A13" s="9">
        <v>44815</v>
      </c>
      <c r="B13" s="32">
        <f t="shared" si="11"/>
        <v>47518</v>
      </c>
      <c r="C13" s="14">
        <f t="shared" si="3"/>
        <v>0</v>
      </c>
      <c r="D13" s="32">
        <f t="shared" si="12"/>
        <v>40930</v>
      </c>
      <c r="E13" s="14">
        <f t="shared" si="4"/>
        <v>0</v>
      </c>
      <c r="F13" s="32">
        <f t="shared" si="13"/>
        <v>22026</v>
      </c>
      <c r="G13" s="14">
        <f t="shared" si="5"/>
        <v>0</v>
      </c>
      <c r="H13" s="32">
        <f t="shared" si="14"/>
        <v>258022</v>
      </c>
      <c r="I13" s="14">
        <f t="shared" si="6"/>
        <v>0</v>
      </c>
      <c r="J13" s="32">
        <f t="shared" si="15"/>
        <v>330907</v>
      </c>
      <c r="K13" s="14">
        <f t="shared" si="7"/>
        <v>0</v>
      </c>
      <c r="L13" s="32">
        <f t="shared" si="16"/>
        <v>26455</v>
      </c>
      <c r="M13" s="14">
        <f t="shared" si="8"/>
        <v>0</v>
      </c>
      <c r="N13" s="32">
        <f t="shared" si="17"/>
        <v>226336</v>
      </c>
      <c r="O13" s="14">
        <f t="shared" si="9"/>
        <v>0</v>
      </c>
      <c r="P13" s="32">
        <f t="shared" si="18"/>
        <v>167942</v>
      </c>
      <c r="Q13" s="14">
        <f t="shared" si="2"/>
        <v>0</v>
      </c>
      <c r="R13" s="1">
        <f t="shared" si="21"/>
        <v>55047</v>
      </c>
      <c r="S13" s="14">
        <f t="shared" si="19"/>
        <v>0</v>
      </c>
      <c r="T13" s="32">
        <f t="shared" si="20"/>
        <v>4046</v>
      </c>
      <c r="U13" s="14">
        <f t="shared" si="10"/>
        <v>0</v>
      </c>
    </row>
    <row r="14" spans="1:24" ht="13.5" thickBot="1" x14ac:dyDescent="0.25">
      <c r="A14" s="9">
        <v>44816</v>
      </c>
      <c r="B14" s="32">
        <f t="shared" si="11"/>
        <v>47518</v>
      </c>
      <c r="C14" s="14">
        <f t="shared" si="3"/>
        <v>0</v>
      </c>
      <c r="D14" s="32">
        <f t="shared" si="12"/>
        <v>40930</v>
      </c>
      <c r="E14" s="14">
        <f t="shared" si="4"/>
        <v>0</v>
      </c>
      <c r="F14" s="32">
        <f t="shared" si="13"/>
        <v>22026</v>
      </c>
      <c r="G14" s="14">
        <f t="shared" si="5"/>
        <v>0</v>
      </c>
      <c r="H14" s="32">
        <f t="shared" si="14"/>
        <v>258022</v>
      </c>
      <c r="I14" s="14">
        <f t="shared" si="6"/>
        <v>0</v>
      </c>
      <c r="J14" s="32">
        <f t="shared" si="15"/>
        <v>330907</v>
      </c>
      <c r="K14" s="14">
        <f t="shared" si="7"/>
        <v>0</v>
      </c>
      <c r="L14" s="32">
        <f t="shared" si="16"/>
        <v>26455</v>
      </c>
      <c r="M14" s="14">
        <f t="shared" si="8"/>
        <v>0</v>
      </c>
      <c r="N14" s="32">
        <f t="shared" si="17"/>
        <v>226336</v>
      </c>
      <c r="O14" s="14">
        <f t="shared" si="9"/>
        <v>0</v>
      </c>
      <c r="P14" s="32">
        <f t="shared" si="18"/>
        <v>167942</v>
      </c>
      <c r="Q14" s="14">
        <f t="shared" si="2"/>
        <v>0</v>
      </c>
      <c r="R14" s="1">
        <f t="shared" si="21"/>
        <v>55047</v>
      </c>
      <c r="S14" s="14">
        <v>0</v>
      </c>
      <c r="T14" s="32">
        <f t="shared" si="20"/>
        <v>4046</v>
      </c>
      <c r="U14" s="14">
        <f t="shared" si="10"/>
        <v>0</v>
      </c>
    </row>
    <row r="15" spans="1:24" ht="13.5" thickBot="1" x14ac:dyDescent="0.25">
      <c r="A15" s="9">
        <v>44817</v>
      </c>
      <c r="B15" s="32">
        <f t="shared" si="11"/>
        <v>47518</v>
      </c>
      <c r="C15" s="14">
        <f t="shared" si="3"/>
        <v>0</v>
      </c>
      <c r="D15" s="32">
        <f t="shared" si="12"/>
        <v>40930</v>
      </c>
      <c r="E15" s="14">
        <f t="shared" si="4"/>
        <v>0</v>
      </c>
      <c r="F15" s="32">
        <f t="shared" si="13"/>
        <v>22026</v>
      </c>
      <c r="G15" s="14">
        <f t="shared" si="5"/>
        <v>0</v>
      </c>
      <c r="H15" s="32">
        <f t="shared" si="14"/>
        <v>258022</v>
      </c>
      <c r="I15" s="14">
        <f t="shared" si="6"/>
        <v>0</v>
      </c>
      <c r="J15" s="32">
        <f t="shared" si="15"/>
        <v>330907</v>
      </c>
      <c r="K15" s="14">
        <f t="shared" si="7"/>
        <v>0</v>
      </c>
      <c r="L15" s="32">
        <f t="shared" si="16"/>
        <v>26455</v>
      </c>
      <c r="M15" s="14">
        <f t="shared" si="8"/>
        <v>0</v>
      </c>
      <c r="N15" s="32">
        <f t="shared" si="17"/>
        <v>226336</v>
      </c>
      <c r="O15" s="14">
        <f t="shared" si="9"/>
        <v>0</v>
      </c>
      <c r="P15" s="32">
        <f t="shared" si="18"/>
        <v>167942</v>
      </c>
      <c r="Q15" s="14">
        <f t="shared" si="2"/>
        <v>0</v>
      </c>
      <c r="R15" s="1">
        <f t="shared" si="21"/>
        <v>55047</v>
      </c>
      <c r="S15" s="14">
        <v>0</v>
      </c>
      <c r="T15" s="32">
        <f t="shared" si="20"/>
        <v>4046</v>
      </c>
      <c r="U15" s="14">
        <f t="shared" si="10"/>
        <v>0</v>
      </c>
      <c r="X15" t="s">
        <v>12</v>
      </c>
    </row>
    <row r="16" spans="1:24" ht="13.5" thickBot="1" x14ac:dyDescent="0.25">
      <c r="A16" s="9">
        <v>44818</v>
      </c>
      <c r="B16" s="32">
        <f t="shared" si="11"/>
        <v>47518</v>
      </c>
      <c r="C16" s="14">
        <f t="shared" si="3"/>
        <v>0</v>
      </c>
      <c r="D16" s="32">
        <f t="shared" si="12"/>
        <v>40930</v>
      </c>
      <c r="E16" s="14">
        <f t="shared" si="4"/>
        <v>0</v>
      </c>
      <c r="F16" s="32">
        <f t="shared" si="13"/>
        <v>22026</v>
      </c>
      <c r="G16" s="14">
        <f t="shared" si="5"/>
        <v>0</v>
      </c>
      <c r="H16" s="32">
        <f t="shared" si="14"/>
        <v>258022</v>
      </c>
      <c r="I16" s="14">
        <f t="shared" si="6"/>
        <v>0</v>
      </c>
      <c r="J16" s="32">
        <f t="shared" si="15"/>
        <v>330907</v>
      </c>
      <c r="K16" s="14">
        <f t="shared" si="7"/>
        <v>0</v>
      </c>
      <c r="L16" s="32">
        <f t="shared" si="16"/>
        <v>26455</v>
      </c>
      <c r="M16" s="14">
        <f t="shared" si="8"/>
        <v>0</v>
      </c>
      <c r="N16" s="32">
        <f t="shared" si="17"/>
        <v>226336</v>
      </c>
      <c r="O16" s="14">
        <f t="shared" si="9"/>
        <v>0</v>
      </c>
      <c r="P16" s="32">
        <f t="shared" si="18"/>
        <v>167942</v>
      </c>
      <c r="Q16" s="14">
        <f t="shared" si="2"/>
        <v>0</v>
      </c>
      <c r="R16" s="1">
        <f t="shared" si="21"/>
        <v>55047</v>
      </c>
      <c r="S16" s="14">
        <f t="shared" si="19"/>
        <v>0</v>
      </c>
      <c r="T16" s="32">
        <f t="shared" si="20"/>
        <v>4046</v>
      </c>
      <c r="U16" s="14">
        <f t="shared" si="10"/>
        <v>0</v>
      </c>
      <c r="W16" t="s">
        <v>12</v>
      </c>
    </row>
    <row r="17" spans="1:23" ht="13.5" thickBot="1" x14ac:dyDescent="0.25">
      <c r="A17" s="9">
        <v>44819</v>
      </c>
      <c r="B17" s="32">
        <f t="shared" si="11"/>
        <v>47518</v>
      </c>
      <c r="C17" s="14">
        <f t="shared" si="3"/>
        <v>0</v>
      </c>
      <c r="D17" s="32">
        <f t="shared" si="12"/>
        <v>40930</v>
      </c>
      <c r="E17" s="14">
        <f t="shared" si="4"/>
        <v>0</v>
      </c>
      <c r="F17" s="32">
        <f t="shared" si="13"/>
        <v>22026</v>
      </c>
      <c r="G17" s="14">
        <f t="shared" si="5"/>
        <v>0</v>
      </c>
      <c r="H17" s="32">
        <f t="shared" si="14"/>
        <v>258022</v>
      </c>
      <c r="I17" s="14">
        <f t="shared" si="6"/>
        <v>0</v>
      </c>
      <c r="J17" s="32">
        <f t="shared" si="15"/>
        <v>330907</v>
      </c>
      <c r="K17" s="14">
        <f t="shared" si="7"/>
        <v>0</v>
      </c>
      <c r="L17" s="32">
        <f t="shared" si="16"/>
        <v>26455</v>
      </c>
      <c r="M17" s="14">
        <f t="shared" si="8"/>
        <v>0</v>
      </c>
      <c r="N17" s="32">
        <f t="shared" si="17"/>
        <v>226336</v>
      </c>
      <c r="O17" s="14">
        <f t="shared" si="9"/>
        <v>0</v>
      </c>
      <c r="P17" s="32">
        <f t="shared" si="18"/>
        <v>167942</v>
      </c>
      <c r="Q17" s="14">
        <f t="shared" si="2"/>
        <v>0</v>
      </c>
      <c r="R17" s="1">
        <f t="shared" si="21"/>
        <v>55047</v>
      </c>
      <c r="S17" s="14">
        <f>S16</f>
        <v>0</v>
      </c>
      <c r="T17" s="32">
        <f t="shared" si="20"/>
        <v>4046</v>
      </c>
      <c r="U17" s="14">
        <f t="shared" si="10"/>
        <v>0</v>
      </c>
    </row>
    <row r="18" spans="1:23" ht="13.5" thickBot="1" x14ac:dyDescent="0.25">
      <c r="A18" s="9">
        <v>44820</v>
      </c>
      <c r="B18" s="32">
        <f t="shared" si="11"/>
        <v>47518</v>
      </c>
      <c r="C18" s="14">
        <f t="shared" si="3"/>
        <v>0</v>
      </c>
      <c r="D18" s="32">
        <f t="shared" si="12"/>
        <v>40930</v>
      </c>
      <c r="E18" s="14">
        <f t="shared" si="4"/>
        <v>0</v>
      </c>
      <c r="F18" s="32">
        <f t="shared" si="13"/>
        <v>22026</v>
      </c>
      <c r="G18" s="14">
        <f t="shared" si="5"/>
        <v>0</v>
      </c>
      <c r="H18" s="32">
        <f t="shared" si="14"/>
        <v>258022</v>
      </c>
      <c r="I18" s="14">
        <f t="shared" si="6"/>
        <v>0</v>
      </c>
      <c r="J18" s="32">
        <f t="shared" si="15"/>
        <v>330907</v>
      </c>
      <c r="K18" s="14">
        <f t="shared" si="7"/>
        <v>0</v>
      </c>
      <c r="L18" s="32">
        <f t="shared" si="16"/>
        <v>26455</v>
      </c>
      <c r="M18" s="14">
        <f t="shared" si="8"/>
        <v>0</v>
      </c>
      <c r="N18" s="32">
        <f t="shared" si="17"/>
        <v>226336</v>
      </c>
      <c r="O18" s="14">
        <f t="shared" si="9"/>
        <v>0</v>
      </c>
      <c r="P18" s="32">
        <f t="shared" si="18"/>
        <v>167942</v>
      </c>
      <c r="Q18" s="14">
        <f t="shared" si="2"/>
        <v>0</v>
      </c>
      <c r="R18" s="1">
        <f t="shared" si="21"/>
        <v>55047</v>
      </c>
      <c r="S18" s="14">
        <f t="shared" si="19"/>
        <v>0</v>
      </c>
      <c r="T18" s="32">
        <f t="shared" si="20"/>
        <v>4046</v>
      </c>
      <c r="U18" s="14">
        <f t="shared" si="10"/>
        <v>0</v>
      </c>
    </row>
    <row r="19" spans="1:23" ht="13.5" thickBot="1" x14ac:dyDescent="0.25">
      <c r="A19" s="9">
        <v>44821</v>
      </c>
      <c r="B19" s="32">
        <f t="shared" si="11"/>
        <v>47518</v>
      </c>
      <c r="C19" s="14">
        <f t="shared" si="3"/>
        <v>0</v>
      </c>
      <c r="D19" s="32">
        <f t="shared" si="12"/>
        <v>40930</v>
      </c>
      <c r="E19" s="14">
        <f t="shared" si="4"/>
        <v>0</v>
      </c>
      <c r="F19" s="32">
        <f t="shared" si="13"/>
        <v>22026</v>
      </c>
      <c r="G19" s="14">
        <f t="shared" si="5"/>
        <v>0</v>
      </c>
      <c r="H19" s="32">
        <f t="shared" si="14"/>
        <v>258022</v>
      </c>
      <c r="I19" s="14">
        <f t="shared" si="6"/>
        <v>0</v>
      </c>
      <c r="J19" s="32">
        <f t="shared" si="15"/>
        <v>330907</v>
      </c>
      <c r="K19" s="14">
        <f t="shared" si="7"/>
        <v>0</v>
      </c>
      <c r="L19" s="32">
        <f t="shared" si="16"/>
        <v>26455</v>
      </c>
      <c r="M19" s="14">
        <f t="shared" si="8"/>
        <v>0</v>
      </c>
      <c r="N19" s="32">
        <f t="shared" si="17"/>
        <v>226336</v>
      </c>
      <c r="O19" s="14">
        <f t="shared" si="9"/>
        <v>0</v>
      </c>
      <c r="P19" s="32">
        <f t="shared" si="18"/>
        <v>167942</v>
      </c>
      <c r="Q19" s="14">
        <v>0</v>
      </c>
      <c r="R19" s="1">
        <f t="shared" si="21"/>
        <v>55047</v>
      </c>
      <c r="S19" s="14">
        <f t="shared" si="19"/>
        <v>0</v>
      </c>
      <c r="T19" s="32">
        <f t="shared" si="20"/>
        <v>4046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1"/>
        <v>47518</v>
      </c>
      <c r="C20" s="14">
        <f t="shared" si="3"/>
        <v>0</v>
      </c>
      <c r="D20" s="32">
        <f t="shared" si="12"/>
        <v>40930</v>
      </c>
      <c r="E20" s="14">
        <f t="shared" si="4"/>
        <v>0</v>
      </c>
      <c r="F20" s="32">
        <f t="shared" si="13"/>
        <v>22026</v>
      </c>
      <c r="G20" s="14">
        <f t="shared" si="5"/>
        <v>0</v>
      </c>
      <c r="H20" s="32">
        <f t="shared" si="14"/>
        <v>258022</v>
      </c>
      <c r="I20" s="14">
        <f t="shared" si="6"/>
        <v>0</v>
      </c>
      <c r="J20" s="32">
        <f t="shared" si="15"/>
        <v>330907</v>
      </c>
      <c r="K20" s="14">
        <f t="shared" si="7"/>
        <v>0</v>
      </c>
      <c r="L20" s="32">
        <f t="shared" si="16"/>
        <v>26455</v>
      </c>
      <c r="M20" s="14">
        <f t="shared" si="8"/>
        <v>0</v>
      </c>
      <c r="N20" s="32">
        <f t="shared" si="17"/>
        <v>226336</v>
      </c>
      <c r="O20" s="14">
        <f t="shared" si="9"/>
        <v>0</v>
      </c>
      <c r="P20" s="32">
        <f t="shared" si="18"/>
        <v>167942</v>
      </c>
      <c r="Q20" s="14">
        <f t="shared" si="2"/>
        <v>0</v>
      </c>
      <c r="R20" s="1">
        <v>55047</v>
      </c>
      <c r="S20" s="14">
        <f t="shared" si="19"/>
        <v>0</v>
      </c>
      <c r="T20" s="32">
        <f t="shared" si="20"/>
        <v>4046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1"/>
        <v>47518</v>
      </c>
      <c r="C21" s="14">
        <f t="shared" si="3"/>
        <v>0</v>
      </c>
      <c r="D21" s="32">
        <f t="shared" si="12"/>
        <v>40930</v>
      </c>
      <c r="E21" s="14">
        <f t="shared" si="4"/>
        <v>0</v>
      </c>
      <c r="F21" s="32">
        <f t="shared" si="13"/>
        <v>22026</v>
      </c>
      <c r="G21" s="14">
        <f t="shared" si="5"/>
        <v>0</v>
      </c>
      <c r="H21" s="32">
        <f t="shared" si="14"/>
        <v>258022</v>
      </c>
      <c r="I21" s="14">
        <f t="shared" si="6"/>
        <v>0</v>
      </c>
      <c r="J21" s="32">
        <f t="shared" si="15"/>
        <v>330907</v>
      </c>
      <c r="K21" s="14">
        <f t="shared" si="7"/>
        <v>0</v>
      </c>
      <c r="L21" s="32">
        <f t="shared" si="16"/>
        <v>26455</v>
      </c>
      <c r="M21" s="14">
        <f t="shared" si="8"/>
        <v>0</v>
      </c>
      <c r="N21" s="32">
        <f t="shared" si="17"/>
        <v>226336</v>
      </c>
      <c r="O21" s="14">
        <f t="shared" si="9"/>
        <v>0</v>
      </c>
      <c r="P21" s="32">
        <f t="shared" si="18"/>
        <v>167942</v>
      </c>
      <c r="Q21" s="14">
        <f t="shared" si="2"/>
        <v>0</v>
      </c>
      <c r="R21" s="1">
        <f t="shared" si="21"/>
        <v>55047</v>
      </c>
      <c r="S21" s="14">
        <f t="shared" si="19"/>
        <v>0</v>
      </c>
      <c r="T21" s="32">
        <f t="shared" si="20"/>
        <v>4046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1"/>
        <v>47518</v>
      </c>
      <c r="C22" s="14">
        <f t="shared" si="3"/>
        <v>0</v>
      </c>
      <c r="D22" s="32">
        <f t="shared" si="12"/>
        <v>40930</v>
      </c>
      <c r="E22" s="14">
        <f t="shared" si="4"/>
        <v>0</v>
      </c>
      <c r="F22" s="32">
        <f t="shared" si="13"/>
        <v>22026</v>
      </c>
      <c r="G22" s="14">
        <f t="shared" si="5"/>
        <v>0</v>
      </c>
      <c r="H22" s="32">
        <f t="shared" si="14"/>
        <v>258022</v>
      </c>
      <c r="I22" s="14">
        <f t="shared" si="6"/>
        <v>0</v>
      </c>
      <c r="J22" s="32">
        <f t="shared" si="15"/>
        <v>330907</v>
      </c>
      <c r="K22" s="14">
        <f t="shared" si="7"/>
        <v>0</v>
      </c>
      <c r="L22" s="32">
        <f t="shared" si="16"/>
        <v>26455</v>
      </c>
      <c r="M22" s="14">
        <f t="shared" si="8"/>
        <v>0</v>
      </c>
      <c r="N22" s="32">
        <f t="shared" si="17"/>
        <v>226336</v>
      </c>
      <c r="O22" s="14">
        <f t="shared" si="9"/>
        <v>0</v>
      </c>
      <c r="P22" s="32">
        <f t="shared" si="18"/>
        <v>167942</v>
      </c>
      <c r="Q22" s="14">
        <f t="shared" si="2"/>
        <v>0</v>
      </c>
      <c r="R22" s="1">
        <f t="shared" si="21"/>
        <v>55047</v>
      </c>
      <c r="S22" s="14">
        <f t="shared" si="19"/>
        <v>0</v>
      </c>
      <c r="T22" s="32">
        <f t="shared" si="20"/>
        <v>4046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1"/>
        <v>47518</v>
      </c>
      <c r="C23" s="14">
        <f t="shared" si="3"/>
        <v>0</v>
      </c>
      <c r="D23" s="32">
        <f t="shared" si="12"/>
        <v>40930</v>
      </c>
      <c r="E23" s="14">
        <f t="shared" si="4"/>
        <v>0</v>
      </c>
      <c r="F23" s="32">
        <f t="shared" si="13"/>
        <v>22026</v>
      </c>
      <c r="G23" s="14">
        <f t="shared" si="5"/>
        <v>0</v>
      </c>
      <c r="H23" s="32">
        <f t="shared" si="14"/>
        <v>258022</v>
      </c>
      <c r="I23" s="14">
        <f t="shared" si="6"/>
        <v>0</v>
      </c>
      <c r="J23" s="32">
        <f t="shared" si="15"/>
        <v>330907</v>
      </c>
      <c r="K23" s="14">
        <f t="shared" si="7"/>
        <v>0</v>
      </c>
      <c r="L23" s="32">
        <f t="shared" si="16"/>
        <v>26455</v>
      </c>
      <c r="M23" s="14">
        <f t="shared" si="8"/>
        <v>0</v>
      </c>
      <c r="N23" s="32">
        <f t="shared" si="17"/>
        <v>226336</v>
      </c>
      <c r="O23" s="14">
        <f t="shared" si="9"/>
        <v>0</v>
      </c>
      <c r="P23" s="32">
        <f t="shared" si="18"/>
        <v>167942</v>
      </c>
      <c r="Q23" s="14">
        <f t="shared" si="2"/>
        <v>0</v>
      </c>
      <c r="R23" s="1">
        <f t="shared" si="21"/>
        <v>55047</v>
      </c>
      <c r="S23" s="14">
        <f t="shared" si="19"/>
        <v>0</v>
      </c>
      <c r="T23" s="32">
        <f t="shared" si="20"/>
        <v>4046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1"/>
        <v>47518</v>
      </c>
      <c r="C24" s="14">
        <f t="shared" si="3"/>
        <v>0</v>
      </c>
      <c r="D24" s="32">
        <f t="shared" si="12"/>
        <v>40930</v>
      </c>
      <c r="E24" s="14">
        <f t="shared" si="4"/>
        <v>0</v>
      </c>
      <c r="F24" s="32">
        <f t="shared" si="13"/>
        <v>22026</v>
      </c>
      <c r="G24" s="14">
        <f t="shared" si="5"/>
        <v>0</v>
      </c>
      <c r="H24" s="32">
        <f t="shared" si="14"/>
        <v>258022</v>
      </c>
      <c r="I24" s="14">
        <f t="shared" si="6"/>
        <v>0</v>
      </c>
      <c r="J24" s="32">
        <f t="shared" si="15"/>
        <v>330907</v>
      </c>
      <c r="K24" s="14">
        <f t="shared" si="7"/>
        <v>0</v>
      </c>
      <c r="L24" s="32">
        <f t="shared" si="16"/>
        <v>26455</v>
      </c>
      <c r="M24" s="14">
        <f t="shared" si="8"/>
        <v>0</v>
      </c>
      <c r="N24" s="32">
        <f t="shared" si="17"/>
        <v>226336</v>
      </c>
      <c r="O24" s="14">
        <f t="shared" si="9"/>
        <v>0</v>
      </c>
      <c r="P24" s="32">
        <f t="shared" si="18"/>
        <v>167942</v>
      </c>
      <c r="Q24" s="14">
        <f t="shared" si="2"/>
        <v>0</v>
      </c>
      <c r="R24" s="1">
        <f t="shared" si="21"/>
        <v>55047</v>
      </c>
      <c r="S24" s="14">
        <f t="shared" si="19"/>
        <v>0</v>
      </c>
      <c r="T24" s="32">
        <f t="shared" si="20"/>
        <v>4046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1"/>
        <v>47518</v>
      </c>
      <c r="C25" s="14">
        <f t="shared" si="3"/>
        <v>0</v>
      </c>
      <c r="D25" s="32">
        <f t="shared" si="12"/>
        <v>40930</v>
      </c>
      <c r="E25" s="14">
        <f t="shared" si="4"/>
        <v>0</v>
      </c>
      <c r="F25" s="32">
        <f t="shared" si="13"/>
        <v>22026</v>
      </c>
      <c r="G25" s="14">
        <f t="shared" si="5"/>
        <v>0</v>
      </c>
      <c r="H25" s="32">
        <f t="shared" si="14"/>
        <v>258022</v>
      </c>
      <c r="I25" s="14">
        <f t="shared" si="6"/>
        <v>0</v>
      </c>
      <c r="J25" s="32">
        <f t="shared" si="15"/>
        <v>330907</v>
      </c>
      <c r="K25" s="14">
        <f t="shared" si="7"/>
        <v>0</v>
      </c>
      <c r="L25" s="32">
        <f t="shared" si="16"/>
        <v>26455</v>
      </c>
      <c r="M25" s="14">
        <f t="shared" si="8"/>
        <v>0</v>
      </c>
      <c r="N25" s="32">
        <f t="shared" si="17"/>
        <v>226336</v>
      </c>
      <c r="O25" s="14">
        <f t="shared" si="9"/>
        <v>0</v>
      </c>
      <c r="P25" s="32">
        <f t="shared" si="18"/>
        <v>167942</v>
      </c>
      <c r="Q25" s="14">
        <f t="shared" si="2"/>
        <v>0</v>
      </c>
      <c r="R25" s="1">
        <f t="shared" si="21"/>
        <v>55047</v>
      </c>
      <c r="S25" s="14">
        <f t="shared" si="19"/>
        <v>0</v>
      </c>
      <c r="T25" s="32">
        <f t="shared" si="20"/>
        <v>4046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1"/>
        <v>47518</v>
      </c>
      <c r="C26" s="14">
        <f t="shared" si="3"/>
        <v>0</v>
      </c>
      <c r="D26" s="32">
        <f t="shared" si="12"/>
        <v>40930</v>
      </c>
      <c r="E26" s="14">
        <f t="shared" si="4"/>
        <v>0</v>
      </c>
      <c r="F26" s="32">
        <f t="shared" si="13"/>
        <v>22026</v>
      </c>
      <c r="G26" s="14">
        <f t="shared" si="5"/>
        <v>0</v>
      </c>
      <c r="H26" s="32">
        <f t="shared" si="14"/>
        <v>258022</v>
      </c>
      <c r="I26" s="14">
        <f t="shared" si="6"/>
        <v>0</v>
      </c>
      <c r="J26" s="32">
        <f t="shared" si="15"/>
        <v>330907</v>
      </c>
      <c r="K26" s="14">
        <f t="shared" si="7"/>
        <v>0</v>
      </c>
      <c r="L26" s="32">
        <f t="shared" si="16"/>
        <v>26455</v>
      </c>
      <c r="M26" s="14">
        <f t="shared" si="8"/>
        <v>0</v>
      </c>
      <c r="N26" s="32">
        <f t="shared" si="17"/>
        <v>226336</v>
      </c>
      <c r="O26" s="14">
        <f t="shared" si="9"/>
        <v>0</v>
      </c>
      <c r="P26" s="32">
        <f t="shared" si="18"/>
        <v>167942</v>
      </c>
      <c r="Q26" s="14">
        <f t="shared" si="2"/>
        <v>0</v>
      </c>
      <c r="R26" s="1">
        <f t="shared" si="21"/>
        <v>55047</v>
      </c>
      <c r="S26" s="14">
        <f t="shared" si="19"/>
        <v>0</v>
      </c>
      <c r="T26" s="32">
        <f t="shared" si="20"/>
        <v>4046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1"/>
        <v>47518</v>
      </c>
      <c r="C27" s="14">
        <f t="shared" si="3"/>
        <v>0</v>
      </c>
      <c r="D27" s="32">
        <f t="shared" si="12"/>
        <v>40930</v>
      </c>
      <c r="E27" s="14">
        <f t="shared" si="4"/>
        <v>0</v>
      </c>
      <c r="F27" s="32">
        <f t="shared" si="13"/>
        <v>22026</v>
      </c>
      <c r="G27" s="14">
        <f t="shared" si="5"/>
        <v>0</v>
      </c>
      <c r="H27" s="32">
        <f t="shared" si="14"/>
        <v>258022</v>
      </c>
      <c r="I27" s="14">
        <f t="shared" si="6"/>
        <v>0</v>
      </c>
      <c r="J27" s="32">
        <f t="shared" si="15"/>
        <v>330907</v>
      </c>
      <c r="K27" s="14">
        <f t="shared" si="7"/>
        <v>0</v>
      </c>
      <c r="L27" s="32">
        <f t="shared" si="16"/>
        <v>26455</v>
      </c>
      <c r="M27" s="14">
        <f t="shared" si="8"/>
        <v>0</v>
      </c>
      <c r="N27" s="32">
        <f t="shared" si="17"/>
        <v>226336</v>
      </c>
      <c r="O27" s="14">
        <f t="shared" si="9"/>
        <v>0</v>
      </c>
      <c r="P27" s="32">
        <f t="shared" si="18"/>
        <v>167942</v>
      </c>
      <c r="Q27" s="14">
        <f t="shared" si="2"/>
        <v>0</v>
      </c>
      <c r="R27" s="1">
        <f t="shared" si="21"/>
        <v>55047</v>
      </c>
      <c r="S27" s="14">
        <f t="shared" si="19"/>
        <v>0</v>
      </c>
      <c r="T27" s="32">
        <f t="shared" si="20"/>
        <v>4046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1"/>
        <v>47518</v>
      </c>
      <c r="C28" s="14">
        <f t="shared" si="3"/>
        <v>0</v>
      </c>
      <c r="D28" s="32">
        <f t="shared" si="12"/>
        <v>40930</v>
      </c>
      <c r="E28" s="14">
        <f t="shared" si="4"/>
        <v>0</v>
      </c>
      <c r="F28" s="32">
        <f t="shared" si="13"/>
        <v>22026</v>
      </c>
      <c r="G28" s="14">
        <f t="shared" si="5"/>
        <v>0</v>
      </c>
      <c r="H28" s="32">
        <f t="shared" si="14"/>
        <v>258022</v>
      </c>
      <c r="I28" s="14">
        <f t="shared" si="6"/>
        <v>0</v>
      </c>
      <c r="J28" s="32">
        <f t="shared" si="15"/>
        <v>330907</v>
      </c>
      <c r="K28" s="14">
        <f t="shared" si="7"/>
        <v>0</v>
      </c>
      <c r="L28" s="32">
        <f t="shared" si="16"/>
        <v>26455</v>
      </c>
      <c r="M28" s="14">
        <f t="shared" si="8"/>
        <v>0</v>
      </c>
      <c r="N28" s="32">
        <f t="shared" si="17"/>
        <v>226336</v>
      </c>
      <c r="O28" s="14">
        <f t="shared" si="9"/>
        <v>0</v>
      </c>
      <c r="P28" s="32">
        <f t="shared" si="18"/>
        <v>167942</v>
      </c>
      <c r="Q28" s="14">
        <f t="shared" si="2"/>
        <v>0</v>
      </c>
      <c r="R28" s="1">
        <f t="shared" si="21"/>
        <v>55047</v>
      </c>
      <c r="S28" s="15">
        <f t="shared" si="19"/>
        <v>0</v>
      </c>
      <c r="T28" s="32">
        <f t="shared" si="20"/>
        <v>4046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1"/>
        <v>47518</v>
      </c>
      <c r="C29" s="14">
        <f t="shared" si="3"/>
        <v>0</v>
      </c>
      <c r="D29" s="32">
        <f t="shared" si="12"/>
        <v>40930</v>
      </c>
      <c r="E29" s="14">
        <f t="shared" si="4"/>
        <v>0</v>
      </c>
      <c r="F29" s="32">
        <f t="shared" si="13"/>
        <v>22026</v>
      </c>
      <c r="G29" s="14">
        <f t="shared" si="5"/>
        <v>0</v>
      </c>
      <c r="H29" s="32">
        <f t="shared" si="14"/>
        <v>258022</v>
      </c>
      <c r="I29" s="14">
        <f t="shared" si="6"/>
        <v>0</v>
      </c>
      <c r="J29" s="32">
        <f t="shared" si="15"/>
        <v>330907</v>
      </c>
      <c r="K29" s="14">
        <f t="shared" si="7"/>
        <v>0</v>
      </c>
      <c r="L29" s="32">
        <f t="shared" si="16"/>
        <v>26455</v>
      </c>
      <c r="M29" s="14">
        <f t="shared" si="8"/>
        <v>0</v>
      </c>
      <c r="N29" s="32">
        <f t="shared" si="17"/>
        <v>226336</v>
      </c>
      <c r="O29" s="14">
        <f t="shared" si="9"/>
        <v>0</v>
      </c>
      <c r="P29" s="32">
        <f t="shared" si="18"/>
        <v>167942</v>
      </c>
      <c r="Q29" s="14">
        <f t="shared" si="2"/>
        <v>0</v>
      </c>
      <c r="R29" s="1">
        <f t="shared" si="21"/>
        <v>55047</v>
      </c>
      <c r="S29" s="14">
        <f t="shared" si="19"/>
        <v>0</v>
      </c>
      <c r="T29" s="32">
        <f t="shared" si="20"/>
        <v>4046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1"/>
        <v>47518</v>
      </c>
      <c r="C30" s="14">
        <f t="shared" si="3"/>
        <v>0</v>
      </c>
      <c r="D30" s="32">
        <f t="shared" si="12"/>
        <v>40930</v>
      </c>
      <c r="E30" s="14">
        <f t="shared" si="4"/>
        <v>0</v>
      </c>
      <c r="F30" s="32">
        <f t="shared" si="13"/>
        <v>22026</v>
      </c>
      <c r="G30" s="14">
        <f t="shared" si="5"/>
        <v>0</v>
      </c>
      <c r="H30" s="32">
        <f t="shared" si="14"/>
        <v>258022</v>
      </c>
      <c r="I30" s="14">
        <f t="shared" si="6"/>
        <v>0</v>
      </c>
      <c r="J30" s="32">
        <f t="shared" si="15"/>
        <v>330907</v>
      </c>
      <c r="K30" s="14">
        <f t="shared" si="7"/>
        <v>0</v>
      </c>
      <c r="L30" s="32">
        <f t="shared" si="16"/>
        <v>26455</v>
      </c>
      <c r="M30" s="14">
        <f t="shared" si="8"/>
        <v>0</v>
      </c>
      <c r="N30" s="32">
        <f t="shared" si="17"/>
        <v>226336</v>
      </c>
      <c r="O30" s="14">
        <f t="shared" si="9"/>
        <v>0</v>
      </c>
      <c r="P30" s="32">
        <f t="shared" si="18"/>
        <v>167942</v>
      </c>
      <c r="Q30" s="14">
        <f t="shared" si="2"/>
        <v>0</v>
      </c>
      <c r="R30" s="1">
        <f t="shared" si="21"/>
        <v>55047</v>
      </c>
      <c r="S30" s="14">
        <f t="shared" si="19"/>
        <v>0</v>
      </c>
      <c r="T30" s="32">
        <f t="shared" si="20"/>
        <v>4046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1"/>
        <v>47518</v>
      </c>
      <c r="C31" s="14">
        <f t="shared" si="3"/>
        <v>0</v>
      </c>
      <c r="D31" s="32">
        <f t="shared" si="12"/>
        <v>40930</v>
      </c>
      <c r="E31" s="14">
        <f t="shared" si="4"/>
        <v>0</v>
      </c>
      <c r="F31" s="32">
        <f t="shared" si="13"/>
        <v>22026</v>
      </c>
      <c r="G31" s="14">
        <f t="shared" si="5"/>
        <v>0</v>
      </c>
      <c r="H31" s="32">
        <f t="shared" si="14"/>
        <v>258022</v>
      </c>
      <c r="I31" s="14">
        <f t="shared" si="6"/>
        <v>0</v>
      </c>
      <c r="J31" s="32">
        <f t="shared" si="15"/>
        <v>330907</v>
      </c>
      <c r="K31" s="14">
        <f t="shared" si="7"/>
        <v>0</v>
      </c>
      <c r="L31" s="32">
        <f t="shared" si="16"/>
        <v>26455</v>
      </c>
      <c r="M31" s="14">
        <f t="shared" si="8"/>
        <v>0</v>
      </c>
      <c r="N31" s="32">
        <f t="shared" si="17"/>
        <v>226336</v>
      </c>
      <c r="O31" s="14">
        <f t="shared" si="9"/>
        <v>0</v>
      </c>
      <c r="P31" s="32">
        <f t="shared" si="18"/>
        <v>167942</v>
      </c>
      <c r="Q31" s="14">
        <f t="shared" si="2"/>
        <v>0</v>
      </c>
      <c r="R31" s="1">
        <v>55047</v>
      </c>
      <c r="S31" s="14">
        <v>0</v>
      </c>
      <c r="T31" s="32">
        <f t="shared" si="20"/>
        <v>4046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1"/>
        <v>47518</v>
      </c>
      <c r="C32" s="14">
        <f t="shared" si="3"/>
        <v>0</v>
      </c>
      <c r="D32" s="32">
        <f t="shared" si="12"/>
        <v>40930</v>
      </c>
      <c r="E32" s="14">
        <f t="shared" si="4"/>
        <v>0</v>
      </c>
      <c r="F32" s="32">
        <f t="shared" si="13"/>
        <v>22026</v>
      </c>
      <c r="G32" s="14">
        <f t="shared" si="5"/>
        <v>0</v>
      </c>
      <c r="H32" s="32">
        <f t="shared" si="14"/>
        <v>258022</v>
      </c>
      <c r="I32" s="14">
        <f t="shared" si="6"/>
        <v>0</v>
      </c>
      <c r="J32" s="32">
        <f t="shared" si="15"/>
        <v>330907</v>
      </c>
      <c r="K32" s="14">
        <f t="shared" si="7"/>
        <v>0</v>
      </c>
      <c r="L32" s="32">
        <f t="shared" si="16"/>
        <v>26455</v>
      </c>
      <c r="M32" s="14">
        <f t="shared" si="8"/>
        <v>0</v>
      </c>
      <c r="N32" s="32">
        <f t="shared" si="17"/>
        <v>226336</v>
      </c>
      <c r="O32" s="14">
        <f t="shared" si="9"/>
        <v>0</v>
      </c>
      <c r="P32" s="32">
        <f t="shared" si="18"/>
        <v>167942</v>
      </c>
      <c r="Q32" s="14">
        <f t="shared" si="2"/>
        <v>0</v>
      </c>
      <c r="R32" s="1">
        <f t="shared" si="21"/>
        <v>55047</v>
      </c>
      <c r="S32" s="14">
        <f t="shared" si="19"/>
        <v>0</v>
      </c>
      <c r="T32" s="32">
        <f t="shared" si="20"/>
        <v>4046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1440</v>
      </c>
      <c r="D33" s="14"/>
      <c r="E33" s="14">
        <f>SUM(E2:E32)</f>
        <v>960</v>
      </c>
      <c r="F33" s="14"/>
      <c r="G33" s="14">
        <f>SUM(G2:G32)</f>
        <v>140</v>
      </c>
      <c r="H33" s="14"/>
      <c r="I33" s="14">
        <f>SUM(I2:I32)</f>
        <v>52</v>
      </c>
      <c r="J33" s="14"/>
      <c r="K33" s="14">
        <f>SUM(K2:K32)</f>
        <v>300</v>
      </c>
      <c r="L33" s="14"/>
      <c r="M33" s="14">
        <f>SUM(M2:M32)</f>
        <v>360</v>
      </c>
      <c r="N33" s="14"/>
      <c r="O33" s="14">
        <f>SUM(O2:O32)</f>
        <v>6</v>
      </c>
      <c r="P33" s="14"/>
      <c r="Q33" s="14">
        <f>SUM(Q2:Q32)</f>
        <v>241</v>
      </c>
      <c r="R33" s="14"/>
      <c r="S33" s="14">
        <f>SUM(S2:S32)</f>
        <v>0</v>
      </c>
      <c r="T33" s="14"/>
      <c r="U33" s="14">
        <f>SUM(U2:U32)</f>
        <v>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4" sqref="A4:XFD4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/>
      <c r="C5" s="144"/>
      <c r="D5" s="38">
        <f t="shared" si="4"/>
        <v>0</v>
      </c>
      <c r="E5" s="145"/>
      <c r="F5" s="38" t="str">
        <f t="shared" si="5"/>
        <v>0</v>
      </c>
      <c r="G5" s="146"/>
      <c r="H5" s="38" t="str">
        <f t="shared" si="6"/>
        <v>0</v>
      </c>
      <c r="I5" s="147">
        <f t="shared" si="7"/>
        <v>0</v>
      </c>
      <c r="J5" s="145"/>
      <c r="K5" s="38">
        <f t="shared" ref="K5:K32" si="15">(IF((J5-J4)&lt;0,"0",(J5-J4)))*2</f>
        <v>0</v>
      </c>
      <c r="L5" s="148"/>
      <c r="M5" s="38" t="str">
        <f t="shared" si="8"/>
        <v>0</v>
      </c>
      <c r="N5" s="145"/>
      <c r="O5" s="38">
        <f t="shared" ref="O5:O29" si="16">(IF((N5-N4)&lt;0,"0",(N5-N4)))*2</f>
        <v>0</v>
      </c>
      <c r="P5" s="148"/>
      <c r="Q5" s="38" t="str">
        <f t="shared" si="9"/>
        <v>0</v>
      </c>
      <c r="R5" s="145"/>
      <c r="S5" s="38" t="str">
        <f t="shared" si="10"/>
        <v>0</v>
      </c>
      <c r="T5" s="145">
        <v>0</v>
      </c>
      <c r="U5" s="149"/>
      <c r="V5" s="145"/>
      <c r="W5" s="38" t="str">
        <f t="shared" si="11"/>
        <v>0</v>
      </c>
      <c r="X5" s="19">
        <f t="shared" si="12"/>
        <v>0</v>
      </c>
      <c r="Y5" s="165">
        <f t="shared" si="13"/>
        <v>0</v>
      </c>
      <c r="Z5" s="3">
        <f t="shared" si="14"/>
        <v>0</v>
      </c>
      <c r="AA5" s="3">
        <f>SUM(Z1:Z5)</f>
        <v>21704.237547200002</v>
      </c>
    </row>
    <row r="6" spans="1:27" ht="16.5" thickBot="1" x14ac:dyDescent="0.3">
      <c r="A6" s="9">
        <v>44808</v>
      </c>
      <c r="B6" s="38"/>
      <c r="C6" s="144"/>
      <c r="D6" s="38">
        <f t="shared" si="4"/>
        <v>0</v>
      </c>
      <c r="E6" s="145"/>
      <c r="F6" s="38">
        <f t="shared" si="5"/>
        <v>0</v>
      </c>
      <c r="G6" s="146"/>
      <c r="H6" s="38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>
        <f t="shared" si="8"/>
        <v>0</v>
      </c>
      <c r="N6" s="145"/>
      <c r="O6" s="38">
        <f t="shared" si="16"/>
        <v>0</v>
      </c>
      <c r="P6" s="148"/>
      <c r="Q6" s="38">
        <f t="shared" si="9"/>
        <v>0</v>
      </c>
      <c r="R6" s="145"/>
      <c r="S6" s="38">
        <f t="shared" si="10"/>
        <v>0</v>
      </c>
      <c r="T6" s="145">
        <v>0</v>
      </c>
      <c r="U6" s="149"/>
      <c r="V6" s="145"/>
      <c r="W6" s="38">
        <f t="shared" si="11"/>
        <v>0</v>
      </c>
      <c r="X6" s="19">
        <f t="shared" si="12"/>
        <v>0</v>
      </c>
      <c r="Y6" s="165">
        <f t="shared" si="13"/>
        <v>0</v>
      </c>
      <c r="Z6" s="3">
        <f t="shared" si="14"/>
        <v>0</v>
      </c>
      <c r="AA6" s="3">
        <f>SUM(Z1:Z6)</f>
        <v>21704.237547200002</v>
      </c>
    </row>
    <row r="7" spans="1:27" ht="16.5" thickBot="1" x14ac:dyDescent="0.3">
      <c r="A7" s="9">
        <v>44809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65">
        <f t="shared" si="13"/>
        <v>0</v>
      </c>
      <c r="Z7" s="3">
        <f t="shared" si="14"/>
        <v>0</v>
      </c>
      <c r="AA7" s="3">
        <f>SUM(Z1:Z7)</f>
        <v>21704.237547200002</v>
      </c>
    </row>
    <row r="8" spans="1:27" ht="16.5" thickBot="1" x14ac:dyDescent="0.3">
      <c r="A8" s="9">
        <v>44810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65">
        <f t="shared" si="13"/>
        <v>0</v>
      </c>
      <c r="Z8" s="3">
        <f t="shared" si="14"/>
        <v>0</v>
      </c>
      <c r="AA8" s="3">
        <f>SUM(Z1:Z8)</f>
        <v>21704.237547200002</v>
      </c>
    </row>
    <row r="9" spans="1:27" ht="16.5" thickBot="1" x14ac:dyDescent="0.3">
      <c r="A9" s="9">
        <v>44811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65">
        <f t="shared" si="13"/>
        <v>0</v>
      </c>
      <c r="Z9" s="3">
        <f t="shared" si="14"/>
        <v>0</v>
      </c>
      <c r="AA9" s="3">
        <f>SUM(Z1:Z9)</f>
        <v>21704.237547200002</v>
      </c>
    </row>
    <row r="10" spans="1:27" ht="16.5" thickBot="1" x14ac:dyDescent="0.3">
      <c r="A10" s="9">
        <v>44812</v>
      </c>
      <c r="B10" s="38"/>
      <c r="C10" s="144"/>
      <c r="D10" s="38">
        <f>IF((C10-C9)&lt;0,"0",(C10-C9))*160</f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65">
        <f t="shared" si="13"/>
        <v>0</v>
      </c>
      <c r="Z10" s="3">
        <f t="shared" si="14"/>
        <v>0</v>
      </c>
      <c r="AA10" s="3">
        <f>SUM(Z1:Z10)</f>
        <v>21704.237547200002</v>
      </c>
    </row>
    <row r="11" spans="1:27" ht="15.75" customHeight="1" thickBot="1" x14ac:dyDescent="0.3">
      <c r="A11" s="9">
        <v>44813</v>
      </c>
      <c r="B11" s="38"/>
      <c r="C11" s="144"/>
      <c r="D11" s="38">
        <f>IF((C11-C10)&lt;0,"0",(C11-C10))*160</f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65">
        <f t="shared" si="13"/>
        <v>0</v>
      </c>
      <c r="Z11" s="3">
        <f t="shared" si="14"/>
        <v>0</v>
      </c>
      <c r="AA11" s="3">
        <f>SUM(Z1:Z11)</f>
        <v>21704.237547200002</v>
      </c>
    </row>
    <row r="12" spans="1:27" ht="16.5" thickBot="1" x14ac:dyDescent="0.3">
      <c r="A12" s="9">
        <v>44814</v>
      </c>
      <c r="B12" s="38"/>
      <c r="C12" s="144"/>
      <c r="D12" s="38">
        <f>IF((C12-C11)&lt;0,"0",(C12-C11))*160</f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65">
        <f t="shared" si="13"/>
        <v>0</v>
      </c>
      <c r="Z12" s="3">
        <f t="shared" si="14"/>
        <v>0</v>
      </c>
      <c r="AA12" s="3">
        <f>SUM(Z1:Z12)</f>
        <v>21704.237547200002</v>
      </c>
    </row>
    <row r="13" spans="1:27" ht="16.5" thickBot="1" x14ac:dyDescent="0.3">
      <c r="A13" s="9">
        <v>44815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si="11"/>
        <v>0</v>
      </c>
      <c r="X13" s="19">
        <f t="shared" ref="X13" si="25">K13+M13+O13+Q13+S13+U13+W13</f>
        <v>0</v>
      </c>
      <c r="Y13" s="165">
        <f t="shared" si="13"/>
        <v>0</v>
      </c>
      <c r="Z13" s="3">
        <f t="shared" ref="Z13" si="26">(0.93352*(W13+S13)+0.5568*(Q13+O13))*0.26</f>
        <v>0</v>
      </c>
      <c r="AA13" s="3">
        <f>SUM(Z1:Z13)</f>
        <v>21704.237547200002</v>
      </c>
    </row>
    <row r="14" spans="1:27" ht="16.5" thickBot="1" x14ac:dyDescent="0.3">
      <c r="A14" s="9">
        <v>44816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65">
        <f t="shared" si="13"/>
        <v>0</v>
      </c>
      <c r="Z14" s="3">
        <f t="shared" si="14"/>
        <v>0</v>
      </c>
      <c r="AA14" s="3">
        <f>SUM(Z1:Z14)</f>
        <v>21704.237547200002</v>
      </c>
    </row>
    <row r="15" spans="1:27" ht="16.5" thickBot="1" x14ac:dyDescent="0.3">
      <c r="A15" s="9">
        <v>44817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65">
        <f t="shared" si="13"/>
        <v>0</v>
      </c>
      <c r="Z15" s="3">
        <f t="shared" si="14"/>
        <v>0</v>
      </c>
      <c r="AA15" s="3">
        <f>SUM(Z1:Z15)</f>
        <v>21704.237547200002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21704.237547200002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21704.237547200002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21704.237547200002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21704.237547200002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21704.237547200002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21704.237547200002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21704.237547200002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21704.237547200002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21704.237547200002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21704.237547200002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21704.237547200002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21704.237547200002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21704.237547200002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21704.237547200002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21704.237547200002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21704.237547200002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21704.237547200002</v>
      </c>
    </row>
    <row r="33" spans="1:27" ht="16.5" thickBot="1" x14ac:dyDescent="0.3">
      <c r="A33" s="136" t="s">
        <v>23</v>
      </c>
      <c r="B33" s="136">
        <f>SUM(B2:B32)</f>
        <v>675</v>
      </c>
      <c r="C33" s="136">
        <v>0</v>
      </c>
      <c r="D33" s="136">
        <f>SUM(D2:D32)</f>
        <v>1120</v>
      </c>
      <c r="E33" s="55">
        <v>0</v>
      </c>
      <c r="F33" s="136">
        <f>SUM(F2:F32)</f>
        <v>50326</v>
      </c>
      <c r="G33" s="55">
        <v>0</v>
      </c>
      <c r="H33" s="136">
        <f>SUM(H2:H32)</f>
        <v>120743</v>
      </c>
      <c r="I33" s="136">
        <f t="shared" ref="I33" si="38">F33+H33</f>
        <v>171069</v>
      </c>
      <c r="J33" s="55">
        <v>0</v>
      </c>
      <c r="K33" s="136">
        <f>SUM(K2:K32)</f>
        <v>23964</v>
      </c>
      <c r="L33" s="55">
        <v>0</v>
      </c>
      <c r="M33" s="136">
        <f>SUM(M2:M32)</f>
        <v>13521</v>
      </c>
      <c r="N33" s="55">
        <v>0</v>
      </c>
      <c r="O33" s="136">
        <f>SUM(O2:O32)</f>
        <v>36486</v>
      </c>
      <c r="P33" s="55">
        <v>0</v>
      </c>
      <c r="Q33" s="136">
        <f>SUM(Q2:Q32)</f>
        <v>29792</v>
      </c>
      <c r="R33" s="55">
        <v>0</v>
      </c>
      <c r="S33" s="136">
        <f>SUM(S2:S32)</f>
        <v>24262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25629</v>
      </c>
      <c r="X33" s="136">
        <f>SUM(X2:X32)</f>
        <v>153654</v>
      </c>
      <c r="Y33" s="136">
        <f>SUM(Y1:Y32)</f>
        <v>17415</v>
      </c>
      <c r="Z33" s="136">
        <f>SUM(Z1:Z32)</f>
        <v>21704.237547200002</v>
      </c>
      <c r="AA33" s="136">
        <f>SUM(AA2:AA32)</f>
        <v>640915.74150240025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4" sqref="A4:XFD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/>
      <c r="C5" s="38">
        <f t="shared" si="2"/>
        <v>0</v>
      </c>
      <c r="D5" s="3"/>
      <c r="E5" s="38">
        <f t="shared" si="2"/>
        <v>0</v>
      </c>
      <c r="F5" s="3"/>
      <c r="G5" s="38">
        <f t="shared" ref="G5:G32" si="5">(IF((F5-F4)&lt;0,"0",(F5-F4)))*0.027</f>
        <v>0</v>
      </c>
      <c r="H5" s="3"/>
      <c r="I5" s="43">
        <f t="shared" ref="I5:I32" si="6">(IF((H5-H4)&lt;0,"0",(H5-H4)))*0.027</f>
        <v>0</v>
      </c>
      <c r="J5" s="19">
        <f t="shared" si="3"/>
        <v>0</v>
      </c>
      <c r="K5" s="20">
        <f t="shared" si="4"/>
        <v>0</v>
      </c>
    </row>
    <row r="6" spans="1:14" ht="16.5" thickBot="1" x14ac:dyDescent="0.3">
      <c r="A6" s="9">
        <v>44808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44809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44811</v>
      </c>
      <c r="B9" s="3"/>
      <c r="C9" s="38">
        <f t="shared" ref="C9:C32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44812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44813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44814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44815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44816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44817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2240</v>
      </c>
      <c r="D33" s="55"/>
      <c r="E33" s="55">
        <f>SUM(E2:E32)</f>
        <v>990</v>
      </c>
      <c r="F33" s="55"/>
      <c r="G33" s="55">
        <f>SUM(G2:G32)</f>
        <v>1142.0999999999999</v>
      </c>
      <c r="H33" s="55"/>
      <c r="I33" s="55">
        <f>SUM(I2:I32)</f>
        <v>7.9920000000000009</v>
      </c>
      <c r="J33" s="55">
        <v>0</v>
      </c>
      <c r="K33" s="55">
        <f>SUM(K3:K32)</f>
        <v>25667.339120000004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4" sqref="A4:XFD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v>2097</v>
      </c>
    </row>
    <row r="4" spans="1:9" ht="24" thickBot="1" x14ac:dyDescent="0.4">
      <c r="A4" s="9">
        <v>44775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44804</v>
      </c>
      <c r="B5" s="132"/>
      <c r="C5" s="44">
        <v>0</v>
      </c>
    </row>
    <row r="6" spans="1:9" ht="24" thickBot="1" x14ac:dyDescent="0.4">
      <c r="A6" s="9">
        <v>44808</v>
      </c>
      <c r="B6" s="132"/>
      <c r="C6" s="44">
        <f t="shared" si="0"/>
        <v>0</v>
      </c>
    </row>
    <row r="7" spans="1:9" ht="24" thickBot="1" x14ac:dyDescent="0.4">
      <c r="A7" s="9">
        <v>44809</v>
      </c>
      <c r="B7" s="132"/>
      <c r="C7" s="44">
        <f t="shared" si="0"/>
        <v>0</v>
      </c>
    </row>
    <row r="8" spans="1:9" ht="24" thickBot="1" x14ac:dyDescent="0.4">
      <c r="A8" s="9">
        <v>44810</v>
      </c>
      <c r="B8" s="132"/>
      <c r="C8" s="44">
        <f t="shared" si="0"/>
        <v>0</v>
      </c>
    </row>
    <row r="9" spans="1:9" ht="24" thickBot="1" x14ac:dyDescent="0.4">
      <c r="A9" s="9">
        <v>44811</v>
      </c>
      <c r="B9" s="132"/>
      <c r="C9" s="44">
        <f t="shared" si="0"/>
        <v>0</v>
      </c>
    </row>
    <row r="10" spans="1:9" ht="24" thickBot="1" x14ac:dyDescent="0.4">
      <c r="A10" s="9">
        <v>44812</v>
      </c>
      <c r="B10" s="132"/>
      <c r="C10" s="44">
        <f t="shared" si="0"/>
        <v>0</v>
      </c>
    </row>
    <row r="11" spans="1:9" ht="24" thickBot="1" x14ac:dyDescent="0.4">
      <c r="A11" s="9">
        <v>44813</v>
      </c>
      <c r="B11" s="132"/>
      <c r="C11" s="44">
        <f t="shared" si="0"/>
        <v>0</v>
      </c>
    </row>
    <row r="12" spans="1:9" ht="24" thickBot="1" x14ac:dyDescent="0.4">
      <c r="A12" s="9">
        <v>44814</v>
      </c>
      <c r="B12" s="132"/>
      <c r="C12" s="44">
        <f t="shared" si="0"/>
        <v>0</v>
      </c>
    </row>
    <row r="13" spans="1:9" ht="24" thickBot="1" x14ac:dyDescent="0.4">
      <c r="A13" s="9">
        <v>44815</v>
      </c>
      <c r="B13" s="132"/>
      <c r="C13" s="44">
        <f t="shared" si="0"/>
        <v>0</v>
      </c>
    </row>
    <row r="14" spans="1:9" ht="24" thickBot="1" x14ac:dyDescent="0.4">
      <c r="A14" s="9">
        <v>44816</v>
      </c>
      <c r="B14" s="132"/>
      <c r="C14" s="44">
        <f t="shared" si="0"/>
        <v>0</v>
      </c>
    </row>
    <row r="15" spans="1:9" ht="24" thickBot="1" x14ac:dyDescent="0.4">
      <c r="A15" s="9">
        <v>44817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44818</v>
      </c>
      <c r="B16" s="132"/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/>
      <c r="C17" s="44">
        <f t="shared" si="0"/>
        <v>0</v>
      </c>
    </row>
    <row r="18" spans="1:9" ht="24" thickBot="1" x14ac:dyDescent="0.4">
      <c r="A18" s="9">
        <v>44820</v>
      </c>
      <c r="B18" s="132"/>
      <c r="C18" s="44">
        <f t="shared" si="0"/>
        <v>0</v>
      </c>
      <c r="I18" s="34"/>
    </row>
    <row r="19" spans="1:9" ht="24" thickBot="1" x14ac:dyDescent="0.4">
      <c r="A19" s="9">
        <v>44821</v>
      </c>
      <c r="B19" s="132"/>
      <c r="C19" s="44">
        <f t="shared" si="0"/>
        <v>0</v>
      </c>
    </row>
    <row r="20" spans="1:9" ht="24" thickBot="1" x14ac:dyDescent="0.4">
      <c r="A20" s="9">
        <v>44822</v>
      </c>
      <c r="B20" s="132"/>
      <c r="C20" s="44">
        <f t="shared" si="0"/>
        <v>0</v>
      </c>
    </row>
    <row r="21" spans="1:9" ht="24" thickBot="1" x14ac:dyDescent="0.4">
      <c r="A21" s="9">
        <v>44823</v>
      </c>
      <c r="B21" s="132"/>
      <c r="C21" s="44">
        <f t="shared" si="0"/>
        <v>0</v>
      </c>
    </row>
    <row r="22" spans="1:9" ht="24" thickBot="1" x14ac:dyDescent="0.4">
      <c r="A22" s="9">
        <v>44824</v>
      </c>
      <c r="B22" s="132"/>
      <c r="C22" s="44">
        <f t="shared" si="0"/>
        <v>0</v>
      </c>
    </row>
    <row r="23" spans="1:9" ht="24" thickBot="1" x14ac:dyDescent="0.4">
      <c r="A23" s="9">
        <v>44825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/>
      <c r="C25" s="44">
        <f t="shared" si="0"/>
        <v>0</v>
      </c>
    </row>
    <row r="26" spans="1:9" ht="24" thickBot="1" x14ac:dyDescent="0.4">
      <c r="A26" s="9">
        <v>44828</v>
      </c>
      <c r="B26" s="132"/>
      <c r="C26" s="44">
        <f t="shared" si="0"/>
        <v>0</v>
      </c>
    </row>
    <row r="27" spans="1:9" ht="24" thickBot="1" x14ac:dyDescent="0.4">
      <c r="A27" s="9">
        <v>44829</v>
      </c>
      <c r="B27" s="132"/>
      <c r="C27" s="44">
        <f t="shared" si="0"/>
        <v>0</v>
      </c>
    </row>
    <row r="28" spans="1:9" ht="24" thickBot="1" x14ac:dyDescent="0.4">
      <c r="A28" s="9">
        <v>44830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/>
      <c r="C29" s="44">
        <f t="shared" si="0"/>
        <v>0</v>
      </c>
    </row>
    <row r="30" spans="1:9" ht="24" thickBot="1" x14ac:dyDescent="0.4">
      <c r="A30" s="9">
        <v>44832</v>
      </c>
      <c r="B30" s="132"/>
      <c r="C30" s="44">
        <f t="shared" si="0"/>
        <v>0</v>
      </c>
    </row>
    <row r="31" spans="1:9" ht="24" thickBot="1" x14ac:dyDescent="0.4">
      <c r="A31" s="9">
        <v>44833</v>
      </c>
      <c r="B31" s="132"/>
      <c r="C31" s="44">
        <f t="shared" si="0"/>
        <v>0</v>
      </c>
    </row>
    <row r="32" spans="1:9" ht="24" thickBot="1" x14ac:dyDescent="0.4">
      <c r="A32" s="9">
        <v>44834</v>
      </c>
      <c r="B32" s="132"/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v>2097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G4" sqref="A4:XFD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f t="shared" ref="B4:B32" si="34">B4</f>
        <v>24764.170999999998</v>
      </c>
      <c r="C5" s="43">
        <f t="shared" si="21"/>
        <v>0</v>
      </c>
      <c r="D5" s="28">
        <f t="shared" si="22"/>
        <v>0</v>
      </c>
      <c r="E5" s="1">
        <f t="shared" ref="E4:E32" si="35">E4</f>
        <v>4500.0150000000003</v>
      </c>
      <c r="F5" s="43">
        <f t="shared" si="23"/>
        <v>0</v>
      </c>
      <c r="G5" s="28">
        <f t="shared" si="24"/>
        <v>0</v>
      </c>
      <c r="H5" s="1">
        <f t="shared" ref="H4:H32" si="36">H4</f>
        <v>6007</v>
      </c>
      <c r="I5" s="43">
        <f t="shared" si="25"/>
        <v>0</v>
      </c>
      <c r="J5" s="28">
        <f t="shared" si="26"/>
        <v>0</v>
      </c>
      <c r="K5" s="7">
        <f t="shared" ref="K4:K32" si="37">K4</f>
        <v>14203</v>
      </c>
      <c r="L5" s="43">
        <f t="shared" si="27"/>
        <v>0</v>
      </c>
      <c r="M5" s="28">
        <f t="shared" si="28"/>
        <v>0</v>
      </c>
      <c r="N5" s="7">
        <f t="shared" ref="N4:N32" si="38">N4</f>
        <v>3726.6350000000002</v>
      </c>
      <c r="O5" s="43">
        <f t="shared" si="29"/>
        <v>0</v>
      </c>
      <c r="P5" s="28">
        <f t="shared" si="30"/>
        <v>0</v>
      </c>
      <c r="Q5" s="7">
        <f t="shared" ref="Q4:Q32" si="39">Q4</f>
        <v>5510.81</v>
      </c>
      <c r="R5" s="43">
        <f t="shared" si="31"/>
        <v>0</v>
      </c>
      <c r="S5" s="28">
        <f t="shared" si="32"/>
        <v>0</v>
      </c>
      <c r="T5" s="8">
        <f>C5+F5+I5+L5+O5+R5</f>
        <v>0</v>
      </c>
      <c r="U5" s="30">
        <f t="shared" si="33"/>
        <v>0</v>
      </c>
      <c r="W5" s="154">
        <v>44807</v>
      </c>
      <c r="X5" s="155">
        <f t="shared" ref="X4:X32" si="40">X4</f>
        <v>204529</v>
      </c>
      <c r="Y5" s="160">
        <f t="shared" si="20"/>
        <v>0</v>
      </c>
      <c r="Z5" s="155">
        <f t="shared" ref="Z4:Z32" si="41">Z4</f>
        <v>9892</v>
      </c>
      <c r="AA5" s="160">
        <f t="shared" si="20"/>
        <v>0</v>
      </c>
      <c r="AB5" s="155">
        <f t="shared" ref="AB4:AB32" si="42">AB4</f>
        <v>33.700000000000003</v>
      </c>
      <c r="AC5" s="160">
        <f t="shared" si="20"/>
        <v>0</v>
      </c>
      <c r="AD5" s="155">
        <f t="shared" ref="AD4:AD32" si="43">AD4</f>
        <v>661</v>
      </c>
      <c r="AE5" s="160">
        <f t="shared" si="20"/>
        <v>0</v>
      </c>
      <c r="AF5" s="155">
        <f t="shared" ref="AF4:AF32" si="44">AF4</f>
        <v>8867</v>
      </c>
      <c r="AG5" s="160">
        <f t="shared" si="20"/>
        <v>0</v>
      </c>
    </row>
    <row r="6" spans="1:33" ht="16.5" thickBot="1" x14ac:dyDescent="0.25">
      <c r="A6" s="9">
        <v>44808</v>
      </c>
      <c r="B6" s="157">
        <f t="shared" si="34"/>
        <v>24764.170999999998</v>
      </c>
      <c r="C6" s="43">
        <f t="shared" si="21"/>
        <v>0</v>
      </c>
      <c r="D6" s="28">
        <f t="shared" si="22"/>
        <v>0</v>
      </c>
      <c r="E6" s="1">
        <f t="shared" si="35"/>
        <v>4500.0150000000003</v>
      </c>
      <c r="F6" s="43">
        <f t="shared" si="23"/>
        <v>0</v>
      </c>
      <c r="G6" s="28">
        <f t="shared" si="24"/>
        <v>0</v>
      </c>
      <c r="H6" s="1">
        <f t="shared" si="36"/>
        <v>6007</v>
      </c>
      <c r="I6" s="43">
        <f t="shared" si="25"/>
        <v>0</v>
      </c>
      <c r="J6" s="28">
        <f t="shared" si="26"/>
        <v>0</v>
      </c>
      <c r="K6" s="7">
        <f t="shared" si="37"/>
        <v>14203</v>
      </c>
      <c r="L6" s="43">
        <f t="shared" si="27"/>
        <v>0</v>
      </c>
      <c r="M6" s="28">
        <f t="shared" si="28"/>
        <v>0</v>
      </c>
      <c r="N6" s="7">
        <f t="shared" si="38"/>
        <v>3726.6350000000002</v>
      </c>
      <c r="O6" s="43">
        <f t="shared" si="29"/>
        <v>0</v>
      </c>
      <c r="P6" s="28">
        <f t="shared" si="30"/>
        <v>0</v>
      </c>
      <c r="Q6" s="7">
        <f t="shared" si="39"/>
        <v>5510.81</v>
      </c>
      <c r="R6" s="43">
        <f t="shared" si="31"/>
        <v>0</v>
      </c>
      <c r="S6" s="28">
        <f t="shared" si="32"/>
        <v>0</v>
      </c>
      <c r="T6" s="8">
        <f t="shared" ref="T6:T32" si="45">C6+F6+I6+L6+O6+R6</f>
        <v>0</v>
      </c>
      <c r="U6" s="30">
        <f t="shared" si="33"/>
        <v>0</v>
      </c>
      <c r="W6" s="154">
        <v>44808</v>
      </c>
      <c r="X6" s="155">
        <f t="shared" si="40"/>
        <v>204529</v>
      </c>
      <c r="Y6" s="160">
        <f t="shared" si="20"/>
        <v>0</v>
      </c>
      <c r="Z6" s="155">
        <f t="shared" si="41"/>
        <v>9892</v>
      </c>
      <c r="AA6" s="160">
        <f t="shared" si="20"/>
        <v>0</v>
      </c>
      <c r="AB6" s="155">
        <f t="shared" si="42"/>
        <v>33.700000000000003</v>
      </c>
      <c r="AC6" s="160">
        <f t="shared" si="20"/>
        <v>0</v>
      </c>
      <c r="AD6" s="155">
        <f t="shared" si="43"/>
        <v>661</v>
      </c>
      <c r="AE6" s="160">
        <f t="shared" si="20"/>
        <v>0</v>
      </c>
      <c r="AF6" s="155">
        <f t="shared" si="44"/>
        <v>8867</v>
      </c>
      <c r="AG6" s="160">
        <f t="shared" si="20"/>
        <v>0</v>
      </c>
    </row>
    <row r="7" spans="1:33" ht="16.5" thickBot="1" x14ac:dyDescent="0.25">
      <c r="A7" s="9">
        <v>44809</v>
      </c>
      <c r="B7" s="157">
        <f t="shared" si="34"/>
        <v>24764.170999999998</v>
      </c>
      <c r="C7" s="43">
        <f t="shared" si="21"/>
        <v>0</v>
      </c>
      <c r="D7" s="28">
        <f t="shared" si="22"/>
        <v>0</v>
      </c>
      <c r="E7" s="1">
        <f t="shared" si="35"/>
        <v>4500.0150000000003</v>
      </c>
      <c r="F7" s="43">
        <f t="shared" si="23"/>
        <v>0</v>
      </c>
      <c r="G7" s="28">
        <f t="shared" si="24"/>
        <v>0</v>
      </c>
      <c r="H7" s="1">
        <f t="shared" si="36"/>
        <v>6007</v>
      </c>
      <c r="I7" s="43">
        <f t="shared" si="25"/>
        <v>0</v>
      </c>
      <c r="J7" s="28">
        <f t="shared" si="26"/>
        <v>0</v>
      </c>
      <c r="K7" s="7">
        <f t="shared" si="37"/>
        <v>14203</v>
      </c>
      <c r="L7" s="43">
        <f t="shared" si="27"/>
        <v>0</v>
      </c>
      <c r="M7" s="28">
        <f t="shared" si="28"/>
        <v>0</v>
      </c>
      <c r="N7" s="7">
        <f t="shared" si="38"/>
        <v>3726.6350000000002</v>
      </c>
      <c r="O7" s="43">
        <f t="shared" si="29"/>
        <v>0</v>
      </c>
      <c r="P7" s="28">
        <f t="shared" si="30"/>
        <v>0</v>
      </c>
      <c r="Q7" s="7">
        <f t="shared" si="39"/>
        <v>5510.81</v>
      </c>
      <c r="R7" s="43">
        <f t="shared" si="31"/>
        <v>0</v>
      </c>
      <c r="S7" s="28">
        <f t="shared" si="32"/>
        <v>0</v>
      </c>
      <c r="T7" s="8">
        <f t="shared" si="45"/>
        <v>0</v>
      </c>
      <c r="U7" s="30">
        <f t="shared" si="33"/>
        <v>0</v>
      </c>
      <c r="W7" s="154">
        <v>44809</v>
      </c>
      <c r="X7" s="155">
        <f t="shared" si="40"/>
        <v>204529</v>
      </c>
      <c r="Y7" s="160">
        <f t="shared" si="20"/>
        <v>0</v>
      </c>
      <c r="Z7" s="155">
        <f t="shared" si="41"/>
        <v>9892</v>
      </c>
      <c r="AA7" s="160">
        <f t="shared" si="20"/>
        <v>0</v>
      </c>
      <c r="AB7" s="155">
        <f t="shared" si="42"/>
        <v>33.700000000000003</v>
      </c>
      <c r="AC7" s="160">
        <f t="shared" si="20"/>
        <v>0</v>
      </c>
      <c r="AD7" s="155">
        <f t="shared" si="43"/>
        <v>661</v>
      </c>
      <c r="AE7" s="160">
        <f t="shared" si="20"/>
        <v>0</v>
      </c>
      <c r="AF7" s="155">
        <f t="shared" si="44"/>
        <v>8867</v>
      </c>
      <c r="AG7" s="160">
        <f t="shared" si="20"/>
        <v>0</v>
      </c>
    </row>
    <row r="8" spans="1:33" ht="16.5" thickBot="1" x14ac:dyDescent="0.25">
      <c r="A8" s="9">
        <v>44810</v>
      </c>
      <c r="B8" s="157">
        <f t="shared" si="34"/>
        <v>24764.170999999998</v>
      </c>
      <c r="C8" s="43">
        <f t="shared" si="21"/>
        <v>0</v>
      </c>
      <c r="D8" s="28">
        <f t="shared" si="22"/>
        <v>0</v>
      </c>
      <c r="E8" s="1">
        <f t="shared" si="35"/>
        <v>4500.0150000000003</v>
      </c>
      <c r="F8" s="43">
        <f t="shared" si="23"/>
        <v>0</v>
      </c>
      <c r="G8" s="28">
        <f t="shared" si="24"/>
        <v>0</v>
      </c>
      <c r="H8" s="1">
        <f t="shared" si="36"/>
        <v>6007</v>
      </c>
      <c r="I8" s="43">
        <f t="shared" si="25"/>
        <v>0</v>
      </c>
      <c r="J8" s="28">
        <f t="shared" si="26"/>
        <v>0</v>
      </c>
      <c r="K8" s="7">
        <f t="shared" si="37"/>
        <v>14203</v>
      </c>
      <c r="L8" s="43">
        <f t="shared" si="27"/>
        <v>0</v>
      </c>
      <c r="M8" s="28">
        <f t="shared" si="28"/>
        <v>0</v>
      </c>
      <c r="N8" s="7">
        <f t="shared" si="38"/>
        <v>3726.6350000000002</v>
      </c>
      <c r="O8" s="43">
        <f t="shared" si="29"/>
        <v>0</v>
      </c>
      <c r="P8" s="28">
        <f t="shared" si="30"/>
        <v>0</v>
      </c>
      <c r="Q8" s="7">
        <f t="shared" si="39"/>
        <v>5510.81</v>
      </c>
      <c r="R8" s="43">
        <f t="shared" si="31"/>
        <v>0</v>
      </c>
      <c r="S8" s="28">
        <f t="shared" si="32"/>
        <v>0</v>
      </c>
      <c r="T8" s="8">
        <f t="shared" si="45"/>
        <v>0</v>
      </c>
      <c r="U8" s="30">
        <f t="shared" si="33"/>
        <v>0</v>
      </c>
      <c r="W8" s="154">
        <v>44810</v>
      </c>
      <c r="X8" s="155">
        <f t="shared" si="40"/>
        <v>204529</v>
      </c>
      <c r="Y8" s="160">
        <f t="shared" si="20"/>
        <v>0</v>
      </c>
      <c r="Z8" s="155">
        <f t="shared" si="41"/>
        <v>9892</v>
      </c>
      <c r="AA8" s="160">
        <f t="shared" si="20"/>
        <v>0</v>
      </c>
      <c r="AB8" s="155">
        <f t="shared" si="42"/>
        <v>33.700000000000003</v>
      </c>
      <c r="AC8" s="160">
        <f t="shared" si="20"/>
        <v>0</v>
      </c>
      <c r="AD8" s="155">
        <f t="shared" si="43"/>
        <v>661</v>
      </c>
      <c r="AE8" s="160">
        <f t="shared" si="20"/>
        <v>0</v>
      </c>
      <c r="AF8" s="155">
        <f t="shared" si="44"/>
        <v>8867</v>
      </c>
      <c r="AG8" s="160">
        <f t="shared" si="20"/>
        <v>0</v>
      </c>
    </row>
    <row r="9" spans="1:33" ht="16.5" thickBot="1" x14ac:dyDescent="0.25">
      <c r="A9" s="9">
        <v>44811</v>
      </c>
      <c r="B9" s="157">
        <f t="shared" si="34"/>
        <v>24764.170999999998</v>
      </c>
      <c r="C9" s="43">
        <f t="shared" si="21"/>
        <v>0</v>
      </c>
      <c r="D9" s="28">
        <f t="shared" si="22"/>
        <v>0</v>
      </c>
      <c r="E9" s="1">
        <f t="shared" si="35"/>
        <v>4500.0150000000003</v>
      </c>
      <c r="F9" s="43">
        <f t="shared" si="23"/>
        <v>0</v>
      </c>
      <c r="G9" s="28">
        <f t="shared" si="24"/>
        <v>0</v>
      </c>
      <c r="H9" s="1">
        <f t="shared" si="36"/>
        <v>6007</v>
      </c>
      <c r="I9" s="43">
        <f t="shared" si="25"/>
        <v>0</v>
      </c>
      <c r="J9" s="28">
        <f t="shared" si="26"/>
        <v>0</v>
      </c>
      <c r="K9" s="7">
        <f t="shared" si="37"/>
        <v>14203</v>
      </c>
      <c r="L9" s="43">
        <f t="shared" si="27"/>
        <v>0</v>
      </c>
      <c r="M9" s="28">
        <f t="shared" si="28"/>
        <v>0</v>
      </c>
      <c r="N9" s="7">
        <f t="shared" si="38"/>
        <v>3726.6350000000002</v>
      </c>
      <c r="O9" s="43">
        <f t="shared" si="29"/>
        <v>0</v>
      </c>
      <c r="P9" s="28">
        <f t="shared" si="30"/>
        <v>0</v>
      </c>
      <c r="Q9" s="7">
        <f t="shared" si="39"/>
        <v>5510.81</v>
      </c>
      <c r="R9" s="43">
        <f t="shared" si="31"/>
        <v>0</v>
      </c>
      <c r="S9" s="28">
        <f t="shared" si="32"/>
        <v>0</v>
      </c>
      <c r="T9" s="8">
        <f t="shared" si="45"/>
        <v>0</v>
      </c>
      <c r="U9" s="30">
        <f t="shared" si="33"/>
        <v>0</v>
      </c>
      <c r="W9" s="154">
        <v>44811</v>
      </c>
      <c r="X9" s="155">
        <f t="shared" si="40"/>
        <v>204529</v>
      </c>
      <c r="Y9" s="160">
        <f t="shared" si="20"/>
        <v>0</v>
      </c>
      <c r="Z9" s="155">
        <f t="shared" si="41"/>
        <v>9892</v>
      </c>
      <c r="AA9" s="160">
        <f t="shared" si="20"/>
        <v>0</v>
      </c>
      <c r="AB9" s="155">
        <f t="shared" si="42"/>
        <v>33.700000000000003</v>
      </c>
      <c r="AC9" s="160">
        <f t="shared" si="20"/>
        <v>0</v>
      </c>
      <c r="AD9" s="155">
        <f t="shared" si="43"/>
        <v>661</v>
      </c>
      <c r="AE9" s="160">
        <f t="shared" si="20"/>
        <v>0</v>
      </c>
      <c r="AF9" s="155">
        <f t="shared" si="44"/>
        <v>8867</v>
      </c>
      <c r="AG9" s="160">
        <f t="shared" si="20"/>
        <v>0</v>
      </c>
    </row>
    <row r="10" spans="1:33" ht="16.5" thickBot="1" x14ac:dyDescent="0.25">
      <c r="A10" s="9">
        <v>44812</v>
      </c>
      <c r="B10" s="157">
        <f t="shared" si="34"/>
        <v>24764.170999999998</v>
      </c>
      <c r="C10" s="43">
        <f t="shared" si="21"/>
        <v>0</v>
      </c>
      <c r="D10" s="28">
        <f t="shared" si="22"/>
        <v>0</v>
      </c>
      <c r="E10" s="1">
        <f t="shared" si="35"/>
        <v>4500.0150000000003</v>
      </c>
      <c r="F10" s="43">
        <f t="shared" si="23"/>
        <v>0</v>
      </c>
      <c r="G10" s="28">
        <f t="shared" si="24"/>
        <v>0</v>
      </c>
      <c r="H10" s="1">
        <f t="shared" si="36"/>
        <v>6007</v>
      </c>
      <c r="I10" s="43">
        <f t="shared" si="25"/>
        <v>0</v>
      </c>
      <c r="J10" s="28">
        <f t="shared" si="26"/>
        <v>0</v>
      </c>
      <c r="K10" s="7">
        <f t="shared" si="37"/>
        <v>14203</v>
      </c>
      <c r="L10" s="43">
        <f t="shared" si="27"/>
        <v>0</v>
      </c>
      <c r="M10" s="28">
        <f t="shared" si="28"/>
        <v>0</v>
      </c>
      <c r="N10" s="7">
        <f t="shared" si="38"/>
        <v>3726.6350000000002</v>
      </c>
      <c r="O10" s="43">
        <f>IF((N10-N9)&lt;0,"0",(N10-N9))</f>
        <v>0</v>
      </c>
      <c r="P10" s="28">
        <f t="shared" si="30"/>
        <v>0</v>
      </c>
      <c r="Q10" s="7">
        <f t="shared" si="39"/>
        <v>5510.81</v>
      </c>
      <c r="R10" s="43">
        <f t="shared" si="31"/>
        <v>0</v>
      </c>
      <c r="S10" s="28">
        <f t="shared" si="32"/>
        <v>0</v>
      </c>
      <c r="T10" s="8">
        <f t="shared" si="45"/>
        <v>0</v>
      </c>
      <c r="U10" s="30">
        <f t="shared" si="33"/>
        <v>0</v>
      </c>
      <c r="W10" s="154">
        <v>44812</v>
      </c>
      <c r="X10" s="155">
        <f t="shared" si="40"/>
        <v>204529</v>
      </c>
      <c r="Y10" s="160">
        <f t="shared" si="20"/>
        <v>0</v>
      </c>
      <c r="Z10" s="155">
        <f t="shared" si="41"/>
        <v>9892</v>
      </c>
      <c r="AA10" s="160">
        <f t="shared" si="20"/>
        <v>0</v>
      </c>
      <c r="AB10" s="155">
        <f t="shared" si="42"/>
        <v>33.700000000000003</v>
      </c>
      <c r="AC10" s="160">
        <f t="shared" si="20"/>
        <v>0</v>
      </c>
      <c r="AD10" s="155">
        <f t="shared" si="43"/>
        <v>661</v>
      </c>
      <c r="AE10" s="160">
        <f t="shared" si="20"/>
        <v>0</v>
      </c>
      <c r="AF10" s="155">
        <f t="shared" si="44"/>
        <v>8867</v>
      </c>
      <c r="AG10" s="160">
        <f t="shared" si="20"/>
        <v>0</v>
      </c>
    </row>
    <row r="11" spans="1:33" ht="16.5" thickBot="1" x14ac:dyDescent="0.25">
      <c r="A11" s="9">
        <v>44813</v>
      </c>
      <c r="B11" s="157">
        <f t="shared" si="34"/>
        <v>24764.170999999998</v>
      </c>
      <c r="C11" s="43">
        <f t="shared" si="21"/>
        <v>0</v>
      </c>
      <c r="D11" s="28">
        <f t="shared" si="22"/>
        <v>0</v>
      </c>
      <c r="E11" s="1">
        <f t="shared" si="35"/>
        <v>4500.0150000000003</v>
      </c>
      <c r="F11" s="43">
        <f t="shared" si="23"/>
        <v>0</v>
      </c>
      <c r="G11" s="28">
        <f t="shared" si="24"/>
        <v>0</v>
      </c>
      <c r="H11" s="1">
        <f t="shared" si="36"/>
        <v>6007</v>
      </c>
      <c r="I11" s="43">
        <f t="shared" si="25"/>
        <v>0</v>
      </c>
      <c r="J11" s="28">
        <f t="shared" si="26"/>
        <v>0</v>
      </c>
      <c r="K11" s="7">
        <f t="shared" si="37"/>
        <v>14203</v>
      </c>
      <c r="L11" s="43">
        <f t="shared" si="27"/>
        <v>0</v>
      </c>
      <c r="M11" s="28">
        <f t="shared" si="28"/>
        <v>0</v>
      </c>
      <c r="N11" s="7">
        <f t="shared" si="38"/>
        <v>3726.6350000000002</v>
      </c>
      <c r="O11" s="43">
        <f t="shared" si="29"/>
        <v>0</v>
      </c>
      <c r="P11" s="28">
        <f t="shared" si="30"/>
        <v>0</v>
      </c>
      <c r="Q11" s="7">
        <f t="shared" si="39"/>
        <v>5510.81</v>
      </c>
      <c r="R11" s="43">
        <f t="shared" si="31"/>
        <v>0</v>
      </c>
      <c r="S11" s="28">
        <f t="shared" si="32"/>
        <v>0</v>
      </c>
      <c r="T11" s="8">
        <f t="shared" si="45"/>
        <v>0</v>
      </c>
      <c r="U11" s="30">
        <f t="shared" si="33"/>
        <v>0</v>
      </c>
      <c r="W11" s="154">
        <v>44813</v>
      </c>
      <c r="X11" s="155">
        <f t="shared" si="40"/>
        <v>204529</v>
      </c>
      <c r="Y11" s="160">
        <f t="shared" si="20"/>
        <v>0</v>
      </c>
      <c r="Z11" s="155">
        <f t="shared" si="41"/>
        <v>9892</v>
      </c>
      <c r="AA11" s="160">
        <f t="shared" si="20"/>
        <v>0</v>
      </c>
      <c r="AB11" s="155">
        <f t="shared" si="42"/>
        <v>33.700000000000003</v>
      </c>
      <c r="AC11" s="160">
        <f t="shared" si="20"/>
        <v>0</v>
      </c>
      <c r="AD11" s="155">
        <f t="shared" si="43"/>
        <v>661</v>
      </c>
      <c r="AE11" s="160">
        <f t="shared" si="20"/>
        <v>0</v>
      </c>
      <c r="AF11" s="155">
        <f t="shared" si="44"/>
        <v>8867</v>
      </c>
      <c r="AG11" s="160">
        <f t="shared" si="20"/>
        <v>0</v>
      </c>
    </row>
    <row r="12" spans="1:33" ht="16.5" thickBot="1" x14ac:dyDescent="0.25">
      <c r="A12" s="9">
        <v>44814</v>
      </c>
      <c r="B12" s="157">
        <f t="shared" si="34"/>
        <v>24764.170999999998</v>
      </c>
      <c r="C12" s="43">
        <f t="shared" si="21"/>
        <v>0</v>
      </c>
      <c r="D12" s="28">
        <f t="shared" si="22"/>
        <v>0</v>
      </c>
      <c r="E12" s="1">
        <f t="shared" si="35"/>
        <v>4500.0150000000003</v>
      </c>
      <c r="F12" s="43">
        <f t="shared" si="23"/>
        <v>0</v>
      </c>
      <c r="G12" s="28">
        <f t="shared" si="24"/>
        <v>0</v>
      </c>
      <c r="H12" s="1">
        <f t="shared" si="36"/>
        <v>6007</v>
      </c>
      <c r="I12" s="43">
        <f t="shared" si="25"/>
        <v>0</v>
      </c>
      <c r="J12" s="28">
        <f t="shared" si="26"/>
        <v>0</v>
      </c>
      <c r="K12" s="7">
        <f t="shared" si="37"/>
        <v>14203</v>
      </c>
      <c r="L12" s="43">
        <f t="shared" si="27"/>
        <v>0</v>
      </c>
      <c r="M12" s="28">
        <f t="shared" si="28"/>
        <v>0</v>
      </c>
      <c r="N12" s="7">
        <f t="shared" si="38"/>
        <v>3726.6350000000002</v>
      </c>
      <c r="O12" s="43">
        <f t="shared" si="29"/>
        <v>0</v>
      </c>
      <c r="P12" s="28">
        <f t="shared" si="30"/>
        <v>0</v>
      </c>
      <c r="Q12" s="7">
        <f t="shared" si="39"/>
        <v>5510.81</v>
      </c>
      <c r="R12" s="43">
        <f t="shared" si="31"/>
        <v>0</v>
      </c>
      <c r="S12" s="28">
        <f t="shared" si="32"/>
        <v>0</v>
      </c>
      <c r="T12" s="8">
        <f t="shared" si="45"/>
        <v>0</v>
      </c>
      <c r="U12" s="30">
        <f t="shared" si="33"/>
        <v>0</v>
      </c>
      <c r="W12" s="154">
        <v>44814</v>
      </c>
      <c r="X12" s="155">
        <f t="shared" si="40"/>
        <v>204529</v>
      </c>
      <c r="Y12" s="160">
        <f t="shared" si="20"/>
        <v>0</v>
      </c>
      <c r="Z12" s="155">
        <f t="shared" si="41"/>
        <v>9892</v>
      </c>
      <c r="AA12" s="160">
        <f t="shared" si="20"/>
        <v>0</v>
      </c>
      <c r="AB12" s="155">
        <f t="shared" si="42"/>
        <v>33.700000000000003</v>
      </c>
      <c r="AC12" s="160">
        <f t="shared" si="20"/>
        <v>0</v>
      </c>
      <c r="AD12" s="155">
        <f t="shared" si="43"/>
        <v>661</v>
      </c>
      <c r="AE12" s="160">
        <f t="shared" si="20"/>
        <v>0</v>
      </c>
      <c r="AF12" s="155">
        <f t="shared" si="44"/>
        <v>8867</v>
      </c>
      <c r="AG12" s="160">
        <f t="shared" si="20"/>
        <v>0</v>
      </c>
    </row>
    <row r="13" spans="1:33" ht="16.5" thickBot="1" x14ac:dyDescent="0.25">
      <c r="A13" s="9">
        <v>44815</v>
      </c>
      <c r="B13" s="157">
        <f t="shared" si="34"/>
        <v>24764.170999999998</v>
      </c>
      <c r="C13" s="43">
        <f t="shared" si="21"/>
        <v>0</v>
      </c>
      <c r="D13" s="28">
        <f t="shared" si="22"/>
        <v>0</v>
      </c>
      <c r="E13" s="1">
        <f t="shared" si="35"/>
        <v>4500.0150000000003</v>
      </c>
      <c r="F13" s="43">
        <f t="shared" si="23"/>
        <v>0</v>
      </c>
      <c r="G13" s="28">
        <f t="shared" si="24"/>
        <v>0</v>
      </c>
      <c r="H13" s="1">
        <f t="shared" si="36"/>
        <v>6007</v>
      </c>
      <c r="I13" s="43">
        <f t="shared" si="25"/>
        <v>0</v>
      </c>
      <c r="J13" s="28">
        <f t="shared" si="26"/>
        <v>0</v>
      </c>
      <c r="K13" s="7">
        <f t="shared" si="37"/>
        <v>14203</v>
      </c>
      <c r="L13" s="43">
        <f t="shared" si="27"/>
        <v>0</v>
      </c>
      <c r="M13" s="28">
        <f t="shared" si="28"/>
        <v>0</v>
      </c>
      <c r="N13" s="7">
        <f t="shared" si="38"/>
        <v>3726.6350000000002</v>
      </c>
      <c r="O13" s="43">
        <f t="shared" si="29"/>
        <v>0</v>
      </c>
      <c r="P13" s="28">
        <f t="shared" si="30"/>
        <v>0</v>
      </c>
      <c r="Q13" s="7">
        <f t="shared" si="39"/>
        <v>5510.81</v>
      </c>
      <c r="R13" s="43">
        <f t="shared" si="31"/>
        <v>0</v>
      </c>
      <c r="S13" s="28">
        <f t="shared" si="32"/>
        <v>0</v>
      </c>
      <c r="T13" s="8">
        <f t="shared" si="45"/>
        <v>0</v>
      </c>
      <c r="U13" s="30">
        <f t="shared" si="33"/>
        <v>0</v>
      </c>
      <c r="W13" s="154">
        <v>44815</v>
      </c>
      <c r="X13" s="155">
        <f t="shared" si="40"/>
        <v>204529</v>
      </c>
      <c r="Y13" s="160">
        <f t="shared" si="20"/>
        <v>0</v>
      </c>
      <c r="Z13" s="155">
        <f t="shared" si="41"/>
        <v>9892</v>
      </c>
      <c r="AA13" s="160">
        <f t="shared" si="20"/>
        <v>0</v>
      </c>
      <c r="AB13" s="155">
        <f t="shared" si="42"/>
        <v>33.700000000000003</v>
      </c>
      <c r="AC13" s="160">
        <f t="shared" si="20"/>
        <v>0</v>
      </c>
      <c r="AD13" s="155">
        <f t="shared" si="43"/>
        <v>661</v>
      </c>
      <c r="AE13" s="160">
        <f t="shared" si="20"/>
        <v>0</v>
      </c>
      <c r="AF13" s="155">
        <f t="shared" si="44"/>
        <v>8867</v>
      </c>
      <c r="AG13" s="160">
        <f t="shared" si="20"/>
        <v>0</v>
      </c>
    </row>
    <row r="14" spans="1:33" ht="16.5" thickBot="1" x14ac:dyDescent="0.25">
      <c r="A14" s="9">
        <v>44816</v>
      </c>
      <c r="B14" s="157">
        <f t="shared" si="34"/>
        <v>24764.170999999998</v>
      </c>
      <c r="C14" s="43">
        <f t="shared" si="21"/>
        <v>0</v>
      </c>
      <c r="D14" s="28">
        <f t="shared" si="22"/>
        <v>0</v>
      </c>
      <c r="E14" s="1">
        <f t="shared" si="35"/>
        <v>4500.0150000000003</v>
      </c>
      <c r="F14" s="43">
        <f t="shared" si="23"/>
        <v>0</v>
      </c>
      <c r="G14" s="28">
        <f t="shared" si="24"/>
        <v>0</v>
      </c>
      <c r="H14" s="1">
        <f t="shared" si="36"/>
        <v>6007</v>
      </c>
      <c r="I14" s="43">
        <f t="shared" si="25"/>
        <v>0</v>
      </c>
      <c r="J14" s="28">
        <f t="shared" si="26"/>
        <v>0</v>
      </c>
      <c r="K14" s="7">
        <f t="shared" si="37"/>
        <v>14203</v>
      </c>
      <c r="L14" s="43">
        <f t="shared" si="27"/>
        <v>0</v>
      </c>
      <c r="M14" s="28">
        <f t="shared" si="28"/>
        <v>0</v>
      </c>
      <c r="N14" s="7">
        <f t="shared" si="38"/>
        <v>3726.6350000000002</v>
      </c>
      <c r="O14" s="43">
        <f>IF((N14-N13)&lt;0,"0",(N14-N13))</f>
        <v>0</v>
      </c>
      <c r="P14" s="28">
        <f t="shared" si="30"/>
        <v>0</v>
      </c>
      <c r="Q14" s="7">
        <f t="shared" si="39"/>
        <v>5510.81</v>
      </c>
      <c r="R14" s="43">
        <f t="shared" si="31"/>
        <v>0</v>
      </c>
      <c r="S14" s="28">
        <f t="shared" si="32"/>
        <v>0</v>
      </c>
      <c r="T14" s="8">
        <f t="shared" si="45"/>
        <v>0</v>
      </c>
      <c r="U14" s="30">
        <f t="shared" si="33"/>
        <v>0</v>
      </c>
      <c r="W14" s="154">
        <v>44816</v>
      </c>
      <c r="X14" s="155">
        <f t="shared" si="40"/>
        <v>204529</v>
      </c>
      <c r="Y14" s="160">
        <f t="shared" si="20"/>
        <v>0</v>
      </c>
      <c r="Z14" s="155">
        <f t="shared" si="41"/>
        <v>9892</v>
      </c>
      <c r="AA14" s="160">
        <f t="shared" si="20"/>
        <v>0</v>
      </c>
      <c r="AB14" s="155">
        <f t="shared" si="42"/>
        <v>33.700000000000003</v>
      </c>
      <c r="AC14" s="160">
        <f t="shared" si="20"/>
        <v>0</v>
      </c>
      <c r="AD14" s="155">
        <f t="shared" si="43"/>
        <v>661</v>
      </c>
      <c r="AE14" s="160">
        <f t="shared" si="20"/>
        <v>0</v>
      </c>
      <c r="AF14" s="155">
        <f t="shared" si="44"/>
        <v>8867</v>
      </c>
      <c r="AG14" s="160">
        <f t="shared" si="20"/>
        <v>0</v>
      </c>
    </row>
    <row r="15" spans="1:33" ht="16.5" thickBot="1" x14ac:dyDescent="0.25">
      <c r="A15" s="9">
        <v>44817</v>
      </c>
      <c r="B15" s="157">
        <f t="shared" si="34"/>
        <v>24764.170999999998</v>
      </c>
      <c r="C15" s="43">
        <f t="shared" ref="C15" si="46">IF((B15-B14)&lt;0,"0",(B15-B14))</f>
        <v>0</v>
      </c>
      <c r="D15" s="28">
        <f t="shared" ref="D15" si="47">C15*1.9*1000</f>
        <v>0</v>
      </c>
      <c r="E15" s="1">
        <f t="shared" si="35"/>
        <v>4500.0150000000003</v>
      </c>
      <c r="F15" s="43">
        <f t="shared" ref="F15" si="48">IF((E15-E14)&lt;0,"0",(E15-E14))</f>
        <v>0</v>
      </c>
      <c r="G15" s="28">
        <f t="shared" ref="G15" si="49">F15*1.9*1000</f>
        <v>0</v>
      </c>
      <c r="H15" s="1">
        <f t="shared" si="36"/>
        <v>6007</v>
      </c>
      <c r="I15" s="43">
        <f t="shared" ref="I15" si="50">IF((H15-H14)&lt;0,"0",(H15-H14))</f>
        <v>0</v>
      </c>
      <c r="J15" s="28">
        <f t="shared" ref="J15" si="51">I15*1.9*1000</f>
        <v>0</v>
      </c>
      <c r="K15" s="7">
        <f t="shared" si="37"/>
        <v>14203</v>
      </c>
      <c r="L15" s="43">
        <f t="shared" ref="L15" si="52">IF((K15-K14)&lt;0,"0",(K15-K14))</f>
        <v>0</v>
      </c>
      <c r="M15" s="28">
        <f t="shared" ref="M15" si="53">L15*1.9*1000</f>
        <v>0</v>
      </c>
      <c r="N15" s="7">
        <f t="shared" si="38"/>
        <v>3726.6350000000002</v>
      </c>
      <c r="O15" s="43">
        <f>IF((N15-N14)&lt;0,"0",(N15-N14))</f>
        <v>0</v>
      </c>
      <c r="P15" s="28">
        <f t="shared" ref="P15" si="54">O15*1.9*1000</f>
        <v>0</v>
      </c>
      <c r="Q15" s="7">
        <f t="shared" si="39"/>
        <v>5510.81</v>
      </c>
      <c r="R15" s="43">
        <f t="shared" ref="R15" si="55">IF((Q15-Q14)&lt;0,"0",(Q15-Q14))</f>
        <v>0</v>
      </c>
      <c r="S15" s="28">
        <f t="shared" ref="S15" si="56">R15*1.9*1000</f>
        <v>0</v>
      </c>
      <c r="T15" s="8">
        <f t="shared" ref="T15" si="57">C15+F15+I15+L15+O15+R15</f>
        <v>0</v>
      </c>
      <c r="U15" s="30">
        <f t="shared" ref="U15" si="58">T15*1.9*1000</f>
        <v>0</v>
      </c>
      <c r="W15" s="154">
        <v>44817</v>
      </c>
      <c r="X15" s="155">
        <f t="shared" si="40"/>
        <v>204529</v>
      </c>
      <c r="Y15" s="160">
        <f t="shared" si="20"/>
        <v>0</v>
      </c>
      <c r="Z15" s="155">
        <f t="shared" si="41"/>
        <v>9892</v>
      </c>
      <c r="AA15" s="160">
        <f t="shared" si="20"/>
        <v>0</v>
      </c>
      <c r="AB15" s="155">
        <f t="shared" si="42"/>
        <v>33.700000000000003</v>
      </c>
      <c r="AC15" s="160">
        <f t="shared" si="20"/>
        <v>0</v>
      </c>
      <c r="AD15" s="155">
        <f t="shared" si="43"/>
        <v>661</v>
      </c>
      <c r="AE15" s="160">
        <f t="shared" si="20"/>
        <v>0</v>
      </c>
      <c r="AF15" s="155">
        <f t="shared" si="44"/>
        <v>8867</v>
      </c>
      <c r="AG15" s="160">
        <f t="shared" si="20"/>
        <v>0</v>
      </c>
    </row>
    <row r="16" spans="1:33" ht="16.5" thickBot="1" x14ac:dyDescent="0.25">
      <c r="A16" s="9">
        <v>44818</v>
      </c>
      <c r="B16" s="157">
        <f t="shared" si="34"/>
        <v>24764.170999999998</v>
      </c>
      <c r="C16" s="43">
        <f t="shared" si="21"/>
        <v>0</v>
      </c>
      <c r="D16" s="28">
        <f t="shared" si="22"/>
        <v>0</v>
      </c>
      <c r="E16" s="1">
        <f t="shared" si="35"/>
        <v>4500.0150000000003</v>
      </c>
      <c r="F16" s="43">
        <f t="shared" si="23"/>
        <v>0</v>
      </c>
      <c r="G16" s="28">
        <f t="shared" si="24"/>
        <v>0</v>
      </c>
      <c r="H16" s="1">
        <f t="shared" si="36"/>
        <v>6007</v>
      </c>
      <c r="I16" s="43">
        <f t="shared" si="25"/>
        <v>0</v>
      </c>
      <c r="J16" s="28">
        <f t="shared" si="26"/>
        <v>0</v>
      </c>
      <c r="K16" s="7">
        <f t="shared" si="37"/>
        <v>14203</v>
      </c>
      <c r="L16" s="43">
        <f t="shared" si="27"/>
        <v>0</v>
      </c>
      <c r="M16" s="28">
        <f t="shared" si="28"/>
        <v>0</v>
      </c>
      <c r="N16" s="7">
        <f t="shared" si="38"/>
        <v>3726.6350000000002</v>
      </c>
      <c r="O16" s="43">
        <f t="shared" si="29"/>
        <v>0</v>
      </c>
      <c r="P16" s="28">
        <f t="shared" si="30"/>
        <v>0</v>
      </c>
      <c r="Q16" s="7">
        <f t="shared" si="39"/>
        <v>5510.81</v>
      </c>
      <c r="R16" s="43">
        <f t="shared" si="31"/>
        <v>0</v>
      </c>
      <c r="S16" s="28">
        <f t="shared" si="32"/>
        <v>0</v>
      </c>
      <c r="T16" s="8">
        <f t="shared" si="45"/>
        <v>0</v>
      </c>
      <c r="U16" s="30">
        <f t="shared" si="33"/>
        <v>0</v>
      </c>
      <c r="W16" s="154">
        <v>44818</v>
      </c>
      <c r="X16" s="155">
        <f t="shared" si="40"/>
        <v>204529</v>
      </c>
      <c r="Y16" s="160">
        <f t="shared" si="20"/>
        <v>0</v>
      </c>
      <c r="Z16" s="155">
        <f t="shared" si="41"/>
        <v>9892</v>
      </c>
      <c r="AA16" s="160">
        <f t="shared" si="20"/>
        <v>0</v>
      </c>
      <c r="AB16" s="155">
        <f t="shared" si="42"/>
        <v>33.700000000000003</v>
      </c>
      <c r="AC16" s="160">
        <f t="shared" si="20"/>
        <v>0</v>
      </c>
      <c r="AD16" s="155">
        <f t="shared" si="43"/>
        <v>661</v>
      </c>
      <c r="AE16" s="160">
        <f t="shared" si="20"/>
        <v>0</v>
      </c>
      <c r="AF16" s="155">
        <f t="shared" si="44"/>
        <v>8867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34"/>
        <v>24764.170999999998</v>
      </c>
      <c r="C17" s="43">
        <f t="shared" si="21"/>
        <v>0</v>
      </c>
      <c r="D17" s="28">
        <f t="shared" si="22"/>
        <v>0</v>
      </c>
      <c r="E17" s="1">
        <f t="shared" si="35"/>
        <v>4500.0150000000003</v>
      </c>
      <c r="F17" s="43">
        <f t="shared" si="23"/>
        <v>0</v>
      </c>
      <c r="G17" s="28">
        <f t="shared" si="24"/>
        <v>0</v>
      </c>
      <c r="H17" s="1">
        <f t="shared" si="36"/>
        <v>6007</v>
      </c>
      <c r="I17" s="43">
        <f t="shared" si="25"/>
        <v>0</v>
      </c>
      <c r="J17" s="28">
        <f t="shared" si="26"/>
        <v>0</v>
      </c>
      <c r="K17" s="7">
        <f t="shared" si="37"/>
        <v>14203</v>
      </c>
      <c r="L17" s="43">
        <f t="shared" si="27"/>
        <v>0</v>
      </c>
      <c r="M17" s="28">
        <f t="shared" si="28"/>
        <v>0</v>
      </c>
      <c r="N17" s="7">
        <f t="shared" si="38"/>
        <v>3726.6350000000002</v>
      </c>
      <c r="O17" s="43">
        <f t="shared" si="29"/>
        <v>0</v>
      </c>
      <c r="P17" s="28">
        <f t="shared" si="30"/>
        <v>0</v>
      </c>
      <c r="Q17" s="7">
        <f t="shared" si="39"/>
        <v>5510.81</v>
      </c>
      <c r="R17" s="43">
        <f t="shared" si="31"/>
        <v>0</v>
      </c>
      <c r="S17" s="28">
        <f t="shared" si="32"/>
        <v>0</v>
      </c>
      <c r="T17" s="8">
        <f t="shared" si="45"/>
        <v>0</v>
      </c>
      <c r="U17" s="30">
        <f t="shared" si="33"/>
        <v>0</v>
      </c>
      <c r="W17" s="154">
        <v>44819</v>
      </c>
      <c r="X17" s="155">
        <f t="shared" si="40"/>
        <v>204529</v>
      </c>
      <c r="Y17" s="160">
        <f t="shared" si="20"/>
        <v>0</v>
      </c>
      <c r="Z17" s="155">
        <f t="shared" si="41"/>
        <v>9892</v>
      </c>
      <c r="AA17" s="160">
        <f t="shared" si="20"/>
        <v>0</v>
      </c>
      <c r="AB17" s="155">
        <f t="shared" si="42"/>
        <v>33.700000000000003</v>
      </c>
      <c r="AC17" s="160">
        <f t="shared" si="20"/>
        <v>0</v>
      </c>
      <c r="AD17" s="155">
        <f t="shared" si="43"/>
        <v>661</v>
      </c>
      <c r="AE17" s="160">
        <f t="shared" si="20"/>
        <v>0</v>
      </c>
      <c r="AF17" s="155">
        <f t="shared" si="44"/>
        <v>8867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34"/>
        <v>24764.170999999998</v>
      </c>
      <c r="C18" s="43">
        <f t="shared" si="21"/>
        <v>0</v>
      </c>
      <c r="D18" s="28">
        <f t="shared" si="22"/>
        <v>0</v>
      </c>
      <c r="E18" s="1">
        <f t="shared" si="35"/>
        <v>4500.0150000000003</v>
      </c>
      <c r="F18" s="43">
        <f t="shared" si="23"/>
        <v>0</v>
      </c>
      <c r="G18" s="28">
        <f t="shared" si="24"/>
        <v>0</v>
      </c>
      <c r="H18" s="1">
        <f t="shared" si="36"/>
        <v>6007</v>
      </c>
      <c r="I18" s="43">
        <f t="shared" si="25"/>
        <v>0</v>
      </c>
      <c r="J18" s="28">
        <f t="shared" si="26"/>
        <v>0</v>
      </c>
      <c r="K18" s="7">
        <f t="shared" si="37"/>
        <v>14203</v>
      </c>
      <c r="L18" s="43">
        <f t="shared" si="27"/>
        <v>0</v>
      </c>
      <c r="M18" s="28">
        <f t="shared" si="28"/>
        <v>0</v>
      </c>
      <c r="N18" s="7">
        <f t="shared" si="38"/>
        <v>3726.6350000000002</v>
      </c>
      <c r="O18" s="43">
        <f t="shared" si="29"/>
        <v>0</v>
      </c>
      <c r="P18" s="28">
        <f t="shared" si="30"/>
        <v>0</v>
      </c>
      <c r="Q18" s="7">
        <f t="shared" si="39"/>
        <v>5510.81</v>
      </c>
      <c r="R18" s="43">
        <f t="shared" si="31"/>
        <v>0</v>
      </c>
      <c r="S18" s="28">
        <f t="shared" si="32"/>
        <v>0</v>
      </c>
      <c r="T18" s="8">
        <f t="shared" si="45"/>
        <v>0</v>
      </c>
      <c r="U18" s="30">
        <f t="shared" si="33"/>
        <v>0</v>
      </c>
      <c r="W18" s="154">
        <v>44820</v>
      </c>
      <c r="X18" s="155">
        <f t="shared" si="40"/>
        <v>204529</v>
      </c>
      <c r="Y18" s="160">
        <f t="shared" si="20"/>
        <v>0</v>
      </c>
      <c r="Z18" s="155">
        <f t="shared" si="41"/>
        <v>9892</v>
      </c>
      <c r="AA18" s="160">
        <f t="shared" si="20"/>
        <v>0</v>
      </c>
      <c r="AB18" s="155">
        <f t="shared" si="42"/>
        <v>33.700000000000003</v>
      </c>
      <c r="AC18" s="160">
        <f t="shared" si="20"/>
        <v>0</v>
      </c>
      <c r="AD18" s="155">
        <f t="shared" si="43"/>
        <v>661</v>
      </c>
      <c r="AE18" s="160">
        <f t="shared" si="20"/>
        <v>0</v>
      </c>
      <c r="AF18" s="155">
        <f t="shared" si="44"/>
        <v>8867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34"/>
        <v>24764.170999999998</v>
      </c>
      <c r="C19" s="43">
        <f t="shared" si="21"/>
        <v>0</v>
      </c>
      <c r="D19" s="28">
        <f t="shared" si="22"/>
        <v>0</v>
      </c>
      <c r="E19" s="1">
        <f t="shared" si="35"/>
        <v>4500.0150000000003</v>
      </c>
      <c r="F19" s="43">
        <f t="shared" si="23"/>
        <v>0</v>
      </c>
      <c r="G19" s="28">
        <f t="shared" si="24"/>
        <v>0</v>
      </c>
      <c r="H19" s="1">
        <f t="shared" si="36"/>
        <v>6007</v>
      </c>
      <c r="I19" s="43">
        <f t="shared" si="25"/>
        <v>0</v>
      </c>
      <c r="J19" s="28">
        <f t="shared" si="26"/>
        <v>0</v>
      </c>
      <c r="K19" s="7">
        <f t="shared" si="37"/>
        <v>14203</v>
      </c>
      <c r="L19" s="43">
        <f t="shared" si="27"/>
        <v>0</v>
      </c>
      <c r="M19" s="28">
        <f t="shared" si="28"/>
        <v>0</v>
      </c>
      <c r="N19" s="7">
        <f t="shared" si="38"/>
        <v>3726.6350000000002</v>
      </c>
      <c r="O19" s="43">
        <f t="shared" si="29"/>
        <v>0</v>
      </c>
      <c r="P19" s="28">
        <f t="shared" si="30"/>
        <v>0</v>
      </c>
      <c r="Q19" s="7">
        <f t="shared" si="39"/>
        <v>5510.81</v>
      </c>
      <c r="R19" s="43">
        <f t="shared" si="31"/>
        <v>0</v>
      </c>
      <c r="S19" s="28">
        <f t="shared" si="32"/>
        <v>0</v>
      </c>
      <c r="T19" s="8">
        <f t="shared" si="45"/>
        <v>0</v>
      </c>
      <c r="U19" s="30">
        <f t="shared" si="33"/>
        <v>0</v>
      </c>
      <c r="W19" s="154">
        <v>44821</v>
      </c>
      <c r="X19" s="155">
        <f t="shared" si="40"/>
        <v>204529</v>
      </c>
      <c r="Y19" s="160">
        <f t="shared" si="20"/>
        <v>0</v>
      </c>
      <c r="Z19" s="155">
        <f t="shared" si="41"/>
        <v>9892</v>
      </c>
      <c r="AA19" s="160">
        <f t="shared" si="20"/>
        <v>0</v>
      </c>
      <c r="AB19" s="155">
        <f t="shared" si="42"/>
        <v>33.700000000000003</v>
      </c>
      <c r="AC19" s="160">
        <f t="shared" si="20"/>
        <v>0</v>
      </c>
      <c r="AD19" s="155">
        <f t="shared" si="43"/>
        <v>661</v>
      </c>
      <c r="AE19" s="160">
        <f t="shared" si="20"/>
        <v>0</v>
      </c>
      <c r="AF19" s="155">
        <f t="shared" si="44"/>
        <v>8867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34"/>
        <v>24764.170999999998</v>
      </c>
      <c r="C20" s="43">
        <f t="shared" si="21"/>
        <v>0</v>
      </c>
      <c r="D20" s="28">
        <f t="shared" si="22"/>
        <v>0</v>
      </c>
      <c r="E20" s="1">
        <f t="shared" si="35"/>
        <v>4500.0150000000003</v>
      </c>
      <c r="F20" s="43">
        <f t="shared" si="23"/>
        <v>0</v>
      </c>
      <c r="G20" s="28">
        <f t="shared" si="24"/>
        <v>0</v>
      </c>
      <c r="H20" s="1">
        <f t="shared" si="36"/>
        <v>6007</v>
      </c>
      <c r="I20" s="43">
        <f t="shared" si="25"/>
        <v>0</v>
      </c>
      <c r="J20" s="28">
        <f t="shared" si="26"/>
        <v>0</v>
      </c>
      <c r="K20" s="7">
        <f t="shared" si="37"/>
        <v>14203</v>
      </c>
      <c r="L20" s="43">
        <f t="shared" si="27"/>
        <v>0</v>
      </c>
      <c r="M20" s="28">
        <f t="shared" si="28"/>
        <v>0</v>
      </c>
      <c r="N20" s="7">
        <f t="shared" si="38"/>
        <v>3726.6350000000002</v>
      </c>
      <c r="O20" s="43">
        <f t="shared" si="29"/>
        <v>0</v>
      </c>
      <c r="P20" s="28">
        <f t="shared" si="30"/>
        <v>0</v>
      </c>
      <c r="Q20" s="7">
        <f t="shared" si="39"/>
        <v>5510.81</v>
      </c>
      <c r="R20" s="43">
        <f t="shared" si="31"/>
        <v>0</v>
      </c>
      <c r="S20" s="28">
        <f t="shared" si="32"/>
        <v>0</v>
      </c>
      <c r="T20" s="8">
        <f t="shared" si="45"/>
        <v>0</v>
      </c>
      <c r="U20" s="30">
        <f t="shared" si="33"/>
        <v>0</v>
      </c>
      <c r="W20" s="154">
        <v>44822</v>
      </c>
      <c r="X20" s="155">
        <f t="shared" si="40"/>
        <v>204529</v>
      </c>
      <c r="Y20" s="160">
        <f t="shared" si="20"/>
        <v>0</v>
      </c>
      <c r="Z20" s="155">
        <f t="shared" si="41"/>
        <v>9892</v>
      </c>
      <c r="AA20" s="160">
        <f t="shared" si="20"/>
        <v>0</v>
      </c>
      <c r="AB20" s="155">
        <f t="shared" si="42"/>
        <v>33.700000000000003</v>
      </c>
      <c r="AC20" s="160">
        <f t="shared" si="20"/>
        <v>0</v>
      </c>
      <c r="AD20" s="155">
        <f t="shared" si="43"/>
        <v>661</v>
      </c>
      <c r="AE20" s="160">
        <f t="shared" si="20"/>
        <v>0</v>
      </c>
      <c r="AF20" s="155">
        <f t="shared" si="44"/>
        <v>8867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34"/>
        <v>24764.170999999998</v>
      </c>
      <c r="C21" s="43">
        <f t="shared" si="21"/>
        <v>0</v>
      </c>
      <c r="D21" s="28">
        <f t="shared" si="22"/>
        <v>0</v>
      </c>
      <c r="E21" s="1">
        <f t="shared" si="35"/>
        <v>4500.0150000000003</v>
      </c>
      <c r="F21" s="43">
        <f t="shared" si="23"/>
        <v>0</v>
      </c>
      <c r="G21" s="28">
        <f t="shared" si="24"/>
        <v>0</v>
      </c>
      <c r="H21" s="1">
        <f t="shared" si="36"/>
        <v>6007</v>
      </c>
      <c r="I21" s="43">
        <f t="shared" si="25"/>
        <v>0</v>
      </c>
      <c r="J21" s="28">
        <f t="shared" si="26"/>
        <v>0</v>
      </c>
      <c r="K21" s="7">
        <f t="shared" si="37"/>
        <v>14203</v>
      </c>
      <c r="L21" s="43">
        <f t="shared" si="27"/>
        <v>0</v>
      </c>
      <c r="M21" s="28">
        <f t="shared" si="28"/>
        <v>0</v>
      </c>
      <c r="N21" s="7">
        <f t="shared" si="38"/>
        <v>3726.6350000000002</v>
      </c>
      <c r="O21" s="43">
        <f t="shared" si="29"/>
        <v>0</v>
      </c>
      <c r="P21" s="28">
        <f t="shared" si="30"/>
        <v>0</v>
      </c>
      <c r="Q21" s="7">
        <f t="shared" si="39"/>
        <v>5510.81</v>
      </c>
      <c r="R21" s="43">
        <f t="shared" si="31"/>
        <v>0</v>
      </c>
      <c r="S21" s="28">
        <f t="shared" si="32"/>
        <v>0</v>
      </c>
      <c r="T21" s="8">
        <f t="shared" si="45"/>
        <v>0</v>
      </c>
      <c r="U21" s="30">
        <f t="shared" si="33"/>
        <v>0</v>
      </c>
      <c r="W21" s="154">
        <v>44823</v>
      </c>
      <c r="X21" s="155">
        <f t="shared" si="40"/>
        <v>204529</v>
      </c>
      <c r="Y21" s="160">
        <f t="shared" si="20"/>
        <v>0</v>
      </c>
      <c r="Z21" s="155">
        <f t="shared" si="41"/>
        <v>9892</v>
      </c>
      <c r="AA21" s="160">
        <f t="shared" si="20"/>
        <v>0</v>
      </c>
      <c r="AB21" s="155">
        <f t="shared" si="42"/>
        <v>33.700000000000003</v>
      </c>
      <c r="AC21" s="160">
        <f t="shared" si="20"/>
        <v>0</v>
      </c>
      <c r="AD21" s="155">
        <f t="shared" si="43"/>
        <v>661</v>
      </c>
      <c r="AE21" s="160">
        <f t="shared" si="20"/>
        <v>0</v>
      </c>
      <c r="AF21" s="155">
        <f t="shared" si="44"/>
        <v>8867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34"/>
        <v>24764.170999999998</v>
      </c>
      <c r="C22" s="43">
        <f t="shared" si="21"/>
        <v>0</v>
      </c>
      <c r="D22" s="28">
        <f t="shared" si="22"/>
        <v>0</v>
      </c>
      <c r="E22" s="1">
        <f t="shared" si="35"/>
        <v>4500.0150000000003</v>
      </c>
      <c r="F22" s="43">
        <f t="shared" si="23"/>
        <v>0</v>
      </c>
      <c r="G22" s="28">
        <f t="shared" si="24"/>
        <v>0</v>
      </c>
      <c r="H22" s="1">
        <f t="shared" si="36"/>
        <v>6007</v>
      </c>
      <c r="I22" s="43">
        <f t="shared" si="25"/>
        <v>0</v>
      </c>
      <c r="J22" s="28">
        <f t="shared" si="26"/>
        <v>0</v>
      </c>
      <c r="K22" s="7">
        <f t="shared" si="37"/>
        <v>14203</v>
      </c>
      <c r="L22" s="43">
        <f t="shared" si="27"/>
        <v>0</v>
      </c>
      <c r="M22" s="28">
        <f t="shared" si="28"/>
        <v>0</v>
      </c>
      <c r="N22" s="7">
        <f t="shared" si="38"/>
        <v>3726.6350000000002</v>
      </c>
      <c r="O22" s="43">
        <f t="shared" si="29"/>
        <v>0</v>
      </c>
      <c r="P22" s="28">
        <f t="shared" si="30"/>
        <v>0</v>
      </c>
      <c r="Q22" s="7">
        <f t="shared" si="39"/>
        <v>5510.81</v>
      </c>
      <c r="R22" s="43">
        <f t="shared" si="31"/>
        <v>0</v>
      </c>
      <c r="S22" s="28">
        <f t="shared" si="32"/>
        <v>0</v>
      </c>
      <c r="T22" s="8">
        <f t="shared" si="45"/>
        <v>0</v>
      </c>
      <c r="U22" s="30">
        <f t="shared" si="33"/>
        <v>0</v>
      </c>
      <c r="W22" s="154">
        <v>44824</v>
      </c>
      <c r="X22" s="155">
        <f t="shared" si="40"/>
        <v>204529</v>
      </c>
      <c r="Y22" s="160">
        <f t="shared" si="20"/>
        <v>0</v>
      </c>
      <c r="Z22" s="155">
        <f t="shared" si="41"/>
        <v>9892</v>
      </c>
      <c r="AA22" s="160">
        <f t="shared" si="20"/>
        <v>0</v>
      </c>
      <c r="AB22" s="155">
        <f t="shared" si="42"/>
        <v>33.700000000000003</v>
      </c>
      <c r="AC22" s="160">
        <f t="shared" si="20"/>
        <v>0</v>
      </c>
      <c r="AD22" s="155">
        <f t="shared" si="43"/>
        <v>661</v>
      </c>
      <c r="AE22" s="160">
        <f t="shared" si="20"/>
        <v>0</v>
      </c>
      <c r="AF22" s="155">
        <f t="shared" si="44"/>
        <v>8867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34"/>
        <v>24764.170999999998</v>
      </c>
      <c r="C23" s="43">
        <f t="shared" si="21"/>
        <v>0</v>
      </c>
      <c r="D23" s="28">
        <f t="shared" si="22"/>
        <v>0</v>
      </c>
      <c r="E23" s="1">
        <f t="shared" si="35"/>
        <v>4500.0150000000003</v>
      </c>
      <c r="F23" s="43">
        <f t="shared" si="23"/>
        <v>0</v>
      </c>
      <c r="G23" s="28">
        <f t="shared" si="24"/>
        <v>0</v>
      </c>
      <c r="H23" s="1">
        <f t="shared" si="36"/>
        <v>6007</v>
      </c>
      <c r="I23" s="43">
        <f t="shared" si="25"/>
        <v>0</v>
      </c>
      <c r="J23" s="28">
        <f t="shared" si="26"/>
        <v>0</v>
      </c>
      <c r="K23" s="7">
        <f t="shared" si="37"/>
        <v>14203</v>
      </c>
      <c r="L23" s="43">
        <f t="shared" si="27"/>
        <v>0</v>
      </c>
      <c r="M23" s="28">
        <f t="shared" si="28"/>
        <v>0</v>
      </c>
      <c r="N23" s="7">
        <f t="shared" si="38"/>
        <v>3726.6350000000002</v>
      </c>
      <c r="O23" s="43">
        <f t="shared" si="29"/>
        <v>0</v>
      </c>
      <c r="P23" s="28">
        <f t="shared" si="30"/>
        <v>0</v>
      </c>
      <c r="Q23" s="7">
        <f t="shared" si="39"/>
        <v>5510.81</v>
      </c>
      <c r="R23" s="43">
        <f t="shared" si="31"/>
        <v>0</v>
      </c>
      <c r="S23" s="28">
        <f t="shared" si="32"/>
        <v>0</v>
      </c>
      <c r="T23" s="8">
        <f t="shared" si="45"/>
        <v>0</v>
      </c>
      <c r="U23" s="30">
        <f t="shared" si="33"/>
        <v>0</v>
      </c>
      <c r="W23" s="154">
        <v>44825</v>
      </c>
      <c r="X23" s="155">
        <f t="shared" si="40"/>
        <v>204529</v>
      </c>
      <c r="Y23" s="160">
        <f t="shared" si="20"/>
        <v>0</v>
      </c>
      <c r="Z23" s="155">
        <f t="shared" si="41"/>
        <v>9892</v>
      </c>
      <c r="AA23" s="160">
        <f t="shared" si="20"/>
        <v>0</v>
      </c>
      <c r="AB23" s="155">
        <f t="shared" si="42"/>
        <v>33.700000000000003</v>
      </c>
      <c r="AC23" s="160">
        <f t="shared" si="20"/>
        <v>0</v>
      </c>
      <c r="AD23" s="155">
        <f t="shared" si="43"/>
        <v>661</v>
      </c>
      <c r="AE23" s="160">
        <f t="shared" si="20"/>
        <v>0</v>
      </c>
      <c r="AF23" s="155">
        <f t="shared" si="44"/>
        <v>8867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34"/>
        <v>24764.170999999998</v>
      </c>
      <c r="C24" s="43">
        <f t="shared" si="21"/>
        <v>0</v>
      </c>
      <c r="D24" s="28">
        <f t="shared" si="22"/>
        <v>0</v>
      </c>
      <c r="E24" s="1">
        <f t="shared" si="35"/>
        <v>4500.0150000000003</v>
      </c>
      <c r="F24" s="43">
        <f t="shared" si="23"/>
        <v>0</v>
      </c>
      <c r="G24" s="28">
        <f t="shared" si="24"/>
        <v>0</v>
      </c>
      <c r="H24" s="1">
        <f t="shared" si="36"/>
        <v>6007</v>
      </c>
      <c r="I24" s="43">
        <f t="shared" si="25"/>
        <v>0</v>
      </c>
      <c r="J24" s="28">
        <f t="shared" si="26"/>
        <v>0</v>
      </c>
      <c r="K24" s="7">
        <f t="shared" si="37"/>
        <v>14203</v>
      </c>
      <c r="L24" s="43">
        <f t="shared" si="27"/>
        <v>0</v>
      </c>
      <c r="M24" s="28">
        <f t="shared" si="28"/>
        <v>0</v>
      </c>
      <c r="N24" s="7">
        <f t="shared" si="38"/>
        <v>3726.6350000000002</v>
      </c>
      <c r="O24" s="43">
        <f t="shared" si="29"/>
        <v>0</v>
      </c>
      <c r="P24" s="28">
        <f t="shared" si="30"/>
        <v>0</v>
      </c>
      <c r="Q24" s="7">
        <f t="shared" si="39"/>
        <v>5510.81</v>
      </c>
      <c r="R24" s="43">
        <f t="shared" si="31"/>
        <v>0</v>
      </c>
      <c r="S24" s="28">
        <f t="shared" si="32"/>
        <v>0</v>
      </c>
      <c r="T24" s="8">
        <f t="shared" si="45"/>
        <v>0</v>
      </c>
      <c r="U24" s="30">
        <f t="shared" si="33"/>
        <v>0</v>
      </c>
      <c r="W24" s="154">
        <v>44826</v>
      </c>
      <c r="X24" s="155">
        <f t="shared" si="40"/>
        <v>204529</v>
      </c>
      <c r="Y24" s="160">
        <f t="shared" si="20"/>
        <v>0</v>
      </c>
      <c r="Z24" s="155">
        <f t="shared" si="41"/>
        <v>9892</v>
      </c>
      <c r="AA24" s="160">
        <f t="shared" si="20"/>
        <v>0</v>
      </c>
      <c r="AB24" s="155">
        <f t="shared" si="42"/>
        <v>33.700000000000003</v>
      </c>
      <c r="AC24" s="160">
        <f t="shared" si="20"/>
        <v>0</v>
      </c>
      <c r="AD24" s="155">
        <f t="shared" si="43"/>
        <v>661</v>
      </c>
      <c r="AE24" s="160">
        <f t="shared" si="20"/>
        <v>0</v>
      </c>
      <c r="AF24" s="155">
        <f t="shared" si="44"/>
        <v>8867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34"/>
        <v>24764.170999999998</v>
      </c>
      <c r="C25" s="43">
        <f t="shared" si="21"/>
        <v>0</v>
      </c>
      <c r="D25" s="28">
        <f t="shared" si="22"/>
        <v>0</v>
      </c>
      <c r="E25" s="1">
        <f t="shared" si="35"/>
        <v>4500.0150000000003</v>
      </c>
      <c r="F25" s="43">
        <f t="shared" si="23"/>
        <v>0</v>
      </c>
      <c r="G25" s="28">
        <f t="shared" si="24"/>
        <v>0</v>
      </c>
      <c r="H25" s="1">
        <f t="shared" si="36"/>
        <v>6007</v>
      </c>
      <c r="I25" s="43">
        <f t="shared" si="25"/>
        <v>0</v>
      </c>
      <c r="J25" s="28">
        <f t="shared" si="26"/>
        <v>0</v>
      </c>
      <c r="K25" s="7">
        <f t="shared" si="37"/>
        <v>14203</v>
      </c>
      <c r="L25" s="43">
        <f t="shared" si="27"/>
        <v>0</v>
      </c>
      <c r="M25" s="28">
        <f t="shared" si="28"/>
        <v>0</v>
      </c>
      <c r="N25" s="7">
        <f t="shared" si="38"/>
        <v>3726.6350000000002</v>
      </c>
      <c r="O25" s="43">
        <f t="shared" si="29"/>
        <v>0</v>
      </c>
      <c r="P25" s="28">
        <f t="shared" si="30"/>
        <v>0</v>
      </c>
      <c r="Q25" s="7">
        <f t="shared" si="39"/>
        <v>5510.81</v>
      </c>
      <c r="R25" s="43">
        <f t="shared" si="31"/>
        <v>0</v>
      </c>
      <c r="S25" s="28">
        <f t="shared" si="32"/>
        <v>0</v>
      </c>
      <c r="T25" s="8">
        <f t="shared" si="45"/>
        <v>0</v>
      </c>
      <c r="U25" s="30">
        <f t="shared" si="33"/>
        <v>0</v>
      </c>
      <c r="W25" s="154">
        <v>44827</v>
      </c>
      <c r="X25" s="155">
        <f t="shared" si="40"/>
        <v>204529</v>
      </c>
      <c r="Y25" s="160">
        <f t="shared" si="20"/>
        <v>0</v>
      </c>
      <c r="Z25" s="155">
        <f t="shared" si="41"/>
        <v>9892</v>
      </c>
      <c r="AA25" s="160">
        <f t="shared" si="20"/>
        <v>0</v>
      </c>
      <c r="AB25" s="155">
        <f t="shared" si="42"/>
        <v>33.700000000000003</v>
      </c>
      <c r="AC25" s="160">
        <f t="shared" si="20"/>
        <v>0</v>
      </c>
      <c r="AD25" s="155">
        <f t="shared" si="43"/>
        <v>661</v>
      </c>
      <c r="AE25" s="160">
        <f t="shared" si="20"/>
        <v>0</v>
      </c>
      <c r="AF25" s="155">
        <f t="shared" si="44"/>
        <v>8867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34"/>
        <v>24764.170999999998</v>
      </c>
      <c r="C26" s="43">
        <f t="shared" si="21"/>
        <v>0</v>
      </c>
      <c r="D26" s="28">
        <f t="shared" si="22"/>
        <v>0</v>
      </c>
      <c r="E26" s="1">
        <f t="shared" si="35"/>
        <v>4500.0150000000003</v>
      </c>
      <c r="F26" s="43">
        <f t="shared" si="23"/>
        <v>0</v>
      </c>
      <c r="G26" s="28">
        <f t="shared" si="24"/>
        <v>0</v>
      </c>
      <c r="H26" s="1">
        <f t="shared" si="36"/>
        <v>6007</v>
      </c>
      <c r="I26" s="43">
        <f t="shared" si="25"/>
        <v>0</v>
      </c>
      <c r="J26" s="28">
        <f t="shared" si="26"/>
        <v>0</v>
      </c>
      <c r="K26" s="7">
        <f t="shared" si="37"/>
        <v>14203</v>
      </c>
      <c r="L26" s="43">
        <f>IF((K26-K25)&lt;0,"0",(K26-K25))</f>
        <v>0</v>
      </c>
      <c r="M26" s="28">
        <f t="shared" si="28"/>
        <v>0</v>
      </c>
      <c r="N26" s="7">
        <f t="shared" si="38"/>
        <v>3726.6350000000002</v>
      </c>
      <c r="O26" s="43">
        <f t="shared" si="29"/>
        <v>0</v>
      </c>
      <c r="P26" s="28">
        <f t="shared" si="30"/>
        <v>0</v>
      </c>
      <c r="Q26" s="7">
        <f t="shared" si="39"/>
        <v>5510.81</v>
      </c>
      <c r="R26" s="43">
        <f t="shared" si="31"/>
        <v>0</v>
      </c>
      <c r="S26" s="28">
        <f t="shared" si="32"/>
        <v>0</v>
      </c>
      <c r="T26" s="8">
        <f t="shared" si="4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40"/>
        <v>204529</v>
      </c>
      <c r="Y26" s="160">
        <f t="shared" si="20"/>
        <v>0</v>
      </c>
      <c r="Z26" s="155">
        <f t="shared" si="41"/>
        <v>9892</v>
      </c>
      <c r="AA26" s="160">
        <f t="shared" si="20"/>
        <v>0</v>
      </c>
      <c r="AB26" s="155">
        <f t="shared" si="42"/>
        <v>33.700000000000003</v>
      </c>
      <c r="AC26" s="160">
        <f t="shared" si="20"/>
        <v>0</v>
      </c>
      <c r="AD26" s="155">
        <f t="shared" si="43"/>
        <v>661</v>
      </c>
      <c r="AE26" s="160">
        <f t="shared" si="20"/>
        <v>0</v>
      </c>
      <c r="AF26" s="155">
        <f t="shared" si="44"/>
        <v>8867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34"/>
        <v>24764.170999999998</v>
      </c>
      <c r="C27" s="43">
        <f t="shared" si="21"/>
        <v>0</v>
      </c>
      <c r="D27" s="28">
        <f t="shared" si="22"/>
        <v>0</v>
      </c>
      <c r="E27" s="1">
        <f t="shared" si="35"/>
        <v>4500.0150000000003</v>
      </c>
      <c r="F27" s="43">
        <f t="shared" si="23"/>
        <v>0</v>
      </c>
      <c r="G27" s="28">
        <f t="shared" si="24"/>
        <v>0</v>
      </c>
      <c r="H27" s="1">
        <f t="shared" si="36"/>
        <v>6007</v>
      </c>
      <c r="I27" s="43">
        <f t="shared" si="25"/>
        <v>0</v>
      </c>
      <c r="J27" s="28">
        <f t="shared" si="26"/>
        <v>0</v>
      </c>
      <c r="K27" s="7">
        <f t="shared" si="37"/>
        <v>14203</v>
      </c>
      <c r="L27" s="43">
        <f t="shared" si="27"/>
        <v>0</v>
      </c>
      <c r="M27" s="28">
        <f t="shared" si="28"/>
        <v>0</v>
      </c>
      <c r="N27" s="7">
        <f t="shared" si="38"/>
        <v>3726.6350000000002</v>
      </c>
      <c r="O27" s="43">
        <f t="shared" si="29"/>
        <v>0</v>
      </c>
      <c r="P27" s="28">
        <f t="shared" si="30"/>
        <v>0</v>
      </c>
      <c r="Q27" s="7">
        <f t="shared" si="39"/>
        <v>5510.81</v>
      </c>
      <c r="R27" s="43">
        <f t="shared" si="31"/>
        <v>0</v>
      </c>
      <c r="S27" s="28">
        <f t="shared" si="32"/>
        <v>0</v>
      </c>
      <c r="T27" s="8">
        <f t="shared" si="4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40"/>
        <v>204529</v>
      </c>
      <c r="Y27" s="160">
        <f t="shared" si="20"/>
        <v>0</v>
      </c>
      <c r="Z27" s="155">
        <f t="shared" si="41"/>
        <v>9892</v>
      </c>
      <c r="AA27" s="160">
        <f t="shared" si="20"/>
        <v>0</v>
      </c>
      <c r="AB27" s="155">
        <f t="shared" si="42"/>
        <v>33.700000000000003</v>
      </c>
      <c r="AC27" s="160">
        <f t="shared" si="20"/>
        <v>0</v>
      </c>
      <c r="AD27" s="155">
        <f t="shared" si="43"/>
        <v>661</v>
      </c>
      <c r="AE27" s="160">
        <f t="shared" si="20"/>
        <v>0</v>
      </c>
      <c r="AF27" s="155">
        <f t="shared" si="44"/>
        <v>8867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34"/>
        <v>24764.170999999998</v>
      </c>
      <c r="C28" s="43">
        <f t="shared" si="21"/>
        <v>0</v>
      </c>
      <c r="D28" s="28">
        <f t="shared" si="22"/>
        <v>0</v>
      </c>
      <c r="E28" s="1">
        <f t="shared" si="35"/>
        <v>4500.0150000000003</v>
      </c>
      <c r="F28" s="43">
        <f t="shared" si="23"/>
        <v>0</v>
      </c>
      <c r="G28" s="28">
        <f t="shared" si="24"/>
        <v>0</v>
      </c>
      <c r="H28" s="1">
        <f t="shared" si="36"/>
        <v>6007</v>
      </c>
      <c r="I28" s="43">
        <f t="shared" si="25"/>
        <v>0</v>
      </c>
      <c r="J28" s="28">
        <f t="shared" si="26"/>
        <v>0</v>
      </c>
      <c r="K28" s="7">
        <f t="shared" si="37"/>
        <v>14203</v>
      </c>
      <c r="L28" s="43">
        <f t="shared" si="27"/>
        <v>0</v>
      </c>
      <c r="M28" s="28">
        <f t="shared" si="28"/>
        <v>0</v>
      </c>
      <c r="N28" s="7">
        <f t="shared" si="38"/>
        <v>3726.6350000000002</v>
      </c>
      <c r="O28" s="43">
        <f t="shared" si="29"/>
        <v>0</v>
      </c>
      <c r="P28" s="28">
        <f t="shared" si="30"/>
        <v>0</v>
      </c>
      <c r="Q28" s="7">
        <f t="shared" si="39"/>
        <v>5510.81</v>
      </c>
      <c r="R28" s="43">
        <f t="shared" si="31"/>
        <v>0</v>
      </c>
      <c r="S28" s="28">
        <f t="shared" si="32"/>
        <v>0</v>
      </c>
      <c r="T28" s="8">
        <f t="shared" si="45"/>
        <v>0</v>
      </c>
      <c r="U28" s="30">
        <f t="shared" si="33"/>
        <v>0</v>
      </c>
      <c r="W28" s="154">
        <v>44830</v>
      </c>
      <c r="X28" s="155">
        <f t="shared" si="40"/>
        <v>204529</v>
      </c>
      <c r="Y28" s="160">
        <f t="shared" si="20"/>
        <v>0</v>
      </c>
      <c r="Z28" s="155">
        <f t="shared" si="41"/>
        <v>9892</v>
      </c>
      <c r="AA28" s="160">
        <f t="shared" si="20"/>
        <v>0</v>
      </c>
      <c r="AB28" s="155">
        <f t="shared" si="42"/>
        <v>33.700000000000003</v>
      </c>
      <c r="AC28" s="160">
        <f t="shared" si="20"/>
        <v>0</v>
      </c>
      <c r="AD28" s="155">
        <f t="shared" si="43"/>
        <v>661</v>
      </c>
      <c r="AE28" s="160">
        <f t="shared" si="20"/>
        <v>0</v>
      </c>
      <c r="AF28" s="155">
        <f t="shared" si="44"/>
        <v>8867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34"/>
        <v>24764.170999999998</v>
      </c>
      <c r="C29" s="43">
        <f t="shared" si="21"/>
        <v>0</v>
      </c>
      <c r="D29" s="28">
        <f t="shared" si="22"/>
        <v>0</v>
      </c>
      <c r="E29" s="1">
        <f t="shared" si="35"/>
        <v>4500.0150000000003</v>
      </c>
      <c r="F29" s="43">
        <f t="shared" si="23"/>
        <v>0</v>
      </c>
      <c r="G29" s="28">
        <f t="shared" si="24"/>
        <v>0</v>
      </c>
      <c r="H29" s="1">
        <f t="shared" si="36"/>
        <v>6007</v>
      </c>
      <c r="I29" s="43">
        <f t="shared" si="25"/>
        <v>0</v>
      </c>
      <c r="J29" s="28">
        <f t="shared" si="26"/>
        <v>0</v>
      </c>
      <c r="K29" s="7">
        <f t="shared" si="37"/>
        <v>14203</v>
      </c>
      <c r="L29" s="43">
        <f t="shared" si="27"/>
        <v>0</v>
      </c>
      <c r="M29" s="28">
        <f t="shared" si="28"/>
        <v>0</v>
      </c>
      <c r="N29" s="7">
        <f t="shared" si="38"/>
        <v>3726.6350000000002</v>
      </c>
      <c r="O29" s="43">
        <f t="shared" si="29"/>
        <v>0</v>
      </c>
      <c r="P29" s="28">
        <f t="shared" si="30"/>
        <v>0</v>
      </c>
      <c r="Q29" s="7">
        <f t="shared" si="39"/>
        <v>5510.81</v>
      </c>
      <c r="R29" s="43">
        <f t="shared" si="31"/>
        <v>0</v>
      </c>
      <c r="S29" s="28">
        <f t="shared" si="32"/>
        <v>0</v>
      </c>
      <c r="T29" s="8">
        <f t="shared" si="45"/>
        <v>0</v>
      </c>
      <c r="U29" s="30">
        <f t="shared" si="33"/>
        <v>0</v>
      </c>
      <c r="W29" s="154">
        <v>44831</v>
      </c>
      <c r="X29" s="155">
        <f t="shared" si="40"/>
        <v>204529</v>
      </c>
      <c r="Y29" s="160">
        <f t="shared" si="20"/>
        <v>0</v>
      </c>
      <c r="Z29" s="155">
        <f t="shared" si="41"/>
        <v>9892</v>
      </c>
      <c r="AA29" s="160">
        <f t="shared" si="20"/>
        <v>0</v>
      </c>
      <c r="AB29" s="155">
        <f t="shared" si="42"/>
        <v>33.700000000000003</v>
      </c>
      <c r="AC29" s="160">
        <f t="shared" si="20"/>
        <v>0</v>
      </c>
      <c r="AD29" s="155">
        <f t="shared" si="43"/>
        <v>661</v>
      </c>
      <c r="AE29" s="160">
        <f t="shared" si="20"/>
        <v>0</v>
      </c>
      <c r="AF29" s="155">
        <f t="shared" si="44"/>
        <v>8867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34"/>
        <v>24764.170999999998</v>
      </c>
      <c r="C30" s="43">
        <f t="shared" si="21"/>
        <v>0</v>
      </c>
      <c r="D30" s="28">
        <f t="shared" si="22"/>
        <v>0</v>
      </c>
      <c r="E30" s="1">
        <f t="shared" si="35"/>
        <v>4500.0150000000003</v>
      </c>
      <c r="F30" s="43">
        <f t="shared" si="23"/>
        <v>0</v>
      </c>
      <c r="G30" s="28">
        <f t="shared" si="24"/>
        <v>0</v>
      </c>
      <c r="H30" s="1">
        <f t="shared" si="36"/>
        <v>6007</v>
      </c>
      <c r="I30" s="43">
        <f t="shared" si="25"/>
        <v>0</v>
      </c>
      <c r="J30" s="28">
        <f t="shared" si="26"/>
        <v>0</v>
      </c>
      <c r="K30" s="7">
        <f t="shared" si="37"/>
        <v>14203</v>
      </c>
      <c r="L30" s="43">
        <f t="shared" si="27"/>
        <v>0</v>
      </c>
      <c r="M30" s="28">
        <f t="shared" si="28"/>
        <v>0</v>
      </c>
      <c r="N30" s="7">
        <f t="shared" si="38"/>
        <v>3726.6350000000002</v>
      </c>
      <c r="O30" s="43">
        <f t="shared" si="29"/>
        <v>0</v>
      </c>
      <c r="P30" s="28">
        <f t="shared" si="30"/>
        <v>0</v>
      </c>
      <c r="Q30" s="7">
        <f t="shared" si="39"/>
        <v>5510.81</v>
      </c>
      <c r="R30" s="43">
        <f t="shared" si="31"/>
        <v>0</v>
      </c>
      <c r="S30" s="28">
        <f t="shared" si="32"/>
        <v>0</v>
      </c>
      <c r="T30" s="8">
        <f t="shared" si="45"/>
        <v>0</v>
      </c>
      <c r="U30" s="30">
        <f t="shared" si="33"/>
        <v>0</v>
      </c>
      <c r="W30" s="154">
        <v>44832</v>
      </c>
      <c r="X30" s="155">
        <f t="shared" si="40"/>
        <v>204529</v>
      </c>
      <c r="Y30" s="160">
        <f t="shared" si="20"/>
        <v>0</v>
      </c>
      <c r="Z30" s="155">
        <f t="shared" si="41"/>
        <v>9892</v>
      </c>
      <c r="AA30" s="160">
        <f t="shared" si="20"/>
        <v>0</v>
      </c>
      <c r="AB30" s="155">
        <f t="shared" si="42"/>
        <v>33.700000000000003</v>
      </c>
      <c r="AC30" s="160">
        <f t="shared" si="20"/>
        <v>0</v>
      </c>
      <c r="AD30" s="155">
        <f t="shared" si="43"/>
        <v>661</v>
      </c>
      <c r="AE30" s="160">
        <f t="shared" si="20"/>
        <v>0</v>
      </c>
      <c r="AF30" s="155">
        <f t="shared" si="44"/>
        <v>8867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34"/>
        <v>24764.170999999998</v>
      </c>
      <c r="C31" s="43">
        <f t="shared" si="21"/>
        <v>0</v>
      </c>
      <c r="D31" s="28">
        <f t="shared" si="22"/>
        <v>0</v>
      </c>
      <c r="E31" s="1">
        <f t="shared" si="35"/>
        <v>4500.0150000000003</v>
      </c>
      <c r="F31" s="43">
        <f t="shared" si="23"/>
        <v>0</v>
      </c>
      <c r="G31" s="28">
        <f t="shared" si="24"/>
        <v>0</v>
      </c>
      <c r="H31" s="1">
        <f t="shared" si="36"/>
        <v>6007</v>
      </c>
      <c r="I31" s="43">
        <f t="shared" si="25"/>
        <v>0</v>
      </c>
      <c r="J31" s="28">
        <f t="shared" si="26"/>
        <v>0</v>
      </c>
      <c r="K31" s="7">
        <f t="shared" si="37"/>
        <v>14203</v>
      </c>
      <c r="L31" s="43">
        <f t="shared" si="27"/>
        <v>0</v>
      </c>
      <c r="M31" s="28">
        <f t="shared" si="28"/>
        <v>0</v>
      </c>
      <c r="N31" s="7">
        <f t="shared" si="38"/>
        <v>3726.6350000000002</v>
      </c>
      <c r="O31" s="43">
        <f t="shared" si="29"/>
        <v>0</v>
      </c>
      <c r="P31" s="28">
        <f t="shared" si="30"/>
        <v>0</v>
      </c>
      <c r="Q31" s="7">
        <f t="shared" si="39"/>
        <v>5510.81</v>
      </c>
      <c r="R31" s="43">
        <f t="shared" si="31"/>
        <v>0</v>
      </c>
      <c r="S31" s="28">
        <f t="shared" si="32"/>
        <v>0</v>
      </c>
      <c r="T31" s="8">
        <f t="shared" si="45"/>
        <v>0</v>
      </c>
      <c r="U31" s="30">
        <f t="shared" si="33"/>
        <v>0</v>
      </c>
      <c r="W31" s="154">
        <v>44833</v>
      </c>
      <c r="X31" s="155">
        <f t="shared" si="40"/>
        <v>204529</v>
      </c>
      <c r="Y31" s="160">
        <f t="shared" si="20"/>
        <v>0</v>
      </c>
      <c r="Z31" s="155">
        <f t="shared" si="41"/>
        <v>9892</v>
      </c>
      <c r="AA31" s="160">
        <f t="shared" si="20"/>
        <v>0</v>
      </c>
      <c r="AB31" s="155">
        <f t="shared" si="42"/>
        <v>33.700000000000003</v>
      </c>
      <c r="AC31" s="160">
        <f t="shared" si="20"/>
        <v>0</v>
      </c>
      <c r="AD31" s="155">
        <f t="shared" si="43"/>
        <v>661</v>
      </c>
      <c r="AE31" s="160">
        <f t="shared" si="20"/>
        <v>0</v>
      </c>
      <c r="AF31" s="155">
        <f t="shared" si="44"/>
        <v>8867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34"/>
        <v>24764.170999999998</v>
      </c>
      <c r="C32" s="43">
        <f t="shared" si="21"/>
        <v>0</v>
      </c>
      <c r="D32" s="28">
        <f t="shared" si="22"/>
        <v>0</v>
      </c>
      <c r="E32" s="1">
        <f t="shared" si="35"/>
        <v>4500.0150000000003</v>
      </c>
      <c r="F32" s="43">
        <f t="shared" si="23"/>
        <v>0</v>
      </c>
      <c r="G32" s="28">
        <f t="shared" si="24"/>
        <v>0</v>
      </c>
      <c r="H32" s="1">
        <f t="shared" si="36"/>
        <v>6007</v>
      </c>
      <c r="I32" s="43">
        <f t="shared" si="25"/>
        <v>0</v>
      </c>
      <c r="J32" s="28">
        <f t="shared" si="26"/>
        <v>0</v>
      </c>
      <c r="K32" s="7">
        <f t="shared" si="37"/>
        <v>14203</v>
      </c>
      <c r="L32" s="43">
        <f t="shared" si="27"/>
        <v>0</v>
      </c>
      <c r="M32" s="28">
        <f t="shared" si="28"/>
        <v>0</v>
      </c>
      <c r="N32" s="7">
        <f t="shared" si="38"/>
        <v>3726.6350000000002</v>
      </c>
      <c r="O32" s="43">
        <f t="shared" si="29"/>
        <v>0</v>
      </c>
      <c r="P32" s="28">
        <f t="shared" si="30"/>
        <v>0</v>
      </c>
      <c r="Q32" s="7">
        <f t="shared" si="39"/>
        <v>5510.81</v>
      </c>
      <c r="R32" s="43">
        <f t="shared" si="31"/>
        <v>0</v>
      </c>
      <c r="S32" s="28">
        <f t="shared" si="32"/>
        <v>0</v>
      </c>
      <c r="T32" s="8">
        <f t="shared" si="45"/>
        <v>0</v>
      </c>
      <c r="U32" s="30">
        <f t="shared" si="33"/>
        <v>0</v>
      </c>
      <c r="W32" s="154">
        <v>44834</v>
      </c>
      <c r="X32" s="155">
        <f t="shared" si="40"/>
        <v>204529</v>
      </c>
      <c r="Y32" s="160">
        <f t="shared" ref="Y32" si="59">IF((X32-X31)&lt;0,"0",(X32-X31))</f>
        <v>0</v>
      </c>
      <c r="Z32" s="155">
        <f t="shared" si="41"/>
        <v>9892</v>
      </c>
      <c r="AA32" s="160">
        <f t="shared" ref="AA32" si="60">IF((Z32-Z31)&lt;0,"0",(Z32-Z31))</f>
        <v>0</v>
      </c>
      <c r="AB32" s="155">
        <f t="shared" si="42"/>
        <v>33.700000000000003</v>
      </c>
      <c r="AC32" s="160">
        <f t="shared" ref="AC32" si="61">IF((AB32-AB31)&lt;0,"0",(AB32-AB31))</f>
        <v>0</v>
      </c>
      <c r="AD32" s="155">
        <f t="shared" si="43"/>
        <v>661</v>
      </c>
      <c r="AE32" s="160">
        <f t="shared" ref="AE32" si="62">IF((AD32-AD31)&lt;0,"0",(AD32-AD31))</f>
        <v>0</v>
      </c>
      <c r="AF32" s="155">
        <f t="shared" si="44"/>
        <v>8867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25.242999999998574</v>
      </c>
      <c r="D33" s="136">
        <f>SUM(D3:D32)</f>
        <v>47961.69999999729</v>
      </c>
      <c r="E33" s="136"/>
      <c r="F33" s="136">
        <f>SUM(F2:F32)</f>
        <v>4.9700000000002547</v>
      </c>
      <c r="G33" s="136">
        <f>SUM(G3:G32)</f>
        <v>9443.0000000004839</v>
      </c>
      <c r="H33" s="136"/>
      <c r="I33" s="136">
        <f>SUM(I2:I32)</f>
        <v>16</v>
      </c>
      <c r="J33" s="136">
        <f>SUM(J3:J32)</f>
        <v>30399.999999999993</v>
      </c>
      <c r="K33" s="136"/>
      <c r="L33" s="136">
        <f>SUM(L2:L32)</f>
        <v>4.569999999999709</v>
      </c>
      <c r="M33" s="136">
        <f>SUM(M3:M32)</f>
        <v>8682.999999999447</v>
      </c>
      <c r="N33" s="136"/>
      <c r="O33" s="136">
        <f>SUM(O2:O32)</f>
        <v>4.4960000000000946</v>
      </c>
      <c r="P33" s="136">
        <f>SUM(P3:P32)</f>
        <v>8542.4000000001797</v>
      </c>
      <c r="Q33" s="136"/>
      <c r="R33" s="136">
        <v>2.21</v>
      </c>
      <c r="S33" s="136">
        <f>SUM(S3:S32)</f>
        <v>3667.0000000005525</v>
      </c>
      <c r="T33" s="136">
        <v>22.454999999999998</v>
      </c>
      <c r="U33" s="136">
        <f>SUM(U3:U32)</f>
        <v>108697.09999999794</v>
      </c>
      <c r="V33"/>
      <c r="W33" s="136" t="s">
        <v>141</v>
      </c>
      <c r="X33" s="136"/>
      <c r="Y33" s="136">
        <f>SUM(Y2:Y32)</f>
        <v>631</v>
      </c>
      <c r="Z33" s="136"/>
      <c r="AA33" s="136">
        <f>SUM(AA2:AA32)</f>
        <v>19</v>
      </c>
      <c r="AB33" s="136"/>
      <c r="AC33" s="136">
        <f>SUM(AC2:AC32)</f>
        <v>0.10000000000000142</v>
      </c>
      <c r="AD33" s="136"/>
      <c r="AE33" s="136">
        <f>SUM(AE2:AE32)</f>
        <v>6</v>
      </c>
      <c r="AF33" s="136">
        <v>0</v>
      </c>
      <c r="AG33" s="136">
        <f>SUM(AG2:AG32)</f>
        <v>20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2081114</v>
      </c>
      <c r="D7" s="104">
        <f t="shared" si="0"/>
        <v>2643014.7800000003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2232</v>
      </c>
      <c r="D8" s="104">
        <f t="shared" si="0"/>
        <v>2834.64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306</v>
      </c>
      <c r="D9" s="104">
        <f t="shared" si="0"/>
        <v>388.62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960</v>
      </c>
      <c r="D10" s="104">
        <f t="shared" si="0"/>
        <v>1219.2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241</v>
      </c>
      <c r="D11" s="104">
        <f t="shared" si="0"/>
        <v>306.07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4046</v>
      </c>
      <c r="K16" s="93">
        <f>(J16-I16)*160</f>
        <v>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330907</v>
      </c>
      <c r="K17" s="93">
        <f>(J17-I17)</f>
        <v>300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26455</v>
      </c>
      <c r="K18" s="93">
        <f>(J18-I18)*160</f>
        <v>960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167942</v>
      </c>
      <c r="K19" s="93">
        <f>J19-I19</f>
        <v>241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47518</v>
      </c>
      <c r="K21" s="93">
        <f>(J21-I21)*120</f>
        <v>1080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40930</v>
      </c>
      <c r="K22" s="93">
        <f>(J22-I22)*160</f>
        <v>960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22026</v>
      </c>
      <c r="K23" s="93">
        <f>(J23-I23)*20</f>
        <v>140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258022</v>
      </c>
      <c r="K24" s="93">
        <f>J24-I24</f>
        <v>52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226336</v>
      </c>
      <c r="K25" s="93">
        <f>J25-I25</f>
        <v>6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2022-09-02T23:20:45Z</dcterms:modified>
</cp:coreProperties>
</file>