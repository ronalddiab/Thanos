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230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F11" i="7" l="1"/>
  <c r="T7" i="7"/>
  <c r="M6" i="6" l="1"/>
  <c r="M5" i="6"/>
  <c r="U38" i="7"/>
  <c r="T8" i="7"/>
  <c r="T9" i="7"/>
  <c r="T5" i="7"/>
  <c r="T6" i="7"/>
  <c r="T10" i="7"/>
  <c r="T11" i="7"/>
  <c r="R38" i="7"/>
  <c r="N7" i="6"/>
  <c r="O4" i="6"/>
  <c r="O5" i="6"/>
  <c r="AT10" i="7" l="1"/>
  <c r="F10" i="7"/>
  <c r="BH9" i="7" l="1"/>
  <c r="AT9" i="7"/>
  <c r="CJ8" i="7" l="1"/>
  <c r="BX8" i="7" l="1"/>
  <c r="X8" i="7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6" i="6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AH9" i="7"/>
  <c r="T7" i="6" s="1"/>
  <c r="V9" i="7"/>
  <c r="M7" i="6"/>
  <c r="R9" i="7"/>
  <c r="L7" i="6" s="1"/>
  <c r="P9" i="7"/>
  <c r="K7" i="6" s="1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<sst xmlns="http://schemas.openxmlformats.org/spreadsheetml/2006/main" count="296" uniqueCount="138">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</sst>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9" sqref="E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12960.000000000315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11319.999999999969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10270.000000000135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104</v>
      </c>
      <c r="J5" s="11">
        <f t="shared" si="3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10009.999999999711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87.4</v>
      </c>
      <c r="J6" s="11">
        <f t="shared" si="3"/>
        <v>10.487297712684205</v>
      </c>
      <c r="K6" s="13">
        <f>'FS Desroches Daily'!CN8</f>
        <v>16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10580.000000000095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81.599999999999994</v>
      </c>
      <c r="J7" s="11">
        <f t="shared" si="3"/>
        <v>10.487297712684205</v>
      </c>
      <c r="K7" s="13">
        <f>'FS Desroches Daily'!CN9</f>
        <v>14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9629.9999999999582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78.8</v>
      </c>
      <c r="J8" s="11">
        <f t="shared" si="3"/>
        <v>10.487297712684205</v>
      </c>
      <c r="K8" s="13">
        <f>'FS Desroches Daily'!CN10</f>
        <v>21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9260.0000000000673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78.3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9949.9999999997199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79</v>
      </c>
      <c r="J10" s="11">
        <f t="shared" si="3"/>
        <v>10.487297712684205</v>
      </c>
      <c r="K10" s="13">
        <f>'FS Desroches Daily'!CN12</f>
        <v>24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9809.9999999999909</v>
      </c>
      <c r="F11" s="11">
        <f t="shared" si="1"/>
        <v>0.58765030286592534</v>
      </c>
      <c r="G11" s="12">
        <f>(Submetering!AX11+Submetering!AY11+Submetering!AZ11+Submetering!BA11+Submetering!BB11)</f>
        <v>38.461500000000001</v>
      </c>
      <c r="H11" s="11">
        <f t="shared" si="2"/>
        <v>0.99</v>
      </c>
      <c r="I11" s="12">
        <f>'FS Desroches Daily'!CM13</f>
        <v>86</v>
      </c>
      <c r="J11" s="11">
        <f t="shared" si="3"/>
        <v>10.487297712684205</v>
      </c>
      <c r="K11" s="13">
        <f>'FS Desroches Daily'!CN13</f>
        <v>28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9020.0000000004893</v>
      </c>
      <c r="F12" s="11">
        <f t="shared" si="1"/>
        <v>0.58765030286592534</v>
      </c>
      <c r="G12" s="12">
        <f>(Submetering!AX12+Submetering!AY12+Submetering!AZ12+Submetering!BA12+Submetering!BB12)</f>
        <v>32.966999999999999</v>
      </c>
      <c r="H12" s="11">
        <f t="shared" si="2"/>
        <v>0.99</v>
      </c>
      <c r="I12" s="12">
        <f>'FS Desroches Daily'!CM14</f>
        <v>81</v>
      </c>
      <c r="J12" s="11">
        <f t="shared" si="3"/>
        <v>10.487297712684205</v>
      </c>
      <c r="K12" s="13">
        <f>'FS Desroches Daily'!CN14</f>
        <v>27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9869.9999999999363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>
        <f>'FS Desroches Daily'!CM15</f>
        <v>95.7</v>
      </c>
      <c r="J13" s="11">
        <f t="shared" si="3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10409.999999999702</v>
      </c>
      <c r="F14" s="11">
        <f t="shared" si="1"/>
        <v>0.58765030286592534</v>
      </c>
      <c r="G14" s="12">
        <f>(Submetering!AX14+Submetering!AY14+Submetering!AZ14+Submetering!BA14+Submetering!BB14)</f>
        <v>31.135499999999993</v>
      </c>
      <c r="H14" s="11">
        <f t="shared" si="2"/>
        <v>0.99</v>
      </c>
      <c r="I14" s="12">
        <f>'FS Desroches Daily'!CM16</f>
        <v>99</v>
      </c>
      <c r="J14" s="11">
        <f t="shared" si="3"/>
        <v>10.487297712684205</v>
      </c>
      <c r="K14" s="13">
        <f>'FS Desroches Daily'!CN16</f>
        <v>18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8610.0000000000873</v>
      </c>
      <c r="F15" s="11">
        <f t="shared" si="1"/>
        <v>0.58765030286592534</v>
      </c>
      <c r="G15" s="12">
        <f>(Submetering!AX15+Submetering!AY15+Submetering!AZ15+Submetering!BA15+Submetering!BB15)</f>
        <v>25.640999999999995</v>
      </c>
      <c r="H15" s="11">
        <f t="shared" si="2"/>
        <v>0.99</v>
      </c>
      <c r="I15" s="12">
        <f>'FS Desroches Daily'!CM17</f>
        <v>81.2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 t="e">
        <f>Submetering!E16+Submetering!F16+Submetering!G16+Submetering!H16-Submetering!AV16</f>
        <v>#VALUE!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M5" sqref="M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1900.0000000000127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Daily'!X6</f>
        <v>490.00000000000909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1700.0000000000348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>
        <f>'FS Desroches Daily'!X7</f>
        <v>430.00000000000682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2499.9999999999468</v>
      </c>
      <c r="F5" s="36">
        <f>'FS Desroches Daily'!F7</f>
        <v>3500.0000000002806</v>
      </c>
      <c r="G5" s="35">
        <f>'FS Desroches Daily'!H7</f>
        <v>3400.0000000000696</v>
      </c>
      <c r="H5" s="36">
        <f>'FS Desroches Daily'!J7</f>
        <v>1499.9999999998347</v>
      </c>
      <c r="I5" s="35">
        <f>'FS Desroches Daily'!L7</f>
        <v>2600.0000000001578</v>
      </c>
      <c r="J5" s="36">
        <f>'FS Desroches Daily'!N7</f>
        <v>1620.0000000000045</v>
      </c>
      <c r="K5" s="13">
        <f>'FS Desroches Daily'!P7</f>
        <v>22</v>
      </c>
      <c r="L5" s="35">
        <f>'FS Desroches Daily'!R7</f>
        <v>8</v>
      </c>
      <c r="M5" s="35">
        <f>'FS Desroches Daily'!T7</f>
        <v>1490</v>
      </c>
      <c r="N5" s="35">
        <f>'FS Desroches Daily'!V7</f>
        <v>571</v>
      </c>
      <c r="O5" s="35">
        <f>'FS Desroches Daily'!X8</f>
        <v>459.99999999997954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359.99999999998522</v>
      </c>
      <c r="S5" s="35">
        <f>'FS Desroches Daily'!AF7</f>
        <v>670.00000000001592</v>
      </c>
      <c r="T5" s="35">
        <f>'FS Desroches Daily'!AH7</f>
        <v>2.1000000000000227</v>
      </c>
      <c r="U5" s="39">
        <f>'FS Desroches Daily'!AJ7</f>
        <v>500</v>
      </c>
      <c r="V5" s="39">
        <f>'FS Desroches Daily'!AL7</f>
        <v>0.14000000000000057</v>
      </c>
      <c r="W5" s="39">
        <f>'FS Desroches Daily'!AN7</f>
        <v>0.15999999999999659</v>
      </c>
      <c r="X5" s="39">
        <f>'FS Desroches Daily'!AP7</f>
        <v>0.10000000000000853</v>
      </c>
      <c r="Y5" s="39">
        <f>'FS Desroches Daily'!AR7</f>
        <v>259.99999999999091</v>
      </c>
      <c r="Z5" s="39">
        <f>'FS Desroches Daily'!AT7</f>
        <v>259.99999999999091</v>
      </c>
      <c r="AA5" s="39">
        <f>'FS Desroches Daily'!AT7</f>
        <v>259.99999999999091</v>
      </c>
      <c r="AB5" s="39">
        <f>'FS Desroches Daily'!AV7</f>
        <v>200.00000000001705</v>
      </c>
      <c r="AC5" s="39">
        <f>'FS Desroches Daily'!AZ7</f>
        <v>40.000000000020464</v>
      </c>
      <c r="AD5" s="39">
        <f>'FS Desroches Daily'!BB7</f>
        <v>220.00000000002728</v>
      </c>
      <c r="AE5" s="39">
        <f>'FS Desroches Daily'!BD7</f>
        <v>219.99999999999886</v>
      </c>
      <c r="AF5" s="35">
        <f>'FS Desroches Daily'!BF7</f>
        <v>64</v>
      </c>
      <c r="AG5" s="36">
        <f>'FS Desroches Daily'!BH7</f>
        <v>50.000000000011369</v>
      </c>
      <c r="AH5" s="36">
        <f>'FS Desroches Daily'!BJ7</f>
        <v>60.000000000002274</v>
      </c>
      <c r="AI5" s="36">
        <f>'FS Desroches Daily'!BL7</f>
        <v>39.999999999992042</v>
      </c>
      <c r="AJ5" s="36">
        <f>'FS Desroches Daily'!BN7</f>
        <v>40.000000000020464</v>
      </c>
      <c r="AK5" s="36">
        <f>'FS Desroches Daily'!BP7</f>
        <v>50.000000000011369</v>
      </c>
      <c r="AL5" s="36">
        <f>'FS Desroches Daily'!BR7</f>
        <v>46</v>
      </c>
      <c r="AM5" s="36">
        <f>'FS Desroches Daily'!BT7</f>
        <v>50.000000000011369</v>
      </c>
      <c r="AN5" s="36">
        <f>'FS Desroches Daily'!BV7</f>
        <v>37</v>
      </c>
      <c r="AO5" s="36">
        <f>'FS Desroches Daily'!BX7</f>
        <v>60.000000000002274</v>
      </c>
      <c r="AP5" s="36">
        <f>'FS Desroches Daily'!BZ7</f>
        <v>71</v>
      </c>
      <c r="AQ5" s="35">
        <f>'FS Desroches Daily'!CB7</f>
        <v>71.80000000000291</v>
      </c>
      <c r="AR5" s="35">
        <f>'FS Desroches Daily'!CD7</f>
        <v>7.1999999999989086</v>
      </c>
      <c r="AS5" s="35">
        <f>'FS Desroches Daily'!CF7</f>
        <v>6.5</v>
      </c>
      <c r="AT5" s="35">
        <f>'FS Desroches Daily'!CH7</f>
        <v>62</v>
      </c>
      <c r="AU5" s="35">
        <f>'FS Desroches Daily'!CJ7</f>
        <v>306</v>
      </c>
      <c r="AV5" s="35">
        <f>'FS Desroches Daily'!CL7</f>
        <v>629.99999999999545</v>
      </c>
      <c r="AW5" s="35">
        <f>'FS Desroches Daily'!CM7</f>
        <v>104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1.8314999999999999</v>
      </c>
      <c r="BA5" s="35">
        <f>IF(LPG!M12-LPG!M11&lt;0,"0",(LPG!M12-LPG!M11)*1.8315)</f>
        <v>5.4944999999999995</v>
      </c>
      <c r="BB5" s="35">
        <f>IF(LPG!Q12-LPG!Q11&lt;0,"0",(LPG!Q12-LPG!Q11)*1.8315)</f>
        <v>7.3259999999999996</v>
      </c>
      <c r="BC5" s="13">
        <f>'FS Desroches Daily'!CN7</f>
        <v>25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2299.9999999999686</v>
      </c>
      <c r="F6" s="36">
        <f>'FS Desroches Daily'!F8</f>
        <v>3499.9999999998367</v>
      </c>
      <c r="G6" s="35">
        <f>'FS Desroches Daily'!H8</f>
        <v>3299.9999999998586</v>
      </c>
      <c r="H6" s="36">
        <f>'FS Desroches Daily'!J8</f>
        <v>1600.0000000000459</v>
      </c>
      <c r="I6" s="35">
        <f>'FS Desroches Daily'!L8</f>
        <v>2399.9999999999577</v>
      </c>
      <c r="J6" s="36">
        <f>'FS Desroches Daily'!N8</f>
        <v>1310.0000000000591</v>
      </c>
      <c r="K6" s="13">
        <f>'FS Desroches Daily'!P8</f>
        <v>20</v>
      </c>
      <c r="L6" s="35">
        <f>'FS Desroches Daily'!R8</f>
        <v>8</v>
      </c>
      <c r="M6" s="35">
        <f>'FS Desroches Daily'!T8</f>
        <v>1607</v>
      </c>
      <c r="N6" s="35">
        <f>'FS Desroches Daily'!V8</f>
        <v>673</v>
      </c>
      <c r="O6" s="35">
        <f>'FS Desroches Daily'!X8</f>
        <v>459.99999999997954</v>
      </c>
      <c r="P6" s="35">
        <f>'FS Desroches Daily'!Z8</f>
        <v>3099.9999999998809</v>
      </c>
      <c r="Q6" s="35">
        <f>'FS Desroches Daily'!AB8</f>
        <v>289.99999999996362</v>
      </c>
      <c r="R6" s="35">
        <f>'FS Desroches Daily'!AD8</f>
        <v>320.0000000000216</v>
      </c>
      <c r="S6" s="35">
        <f>'FS Desroches Daily'!AF8</f>
        <v>639.99999999998636</v>
      </c>
      <c r="T6" s="35">
        <f>'FS Desroches Daily'!AH8</f>
        <v>1.5999999999999091</v>
      </c>
      <c r="U6" s="39">
        <f>'FS Desroches Daily'!AJ8</f>
        <v>539.99999999996362</v>
      </c>
      <c r="V6" s="39">
        <f>'FS Desroches Daily'!AL8</f>
        <v>0.15000000000000568</v>
      </c>
      <c r="W6" s="39">
        <f>'FS Desroches Daily'!AN8</f>
        <v>0.17000000000000171</v>
      </c>
      <c r="X6" s="39">
        <f>'FS Desroches Daily'!AP8</f>
        <v>9.9999999999994316E-2</v>
      </c>
      <c r="Y6" s="39">
        <f>'FS Desroches Daily'!AR8</f>
        <v>240.00000000000909</v>
      </c>
      <c r="Z6" s="39">
        <f>'FS Desroches Daily'!AT8</f>
        <v>259.99999999999091</v>
      </c>
      <c r="AA6" s="39">
        <f>'FS Desroches Daily'!AT8</f>
        <v>259.99999999999091</v>
      </c>
      <c r="AB6" s="39">
        <f>'FS Desroches Daily'!AV8</f>
        <v>199.99999999998863</v>
      </c>
      <c r="AC6" s="39">
        <f>'FS Desroches Daily'!AZ8</f>
        <v>29.999999999972715</v>
      </c>
      <c r="AD6" s="39">
        <f>'FS Desroches Daily'!BB8</f>
        <v>149.99999999997726</v>
      </c>
      <c r="AE6" s="39">
        <f>'FS Desroches Daily'!BD8</f>
        <v>240.00000000000909</v>
      </c>
      <c r="AF6" s="35">
        <f>'FS Desroches Daily'!BF8</f>
        <v>59</v>
      </c>
      <c r="AG6" s="36">
        <f>'FS Desroches Daily'!BH8</f>
        <v>30.000000000001137</v>
      </c>
      <c r="AH6" s="36">
        <f>'FS Desroches Daily'!BJ8</f>
        <v>39.99999999996362</v>
      </c>
      <c r="AI6" s="36">
        <f>'FS Desroches Daily'!BL8</f>
        <v>40.000000000020464</v>
      </c>
      <c r="AJ6" s="36">
        <f>'FS Desroches Daily'!BN8</f>
        <v>39.999999999992042</v>
      </c>
      <c r="AK6" s="36">
        <f>'FS Desroches Daily'!BP8</f>
        <v>40.000000000020464</v>
      </c>
      <c r="AL6" s="36">
        <f>'FS Desroches Daily'!BR8</f>
        <v>37</v>
      </c>
      <c r="AM6" s="36">
        <f>'FS Desroches Daily'!BT8</f>
        <v>39.999999999992042</v>
      </c>
      <c r="AN6" s="36">
        <f>'FS Desroches Daily'!BV8</f>
        <v>36</v>
      </c>
      <c r="AO6" s="36">
        <f>'FS Desroches Daily'!BX8</f>
        <v>39.999999999992042</v>
      </c>
      <c r="AP6" s="36">
        <f>'FS Desroches Daily'!BZ8</f>
        <v>58</v>
      </c>
      <c r="AQ6" s="35">
        <f>'FS Desroches Daily'!CB8</f>
        <v>43.299999999999272</v>
      </c>
      <c r="AR6" s="35">
        <f>'FS Desroches Daily'!CD8</f>
        <v>20.5</v>
      </c>
      <c r="AS6" s="35">
        <f>'FS Desroches Daily'!CF8</f>
        <v>5.4000000000005457</v>
      </c>
      <c r="AT6" s="35">
        <f>'FS Desroches Daily'!CH8</f>
        <v>92.400000000001455</v>
      </c>
      <c r="AU6" s="35">
        <f>'FS Desroches Daily'!CJ8</f>
        <v>314</v>
      </c>
      <c r="AV6" s="35">
        <f>'FS Desroches Daily'!CL8</f>
        <v>689.99999999999773</v>
      </c>
      <c r="AW6" s="35">
        <f>'FS Desroches Daily'!CM8</f>
        <v>87.4</v>
      </c>
      <c r="AX6" s="35">
        <f>IF(LPG!F13-LPG!F12&lt;0,"0",(LPG!F13-LPG!F12)*1.8315)</f>
        <v>16.483499999999999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16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2299.9999999999686</v>
      </c>
      <c r="F7" s="36">
        <f>'FS Desroches Daily'!F9</f>
        <v>3699.9999999998145</v>
      </c>
      <c r="G7" s="35">
        <f>'FS Desroches Daily'!H9</f>
        <v>3500.0000000002806</v>
      </c>
      <c r="H7" s="36">
        <f>'FS Desroches Daily'!J9</f>
        <v>1700.0000000000348</v>
      </c>
      <c r="I7" s="35">
        <f>'FS Desroches Daily'!L9</f>
        <v>2599.9999999999359</v>
      </c>
      <c r="J7" s="36">
        <f>'FS Desroches Daily'!N9</f>
        <v>1639.9999999999864</v>
      </c>
      <c r="K7" s="13">
        <f>'FS Desroches Daily'!P9</f>
        <v>22</v>
      </c>
      <c r="L7" s="35">
        <f>'FS Desroches Daily'!R9</f>
        <v>8</v>
      </c>
      <c r="M7" s="35">
        <f>'FS Desroches Daily'!T9</f>
        <v>1391</v>
      </c>
      <c r="N7" s="35">
        <f>'FS Desroches Daily'!V9</f>
        <v>485.29999999998836</v>
      </c>
      <c r="O7" s="35">
        <f>'FS Desroches Daily'!X9</f>
        <v>449.99999999998863</v>
      </c>
      <c r="P7" s="35">
        <f>'FS Desroches Daily'!Z9</f>
        <v>3300.0000000003029</v>
      </c>
      <c r="Q7" s="35">
        <f>'FS Desroches Daily'!AB9</f>
        <v>490.00000000000909</v>
      </c>
      <c r="R7" s="35">
        <f>'FS Desroches Daily'!AD9</f>
        <v>369.99999999997613</v>
      </c>
      <c r="S7" s="35">
        <f>'FS Desroches Daily'!AF9</f>
        <v>700.00000000004547</v>
      </c>
      <c r="T7" s="35">
        <f>'FS Desroches Daily'!AH9</f>
        <v>1.6000000000000227</v>
      </c>
      <c r="U7" s="39">
        <f>'FS Desroches Daily'!AJ9</f>
        <v>530.00000000002956</v>
      </c>
      <c r="V7" s="39">
        <f>'FS Desroches Daily'!AL9</f>
        <v>0.14999999999999147</v>
      </c>
      <c r="W7" s="39">
        <f>'FS Desroches Daily'!AN9</f>
        <v>0.14000000000000057</v>
      </c>
      <c r="X7" s="39">
        <f>'FS Desroches Daily'!AP9</f>
        <v>0.12000000000000455</v>
      </c>
      <c r="Y7" s="39">
        <f>'FS Desroches Daily'!AR9</f>
        <v>180.00000000000682</v>
      </c>
      <c r="Z7" s="39">
        <f>'FS Desroches Daily'!AT9</f>
        <v>259.99999999999091</v>
      </c>
      <c r="AA7" s="39">
        <f>'FS Desroches Daily'!AT9</f>
        <v>259.99999999999091</v>
      </c>
      <c r="AB7" s="39">
        <f>'FS Desroches Daily'!AV9</f>
        <v>219.99999999999886</v>
      </c>
      <c r="AC7" s="39">
        <f>'FS Desroches Daily'!AZ9</f>
        <v>50.000000000011369</v>
      </c>
      <c r="AD7" s="39">
        <f>'FS Desroches Daily'!BB9</f>
        <v>80.000000000040927</v>
      </c>
      <c r="AE7" s="39">
        <f>'FS Desroches Daily'!BD9</f>
        <v>229.99999999998977</v>
      </c>
      <c r="AF7" s="35">
        <f>'FS Desroches Daily'!BF9</f>
        <v>64</v>
      </c>
      <c r="AG7" s="36">
        <f>'FS Desroches Daily'!BH9</f>
        <v>39.999999999992042</v>
      </c>
      <c r="AH7" s="36">
        <f>'FS Desroches Daily'!BJ9</f>
        <v>50.000000000011369</v>
      </c>
      <c r="AI7" s="36">
        <f>'FS Desroches Daily'!BL9</f>
        <v>49.999999999982947</v>
      </c>
      <c r="AJ7" s="36">
        <f>'FS Desroches Daily'!BN9</f>
        <v>39.999999999992042</v>
      </c>
      <c r="AK7" s="36">
        <f>'FS Desroches Daily'!BP9</f>
        <v>49.999999999954525</v>
      </c>
      <c r="AL7" s="36">
        <f>'FS Desroches Daily'!BR9</f>
        <v>42</v>
      </c>
      <c r="AM7" s="36">
        <f>'FS Desroches Daily'!BT9</f>
        <v>50.000000000011369</v>
      </c>
      <c r="AN7" s="36">
        <f>'FS Desroches Daily'!BV9</f>
        <v>43</v>
      </c>
      <c r="AO7" s="36">
        <f>'FS Desroches Daily'!BX9</f>
        <v>49.999999999982947</v>
      </c>
      <c r="AP7" s="36">
        <f>'FS Desroches Daily'!BZ9</f>
        <v>78</v>
      </c>
      <c r="AQ7" s="35">
        <f>'FS Desroches Daily'!CB9</f>
        <v>30.399999999997817</v>
      </c>
      <c r="AR7" s="35">
        <f>'FS Desroches Daily'!CD9</f>
        <v>11.800000000001091</v>
      </c>
      <c r="AS7" s="35">
        <f>'FS Desroches Daily'!CF9</f>
        <v>1.5999999999994543</v>
      </c>
      <c r="AT7" s="35">
        <f>'FS Desroches Daily'!CH9</f>
        <v>81</v>
      </c>
      <c r="AU7" s="35">
        <f>'FS Desroches Daily'!CJ9</f>
        <v>282</v>
      </c>
      <c r="AV7" s="35">
        <f>'FS Desroches Daily'!CL9</f>
        <v>620.00000000000455</v>
      </c>
      <c r="AW7" s="35">
        <f>'FS Desroches Daily'!CM9</f>
        <v>81.599999999999994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14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2000.0000000000018</v>
      </c>
      <c r="F8" s="36">
        <f>'FS Desroches Daily'!F10</f>
        <v>3500.0000000002806</v>
      </c>
      <c r="G8" s="35">
        <f>'FS Desroches Daily'!H10</f>
        <v>3199.9999999996476</v>
      </c>
      <c r="H8" s="36">
        <f>'FS Desroches Daily'!J10</f>
        <v>1600.0000000000459</v>
      </c>
      <c r="I8" s="35">
        <f>'FS Desroches Daily'!L10</f>
        <v>2399.9999999999577</v>
      </c>
      <c r="J8" s="36">
        <f>'FS Desroches Daily'!N10</f>
        <v>1330.0000000000409</v>
      </c>
      <c r="K8" s="13">
        <f>'FS Desroches Daily'!P10</f>
        <v>19</v>
      </c>
      <c r="L8" s="35">
        <f>'FS Desroches Daily'!R10</f>
        <v>8</v>
      </c>
      <c r="M8" s="35">
        <f>'FS Desroches Daily'!T10</f>
        <v>1181</v>
      </c>
      <c r="N8" s="35">
        <f>'FS Desroches Daily'!V10</f>
        <v>561.29999999998836</v>
      </c>
      <c r="O8" s="35">
        <f>'FS Desroches Daily'!X10</f>
        <v>420.00000000001592</v>
      </c>
      <c r="P8" s="35">
        <f>'FS Desroches Daily'!Z10</f>
        <v>3000.0000000001137</v>
      </c>
      <c r="Q8" s="35">
        <f>'FS Desroches Daily'!AB10</f>
        <v>259.99999999999091</v>
      </c>
      <c r="R8" s="35">
        <f>'FS Desroches Daily'!AD10</f>
        <v>340.00000000000341</v>
      </c>
      <c r="S8" s="35">
        <f>'FS Desroches Daily'!AF10</f>
        <v>609.9999999999568</v>
      </c>
      <c r="T8" s="35">
        <f>'FS Desroches Daily'!AH10</f>
        <v>1.3000000000000682</v>
      </c>
      <c r="U8" s="39">
        <f>'FS Desroches Daily'!AJ10</f>
        <v>469.99999999997044</v>
      </c>
      <c r="V8" s="39">
        <f>'FS Desroches Daily'!AL10</f>
        <v>0.20000000000000284</v>
      </c>
      <c r="W8" s="39">
        <f>'FS Desroches Daily'!AN10</f>
        <v>0.14000000000000057</v>
      </c>
      <c r="X8" s="39">
        <f>'FS Desroches Daily'!AP10</f>
        <v>9.9999999999994316E-2</v>
      </c>
      <c r="Y8" s="39">
        <f>'FS Desroches Daily'!AR10</f>
        <v>60.000000000002274</v>
      </c>
      <c r="Z8" s="39">
        <f>'FS Desroches Daily'!AT10</f>
        <v>79.999999999984084</v>
      </c>
      <c r="AA8" s="39">
        <f>'FS Desroches Daily'!AT10</f>
        <v>79.999999999984084</v>
      </c>
      <c r="AB8" s="39">
        <f>'FS Desroches Daily'!AV10</f>
        <v>210.00000000000796</v>
      </c>
      <c r="AC8" s="39">
        <f>'FS Desroches Daily'!AZ10</f>
        <v>40.000000000020464</v>
      </c>
      <c r="AD8" s="39">
        <f>'FS Desroches Daily'!BB10</f>
        <v>59.99999999994543</v>
      </c>
      <c r="AE8" s="39">
        <f>'FS Desroches Daily'!BD10</f>
        <v>200.00000000001705</v>
      </c>
      <c r="AF8" s="35">
        <f>'FS Desroches Daily'!BF10</f>
        <v>58</v>
      </c>
      <c r="AG8" s="36">
        <f>'FS Desroches Daily'!BH10</f>
        <v>50.000000000011369</v>
      </c>
      <c r="AH8" s="36">
        <f>'FS Desroches Daily'!BJ10</f>
        <v>50.000000000011369</v>
      </c>
      <c r="AI8" s="36">
        <f>'FS Desroches Daily'!BL10</f>
        <v>60.000000000002274</v>
      </c>
      <c r="AJ8" s="36">
        <f>'FS Desroches Daily'!BN10</f>
        <v>39.999999999992042</v>
      </c>
      <c r="AK8" s="36">
        <f>'FS Desroches Daily'!BP10</f>
        <v>50.000000000011369</v>
      </c>
      <c r="AL8" s="36">
        <f>'FS Desroches Daily'!BR10</f>
        <v>41</v>
      </c>
      <c r="AM8" s="36">
        <f>'FS Desroches Daily'!BT10</f>
        <v>39.999999999992042</v>
      </c>
      <c r="AN8" s="36">
        <f>'FS Desroches Daily'!BV10</f>
        <v>45</v>
      </c>
      <c r="AO8" s="36">
        <f>'FS Desroches Daily'!BX10</f>
        <v>40.000000000020464</v>
      </c>
      <c r="AP8" s="36">
        <f>'FS Desroches Daily'!BZ10</f>
        <v>70</v>
      </c>
      <c r="AQ8" s="35">
        <f>'FS Desroches Daily'!CB10</f>
        <v>54.400000000001455</v>
      </c>
      <c r="AR8" s="35">
        <f>'FS Desroches Daily'!CD10</f>
        <v>11.100000000000364</v>
      </c>
      <c r="AS8" s="35">
        <f>'FS Desroches Daily'!CF10</f>
        <v>5.5</v>
      </c>
      <c r="AT8" s="35">
        <f>'FS Desroches Daily'!CH10</f>
        <v>70.400000000001455</v>
      </c>
      <c r="AU8" s="35">
        <f>'FS Desroches Daily'!CJ10</f>
        <v>328</v>
      </c>
      <c r="AV8" s="35">
        <f>'FS Desroches Daily'!CL10</f>
        <v>670.00000000001592</v>
      </c>
      <c r="AW8" s="35">
        <f>'FS Desroches Daily'!CM10</f>
        <v>78.8</v>
      </c>
      <c r="AX8" s="35">
        <f>IF(LPG!F15-LPG!F14&lt;0,"0",(LPG!F15-LPG!F14)*1.8315)</f>
        <v>14.651999999999999</v>
      </c>
      <c r="AY8" s="35">
        <f>IF(LPG!H15-LPG!H14&lt;0,"0",(LPG!H15-LPG!H14)*1.8315)</f>
        <v>1.8314999999999999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5.4944999999999995</v>
      </c>
      <c r="BC8" s="13">
        <f>'FS Desroches Daily'!CN10</f>
        <v>21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1800.0000000000239</v>
      </c>
      <c r="F9" s="36">
        <f>'FS Desroches Daily'!F11</f>
        <v>3499.9999999998367</v>
      </c>
      <c r="G9" s="35">
        <f>'FS Desroches Daily'!H11</f>
        <v>2900.0000000003465</v>
      </c>
      <c r="H9" s="36">
        <f>'FS Desroches Daily'!J11</f>
        <v>1599.9999999998238</v>
      </c>
      <c r="I9" s="35">
        <f>'FS Desroches Daily'!L11</f>
        <v>2400.0000000001796</v>
      </c>
      <c r="J9" s="36">
        <f>'FS Desroches Daily'!N11</f>
        <v>1639.9999999999864</v>
      </c>
      <c r="K9" s="13">
        <f>'FS Desroches Daily'!P11</f>
        <v>19</v>
      </c>
      <c r="L9" s="35">
        <f>'FS Desroches Daily'!R11</f>
        <v>8</v>
      </c>
      <c r="M9" s="35">
        <f>'FS Desroches Daily'!T11</f>
        <v>1489.3000000000466</v>
      </c>
      <c r="N9" s="35">
        <f>'FS Desroches Daily'!V11</f>
        <v>482.5</v>
      </c>
      <c r="O9" s="35">
        <f>'FS Desroches Daily'!X11</f>
        <v>410.00000000002501</v>
      </c>
      <c r="P9" s="35">
        <f>'FS Desroches Daily'!Z11</f>
        <v>3099.9999999998809</v>
      </c>
      <c r="Q9" s="35">
        <f>'FS Desroches Daily'!AB11</f>
        <v>430.00000000000682</v>
      </c>
      <c r="R9" s="35">
        <f>'FS Desroches Daily'!AD11</f>
        <v>360.00000000001364</v>
      </c>
      <c r="S9" s="35">
        <f>'FS Desroches Daily'!AF11</f>
        <v>750</v>
      </c>
      <c r="T9" s="35">
        <f>'FS Desroches Daily'!AH11</f>
        <v>1.5</v>
      </c>
      <c r="U9" s="39">
        <f>'FS Desroches Daily'!AJ11</f>
        <v>310.00000000000227</v>
      </c>
      <c r="V9" s="39">
        <f>'FS Desroches Daily'!AL11</f>
        <v>0.20999999999999375</v>
      </c>
      <c r="W9" s="39">
        <f>'FS Desroches Daily'!AN11</f>
        <v>0.14000000000000057</v>
      </c>
      <c r="X9" s="39">
        <f>'FS Desroches Daily'!AP11</f>
        <v>0.10000000000000853</v>
      </c>
      <c r="Y9" s="39">
        <f>'FS Desroches Daily'!AR11</f>
        <v>39.999999999992042</v>
      </c>
      <c r="Z9" s="39">
        <f>'FS Desroches Daily'!AT11</f>
        <v>90.000000000031832</v>
      </c>
      <c r="AA9" s="39">
        <f>'FS Desroches Daily'!AT11</f>
        <v>90.000000000031832</v>
      </c>
      <c r="AB9" s="39">
        <f>'FS Desroches Daily'!AV11</f>
        <v>210.00000000000796</v>
      </c>
      <c r="AC9" s="39">
        <f>'FS Desroches Daily'!AZ11</f>
        <v>39.99999999996362</v>
      </c>
      <c r="AD9" s="39">
        <f>'FS Desroches Daily'!BB11</f>
        <v>60.000000000002274</v>
      </c>
      <c r="AE9" s="39">
        <f>'FS Desroches Daily'!BD11</f>
        <v>229.99999999998977</v>
      </c>
      <c r="AF9" s="35">
        <f>'FS Desroches Daily'!BF11</f>
        <v>62</v>
      </c>
      <c r="AG9" s="36">
        <f>'FS Desroches Daily'!BH11</f>
        <v>39.999999999992042</v>
      </c>
      <c r="AH9" s="36">
        <f>'FS Desroches Daily'!BJ11</f>
        <v>50.000000000011369</v>
      </c>
      <c r="AI9" s="36">
        <f>'FS Desroches Daily'!BL11</f>
        <v>39.999999999992042</v>
      </c>
      <c r="AJ9" s="36">
        <f>'FS Desroches Daily'!BN11</f>
        <v>30.000000000001137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30.000000000001137</v>
      </c>
      <c r="AN9" s="36">
        <f>'FS Desroches Daily'!BV11</f>
        <v>37</v>
      </c>
      <c r="AO9" s="36">
        <f>'FS Desroches Daily'!BX11</f>
        <v>39.999999999992042</v>
      </c>
      <c r="AP9" s="36">
        <f>'FS Desroches Daily'!BZ11</f>
        <v>61</v>
      </c>
      <c r="AQ9" s="35">
        <f>'FS Desroches Daily'!CB11</f>
        <v>62.700000000000728</v>
      </c>
      <c r="AR9" s="35">
        <f>'FS Desroches Daily'!CD11</f>
        <v>8.5</v>
      </c>
      <c r="AS9" s="35">
        <f>'FS Desroches Daily'!CF11</f>
        <v>0.9000000000005457</v>
      </c>
      <c r="AT9" s="35">
        <f>'FS Desroches Daily'!CH11</f>
        <v>64.69999999999709</v>
      </c>
      <c r="AU9" s="35">
        <f>'FS Desroches Daily'!CJ11</f>
        <v>320</v>
      </c>
      <c r="AV9" s="35">
        <f>'FS Desroches Daily'!CL11</f>
        <v>539.99999999996362</v>
      </c>
      <c r="AW9" s="35">
        <f>'FS Desroches Daily'!CM11</f>
        <v>78.3</v>
      </c>
      <c r="AX9" s="35">
        <f>IF(LPG!F16-LPG!F15&lt;0,"0",(LPG!F16-LPG!F15)*1.8315)</f>
        <v>12.820499999999999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5.4944999999999995</v>
      </c>
      <c r="BC9" s="13">
        <f>'FS Desroches Daily'!CN11</f>
        <v>23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2099.9999999999909</v>
      </c>
      <c r="F10" s="36">
        <f>'FS Desroches Daily'!F12</f>
        <v>3600.0000000000477</v>
      </c>
      <c r="G10" s="35">
        <f>'FS Desroches Daily'!H12</f>
        <v>2999.9999999996694</v>
      </c>
      <c r="H10" s="36">
        <f>'FS Desroches Daily'!J12</f>
        <v>1800.0000000000239</v>
      </c>
      <c r="I10" s="35">
        <f>'FS Desroches Daily'!L12</f>
        <v>2799.9999999999136</v>
      </c>
      <c r="J10" s="36">
        <f>'FS Desroches Daily'!N12</f>
        <v>1949.9999999999318</v>
      </c>
      <c r="K10" s="13">
        <f>'FS Desroches Daily'!P12</f>
        <v>20</v>
      </c>
      <c r="L10" s="35">
        <f>'FS Desroches Daily'!R12</f>
        <v>9</v>
      </c>
      <c r="M10" s="35">
        <f>'FS Desroches Daily'!T12</f>
        <v>1233.1999999999534</v>
      </c>
      <c r="N10" s="35">
        <f>'FS Desroches Daily'!V12</f>
        <v>588</v>
      </c>
      <c r="O10" s="35">
        <f>'FS Desroches Daily'!X12</f>
        <v>419.99999999995907</v>
      </c>
      <c r="P10" s="35">
        <f>'FS Desroches Daily'!Z12</f>
        <v>3000.0000000001137</v>
      </c>
      <c r="Q10" s="35">
        <f>'FS Desroches Daily'!AB12</f>
        <v>530.00000000002956</v>
      </c>
      <c r="R10" s="35">
        <f>'FS Desroches Daily'!AD12</f>
        <v>400.00000000000568</v>
      </c>
      <c r="S10" s="35">
        <f>'FS Desroches Daily'!AF12</f>
        <v>759.99999999999091</v>
      </c>
      <c r="T10" s="35">
        <f>'FS Desroches Daily'!AH12</f>
        <v>1.5999999999999091</v>
      </c>
      <c r="U10" s="39">
        <f>'FS Desroches Daily'!AJ12</f>
        <v>340.00000000003183</v>
      </c>
      <c r="V10" s="39">
        <f>'FS Desroches Daily'!AL12</f>
        <v>0.21000000000000796</v>
      </c>
      <c r="W10" s="39">
        <f>'FS Desroches Daily'!AN12</f>
        <v>0.15999999999999659</v>
      </c>
      <c r="X10" s="39">
        <f>'FS Desroches Daily'!AP12</f>
        <v>0.11999999999999034</v>
      </c>
      <c r="Y10" s="39">
        <f>'FS Desroches Daily'!AR12</f>
        <v>50.000000000011369</v>
      </c>
      <c r="Z10" s="39">
        <f>'FS Desroches Daily'!AT12</f>
        <v>89.999999999974989</v>
      </c>
      <c r="AA10" s="39">
        <f>'FS Desroches Daily'!AT12</f>
        <v>89.999999999974989</v>
      </c>
      <c r="AB10" s="39">
        <f>'FS Desroches Daily'!AV12</f>
        <v>219.99999999999886</v>
      </c>
      <c r="AC10" s="39">
        <f>'FS Desroches Daily'!AZ12</f>
        <v>50.000000000011369</v>
      </c>
      <c r="AD10" s="39">
        <f>'FS Desroches Daily'!BB12</f>
        <v>70.000000000050022</v>
      </c>
      <c r="AE10" s="39">
        <f>'FS Desroches Daily'!BD12</f>
        <v>219.99999999999886</v>
      </c>
      <c r="AF10" s="35">
        <f>'FS Desroches Daily'!BF12</f>
        <v>63</v>
      </c>
      <c r="AG10" s="36">
        <f>'FS Desroches Daily'!BH12</f>
        <v>30.000000000001137</v>
      </c>
      <c r="AH10" s="36">
        <f>'FS Desroches Daily'!BJ12</f>
        <v>39.99999999996362</v>
      </c>
      <c r="AI10" s="36">
        <f>'FS Desroches Daily'!BL12</f>
        <v>60.000000000002274</v>
      </c>
      <c r="AJ10" s="36">
        <f>'FS Desroches Daily'!BN12</f>
        <v>40.000000000020464</v>
      </c>
      <c r="AK10" s="36">
        <f>'FS Desroches Daily'!BP12</f>
        <v>50.000000000011369</v>
      </c>
      <c r="AL10" s="36">
        <f>'FS Desroches Daily'!BR12</f>
        <v>38</v>
      </c>
      <c r="AM10" s="36">
        <f>'FS Desroches Daily'!BT12</f>
        <v>39.999999999992042</v>
      </c>
      <c r="AN10" s="36">
        <f>'FS Desroches Daily'!BV12</f>
        <v>37</v>
      </c>
      <c r="AO10" s="36">
        <f>'FS Desroches Daily'!BX12</f>
        <v>50.000000000011369</v>
      </c>
      <c r="AP10" s="36">
        <f>'FS Desroches Daily'!BZ12</f>
        <v>53</v>
      </c>
      <c r="AQ10" s="35">
        <f>'FS Desroches Daily'!CB12</f>
        <v>51.700000000000728</v>
      </c>
      <c r="AR10" s="35">
        <f>'FS Desroches Daily'!CD12</f>
        <v>9.2999999999992724</v>
      </c>
      <c r="AS10" s="35">
        <f>'FS Desroches Daily'!CF12</f>
        <v>6.3000000000001819</v>
      </c>
      <c r="AT10" s="35">
        <f>'FS Desroches Daily'!CH12</f>
        <v>70.5</v>
      </c>
      <c r="AU10" s="35">
        <f>'FS Desroches Daily'!CJ12</f>
        <v>363</v>
      </c>
      <c r="AV10" s="35">
        <f>'FS Desroches Daily'!CL12</f>
        <v>550.00000000001137</v>
      </c>
      <c r="AW10" s="35">
        <f>'FS Desroches Daily'!CM12</f>
        <v>79</v>
      </c>
      <c r="AX10" s="35">
        <f>IF(LPG!F17-LPG!F16&lt;0,"0",(LPG!F17-LPG!F16)*1.8315)</f>
        <v>12.820499999999999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24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2000.0000000000018</v>
      </c>
      <c r="F11" s="36">
        <f>'FS Desroches Daily'!F13</f>
        <v>3499.9999999998367</v>
      </c>
      <c r="G11" s="35">
        <f>'FS Desroches Daily'!H13</f>
        <v>3200.0000000000919</v>
      </c>
      <c r="H11" s="36">
        <f>'FS Desroches Daily'!J13</f>
        <v>1700.0000000000348</v>
      </c>
      <c r="I11" s="35">
        <f>'FS Desroches Daily'!L13</f>
        <v>2499.9999999999468</v>
      </c>
      <c r="J11" s="36">
        <f>'FS Desroches Daily'!N13</f>
        <v>1930.0000000000637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1326</v>
      </c>
      <c r="N11" s="35">
        <f>'FS Desroches Daily'!V13</f>
        <v>498</v>
      </c>
      <c r="O11" s="35">
        <f>'FS Desroches Daily'!X13</f>
        <v>460.00000000003638</v>
      </c>
      <c r="P11" s="35">
        <f>'FS Desroches Daily'!Z13</f>
        <v>3099.9999999998809</v>
      </c>
      <c r="Q11" s="35">
        <f>'FS Desroches Daily'!AB13</f>
        <v>529.99999999997272</v>
      </c>
      <c r="R11" s="35">
        <f>'FS Desroches Daily'!AD13</f>
        <v>479.99999999996135</v>
      </c>
      <c r="S11" s="35">
        <f>'FS Desroches Daily'!AF13</f>
        <v>820.00000000005002</v>
      </c>
      <c r="T11" s="35">
        <f>'FS Desroches Daily'!AH13</f>
        <v>1.6000000000000227</v>
      </c>
      <c r="U11" s="39">
        <f>'FS Desroches Daily'!AJ13</f>
        <v>329.99999999998408</v>
      </c>
      <c r="V11" s="39">
        <f>'FS Desroches Daily'!AL13</f>
        <v>0.17000000000000171</v>
      </c>
      <c r="W11" s="39">
        <f>'FS Desroches Daily'!AN13</f>
        <v>0.26000000000000512</v>
      </c>
      <c r="X11" s="39">
        <f>'FS Desroches Daily'!AP13</f>
        <v>0.12000000000000455</v>
      </c>
      <c r="Y11" s="39">
        <f>'FS Desroches Daily'!AR13</f>
        <v>59.999999999973852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239.99999999998067</v>
      </c>
      <c r="AC11" s="39">
        <f>'FS Desroches Daily'!AZ13</f>
        <v>50.000000000011369</v>
      </c>
      <c r="AD11" s="39">
        <f>'FS Desroches Daily'!BB13</f>
        <v>60.000000000002274</v>
      </c>
      <c r="AE11" s="39">
        <f>'FS Desroches Daily'!BD13</f>
        <v>259.99999999999091</v>
      </c>
      <c r="AF11" s="35">
        <f>'FS Desroches Daily'!BF13</f>
        <v>64</v>
      </c>
      <c r="AG11" s="36">
        <f>'FS Desroches Daily'!BH13</f>
        <v>39.999999999992042</v>
      </c>
      <c r="AH11" s="36">
        <f>'FS Desroches Daily'!BJ13</f>
        <v>60.000000000002274</v>
      </c>
      <c r="AI11" s="36">
        <f>'FS Desroches Daily'!BL13</f>
        <v>50.000000000011369</v>
      </c>
      <c r="AJ11" s="36">
        <f>'FS Desroches Daily'!BN13</f>
        <v>30.000000000001137</v>
      </c>
      <c r="AK11" s="36">
        <f>'FS Desroches Daily'!BP13</f>
        <v>60.000000000002274</v>
      </c>
      <c r="AL11" s="36">
        <f>'FS Desroches Daily'!BR13</f>
        <v>31</v>
      </c>
      <c r="AM11" s="36">
        <f>'FS Desroches Daily'!BT13</f>
        <v>50.000000000011369</v>
      </c>
      <c r="AN11" s="36">
        <f>'FS Desroches Daily'!BV13</f>
        <v>32</v>
      </c>
      <c r="AO11" s="36">
        <f>'FS Desroches Daily'!BX13</f>
        <v>60.000000000002274</v>
      </c>
      <c r="AP11" s="36">
        <f>'FS Desroches Daily'!BZ13</f>
        <v>54</v>
      </c>
      <c r="AQ11" s="35">
        <f>'FS Desroches Daily'!CB13</f>
        <v>31.299999999999272</v>
      </c>
      <c r="AR11" s="35">
        <f>'FS Desroches Daily'!CD13</f>
        <v>10</v>
      </c>
      <c r="AS11" s="35">
        <f>'FS Desroches Daily'!CF13</f>
        <v>7.0999999999994543</v>
      </c>
      <c r="AT11" s="35">
        <f>'FS Desroches Daily'!CH13</f>
        <v>54</v>
      </c>
      <c r="AU11" s="35">
        <f>'FS Desroches Daily'!CJ13</f>
        <v>309</v>
      </c>
      <c r="AV11" s="35">
        <f>'FS Desroches Daily'!CL13</f>
        <v>589.99999999997499</v>
      </c>
      <c r="AW11" s="35">
        <f>'FS Desroches Daily'!CM13</f>
        <v>86</v>
      </c>
      <c r="AX11" s="35">
        <f>IF(LPG!F18-LPG!F17&lt;0,"0",(LPG!F18-LPG!F17)*1.8315)</f>
        <v>14.651999999999999</v>
      </c>
      <c r="AY11" s="35">
        <f>IF(LPG!H18-LPG!H17&lt;0,"0",(LPG!H18-LPG!H17)*1.8315)</f>
        <v>1.8314999999999999</v>
      </c>
      <c r="AZ11" s="35">
        <f>IF(LPG!J18-LPG!J17&lt;0,"0",(LPG!J18-LPG!J17)*1.8315)</f>
        <v>7.3259999999999996</v>
      </c>
      <c r="BA11" s="35">
        <f>IF(LPG!M18-LPG!M17&lt;0,"0",(LPG!M18-LPG!M17)*1.8315)</f>
        <v>7.3259999999999996</v>
      </c>
      <c r="BB11" s="35">
        <f>IF(LPG!Q18-LPG!Q17&lt;0,"0",(LPG!Q18-LPG!Q17)*1.8315)</f>
        <v>7.3259999999999996</v>
      </c>
      <c r="BC11" s="13">
        <f>'FS Desroches Daily'!CN13</f>
        <v>28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1900.0000000000127</v>
      </c>
      <c r="F12" s="36">
        <f>'FS Desroches Daily'!F14</f>
        <v>3300.0000000003029</v>
      </c>
      <c r="G12" s="35">
        <f>'FS Desroches Daily'!H14</f>
        <v>2800.0000000001355</v>
      </c>
      <c r="H12" s="36">
        <f>'FS Desroches Daily'!J14</f>
        <v>1500.0000000000568</v>
      </c>
      <c r="I12" s="35">
        <f>'FS Desroches Daily'!L14</f>
        <v>2299.9999999999686</v>
      </c>
      <c r="J12" s="36">
        <f>'FS Desroches Daily'!N14</f>
        <v>1469.9999999999136</v>
      </c>
      <c r="K12" s="13">
        <f>'FS Desroches Daily'!P14</f>
        <v>19</v>
      </c>
      <c r="L12" s="35">
        <f>'FS Desroches Daily'!R14</f>
        <v>9</v>
      </c>
      <c r="M12" s="35">
        <f>'FS Desroches Daily'!T14</f>
        <v>1327.4000000000233</v>
      </c>
      <c r="N12" s="35">
        <f>'FS Desroches Daily'!V14</f>
        <v>410.10000000003492</v>
      </c>
      <c r="O12" s="35">
        <f>'FS Desroches Daily'!X14</f>
        <v>409.99999999996817</v>
      </c>
      <c r="P12" s="35">
        <f>'FS Desroches Daily'!Z14</f>
        <v>2800.0000000001355</v>
      </c>
      <c r="Q12" s="35">
        <f>'FS Desroches Daily'!AB14</f>
        <v>269.99999999998181</v>
      </c>
      <c r="R12" s="35">
        <f>'FS Desroches Daily'!AD14</f>
        <v>450.00000000004547</v>
      </c>
      <c r="S12" s="35">
        <f>'FS Desroches Daily'!AF14</f>
        <v>649.99999999997726</v>
      </c>
      <c r="T12" s="35">
        <f>'FS Desroches Daily'!AH14</f>
        <v>1.3000000000000682</v>
      </c>
      <c r="U12" s="39">
        <f>'FS Desroches Daily'!AJ14</f>
        <v>300.00000000001137</v>
      </c>
      <c r="V12" s="39">
        <f>'FS Desroches Daily'!AL14</f>
        <v>0.15999999999999659</v>
      </c>
      <c r="W12" s="39">
        <f>'FS Desroches Daily'!AN14</f>
        <v>0.23000000000000398</v>
      </c>
      <c r="X12" s="39">
        <f>'FS Desroches Daily'!AP14</f>
        <v>0.14000000000000057</v>
      </c>
      <c r="Y12" s="39">
        <f>'FS Desroches Daily'!AR14</f>
        <v>60.000000000002274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230.00000000001819</v>
      </c>
      <c r="AC12" s="39">
        <f>'FS Desroches Daily'!AZ14</f>
        <v>39.99999999996362</v>
      </c>
      <c r="AD12" s="39">
        <f>'FS Desroches Daily'!BB14</f>
        <v>49.999999999954525</v>
      </c>
      <c r="AE12" s="39">
        <f>'FS Desroches Daily'!BD14</f>
        <v>219.99999999999886</v>
      </c>
      <c r="AF12" s="35">
        <f>'FS Desroches Daily'!BF14</f>
        <v>56</v>
      </c>
      <c r="AG12" s="36">
        <f>'FS Desroches Daily'!BH14</f>
        <v>40.000000000020464</v>
      </c>
      <c r="AH12" s="36">
        <f>'FS Desroches Daily'!BJ14</f>
        <v>40.000000000020464</v>
      </c>
      <c r="AI12" s="36">
        <f>'FS Desroches Daily'!BL14</f>
        <v>60.000000000002274</v>
      </c>
      <c r="AJ12" s="36">
        <f>'FS Desroches Daily'!BN14</f>
        <v>49.999999999982947</v>
      </c>
      <c r="AK12" s="36">
        <f>'FS Desroches Daily'!BP14</f>
        <v>19.99999999998181</v>
      </c>
      <c r="AL12" s="36">
        <f>'FS Desroches Daily'!BR14</f>
        <v>47</v>
      </c>
      <c r="AM12" s="36">
        <f>'FS Desroches Daily'!BT14</f>
        <v>39.999999999992042</v>
      </c>
      <c r="AN12" s="36">
        <f>'FS Desroches Daily'!BV14</f>
        <v>42</v>
      </c>
      <c r="AO12" s="36">
        <f>'FS Desroches Daily'!BX14</f>
        <v>19.99999999998181</v>
      </c>
      <c r="AP12" s="36">
        <f>'FS Desroches Daily'!BZ14</f>
        <v>64</v>
      </c>
      <c r="AQ12" s="35">
        <f>'FS Desroches Daily'!CB14</f>
        <v>28.700000000000728</v>
      </c>
      <c r="AR12" s="35">
        <f>'FS Desroches Daily'!CD14</f>
        <v>18.5</v>
      </c>
      <c r="AS12" s="35">
        <f>'FS Desroches Daily'!CF14</f>
        <v>0.6999999999998181</v>
      </c>
      <c r="AT12" s="35">
        <f>'FS Desroches Daily'!CH14</f>
        <v>52</v>
      </c>
      <c r="AU12" s="35">
        <f>'FS Desroches Daily'!CJ14</f>
        <v>269</v>
      </c>
      <c r="AV12" s="35">
        <f>'FS Desroches Daily'!CL14</f>
        <v>480.00000000001819</v>
      </c>
      <c r="AW12" s="35">
        <f>'FS Desroches Daily'!CM14</f>
        <v>81</v>
      </c>
      <c r="AX12" s="35">
        <f>IF(LPG!F19-LPG!F18&lt;0,"0",(LPG!F19-LPG!F18)*1.8315)</f>
        <v>14.651999999999999</v>
      </c>
      <c r="AY12" s="35">
        <f>IF(LPG!H19-LPG!H18&lt;0,"0",(LPG!H19-LPG!H18)*1.8315)</f>
        <v>5.4944999999999995</v>
      </c>
      <c r="AZ12" s="35">
        <f>IF(LPG!J19-LPG!J18&lt;0,"0",(LPG!J19-LPG!J18)*1.8315)</f>
        <v>5.4944999999999995</v>
      </c>
      <c r="BA12" s="35">
        <f>IF(LPG!M19-LPG!M18&lt;0,"0",(LPG!M19-LPG!M18)*1.8315)</f>
        <v>0</v>
      </c>
      <c r="BB12" s="35">
        <f>IF(LPG!Q19-LPG!Q18&lt;0,"0",(LPG!Q19-LPG!Q18)*1.8315)</f>
        <v>7.3259999999999996</v>
      </c>
      <c r="BC12" s="13">
        <f>'FS Desroches Daily'!CN14</f>
        <v>27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2399.9999999999577</v>
      </c>
      <c r="F13" s="36">
        <f>'FS Desroches Daily'!F15</f>
        <v>3499.9999999998367</v>
      </c>
      <c r="G13" s="35">
        <f>'FS Desroches Daily'!H15</f>
        <v>2800.0000000001355</v>
      </c>
      <c r="H13" s="36">
        <f>'FS Desroches Daily'!J15</f>
        <v>1700.0000000000348</v>
      </c>
      <c r="I13" s="35">
        <f>'FS Desroches Daily'!L15</f>
        <v>2099.9999999999909</v>
      </c>
      <c r="J13" s="36">
        <f>'FS Desroches Daily'!N15</f>
        <v>1760.0000000001046</v>
      </c>
      <c r="K13" s="13">
        <f>'FS Desroches Daily'!P15</f>
        <v>22</v>
      </c>
      <c r="L13" s="35">
        <f>'FS Desroches Daily'!R15</f>
        <v>7</v>
      </c>
      <c r="M13" s="35">
        <f>'FS Desroches Daily'!T15</f>
        <v>305.09999999997672</v>
      </c>
      <c r="N13" s="35">
        <f>'FS Desroches Daily'!V15</f>
        <v>230.79999999998836</v>
      </c>
      <c r="O13" s="35">
        <f>'FS Desroches Daily'!X15</f>
        <v>490.00000000000909</v>
      </c>
      <c r="P13" s="35">
        <f>'FS Desroches Daily'!Z15</f>
        <v>3099.9999999998809</v>
      </c>
      <c r="Q13" s="35">
        <f>'FS Desroches Daily'!AB15</f>
        <v>510.00000000004775</v>
      </c>
      <c r="R13" s="35">
        <f>'FS Desroches Daily'!AD15</f>
        <v>389.99999999998636</v>
      </c>
      <c r="S13" s="35">
        <f>'FS Desroches Daily'!AF15</f>
        <v>740.00000000000909</v>
      </c>
      <c r="T13" s="35">
        <f>'FS Desroches Daily'!AH15</f>
        <v>1.8999999999999773</v>
      </c>
      <c r="U13" s="39">
        <f>'FS Desroches Daily'!AJ15</f>
        <v>750</v>
      </c>
      <c r="V13" s="39">
        <f>'FS Desroches Daily'!AL15</f>
        <v>0.25</v>
      </c>
      <c r="W13" s="39">
        <f>'FS Desroches Daily'!AN15</f>
        <v>0.23999999999999488</v>
      </c>
      <c r="X13" s="39">
        <f>'FS Desroches Daily'!AP15</f>
        <v>0.23000000000000398</v>
      </c>
      <c r="Y13" s="39">
        <f>'FS Desroches Daily'!AR15</f>
        <v>90.000000000003411</v>
      </c>
      <c r="Z13" s="39">
        <f>'FS Desroches Daily'!AT15</f>
        <v>129.99999999999545</v>
      </c>
      <c r="AA13" s="39">
        <f>'FS Desroches Daily'!AT15</f>
        <v>129.99999999999545</v>
      </c>
      <c r="AB13" s="39">
        <f>'FS Desroches Daily'!AV15</f>
        <v>129.99999999999545</v>
      </c>
      <c r="AC13" s="39">
        <f>'FS Desroches Daily'!AZ15</f>
        <v>60.000000000002274</v>
      </c>
      <c r="AD13" s="39">
        <f>'FS Desroches Daily'!BB15</f>
        <v>50.000000000011369</v>
      </c>
      <c r="AE13" s="39">
        <f>'FS Desroches Daily'!BD15</f>
        <v>189.99999999999773</v>
      </c>
      <c r="AF13" s="35">
        <f>'FS Desroches Daily'!BF15</f>
        <v>53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60.000000000002274</v>
      </c>
      <c r="AJ13" s="36">
        <f>'FS Desroches Daily'!BN15</f>
        <v>50.000000000011369</v>
      </c>
      <c r="AK13" s="36">
        <f>'FS Desroches Daily'!BP15</f>
        <v>50.000000000011369</v>
      </c>
      <c r="AL13" s="36">
        <f>'FS Desroches Daily'!BR15</f>
        <v>40</v>
      </c>
      <c r="AM13" s="36">
        <f>'FS Desroches Daily'!BT15</f>
        <v>50.000000000011369</v>
      </c>
      <c r="AN13" s="36">
        <f>'FS Desroches Daily'!BV15</f>
        <v>6</v>
      </c>
      <c r="AO13" s="36">
        <f>'FS Desroches Daily'!BX15</f>
        <v>50.000000000011369</v>
      </c>
      <c r="AP13" s="36">
        <f>'FS Desroches Daily'!BZ15</f>
        <v>54</v>
      </c>
      <c r="AQ13" s="35">
        <f>'FS Desroches Daily'!CB15</f>
        <v>23.099999999998545</v>
      </c>
      <c r="AR13" s="35">
        <f>'FS Desroches Daily'!CD15</f>
        <v>16.299999999999272</v>
      </c>
      <c r="AS13" s="35">
        <f>'FS Desroches Daily'!CF15</f>
        <v>6.5</v>
      </c>
      <c r="AT13" s="35">
        <f>'FS Desroches Daily'!CH15</f>
        <v>56</v>
      </c>
      <c r="AU13" s="35">
        <f>'FS Desroches Daily'!CJ15</f>
        <v>307</v>
      </c>
      <c r="AV13" s="35">
        <f>'FS Desroches Daily'!CL15</f>
        <v>530.00000000002956</v>
      </c>
      <c r="AW13" s="35">
        <f>'FS Desroches Daily'!CM15</f>
        <v>95.7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5.4944999999999995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23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2699.9999999999245</v>
      </c>
      <c r="F14" s="36">
        <f>'FS Desroches Daily'!F16</f>
        <v>3400.0000000000696</v>
      </c>
      <c r="G14" s="35">
        <f>'FS Desroches Daily'!H16</f>
        <v>3199.9999999996476</v>
      </c>
      <c r="H14" s="36">
        <f>'FS Desroches Daily'!J16</f>
        <v>1700.0000000000348</v>
      </c>
      <c r="I14" s="35">
        <f>'FS Desroches Daily'!L16</f>
        <v>2199.9999999999795</v>
      </c>
      <c r="J14" s="36">
        <f>'FS Desroches Daily'!N16</f>
        <v>1969.9999999999136</v>
      </c>
      <c r="K14" s="13">
        <f>'FS Desroches Daily'!P16</f>
        <v>19</v>
      </c>
      <c r="L14" s="35">
        <f>'FS Desroches Daily'!R16</f>
        <v>9</v>
      </c>
      <c r="M14" s="35">
        <f>'FS Desroches Daily'!T16</f>
        <v>1077</v>
      </c>
      <c r="N14" s="35">
        <f>'FS Desroches Daily'!V16</f>
        <v>489</v>
      </c>
      <c r="O14" s="35">
        <f>'FS Desroches Daily'!X16</f>
        <v>460.00000000003638</v>
      </c>
      <c r="P14" s="35">
        <f>'FS Desroches Daily'!Z16</f>
        <v>2899.9999999999027</v>
      </c>
      <c r="Q14" s="35">
        <f>'FS Desroches Daily'!AB16</f>
        <v>560.00000000000227</v>
      </c>
      <c r="R14" s="35">
        <f>'FS Desroches Daily'!AD16</f>
        <v>439.99999999999773</v>
      </c>
      <c r="S14" s="35">
        <f>'FS Desroches Daily'!AF16</f>
        <v>839.99999999997499</v>
      </c>
      <c r="T14" s="35">
        <f>'FS Desroches Daily'!AH16</f>
        <v>2</v>
      </c>
      <c r="U14" s="39">
        <f>'FS Desroches Daily'!AJ16</f>
        <v>810.00000000000227</v>
      </c>
      <c r="V14" s="39">
        <f>'FS Desroches Daily'!AL16</f>
        <v>0.26000000000000512</v>
      </c>
      <c r="W14" s="39">
        <f>'FS Desroches Daily'!AN16</f>
        <v>0.23000000000000398</v>
      </c>
      <c r="X14" s="39">
        <f>'FS Desroches Daily'!AP16</f>
        <v>0.26999999999999602</v>
      </c>
      <c r="Y14" s="39">
        <f>'FS Desroches Daily'!AR16</f>
        <v>99.999999999994316</v>
      </c>
      <c r="Z14" s="39">
        <f>'FS Desroches Daily'!AT16</f>
        <v>139.99999999998636</v>
      </c>
      <c r="AA14" s="39">
        <f>'FS Desroches Daily'!AT16</f>
        <v>139.99999999998636</v>
      </c>
      <c r="AB14" s="39">
        <f>'FS Desroches Daily'!AV16</f>
        <v>120.00000000000455</v>
      </c>
      <c r="AC14" s="39">
        <f>'FS Desroches Daily'!AZ16</f>
        <v>50.000000000011369</v>
      </c>
      <c r="AD14" s="39">
        <f>'FS Desroches Daily'!BB16</f>
        <v>69.999999999993179</v>
      </c>
      <c r="AE14" s="39">
        <f>'FS Desroches Daily'!BD16</f>
        <v>189.99999999999773</v>
      </c>
      <c r="AF14" s="35">
        <f>'FS Desroches Daily'!BF16</f>
        <v>47</v>
      </c>
      <c r="AG14" s="36">
        <f>'FS Desroches Daily'!BH16</f>
        <v>50.000000000011369</v>
      </c>
      <c r="AH14" s="36">
        <f>'FS Desroches Daily'!BJ16</f>
        <v>69.999999999993179</v>
      </c>
      <c r="AI14" s="36">
        <f>'FS Desroches Daily'!BL16</f>
        <v>69.999999999993179</v>
      </c>
      <c r="AJ14" s="36">
        <f>'FS Desroches Daily'!BN16</f>
        <v>49.999999999982947</v>
      </c>
      <c r="AK14" s="36">
        <f>'FS Desroches Daily'!BP16</f>
        <v>60.000000000002274</v>
      </c>
      <c r="AL14" s="36">
        <f>'FS Desroches Daily'!BR16</f>
        <v>52</v>
      </c>
      <c r="AM14" s="36">
        <f>'FS Desroches Daily'!BT16</f>
        <v>60.000000000002274</v>
      </c>
      <c r="AN14" s="36">
        <f>'FS Desroches Daily'!BV16</f>
        <v>81</v>
      </c>
      <c r="AO14" s="36">
        <f>'FS Desroches Daily'!BX16</f>
        <v>60.000000000002274</v>
      </c>
      <c r="AP14" s="36">
        <f>'FS Desroches Daily'!BZ16</f>
        <v>65</v>
      </c>
      <c r="AQ14" s="35">
        <f>'FS Desroches Daily'!CB16</f>
        <v>16.299999999999272</v>
      </c>
      <c r="AR14" s="35">
        <f>'FS Desroches Daily'!CD16</f>
        <v>11.300000000001091</v>
      </c>
      <c r="AS14" s="35">
        <f>'FS Desroches Daily'!CF16</f>
        <v>14.100000000000364</v>
      </c>
      <c r="AT14" s="35">
        <f>'FS Desroches Daily'!CH16</f>
        <v>30</v>
      </c>
      <c r="AU14" s="35">
        <f>'FS Desroches Daily'!CJ16</f>
        <v>325</v>
      </c>
      <c r="AV14" s="35">
        <f>'FS Desroches Daily'!CL16</f>
        <v>589.99999999997499</v>
      </c>
      <c r="AW14" s="35">
        <f>'FS Desroches Daily'!CM16</f>
        <v>99</v>
      </c>
      <c r="AX14" s="35">
        <f>IF(LPG!F21-LPG!F20&lt;0,"0",(LPG!F21-LPG!F20)*1.8315)</f>
        <v>14.651999999999999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5.4944999999999995</v>
      </c>
      <c r="BB14" s="35">
        <f>IF(LPG!Q21-LPG!Q20&lt;0,"0",(LPG!Q21-LPG!Q20)*1.8315)</f>
        <v>5.4944999999999995</v>
      </c>
      <c r="BC14" s="13">
        <f>'FS Desroches Daily'!CN16</f>
        <v>18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1900.0000000000127</v>
      </c>
      <c r="F15" s="36">
        <f>'FS Desroches Daily'!F17</f>
        <v>3099.9999999998809</v>
      </c>
      <c r="G15" s="35">
        <f>'FS Desroches Daily'!H17</f>
        <v>2900.0000000003465</v>
      </c>
      <c r="H15" s="36">
        <f>'FS Desroches Daily'!J17</f>
        <v>1399.9999999998458</v>
      </c>
      <c r="I15" s="35">
        <f>'FS Desroches Daily'!L17</f>
        <v>1900.0000000000127</v>
      </c>
      <c r="J15" s="36">
        <f>'FS Desroches Daily'!N17</f>
        <v>1360.0000000000136</v>
      </c>
      <c r="K15" s="13">
        <f>'FS Desroches Daily'!P17</f>
        <v>26</v>
      </c>
      <c r="L15" s="35">
        <f>'FS Desroches Daily'!R17</f>
        <v>7</v>
      </c>
      <c r="M15" s="35">
        <f>'FS Desroches Daily'!T17</f>
        <v>1262</v>
      </c>
      <c r="N15" s="35">
        <f>'FS Desroches Daily'!V17</f>
        <v>608</v>
      </c>
      <c r="O15" s="35">
        <f>'FS Desroches Daily'!X17</f>
        <v>419.99999999995907</v>
      </c>
      <c r="P15" s="35">
        <f>'FS Desroches Daily'!Z17</f>
        <v>2699.9999999999245</v>
      </c>
      <c r="Q15" s="35">
        <f>'FS Desroches Daily'!AB17</f>
        <v>339.99999999997499</v>
      </c>
      <c r="R15" s="35">
        <f>'FS Desroches Daily'!AD17</f>
        <v>370.00000000000455</v>
      </c>
      <c r="S15" s="35">
        <f>'FS Desroches Daily'!AF17</f>
        <v>670.00000000001592</v>
      </c>
      <c r="T15" s="35">
        <f>'FS Desroches Daily'!AH17</f>
        <v>1.7999999999999545</v>
      </c>
      <c r="U15" s="39">
        <f>'FS Desroches Daily'!AJ17</f>
        <v>649.99999999997726</v>
      </c>
      <c r="V15" s="39">
        <f>'FS Desroches Daily'!AL17</f>
        <v>0.20999999999999375</v>
      </c>
      <c r="W15" s="39">
        <f>'FS Desroches Daily'!AN17</f>
        <v>0.17000000000000171</v>
      </c>
      <c r="X15" s="39">
        <f>'FS Desroches Daily'!AP17</f>
        <v>0.17000000000000171</v>
      </c>
      <c r="Y15" s="39">
        <f>'FS Desroches Daily'!AR17</f>
        <v>80.000000000012506</v>
      </c>
      <c r="Z15" s="39">
        <f>'FS Desroches Daily'!AT17</f>
        <v>110.00000000001364</v>
      </c>
      <c r="AA15" s="39">
        <f>'FS Desroches Daily'!AT17</f>
        <v>110.00000000001364</v>
      </c>
      <c r="AB15" s="39">
        <f>'FS Desroches Daily'!AV17</f>
        <v>129.99999999999545</v>
      </c>
      <c r="AC15" s="39">
        <f>'FS Desroches Daily'!AZ17</f>
        <v>50.000000000011369</v>
      </c>
      <c r="AD15" s="39">
        <f>'FS Desroches Daily'!BB17</f>
        <v>69.999999999993179</v>
      </c>
      <c r="AE15" s="39">
        <f>'FS Desroches Daily'!BD17</f>
        <v>100.00000000002274</v>
      </c>
      <c r="AF15" s="35">
        <f>'FS Desroches Daily'!BF17</f>
        <v>52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30.000000000001137</v>
      </c>
      <c r="AK15" s="36">
        <f>'FS Desroches Daily'!BP17</f>
        <v>39.99999999996362</v>
      </c>
      <c r="AL15" s="36">
        <f>'FS Desroches Daily'!BR17</f>
        <v>38</v>
      </c>
      <c r="AM15" s="36">
        <f>'FS Desroches Daily'!BT17</f>
        <v>30.000000000001137</v>
      </c>
      <c r="AN15" s="36">
        <f>'FS Desroches Daily'!BV17</f>
        <v>35</v>
      </c>
      <c r="AO15" s="36">
        <f>'FS Desroches Daily'!BX17</f>
        <v>30.000000000001137</v>
      </c>
      <c r="AP15" s="36">
        <f>'FS Desroches Daily'!BZ17</f>
        <v>49</v>
      </c>
      <c r="AQ15" s="35">
        <f>'FS Desroches Daily'!CB17</f>
        <v>23.100000000002183</v>
      </c>
      <c r="AR15" s="35">
        <f>'FS Desroches Daily'!CD17</f>
        <v>13.299999999999272</v>
      </c>
      <c r="AS15" s="35">
        <f>'FS Desroches Daily'!CF17</f>
        <v>5.3000000000001819</v>
      </c>
      <c r="AT15" s="35">
        <f>'FS Desroches Daily'!CH17</f>
        <v>16</v>
      </c>
      <c r="AU15" s="35">
        <f>'FS Desroches Daily'!CJ17</f>
        <v>282</v>
      </c>
      <c r="AV15" s="35">
        <f>'FS Desroches Daily'!CL17</f>
        <v>689.99999999999773</v>
      </c>
      <c r="AW15" s="35">
        <f>'FS Desroches Daily'!CM17</f>
        <v>81.2</v>
      </c>
      <c r="AX15" s="35">
        <f>IF(LPG!F22-LPG!F21&lt;0,"0",(LPG!F22-LPG!F21)*1.8315)</f>
        <v>14.651999999999999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0</v>
      </c>
      <c r="BB15" s="35">
        <f>IF(LPG!Q22-LPG!Q21&lt;0,"0",(LPG!Q22-LPG!Q21)*1.8315)</f>
        <v>5.4944999999999995</v>
      </c>
      <c r="BC15" s="13">
        <f>'FS Desroches Daily'!CN17</f>
        <v>16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 t="str">
        <f>'FS Desroches Daily'!D18</f>
        <v>0</v>
      </c>
      <c r="F16" s="36" t="str">
        <f>'FS Desroches Daily'!F18</f>
        <v>0</v>
      </c>
      <c r="G16" s="35" t="str">
        <f>'FS Desroches Daily'!H18</f>
        <v>0</v>
      </c>
      <c r="H16" s="36" t="str">
        <f>'FS Desroches Daily'!J18</f>
        <v>0</v>
      </c>
      <c r="I16" s="35" t="str">
        <f>'FS Desroches Daily'!L18</f>
        <v>0</v>
      </c>
      <c r="J16" s="36" t="str">
        <f>'FS Desroches Daily'!N18</f>
        <v/>
      </c>
      <c r="K16" s="13" t="str">
        <f>'FS Desroches Daily'!P18</f>
        <v/>
      </c>
      <c r="L16" s="35" t="str">
        <f>'FS Desroches Daily'!R18</f>
        <v/>
      </c>
      <c r="M16" s="35" t="str">
        <f>'FS Desroches Daily'!T18</f>
        <v/>
      </c>
      <c r="N16" s="35" t="str">
        <f>'FS Desroches Daily'!V18</f>
        <v/>
      </c>
      <c r="O16" s="35" t="str">
        <f>'FS Desroches Daily'!X18</f>
        <v/>
      </c>
      <c r="P16" s="35" t="str">
        <f>'FS Desroches Daily'!Z18</f>
        <v/>
      </c>
      <c r="Q16" s="35" t="str">
        <f>'FS Desroches Daily'!AB18</f>
        <v/>
      </c>
      <c r="R16" s="35" t="str">
        <f>'FS Desroches Daily'!AD18</f>
        <v/>
      </c>
      <c r="S16" s="35" t="str">
        <f>'FS Desroches Daily'!AF18</f>
        <v/>
      </c>
      <c r="T16" s="35" t="str">
        <f>'FS Desroches Daily'!AH18</f>
        <v/>
      </c>
      <c r="U16" s="39" t="str">
        <f>'FS Desroches Daily'!AJ18</f>
        <v/>
      </c>
      <c r="V16" s="39" t="str">
        <f>'FS Desroches Daily'!AL18</f>
        <v/>
      </c>
      <c r="W16" s="39" t="str">
        <f>'FS Desroches Daily'!AN18</f>
        <v/>
      </c>
      <c r="X16" s="39" t="str">
        <f>'FS Desroches Daily'!AP18</f>
        <v/>
      </c>
      <c r="Y16" s="39" t="str">
        <f>'FS Desroches Daily'!AR18</f>
        <v/>
      </c>
      <c r="Z16" s="39" t="str">
        <f>'FS Desroches Daily'!AT18</f>
        <v/>
      </c>
      <c r="AA16" s="39" t="str">
        <f>'FS Desroches Daily'!AT18</f>
        <v/>
      </c>
      <c r="AB16" s="39" t="str">
        <f>'FS Desroches Daily'!AV18</f>
        <v/>
      </c>
      <c r="AC16" s="39" t="str">
        <f>'FS Desroches Daily'!AZ18</f>
        <v/>
      </c>
      <c r="AD16" s="39" t="str">
        <f>'FS Desroches Daily'!BB18</f>
        <v/>
      </c>
      <c r="AE16" s="39" t="str">
        <f>'FS Desroches Daily'!BD18</f>
        <v/>
      </c>
      <c r="AF16" s="35" t="str">
        <f>'FS Desroches Daily'!BF18</f>
        <v/>
      </c>
      <c r="AG16" s="36" t="str">
        <f>'FS Desroches Daily'!BH18</f>
        <v/>
      </c>
      <c r="AH16" s="36" t="str">
        <f>'FS Desroches Daily'!BJ18</f>
        <v/>
      </c>
      <c r="AI16" s="36" t="str">
        <f>'FS Desroches Daily'!BL18</f>
        <v/>
      </c>
      <c r="AJ16" s="36" t="str">
        <f>'FS Desroches Daily'!BN18</f>
        <v/>
      </c>
      <c r="AK16" s="36" t="str">
        <f>'FS Desroches Daily'!BP18</f>
        <v/>
      </c>
      <c r="AL16" s="36" t="str">
        <f>'FS Desroches Daily'!BR18</f>
        <v/>
      </c>
      <c r="AM16" s="36" t="str">
        <f>'FS Desroches Daily'!BT18</f>
        <v/>
      </c>
      <c r="AN16" s="36" t="str">
        <f>'FS Desroches Daily'!BV18</f>
        <v/>
      </c>
      <c r="AO16" s="36" t="str">
        <f>'FS Desroches Daily'!BX18</f>
        <v/>
      </c>
      <c r="AP16" s="36" t="str">
        <f>'FS Desroches Daily'!BZ18</f>
        <v/>
      </c>
      <c r="AQ16" s="35" t="str">
        <f>'FS Desroches Daily'!CB18</f>
        <v/>
      </c>
      <c r="AR16" s="35" t="str">
        <f>'FS Desroches Daily'!CD18</f>
        <v/>
      </c>
      <c r="AS16" s="35" t="str">
        <f>'FS Desroches Daily'!CF18</f>
        <v/>
      </c>
      <c r="AT16" s="35" t="str">
        <f>'FS Desroches Daily'!CH18</f>
        <v/>
      </c>
      <c r="AU16" s="35" t="str">
        <f>'FS Desroches Daily'!CJ18</f>
        <v/>
      </c>
      <c r="AV16" s="35" t="str">
        <f>'FS Desroches Daily'!CL18</f>
        <v/>
      </c>
      <c r="AW16" s="35">
        <f>'FS Desroches Daily'!CM18</f>
        <v>0</v>
      </c>
      <c r="AX16" s="35" t="str">
        <f>IF(LPG!F23-LPG!F22&lt;0,"0",(LPG!F23-LPG!F22)*1.8315)</f>
        <v>0</v>
      </c>
      <c r="AY16" s="35" t="str">
        <f>IF(LPG!H23-LPG!H22&lt;0,"0",(LPG!H23-LPG!H22)*1.8315)</f>
        <v>0</v>
      </c>
      <c r="AZ16" s="35" t="str">
        <f>IF(LPG!J23-LPG!J22&lt;0,"0",(LPG!J23-LPG!J22)*1.8315)</f>
        <v>0</v>
      </c>
      <c r="BA16" s="35" t="str">
        <f>IF(LPG!M23-LPG!M22&lt;0,"0",(LPG!M23-LPG!M22)*1.8315)</f>
        <v>0</v>
      </c>
      <c r="BB16" s="35" t="str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34100.000000000015</v>
      </c>
      <c r="F33" s="17">
        <f t="shared" ref="F33:BC33" si="1">SUM(F2:F32)</f>
        <v>50100.000000000051</v>
      </c>
      <c r="G33" s="17">
        <f t="shared" si="1"/>
        <v>45500.000000000102</v>
      </c>
      <c r="H33" s="17">
        <f t="shared" si="1"/>
        <v>23199.999999999891</v>
      </c>
      <c r="I33" s="17">
        <f t="shared" si="1"/>
        <v>35799.999999999825</v>
      </c>
      <c r="J33" s="17">
        <f t="shared" si="1"/>
        <v>23449.999999999931</v>
      </c>
      <c r="K33" s="17">
        <f t="shared" si="1"/>
        <v>291</v>
      </c>
      <c r="L33" s="17">
        <f t="shared" si="1"/>
        <v>117</v>
      </c>
      <c r="M33" s="17">
        <f t="shared" si="1"/>
        <v>18163</v>
      </c>
      <c r="N33" s="17">
        <f t="shared" si="1"/>
        <v>7438</v>
      </c>
      <c r="O33" s="17">
        <f t="shared" si="1"/>
        <v>6279.9999999999727</v>
      </c>
      <c r="P33" s="17">
        <f t="shared" si="1"/>
        <v>43499.999999999876</v>
      </c>
      <c r="Q33" s="17">
        <f t="shared" si="1"/>
        <v>6379.9999999999945</v>
      </c>
      <c r="R33" s="17">
        <f t="shared" si="1"/>
        <v>5200.0000000000173</v>
      </c>
      <c r="S33" s="17">
        <f t="shared" si="1"/>
        <v>10290.00000000002</v>
      </c>
      <c r="T33" s="17">
        <f t="shared" si="1"/>
        <v>24.299999999999955</v>
      </c>
      <c r="U33" s="39">
        <f t="shared" si="1"/>
        <v>7329.9999999999827</v>
      </c>
      <c r="V33" s="39">
        <f t="shared" si="1"/>
        <v>2.7099999999999937</v>
      </c>
      <c r="W33" s="39">
        <f t="shared" si="1"/>
        <v>2.710000000000008</v>
      </c>
      <c r="X33" s="39">
        <f t="shared" si="1"/>
        <v>2.2999999999999972</v>
      </c>
      <c r="Y33" s="39">
        <f t="shared" si="1"/>
        <v>2060.0000000000023</v>
      </c>
      <c r="Z33" s="39">
        <f t="shared" si="1"/>
        <v>2540.0000000000205</v>
      </c>
      <c r="AA33" s="39">
        <f t="shared" si="1"/>
        <v>2540.0000000000205</v>
      </c>
      <c r="AB33" s="39">
        <f t="shared" si="1"/>
        <v>2750</v>
      </c>
      <c r="AC33" s="39">
        <f t="shared" si="1"/>
        <v>629.99999999999545</v>
      </c>
      <c r="AD33" s="39">
        <f t="shared" si="1"/>
        <v>1819.9999999999932</v>
      </c>
      <c r="AE33" s="39">
        <f t="shared" si="1"/>
        <v>3030.0000000000009</v>
      </c>
      <c r="AF33" s="17">
        <f t="shared" si="1"/>
        <v>846</v>
      </c>
      <c r="AG33" s="36">
        <f t="shared" si="1"/>
        <v>560.00000000000227</v>
      </c>
      <c r="AH33" s="36">
        <f t="shared" si="1"/>
        <v>730.00000000001819</v>
      </c>
      <c r="AI33" s="36">
        <f t="shared" si="1"/>
        <v>739.99999999998067</v>
      </c>
      <c r="AJ33" s="36">
        <f t="shared" si="1"/>
        <v>569.99999999999318</v>
      </c>
      <c r="AK33" s="36">
        <f t="shared" si="1"/>
        <v>669.99999999995907</v>
      </c>
      <c r="AL33" s="36">
        <f t="shared" si="1"/>
        <v>573</v>
      </c>
      <c r="AM33" s="36">
        <f t="shared" si="1"/>
        <v>629.99999999999545</v>
      </c>
      <c r="AN33" s="36">
        <f t="shared" si="1"/>
        <v>563</v>
      </c>
      <c r="AO33" s="36">
        <f t="shared" si="1"/>
        <v>640.00000000001478</v>
      </c>
      <c r="AP33" s="36">
        <f t="shared" si="1"/>
        <v>891</v>
      </c>
      <c r="AQ33" s="17">
        <f t="shared" si="1"/>
        <v>571.70000000000073</v>
      </c>
      <c r="AR33" s="17">
        <f t="shared" si="1"/>
        <v>176.89999999999964</v>
      </c>
      <c r="AS33" s="17">
        <f t="shared" si="1"/>
        <v>92.100000000000364</v>
      </c>
      <c r="AT33" s="17">
        <f t="shared" si="1"/>
        <v>866</v>
      </c>
      <c r="AU33" s="17">
        <f t="shared" si="1"/>
        <v>4271</v>
      </c>
      <c r="AV33" s="17">
        <f t="shared" si="1"/>
        <v>8889.9999999999854</v>
      </c>
      <c r="AW33" s="17">
        <f t="shared" si="1"/>
        <v>1259.3</v>
      </c>
      <c r="AX33" s="17">
        <f t="shared" si="1"/>
        <v>206.95949999999993</v>
      </c>
      <c r="AY33" s="17">
        <f t="shared" si="1"/>
        <v>54.944999999999979</v>
      </c>
      <c r="AZ33" s="17">
        <f t="shared" si="1"/>
        <v>29.303999999999995</v>
      </c>
      <c r="BA33" s="17">
        <f t="shared" si="1"/>
        <v>58.608000000000004</v>
      </c>
      <c r="BB33" s="17">
        <f t="shared" si="1"/>
        <v>80.585999999999999</v>
      </c>
      <c r="BC33" s="17">
        <f t="shared" si="1"/>
        <v>351</v>
      </c>
    </row>
    <row r="35" spans="5:55" x14ac:dyDescent="0.25">
      <c r="E35" s="42">
        <f>E33/E37</f>
        <v>0.2035966755827284</v>
      </c>
      <c r="G35" s="33">
        <f>G33-M36</f>
        <v>19899.000000000102</v>
      </c>
      <c r="AE35" s="39">
        <f>SUM(U33:AE33)</f>
        <v>22707.720000000012</v>
      </c>
      <c r="AG35" s="36">
        <f>SUM(AG33:AP33)</f>
        <v>6566.9999999999636</v>
      </c>
    </row>
    <row r="36" spans="5:55" x14ac:dyDescent="0.25">
      <c r="G36" s="33">
        <f>G35-633*14</f>
        <v>11037.000000000102</v>
      </c>
      <c r="M36" s="33">
        <f>M33+N33</f>
        <v>25601</v>
      </c>
    </row>
    <row r="37" spans="5:55" x14ac:dyDescent="0.25">
      <c r="E37" s="17">
        <f>E33+F33+G33+H33+J33-633*14</f>
        <v>167488</v>
      </c>
      <c r="G37" s="41">
        <f>M36/E37</f>
        <v>0.15285274168895682</v>
      </c>
      <c r="M37" s="39">
        <f>AE35</f>
        <v>22707.720000000012</v>
      </c>
    </row>
    <row r="38" spans="5:55" x14ac:dyDescent="0.25">
      <c r="L38" s="31">
        <f>M38/E37</f>
        <v>3.9208779136415524E-2</v>
      </c>
      <c r="M38" s="33">
        <f>AG35</f>
        <v>6566.9999999999636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K1" zoomScale="70" zoomScaleNormal="70" workbookViewId="0">
      <pane ySplit="1" topLeftCell="A2" activePane="bottomLeft" state="frozen"/>
      <selection pane="bottomLeft" activeCell="CH19" sqref="CH19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>IF((I5-I4&lt;0), "0",(I5-I4)*1000000)</f>
        <v>1900.0000000000127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6">IF((O5-O4&lt;0), "",O5-O4)</f>
        <v>22</v>
      </c>
      <c r="Q5" s="65">
        <v>4336</v>
      </c>
      <c r="R5" s="77">
        <f t="shared" ref="R5:R34" si="7">IF((Q5-Q4&lt;0), "",Q5-Q4)</f>
        <v>10</v>
      </c>
      <c r="S5" s="65">
        <v>712243</v>
      </c>
      <c r="T5" s="76">
        <f t="shared" ref="T5:T11" si="8">IF((S5-S4&lt;0), "",S5-S4)</f>
        <v>1416</v>
      </c>
      <c r="U5" s="65">
        <v>288258</v>
      </c>
      <c r="V5" s="77">
        <f t="shared" ref="V5:V34" si="9">IF((U5-U4&lt;0), "",U5-U4)</f>
        <v>559.59999999997672</v>
      </c>
      <c r="W5" s="65">
        <v>281.32</v>
      </c>
      <c r="X5" s="76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0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1">IF((AK5-AK4&lt;0), "",AK5-AK4)</f>
        <v>0.21000000000000796</v>
      </c>
      <c r="AM5" s="65">
        <v>122.52</v>
      </c>
      <c r="AN5" s="77">
        <f t="shared" ref="AN5:AN34" si="12">IF((AM5-AM4&lt;0), "",AM5-AM4)</f>
        <v>0.23999999999999488</v>
      </c>
      <c r="AO5" s="65">
        <v>121.45</v>
      </c>
      <c r="AP5" s="77">
        <f t="shared" ref="AP5:AP34" si="13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4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5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6">IF((BY5-BY4&lt;0), "",BY5-BY4)</f>
        <v>84</v>
      </c>
      <c r="CA5" s="65">
        <v>24189.9</v>
      </c>
      <c r="CB5" s="77">
        <f t="shared" ref="CB5:CB34" si="17">IF((CA5-CA4&lt;0), "",CA5-CA4)</f>
        <v>47.100000000002183</v>
      </c>
      <c r="CC5" s="65">
        <v>10289.799999999999</v>
      </c>
      <c r="CD5" s="77">
        <f t="shared" ref="CD5:CD34" si="18">IF((CC5-CC4&lt;0), "",CC5-CC4)</f>
        <v>11</v>
      </c>
      <c r="CE5" s="65">
        <v>4887.8</v>
      </c>
      <c r="CF5" s="77">
        <f t="shared" ref="CF5:CF34" si="19">IF((CE5-CE4&lt;0), "",CE5-CE4)</f>
        <v>7.5</v>
      </c>
      <c r="CG5" s="65">
        <v>36650.9</v>
      </c>
      <c r="CH5" s="77">
        <f t="shared" ref="CH5:CH34" si="20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1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>IF((I6-I5&lt;0), "0",(I6-I5)*1000000)</f>
        <v>1700.0000000000348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2">IF((M6-M5&lt;0), "",(M6-M5)*1000)</f>
        <v>1779.9999999999727</v>
      </c>
      <c r="O6" s="65">
        <v>10920</v>
      </c>
      <c r="P6" s="77">
        <f t="shared" si="6"/>
        <v>23</v>
      </c>
      <c r="Q6" s="65">
        <v>4344</v>
      </c>
      <c r="R6" s="77">
        <f t="shared" si="7"/>
        <v>8</v>
      </c>
      <c r="S6" s="65">
        <v>713754</v>
      </c>
      <c r="T6" s="76">
        <f t="shared" si="8"/>
        <v>1511</v>
      </c>
      <c r="U6" s="65">
        <v>288921</v>
      </c>
      <c r="V6" s="77">
        <f t="shared" si="9"/>
        <v>663</v>
      </c>
      <c r="W6" s="65">
        <v>281.81</v>
      </c>
      <c r="X6" s="77">
        <f t="shared" ref="X6:X34" si="23">IF((W6-W5&lt;0), "",(W6-W5)*1000)</f>
        <v>490.00000000000909</v>
      </c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0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1"/>
        <v>0.17999999999999261</v>
      </c>
      <c r="AM6" s="65">
        <v>122.72</v>
      </c>
      <c r="AN6" s="77">
        <f t="shared" si="12"/>
        <v>0.20000000000000284</v>
      </c>
      <c r="AO6" s="65">
        <v>121.6</v>
      </c>
      <c r="AP6" s="77">
        <f t="shared" si="13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4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5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6"/>
        <v>52</v>
      </c>
      <c r="CA6" s="65">
        <v>24247.1</v>
      </c>
      <c r="CB6" s="77">
        <f t="shared" si="17"/>
        <v>57.19999999999709</v>
      </c>
      <c r="CC6" s="65">
        <v>10301.6</v>
      </c>
      <c r="CD6" s="77">
        <f t="shared" si="18"/>
        <v>11.800000000001091</v>
      </c>
      <c r="CE6" s="65">
        <v>4899.3999999999996</v>
      </c>
      <c r="CF6" s="77">
        <f t="shared" si="19"/>
        <v>11.599999999999454</v>
      </c>
      <c r="CG6" s="65">
        <v>36725</v>
      </c>
      <c r="CH6" s="77">
        <f t="shared" si="20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1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>
        <v>1.4048</v>
      </c>
      <c r="D7" s="76">
        <f t="shared" si="3"/>
        <v>2499.9999999999468</v>
      </c>
      <c r="E7" s="65">
        <v>2.3374000000000001</v>
      </c>
      <c r="F7" s="76">
        <f t="shared" si="4"/>
        <v>3500.0000000002806</v>
      </c>
      <c r="G7" s="65">
        <v>2.1734</v>
      </c>
      <c r="H7" s="76">
        <f t="shared" si="5"/>
        <v>3400.0000000000696</v>
      </c>
      <c r="I7" s="65">
        <v>1.0125999999999999</v>
      </c>
      <c r="J7" s="76">
        <f>IF((I7-I6&lt;0), "0",(I7-I6)*1000000)</f>
        <v>1499.9999999998347</v>
      </c>
      <c r="K7" s="65">
        <v>1.5618000000000001</v>
      </c>
      <c r="L7" s="76">
        <f t="shared" si="0"/>
        <v>2600.0000000001578</v>
      </c>
      <c r="M7" s="65">
        <v>978.04</v>
      </c>
      <c r="N7" s="77">
        <f t="shared" si="22"/>
        <v>1620.0000000000045</v>
      </c>
      <c r="O7" s="65">
        <v>10942</v>
      </c>
      <c r="P7" s="77">
        <f t="shared" si="6"/>
        <v>22</v>
      </c>
      <c r="Q7" s="65">
        <v>4352</v>
      </c>
      <c r="R7" s="77">
        <f t="shared" si="7"/>
        <v>8</v>
      </c>
      <c r="S7" s="65">
        <v>715244</v>
      </c>
      <c r="T7" s="76">
        <f t="shared" si="8"/>
        <v>1490</v>
      </c>
      <c r="U7" s="65">
        <v>289492</v>
      </c>
      <c r="V7" s="77">
        <f t="shared" si="9"/>
        <v>571</v>
      </c>
      <c r="W7" s="65">
        <v>282.24</v>
      </c>
      <c r="X7" s="77">
        <f t="shared" si="23"/>
        <v>430.00000000000682</v>
      </c>
      <c r="Y7" s="65">
        <v>2.0754999999999999</v>
      </c>
      <c r="Z7" s="77">
        <f t="shared" si="24"/>
        <v>3099.9999999998809</v>
      </c>
      <c r="AA7" s="65">
        <v>280.48</v>
      </c>
      <c r="AB7" s="77">
        <f t="shared" si="25"/>
        <v>480.00000000001819</v>
      </c>
      <c r="AC7" s="65">
        <v>254.01</v>
      </c>
      <c r="AD7" s="77">
        <f t="shared" si="26"/>
        <v>359.99999999998522</v>
      </c>
      <c r="AE7" s="65">
        <v>376.88</v>
      </c>
      <c r="AF7" s="77">
        <f t="shared" si="27"/>
        <v>670.00000000001592</v>
      </c>
      <c r="AG7" s="65">
        <v>999.2</v>
      </c>
      <c r="AH7" s="77">
        <f t="shared" si="10"/>
        <v>2.1000000000000227</v>
      </c>
      <c r="AI7" s="65">
        <v>351.48</v>
      </c>
      <c r="AJ7" s="77">
        <f t="shared" si="28"/>
        <v>500</v>
      </c>
      <c r="AK7" s="65">
        <v>121</v>
      </c>
      <c r="AL7" s="77">
        <f t="shared" si="11"/>
        <v>0.14000000000000057</v>
      </c>
      <c r="AM7" s="65">
        <v>122.88</v>
      </c>
      <c r="AN7" s="77">
        <f t="shared" si="12"/>
        <v>0.15999999999999659</v>
      </c>
      <c r="AO7" s="65">
        <v>121.7</v>
      </c>
      <c r="AP7" s="77">
        <f t="shared" si="13"/>
        <v>0.10000000000000853</v>
      </c>
      <c r="AQ7" s="65">
        <v>197.29</v>
      </c>
      <c r="AR7" s="77">
        <f t="shared" si="29"/>
        <v>259.99999999999091</v>
      </c>
      <c r="AS7" s="65">
        <v>319.49</v>
      </c>
      <c r="AT7" s="77">
        <f t="shared" si="30"/>
        <v>259.99999999999091</v>
      </c>
      <c r="AU7" s="65">
        <v>245.09</v>
      </c>
      <c r="AV7" s="77">
        <f t="shared" si="31"/>
        <v>200.00000000001705</v>
      </c>
      <c r="AW7" s="65">
        <v>276.66000000000003</v>
      </c>
      <c r="AX7" s="77">
        <f t="shared" si="32"/>
        <v>40.000000000020464</v>
      </c>
      <c r="AY7" s="65">
        <v>328.29</v>
      </c>
      <c r="AZ7" s="77">
        <f t="shared" si="33"/>
        <v>40.000000000020464</v>
      </c>
      <c r="BA7" s="65">
        <v>348.74</v>
      </c>
      <c r="BB7" s="77">
        <f t="shared" si="34"/>
        <v>220.00000000002728</v>
      </c>
      <c r="BC7" s="65">
        <v>199.69</v>
      </c>
      <c r="BD7" s="77">
        <f t="shared" si="35"/>
        <v>219.99999999999886</v>
      </c>
      <c r="BE7" s="70">
        <v>22371</v>
      </c>
      <c r="BF7" s="77">
        <f t="shared" si="14"/>
        <v>64</v>
      </c>
      <c r="BG7" s="71">
        <v>219.47</v>
      </c>
      <c r="BH7" s="77">
        <f t="shared" si="36"/>
        <v>50.000000000011369</v>
      </c>
      <c r="BI7" s="70">
        <v>275.92</v>
      </c>
      <c r="BJ7" s="77">
        <f t="shared" si="37"/>
        <v>60.000000000002274</v>
      </c>
      <c r="BK7" s="70">
        <v>223.79</v>
      </c>
      <c r="BL7" s="77">
        <f t="shared" si="38"/>
        <v>39.999999999992042</v>
      </c>
      <c r="BM7" s="70">
        <v>206.83</v>
      </c>
      <c r="BN7" s="77">
        <f t="shared" si="39"/>
        <v>40.000000000020464</v>
      </c>
      <c r="BO7" s="70">
        <v>270.56</v>
      </c>
      <c r="BP7" s="77">
        <f t="shared" si="40"/>
        <v>50.000000000011369</v>
      </c>
      <c r="BQ7" s="70">
        <v>33795</v>
      </c>
      <c r="BR7" s="77">
        <f t="shared" si="15"/>
        <v>46</v>
      </c>
      <c r="BS7" s="70">
        <v>188</v>
      </c>
      <c r="BT7" s="77">
        <f t="shared" si="41"/>
        <v>50.000000000011369</v>
      </c>
      <c r="BU7" s="70">
        <v>24659</v>
      </c>
      <c r="BV7" s="77">
        <f t="shared" si="1"/>
        <v>37</v>
      </c>
      <c r="BW7" s="70">
        <v>217.33</v>
      </c>
      <c r="BX7" s="77">
        <f t="shared" si="42"/>
        <v>60.000000000002274</v>
      </c>
      <c r="BY7" s="72">
        <v>40750</v>
      </c>
      <c r="BZ7" s="77">
        <f t="shared" si="16"/>
        <v>71</v>
      </c>
      <c r="CA7" s="65">
        <v>24318.9</v>
      </c>
      <c r="CB7" s="77">
        <f t="shared" si="17"/>
        <v>71.80000000000291</v>
      </c>
      <c r="CC7" s="65">
        <v>10308.799999999999</v>
      </c>
      <c r="CD7" s="77">
        <f t="shared" si="18"/>
        <v>7.1999999999989086</v>
      </c>
      <c r="CE7" s="65">
        <v>4905.8999999999996</v>
      </c>
      <c r="CF7" s="77">
        <f t="shared" si="19"/>
        <v>6.5</v>
      </c>
      <c r="CG7" s="65">
        <v>36787</v>
      </c>
      <c r="CH7" s="77">
        <f t="shared" si="20"/>
        <v>62</v>
      </c>
      <c r="CI7" s="65">
        <v>815935</v>
      </c>
      <c r="CJ7" s="77">
        <f t="shared" si="2"/>
        <v>306</v>
      </c>
      <c r="CK7" s="65">
        <v>492.87</v>
      </c>
      <c r="CL7" s="76">
        <f t="shared" si="21"/>
        <v>629.99999999999545</v>
      </c>
      <c r="CM7" s="77">
        <v>104</v>
      </c>
      <c r="CN7" s="74">
        <v>25</v>
      </c>
      <c r="CO7" s="74">
        <v>61</v>
      </c>
    </row>
    <row r="8" spans="1:93" ht="25.5" customHeight="1" thickBot="1" x14ac:dyDescent="0.45">
      <c r="A8" s="75">
        <v>43835</v>
      </c>
      <c r="B8" s="49"/>
      <c r="C8" s="65">
        <v>1.4071</v>
      </c>
      <c r="D8" s="76">
        <f t="shared" si="3"/>
        <v>2299.9999999999686</v>
      </c>
      <c r="E8" s="65">
        <v>2.3409</v>
      </c>
      <c r="F8" s="76">
        <f t="shared" si="4"/>
        <v>3499.9999999998367</v>
      </c>
      <c r="G8" s="65">
        <v>2.1766999999999999</v>
      </c>
      <c r="H8" s="76">
        <f t="shared" si="5"/>
        <v>3299.9999999998586</v>
      </c>
      <c r="I8" s="65">
        <v>1.0142</v>
      </c>
      <c r="J8" s="76">
        <f>IF((I8-I7&lt;0), "0",(I8-I7)*1000000)</f>
        <v>1600.0000000000459</v>
      </c>
      <c r="K8" s="65">
        <v>1.5642</v>
      </c>
      <c r="L8" s="76">
        <f t="shared" si="0"/>
        <v>2399.9999999999577</v>
      </c>
      <c r="M8" s="65">
        <v>979.35</v>
      </c>
      <c r="N8" s="77">
        <f t="shared" si="22"/>
        <v>1310.0000000000591</v>
      </c>
      <c r="O8" s="65">
        <v>10962</v>
      </c>
      <c r="P8" s="77">
        <f t="shared" si="6"/>
        <v>20</v>
      </c>
      <c r="Q8" s="65">
        <v>4360</v>
      </c>
      <c r="R8" s="77">
        <f t="shared" si="7"/>
        <v>8</v>
      </c>
      <c r="S8" s="65">
        <v>716851</v>
      </c>
      <c r="T8" s="76">
        <f t="shared" si="8"/>
        <v>1607</v>
      </c>
      <c r="U8" s="65">
        <v>290165</v>
      </c>
      <c r="V8" s="77">
        <f t="shared" si="9"/>
        <v>673</v>
      </c>
      <c r="W8" s="65">
        <v>282.7</v>
      </c>
      <c r="X8" s="77">
        <f t="shared" si="23"/>
        <v>459.99999999997954</v>
      </c>
      <c r="Y8" s="65">
        <v>2.0785999999999998</v>
      </c>
      <c r="Z8" s="77">
        <f t="shared" si="24"/>
        <v>3099.9999999998809</v>
      </c>
      <c r="AA8" s="65">
        <v>280.77</v>
      </c>
      <c r="AB8" s="77">
        <f t="shared" si="25"/>
        <v>289.99999999996362</v>
      </c>
      <c r="AC8" s="65">
        <v>254.33</v>
      </c>
      <c r="AD8" s="77">
        <f t="shared" si="26"/>
        <v>320.0000000000216</v>
      </c>
      <c r="AE8" s="65">
        <v>377.52</v>
      </c>
      <c r="AF8" s="77">
        <f t="shared" si="27"/>
        <v>639.99999999998636</v>
      </c>
      <c r="AG8" s="65">
        <v>1000.8</v>
      </c>
      <c r="AH8" s="77">
        <f t="shared" si="10"/>
        <v>1.5999999999999091</v>
      </c>
      <c r="AI8" s="65">
        <v>352.02</v>
      </c>
      <c r="AJ8" s="77">
        <f t="shared" si="28"/>
        <v>539.99999999996362</v>
      </c>
      <c r="AK8" s="65">
        <v>121.15</v>
      </c>
      <c r="AL8" s="77">
        <f t="shared" si="11"/>
        <v>0.15000000000000568</v>
      </c>
      <c r="AM8" s="65">
        <v>123.05</v>
      </c>
      <c r="AN8" s="77">
        <f t="shared" si="12"/>
        <v>0.17000000000000171</v>
      </c>
      <c r="AO8" s="65">
        <v>121.8</v>
      </c>
      <c r="AP8" s="77">
        <f t="shared" si="13"/>
        <v>9.9999999999994316E-2</v>
      </c>
      <c r="AQ8" s="65">
        <v>197.53</v>
      </c>
      <c r="AR8" s="77">
        <f t="shared" si="29"/>
        <v>240.00000000000909</v>
      </c>
      <c r="AS8" s="65">
        <v>319.75</v>
      </c>
      <c r="AT8" s="77">
        <f t="shared" si="30"/>
        <v>259.99999999999091</v>
      </c>
      <c r="AU8" s="65">
        <v>245.29</v>
      </c>
      <c r="AV8" s="77">
        <f t="shared" si="31"/>
        <v>199.99999999998863</v>
      </c>
      <c r="AW8" s="65">
        <v>276.70999999999998</v>
      </c>
      <c r="AX8" s="77">
        <f t="shared" si="32"/>
        <v>49.999999999954525</v>
      </c>
      <c r="AY8" s="65">
        <v>328.32</v>
      </c>
      <c r="AZ8" s="77">
        <f t="shared" si="33"/>
        <v>29.999999999972715</v>
      </c>
      <c r="BA8" s="65">
        <v>348.89</v>
      </c>
      <c r="BB8" s="77">
        <f t="shared" si="34"/>
        <v>149.99999999997726</v>
      </c>
      <c r="BC8" s="65">
        <v>199.93</v>
      </c>
      <c r="BD8" s="77">
        <f t="shared" si="35"/>
        <v>240.00000000000909</v>
      </c>
      <c r="BE8" s="70">
        <v>22430</v>
      </c>
      <c r="BF8" s="77">
        <f t="shared" si="14"/>
        <v>59</v>
      </c>
      <c r="BG8" s="71">
        <v>219.5</v>
      </c>
      <c r="BH8" s="77">
        <f t="shared" si="36"/>
        <v>30.000000000001137</v>
      </c>
      <c r="BI8" s="70">
        <v>275.95999999999998</v>
      </c>
      <c r="BJ8" s="77">
        <f t="shared" si="37"/>
        <v>39.99999999996362</v>
      </c>
      <c r="BK8" s="70">
        <v>223.83</v>
      </c>
      <c r="BL8" s="77">
        <f t="shared" si="38"/>
        <v>40.000000000020464</v>
      </c>
      <c r="BM8" s="70">
        <v>206.87</v>
      </c>
      <c r="BN8" s="77">
        <f t="shared" si="39"/>
        <v>39.999999999992042</v>
      </c>
      <c r="BO8" s="70">
        <v>270.60000000000002</v>
      </c>
      <c r="BP8" s="77">
        <f t="shared" si="40"/>
        <v>40.000000000020464</v>
      </c>
      <c r="BQ8" s="70">
        <v>33832</v>
      </c>
      <c r="BR8" s="77">
        <f t="shared" si="15"/>
        <v>37</v>
      </c>
      <c r="BS8" s="70">
        <v>188.04</v>
      </c>
      <c r="BT8" s="77">
        <f t="shared" si="41"/>
        <v>39.999999999992042</v>
      </c>
      <c r="BU8" s="70">
        <v>24695</v>
      </c>
      <c r="BV8" s="77">
        <f t="shared" si="1"/>
        <v>36</v>
      </c>
      <c r="BW8" s="70">
        <v>217.37</v>
      </c>
      <c r="BX8" s="77">
        <f t="shared" si="42"/>
        <v>39.999999999992042</v>
      </c>
      <c r="BY8" s="72">
        <v>40808</v>
      </c>
      <c r="BZ8" s="77">
        <f t="shared" si="16"/>
        <v>58</v>
      </c>
      <c r="CA8" s="65">
        <v>24362.2</v>
      </c>
      <c r="CB8" s="77">
        <f t="shared" si="17"/>
        <v>43.299999999999272</v>
      </c>
      <c r="CC8" s="65">
        <v>10329.299999999999</v>
      </c>
      <c r="CD8" s="77">
        <f t="shared" si="18"/>
        <v>20.5</v>
      </c>
      <c r="CE8" s="65">
        <v>4911.3</v>
      </c>
      <c r="CF8" s="77">
        <f t="shared" si="19"/>
        <v>5.4000000000005457</v>
      </c>
      <c r="CG8" s="65">
        <v>36879.4</v>
      </c>
      <c r="CH8" s="77">
        <f t="shared" si="20"/>
        <v>92.400000000001455</v>
      </c>
      <c r="CI8" s="65">
        <v>816249</v>
      </c>
      <c r="CJ8" s="77">
        <f t="shared" si="2"/>
        <v>314</v>
      </c>
      <c r="CK8" s="65">
        <v>493.56</v>
      </c>
      <c r="CL8" s="76">
        <f t="shared" si="21"/>
        <v>689.99999999999773</v>
      </c>
      <c r="CM8" s="77">
        <v>87.4</v>
      </c>
      <c r="CN8" s="74">
        <v>16</v>
      </c>
      <c r="CO8" s="74">
        <v>44</v>
      </c>
    </row>
    <row r="9" spans="1:93" ht="25.5" customHeight="1" thickBot="1" x14ac:dyDescent="0.45">
      <c r="A9" s="75">
        <v>43836</v>
      </c>
      <c r="B9" s="49"/>
      <c r="C9" s="65">
        <v>1.4094</v>
      </c>
      <c r="D9" s="76">
        <f t="shared" si="3"/>
        <v>2299.9999999999686</v>
      </c>
      <c r="E9" s="65">
        <v>2.3445999999999998</v>
      </c>
      <c r="F9" s="76">
        <f t="shared" si="4"/>
        <v>3699.9999999998145</v>
      </c>
      <c r="G9" s="65">
        <v>2.1802000000000001</v>
      </c>
      <c r="H9" s="76">
        <f t="shared" si="5"/>
        <v>3500.0000000002806</v>
      </c>
      <c r="I9" s="65">
        <v>1.0159</v>
      </c>
      <c r="J9" s="76">
        <f t="shared" ref="J9:J34" si="43">IF((I9-I8&lt;0), "0",(I9-I8)*1000000)</f>
        <v>1700.0000000000348</v>
      </c>
      <c r="K9" s="65">
        <v>1.5668</v>
      </c>
      <c r="L9" s="76">
        <f t="shared" si="0"/>
        <v>2599.9999999999359</v>
      </c>
      <c r="M9" s="65">
        <v>980.99</v>
      </c>
      <c r="N9" s="77">
        <f t="shared" si="22"/>
        <v>1639.9999999999864</v>
      </c>
      <c r="O9" s="65">
        <v>10984</v>
      </c>
      <c r="P9" s="77">
        <f t="shared" si="6"/>
        <v>22</v>
      </c>
      <c r="Q9" s="65">
        <v>4368</v>
      </c>
      <c r="R9" s="77">
        <f t="shared" si="7"/>
        <v>8</v>
      </c>
      <c r="S9" s="65">
        <v>718242</v>
      </c>
      <c r="T9" s="76">
        <f t="shared" si="8"/>
        <v>1391</v>
      </c>
      <c r="U9" s="65">
        <v>290650.3</v>
      </c>
      <c r="V9" s="77">
        <f t="shared" si="9"/>
        <v>485.29999999998836</v>
      </c>
      <c r="W9" s="65">
        <v>283.14999999999998</v>
      </c>
      <c r="X9" s="77">
        <f t="shared" si="23"/>
        <v>449.99999999998863</v>
      </c>
      <c r="Y9" s="65">
        <v>2.0819000000000001</v>
      </c>
      <c r="Z9" s="77">
        <f t="shared" si="24"/>
        <v>3300.0000000003029</v>
      </c>
      <c r="AA9" s="65">
        <v>281.26</v>
      </c>
      <c r="AB9" s="77">
        <f t="shared" si="25"/>
        <v>490.00000000000909</v>
      </c>
      <c r="AC9" s="65">
        <v>254.7</v>
      </c>
      <c r="AD9" s="77">
        <f t="shared" si="26"/>
        <v>369.99999999997613</v>
      </c>
      <c r="AE9" s="65">
        <v>378.22</v>
      </c>
      <c r="AF9" s="77">
        <f t="shared" si="27"/>
        <v>700.00000000004547</v>
      </c>
      <c r="AG9" s="65">
        <v>1002.4</v>
      </c>
      <c r="AH9" s="77">
        <f t="shared" si="10"/>
        <v>1.6000000000000227</v>
      </c>
      <c r="AI9" s="65">
        <v>352.55</v>
      </c>
      <c r="AJ9" s="77">
        <f t="shared" si="28"/>
        <v>530.00000000002956</v>
      </c>
      <c r="AK9" s="65">
        <v>121.3</v>
      </c>
      <c r="AL9" s="77">
        <f t="shared" si="11"/>
        <v>0.14999999999999147</v>
      </c>
      <c r="AM9" s="65">
        <v>123.19</v>
      </c>
      <c r="AN9" s="77">
        <f t="shared" si="12"/>
        <v>0.14000000000000057</v>
      </c>
      <c r="AO9" s="65">
        <v>121.92</v>
      </c>
      <c r="AP9" s="77">
        <f t="shared" si="13"/>
        <v>0.12000000000000455</v>
      </c>
      <c r="AQ9" s="65">
        <v>197.71</v>
      </c>
      <c r="AR9" s="77">
        <f t="shared" si="29"/>
        <v>180.00000000000682</v>
      </c>
      <c r="AS9" s="65">
        <v>320.01</v>
      </c>
      <c r="AT9" s="77">
        <f>AT7</f>
        <v>259.99999999999091</v>
      </c>
      <c r="AU9" s="65">
        <v>245.51</v>
      </c>
      <c r="AV9" s="77">
        <f t="shared" si="31"/>
        <v>219.99999999999886</v>
      </c>
      <c r="AW9" s="65">
        <v>276.76</v>
      </c>
      <c r="AX9" s="77">
        <f t="shared" si="32"/>
        <v>50.000000000011369</v>
      </c>
      <c r="AY9" s="65">
        <v>328.37</v>
      </c>
      <c r="AZ9" s="77">
        <f t="shared" si="33"/>
        <v>50.000000000011369</v>
      </c>
      <c r="BA9" s="65">
        <v>348.97</v>
      </c>
      <c r="BB9" s="77">
        <f t="shared" si="34"/>
        <v>80.000000000040927</v>
      </c>
      <c r="BC9" s="65">
        <v>200.16</v>
      </c>
      <c r="BD9" s="77">
        <f t="shared" si="35"/>
        <v>229.99999999998977</v>
      </c>
      <c r="BE9" s="70">
        <v>22494</v>
      </c>
      <c r="BF9" s="77">
        <f t="shared" si="14"/>
        <v>64</v>
      </c>
      <c r="BG9" s="71">
        <v>219.54</v>
      </c>
      <c r="BH9" s="77">
        <f t="shared" si="36"/>
        <v>39.999999999992042</v>
      </c>
      <c r="BI9" s="70">
        <v>276.01</v>
      </c>
      <c r="BJ9" s="77">
        <f t="shared" si="37"/>
        <v>50.000000000011369</v>
      </c>
      <c r="BK9" s="70">
        <v>223.88</v>
      </c>
      <c r="BL9" s="77">
        <f t="shared" si="38"/>
        <v>49.999999999982947</v>
      </c>
      <c r="BM9" s="70">
        <v>206.91</v>
      </c>
      <c r="BN9" s="77">
        <f t="shared" si="39"/>
        <v>39.999999999992042</v>
      </c>
      <c r="BO9" s="70">
        <v>270.64999999999998</v>
      </c>
      <c r="BP9" s="77">
        <f t="shared" si="40"/>
        <v>49.999999999954525</v>
      </c>
      <c r="BQ9" s="70">
        <v>33874</v>
      </c>
      <c r="BR9" s="77">
        <f t="shared" si="15"/>
        <v>42</v>
      </c>
      <c r="BS9" s="70">
        <v>188.09</v>
      </c>
      <c r="BT9" s="77">
        <f t="shared" si="41"/>
        <v>50.000000000011369</v>
      </c>
      <c r="BU9" s="70">
        <v>24738</v>
      </c>
      <c r="BV9" s="77">
        <f t="shared" si="1"/>
        <v>43</v>
      </c>
      <c r="BW9" s="70">
        <v>217.42</v>
      </c>
      <c r="BX9" s="77">
        <f t="shared" si="42"/>
        <v>49.999999999982947</v>
      </c>
      <c r="BY9" s="72">
        <v>40886</v>
      </c>
      <c r="BZ9" s="77">
        <f t="shared" si="16"/>
        <v>78</v>
      </c>
      <c r="CA9" s="65">
        <v>24392.6</v>
      </c>
      <c r="CB9" s="77">
        <f t="shared" si="17"/>
        <v>30.399999999997817</v>
      </c>
      <c r="CC9" s="65">
        <v>10341.1</v>
      </c>
      <c r="CD9" s="77">
        <f t="shared" si="18"/>
        <v>11.800000000001091</v>
      </c>
      <c r="CE9" s="65">
        <v>4912.8999999999996</v>
      </c>
      <c r="CF9" s="77">
        <f t="shared" si="19"/>
        <v>1.5999999999994543</v>
      </c>
      <c r="CG9" s="65">
        <v>36960.400000000001</v>
      </c>
      <c r="CH9" s="77">
        <f t="shared" si="20"/>
        <v>81</v>
      </c>
      <c r="CI9" s="65">
        <v>816531</v>
      </c>
      <c r="CJ9" s="77">
        <f t="shared" si="2"/>
        <v>282</v>
      </c>
      <c r="CK9" s="65">
        <v>494.18</v>
      </c>
      <c r="CL9" s="76">
        <f t="shared" si="21"/>
        <v>620.00000000000455</v>
      </c>
      <c r="CM9" s="77">
        <v>81.599999999999994</v>
      </c>
      <c r="CN9" s="74">
        <v>14</v>
      </c>
      <c r="CO9" s="74">
        <v>34</v>
      </c>
    </row>
    <row r="10" spans="1:93" ht="25.5" customHeight="1" thickBot="1" x14ac:dyDescent="0.45">
      <c r="A10" s="75">
        <v>43837</v>
      </c>
      <c r="B10" s="49"/>
      <c r="C10" s="65">
        <v>1.4114</v>
      </c>
      <c r="D10" s="76">
        <f t="shared" si="3"/>
        <v>2000.0000000000018</v>
      </c>
      <c r="E10" s="65">
        <v>2.3481000000000001</v>
      </c>
      <c r="F10" s="76">
        <f t="shared" si="4"/>
        <v>3500.0000000002806</v>
      </c>
      <c r="G10" s="65">
        <v>2.1833999999999998</v>
      </c>
      <c r="H10" s="76">
        <f t="shared" si="5"/>
        <v>3199.9999999996476</v>
      </c>
      <c r="I10" s="65">
        <v>1.0175000000000001</v>
      </c>
      <c r="J10" s="76">
        <f t="shared" si="43"/>
        <v>1600.0000000000459</v>
      </c>
      <c r="K10" s="65">
        <v>1.5691999999999999</v>
      </c>
      <c r="L10" s="76">
        <f t="shared" si="0"/>
        <v>2399.9999999999577</v>
      </c>
      <c r="M10" s="65">
        <v>982.32</v>
      </c>
      <c r="N10" s="77">
        <f t="shared" si="22"/>
        <v>1330.0000000000409</v>
      </c>
      <c r="O10" s="65">
        <v>11003</v>
      </c>
      <c r="P10" s="77">
        <f t="shared" si="6"/>
        <v>19</v>
      </c>
      <c r="Q10" s="65">
        <v>4376</v>
      </c>
      <c r="R10" s="77">
        <f t="shared" si="7"/>
        <v>8</v>
      </c>
      <c r="S10" s="65">
        <v>719423</v>
      </c>
      <c r="T10" s="76">
        <f t="shared" si="8"/>
        <v>1181</v>
      </c>
      <c r="U10" s="65">
        <v>291211.59999999998</v>
      </c>
      <c r="V10" s="77">
        <f t="shared" si="9"/>
        <v>561.29999999998836</v>
      </c>
      <c r="W10" s="65">
        <v>283.57</v>
      </c>
      <c r="X10" s="77">
        <f t="shared" si="23"/>
        <v>420.00000000001592</v>
      </c>
      <c r="Y10" s="65">
        <v>2.0849000000000002</v>
      </c>
      <c r="Z10" s="77">
        <f t="shared" si="24"/>
        <v>3000.0000000001137</v>
      </c>
      <c r="AA10" s="65">
        <v>281.52</v>
      </c>
      <c r="AB10" s="77">
        <f t="shared" si="25"/>
        <v>259.99999999999091</v>
      </c>
      <c r="AC10" s="65">
        <v>255.04</v>
      </c>
      <c r="AD10" s="77">
        <f t="shared" si="26"/>
        <v>340.00000000000341</v>
      </c>
      <c r="AE10" s="65">
        <v>378.83</v>
      </c>
      <c r="AF10" s="77">
        <f t="shared" si="27"/>
        <v>609.9999999999568</v>
      </c>
      <c r="AG10" s="65">
        <v>1003.7</v>
      </c>
      <c r="AH10" s="77">
        <f t="shared" si="10"/>
        <v>1.3000000000000682</v>
      </c>
      <c r="AI10" s="65">
        <v>353.02</v>
      </c>
      <c r="AJ10" s="77">
        <f t="shared" si="28"/>
        <v>469.99999999997044</v>
      </c>
      <c r="AK10" s="65">
        <v>121.5</v>
      </c>
      <c r="AL10" s="77">
        <f t="shared" si="11"/>
        <v>0.20000000000000284</v>
      </c>
      <c r="AM10" s="65">
        <v>123.33</v>
      </c>
      <c r="AN10" s="77">
        <f t="shared" si="12"/>
        <v>0.14000000000000057</v>
      </c>
      <c r="AO10" s="65">
        <v>122.02</v>
      </c>
      <c r="AP10" s="77">
        <f t="shared" si="13"/>
        <v>9.9999999999994316E-2</v>
      </c>
      <c r="AQ10" s="65">
        <v>197.77</v>
      </c>
      <c r="AR10" s="77">
        <f t="shared" si="29"/>
        <v>60.000000000002274</v>
      </c>
      <c r="AS10" s="65">
        <v>320.08999999999997</v>
      </c>
      <c r="AT10" s="77">
        <f t="shared" si="30"/>
        <v>79.999999999984084</v>
      </c>
      <c r="AU10" s="65">
        <v>245.72</v>
      </c>
      <c r="AV10" s="77">
        <f t="shared" si="31"/>
        <v>210.00000000000796</v>
      </c>
      <c r="AW10" s="65">
        <v>276.81</v>
      </c>
      <c r="AX10" s="77">
        <f t="shared" si="32"/>
        <v>50.000000000011369</v>
      </c>
      <c r="AY10" s="65">
        <v>328.41</v>
      </c>
      <c r="AZ10" s="77">
        <f t="shared" si="33"/>
        <v>40.000000000020464</v>
      </c>
      <c r="BA10" s="65">
        <v>349.03</v>
      </c>
      <c r="BB10" s="77">
        <f t="shared" si="34"/>
        <v>59.99999999994543</v>
      </c>
      <c r="BC10" s="65">
        <v>200.36</v>
      </c>
      <c r="BD10" s="77">
        <f t="shared" si="35"/>
        <v>200.00000000001705</v>
      </c>
      <c r="BE10" s="70">
        <v>22552</v>
      </c>
      <c r="BF10" s="77">
        <f t="shared" si="14"/>
        <v>58</v>
      </c>
      <c r="BG10" s="71">
        <v>219.59</v>
      </c>
      <c r="BH10" s="77">
        <f t="shared" si="36"/>
        <v>50.000000000011369</v>
      </c>
      <c r="BI10" s="70">
        <v>276.06</v>
      </c>
      <c r="BJ10" s="77">
        <f t="shared" si="37"/>
        <v>50.000000000011369</v>
      </c>
      <c r="BK10" s="70">
        <v>223.94</v>
      </c>
      <c r="BL10" s="77">
        <f t="shared" si="38"/>
        <v>60.000000000002274</v>
      </c>
      <c r="BM10" s="70">
        <v>206.95</v>
      </c>
      <c r="BN10" s="77">
        <f t="shared" si="39"/>
        <v>39.999999999992042</v>
      </c>
      <c r="BO10" s="70">
        <v>270.7</v>
      </c>
      <c r="BP10" s="77">
        <f t="shared" si="40"/>
        <v>50.000000000011369</v>
      </c>
      <c r="BQ10" s="70">
        <v>33915</v>
      </c>
      <c r="BR10" s="77">
        <f t="shared" si="15"/>
        <v>41</v>
      </c>
      <c r="BS10" s="70">
        <v>188.13</v>
      </c>
      <c r="BT10" s="77">
        <f t="shared" si="41"/>
        <v>39.999999999992042</v>
      </c>
      <c r="BU10" s="70">
        <v>24783</v>
      </c>
      <c r="BV10" s="77">
        <f t="shared" si="1"/>
        <v>45</v>
      </c>
      <c r="BW10" s="70">
        <v>217.46</v>
      </c>
      <c r="BX10" s="77">
        <f t="shared" si="42"/>
        <v>40.000000000020464</v>
      </c>
      <c r="BY10" s="72">
        <v>40956</v>
      </c>
      <c r="BZ10" s="77">
        <f t="shared" si="16"/>
        <v>70</v>
      </c>
      <c r="CA10" s="65">
        <v>24447</v>
      </c>
      <c r="CB10" s="77">
        <f t="shared" si="17"/>
        <v>54.400000000001455</v>
      </c>
      <c r="CC10" s="65">
        <v>10352.200000000001</v>
      </c>
      <c r="CD10" s="77">
        <f t="shared" si="18"/>
        <v>11.100000000000364</v>
      </c>
      <c r="CE10" s="65">
        <v>4918.3999999999996</v>
      </c>
      <c r="CF10" s="77">
        <f t="shared" si="19"/>
        <v>5.5</v>
      </c>
      <c r="CG10" s="65">
        <v>37030.800000000003</v>
      </c>
      <c r="CH10" s="77">
        <f t="shared" si="20"/>
        <v>70.400000000001455</v>
      </c>
      <c r="CI10" s="65">
        <v>816859</v>
      </c>
      <c r="CJ10" s="77">
        <f t="shared" si="2"/>
        <v>328</v>
      </c>
      <c r="CK10" s="65">
        <v>494.85</v>
      </c>
      <c r="CL10" s="76">
        <f t="shared" si="21"/>
        <v>670.00000000001592</v>
      </c>
      <c r="CM10" s="77">
        <v>78.8</v>
      </c>
      <c r="CN10" s="74">
        <v>21</v>
      </c>
      <c r="CO10" s="74">
        <v>44</v>
      </c>
    </row>
    <row r="11" spans="1:93" ht="25.5" customHeight="1" thickBot="1" x14ac:dyDescent="0.45">
      <c r="A11" s="75">
        <v>43838</v>
      </c>
      <c r="B11" s="49"/>
      <c r="C11" s="65">
        <v>1.4132</v>
      </c>
      <c r="D11" s="76">
        <f t="shared" si="3"/>
        <v>1800.0000000000239</v>
      </c>
      <c r="E11" s="65">
        <v>2.3515999999999999</v>
      </c>
      <c r="F11" s="76">
        <f t="shared" si="4"/>
        <v>3499.9999999998367</v>
      </c>
      <c r="G11" s="65">
        <v>2.1863000000000001</v>
      </c>
      <c r="H11" s="76">
        <f t="shared" si="5"/>
        <v>2900.0000000003465</v>
      </c>
      <c r="I11" s="65">
        <v>1.0190999999999999</v>
      </c>
      <c r="J11" s="76">
        <f t="shared" si="43"/>
        <v>1599.9999999998238</v>
      </c>
      <c r="K11" s="65">
        <v>1.5716000000000001</v>
      </c>
      <c r="L11" s="76">
        <f t="shared" si="0"/>
        <v>2400.0000000001796</v>
      </c>
      <c r="M11" s="65">
        <v>983.96</v>
      </c>
      <c r="N11" s="77">
        <f t="shared" si="22"/>
        <v>1639.9999999999864</v>
      </c>
      <c r="O11" s="65">
        <v>11022</v>
      </c>
      <c r="P11" s="77">
        <f t="shared" si="6"/>
        <v>19</v>
      </c>
      <c r="Q11" s="65">
        <v>4384</v>
      </c>
      <c r="R11" s="77">
        <f t="shared" si="7"/>
        <v>8</v>
      </c>
      <c r="S11" s="65">
        <v>720912.3</v>
      </c>
      <c r="T11" s="76">
        <f t="shared" si="8"/>
        <v>1489.3000000000466</v>
      </c>
      <c r="U11" s="65">
        <v>291694.09999999998</v>
      </c>
      <c r="V11" s="77">
        <f t="shared" si="9"/>
        <v>482.5</v>
      </c>
      <c r="W11" s="65">
        <v>283.98</v>
      </c>
      <c r="X11" s="77">
        <f t="shared" si="23"/>
        <v>410.00000000002501</v>
      </c>
      <c r="Y11" s="65">
        <v>2.0880000000000001</v>
      </c>
      <c r="Z11" s="77">
        <f t="shared" si="24"/>
        <v>3099.9999999998809</v>
      </c>
      <c r="AA11" s="65">
        <v>281.95</v>
      </c>
      <c r="AB11" s="77">
        <f t="shared" si="25"/>
        <v>430.00000000000682</v>
      </c>
      <c r="AC11" s="65">
        <v>255.4</v>
      </c>
      <c r="AD11" s="77">
        <f t="shared" si="26"/>
        <v>360.00000000001364</v>
      </c>
      <c r="AE11" s="65">
        <v>379.58</v>
      </c>
      <c r="AF11" s="77">
        <f t="shared" si="27"/>
        <v>750</v>
      </c>
      <c r="AG11" s="65">
        <v>1005.2</v>
      </c>
      <c r="AH11" s="77">
        <f t="shared" si="10"/>
        <v>1.5</v>
      </c>
      <c r="AI11" s="65">
        <v>353.33</v>
      </c>
      <c r="AJ11" s="77">
        <f t="shared" si="28"/>
        <v>310.00000000000227</v>
      </c>
      <c r="AK11" s="65">
        <v>121.71</v>
      </c>
      <c r="AL11" s="77">
        <f t="shared" si="11"/>
        <v>0.20999999999999375</v>
      </c>
      <c r="AM11" s="65">
        <v>123.47</v>
      </c>
      <c r="AN11" s="77">
        <f t="shared" si="12"/>
        <v>0.14000000000000057</v>
      </c>
      <c r="AO11" s="65">
        <v>122.12</v>
      </c>
      <c r="AP11" s="77">
        <f t="shared" si="13"/>
        <v>0.10000000000000853</v>
      </c>
      <c r="AQ11" s="65">
        <v>197.81</v>
      </c>
      <c r="AR11" s="77">
        <f t="shared" si="29"/>
        <v>39.999999999992042</v>
      </c>
      <c r="AS11" s="65">
        <v>320.18</v>
      </c>
      <c r="AT11" s="77">
        <f t="shared" si="30"/>
        <v>90.000000000031832</v>
      </c>
      <c r="AU11" s="65">
        <v>245.93</v>
      </c>
      <c r="AV11" s="77">
        <f t="shared" si="31"/>
        <v>210.00000000000796</v>
      </c>
      <c r="AW11" s="65">
        <v>276.87</v>
      </c>
      <c r="AX11" s="77">
        <f t="shared" si="32"/>
        <v>60.000000000002274</v>
      </c>
      <c r="AY11" s="65">
        <v>328.45</v>
      </c>
      <c r="AZ11" s="77">
        <f t="shared" si="33"/>
        <v>39.99999999996362</v>
      </c>
      <c r="BA11" s="65">
        <v>349.09</v>
      </c>
      <c r="BB11" s="77">
        <f t="shared" si="34"/>
        <v>60.000000000002274</v>
      </c>
      <c r="BC11" s="65">
        <v>200.59</v>
      </c>
      <c r="BD11" s="77">
        <f t="shared" si="35"/>
        <v>229.99999999998977</v>
      </c>
      <c r="BE11" s="70">
        <v>22614</v>
      </c>
      <c r="BF11" s="77">
        <f t="shared" si="14"/>
        <v>62</v>
      </c>
      <c r="BG11" s="71">
        <v>219.63</v>
      </c>
      <c r="BH11" s="77">
        <f t="shared" si="36"/>
        <v>39.999999999992042</v>
      </c>
      <c r="BI11" s="70">
        <v>276.11</v>
      </c>
      <c r="BJ11" s="77">
        <f t="shared" si="37"/>
        <v>50.000000000011369</v>
      </c>
      <c r="BK11" s="70">
        <v>223.98</v>
      </c>
      <c r="BL11" s="77">
        <f t="shared" si="38"/>
        <v>39.999999999992042</v>
      </c>
      <c r="BM11" s="70">
        <v>206.98</v>
      </c>
      <c r="BN11" s="77">
        <f t="shared" si="39"/>
        <v>30.000000000001137</v>
      </c>
      <c r="BO11" s="70">
        <v>270.74</v>
      </c>
      <c r="BP11" s="77">
        <f t="shared" si="40"/>
        <v>40.000000000020464</v>
      </c>
      <c r="BQ11" s="70">
        <v>33951</v>
      </c>
      <c r="BR11" s="77">
        <f t="shared" si="15"/>
        <v>36</v>
      </c>
      <c r="BS11" s="70">
        <v>188.16</v>
      </c>
      <c r="BT11" s="77">
        <f t="shared" si="41"/>
        <v>30.000000000001137</v>
      </c>
      <c r="BU11" s="70">
        <v>24820</v>
      </c>
      <c r="BV11" s="77">
        <f t="shared" si="1"/>
        <v>37</v>
      </c>
      <c r="BW11" s="70">
        <v>217.5</v>
      </c>
      <c r="BX11" s="77">
        <f t="shared" si="42"/>
        <v>39.999999999992042</v>
      </c>
      <c r="BY11" s="72">
        <v>41017</v>
      </c>
      <c r="BZ11" s="77">
        <f t="shared" si="16"/>
        <v>61</v>
      </c>
      <c r="CA11" s="65">
        <v>24509.7</v>
      </c>
      <c r="CB11" s="77">
        <f t="shared" si="17"/>
        <v>62.700000000000728</v>
      </c>
      <c r="CC11" s="65">
        <v>10360.700000000001</v>
      </c>
      <c r="CD11" s="77">
        <f t="shared" si="18"/>
        <v>8.5</v>
      </c>
      <c r="CE11" s="65">
        <v>4919.3</v>
      </c>
      <c r="CF11" s="77">
        <f t="shared" si="19"/>
        <v>0.9000000000005457</v>
      </c>
      <c r="CG11" s="65">
        <v>37095.5</v>
      </c>
      <c r="CH11" s="77">
        <f t="shared" si="20"/>
        <v>64.69999999999709</v>
      </c>
      <c r="CI11" s="65">
        <v>817179</v>
      </c>
      <c r="CJ11" s="77">
        <f t="shared" si="2"/>
        <v>320</v>
      </c>
      <c r="CK11" s="65">
        <v>495.39</v>
      </c>
      <c r="CL11" s="76">
        <f t="shared" si="21"/>
        <v>539.99999999996362</v>
      </c>
      <c r="CM11" s="77">
        <v>78.3</v>
      </c>
      <c r="CN11" s="74">
        <v>23</v>
      </c>
      <c r="CO11" s="74">
        <v>49</v>
      </c>
    </row>
    <row r="12" spans="1:93" ht="25.5" customHeight="1" thickBot="1" x14ac:dyDescent="0.45">
      <c r="A12" s="75">
        <v>43839</v>
      </c>
      <c r="B12" s="49"/>
      <c r="C12" s="65">
        <v>1.4153</v>
      </c>
      <c r="D12" s="76">
        <f t="shared" si="3"/>
        <v>2099.9999999999909</v>
      </c>
      <c r="E12" s="65">
        <v>2.3552</v>
      </c>
      <c r="F12" s="76">
        <f t="shared" si="4"/>
        <v>3600.0000000000477</v>
      </c>
      <c r="G12" s="65">
        <v>2.1892999999999998</v>
      </c>
      <c r="H12" s="76">
        <f t="shared" si="5"/>
        <v>2999.9999999996694</v>
      </c>
      <c r="I12" s="65">
        <v>1.0208999999999999</v>
      </c>
      <c r="J12" s="76">
        <f t="shared" si="43"/>
        <v>1800.0000000000239</v>
      </c>
      <c r="K12" s="65">
        <v>1.5744</v>
      </c>
      <c r="L12" s="76">
        <f t="shared" si="0"/>
        <v>2799.9999999999136</v>
      </c>
      <c r="M12" s="65">
        <v>985.91</v>
      </c>
      <c r="N12" s="77">
        <f t="shared" si="22"/>
        <v>1949.9999999999318</v>
      </c>
      <c r="O12" s="65">
        <v>11042</v>
      </c>
      <c r="P12" s="77">
        <f t="shared" si="6"/>
        <v>20</v>
      </c>
      <c r="Q12" s="65">
        <v>4393</v>
      </c>
      <c r="R12" s="77">
        <f t="shared" si="7"/>
        <v>9</v>
      </c>
      <c r="S12" s="65">
        <v>722145.5</v>
      </c>
      <c r="T12" s="77">
        <f t="shared" ref="T12:T34" si="44">IF((S12-S11&lt;0), "",S12-S11)</f>
        <v>1233.1999999999534</v>
      </c>
      <c r="U12" s="65">
        <v>292282.09999999998</v>
      </c>
      <c r="V12" s="77">
        <f t="shared" si="9"/>
        <v>588</v>
      </c>
      <c r="W12" s="65">
        <v>284.39999999999998</v>
      </c>
      <c r="X12" s="77">
        <f t="shared" si="23"/>
        <v>419.99999999995907</v>
      </c>
      <c r="Y12" s="65">
        <v>2.0910000000000002</v>
      </c>
      <c r="Z12" s="77">
        <f t="shared" si="24"/>
        <v>3000.0000000001137</v>
      </c>
      <c r="AA12" s="65">
        <v>282.48</v>
      </c>
      <c r="AB12" s="77">
        <f t="shared" si="25"/>
        <v>530.00000000002956</v>
      </c>
      <c r="AC12" s="65">
        <v>255.8</v>
      </c>
      <c r="AD12" s="77">
        <f t="shared" si="26"/>
        <v>400.00000000000568</v>
      </c>
      <c r="AE12" s="65">
        <v>380.34</v>
      </c>
      <c r="AF12" s="77">
        <f t="shared" si="27"/>
        <v>759.99999999999091</v>
      </c>
      <c r="AG12" s="65">
        <v>1006.8</v>
      </c>
      <c r="AH12" s="77">
        <f t="shared" si="10"/>
        <v>1.5999999999999091</v>
      </c>
      <c r="AI12" s="65">
        <v>353.67</v>
      </c>
      <c r="AJ12" s="77">
        <f t="shared" si="28"/>
        <v>340.00000000003183</v>
      </c>
      <c r="AK12" s="65">
        <v>121.92</v>
      </c>
      <c r="AL12" s="77">
        <f t="shared" si="11"/>
        <v>0.21000000000000796</v>
      </c>
      <c r="AM12" s="65">
        <v>123.63</v>
      </c>
      <c r="AN12" s="77">
        <f t="shared" si="12"/>
        <v>0.15999999999999659</v>
      </c>
      <c r="AO12" s="65">
        <v>122.24</v>
      </c>
      <c r="AP12" s="77">
        <f t="shared" si="13"/>
        <v>0.11999999999999034</v>
      </c>
      <c r="AQ12" s="65">
        <v>197.86</v>
      </c>
      <c r="AR12" s="77">
        <f t="shared" si="29"/>
        <v>50.000000000011369</v>
      </c>
      <c r="AS12" s="65">
        <v>320.27</v>
      </c>
      <c r="AT12" s="77">
        <f t="shared" si="30"/>
        <v>89.999999999974989</v>
      </c>
      <c r="AU12" s="65">
        <v>246.15</v>
      </c>
      <c r="AV12" s="77">
        <f t="shared" si="31"/>
        <v>219.99999999999886</v>
      </c>
      <c r="AW12" s="65">
        <v>276.93</v>
      </c>
      <c r="AX12" s="77">
        <f t="shared" si="32"/>
        <v>60.000000000002274</v>
      </c>
      <c r="AY12" s="65">
        <v>328.5</v>
      </c>
      <c r="AZ12" s="77">
        <f t="shared" si="33"/>
        <v>50.000000000011369</v>
      </c>
      <c r="BA12" s="65">
        <v>349.16</v>
      </c>
      <c r="BB12" s="77">
        <f t="shared" si="34"/>
        <v>70.000000000050022</v>
      </c>
      <c r="BC12" s="65">
        <v>200.81</v>
      </c>
      <c r="BD12" s="77">
        <f t="shared" si="35"/>
        <v>219.99999999999886</v>
      </c>
      <c r="BE12" s="70">
        <v>22677</v>
      </c>
      <c r="BF12" s="77">
        <f t="shared" si="14"/>
        <v>63</v>
      </c>
      <c r="BG12" s="71">
        <v>219.66</v>
      </c>
      <c r="BH12" s="77">
        <f t="shared" si="36"/>
        <v>30.000000000001137</v>
      </c>
      <c r="BI12" s="70">
        <v>276.14999999999998</v>
      </c>
      <c r="BJ12" s="77">
        <f t="shared" si="37"/>
        <v>39.99999999996362</v>
      </c>
      <c r="BK12" s="70">
        <v>224.04</v>
      </c>
      <c r="BL12" s="77">
        <f t="shared" si="38"/>
        <v>60.000000000002274</v>
      </c>
      <c r="BM12" s="70">
        <v>207.02</v>
      </c>
      <c r="BN12" s="77">
        <f t="shared" si="39"/>
        <v>40.000000000020464</v>
      </c>
      <c r="BO12" s="70">
        <v>270.79000000000002</v>
      </c>
      <c r="BP12" s="77">
        <f t="shared" si="40"/>
        <v>50.000000000011369</v>
      </c>
      <c r="BQ12" s="70">
        <v>33989</v>
      </c>
      <c r="BR12" s="77">
        <f t="shared" si="15"/>
        <v>38</v>
      </c>
      <c r="BS12" s="70">
        <v>188.2</v>
      </c>
      <c r="BT12" s="77">
        <f t="shared" si="41"/>
        <v>39.999999999992042</v>
      </c>
      <c r="BU12" s="70">
        <v>24857</v>
      </c>
      <c r="BV12" s="77">
        <f t="shared" si="1"/>
        <v>37</v>
      </c>
      <c r="BW12" s="70">
        <v>217.55</v>
      </c>
      <c r="BX12" s="77">
        <f t="shared" si="42"/>
        <v>50.000000000011369</v>
      </c>
      <c r="BY12" s="72">
        <v>41070</v>
      </c>
      <c r="BZ12" s="77">
        <f t="shared" si="16"/>
        <v>53</v>
      </c>
      <c r="CA12" s="65">
        <v>24561.4</v>
      </c>
      <c r="CB12" s="77">
        <f t="shared" si="17"/>
        <v>51.700000000000728</v>
      </c>
      <c r="CC12" s="65">
        <v>10370</v>
      </c>
      <c r="CD12" s="77">
        <f t="shared" si="18"/>
        <v>9.2999999999992724</v>
      </c>
      <c r="CE12" s="65">
        <v>4925.6000000000004</v>
      </c>
      <c r="CF12" s="77">
        <f t="shared" si="19"/>
        <v>6.3000000000001819</v>
      </c>
      <c r="CG12" s="65">
        <v>37166</v>
      </c>
      <c r="CH12" s="77">
        <f t="shared" si="20"/>
        <v>70.5</v>
      </c>
      <c r="CI12" s="65">
        <v>817542</v>
      </c>
      <c r="CJ12" s="77">
        <f t="shared" si="2"/>
        <v>363</v>
      </c>
      <c r="CK12" s="65">
        <v>495.94</v>
      </c>
      <c r="CL12" s="76">
        <f t="shared" si="21"/>
        <v>550.00000000001137</v>
      </c>
      <c r="CM12" s="77">
        <v>79</v>
      </c>
      <c r="CN12" s="74">
        <v>24</v>
      </c>
      <c r="CO12" s="74">
        <v>58</v>
      </c>
    </row>
    <row r="13" spans="1:93" ht="25.5" customHeight="1" thickBot="1" x14ac:dyDescent="0.45">
      <c r="A13" s="75">
        <v>43840</v>
      </c>
      <c r="B13" s="49"/>
      <c r="C13" s="65">
        <v>1.4173</v>
      </c>
      <c r="D13" s="76">
        <f t="shared" si="3"/>
        <v>2000.0000000000018</v>
      </c>
      <c r="E13" s="65">
        <v>2.3586999999999998</v>
      </c>
      <c r="F13" s="76">
        <f t="shared" si="4"/>
        <v>3499.9999999998367</v>
      </c>
      <c r="G13" s="65">
        <v>2.1924999999999999</v>
      </c>
      <c r="H13" s="76">
        <f t="shared" si="5"/>
        <v>3200.0000000000919</v>
      </c>
      <c r="I13" s="65">
        <v>1.0226</v>
      </c>
      <c r="J13" s="76">
        <f t="shared" si="43"/>
        <v>1700.0000000000348</v>
      </c>
      <c r="K13" s="65">
        <v>1.5769</v>
      </c>
      <c r="L13" s="76">
        <f t="shared" si="0"/>
        <v>2499.9999999999468</v>
      </c>
      <c r="M13" s="65">
        <v>987.84</v>
      </c>
      <c r="N13" s="77">
        <f t="shared" si="22"/>
        <v>1930.0000000000637</v>
      </c>
      <c r="O13" s="65">
        <v>11062</v>
      </c>
      <c r="P13" s="77">
        <f t="shared" si="6"/>
        <v>20</v>
      </c>
      <c r="Q13" s="65">
        <v>4402</v>
      </c>
      <c r="R13" s="77">
        <f t="shared" si="7"/>
        <v>9</v>
      </c>
      <c r="S13" s="65">
        <v>723471.5</v>
      </c>
      <c r="T13" s="77">
        <f t="shared" si="44"/>
        <v>1326</v>
      </c>
      <c r="U13" s="65">
        <v>292780.09999999998</v>
      </c>
      <c r="V13" s="77">
        <f t="shared" si="9"/>
        <v>498</v>
      </c>
      <c r="W13" s="65">
        <v>284.86</v>
      </c>
      <c r="X13" s="77">
        <f t="shared" si="23"/>
        <v>460.00000000003638</v>
      </c>
      <c r="Y13" s="65">
        <v>2.0941000000000001</v>
      </c>
      <c r="Z13" s="77">
        <f t="shared" si="24"/>
        <v>3099.9999999998809</v>
      </c>
      <c r="AA13" s="65">
        <v>283.01</v>
      </c>
      <c r="AB13" s="77">
        <f t="shared" si="25"/>
        <v>529.99999999997272</v>
      </c>
      <c r="AC13" s="65">
        <v>256.27999999999997</v>
      </c>
      <c r="AD13" s="77">
        <f t="shared" si="26"/>
        <v>479.99999999996135</v>
      </c>
      <c r="AE13" s="65">
        <v>381.16</v>
      </c>
      <c r="AF13" s="77">
        <f t="shared" si="27"/>
        <v>820.00000000005002</v>
      </c>
      <c r="AG13" s="65">
        <v>1008.4</v>
      </c>
      <c r="AH13" s="77">
        <f t="shared" si="10"/>
        <v>1.6000000000000227</v>
      </c>
      <c r="AI13" s="65">
        <v>354</v>
      </c>
      <c r="AJ13" s="77">
        <f t="shared" si="28"/>
        <v>329.99999999998408</v>
      </c>
      <c r="AK13" s="65">
        <v>122.09</v>
      </c>
      <c r="AL13" s="77">
        <f t="shared" si="11"/>
        <v>0.17000000000000171</v>
      </c>
      <c r="AM13" s="65">
        <v>123.89</v>
      </c>
      <c r="AN13" s="77">
        <f t="shared" si="12"/>
        <v>0.26000000000000512</v>
      </c>
      <c r="AO13" s="65">
        <v>122.36</v>
      </c>
      <c r="AP13" s="77">
        <f t="shared" si="13"/>
        <v>0.12000000000000455</v>
      </c>
      <c r="AQ13" s="65">
        <v>197.92</v>
      </c>
      <c r="AR13" s="77">
        <f t="shared" si="29"/>
        <v>59.999999999973852</v>
      </c>
      <c r="AS13" s="65">
        <v>320.39</v>
      </c>
      <c r="AT13" s="77">
        <f t="shared" si="30"/>
        <v>120.00000000000455</v>
      </c>
      <c r="AU13" s="65">
        <v>246.39</v>
      </c>
      <c r="AV13" s="77">
        <f t="shared" si="31"/>
        <v>239.99999999998067</v>
      </c>
      <c r="AW13" s="65">
        <v>276.99</v>
      </c>
      <c r="AX13" s="77">
        <f t="shared" si="32"/>
        <v>60.000000000002274</v>
      </c>
      <c r="AY13" s="65">
        <v>328.55</v>
      </c>
      <c r="AZ13" s="77">
        <f t="shared" si="33"/>
        <v>50.000000000011369</v>
      </c>
      <c r="BA13" s="65">
        <v>349.22</v>
      </c>
      <c r="BB13" s="77">
        <f t="shared" si="34"/>
        <v>60.000000000002274</v>
      </c>
      <c r="BC13" s="65">
        <v>201.07</v>
      </c>
      <c r="BD13" s="77">
        <f t="shared" si="35"/>
        <v>259.99999999999091</v>
      </c>
      <c r="BE13" s="70">
        <v>22741</v>
      </c>
      <c r="BF13" s="77">
        <f t="shared" si="14"/>
        <v>64</v>
      </c>
      <c r="BG13" s="71">
        <v>219.7</v>
      </c>
      <c r="BH13" s="77">
        <f t="shared" si="36"/>
        <v>39.999999999992042</v>
      </c>
      <c r="BI13" s="70">
        <v>276.20999999999998</v>
      </c>
      <c r="BJ13" s="77">
        <f t="shared" si="37"/>
        <v>60.000000000002274</v>
      </c>
      <c r="BK13" s="70">
        <v>224.09</v>
      </c>
      <c r="BL13" s="77">
        <f t="shared" si="38"/>
        <v>50.000000000011369</v>
      </c>
      <c r="BM13" s="70">
        <v>207.05</v>
      </c>
      <c r="BN13" s="77">
        <f t="shared" si="39"/>
        <v>30.000000000001137</v>
      </c>
      <c r="BO13" s="70">
        <v>270.85000000000002</v>
      </c>
      <c r="BP13" s="77">
        <f t="shared" si="40"/>
        <v>60.000000000002274</v>
      </c>
      <c r="BQ13" s="70">
        <v>34020</v>
      </c>
      <c r="BR13" s="77">
        <f t="shared" si="15"/>
        <v>31</v>
      </c>
      <c r="BS13" s="70">
        <v>188.25</v>
      </c>
      <c r="BT13" s="77">
        <f t="shared" si="41"/>
        <v>50.000000000011369</v>
      </c>
      <c r="BU13" s="70">
        <v>24889</v>
      </c>
      <c r="BV13" s="77">
        <f t="shared" si="1"/>
        <v>32</v>
      </c>
      <c r="BW13" s="70">
        <v>217.61</v>
      </c>
      <c r="BX13" s="77">
        <f t="shared" si="42"/>
        <v>60.000000000002274</v>
      </c>
      <c r="BY13" s="72">
        <v>41124</v>
      </c>
      <c r="BZ13" s="77">
        <f t="shared" si="16"/>
        <v>54</v>
      </c>
      <c r="CA13" s="65">
        <v>24592.7</v>
      </c>
      <c r="CB13" s="77">
        <f t="shared" si="17"/>
        <v>31.299999999999272</v>
      </c>
      <c r="CC13" s="65">
        <v>10380</v>
      </c>
      <c r="CD13" s="77">
        <f t="shared" si="18"/>
        <v>10</v>
      </c>
      <c r="CE13" s="65">
        <v>4932.7</v>
      </c>
      <c r="CF13" s="77">
        <f t="shared" si="19"/>
        <v>7.0999999999994543</v>
      </c>
      <c r="CG13" s="65">
        <v>37220</v>
      </c>
      <c r="CH13" s="77">
        <f t="shared" si="20"/>
        <v>54</v>
      </c>
      <c r="CI13" s="65">
        <v>817851</v>
      </c>
      <c r="CJ13" s="77">
        <f t="shared" si="2"/>
        <v>309</v>
      </c>
      <c r="CK13" s="65">
        <v>496.53</v>
      </c>
      <c r="CL13" s="76">
        <f t="shared" si="21"/>
        <v>589.99999999997499</v>
      </c>
      <c r="CM13" s="77">
        <v>86</v>
      </c>
      <c r="CN13" s="74">
        <v>28</v>
      </c>
      <c r="CO13" s="74">
        <v>59</v>
      </c>
    </row>
    <row r="14" spans="1:93" ht="25.5" customHeight="1" thickBot="1" x14ac:dyDescent="0.45">
      <c r="A14" s="75">
        <v>43841</v>
      </c>
      <c r="B14" s="49"/>
      <c r="C14" s="65">
        <v>1.4192</v>
      </c>
      <c r="D14" s="76">
        <f t="shared" si="3"/>
        <v>1900.0000000000127</v>
      </c>
      <c r="E14" s="65">
        <v>2.3620000000000001</v>
      </c>
      <c r="F14" s="76">
        <f t="shared" si="4"/>
        <v>3300.0000000003029</v>
      </c>
      <c r="G14" s="65">
        <v>2.1953</v>
      </c>
      <c r="H14" s="76">
        <f t="shared" si="5"/>
        <v>2800.0000000001355</v>
      </c>
      <c r="I14" s="65">
        <v>1.0241</v>
      </c>
      <c r="J14" s="76">
        <f t="shared" si="43"/>
        <v>1500.0000000000568</v>
      </c>
      <c r="K14" s="65">
        <v>1.5791999999999999</v>
      </c>
      <c r="L14" s="76">
        <f t="shared" si="0"/>
        <v>2299.9999999999686</v>
      </c>
      <c r="M14" s="65">
        <v>989.31</v>
      </c>
      <c r="N14" s="77">
        <f t="shared" si="22"/>
        <v>1469.9999999999136</v>
      </c>
      <c r="O14" s="65">
        <v>11081</v>
      </c>
      <c r="P14" s="77">
        <f t="shared" si="6"/>
        <v>19</v>
      </c>
      <c r="Q14" s="65">
        <v>4411</v>
      </c>
      <c r="R14" s="77">
        <f t="shared" si="7"/>
        <v>9</v>
      </c>
      <c r="S14" s="65">
        <v>724798.9</v>
      </c>
      <c r="T14" s="77">
        <f t="shared" si="44"/>
        <v>1327.4000000000233</v>
      </c>
      <c r="U14" s="65">
        <v>293190.2</v>
      </c>
      <c r="V14" s="77">
        <f t="shared" si="9"/>
        <v>410.10000000003492</v>
      </c>
      <c r="W14" s="65">
        <v>285.27</v>
      </c>
      <c r="X14" s="77">
        <f t="shared" si="23"/>
        <v>409.99999999996817</v>
      </c>
      <c r="Y14" s="65">
        <v>2.0969000000000002</v>
      </c>
      <c r="Z14" s="77">
        <f t="shared" si="24"/>
        <v>2800.0000000001355</v>
      </c>
      <c r="AA14" s="65">
        <v>283.27999999999997</v>
      </c>
      <c r="AB14" s="77">
        <f t="shared" si="25"/>
        <v>269.99999999998181</v>
      </c>
      <c r="AC14" s="65">
        <v>256.73</v>
      </c>
      <c r="AD14" s="77">
        <f t="shared" si="26"/>
        <v>450.00000000004547</v>
      </c>
      <c r="AE14" s="65">
        <v>381.81</v>
      </c>
      <c r="AF14" s="77">
        <f t="shared" si="27"/>
        <v>649.99999999997726</v>
      </c>
      <c r="AG14" s="65">
        <v>1009.7</v>
      </c>
      <c r="AH14" s="77">
        <f t="shared" si="10"/>
        <v>1.3000000000000682</v>
      </c>
      <c r="AI14" s="65">
        <v>354.3</v>
      </c>
      <c r="AJ14" s="77">
        <f t="shared" si="28"/>
        <v>300.00000000001137</v>
      </c>
      <c r="AK14" s="65">
        <v>122.25</v>
      </c>
      <c r="AL14" s="77">
        <f t="shared" si="11"/>
        <v>0.15999999999999659</v>
      </c>
      <c r="AM14" s="65">
        <v>124.12</v>
      </c>
      <c r="AN14" s="77">
        <f t="shared" si="12"/>
        <v>0.23000000000000398</v>
      </c>
      <c r="AO14" s="65">
        <v>122.5</v>
      </c>
      <c r="AP14" s="77">
        <f t="shared" si="13"/>
        <v>0.14000000000000057</v>
      </c>
      <c r="AQ14" s="65">
        <v>197.98</v>
      </c>
      <c r="AR14" s="77">
        <f t="shared" si="29"/>
        <v>60.000000000002274</v>
      </c>
      <c r="AS14" s="65">
        <v>320.5</v>
      </c>
      <c r="AT14" s="77">
        <f t="shared" si="30"/>
        <v>110.00000000001364</v>
      </c>
      <c r="AU14" s="65">
        <v>246.62</v>
      </c>
      <c r="AV14" s="77">
        <f t="shared" si="31"/>
        <v>230.00000000001819</v>
      </c>
      <c r="AW14" s="65">
        <v>277.05</v>
      </c>
      <c r="AX14" s="77">
        <f t="shared" si="32"/>
        <v>60.000000000002274</v>
      </c>
      <c r="AY14" s="65">
        <v>328.59</v>
      </c>
      <c r="AZ14" s="77">
        <f t="shared" si="33"/>
        <v>39.99999999996362</v>
      </c>
      <c r="BA14" s="65">
        <v>349.27</v>
      </c>
      <c r="BB14" s="77">
        <f t="shared" si="34"/>
        <v>49.999999999954525</v>
      </c>
      <c r="BC14" s="65">
        <v>201.29</v>
      </c>
      <c r="BD14" s="77">
        <f t="shared" si="35"/>
        <v>219.99999999999886</v>
      </c>
      <c r="BE14" s="70">
        <v>22797</v>
      </c>
      <c r="BF14" s="77">
        <f t="shared" si="14"/>
        <v>56</v>
      </c>
      <c r="BG14" s="71">
        <v>219.74</v>
      </c>
      <c r="BH14" s="77">
        <f t="shared" si="36"/>
        <v>40.000000000020464</v>
      </c>
      <c r="BI14" s="70">
        <v>276.25</v>
      </c>
      <c r="BJ14" s="77">
        <f t="shared" si="37"/>
        <v>40.000000000020464</v>
      </c>
      <c r="BK14" s="70">
        <v>224.15</v>
      </c>
      <c r="BL14" s="77">
        <f t="shared" si="38"/>
        <v>60.000000000002274</v>
      </c>
      <c r="BM14" s="70">
        <v>207.1</v>
      </c>
      <c r="BN14" s="77">
        <f t="shared" si="39"/>
        <v>49.999999999982947</v>
      </c>
      <c r="BO14" s="70">
        <v>270.87</v>
      </c>
      <c r="BP14" s="77">
        <f t="shared" si="40"/>
        <v>19.99999999998181</v>
      </c>
      <c r="BQ14" s="70">
        <v>34067</v>
      </c>
      <c r="BR14" s="77">
        <f t="shared" si="15"/>
        <v>47</v>
      </c>
      <c r="BS14" s="70">
        <v>188.29</v>
      </c>
      <c r="BT14" s="77">
        <f t="shared" si="41"/>
        <v>39.999999999992042</v>
      </c>
      <c r="BU14" s="70">
        <v>24931</v>
      </c>
      <c r="BV14" s="77">
        <f t="shared" si="1"/>
        <v>42</v>
      </c>
      <c r="BW14" s="70">
        <v>217.63</v>
      </c>
      <c r="BX14" s="77">
        <f t="shared" si="42"/>
        <v>19.99999999998181</v>
      </c>
      <c r="BY14" s="72">
        <v>41188</v>
      </c>
      <c r="BZ14" s="77">
        <f t="shared" si="16"/>
        <v>64</v>
      </c>
      <c r="CA14" s="65">
        <v>24621.4</v>
      </c>
      <c r="CB14" s="77">
        <f t="shared" si="17"/>
        <v>28.700000000000728</v>
      </c>
      <c r="CC14" s="65">
        <v>10398.5</v>
      </c>
      <c r="CD14" s="77">
        <f t="shared" si="18"/>
        <v>18.5</v>
      </c>
      <c r="CE14" s="65">
        <v>4933.3999999999996</v>
      </c>
      <c r="CF14" s="77">
        <f t="shared" si="19"/>
        <v>0.6999999999998181</v>
      </c>
      <c r="CG14" s="65">
        <v>37272</v>
      </c>
      <c r="CH14" s="77">
        <f t="shared" si="20"/>
        <v>52</v>
      </c>
      <c r="CI14" s="65">
        <v>818120</v>
      </c>
      <c r="CJ14" s="77">
        <f t="shared" si="2"/>
        <v>269</v>
      </c>
      <c r="CK14" s="65">
        <v>497.01</v>
      </c>
      <c r="CL14" s="76">
        <f t="shared" si="21"/>
        <v>480.00000000001819</v>
      </c>
      <c r="CM14" s="77">
        <v>81</v>
      </c>
      <c r="CN14" s="74">
        <v>27</v>
      </c>
      <c r="CO14" s="74">
        <v>59</v>
      </c>
    </row>
    <row r="15" spans="1:93" ht="25.5" customHeight="1" thickBot="1" x14ac:dyDescent="0.45">
      <c r="A15" s="75">
        <v>43842</v>
      </c>
      <c r="B15" s="49"/>
      <c r="C15" s="65">
        <v>1.4216</v>
      </c>
      <c r="D15" s="76">
        <f t="shared" si="3"/>
        <v>2399.9999999999577</v>
      </c>
      <c r="E15" s="65">
        <v>2.3654999999999999</v>
      </c>
      <c r="F15" s="76">
        <f t="shared" si="4"/>
        <v>3499.9999999998367</v>
      </c>
      <c r="G15" s="65">
        <v>2.1981000000000002</v>
      </c>
      <c r="H15" s="76">
        <f t="shared" si="5"/>
        <v>2800.0000000001355</v>
      </c>
      <c r="I15" s="65">
        <v>1.0258</v>
      </c>
      <c r="J15" s="76">
        <f t="shared" si="43"/>
        <v>1700.0000000000348</v>
      </c>
      <c r="K15" s="65">
        <v>1.5812999999999999</v>
      </c>
      <c r="L15" s="76">
        <f t="shared" si="0"/>
        <v>2099.9999999999909</v>
      </c>
      <c r="M15" s="65">
        <v>991.07</v>
      </c>
      <c r="N15" s="77">
        <f t="shared" si="22"/>
        <v>1760.0000000001046</v>
      </c>
      <c r="O15" s="65">
        <v>11103</v>
      </c>
      <c r="P15" s="77">
        <f t="shared" si="6"/>
        <v>22</v>
      </c>
      <c r="Q15" s="65">
        <v>4418</v>
      </c>
      <c r="R15" s="77">
        <f t="shared" si="7"/>
        <v>7</v>
      </c>
      <c r="S15" s="65">
        <v>725104</v>
      </c>
      <c r="T15" s="77">
        <f t="shared" si="44"/>
        <v>305.09999999997672</v>
      </c>
      <c r="U15" s="65">
        <v>293421</v>
      </c>
      <c r="V15" s="77">
        <f t="shared" si="9"/>
        <v>230.79999999998836</v>
      </c>
      <c r="W15" s="65">
        <v>285.76</v>
      </c>
      <c r="X15" s="77">
        <f t="shared" si="23"/>
        <v>490.00000000000909</v>
      </c>
      <c r="Y15" s="65">
        <v>2.1</v>
      </c>
      <c r="Z15" s="77">
        <f t="shared" si="24"/>
        <v>3099.9999999998809</v>
      </c>
      <c r="AA15" s="65">
        <v>283.79000000000002</v>
      </c>
      <c r="AB15" s="77">
        <f t="shared" si="25"/>
        <v>510.00000000004775</v>
      </c>
      <c r="AC15" s="65">
        <v>257.12</v>
      </c>
      <c r="AD15" s="77">
        <f t="shared" si="26"/>
        <v>389.99999999998636</v>
      </c>
      <c r="AE15" s="65">
        <v>382.55</v>
      </c>
      <c r="AF15" s="77">
        <f t="shared" si="27"/>
        <v>740.00000000000909</v>
      </c>
      <c r="AG15" s="65">
        <v>1011.6</v>
      </c>
      <c r="AH15" s="77">
        <f t="shared" si="10"/>
        <v>1.8999999999999773</v>
      </c>
      <c r="AI15" s="65">
        <v>355.05</v>
      </c>
      <c r="AJ15" s="77">
        <f t="shared" si="28"/>
        <v>750</v>
      </c>
      <c r="AK15" s="65">
        <v>122.5</v>
      </c>
      <c r="AL15" s="77">
        <f t="shared" si="11"/>
        <v>0.25</v>
      </c>
      <c r="AM15" s="65">
        <v>124.36</v>
      </c>
      <c r="AN15" s="77">
        <f t="shared" si="12"/>
        <v>0.23999999999999488</v>
      </c>
      <c r="AO15" s="65">
        <v>122.73</v>
      </c>
      <c r="AP15" s="77">
        <f t="shared" si="13"/>
        <v>0.23000000000000398</v>
      </c>
      <c r="AQ15" s="65">
        <v>198.07</v>
      </c>
      <c r="AR15" s="77">
        <f t="shared" si="29"/>
        <v>90.000000000003411</v>
      </c>
      <c r="AS15" s="65">
        <v>320.63</v>
      </c>
      <c r="AT15" s="77">
        <f t="shared" si="30"/>
        <v>129.99999999999545</v>
      </c>
      <c r="AU15" s="65">
        <v>246.75</v>
      </c>
      <c r="AV15" s="77">
        <f t="shared" si="31"/>
        <v>129.99999999999545</v>
      </c>
      <c r="AW15" s="65">
        <v>277.08999999999997</v>
      </c>
      <c r="AX15" s="77">
        <f t="shared" si="32"/>
        <v>39.99999999996362</v>
      </c>
      <c r="AY15" s="65">
        <v>328.65</v>
      </c>
      <c r="AZ15" s="77">
        <f t="shared" si="33"/>
        <v>60.000000000002274</v>
      </c>
      <c r="BA15" s="65">
        <v>349.32</v>
      </c>
      <c r="BB15" s="77">
        <f t="shared" si="34"/>
        <v>50.000000000011369</v>
      </c>
      <c r="BC15" s="65">
        <v>201.48</v>
      </c>
      <c r="BD15" s="77">
        <f t="shared" si="35"/>
        <v>189.99999999999773</v>
      </c>
      <c r="BE15" s="70">
        <v>22850</v>
      </c>
      <c r="BF15" s="77">
        <f t="shared" si="14"/>
        <v>53</v>
      </c>
      <c r="BG15" s="71">
        <v>219.78</v>
      </c>
      <c r="BH15" s="77">
        <f t="shared" si="36"/>
        <v>39.999999999992042</v>
      </c>
      <c r="BI15" s="70">
        <v>276.3</v>
      </c>
      <c r="BJ15" s="77">
        <f t="shared" si="37"/>
        <v>50.000000000011369</v>
      </c>
      <c r="BK15" s="70">
        <v>224.21</v>
      </c>
      <c r="BL15" s="77">
        <f t="shared" si="38"/>
        <v>60.000000000002274</v>
      </c>
      <c r="BM15" s="70">
        <v>207.15</v>
      </c>
      <c r="BN15" s="77">
        <f t="shared" si="39"/>
        <v>50.000000000011369</v>
      </c>
      <c r="BO15" s="70">
        <v>270.92</v>
      </c>
      <c r="BP15" s="77">
        <f t="shared" si="40"/>
        <v>50.000000000011369</v>
      </c>
      <c r="BQ15" s="70">
        <v>34107</v>
      </c>
      <c r="BR15" s="77">
        <f t="shared" si="15"/>
        <v>40</v>
      </c>
      <c r="BS15" s="70">
        <v>188.34</v>
      </c>
      <c r="BT15" s="77">
        <f t="shared" si="41"/>
        <v>50.000000000011369</v>
      </c>
      <c r="BU15" s="70">
        <v>24937</v>
      </c>
      <c r="BV15" s="77">
        <f t="shared" si="1"/>
        <v>6</v>
      </c>
      <c r="BW15" s="70">
        <v>217.68</v>
      </c>
      <c r="BX15" s="77">
        <f t="shared" si="42"/>
        <v>50.000000000011369</v>
      </c>
      <c r="BY15" s="72">
        <v>41242</v>
      </c>
      <c r="BZ15" s="77">
        <f t="shared" si="16"/>
        <v>54</v>
      </c>
      <c r="CA15" s="65">
        <v>24644.5</v>
      </c>
      <c r="CB15" s="77">
        <f t="shared" si="17"/>
        <v>23.099999999998545</v>
      </c>
      <c r="CC15" s="65">
        <v>10414.799999999999</v>
      </c>
      <c r="CD15" s="77">
        <f t="shared" si="18"/>
        <v>16.299999999999272</v>
      </c>
      <c r="CE15" s="65">
        <v>4939.8999999999996</v>
      </c>
      <c r="CF15" s="77">
        <f t="shared" si="19"/>
        <v>6.5</v>
      </c>
      <c r="CG15" s="65">
        <v>37328</v>
      </c>
      <c r="CH15" s="77">
        <f t="shared" si="20"/>
        <v>56</v>
      </c>
      <c r="CI15" s="65">
        <v>818427</v>
      </c>
      <c r="CJ15" s="77">
        <f t="shared" si="2"/>
        <v>307</v>
      </c>
      <c r="CK15" s="65">
        <v>497.54</v>
      </c>
      <c r="CL15" s="76">
        <f t="shared" si="21"/>
        <v>530.00000000002956</v>
      </c>
      <c r="CM15" s="77">
        <v>95.7</v>
      </c>
      <c r="CN15" s="74">
        <v>23</v>
      </c>
      <c r="CO15" s="74">
        <v>49</v>
      </c>
    </row>
    <row r="16" spans="1:93" ht="25.5" customHeight="1" thickBot="1" x14ac:dyDescent="0.45">
      <c r="A16" s="75">
        <v>43843</v>
      </c>
      <c r="B16" s="49"/>
      <c r="C16" s="65">
        <v>1.4242999999999999</v>
      </c>
      <c r="D16" s="76">
        <f t="shared" si="3"/>
        <v>2699.9999999999245</v>
      </c>
      <c r="E16" s="65">
        <v>2.3689</v>
      </c>
      <c r="F16" s="76">
        <f t="shared" si="4"/>
        <v>3400.0000000000696</v>
      </c>
      <c r="G16" s="65">
        <v>2.2012999999999998</v>
      </c>
      <c r="H16" s="76">
        <f t="shared" si="5"/>
        <v>3199.9999999996476</v>
      </c>
      <c r="I16" s="65">
        <v>1.0275000000000001</v>
      </c>
      <c r="J16" s="76">
        <f t="shared" si="43"/>
        <v>1700.0000000000348</v>
      </c>
      <c r="K16" s="65">
        <v>1.5834999999999999</v>
      </c>
      <c r="L16" s="76">
        <f t="shared" si="0"/>
        <v>2199.9999999999795</v>
      </c>
      <c r="M16" s="65">
        <v>993.04</v>
      </c>
      <c r="N16" s="77">
        <f t="shared" si="22"/>
        <v>1969.9999999999136</v>
      </c>
      <c r="O16" s="65">
        <v>11122</v>
      </c>
      <c r="P16" s="77">
        <f t="shared" si="6"/>
        <v>19</v>
      </c>
      <c r="Q16" s="65">
        <v>4427</v>
      </c>
      <c r="R16" s="77">
        <f t="shared" si="7"/>
        <v>9</v>
      </c>
      <c r="S16" s="65">
        <v>726181</v>
      </c>
      <c r="T16" s="77">
        <f t="shared" si="44"/>
        <v>1077</v>
      </c>
      <c r="U16" s="65">
        <v>293910</v>
      </c>
      <c r="V16" s="77">
        <f t="shared" si="9"/>
        <v>489</v>
      </c>
      <c r="W16" s="65">
        <v>286.22000000000003</v>
      </c>
      <c r="X16" s="77">
        <f t="shared" si="23"/>
        <v>460.00000000003638</v>
      </c>
      <c r="Y16" s="65">
        <v>2.1029</v>
      </c>
      <c r="Z16" s="77">
        <f t="shared" si="24"/>
        <v>2899.9999999999027</v>
      </c>
      <c r="AA16" s="65">
        <v>284.35000000000002</v>
      </c>
      <c r="AB16" s="77">
        <f t="shared" si="25"/>
        <v>560.00000000000227</v>
      </c>
      <c r="AC16" s="65">
        <v>257.56</v>
      </c>
      <c r="AD16" s="77">
        <f t="shared" si="26"/>
        <v>439.99999999999773</v>
      </c>
      <c r="AE16" s="65">
        <v>383.39</v>
      </c>
      <c r="AF16" s="77">
        <f t="shared" si="27"/>
        <v>839.99999999997499</v>
      </c>
      <c r="AG16" s="65">
        <v>1013.6</v>
      </c>
      <c r="AH16" s="77">
        <f t="shared" si="10"/>
        <v>2</v>
      </c>
      <c r="AI16" s="65">
        <v>355.86</v>
      </c>
      <c r="AJ16" s="77">
        <f t="shared" si="28"/>
        <v>810.00000000000227</v>
      </c>
      <c r="AK16" s="65">
        <v>122.76</v>
      </c>
      <c r="AL16" s="77">
        <f t="shared" si="11"/>
        <v>0.26000000000000512</v>
      </c>
      <c r="AM16" s="65">
        <v>124.59</v>
      </c>
      <c r="AN16" s="77">
        <f t="shared" si="12"/>
        <v>0.23000000000000398</v>
      </c>
      <c r="AO16" s="65">
        <v>123</v>
      </c>
      <c r="AP16" s="77">
        <f t="shared" si="13"/>
        <v>0.26999999999999602</v>
      </c>
      <c r="AQ16" s="65">
        <v>198.17</v>
      </c>
      <c r="AR16" s="77">
        <f t="shared" si="29"/>
        <v>99.999999999994316</v>
      </c>
      <c r="AS16" s="65">
        <v>320.77</v>
      </c>
      <c r="AT16" s="77">
        <f t="shared" si="30"/>
        <v>139.99999999998636</v>
      </c>
      <c r="AU16" s="65">
        <v>246.87</v>
      </c>
      <c r="AV16" s="77">
        <f t="shared" si="31"/>
        <v>120.00000000000455</v>
      </c>
      <c r="AW16" s="65">
        <v>277.14999999999998</v>
      </c>
      <c r="AX16" s="77">
        <f t="shared" si="32"/>
        <v>60.000000000002274</v>
      </c>
      <c r="AY16" s="65">
        <v>328.7</v>
      </c>
      <c r="AZ16" s="77">
        <f t="shared" si="33"/>
        <v>50.000000000011369</v>
      </c>
      <c r="BA16" s="65">
        <v>349.39</v>
      </c>
      <c r="BB16" s="77">
        <f t="shared" si="34"/>
        <v>69.999999999993179</v>
      </c>
      <c r="BC16" s="65">
        <v>201.67</v>
      </c>
      <c r="BD16" s="77">
        <f t="shared" si="35"/>
        <v>189.99999999999773</v>
      </c>
      <c r="BE16" s="70">
        <v>22897</v>
      </c>
      <c r="BF16" s="77">
        <f t="shared" si="14"/>
        <v>47</v>
      </c>
      <c r="BG16" s="71">
        <v>219.83</v>
      </c>
      <c r="BH16" s="77">
        <f t="shared" si="36"/>
        <v>50.000000000011369</v>
      </c>
      <c r="BI16" s="70">
        <v>276.37</v>
      </c>
      <c r="BJ16" s="77">
        <f t="shared" si="37"/>
        <v>69.999999999993179</v>
      </c>
      <c r="BK16" s="70">
        <v>224.28</v>
      </c>
      <c r="BL16" s="77">
        <f t="shared" si="38"/>
        <v>69.999999999993179</v>
      </c>
      <c r="BM16" s="70">
        <v>207.2</v>
      </c>
      <c r="BN16" s="77">
        <f t="shared" si="39"/>
        <v>49.999999999982947</v>
      </c>
      <c r="BO16" s="70">
        <v>270.98</v>
      </c>
      <c r="BP16" s="77">
        <f t="shared" si="40"/>
        <v>60.000000000002274</v>
      </c>
      <c r="BQ16" s="70">
        <v>34159</v>
      </c>
      <c r="BR16" s="77">
        <f t="shared" si="15"/>
        <v>52</v>
      </c>
      <c r="BS16" s="70">
        <v>188.4</v>
      </c>
      <c r="BT16" s="77">
        <f t="shared" si="41"/>
        <v>60.000000000002274</v>
      </c>
      <c r="BU16" s="70">
        <v>25018</v>
      </c>
      <c r="BV16" s="77">
        <f t="shared" si="1"/>
        <v>81</v>
      </c>
      <c r="BW16" s="70">
        <v>217.74</v>
      </c>
      <c r="BX16" s="77">
        <f t="shared" si="42"/>
        <v>60.000000000002274</v>
      </c>
      <c r="BY16" s="72">
        <v>41307</v>
      </c>
      <c r="BZ16" s="77">
        <f t="shared" si="16"/>
        <v>65</v>
      </c>
      <c r="CA16" s="65">
        <v>24660.799999999999</v>
      </c>
      <c r="CB16" s="77">
        <f t="shared" si="17"/>
        <v>16.299999999999272</v>
      </c>
      <c r="CC16" s="65">
        <v>10426.1</v>
      </c>
      <c r="CD16" s="77">
        <f t="shared" si="18"/>
        <v>11.300000000001091</v>
      </c>
      <c r="CE16" s="65">
        <v>4954</v>
      </c>
      <c r="CF16" s="77">
        <f t="shared" si="19"/>
        <v>14.100000000000364</v>
      </c>
      <c r="CG16" s="65">
        <v>37358</v>
      </c>
      <c r="CH16" s="77">
        <f t="shared" si="20"/>
        <v>30</v>
      </c>
      <c r="CI16" s="65">
        <v>818752</v>
      </c>
      <c r="CJ16" s="77">
        <f t="shared" si="2"/>
        <v>325</v>
      </c>
      <c r="CK16" s="65">
        <v>498.13</v>
      </c>
      <c r="CL16" s="76">
        <f t="shared" si="21"/>
        <v>589.99999999997499</v>
      </c>
      <c r="CM16" s="77">
        <v>99</v>
      </c>
      <c r="CN16" s="74">
        <v>18</v>
      </c>
      <c r="CO16" s="74">
        <v>40</v>
      </c>
    </row>
    <row r="17" spans="1:93" ht="25.5" customHeight="1" thickBot="1" x14ac:dyDescent="0.45">
      <c r="A17" s="75">
        <v>43844</v>
      </c>
      <c r="B17" s="49"/>
      <c r="C17" s="65">
        <v>1.4261999999999999</v>
      </c>
      <c r="D17" s="76">
        <f t="shared" si="3"/>
        <v>1900.0000000000127</v>
      </c>
      <c r="E17" s="65">
        <v>2.3719999999999999</v>
      </c>
      <c r="F17" s="76">
        <f t="shared" si="4"/>
        <v>3099.9999999998809</v>
      </c>
      <c r="G17" s="65">
        <v>2.2042000000000002</v>
      </c>
      <c r="H17" s="76">
        <f t="shared" si="5"/>
        <v>2900.0000000003465</v>
      </c>
      <c r="I17" s="65">
        <v>1.0288999999999999</v>
      </c>
      <c r="J17" s="76">
        <f t="shared" si="43"/>
        <v>1399.9999999998458</v>
      </c>
      <c r="K17" s="65">
        <v>1.5853999999999999</v>
      </c>
      <c r="L17" s="76">
        <f t="shared" si="0"/>
        <v>1900.0000000000127</v>
      </c>
      <c r="M17" s="65">
        <v>994.4</v>
      </c>
      <c r="N17" s="77">
        <f t="shared" si="22"/>
        <v>1360.0000000000136</v>
      </c>
      <c r="O17" s="65">
        <v>11148</v>
      </c>
      <c r="P17" s="77">
        <f t="shared" si="6"/>
        <v>26</v>
      </c>
      <c r="Q17" s="65">
        <v>4434</v>
      </c>
      <c r="R17" s="77">
        <f t="shared" si="7"/>
        <v>7</v>
      </c>
      <c r="S17" s="65">
        <v>727443</v>
      </c>
      <c r="T17" s="77">
        <f t="shared" si="44"/>
        <v>1262</v>
      </c>
      <c r="U17" s="65">
        <v>294518</v>
      </c>
      <c r="V17" s="77">
        <f t="shared" si="9"/>
        <v>608</v>
      </c>
      <c r="W17" s="65">
        <v>286.64</v>
      </c>
      <c r="X17" s="77">
        <f t="shared" si="23"/>
        <v>419.99999999995907</v>
      </c>
      <c r="Y17" s="65">
        <v>2.1055999999999999</v>
      </c>
      <c r="Z17" s="77">
        <f t="shared" si="24"/>
        <v>2699.9999999999245</v>
      </c>
      <c r="AA17" s="65">
        <v>284.69</v>
      </c>
      <c r="AB17" s="77">
        <f t="shared" si="25"/>
        <v>339.99999999997499</v>
      </c>
      <c r="AC17" s="65">
        <v>257.93</v>
      </c>
      <c r="AD17" s="77">
        <f t="shared" si="26"/>
        <v>370.00000000000455</v>
      </c>
      <c r="AE17" s="65">
        <v>384.06</v>
      </c>
      <c r="AF17" s="77">
        <f t="shared" si="27"/>
        <v>670.00000000001592</v>
      </c>
      <c r="AG17" s="65">
        <v>1015.4</v>
      </c>
      <c r="AH17" s="77">
        <f t="shared" si="10"/>
        <v>1.7999999999999545</v>
      </c>
      <c r="AI17" s="65">
        <v>356.51</v>
      </c>
      <c r="AJ17" s="77">
        <f t="shared" si="28"/>
        <v>649.99999999997726</v>
      </c>
      <c r="AK17" s="65">
        <v>122.97</v>
      </c>
      <c r="AL17" s="77">
        <f t="shared" si="11"/>
        <v>0.20999999999999375</v>
      </c>
      <c r="AM17" s="65">
        <v>124.76</v>
      </c>
      <c r="AN17" s="77">
        <f t="shared" si="12"/>
        <v>0.17000000000000171</v>
      </c>
      <c r="AO17" s="65">
        <v>123.17</v>
      </c>
      <c r="AP17" s="77">
        <f t="shared" si="13"/>
        <v>0.17000000000000171</v>
      </c>
      <c r="AQ17" s="65">
        <v>198.25</v>
      </c>
      <c r="AR17" s="77">
        <f t="shared" si="29"/>
        <v>80.000000000012506</v>
      </c>
      <c r="AS17" s="65">
        <v>320.88</v>
      </c>
      <c r="AT17" s="77">
        <f t="shared" si="30"/>
        <v>110.00000000001364</v>
      </c>
      <c r="AU17" s="65">
        <v>247</v>
      </c>
      <c r="AV17" s="77">
        <f t="shared" si="31"/>
        <v>129.99999999999545</v>
      </c>
      <c r="AW17" s="65">
        <v>277.20999999999998</v>
      </c>
      <c r="AX17" s="77">
        <f t="shared" si="32"/>
        <v>60.000000000002274</v>
      </c>
      <c r="AY17" s="65">
        <v>328.75</v>
      </c>
      <c r="AZ17" s="77">
        <f t="shared" si="33"/>
        <v>50.000000000011369</v>
      </c>
      <c r="BA17" s="65">
        <v>349.46</v>
      </c>
      <c r="BB17" s="77">
        <f t="shared" si="34"/>
        <v>69.999999999993179</v>
      </c>
      <c r="BC17" s="65">
        <v>201.77</v>
      </c>
      <c r="BD17" s="77">
        <f t="shared" si="35"/>
        <v>100.00000000002274</v>
      </c>
      <c r="BE17" s="70">
        <v>22949</v>
      </c>
      <c r="BF17" s="77">
        <f t="shared" si="14"/>
        <v>52</v>
      </c>
      <c r="BG17" s="71">
        <v>219.86</v>
      </c>
      <c r="BH17" s="77">
        <f t="shared" si="36"/>
        <v>30.000000000001137</v>
      </c>
      <c r="BI17" s="70">
        <v>276.41000000000003</v>
      </c>
      <c r="BJ17" s="77">
        <f t="shared" si="37"/>
        <v>40.000000000020464</v>
      </c>
      <c r="BK17" s="70">
        <v>224.32</v>
      </c>
      <c r="BL17" s="77">
        <f t="shared" si="38"/>
        <v>39.999999999992042</v>
      </c>
      <c r="BM17" s="70">
        <v>207.23</v>
      </c>
      <c r="BN17" s="77">
        <f t="shared" si="39"/>
        <v>30.000000000001137</v>
      </c>
      <c r="BO17" s="70">
        <v>271.02</v>
      </c>
      <c r="BP17" s="77">
        <f t="shared" si="40"/>
        <v>39.99999999996362</v>
      </c>
      <c r="BQ17" s="70">
        <v>34197</v>
      </c>
      <c r="BR17" s="77">
        <f t="shared" si="15"/>
        <v>38</v>
      </c>
      <c r="BS17" s="70">
        <v>188.43</v>
      </c>
      <c r="BT17" s="77">
        <f t="shared" si="41"/>
        <v>30.000000000001137</v>
      </c>
      <c r="BU17" s="70">
        <v>25053</v>
      </c>
      <c r="BV17" s="77">
        <f t="shared" si="1"/>
        <v>35</v>
      </c>
      <c r="BW17" s="70">
        <v>217.77</v>
      </c>
      <c r="BX17" s="77">
        <f t="shared" si="42"/>
        <v>30.000000000001137</v>
      </c>
      <c r="BY17" s="72">
        <v>41356</v>
      </c>
      <c r="BZ17" s="77">
        <f t="shared" si="16"/>
        <v>49</v>
      </c>
      <c r="CA17" s="65">
        <v>24683.9</v>
      </c>
      <c r="CB17" s="77">
        <f t="shared" si="17"/>
        <v>23.100000000002183</v>
      </c>
      <c r="CC17" s="65">
        <v>10439.4</v>
      </c>
      <c r="CD17" s="77">
        <f t="shared" si="18"/>
        <v>13.299999999999272</v>
      </c>
      <c r="CE17" s="65">
        <v>4959.3</v>
      </c>
      <c r="CF17" s="77">
        <f t="shared" si="19"/>
        <v>5.3000000000001819</v>
      </c>
      <c r="CG17" s="65">
        <v>37374</v>
      </c>
      <c r="CH17" s="77">
        <f t="shared" si="20"/>
        <v>16</v>
      </c>
      <c r="CI17" s="65">
        <v>819034</v>
      </c>
      <c r="CJ17" s="77">
        <f t="shared" si="2"/>
        <v>282</v>
      </c>
      <c r="CK17" s="65">
        <v>498.82</v>
      </c>
      <c r="CL17" s="76">
        <f t="shared" si="21"/>
        <v>689.99999999999773</v>
      </c>
      <c r="CM17" s="77">
        <v>81.2</v>
      </c>
      <c r="CN17" s="74">
        <v>16</v>
      </c>
      <c r="CO17" s="74">
        <v>37</v>
      </c>
    </row>
    <row r="18" spans="1:93" ht="25.5" customHeight="1" thickBot="1" x14ac:dyDescent="0.45">
      <c r="A18" s="75">
        <v>43845</v>
      </c>
      <c r="B18" s="49"/>
      <c r="C18" s="65"/>
      <c r="D18" s="76" t="str">
        <f t="shared" si="3"/>
        <v>0</v>
      </c>
      <c r="E18" s="65"/>
      <c r="F18" s="76" t="str">
        <f t="shared" si="4"/>
        <v>0</v>
      </c>
      <c r="G18" s="65"/>
      <c r="H18" s="76" t="str">
        <f t="shared" si="5"/>
        <v>0</v>
      </c>
      <c r="I18" s="65"/>
      <c r="J18" s="76" t="str">
        <f t="shared" si="43"/>
        <v>0</v>
      </c>
      <c r="K18" s="65"/>
      <c r="L18" s="76" t="str">
        <f t="shared" si="0"/>
        <v>0</v>
      </c>
      <c r="M18" s="65"/>
      <c r="N18" s="77" t="str">
        <f t="shared" si="22"/>
        <v/>
      </c>
      <c r="O18" s="65"/>
      <c r="P18" s="77" t="str">
        <f t="shared" si="6"/>
        <v/>
      </c>
      <c r="Q18" s="65"/>
      <c r="R18" s="77" t="str">
        <f t="shared" si="7"/>
        <v/>
      </c>
      <c r="S18" s="65"/>
      <c r="T18" s="77" t="str">
        <f t="shared" si="44"/>
        <v/>
      </c>
      <c r="U18" s="65"/>
      <c r="V18" s="77" t="str">
        <f t="shared" si="9"/>
        <v/>
      </c>
      <c r="W18" s="65"/>
      <c r="X18" s="77" t="str">
        <f t="shared" si="23"/>
        <v/>
      </c>
      <c r="Y18" s="65"/>
      <c r="Z18" s="77" t="str">
        <f t="shared" si="24"/>
        <v/>
      </c>
      <c r="AA18" s="65"/>
      <c r="AB18" s="77" t="str">
        <f t="shared" si="25"/>
        <v/>
      </c>
      <c r="AC18" s="65"/>
      <c r="AD18" s="77" t="str">
        <f t="shared" si="26"/>
        <v/>
      </c>
      <c r="AE18" s="65"/>
      <c r="AF18" s="77" t="str">
        <f t="shared" si="27"/>
        <v/>
      </c>
      <c r="AG18" s="65"/>
      <c r="AH18" s="77" t="str">
        <f t="shared" si="10"/>
        <v/>
      </c>
      <c r="AI18" s="65"/>
      <c r="AJ18" s="77" t="str">
        <f t="shared" si="28"/>
        <v/>
      </c>
      <c r="AK18" s="65"/>
      <c r="AL18" s="77" t="str">
        <f t="shared" si="11"/>
        <v/>
      </c>
      <c r="AM18" s="65"/>
      <c r="AN18" s="77" t="str">
        <f t="shared" si="12"/>
        <v/>
      </c>
      <c r="AO18" s="65"/>
      <c r="AP18" s="77" t="str">
        <f t="shared" si="13"/>
        <v/>
      </c>
      <c r="AQ18" s="65"/>
      <c r="AR18" s="77" t="str">
        <f t="shared" si="29"/>
        <v/>
      </c>
      <c r="AS18" s="65"/>
      <c r="AT18" s="77" t="str">
        <f t="shared" si="30"/>
        <v/>
      </c>
      <c r="AU18" s="65"/>
      <c r="AV18" s="77" t="str">
        <f t="shared" si="31"/>
        <v/>
      </c>
      <c r="AW18" s="65"/>
      <c r="AX18" s="77" t="str">
        <f t="shared" si="32"/>
        <v/>
      </c>
      <c r="AY18" s="65"/>
      <c r="AZ18" s="77" t="str">
        <f t="shared" si="33"/>
        <v/>
      </c>
      <c r="BA18" s="65"/>
      <c r="BB18" s="77" t="str">
        <f t="shared" si="34"/>
        <v/>
      </c>
      <c r="BC18" s="65"/>
      <c r="BD18" s="77" t="str">
        <f t="shared" si="35"/>
        <v/>
      </c>
      <c r="BE18" s="70"/>
      <c r="BF18" s="77" t="str">
        <f t="shared" si="14"/>
        <v/>
      </c>
      <c r="BG18" s="71"/>
      <c r="BH18" s="77" t="str">
        <f t="shared" si="36"/>
        <v/>
      </c>
      <c r="BI18" s="70"/>
      <c r="BJ18" s="77" t="str">
        <f t="shared" si="37"/>
        <v/>
      </c>
      <c r="BK18" s="70"/>
      <c r="BL18" s="77" t="str">
        <f t="shared" si="38"/>
        <v/>
      </c>
      <c r="BM18" s="70"/>
      <c r="BN18" s="77" t="str">
        <f t="shared" si="39"/>
        <v/>
      </c>
      <c r="BO18" s="70"/>
      <c r="BP18" s="77" t="str">
        <f t="shared" si="40"/>
        <v/>
      </c>
      <c r="BQ18" s="70"/>
      <c r="BR18" s="77" t="str">
        <f t="shared" si="15"/>
        <v/>
      </c>
      <c r="BS18" s="70"/>
      <c r="BT18" s="77" t="str">
        <f t="shared" si="41"/>
        <v/>
      </c>
      <c r="BU18" s="70"/>
      <c r="BV18" s="77" t="str">
        <f t="shared" si="1"/>
        <v/>
      </c>
      <c r="BW18" s="70"/>
      <c r="BX18" s="77" t="str">
        <f t="shared" si="42"/>
        <v/>
      </c>
      <c r="BY18" s="72"/>
      <c r="BZ18" s="77" t="str">
        <f t="shared" si="16"/>
        <v/>
      </c>
      <c r="CA18" s="65"/>
      <c r="CB18" s="77" t="str">
        <f t="shared" si="17"/>
        <v/>
      </c>
      <c r="CC18" s="65"/>
      <c r="CD18" s="77" t="str">
        <f t="shared" si="18"/>
        <v/>
      </c>
      <c r="CE18" s="65"/>
      <c r="CF18" s="77" t="str">
        <f t="shared" si="19"/>
        <v/>
      </c>
      <c r="CG18" s="65"/>
      <c r="CH18" s="77" t="str">
        <f t="shared" si="20"/>
        <v/>
      </c>
      <c r="CI18" s="65"/>
      <c r="CJ18" s="77" t="str">
        <f t="shared" si="2"/>
        <v/>
      </c>
      <c r="CK18" s="65"/>
      <c r="CL18" s="76" t="str">
        <f t="shared" si="21"/>
        <v/>
      </c>
      <c r="CM18" s="77"/>
      <c r="CN18" s="74"/>
      <c r="CO18" s="74"/>
    </row>
    <row r="19" spans="1:93" ht="25.5" customHeight="1" thickBot="1" x14ac:dyDescent="0.45">
      <c r="A19" s="75">
        <v>43846</v>
      </c>
      <c r="B19" s="49"/>
      <c r="C19" s="65"/>
      <c r="D19" s="76">
        <f t="shared" si="3"/>
        <v>0</v>
      </c>
      <c r="E19" s="65"/>
      <c r="F19" s="76">
        <f t="shared" si="4"/>
        <v>0</v>
      </c>
      <c r="G19" s="65"/>
      <c r="H19" s="76">
        <f t="shared" si="5"/>
        <v>0</v>
      </c>
      <c r="I19" s="65"/>
      <c r="J19" s="76">
        <f t="shared" si="43"/>
        <v>0</v>
      </c>
      <c r="K19" s="65"/>
      <c r="L19" s="76">
        <f t="shared" si="0"/>
        <v>0</v>
      </c>
      <c r="M19" s="65"/>
      <c r="N19" s="77">
        <f t="shared" si="22"/>
        <v>0</v>
      </c>
      <c r="O19" s="65"/>
      <c r="P19" s="77">
        <f t="shared" si="6"/>
        <v>0</v>
      </c>
      <c r="Q19" s="65"/>
      <c r="R19" s="77">
        <f t="shared" si="7"/>
        <v>0</v>
      </c>
      <c r="S19" s="65"/>
      <c r="T19" s="77">
        <f t="shared" si="44"/>
        <v>0</v>
      </c>
      <c r="U19" s="65"/>
      <c r="V19" s="77">
        <f t="shared" si="9"/>
        <v>0</v>
      </c>
      <c r="W19" s="65"/>
      <c r="X19" s="77">
        <f t="shared" si="23"/>
        <v>0</v>
      </c>
      <c r="Y19" s="65"/>
      <c r="Z19" s="77">
        <f t="shared" si="24"/>
        <v>0</v>
      </c>
      <c r="AA19" s="65"/>
      <c r="AB19" s="77">
        <f t="shared" si="25"/>
        <v>0</v>
      </c>
      <c r="AC19" s="65"/>
      <c r="AD19" s="77">
        <f t="shared" si="26"/>
        <v>0</v>
      </c>
      <c r="AE19" s="65"/>
      <c r="AF19" s="77">
        <f t="shared" si="27"/>
        <v>0</v>
      </c>
      <c r="AG19" s="65"/>
      <c r="AH19" s="77">
        <f t="shared" si="10"/>
        <v>0</v>
      </c>
      <c r="AI19" s="65"/>
      <c r="AJ19" s="77">
        <f t="shared" si="28"/>
        <v>0</v>
      </c>
      <c r="AK19" s="65"/>
      <c r="AL19" s="77">
        <f t="shared" si="11"/>
        <v>0</v>
      </c>
      <c r="AM19" s="65"/>
      <c r="AN19" s="77">
        <f t="shared" si="12"/>
        <v>0</v>
      </c>
      <c r="AO19" s="65"/>
      <c r="AP19" s="77">
        <f t="shared" si="13"/>
        <v>0</v>
      </c>
      <c r="AQ19" s="65"/>
      <c r="AR19" s="77">
        <f t="shared" si="29"/>
        <v>0</v>
      </c>
      <c r="AS19" s="65"/>
      <c r="AT19" s="77">
        <f t="shared" si="30"/>
        <v>0</v>
      </c>
      <c r="AU19" s="65"/>
      <c r="AV19" s="77">
        <f t="shared" si="31"/>
        <v>0</v>
      </c>
      <c r="AW19" s="65"/>
      <c r="AX19" s="77">
        <f t="shared" si="32"/>
        <v>0</v>
      </c>
      <c r="AY19" s="65"/>
      <c r="AZ19" s="77">
        <f t="shared" si="33"/>
        <v>0</v>
      </c>
      <c r="BA19" s="65"/>
      <c r="BB19" s="77">
        <f t="shared" si="34"/>
        <v>0</v>
      </c>
      <c r="BC19" s="65"/>
      <c r="BD19" s="77">
        <f t="shared" si="35"/>
        <v>0</v>
      </c>
      <c r="BE19" s="70"/>
      <c r="BF19" s="77">
        <f t="shared" si="14"/>
        <v>0</v>
      </c>
      <c r="BG19" s="71"/>
      <c r="BH19" s="77">
        <f t="shared" si="36"/>
        <v>0</v>
      </c>
      <c r="BI19" s="70"/>
      <c r="BJ19" s="77">
        <f t="shared" si="37"/>
        <v>0</v>
      </c>
      <c r="BK19" s="70"/>
      <c r="BL19" s="77">
        <f t="shared" si="38"/>
        <v>0</v>
      </c>
      <c r="BM19" s="70"/>
      <c r="BN19" s="77">
        <f t="shared" si="39"/>
        <v>0</v>
      </c>
      <c r="BO19" s="70"/>
      <c r="BP19" s="77">
        <f t="shared" si="40"/>
        <v>0</v>
      </c>
      <c r="BQ19" s="70"/>
      <c r="BR19" s="77">
        <f t="shared" si="15"/>
        <v>0</v>
      </c>
      <c r="BS19" s="70"/>
      <c r="BT19" s="77">
        <f t="shared" si="41"/>
        <v>0</v>
      </c>
      <c r="BU19" s="70"/>
      <c r="BV19" s="77">
        <f t="shared" si="1"/>
        <v>0</v>
      </c>
      <c r="BW19" s="70"/>
      <c r="BX19" s="77">
        <f t="shared" si="42"/>
        <v>0</v>
      </c>
      <c r="BY19" s="72"/>
      <c r="BZ19" s="77">
        <f t="shared" si="16"/>
        <v>0</v>
      </c>
      <c r="CA19" s="65"/>
      <c r="CB19" s="77">
        <f t="shared" si="17"/>
        <v>0</v>
      </c>
      <c r="CC19" s="65"/>
      <c r="CD19" s="77">
        <f t="shared" si="18"/>
        <v>0</v>
      </c>
      <c r="CE19" s="65"/>
      <c r="CF19" s="77">
        <f t="shared" si="19"/>
        <v>0</v>
      </c>
      <c r="CG19" s="65"/>
      <c r="CH19" s="77">
        <f t="shared" si="20"/>
        <v>0</v>
      </c>
      <c r="CI19" s="65"/>
      <c r="CJ19" s="77">
        <f t="shared" si="2"/>
        <v>0</v>
      </c>
      <c r="CK19" s="65"/>
      <c r="CL19" s="76">
        <f t="shared" si="21"/>
        <v>0</v>
      </c>
      <c r="CM19" s="77"/>
      <c r="CN19" s="74"/>
      <c r="CO19" s="74"/>
    </row>
    <row r="20" spans="1:93" ht="25.5" customHeight="1" thickBot="1" x14ac:dyDescent="0.45">
      <c r="A20" s="75">
        <v>43847</v>
      </c>
      <c r="B20" s="49"/>
      <c r="C20" s="65"/>
      <c r="D20" s="76">
        <f t="shared" si="3"/>
        <v>0</v>
      </c>
      <c r="E20" s="65"/>
      <c r="F20" s="76">
        <f t="shared" si="4"/>
        <v>0</v>
      </c>
      <c r="G20" s="65"/>
      <c r="H20" s="76">
        <f t="shared" si="5"/>
        <v>0</v>
      </c>
      <c r="I20" s="65"/>
      <c r="J20" s="76">
        <f t="shared" si="43"/>
        <v>0</v>
      </c>
      <c r="K20" s="65"/>
      <c r="L20" s="76">
        <f t="shared" si="0"/>
        <v>0</v>
      </c>
      <c r="M20" s="65"/>
      <c r="N20" s="77">
        <f t="shared" si="22"/>
        <v>0</v>
      </c>
      <c r="O20" s="65"/>
      <c r="P20" s="77">
        <f t="shared" si="6"/>
        <v>0</v>
      </c>
      <c r="Q20" s="65"/>
      <c r="R20" s="77">
        <f t="shared" si="7"/>
        <v>0</v>
      </c>
      <c r="S20" s="65"/>
      <c r="T20" s="77">
        <f t="shared" si="44"/>
        <v>0</v>
      </c>
      <c r="U20" s="65"/>
      <c r="V20" s="77">
        <f t="shared" si="9"/>
        <v>0</v>
      </c>
      <c r="W20" s="65"/>
      <c r="X20" s="77">
        <f t="shared" si="23"/>
        <v>0</v>
      </c>
      <c r="Y20" s="65"/>
      <c r="Z20" s="77">
        <f t="shared" si="24"/>
        <v>0</v>
      </c>
      <c r="AA20" s="65"/>
      <c r="AB20" s="77">
        <f t="shared" si="25"/>
        <v>0</v>
      </c>
      <c r="AC20" s="65"/>
      <c r="AD20" s="77">
        <f t="shared" si="26"/>
        <v>0</v>
      </c>
      <c r="AE20" s="65"/>
      <c r="AF20" s="77">
        <f t="shared" si="27"/>
        <v>0</v>
      </c>
      <c r="AG20" s="65"/>
      <c r="AH20" s="77">
        <f t="shared" si="10"/>
        <v>0</v>
      </c>
      <c r="AI20" s="65"/>
      <c r="AJ20" s="77">
        <f t="shared" si="28"/>
        <v>0</v>
      </c>
      <c r="AK20" s="65"/>
      <c r="AL20" s="77">
        <f t="shared" si="11"/>
        <v>0</v>
      </c>
      <c r="AM20" s="65"/>
      <c r="AN20" s="77">
        <f t="shared" si="12"/>
        <v>0</v>
      </c>
      <c r="AO20" s="65"/>
      <c r="AP20" s="77">
        <f t="shared" si="13"/>
        <v>0</v>
      </c>
      <c r="AQ20" s="65"/>
      <c r="AR20" s="77">
        <f t="shared" si="29"/>
        <v>0</v>
      </c>
      <c r="AS20" s="65"/>
      <c r="AT20" s="77">
        <f t="shared" si="30"/>
        <v>0</v>
      </c>
      <c r="AU20" s="65"/>
      <c r="AV20" s="77">
        <f t="shared" si="31"/>
        <v>0</v>
      </c>
      <c r="AW20" s="65"/>
      <c r="AX20" s="77">
        <f t="shared" si="32"/>
        <v>0</v>
      </c>
      <c r="AY20" s="65"/>
      <c r="AZ20" s="77">
        <f t="shared" si="33"/>
        <v>0</v>
      </c>
      <c r="BA20" s="65"/>
      <c r="BB20" s="77">
        <f t="shared" si="34"/>
        <v>0</v>
      </c>
      <c r="BC20" s="65"/>
      <c r="BD20" s="77">
        <f t="shared" si="35"/>
        <v>0</v>
      </c>
      <c r="BE20" s="70"/>
      <c r="BF20" s="77">
        <f t="shared" si="14"/>
        <v>0</v>
      </c>
      <c r="BG20" s="71"/>
      <c r="BH20" s="77">
        <f t="shared" si="36"/>
        <v>0</v>
      </c>
      <c r="BI20" s="70"/>
      <c r="BJ20" s="77">
        <f t="shared" si="37"/>
        <v>0</v>
      </c>
      <c r="BK20" s="70"/>
      <c r="BL20" s="77">
        <f t="shared" si="38"/>
        <v>0</v>
      </c>
      <c r="BM20" s="70"/>
      <c r="BN20" s="77">
        <f t="shared" si="39"/>
        <v>0</v>
      </c>
      <c r="BO20" s="70"/>
      <c r="BP20" s="77">
        <f t="shared" si="40"/>
        <v>0</v>
      </c>
      <c r="BQ20" s="70"/>
      <c r="BR20" s="77">
        <f t="shared" si="15"/>
        <v>0</v>
      </c>
      <c r="BS20" s="70"/>
      <c r="BT20" s="77">
        <f t="shared" si="41"/>
        <v>0</v>
      </c>
      <c r="BU20" s="70"/>
      <c r="BV20" s="77">
        <f t="shared" si="1"/>
        <v>0</v>
      </c>
      <c r="BW20" s="70"/>
      <c r="BX20" s="77">
        <f t="shared" si="42"/>
        <v>0</v>
      </c>
      <c r="BY20" s="72"/>
      <c r="BZ20" s="77">
        <f t="shared" si="16"/>
        <v>0</v>
      </c>
      <c r="CA20" s="65"/>
      <c r="CB20" s="77">
        <f t="shared" si="17"/>
        <v>0</v>
      </c>
      <c r="CC20" s="65"/>
      <c r="CD20" s="77">
        <f t="shared" si="18"/>
        <v>0</v>
      </c>
      <c r="CE20" s="65"/>
      <c r="CF20" s="77">
        <f t="shared" si="19"/>
        <v>0</v>
      </c>
      <c r="CG20" s="65"/>
      <c r="CH20" s="77">
        <f t="shared" si="20"/>
        <v>0</v>
      </c>
      <c r="CI20" s="65"/>
      <c r="CJ20" s="77">
        <f t="shared" si="2"/>
        <v>0</v>
      </c>
      <c r="CK20" s="65"/>
      <c r="CL20" s="76">
        <f t="shared" si="21"/>
        <v>0</v>
      </c>
      <c r="CM20" s="77"/>
      <c r="CN20" s="74"/>
      <c r="CO20" s="74"/>
    </row>
    <row r="21" spans="1:93" ht="25.5" customHeight="1" thickBot="1" x14ac:dyDescent="0.45">
      <c r="A21" s="75">
        <v>43848</v>
      </c>
      <c r="B21" s="49"/>
      <c r="C21" s="65"/>
      <c r="D21" s="76">
        <f t="shared" si="3"/>
        <v>0</v>
      </c>
      <c r="E21" s="65"/>
      <c r="F21" s="76">
        <f t="shared" si="4"/>
        <v>0</v>
      </c>
      <c r="G21" s="65"/>
      <c r="H21" s="76">
        <f t="shared" si="5"/>
        <v>0</v>
      </c>
      <c r="I21" s="65"/>
      <c r="J21" s="76">
        <f t="shared" si="43"/>
        <v>0</v>
      </c>
      <c r="K21" s="65"/>
      <c r="L21" s="76">
        <f t="shared" si="0"/>
        <v>0</v>
      </c>
      <c r="M21" s="65"/>
      <c r="N21" s="77">
        <f t="shared" si="22"/>
        <v>0</v>
      </c>
      <c r="O21" s="65"/>
      <c r="P21" s="77">
        <f t="shared" si="6"/>
        <v>0</v>
      </c>
      <c r="Q21" s="65"/>
      <c r="R21" s="77">
        <f t="shared" si="7"/>
        <v>0</v>
      </c>
      <c r="S21" s="65"/>
      <c r="T21" s="77">
        <f t="shared" si="44"/>
        <v>0</v>
      </c>
      <c r="U21" s="65"/>
      <c r="V21" s="77">
        <f t="shared" si="9"/>
        <v>0</v>
      </c>
      <c r="W21" s="65"/>
      <c r="X21" s="77">
        <f t="shared" si="23"/>
        <v>0</v>
      </c>
      <c r="Y21" s="65"/>
      <c r="Z21" s="77">
        <f t="shared" si="24"/>
        <v>0</v>
      </c>
      <c r="AA21" s="65"/>
      <c r="AB21" s="77">
        <f t="shared" si="25"/>
        <v>0</v>
      </c>
      <c r="AC21" s="65"/>
      <c r="AD21" s="77">
        <f t="shared" si="26"/>
        <v>0</v>
      </c>
      <c r="AE21" s="65"/>
      <c r="AF21" s="77">
        <f t="shared" si="27"/>
        <v>0</v>
      </c>
      <c r="AG21" s="65"/>
      <c r="AH21" s="77">
        <f t="shared" si="10"/>
        <v>0</v>
      </c>
      <c r="AI21" s="65"/>
      <c r="AJ21" s="77">
        <f t="shared" si="28"/>
        <v>0</v>
      </c>
      <c r="AK21" s="65"/>
      <c r="AL21" s="77">
        <f t="shared" si="11"/>
        <v>0</v>
      </c>
      <c r="AM21" s="65"/>
      <c r="AN21" s="77">
        <f t="shared" si="12"/>
        <v>0</v>
      </c>
      <c r="AO21" s="65"/>
      <c r="AP21" s="77">
        <f t="shared" si="13"/>
        <v>0</v>
      </c>
      <c r="AQ21" s="65"/>
      <c r="AR21" s="77">
        <f t="shared" si="29"/>
        <v>0</v>
      </c>
      <c r="AS21" s="65"/>
      <c r="AT21" s="77">
        <f t="shared" si="30"/>
        <v>0</v>
      </c>
      <c r="AU21" s="65"/>
      <c r="AV21" s="77">
        <f t="shared" si="31"/>
        <v>0</v>
      </c>
      <c r="AW21" s="65"/>
      <c r="AX21" s="77">
        <f t="shared" si="32"/>
        <v>0</v>
      </c>
      <c r="AY21" s="65"/>
      <c r="AZ21" s="77">
        <f t="shared" si="33"/>
        <v>0</v>
      </c>
      <c r="BA21" s="65"/>
      <c r="BB21" s="77">
        <f t="shared" si="34"/>
        <v>0</v>
      </c>
      <c r="BC21" s="65"/>
      <c r="BD21" s="77">
        <f t="shared" si="35"/>
        <v>0</v>
      </c>
      <c r="BE21" s="70"/>
      <c r="BF21" s="77">
        <f t="shared" si="14"/>
        <v>0</v>
      </c>
      <c r="BG21" s="71"/>
      <c r="BH21" s="77">
        <f t="shared" si="36"/>
        <v>0</v>
      </c>
      <c r="BI21" s="70"/>
      <c r="BJ21" s="77">
        <f t="shared" si="37"/>
        <v>0</v>
      </c>
      <c r="BK21" s="70"/>
      <c r="BL21" s="77">
        <f t="shared" si="38"/>
        <v>0</v>
      </c>
      <c r="BM21" s="70"/>
      <c r="BN21" s="77">
        <f t="shared" si="39"/>
        <v>0</v>
      </c>
      <c r="BO21" s="70"/>
      <c r="BP21" s="77">
        <f t="shared" si="40"/>
        <v>0</v>
      </c>
      <c r="BQ21" s="70"/>
      <c r="BR21" s="77">
        <f t="shared" si="15"/>
        <v>0</v>
      </c>
      <c r="BS21" s="70"/>
      <c r="BT21" s="77">
        <f t="shared" si="41"/>
        <v>0</v>
      </c>
      <c r="BU21" s="70"/>
      <c r="BV21" s="77">
        <f t="shared" si="1"/>
        <v>0</v>
      </c>
      <c r="BW21" s="70"/>
      <c r="BX21" s="77">
        <f t="shared" si="42"/>
        <v>0</v>
      </c>
      <c r="BY21" s="72"/>
      <c r="BZ21" s="77">
        <f t="shared" si="16"/>
        <v>0</v>
      </c>
      <c r="CA21" s="65"/>
      <c r="CB21" s="77">
        <f t="shared" si="17"/>
        <v>0</v>
      </c>
      <c r="CC21" s="65"/>
      <c r="CD21" s="77">
        <f t="shared" si="18"/>
        <v>0</v>
      </c>
      <c r="CE21" s="65"/>
      <c r="CF21" s="77">
        <f t="shared" si="19"/>
        <v>0</v>
      </c>
      <c r="CG21" s="65"/>
      <c r="CH21" s="77">
        <f t="shared" si="20"/>
        <v>0</v>
      </c>
      <c r="CI21" s="65"/>
      <c r="CJ21" s="77">
        <f t="shared" si="2"/>
        <v>0</v>
      </c>
      <c r="CK21" s="65"/>
      <c r="CL21" s="76">
        <f t="shared" si="21"/>
        <v>0</v>
      </c>
      <c r="CM21" s="77"/>
      <c r="CN21" s="74"/>
      <c r="CO21" s="74"/>
    </row>
    <row r="22" spans="1:93" ht="25.5" customHeight="1" thickBot="1" x14ac:dyDescent="0.45">
      <c r="A22" s="75">
        <v>43849</v>
      </c>
      <c r="B22" s="49"/>
      <c r="C22" s="65"/>
      <c r="D22" s="76">
        <f t="shared" si="3"/>
        <v>0</v>
      </c>
      <c r="E22" s="65"/>
      <c r="F22" s="76">
        <f t="shared" si="4"/>
        <v>0</v>
      </c>
      <c r="G22" s="65"/>
      <c r="H22" s="76">
        <f t="shared" si="5"/>
        <v>0</v>
      </c>
      <c r="I22" s="65"/>
      <c r="J22" s="76">
        <f t="shared" si="43"/>
        <v>0</v>
      </c>
      <c r="K22" s="65"/>
      <c r="L22" s="76">
        <f t="shared" si="0"/>
        <v>0</v>
      </c>
      <c r="M22" s="65"/>
      <c r="N22" s="77">
        <f t="shared" si="22"/>
        <v>0</v>
      </c>
      <c r="O22" s="65"/>
      <c r="P22" s="77">
        <f t="shared" si="6"/>
        <v>0</v>
      </c>
      <c r="Q22" s="65"/>
      <c r="R22" s="77">
        <f t="shared" si="7"/>
        <v>0</v>
      </c>
      <c r="S22" s="65"/>
      <c r="T22" s="77">
        <f t="shared" si="44"/>
        <v>0</v>
      </c>
      <c r="U22" s="65"/>
      <c r="V22" s="77">
        <f t="shared" si="9"/>
        <v>0</v>
      </c>
      <c r="W22" s="65"/>
      <c r="X22" s="77">
        <f t="shared" si="23"/>
        <v>0</v>
      </c>
      <c r="Y22" s="65"/>
      <c r="Z22" s="77">
        <f t="shared" si="24"/>
        <v>0</v>
      </c>
      <c r="AA22" s="65"/>
      <c r="AB22" s="77">
        <f t="shared" si="25"/>
        <v>0</v>
      </c>
      <c r="AC22" s="65"/>
      <c r="AD22" s="77">
        <f t="shared" si="26"/>
        <v>0</v>
      </c>
      <c r="AE22" s="65"/>
      <c r="AF22" s="77">
        <f t="shared" si="27"/>
        <v>0</v>
      </c>
      <c r="AG22" s="65"/>
      <c r="AH22" s="77">
        <f t="shared" si="10"/>
        <v>0</v>
      </c>
      <c r="AI22" s="65"/>
      <c r="AJ22" s="77">
        <f t="shared" si="28"/>
        <v>0</v>
      </c>
      <c r="AK22" s="65"/>
      <c r="AL22" s="77">
        <f t="shared" si="11"/>
        <v>0</v>
      </c>
      <c r="AM22" s="65"/>
      <c r="AN22" s="77">
        <f t="shared" si="12"/>
        <v>0</v>
      </c>
      <c r="AO22" s="65"/>
      <c r="AP22" s="77">
        <f t="shared" si="13"/>
        <v>0</v>
      </c>
      <c r="AQ22" s="65"/>
      <c r="AR22" s="77">
        <f t="shared" si="29"/>
        <v>0</v>
      </c>
      <c r="AS22" s="65"/>
      <c r="AT22" s="77">
        <f t="shared" si="30"/>
        <v>0</v>
      </c>
      <c r="AU22" s="65"/>
      <c r="AV22" s="77">
        <f t="shared" si="31"/>
        <v>0</v>
      </c>
      <c r="AW22" s="65"/>
      <c r="AX22" s="77">
        <f t="shared" si="32"/>
        <v>0</v>
      </c>
      <c r="AY22" s="65"/>
      <c r="AZ22" s="77">
        <f t="shared" si="33"/>
        <v>0</v>
      </c>
      <c r="BA22" s="65"/>
      <c r="BB22" s="77">
        <f t="shared" si="34"/>
        <v>0</v>
      </c>
      <c r="BC22" s="65"/>
      <c r="BD22" s="77">
        <f t="shared" si="35"/>
        <v>0</v>
      </c>
      <c r="BE22" s="70"/>
      <c r="BF22" s="77">
        <f t="shared" si="14"/>
        <v>0</v>
      </c>
      <c r="BG22" s="71"/>
      <c r="BH22" s="77">
        <f t="shared" si="36"/>
        <v>0</v>
      </c>
      <c r="BI22" s="70"/>
      <c r="BJ22" s="77">
        <f t="shared" si="37"/>
        <v>0</v>
      </c>
      <c r="BK22" s="70"/>
      <c r="BL22" s="77">
        <f t="shared" si="38"/>
        <v>0</v>
      </c>
      <c r="BM22" s="70"/>
      <c r="BN22" s="77">
        <f t="shared" si="39"/>
        <v>0</v>
      </c>
      <c r="BO22" s="70"/>
      <c r="BP22" s="77">
        <f t="shared" si="40"/>
        <v>0</v>
      </c>
      <c r="BQ22" s="70"/>
      <c r="BR22" s="77">
        <f t="shared" si="15"/>
        <v>0</v>
      </c>
      <c r="BS22" s="70"/>
      <c r="BT22" s="77">
        <f t="shared" si="41"/>
        <v>0</v>
      </c>
      <c r="BU22" s="70"/>
      <c r="BV22" s="77">
        <f t="shared" si="1"/>
        <v>0</v>
      </c>
      <c r="BW22" s="70"/>
      <c r="BX22" s="77">
        <f t="shared" si="42"/>
        <v>0</v>
      </c>
      <c r="BY22" s="72"/>
      <c r="BZ22" s="77">
        <f t="shared" si="16"/>
        <v>0</v>
      </c>
      <c r="CA22" s="65"/>
      <c r="CB22" s="77">
        <f t="shared" si="17"/>
        <v>0</v>
      </c>
      <c r="CC22" s="65"/>
      <c r="CD22" s="77">
        <f t="shared" si="18"/>
        <v>0</v>
      </c>
      <c r="CE22" s="65"/>
      <c r="CF22" s="77">
        <f t="shared" si="19"/>
        <v>0</v>
      </c>
      <c r="CG22" s="65"/>
      <c r="CH22" s="77">
        <f t="shared" si="20"/>
        <v>0</v>
      </c>
      <c r="CI22" s="65"/>
      <c r="CJ22" s="77">
        <f t="shared" si="2"/>
        <v>0</v>
      </c>
      <c r="CK22" s="65"/>
      <c r="CL22" s="76">
        <f t="shared" si="21"/>
        <v>0</v>
      </c>
      <c r="CM22" s="77"/>
      <c r="CN22" s="74"/>
      <c r="CO22" s="74"/>
    </row>
    <row r="23" spans="1:93" ht="25.5" customHeight="1" thickBot="1" x14ac:dyDescent="0.45">
      <c r="A23" s="75">
        <v>43850</v>
      </c>
      <c r="B23" s="49"/>
      <c r="C23" s="65"/>
      <c r="D23" s="76">
        <f t="shared" si="3"/>
        <v>0</v>
      </c>
      <c r="E23" s="65"/>
      <c r="F23" s="76">
        <f t="shared" si="4"/>
        <v>0</v>
      </c>
      <c r="G23" s="65"/>
      <c r="H23" s="76">
        <f t="shared" si="5"/>
        <v>0</v>
      </c>
      <c r="I23" s="65"/>
      <c r="J23" s="76">
        <f t="shared" si="43"/>
        <v>0</v>
      </c>
      <c r="K23" s="65"/>
      <c r="L23" s="76">
        <f t="shared" si="0"/>
        <v>0</v>
      </c>
      <c r="M23" s="65"/>
      <c r="N23" s="77">
        <f t="shared" si="22"/>
        <v>0</v>
      </c>
      <c r="O23" s="65"/>
      <c r="P23" s="77">
        <f t="shared" si="6"/>
        <v>0</v>
      </c>
      <c r="Q23" s="65"/>
      <c r="R23" s="77">
        <f t="shared" si="7"/>
        <v>0</v>
      </c>
      <c r="S23" s="65"/>
      <c r="T23" s="77">
        <f t="shared" si="44"/>
        <v>0</v>
      </c>
      <c r="U23" s="65"/>
      <c r="V23" s="77">
        <f t="shared" si="9"/>
        <v>0</v>
      </c>
      <c r="W23" s="65"/>
      <c r="X23" s="77">
        <f t="shared" si="23"/>
        <v>0</v>
      </c>
      <c r="Y23" s="65"/>
      <c r="Z23" s="77">
        <f t="shared" si="24"/>
        <v>0</v>
      </c>
      <c r="AA23" s="65"/>
      <c r="AB23" s="77">
        <f t="shared" si="25"/>
        <v>0</v>
      </c>
      <c r="AC23" s="65"/>
      <c r="AD23" s="77">
        <f t="shared" si="26"/>
        <v>0</v>
      </c>
      <c r="AE23" s="65"/>
      <c r="AF23" s="77">
        <f t="shared" si="27"/>
        <v>0</v>
      </c>
      <c r="AG23" s="65"/>
      <c r="AH23" s="77">
        <f t="shared" si="10"/>
        <v>0</v>
      </c>
      <c r="AI23" s="65"/>
      <c r="AJ23" s="77">
        <f t="shared" si="28"/>
        <v>0</v>
      </c>
      <c r="AK23" s="65"/>
      <c r="AL23" s="77"/>
      <c r="AM23" s="65"/>
      <c r="AN23" s="77">
        <f t="shared" si="12"/>
        <v>0</v>
      </c>
      <c r="AO23" s="65"/>
      <c r="AP23" s="77">
        <f t="shared" si="13"/>
        <v>0</v>
      </c>
      <c r="AQ23" s="65"/>
      <c r="AR23" s="77">
        <f t="shared" si="29"/>
        <v>0</v>
      </c>
      <c r="AS23" s="65"/>
      <c r="AT23" s="77">
        <f t="shared" si="30"/>
        <v>0</v>
      </c>
      <c r="AU23" s="65"/>
      <c r="AV23" s="77">
        <f t="shared" si="31"/>
        <v>0</v>
      </c>
      <c r="AW23" s="65"/>
      <c r="AX23" s="77">
        <f t="shared" si="32"/>
        <v>0</v>
      </c>
      <c r="AY23" s="65"/>
      <c r="AZ23" s="77">
        <f t="shared" si="33"/>
        <v>0</v>
      </c>
      <c r="BA23" s="65"/>
      <c r="BB23" s="77">
        <f t="shared" si="34"/>
        <v>0</v>
      </c>
      <c r="BC23" s="65"/>
      <c r="BD23" s="77">
        <f t="shared" si="35"/>
        <v>0</v>
      </c>
      <c r="BE23" s="70"/>
      <c r="BF23" s="77">
        <f t="shared" si="14"/>
        <v>0</v>
      </c>
      <c r="BG23" s="71"/>
      <c r="BH23" s="77">
        <f t="shared" si="36"/>
        <v>0</v>
      </c>
      <c r="BI23" s="70"/>
      <c r="BJ23" s="77">
        <f t="shared" si="37"/>
        <v>0</v>
      </c>
      <c r="BK23" s="70"/>
      <c r="BL23" s="77">
        <f t="shared" si="38"/>
        <v>0</v>
      </c>
      <c r="BM23" s="70"/>
      <c r="BN23" s="77">
        <f t="shared" si="39"/>
        <v>0</v>
      </c>
      <c r="BO23" s="70"/>
      <c r="BP23" s="77">
        <f t="shared" si="40"/>
        <v>0</v>
      </c>
      <c r="BQ23" s="70"/>
      <c r="BR23" s="77">
        <f t="shared" si="15"/>
        <v>0</v>
      </c>
      <c r="BS23" s="70"/>
      <c r="BT23" s="77">
        <f t="shared" si="41"/>
        <v>0</v>
      </c>
      <c r="BU23" s="70"/>
      <c r="BV23" s="77">
        <f t="shared" si="1"/>
        <v>0</v>
      </c>
      <c r="BW23" s="70"/>
      <c r="BX23" s="77">
        <f t="shared" si="42"/>
        <v>0</v>
      </c>
      <c r="BY23" s="72"/>
      <c r="BZ23" s="77">
        <f t="shared" si="16"/>
        <v>0</v>
      </c>
      <c r="CA23" s="65"/>
      <c r="CB23" s="77">
        <f t="shared" si="17"/>
        <v>0</v>
      </c>
      <c r="CC23" s="65"/>
      <c r="CD23" s="77">
        <f t="shared" si="18"/>
        <v>0</v>
      </c>
      <c r="CE23" s="65"/>
      <c r="CF23" s="77">
        <f t="shared" si="19"/>
        <v>0</v>
      </c>
      <c r="CG23" s="65"/>
      <c r="CH23" s="77">
        <f t="shared" si="20"/>
        <v>0</v>
      </c>
      <c r="CI23" s="65"/>
      <c r="CJ23" s="77">
        <f t="shared" si="2"/>
        <v>0</v>
      </c>
      <c r="CK23" s="65"/>
      <c r="CL23" s="76">
        <f t="shared" si="21"/>
        <v>0</v>
      </c>
      <c r="CM23" s="77"/>
      <c r="CN23" s="74"/>
      <c r="CO23" s="74"/>
    </row>
    <row r="24" spans="1:93" ht="25.5" customHeight="1" thickBot="1" x14ac:dyDescent="0.45">
      <c r="A24" s="75">
        <v>43851</v>
      </c>
      <c r="B24" s="49"/>
      <c r="C24" s="65"/>
      <c r="D24" s="76">
        <f t="shared" si="3"/>
        <v>0</v>
      </c>
      <c r="E24" s="65"/>
      <c r="F24" s="76">
        <f t="shared" si="4"/>
        <v>0</v>
      </c>
      <c r="G24" s="65"/>
      <c r="H24" s="76">
        <f t="shared" si="5"/>
        <v>0</v>
      </c>
      <c r="I24" s="65"/>
      <c r="J24" s="76">
        <f t="shared" si="43"/>
        <v>0</v>
      </c>
      <c r="K24" s="65"/>
      <c r="L24" s="76">
        <f t="shared" si="0"/>
        <v>0</v>
      </c>
      <c r="M24" s="65"/>
      <c r="N24" s="77">
        <f t="shared" si="22"/>
        <v>0</v>
      </c>
      <c r="O24" s="65"/>
      <c r="P24" s="77">
        <f t="shared" si="6"/>
        <v>0</v>
      </c>
      <c r="Q24" s="65"/>
      <c r="R24" s="77">
        <f t="shared" si="7"/>
        <v>0</v>
      </c>
      <c r="S24" s="65"/>
      <c r="T24" s="77">
        <f t="shared" si="44"/>
        <v>0</v>
      </c>
      <c r="U24" s="65"/>
      <c r="V24" s="77">
        <f t="shared" si="9"/>
        <v>0</v>
      </c>
      <c r="W24" s="65"/>
      <c r="X24" s="77">
        <f t="shared" si="23"/>
        <v>0</v>
      </c>
      <c r="Y24" s="65"/>
      <c r="Z24" s="77">
        <f t="shared" si="24"/>
        <v>0</v>
      </c>
      <c r="AA24" s="65"/>
      <c r="AB24" s="77">
        <f t="shared" si="25"/>
        <v>0</v>
      </c>
      <c r="AC24" s="65"/>
      <c r="AD24" s="77">
        <f t="shared" si="26"/>
        <v>0</v>
      </c>
      <c r="AE24" s="65"/>
      <c r="AF24" s="77">
        <f t="shared" si="27"/>
        <v>0</v>
      </c>
      <c r="AG24" s="65"/>
      <c r="AH24" s="77">
        <f t="shared" si="10"/>
        <v>0</v>
      </c>
      <c r="AI24" s="65"/>
      <c r="AJ24" s="77">
        <f t="shared" si="28"/>
        <v>0</v>
      </c>
      <c r="AK24" s="65"/>
      <c r="AL24" s="77">
        <f t="shared" si="11"/>
        <v>0</v>
      </c>
      <c r="AM24" s="65"/>
      <c r="AN24" s="77">
        <f t="shared" si="12"/>
        <v>0</v>
      </c>
      <c r="AO24" s="65"/>
      <c r="AP24" s="77">
        <f t="shared" si="13"/>
        <v>0</v>
      </c>
      <c r="AQ24" s="65"/>
      <c r="AR24" s="77">
        <f t="shared" si="29"/>
        <v>0</v>
      </c>
      <c r="AS24" s="65"/>
      <c r="AT24" s="77">
        <f t="shared" si="30"/>
        <v>0</v>
      </c>
      <c r="AU24" s="65"/>
      <c r="AV24" s="77">
        <f t="shared" si="31"/>
        <v>0</v>
      </c>
      <c r="AW24" s="65"/>
      <c r="AX24" s="77">
        <f t="shared" si="32"/>
        <v>0</v>
      </c>
      <c r="AY24" s="65"/>
      <c r="AZ24" s="77">
        <f t="shared" si="33"/>
        <v>0</v>
      </c>
      <c r="BA24" s="65"/>
      <c r="BB24" s="77">
        <f t="shared" si="34"/>
        <v>0</v>
      </c>
      <c r="BC24" s="65"/>
      <c r="BD24" s="77">
        <f t="shared" si="35"/>
        <v>0</v>
      </c>
      <c r="BE24" s="70"/>
      <c r="BF24" s="77">
        <f t="shared" si="14"/>
        <v>0</v>
      </c>
      <c r="BG24" s="71"/>
      <c r="BH24" s="77">
        <f t="shared" si="36"/>
        <v>0</v>
      </c>
      <c r="BI24" s="70"/>
      <c r="BJ24" s="77">
        <f t="shared" si="37"/>
        <v>0</v>
      </c>
      <c r="BK24" s="70"/>
      <c r="BL24" s="77">
        <f t="shared" si="38"/>
        <v>0</v>
      </c>
      <c r="BM24" s="70"/>
      <c r="BN24" s="77">
        <f t="shared" si="39"/>
        <v>0</v>
      </c>
      <c r="BO24" s="70"/>
      <c r="BP24" s="77">
        <f t="shared" si="40"/>
        <v>0</v>
      </c>
      <c r="BQ24" s="70"/>
      <c r="BR24" s="77">
        <f t="shared" si="15"/>
        <v>0</v>
      </c>
      <c r="BS24" s="70"/>
      <c r="BT24" s="77">
        <f t="shared" si="41"/>
        <v>0</v>
      </c>
      <c r="BU24" s="70"/>
      <c r="BV24" s="77">
        <f t="shared" si="1"/>
        <v>0</v>
      </c>
      <c r="BW24" s="70"/>
      <c r="BX24" s="77">
        <f t="shared" si="42"/>
        <v>0</v>
      </c>
      <c r="BY24" s="72"/>
      <c r="BZ24" s="77">
        <f t="shared" si="16"/>
        <v>0</v>
      </c>
      <c r="CA24" s="65"/>
      <c r="CB24" s="77">
        <f t="shared" si="17"/>
        <v>0</v>
      </c>
      <c r="CC24" s="65"/>
      <c r="CD24" s="77">
        <f t="shared" si="18"/>
        <v>0</v>
      </c>
      <c r="CE24" s="65"/>
      <c r="CF24" s="77">
        <f t="shared" si="19"/>
        <v>0</v>
      </c>
      <c r="CG24" s="65"/>
      <c r="CH24" s="77">
        <f t="shared" si="20"/>
        <v>0</v>
      </c>
      <c r="CI24" s="65"/>
      <c r="CJ24" s="77">
        <f t="shared" si="2"/>
        <v>0</v>
      </c>
      <c r="CK24" s="65"/>
      <c r="CL24" s="76">
        <f t="shared" si="21"/>
        <v>0</v>
      </c>
      <c r="CM24" s="77"/>
      <c r="CN24" s="74"/>
      <c r="CO24" s="74"/>
    </row>
    <row r="25" spans="1:93" ht="25.5" customHeight="1" thickBot="1" x14ac:dyDescent="0.45">
      <c r="A25" s="75">
        <v>43852</v>
      </c>
      <c r="B25" s="49"/>
      <c r="C25" s="65"/>
      <c r="D25" s="76">
        <f t="shared" si="3"/>
        <v>0</v>
      </c>
      <c r="E25" s="65"/>
      <c r="F25" s="76">
        <f t="shared" si="4"/>
        <v>0</v>
      </c>
      <c r="G25" s="65"/>
      <c r="H25" s="76">
        <f t="shared" si="5"/>
        <v>0</v>
      </c>
      <c r="I25" s="65"/>
      <c r="J25" s="76">
        <f t="shared" si="43"/>
        <v>0</v>
      </c>
      <c r="K25" s="65"/>
      <c r="L25" s="76">
        <f t="shared" si="0"/>
        <v>0</v>
      </c>
      <c r="M25" s="65"/>
      <c r="N25" s="77">
        <f t="shared" si="22"/>
        <v>0</v>
      </c>
      <c r="O25" s="65"/>
      <c r="P25" s="77">
        <f t="shared" si="6"/>
        <v>0</v>
      </c>
      <c r="Q25" s="65"/>
      <c r="R25" s="77">
        <f t="shared" si="7"/>
        <v>0</v>
      </c>
      <c r="S25" s="65"/>
      <c r="T25" s="77">
        <f t="shared" si="44"/>
        <v>0</v>
      </c>
      <c r="U25" s="65"/>
      <c r="V25" s="77">
        <f t="shared" si="9"/>
        <v>0</v>
      </c>
      <c r="W25" s="65"/>
      <c r="X25" s="77">
        <f t="shared" si="23"/>
        <v>0</v>
      </c>
      <c r="Y25" s="65"/>
      <c r="Z25" s="77">
        <f t="shared" si="24"/>
        <v>0</v>
      </c>
      <c r="AA25" s="65"/>
      <c r="AB25" s="77">
        <f t="shared" si="25"/>
        <v>0</v>
      </c>
      <c r="AC25" s="65"/>
      <c r="AD25" s="77">
        <f t="shared" si="26"/>
        <v>0</v>
      </c>
      <c r="AE25" s="65"/>
      <c r="AF25" s="77">
        <f t="shared" si="27"/>
        <v>0</v>
      </c>
      <c r="AG25" s="65"/>
      <c r="AH25" s="77">
        <f t="shared" si="10"/>
        <v>0</v>
      </c>
      <c r="AI25" s="65"/>
      <c r="AJ25" s="77">
        <f t="shared" si="28"/>
        <v>0</v>
      </c>
      <c r="AK25" s="65"/>
      <c r="AL25" s="77">
        <f t="shared" si="11"/>
        <v>0</v>
      </c>
      <c r="AM25" s="65"/>
      <c r="AN25" s="77">
        <f t="shared" si="12"/>
        <v>0</v>
      </c>
      <c r="AO25" s="65"/>
      <c r="AP25" s="77">
        <f t="shared" si="13"/>
        <v>0</v>
      </c>
      <c r="AQ25" s="65"/>
      <c r="AR25" s="77">
        <f t="shared" si="29"/>
        <v>0</v>
      </c>
      <c r="AS25" s="65"/>
      <c r="AT25" s="77">
        <f t="shared" si="30"/>
        <v>0</v>
      </c>
      <c r="AU25" s="65"/>
      <c r="AV25" s="77">
        <f t="shared" si="31"/>
        <v>0</v>
      </c>
      <c r="AW25" s="65"/>
      <c r="AX25" s="77">
        <f t="shared" si="32"/>
        <v>0</v>
      </c>
      <c r="AY25" s="65"/>
      <c r="AZ25" s="77">
        <f t="shared" si="33"/>
        <v>0</v>
      </c>
      <c r="BA25" s="65"/>
      <c r="BB25" s="77">
        <f t="shared" si="34"/>
        <v>0</v>
      </c>
      <c r="BC25" s="65"/>
      <c r="BD25" s="77">
        <f t="shared" si="35"/>
        <v>0</v>
      </c>
      <c r="BE25" s="70"/>
      <c r="BF25" s="77">
        <f t="shared" si="14"/>
        <v>0</v>
      </c>
      <c r="BG25" s="71"/>
      <c r="BH25" s="77">
        <f t="shared" si="36"/>
        <v>0</v>
      </c>
      <c r="BI25" s="70"/>
      <c r="BJ25" s="77">
        <f t="shared" si="37"/>
        <v>0</v>
      </c>
      <c r="BK25" s="70"/>
      <c r="BL25" s="77">
        <f t="shared" si="38"/>
        <v>0</v>
      </c>
      <c r="BM25" s="70"/>
      <c r="BN25" s="77">
        <f t="shared" si="39"/>
        <v>0</v>
      </c>
      <c r="BO25" s="70"/>
      <c r="BP25" s="77">
        <f t="shared" si="40"/>
        <v>0</v>
      </c>
      <c r="BQ25" s="70"/>
      <c r="BR25" s="77">
        <f t="shared" si="15"/>
        <v>0</v>
      </c>
      <c r="BS25" s="70"/>
      <c r="BT25" s="77">
        <f t="shared" si="41"/>
        <v>0</v>
      </c>
      <c r="BU25" s="70"/>
      <c r="BV25" s="77">
        <f t="shared" si="1"/>
        <v>0</v>
      </c>
      <c r="BW25" s="70"/>
      <c r="BX25" s="77">
        <f t="shared" si="42"/>
        <v>0</v>
      </c>
      <c r="BY25" s="72"/>
      <c r="BZ25" s="77">
        <f t="shared" si="16"/>
        <v>0</v>
      </c>
      <c r="CA25" s="65"/>
      <c r="CB25" s="77">
        <f t="shared" si="17"/>
        <v>0</v>
      </c>
      <c r="CC25" s="65"/>
      <c r="CD25" s="77">
        <f t="shared" si="18"/>
        <v>0</v>
      </c>
      <c r="CE25" s="65"/>
      <c r="CF25" s="77">
        <f t="shared" si="19"/>
        <v>0</v>
      </c>
      <c r="CG25" s="65"/>
      <c r="CH25" s="77">
        <f t="shared" si="20"/>
        <v>0</v>
      </c>
      <c r="CI25" s="65"/>
      <c r="CJ25" s="77">
        <f t="shared" si="2"/>
        <v>0</v>
      </c>
      <c r="CK25" s="65"/>
      <c r="CL25" s="76">
        <f t="shared" si="21"/>
        <v>0</v>
      </c>
      <c r="CM25" s="77"/>
      <c r="CN25" s="74"/>
      <c r="CO25" s="74"/>
    </row>
    <row r="26" spans="1:93" ht="25.5" customHeight="1" thickBot="1" x14ac:dyDescent="0.45">
      <c r="A26" s="75">
        <v>43853</v>
      </c>
      <c r="B26" s="49"/>
      <c r="C26" s="65"/>
      <c r="D26" s="76">
        <f t="shared" si="3"/>
        <v>0</v>
      </c>
      <c r="E26" s="65"/>
      <c r="F26" s="76">
        <f t="shared" si="4"/>
        <v>0</v>
      </c>
      <c r="G26" s="65"/>
      <c r="H26" s="76">
        <f t="shared" si="5"/>
        <v>0</v>
      </c>
      <c r="I26" s="65"/>
      <c r="J26" s="76">
        <f t="shared" si="43"/>
        <v>0</v>
      </c>
      <c r="K26" s="65"/>
      <c r="L26" s="76">
        <f t="shared" si="0"/>
        <v>0</v>
      </c>
      <c r="M26" s="65"/>
      <c r="N26" s="77">
        <f t="shared" si="22"/>
        <v>0</v>
      </c>
      <c r="O26" s="65"/>
      <c r="P26" s="77">
        <f t="shared" si="6"/>
        <v>0</v>
      </c>
      <c r="Q26" s="65"/>
      <c r="R26" s="77">
        <f t="shared" si="7"/>
        <v>0</v>
      </c>
      <c r="S26" s="65"/>
      <c r="T26" s="77">
        <f t="shared" si="44"/>
        <v>0</v>
      </c>
      <c r="U26" s="65"/>
      <c r="V26" s="77">
        <f t="shared" si="9"/>
        <v>0</v>
      </c>
      <c r="W26" s="65"/>
      <c r="X26" s="77">
        <f t="shared" si="23"/>
        <v>0</v>
      </c>
      <c r="Y26" s="65"/>
      <c r="Z26" s="77">
        <f t="shared" si="24"/>
        <v>0</v>
      </c>
      <c r="AA26" s="65"/>
      <c r="AB26" s="77">
        <f t="shared" si="25"/>
        <v>0</v>
      </c>
      <c r="AC26" s="65"/>
      <c r="AD26" s="77">
        <f t="shared" si="26"/>
        <v>0</v>
      </c>
      <c r="AE26" s="65"/>
      <c r="AF26" s="77">
        <f t="shared" si="27"/>
        <v>0</v>
      </c>
      <c r="AG26" s="65"/>
      <c r="AH26" s="77">
        <f t="shared" si="10"/>
        <v>0</v>
      </c>
      <c r="AI26" s="65"/>
      <c r="AJ26" s="77">
        <f t="shared" si="28"/>
        <v>0</v>
      </c>
      <c r="AK26" s="65"/>
      <c r="AL26" s="77">
        <f t="shared" si="11"/>
        <v>0</v>
      </c>
      <c r="AM26" s="65"/>
      <c r="AN26" s="77">
        <f t="shared" si="12"/>
        <v>0</v>
      </c>
      <c r="AO26" s="65"/>
      <c r="AP26" s="77">
        <f t="shared" si="13"/>
        <v>0</v>
      </c>
      <c r="AQ26" s="65"/>
      <c r="AR26" s="77">
        <f t="shared" si="29"/>
        <v>0</v>
      </c>
      <c r="AS26" s="65"/>
      <c r="AT26" s="77">
        <f t="shared" si="30"/>
        <v>0</v>
      </c>
      <c r="AU26" s="65"/>
      <c r="AV26" s="77">
        <f t="shared" si="31"/>
        <v>0</v>
      </c>
      <c r="AW26" s="65"/>
      <c r="AX26" s="77">
        <f t="shared" si="32"/>
        <v>0</v>
      </c>
      <c r="AY26" s="65"/>
      <c r="AZ26" s="77">
        <f t="shared" si="33"/>
        <v>0</v>
      </c>
      <c r="BA26" s="65"/>
      <c r="BB26" s="77">
        <f t="shared" si="34"/>
        <v>0</v>
      </c>
      <c r="BC26" s="65"/>
      <c r="BD26" s="77">
        <f t="shared" si="35"/>
        <v>0</v>
      </c>
      <c r="BE26" s="70"/>
      <c r="BF26" s="77">
        <f t="shared" si="14"/>
        <v>0</v>
      </c>
      <c r="BG26" s="71"/>
      <c r="BH26" s="77">
        <f t="shared" si="36"/>
        <v>0</v>
      </c>
      <c r="BI26" s="70"/>
      <c r="BJ26" s="77">
        <f t="shared" si="37"/>
        <v>0</v>
      </c>
      <c r="BK26" s="70"/>
      <c r="BL26" s="77">
        <f t="shared" si="38"/>
        <v>0</v>
      </c>
      <c r="BM26" s="70"/>
      <c r="BN26" s="77">
        <f t="shared" si="39"/>
        <v>0</v>
      </c>
      <c r="BO26" s="70"/>
      <c r="BP26" s="77">
        <f t="shared" si="40"/>
        <v>0</v>
      </c>
      <c r="BQ26" s="70"/>
      <c r="BR26" s="77">
        <f t="shared" si="15"/>
        <v>0</v>
      </c>
      <c r="BS26" s="70"/>
      <c r="BT26" s="77">
        <f t="shared" si="41"/>
        <v>0</v>
      </c>
      <c r="BU26" s="70"/>
      <c r="BV26" s="77">
        <f t="shared" si="1"/>
        <v>0</v>
      </c>
      <c r="BW26" s="70"/>
      <c r="BX26" s="77">
        <f t="shared" si="42"/>
        <v>0</v>
      </c>
      <c r="BY26" s="72"/>
      <c r="BZ26" s="77">
        <f t="shared" si="16"/>
        <v>0</v>
      </c>
      <c r="CA26" s="65"/>
      <c r="CB26" s="77">
        <f t="shared" si="17"/>
        <v>0</v>
      </c>
      <c r="CC26" s="65"/>
      <c r="CD26" s="77">
        <f t="shared" si="18"/>
        <v>0</v>
      </c>
      <c r="CE26" s="65"/>
      <c r="CF26" s="77">
        <f t="shared" si="19"/>
        <v>0</v>
      </c>
      <c r="CG26" s="65"/>
      <c r="CH26" s="77">
        <f t="shared" si="20"/>
        <v>0</v>
      </c>
      <c r="CI26" s="65"/>
      <c r="CJ26" s="77">
        <f t="shared" si="2"/>
        <v>0</v>
      </c>
      <c r="CK26" s="65"/>
      <c r="CL26" s="76">
        <f t="shared" si="21"/>
        <v>0</v>
      </c>
      <c r="CM26" s="77"/>
      <c r="CN26" s="74"/>
      <c r="CO26" s="74"/>
    </row>
    <row r="27" spans="1:93" ht="25.5" customHeight="1" thickBot="1" x14ac:dyDescent="0.45">
      <c r="A27" s="75">
        <v>43854</v>
      </c>
      <c r="B27" s="49"/>
      <c r="C27" s="65"/>
      <c r="D27" s="76">
        <f t="shared" si="3"/>
        <v>0</v>
      </c>
      <c r="E27" s="65"/>
      <c r="F27" s="76">
        <f t="shared" si="4"/>
        <v>0</v>
      </c>
      <c r="G27" s="65"/>
      <c r="H27" s="76">
        <f t="shared" si="5"/>
        <v>0</v>
      </c>
      <c r="I27" s="65"/>
      <c r="J27" s="76">
        <f t="shared" si="43"/>
        <v>0</v>
      </c>
      <c r="K27" s="65"/>
      <c r="L27" s="76">
        <f t="shared" si="0"/>
        <v>0</v>
      </c>
      <c r="M27" s="65"/>
      <c r="N27" s="77">
        <f t="shared" si="22"/>
        <v>0</v>
      </c>
      <c r="O27" s="65"/>
      <c r="P27" s="77">
        <f t="shared" si="6"/>
        <v>0</v>
      </c>
      <c r="Q27" s="65"/>
      <c r="R27" s="77">
        <f t="shared" si="7"/>
        <v>0</v>
      </c>
      <c r="S27" s="65"/>
      <c r="T27" s="77">
        <f t="shared" si="44"/>
        <v>0</v>
      </c>
      <c r="U27" s="65"/>
      <c r="V27" s="77">
        <f t="shared" si="9"/>
        <v>0</v>
      </c>
      <c r="W27" s="65"/>
      <c r="X27" s="77">
        <f t="shared" si="23"/>
        <v>0</v>
      </c>
      <c r="Y27" s="65"/>
      <c r="Z27" s="77">
        <f t="shared" si="24"/>
        <v>0</v>
      </c>
      <c r="AA27" s="65"/>
      <c r="AB27" s="77">
        <f t="shared" si="25"/>
        <v>0</v>
      </c>
      <c r="AC27" s="65"/>
      <c r="AD27" s="77">
        <f t="shared" si="26"/>
        <v>0</v>
      </c>
      <c r="AE27" s="65"/>
      <c r="AF27" s="77">
        <f t="shared" si="27"/>
        <v>0</v>
      </c>
      <c r="AG27" s="65"/>
      <c r="AH27" s="77">
        <f t="shared" si="10"/>
        <v>0</v>
      </c>
      <c r="AI27" s="65"/>
      <c r="AJ27" s="77">
        <f t="shared" si="28"/>
        <v>0</v>
      </c>
      <c r="AK27" s="65"/>
      <c r="AL27" s="77">
        <f t="shared" si="11"/>
        <v>0</v>
      </c>
      <c r="AM27" s="65"/>
      <c r="AN27" s="77">
        <f t="shared" si="12"/>
        <v>0</v>
      </c>
      <c r="AO27" s="65"/>
      <c r="AP27" s="77">
        <f t="shared" si="13"/>
        <v>0</v>
      </c>
      <c r="AQ27" s="65"/>
      <c r="AR27" s="77">
        <f t="shared" si="29"/>
        <v>0</v>
      </c>
      <c r="AS27" s="65"/>
      <c r="AT27" s="77">
        <f t="shared" si="30"/>
        <v>0</v>
      </c>
      <c r="AU27" s="65"/>
      <c r="AV27" s="77">
        <f t="shared" si="31"/>
        <v>0</v>
      </c>
      <c r="AW27" s="65"/>
      <c r="AX27" s="77">
        <f t="shared" si="32"/>
        <v>0</v>
      </c>
      <c r="AY27" s="65"/>
      <c r="AZ27" s="77">
        <f t="shared" si="33"/>
        <v>0</v>
      </c>
      <c r="BA27" s="65"/>
      <c r="BB27" s="77">
        <f t="shared" si="34"/>
        <v>0</v>
      </c>
      <c r="BC27" s="65"/>
      <c r="BD27" s="77">
        <f t="shared" si="35"/>
        <v>0</v>
      </c>
      <c r="BE27" s="70"/>
      <c r="BF27" s="77">
        <f t="shared" si="14"/>
        <v>0</v>
      </c>
      <c r="BG27" s="71"/>
      <c r="BH27" s="77">
        <f t="shared" si="36"/>
        <v>0</v>
      </c>
      <c r="BI27" s="70"/>
      <c r="BJ27" s="77">
        <f t="shared" si="37"/>
        <v>0</v>
      </c>
      <c r="BK27" s="70"/>
      <c r="BL27" s="77">
        <f t="shared" si="38"/>
        <v>0</v>
      </c>
      <c r="BM27" s="70"/>
      <c r="BN27" s="77">
        <f t="shared" si="39"/>
        <v>0</v>
      </c>
      <c r="BO27" s="70"/>
      <c r="BP27" s="77">
        <f t="shared" si="40"/>
        <v>0</v>
      </c>
      <c r="BQ27" s="70"/>
      <c r="BR27" s="77">
        <f t="shared" si="15"/>
        <v>0</v>
      </c>
      <c r="BS27" s="70"/>
      <c r="BT27" s="77">
        <f t="shared" si="41"/>
        <v>0</v>
      </c>
      <c r="BU27" s="70"/>
      <c r="BV27" s="77">
        <f t="shared" si="1"/>
        <v>0</v>
      </c>
      <c r="BW27" s="70"/>
      <c r="BX27" s="77">
        <f t="shared" si="42"/>
        <v>0</v>
      </c>
      <c r="BY27" s="72"/>
      <c r="BZ27" s="77">
        <f t="shared" si="16"/>
        <v>0</v>
      </c>
      <c r="CA27" s="65"/>
      <c r="CB27" s="77">
        <f t="shared" si="17"/>
        <v>0</v>
      </c>
      <c r="CC27" s="65"/>
      <c r="CD27" s="77">
        <f t="shared" si="18"/>
        <v>0</v>
      </c>
      <c r="CE27" s="65"/>
      <c r="CF27" s="77">
        <f t="shared" si="19"/>
        <v>0</v>
      </c>
      <c r="CG27" s="65"/>
      <c r="CH27" s="77">
        <f t="shared" si="20"/>
        <v>0</v>
      </c>
      <c r="CI27" s="65"/>
      <c r="CJ27" s="77">
        <f t="shared" si="2"/>
        <v>0</v>
      </c>
      <c r="CK27" s="65"/>
      <c r="CL27" s="76">
        <f t="shared" si="21"/>
        <v>0</v>
      </c>
      <c r="CM27" s="77"/>
      <c r="CN27" s="74"/>
      <c r="CO27" s="74"/>
    </row>
    <row r="28" spans="1:93" ht="25.5" customHeight="1" thickBot="1" x14ac:dyDescent="0.45">
      <c r="A28" s="75">
        <v>43855</v>
      </c>
      <c r="B28" s="49"/>
      <c r="C28" s="65"/>
      <c r="D28" s="76">
        <f t="shared" si="3"/>
        <v>0</v>
      </c>
      <c r="E28" s="65"/>
      <c r="F28" s="76">
        <f t="shared" si="4"/>
        <v>0</v>
      </c>
      <c r="G28" s="65"/>
      <c r="H28" s="76">
        <f t="shared" si="5"/>
        <v>0</v>
      </c>
      <c r="I28" s="65"/>
      <c r="J28" s="76">
        <f t="shared" si="43"/>
        <v>0</v>
      </c>
      <c r="K28" s="65"/>
      <c r="L28" s="76">
        <f t="shared" si="0"/>
        <v>0</v>
      </c>
      <c r="M28" s="65"/>
      <c r="N28" s="77">
        <f t="shared" si="22"/>
        <v>0</v>
      </c>
      <c r="O28" s="65"/>
      <c r="P28" s="77">
        <f t="shared" si="6"/>
        <v>0</v>
      </c>
      <c r="Q28" s="65"/>
      <c r="R28" s="77">
        <f t="shared" si="7"/>
        <v>0</v>
      </c>
      <c r="S28" s="65"/>
      <c r="T28" s="77">
        <f t="shared" si="44"/>
        <v>0</v>
      </c>
      <c r="U28" s="65"/>
      <c r="V28" s="77">
        <f t="shared" si="9"/>
        <v>0</v>
      </c>
      <c r="W28" s="65"/>
      <c r="X28" s="77">
        <f t="shared" si="23"/>
        <v>0</v>
      </c>
      <c r="Y28" s="65"/>
      <c r="Z28" s="77">
        <f t="shared" si="24"/>
        <v>0</v>
      </c>
      <c r="AA28" s="65"/>
      <c r="AB28" s="77">
        <f t="shared" si="25"/>
        <v>0</v>
      </c>
      <c r="AC28" s="65"/>
      <c r="AD28" s="77">
        <f t="shared" si="26"/>
        <v>0</v>
      </c>
      <c r="AE28" s="65"/>
      <c r="AF28" s="77">
        <f t="shared" si="27"/>
        <v>0</v>
      </c>
      <c r="AG28" s="65"/>
      <c r="AH28" s="77">
        <f t="shared" si="10"/>
        <v>0</v>
      </c>
      <c r="AI28" s="65"/>
      <c r="AJ28" s="77">
        <f t="shared" si="28"/>
        <v>0</v>
      </c>
      <c r="AK28" s="65"/>
      <c r="AL28" s="77">
        <f t="shared" si="11"/>
        <v>0</v>
      </c>
      <c r="AM28" s="65"/>
      <c r="AN28" s="77">
        <f t="shared" si="12"/>
        <v>0</v>
      </c>
      <c r="AO28" s="65"/>
      <c r="AP28" s="77">
        <f t="shared" si="13"/>
        <v>0</v>
      </c>
      <c r="AQ28" s="65"/>
      <c r="AR28" s="77">
        <f t="shared" si="29"/>
        <v>0</v>
      </c>
      <c r="AS28" s="65"/>
      <c r="AT28" s="77">
        <f t="shared" si="30"/>
        <v>0</v>
      </c>
      <c r="AU28" s="65"/>
      <c r="AV28" s="77">
        <f t="shared" si="31"/>
        <v>0</v>
      </c>
      <c r="AW28" s="65"/>
      <c r="AX28" s="77">
        <f t="shared" si="32"/>
        <v>0</v>
      </c>
      <c r="AY28" s="65"/>
      <c r="AZ28" s="77">
        <f t="shared" si="33"/>
        <v>0</v>
      </c>
      <c r="BA28" s="65"/>
      <c r="BB28" s="77">
        <f t="shared" si="34"/>
        <v>0</v>
      </c>
      <c r="BC28" s="65"/>
      <c r="BD28" s="77">
        <f t="shared" si="35"/>
        <v>0</v>
      </c>
      <c r="BE28" s="70"/>
      <c r="BF28" s="77">
        <f t="shared" si="14"/>
        <v>0</v>
      </c>
      <c r="BG28" s="71"/>
      <c r="BH28" s="77">
        <f t="shared" si="36"/>
        <v>0</v>
      </c>
      <c r="BI28" s="70"/>
      <c r="BJ28" s="77">
        <f t="shared" si="37"/>
        <v>0</v>
      </c>
      <c r="BK28" s="70"/>
      <c r="BL28" s="77">
        <f t="shared" si="38"/>
        <v>0</v>
      </c>
      <c r="BM28" s="70"/>
      <c r="BN28" s="77">
        <f t="shared" si="39"/>
        <v>0</v>
      </c>
      <c r="BO28" s="70"/>
      <c r="BP28" s="77">
        <f t="shared" si="40"/>
        <v>0</v>
      </c>
      <c r="BQ28" s="70"/>
      <c r="BR28" s="77">
        <f t="shared" si="15"/>
        <v>0</v>
      </c>
      <c r="BS28" s="70"/>
      <c r="BT28" s="77">
        <f t="shared" si="41"/>
        <v>0</v>
      </c>
      <c r="BU28" s="70"/>
      <c r="BV28" s="77">
        <f t="shared" si="1"/>
        <v>0</v>
      </c>
      <c r="BW28" s="70"/>
      <c r="BX28" s="77">
        <f t="shared" si="42"/>
        <v>0</v>
      </c>
      <c r="BY28" s="72"/>
      <c r="BZ28" s="77">
        <f t="shared" si="16"/>
        <v>0</v>
      </c>
      <c r="CA28" s="65"/>
      <c r="CB28" s="77">
        <f t="shared" si="17"/>
        <v>0</v>
      </c>
      <c r="CC28" s="65"/>
      <c r="CD28" s="77">
        <f t="shared" si="18"/>
        <v>0</v>
      </c>
      <c r="CE28" s="65"/>
      <c r="CF28" s="77">
        <f t="shared" si="19"/>
        <v>0</v>
      </c>
      <c r="CG28" s="65"/>
      <c r="CH28" s="77">
        <f t="shared" si="20"/>
        <v>0</v>
      </c>
      <c r="CI28" s="65"/>
      <c r="CJ28" s="77">
        <f t="shared" si="2"/>
        <v>0</v>
      </c>
      <c r="CK28" s="65"/>
      <c r="CL28" s="76">
        <f t="shared" si="21"/>
        <v>0</v>
      </c>
      <c r="CM28" s="77"/>
      <c r="CN28" s="74"/>
      <c r="CO28" s="74"/>
    </row>
    <row r="29" spans="1:93" ht="25.5" customHeight="1" thickBot="1" x14ac:dyDescent="0.45">
      <c r="A29" s="75">
        <v>43856</v>
      </c>
      <c r="B29" s="49"/>
      <c r="C29" s="65"/>
      <c r="D29" s="76">
        <f t="shared" si="3"/>
        <v>0</v>
      </c>
      <c r="E29" s="65"/>
      <c r="F29" s="76">
        <f t="shared" si="4"/>
        <v>0</v>
      </c>
      <c r="G29" s="65"/>
      <c r="H29" s="76">
        <f t="shared" si="5"/>
        <v>0</v>
      </c>
      <c r="I29" s="65"/>
      <c r="J29" s="76">
        <f t="shared" si="43"/>
        <v>0</v>
      </c>
      <c r="K29" s="65"/>
      <c r="L29" s="76">
        <f t="shared" si="0"/>
        <v>0</v>
      </c>
      <c r="M29" s="65"/>
      <c r="N29" s="77">
        <f t="shared" si="22"/>
        <v>0</v>
      </c>
      <c r="O29" s="65"/>
      <c r="P29" s="77">
        <f t="shared" si="6"/>
        <v>0</v>
      </c>
      <c r="Q29" s="65"/>
      <c r="R29" s="77">
        <f t="shared" si="7"/>
        <v>0</v>
      </c>
      <c r="S29" s="65"/>
      <c r="T29" s="77">
        <f t="shared" si="44"/>
        <v>0</v>
      </c>
      <c r="U29" s="65"/>
      <c r="V29" s="77">
        <f t="shared" si="9"/>
        <v>0</v>
      </c>
      <c r="W29" s="65"/>
      <c r="X29" s="77">
        <f t="shared" si="23"/>
        <v>0</v>
      </c>
      <c r="Y29" s="65"/>
      <c r="Z29" s="77">
        <f t="shared" si="24"/>
        <v>0</v>
      </c>
      <c r="AA29" s="65"/>
      <c r="AB29" s="77">
        <f t="shared" si="25"/>
        <v>0</v>
      </c>
      <c r="AC29" s="65"/>
      <c r="AD29" s="77">
        <f t="shared" si="26"/>
        <v>0</v>
      </c>
      <c r="AE29" s="65"/>
      <c r="AF29" s="77">
        <f t="shared" si="27"/>
        <v>0</v>
      </c>
      <c r="AG29" s="65"/>
      <c r="AH29" s="77">
        <f t="shared" si="10"/>
        <v>0</v>
      </c>
      <c r="AI29" s="65"/>
      <c r="AJ29" s="77">
        <f t="shared" si="28"/>
        <v>0</v>
      </c>
      <c r="AK29" s="65"/>
      <c r="AL29" s="77">
        <f t="shared" si="11"/>
        <v>0</v>
      </c>
      <c r="AM29" s="65"/>
      <c r="AN29" s="77">
        <f t="shared" si="12"/>
        <v>0</v>
      </c>
      <c r="AO29" s="65"/>
      <c r="AP29" s="77">
        <f t="shared" si="13"/>
        <v>0</v>
      </c>
      <c r="AQ29" s="65"/>
      <c r="AR29" s="77">
        <f t="shared" si="29"/>
        <v>0</v>
      </c>
      <c r="AS29" s="65"/>
      <c r="AT29" s="77">
        <f t="shared" si="30"/>
        <v>0</v>
      </c>
      <c r="AU29" s="65"/>
      <c r="AV29" s="77">
        <f t="shared" si="31"/>
        <v>0</v>
      </c>
      <c r="AW29" s="65"/>
      <c r="AX29" s="77">
        <f t="shared" si="32"/>
        <v>0</v>
      </c>
      <c r="AY29" s="65"/>
      <c r="AZ29" s="77">
        <f t="shared" si="33"/>
        <v>0</v>
      </c>
      <c r="BA29" s="65"/>
      <c r="BB29" s="77">
        <f t="shared" si="34"/>
        <v>0</v>
      </c>
      <c r="BC29" s="65"/>
      <c r="BD29" s="77">
        <f t="shared" si="35"/>
        <v>0</v>
      </c>
      <c r="BE29" s="70"/>
      <c r="BF29" s="77">
        <f t="shared" si="14"/>
        <v>0</v>
      </c>
      <c r="BG29" s="71"/>
      <c r="BH29" s="77">
        <f t="shared" si="36"/>
        <v>0</v>
      </c>
      <c r="BI29" s="70"/>
      <c r="BJ29" s="77">
        <f t="shared" si="37"/>
        <v>0</v>
      </c>
      <c r="BK29" s="70"/>
      <c r="BL29" s="77">
        <f t="shared" si="38"/>
        <v>0</v>
      </c>
      <c r="BM29" s="70"/>
      <c r="BN29" s="77">
        <f t="shared" si="39"/>
        <v>0</v>
      </c>
      <c r="BO29" s="70"/>
      <c r="BP29" s="77">
        <f t="shared" si="40"/>
        <v>0</v>
      </c>
      <c r="BQ29" s="70"/>
      <c r="BR29" s="77">
        <f t="shared" si="15"/>
        <v>0</v>
      </c>
      <c r="BS29" s="70"/>
      <c r="BT29" s="77">
        <f t="shared" si="41"/>
        <v>0</v>
      </c>
      <c r="BU29" s="70"/>
      <c r="BV29" s="77">
        <f t="shared" si="1"/>
        <v>0</v>
      </c>
      <c r="BW29" s="70"/>
      <c r="BX29" s="77">
        <f t="shared" si="42"/>
        <v>0</v>
      </c>
      <c r="BY29" s="72"/>
      <c r="BZ29" s="77">
        <f t="shared" si="16"/>
        <v>0</v>
      </c>
      <c r="CA29" s="65"/>
      <c r="CB29" s="77">
        <f t="shared" si="17"/>
        <v>0</v>
      </c>
      <c r="CC29" s="65"/>
      <c r="CD29" s="77">
        <f t="shared" si="18"/>
        <v>0</v>
      </c>
      <c r="CE29" s="65"/>
      <c r="CF29" s="77">
        <f t="shared" si="19"/>
        <v>0</v>
      </c>
      <c r="CG29" s="65"/>
      <c r="CH29" s="77">
        <f t="shared" si="20"/>
        <v>0</v>
      </c>
      <c r="CI29" s="65"/>
      <c r="CJ29" s="77">
        <f t="shared" si="2"/>
        <v>0</v>
      </c>
      <c r="CK29" s="65"/>
      <c r="CL29" s="76">
        <f t="shared" si="21"/>
        <v>0</v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43"/>
        <v>0</v>
      </c>
      <c r="K30" s="65"/>
      <c r="L30" s="76">
        <f t="shared" si="0"/>
        <v>0</v>
      </c>
      <c r="M30" s="65"/>
      <c r="N30" s="77">
        <f t="shared" si="22"/>
        <v>0</v>
      </c>
      <c r="O30" s="65"/>
      <c r="P30" s="77">
        <f t="shared" si="6"/>
        <v>0</v>
      </c>
      <c r="Q30" s="65"/>
      <c r="R30" s="77">
        <f t="shared" si="7"/>
        <v>0</v>
      </c>
      <c r="S30" s="65"/>
      <c r="T30" s="77">
        <f t="shared" si="44"/>
        <v>0</v>
      </c>
      <c r="U30" s="65"/>
      <c r="V30" s="77">
        <f t="shared" si="9"/>
        <v>0</v>
      </c>
      <c r="W30" s="65"/>
      <c r="X30" s="77">
        <f t="shared" si="2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0"/>
        <v>0</v>
      </c>
      <c r="AI30" s="65"/>
      <c r="AJ30" s="77">
        <f t="shared" si="28"/>
        <v>0</v>
      </c>
      <c r="AK30" s="65"/>
      <c r="AL30" s="77">
        <f t="shared" si="11"/>
        <v>0</v>
      </c>
      <c r="AM30" s="65"/>
      <c r="AN30" s="77">
        <f t="shared" si="12"/>
        <v>0</v>
      </c>
      <c r="AO30" s="65"/>
      <c r="AP30" s="77">
        <f t="shared" si="13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4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5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6"/>
        <v>0</v>
      </c>
      <c r="CA30" s="65"/>
      <c r="CB30" s="77">
        <f t="shared" si="17"/>
        <v>0</v>
      </c>
      <c r="CC30" s="65"/>
      <c r="CD30" s="77">
        <f t="shared" si="18"/>
        <v>0</v>
      </c>
      <c r="CE30" s="65"/>
      <c r="CF30" s="77">
        <f t="shared" si="19"/>
        <v>0</v>
      </c>
      <c r="CG30" s="65"/>
      <c r="CH30" s="77">
        <f t="shared" si="20"/>
        <v>0</v>
      </c>
      <c r="CI30" s="65"/>
      <c r="CJ30" s="77">
        <f t="shared" si="2"/>
        <v>0</v>
      </c>
      <c r="CK30" s="65"/>
      <c r="CL30" s="76">
        <f t="shared" si="21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43"/>
        <v>0</v>
      </c>
      <c r="K31" s="65"/>
      <c r="L31" s="76">
        <f t="shared" si="0"/>
        <v>0</v>
      </c>
      <c r="M31" s="65"/>
      <c r="N31" s="77">
        <f t="shared" si="22"/>
        <v>0</v>
      </c>
      <c r="O31" s="65"/>
      <c r="P31" s="79">
        <f t="shared" si="6"/>
        <v>0</v>
      </c>
      <c r="Q31" s="65"/>
      <c r="R31" s="79">
        <f t="shared" si="7"/>
        <v>0</v>
      </c>
      <c r="S31" s="65"/>
      <c r="T31" s="79">
        <f t="shared" si="44"/>
        <v>0</v>
      </c>
      <c r="U31" s="65"/>
      <c r="V31" s="79">
        <f t="shared" si="9"/>
        <v>0</v>
      </c>
      <c r="W31" s="65"/>
      <c r="X31" s="77">
        <f t="shared" si="2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0"/>
        <v>0</v>
      </c>
      <c r="AI31" s="65"/>
      <c r="AJ31" s="77">
        <f t="shared" si="28"/>
        <v>0</v>
      </c>
      <c r="AK31" s="65"/>
      <c r="AL31" s="77">
        <f t="shared" si="11"/>
        <v>0</v>
      </c>
      <c r="AM31" s="65"/>
      <c r="AN31" s="77">
        <f t="shared" si="12"/>
        <v>0</v>
      </c>
      <c r="AO31" s="65"/>
      <c r="AP31" s="77">
        <f t="shared" si="13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4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5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6"/>
        <v>0</v>
      </c>
      <c r="CA31" s="65"/>
      <c r="CB31" s="79">
        <f t="shared" si="17"/>
        <v>0</v>
      </c>
      <c r="CC31" s="65"/>
      <c r="CD31" s="79">
        <f t="shared" si="18"/>
        <v>0</v>
      </c>
      <c r="CE31" s="65"/>
      <c r="CF31" s="79">
        <f t="shared" si="19"/>
        <v>0</v>
      </c>
      <c r="CG31" s="65"/>
      <c r="CH31" s="79">
        <f t="shared" si="20"/>
        <v>0</v>
      </c>
      <c r="CI31" s="65"/>
      <c r="CJ31" s="79">
        <f t="shared" si="2"/>
        <v>0</v>
      </c>
      <c r="CK31" s="65"/>
      <c r="CL31" s="76">
        <f t="shared" si="21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43"/>
        <v>0</v>
      </c>
      <c r="K32" s="65"/>
      <c r="L32" s="76">
        <f t="shared" si="0"/>
        <v>0</v>
      </c>
      <c r="M32" s="65"/>
      <c r="N32" s="77">
        <f t="shared" si="22"/>
        <v>0</v>
      </c>
      <c r="O32" s="65"/>
      <c r="P32" s="79">
        <f t="shared" si="6"/>
        <v>0</v>
      </c>
      <c r="Q32" s="65"/>
      <c r="R32" s="79">
        <f t="shared" si="7"/>
        <v>0</v>
      </c>
      <c r="S32" s="65"/>
      <c r="T32" s="79">
        <f t="shared" si="44"/>
        <v>0</v>
      </c>
      <c r="U32" s="65"/>
      <c r="V32" s="79">
        <f t="shared" si="9"/>
        <v>0</v>
      </c>
      <c r="W32" s="65"/>
      <c r="X32" s="77">
        <f t="shared" si="2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0"/>
        <v>0</v>
      </c>
      <c r="AI32" s="65"/>
      <c r="AJ32" s="77">
        <f t="shared" si="28"/>
        <v>0</v>
      </c>
      <c r="AK32" s="65"/>
      <c r="AL32" s="77">
        <f t="shared" si="11"/>
        <v>0</v>
      </c>
      <c r="AM32" s="65"/>
      <c r="AN32" s="77">
        <f t="shared" si="12"/>
        <v>0</v>
      </c>
      <c r="AO32" s="65"/>
      <c r="AP32" s="77">
        <f t="shared" si="13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4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5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6"/>
        <v>0</v>
      </c>
      <c r="CA32" s="65"/>
      <c r="CB32" s="79">
        <f t="shared" si="17"/>
        <v>0</v>
      </c>
      <c r="CC32" s="65"/>
      <c r="CD32" s="79">
        <f t="shared" si="18"/>
        <v>0</v>
      </c>
      <c r="CE32" s="65"/>
      <c r="CF32" s="79">
        <f t="shared" si="19"/>
        <v>0</v>
      </c>
      <c r="CG32" s="65"/>
      <c r="CH32" s="79">
        <f t="shared" si="20"/>
        <v>0</v>
      </c>
      <c r="CI32" s="65"/>
      <c r="CJ32" s="79">
        <f t="shared" si="2"/>
        <v>0</v>
      </c>
      <c r="CK32" s="65"/>
      <c r="CL32" s="76">
        <f t="shared" si="21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43"/>
        <v>0</v>
      </c>
      <c r="K33" s="65"/>
      <c r="L33" s="76">
        <f t="shared" si="0"/>
        <v>0</v>
      </c>
      <c r="M33" s="65"/>
      <c r="N33" s="77">
        <f t="shared" si="22"/>
        <v>0</v>
      </c>
      <c r="O33" s="65"/>
      <c r="P33" s="79">
        <f>IF((O33-O32&lt;0), "",O33-O32)</f>
        <v>0</v>
      </c>
      <c r="Q33" s="65"/>
      <c r="R33" s="79">
        <f t="shared" si="7"/>
        <v>0</v>
      </c>
      <c r="S33" s="65"/>
      <c r="T33" s="79">
        <f t="shared" si="44"/>
        <v>0</v>
      </c>
      <c r="U33" s="65"/>
      <c r="V33" s="79">
        <f t="shared" si="9"/>
        <v>0</v>
      </c>
      <c r="W33" s="65"/>
      <c r="X33" s="77">
        <f t="shared" si="2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0"/>
        <v>0</v>
      </c>
      <c r="AI33" s="65"/>
      <c r="AJ33" s="77">
        <f t="shared" si="28"/>
        <v>0</v>
      </c>
      <c r="AK33" s="65"/>
      <c r="AL33" s="77">
        <f t="shared" si="11"/>
        <v>0</v>
      </c>
      <c r="AM33" s="65"/>
      <c r="AN33" s="77">
        <f t="shared" si="12"/>
        <v>0</v>
      </c>
      <c r="AO33" s="65"/>
      <c r="AP33" s="77">
        <f t="shared" si="13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4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5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6"/>
        <v>0</v>
      </c>
      <c r="CA33" s="65"/>
      <c r="CB33" s="79">
        <f t="shared" si="17"/>
        <v>0</v>
      </c>
      <c r="CC33" s="65"/>
      <c r="CD33" s="79">
        <f t="shared" si="18"/>
        <v>0</v>
      </c>
      <c r="CE33" s="65"/>
      <c r="CF33" s="79">
        <f t="shared" si="19"/>
        <v>0</v>
      </c>
      <c r="CG33" s="65"/>
      <c r="CH33" s="79">
        <f t="shared" si="20"/>
        <v>0</v>
      </c>
      <c r="CI33" s="65"/>
      <c r="CJ33" s="79">
        <f t="shared" si="2"/>
        <v>0</v>
      </c>
      <c r="CK33" s="65"/>
      <c r="CL33" s="76">
        <f t="shared" si="21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43"/>
        <v>0</v>
      </c>
      <c r="K34" s="65"/>
      <c r="L34" s="76">
        <f t="shared" si="0"/>
        <v>0</v>
      </c>
      <c r="M34" s="65"/>
      <c r="N34" s="77">
        <f t="shared" si="22"/>
        <v>0</v>
      </c>
      <c r="O34" s="65"/>
      <c r="P34" s="79">
        <f>IF((O34-O33&lt;0), "",O34-O33)</f>
        <v>0</v>
      </c>
      <c r="Q34" s="65"/>
      <c r="R34" s="79">
        <f t="shared" si="7"/>
        <v>0</v>
      </c>
      <c r="S34" s="65"/>
      <c r="T34" s="79">
        <f t="shared" si="44"/>
        <v>0</v>
      </c>
      <c r="U34" s="65"/>
      <c r="V34" s="79">
        <f t="shared" si="9"/>
        <v>0</v>
      </c>
      <c r="W34" s="65"/>
      <c r="X34" s="77">
        <f t="shared" si="2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0"/>
        <v>0</v>
      </c>
      <c r="AI34" s="65"/>
      <c r="AJ34" s="77">
        <f t="shared" si="28"/>
        <v>0</v>
      </c>
      <c r="AK34" s="65"/>
      <c r="AL34" s="77">
        <f t="shared" si="11"/>
        <v>0</v>
      </c>
      <c r="AM34" s="65"/>
      <c r="AN34" s="77">
        <f t="shared" si="12"/>
        <v>0</v>
      </c>
      <c r="AO34" s="65"/>
      <c r="AP34" s="77">
        <f t="shared" si="13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5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6"/>
        <v>0</v>
      </c>
      <c r="CA34" s="65"/>
      <c r="CB34" s="79">
        <f t="shared" si="17"/>
        <v>0</v>
      </c>
      <c r="CC34" s="65"/>
      <c r="CD34" s="79">
        <f t="shared" si="18"/>
        <v>0</v>
      </c>
      <c r="CE34" s="65"/>
      <c r="CF34" s="79">
        <f t="shared" si="19"/>
        <v>0</v>
      </c>
      <c r="CG34" s="65"/>
      <c r="CH34" s="79">
        <f t="shared" si="20"/>
        <v>0</v>
      </c>
      <c r="CI34" s="65"/>
      <c r="CJ34" s="79">
        <f t="shared" si="2"/>
        <v>0</v>
      </c>
      <c r="CK34" s="65"/>
      <c r="CL34" s="76">
        <f t="shared" si="21"/>
        <v>0</v>
      </c>
      <c r="CM34" s="77"/>
      <c r="CN34" s="74"/>
      <c r="CO34" s="74"/>
    </row>
    <row r="35" spans="1:93" ht="21.75" x14ac:dyDescent="0.4">
      <c r="P35" s="81">
        <f>SUM(P4:P33)</f>
        <v>291</v>
      </c>
      <c r="R35" s="81">
        <f>SUM(R4:R33)</f>
        <v>117</v>
      </c>
      <c r="AX35" s="77">
        <f t="shared" si="32"/>
        <v>0</v>
      </c>
      <c r="BF35" s="81">
        <f>SUM(BF4:BF33)</f>
        <v>846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2.5" thickBot="1" x14ac:dyDescent="0.45">
      <c r="AX37" s="77">
        <f t="shared" si="32"/>
        <v>0</v>
      </c>
    </row>
    <row r="38" spans="1:93" ht="19.5" thickBot="1" x14ac:dyDescent="0.35">
      <c r="Q38" s="65">
        <v>713754</v>
      </c>
      <c r="R38" s="83">
        <f>Q38+1490</f>
        <v>715244</v>
      </c>
      <c r="T38" s="65">
        <v>288921</v>
      </c>
      <c r="U38" s="63">
        <f>T38+571</f>
        <v>289492</v>
      </c>
    </row>
    <row r="39" spans="1:93" x14ac:dyDescent="0.3">
      <c r="R39" s="83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Q23" sqref="Q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9" t="s">
        <v>0</v>
      </c>
      <c r="B4" s="92" t="s">
        <v>53</v>
      </c>
      <c r="C4" s="92" t="s">
        <v>54</v>
      </c>
      <c r="D4" s="95" t="s">
        <v>55</v>
      </c>
      <c r="E4" s="98" t="s">
        <v>56</v>
      </c>
      <c r="F4" s="99"/>
      <c r="G4" s="99"/>
      <c r="H4" s="99"/>
      <c r="I4" s="99"/>
      <c r="J4" s="100"/>
      <c r="K4" s="108" t="s">
        <v>57</v>
      </c>
      <c r="L4" s="109"/>
      <c r="M4" s="110"/>
      <c r="N4" s="101" t="s">
        <v>36</v>
      </c>
      <c r="O4" s="101"/>
      <c r="P4" s="101"/>
      <c r="Q4" s="101"/>
    </row>
    <row r="5" spans="1:17" ht="33.75" customHeight="1" x14ac:dyDescent="0.25">
      <c r="A5" s="90"/>
      <c r="B5" s="93"/>
      <c r="C5" s="93"/>
      <c r="D5" s="96"/>
      <c r="E5" s="98" t="s">
        <v>58</v>
      </c>
      <c r="F5" s="100"/>
      <c r="G5" s="98" t="s">
        <v>59</v>
      </c>
      <c r="H5" s="100"/>
      <c r="I5" s="98" t="s">
        <v>60</v>
      </c>
      <c r="J5" s="100"/>
      <c r="K5" s="102" t="s">
        <v>61</v>
      </c>
      <c r="L5" s="103"/>
      <c r="M5" s="104"/>
      <c r="N5" s="105" t="s">
        <v>62</v>
      </c>
      <c r="O5" s="106"/>
      <c r="P5" s="106"/>
      <c r="Q5" s="107"/>
    </row>
    <row r="6" spans="1:17" x14ac:dyDescent="0.25">
      <c r="A6" s="91"/>
      <c r="B6" s="94"/>
      <c r="C6" s="94"/>
      <c r="D6" s="9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>
        <v>25</v>
      </c>
      <c r="C12" s="44">
        <v>22</v>
      </c>
      <c r="D12" s="44">
        <v>61</v>
      </c>
      <c r="E12" s="45">
        <v>0</v>
      </c>
      <c r="F12" s="45">
        <v>4155</v>
      </c>
      <c r="G12" s="45">
        <v>0</v>
      </c>
      <c r="H12" s="45">
        <v>1216</v>
      </c>
      <c r="I12" s="45">
        <v>40</v>
      </c>
      <c r="J12" s="45">
        <v>228</v>
      </c>
      <c r="K12" s="46">
        <v>0</v>
      </c>
      <c r="L12" s="46">
        <v>25</v>
      </c>
      <c r="M12" s="46">
        <v>968</v>
      </c>
      <c r="N12" s="43">
        <v>0</v>
      </c>
      <c r="O12" s="43">
        <v>0</v>
      </c>
      <c r="P12" s="43">
        <v>75</v>
      </c>
      <c r="Q12" s="43">
        <v>2029</v>
      </c>
    </row>
    <row r="13" spans="1:17" x14ac:dyDescent="0.25">
      <c r="A13" s="47">
        <v>43835</v>
      </c>
      <c r="B13" s="44">
        <v>15</v>
      </c>
      <c r="C13" s="44">
        <v>16</v>
      </c>
      <c r="D13" s="44">
        <v>44</v>
      </c>
      <c r="E13" s="45">
        <v>0</v>
      </c>
      <c r="F13" s="45">
        <v>4164</v>
      </c>
      <c r="G13" s="45">
        <v>0</v>
      </c>
      <c r="H13" s="45">
        <v>1218</v>
      </c>
      <c r="I13" s="45">
        <v>25</v>
      </c>
      <c r="J13" s="45">
        <v>228</v>
      </c>
      <c r="K13" s="46">
        <v>0</v>
      </c>
      <c r="L13" s="46">
        <v>25</v>
      </c>
      <c r="M13" s="46">
        <v>968</v>
      </c>
      <c r="N13" s="43">
        <v>0</v>
      </c>
      <c r="O13" s="43">
        <v>0</v>
      </c>
      <c r="P13" s="43">
        <v>70</v>
      </c>
      <c r="Q13" s="43">
        <v>2032</v>
      </c>
    </row>
    <row r="14" spans="1:17" x14ac:dyDescent="0.25">
      <c r="A14" s="47">
        <v>43836</v>
      </c>
      <c r="B14" s="44">
        <v>14</v>
      </c>
      <c r="C14" s="44">
        <v>14</v>
      </c>
      <c r="D14" s="44">
        <v>34</v>
      </c>
      <c r="E14" s="45">
        <v>85</v>
      </c>
      <c r="F14" s="45">
        <v>4173</v>
      </c>
      <c r="G14" s="45">
        <v>80</v>
      </c>
      <c r="H14" s="45">
        <v>1220</v>
      </c>
      <c r="I14" s="45">
        <v>85</v>
      </c>
      <c r="J14" s="45">
        <v>228</v>
      </c>
      <c r="K14" s="46">
        <v>83</v>
      </c>
      <c r="L14" s="46">
        <v>85</v>
      </c>
      <c r="M14" s="46">
        <v>971</v>
      </c>
      <c r="N14" s="43">
        <v>85</v>
      </c>
      <c r="O14" s="43">
        <v>85</v>
      </c>
      <c r="P14" s="43">
        <v>85</v>
      </c>
      <c r="Q14" s="43">
        <v>2035</v>
      </c>
    </row>
    <row r="15" spans="1:17" x14ac:dyDescent="0.25">
      <c r="A15" s="47">
        <v>43837</v>
      </c>
      <c r="B15" s="44">
        <v>24</v>
      </c>
      <c r="C15" s="44">
        <v>21</v>
      </c>
      <c r="D15" s="44">
        <v>44</v>
      </c>
      <c r="E15" s="45">
        <v>85</v>
      </c>
      <c r="F15" s="45">
        <v>4181</v>
      </c>
      <c r="G15" s="45">
        <v>65</v>
      </c>
      <c r="H15" s="45">
        <v>1221</v>
      </c>
      <c r="I15" s="45">
        <v>85</v>
      </c>
      <c r="J15" s="45">
        <v>228</v>
      </c>
      <c r="K15" s="46">
        <v>83</v>
      </c>
      <c r="L15" s="46">
        <v>85</v>
      </c>
      <c r="M15" s="46">
        <v>971</v>
      </c>
      <c r="N15" s="43">
        <v>85</v>
      </c>
      <c r="O15" s="43">
        <v>80</v>
      </c>
      <c r="P15" s="43">
        <v>85</v>
      </c>
      <c r="Q15" s="43">
        <v>2038</v>
      </c>
    </row>
    <row r="16" spans="1:17" x14ac:dyDescent="0.25">
      <c r="A16" s="47">
        <v>43838</v>
      </c>
      <c r="B16" s="44">
        <v>27</v>
      </c>
      <c r="C16" s="44">
        <v>23</v>
      </c>
      <c r="D16" s="44">
        <v>49</v>
      </c>
      <c r="E16" s="45">
        <v>85</v>
      </c>
      <c r="F16" s="45">
        <v>4188</v>
      </c>
      <c r="G16" s="45">
        <v>60</v>
      </c>
      <c r="H16" s="45">
        <v>1223</v>
      </c>
      <c r="I16" s="45">
        <v>85</v>
      </c>
      <c r="J16" s="45">
        <v>228</v>
      </c>
      <c r="K16" s="46">
        <v>80</v>
      </c>
      <c r="L16" s="46">
        <v>85</v>
      </c>
      <c r="M16" s="46">
        <v>974</v>
      </c>
      <c r="N16" s="43">
        <v>85</v>
      </c>
      <c r="O16" s="43">
        <v>79</v>
      </c>
      <c r="P16" s="43">
        <v>85</v>
      </c>
      <c r="Q16" s="43">
        <v>2041</v>
      </c>
    </row>
    <row r="17" spans="1:17" x14ac:dyDescent="0.25">
      <c r="A17" s="47">
        <v>43839</v>
      </c>
      <c r="B17" s="44">
        <v>43</v>
      </c>
      <c r="C17" s="44">
        <v>24</v>
      </c>
      <c r="D17" s="44">
        <v>58</v>
      </c>
      <c r="E17" s="45">
        <v>85</v>
      </c>
      <c r="F17" s="45">
        <v>4195</v>
      </c>
      <c r="G17" s="45">
        <v>45</v>
      </c>
      <c r="H17" s="45">
        <v>1225</v>
      </c>
      <c r="I17" s="45">
        <v>85</v>
      </c>
      <c r="J17" s="45">
        <v>229</v>
      </c>
      <c r="K17" s="46">
        <v>75</v>
      </c>
      <c r="L17" s="46">
        <v>85</v>
      </c>
      <c r="M17" s="46">
        <v>977</v>
      </c>
      <c r="N17" s="43">
        <v>85</v>
      </c>
      <c r="O17" s="43">
        <v>75</v>
      </c>
      <c r="P17" s="43">
        <v>85</v>
      </c>
      <c r="Q17" s="43">
        <v>2044</v>
      </c>
    </row>
    <row r="18" spans="1:17" x14ac:dyDescent="0.25">
      <c r="A18" s="47">
        <v>43840</v>
      </c>
      <c r="B18" s="44">
        <v>32</v>
      </c>
      <c r="C18" s="44">
        <v>28</v>
      </c>
      <c r="D18" s="44">
        <v>59</v>
      </c>
      <c r="E18" s="45">
        <v>85</v>
      </c>
      <c r="F18" s="45">
        <v>4203</v>
      </c>
      <c r="G18" s="45">
        <v>30</v>
      </c>
      <c r="H18" s="45">
        <v>1226</v>
      </c>
      <c r="I18" s="45">
        <v>85</v>
      </c>
      <c r="J18" s="45">
        <v>233</v>
      </c>
      <c r="K18" s="46">
        <v>70</v>
      </c>
      <c r="L18" s="46">
        <v>85</v>
      </c>
      <c r="M18" s="46">
        <v>981</v>
      </c>
      <c r="N18" s="43">
        <v>85</v>
      </c>
      <c r="O18" s="43">
        <v>70</v>
      </c>
      <c r="P18" s="43">
        <v>85</v>
      </c>
      <c r="Q18" s="43">
        <v>2048</v>
      </c>
    </row>
    <row r="19" spans="1:17" x14ac:dyDescent="0.25">
      <c r="A19" s="47">
        <v>43841</v>
      </c>
      <c r="B19" s="44">
        <v>28</v>
      </c>
      <c r="C19" s="44">
        <v>27</v>
      </c>
      <c r="D19" s="44">
        <v>59</v>
      </c>
      <c r="E19" s="45">
        <v>85</v>
      </c>
      <c r="F19" s="45">
        <v>4211</v>
      </c>
      <c r="G19" s="45">
        <v>80</v>
      </c>
      <c r="H19" s="45">
        <v>1229</v>
      </c>
      <c r="I19" s="45">
        <v>85</v>
      </c>
      <c r="J19" s="45">
        <v>236</v>
      </c>
      <c r="K19" s="46">
        <v>70</v>
      </c>
      <c r="L19" s="46">
        <v>85</v>
      </c>
      <c r="M19" s="46">
        <v>981</v>
      </c>
      <c r="N19" s="43">
        <v>85</v>
      </c>
      <c r="O19" s="43">
        <v>65</v>
      </c>
      <c r="P19" s="43">
        <v>85</v>
      </c>
      <c r="Q19" s="43">
        <v>2052</v>
      </c>
    </row>
    <row r="20" spans="1:17" x14ac:dyDescent="0.25">
      <c r="A20" s="47">
        <v>43842</v>
      </c>
      <c r="B20" s="44">
        <v>23</v>
      </c>
      <c r="C20" s="44">
        <v>23</v>
      </c>
      <c r="D20" s="44">
        <v>49</v>
      </c>
      <c r="E20" s="45">
        <v>85</v>
      </c>
      <c r="F20" s="45">
        <v>4219</v>
      </c>
      <c r="G20" s="45">
        <v>60</v>
      </c>
      <c r="H20" s="45">
        <v>1231</v>
      </c>
      <c r="I20" s="45">
        <v>85</v>
      </c>
      <c r="J20" s="45">
        <v>239</v>
      </c>
      <c r="K20" s="46">
        <v>65</v>
      </c>
      <c r="L20" s="46">
        <v>85</v>
      </c>
      <c r="M20" s="46">
        <v>985</v>
      </c>
      <c r="N20" s="43">
        <v>85</v>
      </c>
      <c r="O20" s="43">
        <v>60</v>
      </c>
      <c r="P20" s="43">
        <v>85</v>
      </c>
      <c r="Q20" s="43">
        <v>2054</v>
      </c>
    </row>
    <row r="21" spans="1:17" x14ac:dyDescent="0.25">
      <c r="A21" s="47">
        <v>43843</v>
      </c>
      <c r="B21" s="44">
        <v>21</v>
      </c>
      <c r="C21" s="44">
        <v>18</v>
      </c>
      <c r="D21" s="44">
        <v>40</v>
      </c>
      <c r="E21" s="45">
        <v>85</v>
      </c>
      <c r="F21" s="45">
        <v>4227</v>
      </c>
      <c r="G21" s="45">
        <v>50</v>
      </c>
      <c r="H21" s="45">
        <v>1233</v>
      </c>
      <c r="I21" s="45">
        <v>85</v>
      </c>
      <c r="J21" s="45">
        <v>240</v>
      </c>
      <c r="K21" s="46">
        <v>60</v>
      </c>
      <c r="L21" s="46">
        <v>85</v>
      </c>
      <c r="M21" s="46">
        <v>988</v>
      </c>
      <c r="N21" s="43">
        <v>85</v>
      </c>
      <c r="O21" s="43">
        <v>60</v>
      </c>
      <c r="P21" s="43">
        <v>85</v>
      </c>
      <c r="Q21" s="43">
        <v>2057</v>
      </c>
    </row>
    <row r="22" spans="1:17" x14ac:dyDescent="0.25">
      <c r="A22" s="47">
        <v>43844</v>
      </c>
      <c r="B22" s="44">
        <v>20</v>
      </c>
      <c r="C22" s="44">
        <v>16</v>
      </c>
      <c r="D22" s="44">
        <v>37</v>
      </c>
      <c r="E22" s="45">
        <v>85</v>
      </c>
      <c r="F22" s="45">
        <v>4235</v>
      </c>
      <c r="G22" s="45">
        <v>35</v>
      </c>
      <c r="H22" s="45">
        <v>1235</v>
      </c>
      <c r="I22" s="45">
        <v>85</v>
      </c>
      <c r="J22" s="45">
        <v>241</v>
      </c>
      <c r="K22" s="46">
        <v>60</v>
      </c>
      <c r="L22" s="46">
        <v>85</v>
      </c>
      <c r="M22" s="46">
        <v>988</v>
      </c>
      <c r="N22" s="43">
        <v>85</v>
      </c>
      <c r="O22" s="43">
        <v>55</v>
      </c>
      <c r="P22" s="43">
        <v>85</v>
      </c>
      <c r="Q22" s="43">
        <v>2060</v>
      </c>
    </row>
    <row r="23" spans="1:17" x14ac:dyDescent="0.25">
      <c r="A23" s="47">
        <v>43845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47">
        <v>43846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47">
        <v>43847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47">
        <v>43848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47">
        <v>43849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47">
        <v>43850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47">
        <v>43851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43852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47">
        <v>43853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47">
        <v>43854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47">
        <v>43855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2020-01-15T03:43:41Z</dcterms:modified>
</cp:coreProperties>
</file>