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<sst xmlns="http://schemas.openxmlformats.org/spreadsheetml/2006/main" count="313" uniqueCount="148">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</sst>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23.8095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10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8529.9999999998363</v>
      </c>
      <c r="F21" s="11">
        <f t="shared" si="1"/>
        <v>0.58765030286592534</v>
      </c>
      <c r="G21" s="12">
        <f>(Submetering!AX21+Submetering!AY21+Submetering!AZ21+Submetering!BA21+Submetering!BB21)</f>
        <v>16.483499999999999</v>
      </c>
      <c r="H21" s="11">
        <f t="shared" si="2"/>
        <v>0.99</v>
      </c>
      <c r="I21" s="12">
        <f>'FS Desroches Daily'!CM23</f>
        <v>58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8920.0000000001019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48</v>
      </c>
      <c r="J22" s="11">
        <f t="shared" si="3"/>
        <v>10.487297712684205</v>
      </c>
      <c r="K22" s="13">
        <f>'FS Desroches Daily'!CN24</f>
        <v>15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8230.0000000000909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54</v>
      </c>
      <c r="J23" s="11">
        <f t="shared" si="3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8289.9999999996726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>
        <f>'FS Desroches Daily'!BF22</f>
        <v>41</v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1799.9999999998017</v>
      </c>
      <c r="F21" s="32">
        <f>'FS Desroches Daily'!F23</f>
        <v>2600.0000000001578</v>
      </c>
      <c r="G21" s="31">
        <f>'FS Desroches Daily'!H23</f>
        <v>2499.9999999999468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900.0000000001229</v>
      </c>
      <c r="K21" s="13">
        <f>'FS Desroches Daily'!P23</f>
        <v>6</v>
      </c>
      <c r="L21" s="31">
        <f>'FS Desroches Daily'!R23</f>
        <v>3</v>
      </c>
      <c r="M21" s="31">
        <f>'FS Desroches Daily'!T23</f>
        <v>0.79999999999995453</v>
      </c>
      <c r="N21" s="31">
        <f>'FS Desroches Daily'!V23</f>
        <v>344.10000000003492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300.00000000001137</v>
      </c>
      <c r="R21" s="31">
        <f>'FS Desroches Daily'!AD23</f>
        <v>259.99999999999091</v>
      </c>
      <c r="S21" s="31">
        <f>'FS Desroches Daily'!AF23</f>
        <v>230.00000000001819</v>
      </c>
      <c r="T21" s="31">
        <f>'FS Desroches Daily'!AH23</f>
        <v>33</v>
      </c>
      <c r="U21" s="35">
        <f>'FS Desroches Daily'!AJ23</f>
        <v>490.00000000000909</v>
      </c>
      <c r="V21" s="35">
        <f>'FS Desroches Daily'!AL23</f>
        <v>159.99999999999659</v>
      </c>
      <c r="W21" s="35">
        <f>'FS Desroches Daily'!AN23</f>
        <v>179.9999999999784</v>
      </c>
      <c r="X21" s="35">
        <f>'FS Desroches Daily'!AP23</f>
        <v>159.99999999999659</v>
      </c>
      <c r="Y21" s="35">
        <f>'FS Desroches Daily'!AR23</f>
        <v>129.99999999999545</v>
      </c>
      <c r="Z21" s="35">
        <f>'FS Desroches Daily'!AT23</f>
        <v>269.99999999998181</v>
      </c>
      <c r="AA21" s="35">
        <f>'FS Desroches Daily'!AT23</f>
        <v>269.99999999998181</v>
      </c>
      <c r="AB21" s="35">
        <f>'FS Desroches Daily'!AV23</f>
        <v>99.999999999965894</v>
      </c>
      <c r="AC21" s="35">
        <f>'FS Desroches Daily'!AZ23</f>
        <v>40.000000000020464</v>
      </c>
      <c r="AD21" s="35">
        <f>'FS Desroches Daily'!BB23</f>
        <v>20.000000000038654</v>
      </c>
      <c r="AE21" s="35">
        <f>'FS Desroches Daily'!BD23</f>
        <v>30.000000000001137</v>
      </c>
      <c r="AF21" s="31">
        <f>'FS Desroches Daily'!BF23</f>
        <v>29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9.9999999999909051</v>
      </c>
      <c r="AL21" s="32">
        <f>'FS Desroches Daily'!BR23</f>
        <v>33</v>
      </c>
      <c r="AM21" s="32">
        <f>'FS Desroches Daily'!BT23</f>
        <v>40.000000000020464</v>
      </c>
      <c r="AN21" s="32">
        <f>'FS Desroches Daily'!BV23</f>
        <v>45</v>
      </c>
      <c r="AO21" s="32">
        <f>'FS Desroches Daily'!BX23</f>
        <v>20.000000000010232</v>
      </c>
      <c r="AP21" s="32">
        <f>'FS Desroches Daily'!BZ23</f>
        <v>34</v>
      </c>
      <c r="AQ21" s="31">
        <f>'FS Desroches Daily'!CB23</f>
        <v>37.5</v>
      </c>
      <c r="AR21" s="31">
        <f>'FS Desroches Daily'!CD23</f>
        <v>10.400000000001455</v>
      </c>
      <c r="AS21" s="31">
        <f>'FS Desroches Daily'!CF23</f>
        <v>9</v>
      </c>
      <c r="AT21" s="31">
        <f>'FS Desroches Daily'!CH23</f>
        <v>45.900000000001455</v>
      </c>
      <c r="AU21" s="31">
        <f>'FS Desroches Daily'!CJ23</f>
        <v>272</v>
      </c>
      <c r="AV21" s="31">
        <f>'FS Desroches Daily'!CL23</f>
        <v>570.00000000005002</v>
      </c>
      <c r="AW21" s="31">
        <f>'FS Desroches Daily'!CM23</f>
        <v>58</v>
      </c>
      <c r="AX21" s="31" t="str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1700.0000000000348</v>
      </c>
      <c r="F22" s="32">
        <f>'FS Desroches Daily'!F24</f>
        <v>3000.0000000001137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1999.9999999997797</v>
      </c>
      <c r="J22" s="32">
        <f>'FS Desroches Daily'!N24</f>
        <v>799.99999999991189</v>
      </c>
      <c r="K22" s="13">
        <f>'FS Desroches Daily'!P24</f>
        <v>13</v>
      </c>
      <c r="L22" s="31">
        <f>'FS Desroches Daily'!R24</f>
        <v>3</v>
      </c>
      <c r="M22" s="31">
        <f>'FS Desroches Daily'!T24</f>
        <v>0.90000000000009095</v>
      </c>
      <c r="N22" s="31">
        <f>'FS Desroches Daily'!V24</f>
        <v>350.09999999997672</v>
      </c>
      <c r="O22" s="31">
        <f>'FS Desroches Daily'!X24</f>
        <v>269.99999999998181</v>
      </c>
      <c r="P22" s="31">
        <f>'FS Desroches Daily'!Z24</f>
        <v>2700.0000000003688</v>
      </c>
      <c r="Q22" s="31">
        <f>'FS Desroches Daily'!AB24</f>
        <v>180.00000000000682</v>
      </c>
      <c r="R22" s="31">
        <f>'FS Desroches Daily'!AD24</f>
        <v>310.00000000000227</v>
      </c>
      <c r="S22" s="31">
        <f>'FS Desroches Daily'!AF24</f>
        <v>240.00000000000909</v>
      </c>
      <c r="T22" s="31">
        <f>'FS Desroches Daily'!AH24</f>
        <v>32</v>
      </c>
      <c r="U22" s="35">
        <f>'FS Desroches Daily'!AJ24</f>
        <v>540.00000000007731</v>
      </c>
      <c r="V22" s="35">
        <f>'FS Desroches Daily'!AL24</f>
        <v>189.99999999999773</v>
      </c>
      <c r="W22" s="35">
        <f>'FS Desroches Daily'!AN24</f>
        <v>120.00000000000455</v>
      </c>
      <c r="X22" s="35">
        <f>'FS Desroches Daily'!AP24</f>
        <v>129.99999999999545</v>
      </c>
      <c r="Y22" s="35">
        <f>'FS Desroches Daily'!AR24</f>
        <v>120.00000000000455</v>
      </c>
      <c r="Z22" s="35">
        <f>'FS Desroches Daily'!AT24</f>
        <v>139.99999999998636</v>
      </c>
      <c r="AA22" s="35">
        <f>'FS Desroches Daily'!AT24</f>
        <v>139.99999999998636</v>
      </c>
      <c r="AB22" s="35">
        <f>'FS Desroches Daily'!AV24</f>
        <v>90.000000000031832</v>
      </c>
      <c r="AC22" s="35">
        <f>'FS Desroches Daily'!AZ24</f>
        <v>19.99999999998181</v>
      </c>
      <c r="AD22" s="35">
        <f>'FS Desroches Daily'!BB24</f>
        <v>9.9999999999909051</v>
      </c>
      <c r="AE22" s="35">
        <f>'FS Desroches Daily'!BD24</f>
        <v>19.99999999998181</v>
      </c>
      <c r="AF22" s="31">
        <f>'FS Desroches Daily'!BF24</f>
        <v>45</v>
      </c>
      <c r="AG22" s="32">
        <f>'FS Desroches Daily'!BH24</f>
        <v>39.999999999992042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39.999999999992042</v>
      </c>
      <c r="AK22" s="32">
        <f>'FS Desroches Daily'!BP24</f>
        <v>50.000000000011369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19.99999999998181</v>
      </c>
      <c r="AP22" s="32">
        <f>'FS Desroches Daily'!BZ24</f>
        <v>24</v>
      </c>
      <c r="AQ22" s="31">
        <f>'FS Desroches Daily'!CB24</f>
        <v>35.69999999999709</v>
      </c>
      <c r="AR22" s="31">
        <f>'FS Desroches Daily'!CD24</f>
        <v>7.5</v>
      </c>
      <c r="AS22" s="31">
        <f>'FS Desroches Daily'!CF24</f>
        <v>0.5999999999994543</v>
      </c>
      <c r="AT22" s="31">
        <f>'FS Desroches Daily'!CH24</f>
        <v>42.19999999999709</v>
      </c>
      <c r="AU22" s="31">
        <f>'FS Desroches Daily'!CJ24</f>
        <v>276</v>
      </c>
      <c r="AV22" s="31">
        <f>'FS Desroches Daily'!CL24</f>
        <v>679.99999999994998</v>
      </c>
      <c r="AW22" s="31">
        <f>'FS Desroches Daily'!CM24</f>
        <v>48</v>
      </c>
      <c r="AX22" s="31">
        <f>IF(LPG!F29-LPG!F28&lt;0,"0",(LPG!F29-LPG!F28)*1.8315)</f>
        <v>23.8095</v>
      </c>
      <c r="AY22" s="31">
        <f>IF(LPG!H29-LPG!H28&lt;0,"0",(LPG!H29-LPG!H28)*1.8315)</f>
        <v>1.8314999999999999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5.4944999999999995</v>
      </c>
      <c r="BC22" s="13">
        <f>'FS Desroches Daily'!CN24</f>
        <v>15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1600.0000000002678</v>
      </c>
      <c r="F23" s="32">
        <f>'FS Desroches Daily'!F25</f>
        <v>2599.9999999997135</v>
      </c>
      <c r="G23" s="31">
        <f>'FS Desroches Daily'!H25</f>
        <v>2400.0000000001796</v>
      </c>
      <c r="H23" s="32">
        <f>'FS Desroches Daily'!J25</f>
        <v>1300.0000000000789</v>
      </c>
      <c r="I23" s="31">
        <f>'FS Desroches Daily'!L25</f>
        <v>2000.0000000002237</v>
      </c>
      <c r="J23" s="32">
        <f>'FS Desroches Daily'!N25</f>
        <v>899.99999999990087</v>
      </c>
      <c r="K23" s="13">
        <f>'FS Desroches Daily'!P25</f>
        <v>6</v>
      </c>
      <c r="L23" s="31">
        <f>'FS Desroches Daily'!R25</f>
        <v>4</v>
      </c>
      <c r="M23" s="31">
        <f>'FS Desroches Daily'!T25</f>
        <v>0.59999999999990905</v>
      </c>
      <c r="N23" s="31">
        <f>'FS Desroches Daily'!V25</f>
        <v>265.20000000001164</v>
      </c>
      <c r="O23" s="31">
        <f>'FS Desroches Daily'!X25</f>
        <v>310.00000000000227</v>
      </c>
      <c r="P23" s="31">
        <f>'FS Desroches Daily'!Z25</f>
        <v>2199.9999999997576</v>
      </c>
      <c r="Q23" s="31">
        <f>'FS Desroches Daily'!AB25</f>
        <v>300.00000000001137</v>
      </c>
      <c r="R23" s="31">
        <f>'FS Desroches Daily'!AD25</f>
        <v>270.00000000003865</v>
      </c>
      <c r="S23" s="31">
        <f>'FS Desroches Daily'!AF25</f>
        <v>230.00000000001819</v>
      </c>
      <c r="T23" s="31">
        <f>'FS Desroches Daily'!AH25</f>
        <v>27</v>
      </c>
      <c r="U23" s="35">
        <f>'FS Desroches Daily'!AJ25</f>
        <v>509.99999999999091</v>
      </c>
      <c r="V23" s="35">
        <f>'FS Desroches Daily'!AL25</f>
        <v>199.99999999998863</v>
      </c>
      <c r="W23" s="35">
        <f>'FS Desroches Daily'!AN25</f>
        <v>150.00000000000568</v>
      </c>
      <c r="X23" s="35">
        <f>'FS Desroches Daily'!AP25</f>
        <v>130.00000000002387</v>
      </c>
      <c r="Y23" s="35">
        <f>'FS Desroches Daily'!AR25</f>
        <v>90.000000000003411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60.000000000002274</v>
      </c>
      <c r="AC23" s="35">
        <f>'FS Desroches Daily'!AZ25</f>
        <v>20.000000000038654</v>
      </c>
      <c r="AD23" s="35">
        <f>'FS Desroches Daily'!BB25</f>
        <v>29.999999999972715</v>
      </c>
      <c r="AE23" s="35">
        <f>'FS Desroches Daily'!BD25</f>
        <v>20.000000000010232</v>
      </c>
      <c r="AF23" s="31">
        <f>'FS Desroches Daily'!BF25</f>
        <v>39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50.000000000011369</v>
      </c>
      <c r="AJ23" s="32">
        <f>'FS Desroches Daily'!BN25</f>
        <v>40.000000000020464</v>
      </c>
      <c r="AK23" s="32">
        <f>'FS Desroches Daily'!BP25</f>
        <v>50.000000000011369</v>
      </c>
      <c r="AL23" s="32">
        <f>'FS Desroches Daily'!BR25</f>
        <v>30</v>
      </c>
      <c r="AM23" s="32">
        <f>'FS Desroches Daily'!BT25</f>
        <v>39.999999999992042</v>
      </c>
      <c r="AN23" s="32">
        <f>'FS Desroches Daily'!BV25</f>
        <v>39</v>
      </c>
      <c r="AO23" s="32">
        <f>'FS Desroches Daily'!BX25</f>
        <v>30.000000000001137</v>
      </c>
      <c r="AP23" s="32">
        <f>'FS Desroches Daily'!BZ25</f>
        <v>26</v>
      </c>
      <c r="AQ23" s="31">
        <f>'FS Desroches Daily'!CB25</f>
        <v>43.700000000004366</v>
      </c>
      <c r="AR23" s="31">
        <f>'FS Desroches Daily'!CD25</f>
        <v>5</v>
      </c>
      <c r="AS23" s="31">
        <f>'FS Desroches Daily'!CF25</f>
        <v>5.5</v>
      </c>
      <c r="AT23" s="31">
        <f>'FS Desroches Daily'!CH25</f>
        <v>53.30000000000291</v>
      </c>
      <c r="AU23" s="31">
        <f>'FS Desroches Daily'!CJ25</f>
        <v>267</v>
      </c>
      <c r="AV23" s="31">
        <f>'FS Desroches Daily'!CL25</f>
        <v>570.00000000005002</v>
      </c>
      <c r="AW23" s="31">
        <f>'FS Desroches Daily'!CM25</f>
        <v>54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3.6629999999999998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1700.0000000000348</v>
      </c>
      <c r="F24" s="32">
        <f>'FS Desroches Daily'!F26</f>
        <v>2499.9999999999468</v>
      </c>
      <c r="G24" s="31">
        <f>'FS Desroches Daily'!H26</f>
        <v>2399.9999999997358</v>
      </c>
      <c r="H24" s="32">
        <f>'FS Desroches Daily'!J26</f>
        <v>1299.9999999998568</v>
      </c>
      <c r="I24" s="31">
        <f>'FS Desroches Daily'!L26</f>
        <v>1799.9999999998017</v>
      </c>
      <c r="J24" s="32">
        <f>'FS Desroches Daily'!N26</f>
        <v>1000.0000000001119</v>
      </c>
      <c r="K24" s="13">
        <f>'FS Desroches Daily'!P26</f>
        <v>7</v>
      </c>
      <c r="L24" s="31">
        <f>'FS Desroches Daily'!R26</f>
        <v>2</v>
      </c>
      <c r="M24" s="31">
        <f>'FS Desroches Daily'!T26</f>
        <v>0.70000000000004547</v>
      </c>
      <c r="N24" s="31">
        <f>'FS Desroches Daily'!V26</f>
        <v>300.5</v>
      </c>
      <c r="O24" s="31">
        <f>'FS Desroches Daily'!X26</f>
        <v>260.00000000004775</v>
      </c>
      <c r="P24" s="31">
        <f>'FS Desroches Daily'!Z26</f>
        <v>2099.9999999999909</v>
      </c>
      <c r="Q24" s="31">
        <f>'FS Desroches Daily'!AB26</f>
        <v>289.99999999996362</v>
      </c>
      <c r="R24" s="31">
        <f>'FS Desroches Daily'!AD26</f>
        <v>259.99999999999091</v>
      </c>
      <c r="S24" s="31">
        <f>'FS Desroches Daily'!AF26</f>
        <v>289.99999999996362</v>
      </c>
      <c r="T24" s="31">
        <f>'FS Desroches Daily'!AH26</f>
        <v>28</v>
      </c>
      <c r="U24" s="35">
        <f>'FS Desroches Daily'!AJ26</f>
        <v>509.99999999999091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119.99999999997613</v>
      </c>
      <c r="Y24" s="35">
        <f>'FS Desroches Daily'!AR26</f>
        <v>109.99999999998522</v>
      </c>
      <c r="Z24" s="35">
        <f>'FS Desroches Daily'!AT26</f>
        <v>159.99999999996817</v>
      </c>
      <c r="AA24" s="35">
        <f>'FS Desroches Daily'!AT26</f>
        <v>159.99999999996817</v>
      </c>
      <c r="AB24" s="35">
        <f>'FS Desroches Daily'!AV26</f>
        <v>89.999999999974989</v>
      </c>
      <c r="AC24" s="35">
        <f>'FS Desroches Daily'!AZ26</f>
        <v>39.99999999996362</v>
      </c>
      <c r="AD24" s="35">
        <f>'FS Desroches Daily'!BB26</f>
        <v>20.000000000038654</v>
      </c>
      <c r="AE24" s="35">
        <f>'FS Desroches Daily'!BD26</f>
        <v>30.000000000001137</v>
      </c>
      <c r="AF24" s="31">
        <f>'FS Desroches Daily'!BF26</f>
        <v>40</v>
      </c>
      <c r="AG24" s="32">
        <f>'FS Desroches Daily'!BH26</f>
        <v>49.999999999982947</v>
      </c>
      <c r="AH24" s="32">
        <f>'FS Desroches Daily'!BJ26</f>
        <v>30.000000000029559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50.000000000011369</v>
      </c>
      <c r="AL24" s="32">
        <f>'FS Desroches Daily'!BR26</f>
        <v>28</v>
      </c>
      <c r="AM24" s="32">
        <f>'FS Desroches Daily'!BT26</f>
        <v>30.000000000001137</v>
      </c>
      <c r="AN24" s="32">
        <f>'FS Desroches Daily'!BV26</f>
        <v>40</v>
      </c>
      <c r="AO24" s="32">
        <f>'FS Desroches Daily'!BX26</f>
        <v>30.000000000001137</v>
      </c>
      <c r="AP24" s="32">
        <f>'FS Desroches Daily'!BZ26</f>
        <v>27</v>
      </c>
      <c r="AQ24" s="31">
        <f>'FS Desroches Daily'!CB26</f>
        <v>39</v>
      </c>
      <c r="AR24" s="31">
        <f>'FS Desroches Daily'!CD26</f>
        <v>5</v>
      </c>
      <c r="AS24" s="31">
        <f>'FS Desroches Daily'!CF26</f>
        <v>2.6999999999998181</v>
      </c>
      <c r="AT24" s="31">
        <f>'FS Desroches Daily'!CH26</f>
        <v>47.799999999995634</v>
      </c>
      <c r="AU24" s="31">
        <f>'FS Desroches Daily'!CJ26</f>
        <v>290</v>
      </c>
      <c r="AV24" s="31">
        <f>'FS Desroches Daily'!CL26</f>
        <v>610.00000000001364</v>
      </c>
      <c r="AW24" s="31">
        <f>'FS Desroches Daily'!CM26</f>
        <v>58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48200.000000000036</v>
      </c>
      <c r="F33" s="17">
        <f t="shared" ref="F33:BC33" si="1">SUM(F2:F32)</f>
        <v>59999.999999999629</v>
      </c>
      <c r="G33" s="17">
        <f t="shared" si="1"/>
        <v>60999.999999999964</v>
      </c>
      <c r="H33" s="17">
        <f t="shared" si="1"/>
        <v>29399.99999999988</v>
      </c>
      <c r="I33" s="17">
        <f t="shared" si="1"/>
        <v>45399.999999999898</v>
      </c>
      <c r="J33" s="17">
        <f t="shared" si="1"/>
        <v>19500.000000000084</v>
      </c>
      <c r="K33" s="17">
        <f t="shared" si="1"/>
        <v>134</v>
      </c>
      <c r="L33" s="17">
        <f t="shared" si="1"/>
        <v>60</v>
      </c>
      <c r="M33" s="17">
        <f t="shared" si="1"/>
        <v>18.600000000000023</v>
      </c>
      <c r="N33" s="17">
        <f t="shared" si="1"/>
        <v>7373.5</v>
      </c>
      <c r="O33" s="17">
        <f t="shared" si="1"/>
        <v>6150.0000000000327</v>
      </c>
      <c r="P33" s="17">
        <f t="shared" si="1"/>
        <v>53399.999999999905</v>
      </c>
      <c r="Q33" s="17">
        <f t="shared" si="1"/>
        <v>6180.0000000000073</v>
      </c>
      <c r="R33" s="17">
        <f t="shared" si="1"/>
        <v>6129.9999999999945</v>
      </c>
      <c r="S33" s="17">
        <f t="shared" si="1"/>
        <v>4689.9999999999409</v>
      </c>
      <c r="T33" s="17">
        <f t="shared" si="1"/>
        <v>768</v>
      </c>
      <c r="U33" s="35">
        <f t="shared" si="1"/>
        <v>15120.000000000007</v>
      </c>
      <c r="V33" s="35">
        <f t="shared" si="1"/>
        <v>4949.9999999999891</v>
      </c>
      <c r="W33" s="35">
        <f t="shared" si="1"/>
        <v>3980.0000000000182</v>
      </c>
      <c r="X33" s="35">
        <f t="shared" si="1"/>
        <v>3669.9999999999882</v>
      </c>
      <c r="Y33" s="35">
        <f t="shared" si="1"/>
        <v>3609.9999999999864</v>
      </c>
      <c r="Z33" s="35">
        <f t="shared" si="1"/>
        <v>3951.7399999999679</v>
      </c>
      <c r="AA33" s="35">
        <f t="shared" si="1"/>
        <v>3951.7399999999679</v>
      </c>
      <c r="AB33" s="35">
        <f t="shared" si="1"/>
        <v>3329.9999999999841</v>
      </c>
      <c r="AC33" s="35">
        <f t="shared" si="1"/>
        <v>859.9999999999568</v>
      </c>
      <c r="AD33" s="35">
        <f t="shared" si="1"/>
        <v>560.00000000000227</v>
      </c>
      <c r="AE33" s="35">
        <f t="shared" si="1"/>
        <v>1139.9999999999864</v>
      </c>
      <c r="AF33" s="17">
        <f t="shared" si="1"/>
        <v>709</v>
      </c>
      <c r="AG33" s="32">
        <f t="shared" si="1"/>
        <v>979.99999999998977</v>
      </c>
      <c r="AH33" s="32">
        <f t="shared" si="1"/>
        <v>620.00000000000455</v>
      </c>
      <c r="AI33" s="32">
        <f t="shared" si="1"/>
        <v>750</v>
      </c>
      <c r="AJ33" s="32">
        <f t="shared" si="1"/>
        <v>930.00000000000682</v>
      </c>
      <c r="AK33" s="32">
        <f t="shared" si="1"/>
        <v>1130.0000000000523</v>
      </c>
      <c r="AL33" s="32">
        <f t="shared" si="1"/>
        <v>585</v>
      </c>
      <c r="AM33" s="32">
        <f t="shared" si="1"/>
        <v>849.99999999999432</v>
      </c>
      <c r="AN33" s="32">
        <f t="shared" si="1"/>
        <v>932</v>
      </c>
      <c r="AO33" s="32">
        <f t="shared" si="1"/>
        <v>489.99999999998067</v>
      </c>
      <c r="AP33" s="32">
        <f t="shared" si="1"/>
        <v>818</v>
      </c>
      <c r="AQ33" s="17">
        <f t="shared" si="1"/>
        <v>783.40000000000146</v>
      </c>
      <c r="AR33" s="17">
        <f t="shared" si="1"/>
        <v>149.10000000000036</v>
      </c>
      <c r="AS33" s="17">
        <f t="shared" si="1"/>
        <v>114</v>
      </c>
      <c r="AT33" s="17">
        <f t="shared" si="1"/>
        <v>1144.0999999999985</v>
      </c>
      <c r="AU33" s="17">
        <f t="shared" si="1"/>
        <v>6288</v>
      </c>
      <c r="AV33" s="17">
        <f t="shared" si="1"/>
        <v>16370.000000000007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163.00349999999997</v>
      </c>
      <c r="BC33" s="17">
        <f t="shared" si="1"/>
        <v>266</v>
      </c>
    </row>
    <row r="35" spans="5:55" x14ac:dyDescent="0.25">
      <c r="E35" s="38">
        <f>E33/E37</f>
        <v>0.23035968609908397</v>
      </c>
      <c r="G35" s="29">
        <f>G33-M36</f>
        <v>53607.899999999965</v>
      </c>
      <c r="AE35" s="35">
        <f>SUM(U33:AE33)</f>
        <v>45123.47999999985</v>
      </c>
      <c r="AG35" s="32">
        <f>SUM(AG33:AP33)</f>
        <v>8085.0000000000291</v>
      </c>
    </row>
    <row r="36" spans="5:55" x14ac:dyDescent="0.25">
      <c r="G36" s="29">
        <f>G35-633*14</f>
        <v>44745.899999999965</v>
      </c>
      <c r="M36" s="29">
        <f>M33+N33</f>
        <v>7392.1</v>
      </c>
    </row>
    <row r="37" spans="5:55" x14ac:dyDescent="0.25">
      <c r="E37" s="17">
        <f>E33+F33+G33+H33+J33-633*14</f>
        <v>209237.99999999959</v>
      </c>
      <c r="G37" s="37">
        <f>M36/E37</f>
        <v>3.5328668788652227E-2</v>
      </c>
      <c r="M37" s="35">
        <f>AE35</f>
        <v>45123.47999999985</v>
      </c>
    </row>
    <row r="38" spans="5:55" x14ac:dyDescent="0.25">
      <c r="L38" s="27">
        <f>M38/E37</f>
        <v>3.8640208757491683E-2</v>
      </c>
      <c r="M38" s="29">
        <f>AG35</f>
        <v>8085.0000000000291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S1" zoomScale="80" zoomScaleNormal="80" workbookViewId="0">
      <pane ySplit="1" topLeftCell="A14" activePane="bottomLeft" state="frozen"/>
      <selection pane="bottomLeft" activeCell="BI29" sqref="BI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>
        <v>41899</v>
      </c>
      <c r="BF22" s="67">
        <f t="shared" si="39"/>
        <v>41</v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10</v>
      </c>
      <c r="CO22" s="62">
        <v>20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>
        <v>2.4003999999999999</v>
      </c>
      <c r="D23" s="64">
        <f t="shared" si="0"/>
        <v>1799.9999999998017</v>
      </c>
      <c r="E23" s="58">
        <v>3.4009</v>
      </c>
      <c r="F23" s="64">
        <f t="shared" si="1"/>
        <v>2600.0000000001578</v>
      </c>
      <c r="G23" s="58">
        <v>3.4592000000000001</v>
      </c>
      <c r="H23" s="64">
        <f t="shared" si="2"/>
        <v>2499.9999999999468</v>
      </c>
      <c r="I23" s="58">
        <v>1.7044999999999999</v>
      </c>
      <c r="J23" s="64">
        <f t="shared" si="3"/>
        <v>1299.9999999998568</v>
      </c>
      <c r="K23" s="58">
        <v>2.7522000000000002</v>
      </c>
      <c r="L23" s="64">
        <f t="shared" si="4"/>
        <v>2000.0000000002237</v>
      </c>
      <c r="M23" s="58">
        <v>1.5053000000000001</v>
      </c>
      <c r="N23" s="64">
        <f t="shared" si="5"/>
        <v>900.0000000001229</v>
      </c>
      <c r="O23" s="58">
        <v>14650</v>
      </c>
      <c r="P23" s="67">
        <f t="shared" si="44"/>
        <v>6</v>
      </c>
      <c r="Q23" s="58">
        <v>1144</v>
      </c>
      <c r="R23" s="67">
        <f t="shared" si="6"/>
        <v>3</v>
      </c>
      <c r="S23" s="58">
        <v>1036.5</v>
      </c>
      <c r="T23" s="67">
        <f t="shared" si="7"/>
        <v>0.79999999999995453</v>
      </c>
      <c r="U23" s="58">
        <v>434108.9</v>
      </c>
      <c r="V23" s="67">
        <f t="shared" si="8"/>
        <v>344.10000000003492</v>
      </c>
      <c r="W23" s="58">
        <v>411.76</v>
      </c>
      <c r="X23" s="65">
        <f t="shared" si="9"/>
        <v>240.00000000000909</v>
      </c>
      <c r="Y23" s="58">
        <v>2.9752999999999998</v>
      </c>
      <c r="Z23" s="65">
        <f t="shared" si="10"/>
        <v>2299.9999999999686</v>
      </c>
      <c r="AA23" s="58">
        <v>410.69</v>
      </c>
      <c r="AB23" s="65">
        <f t="shared" si="11"/>
        <v>300.00000000001137</v>
      </c>
      <c r="AC23" s="58">
        <v>384.02</v>
      </c>
      <c r="AD23" s="65">
        <f t="shared" si="12"/>
        <v>259.99999999999091</v>
      </c>
      <c r="AE23" s="58">
        <v>579.75</v>
      </c>
      <c r="AF23" s="65">
        <f t="shared" si="13"/>
        <v>230.00000000001819</v>
      </c>
      <c r="AG23" s="58">
        <v>6303</v>
      </c>
      <c r="AH23" s="67">
        <f t="shared" si="14"/>
        <v>33</v>
      </c>
      <c r="AI23" s="58">
        <v>647.9</v>
      </c>
      <c r="AJ23" s="65">
        <f t="shared" si="15"/>
        <v>490.00000000000909</v>
      </c>
      <c r="AK23" s="58">
        <v>214.52</v>
      </c>
      <c r="AL23" s="65">
        <f t="shared" si="15"/>
        <v>159.99999999999659</v>
      </c>
      <c r="AM23" s="58">
        <v>203.48</v>
      </c>
      <c r="AN23" s="65">
        <f t="shared" si="15"/>
        <v>179.9999999999784</v>
      </c>
      <c r="AO23" s="58">
        <v>196.35</v>
      </c>
      <c r="AP23" s="65">
        <f t="shared" si="15"/>
        <v>159.99999999999659</v>
      </c>
      <c r="AQ23" s="58">
        <v>255.69</v>
      </c>
      <c r="AR23" s="65">
        <f t="shared" si="16"/>
        <v>129.99999999999545</v>
      </c>
      <c r="AS23" s="58">
        <v>381.88</v>
      </c>
      <c r="AT23" s="65">
        <f t="shared" si="17"/>
        <v>269.99999999998181</v>
      </c>
      <c r="AU23" s="58">
        <v>292.07</v>
      </c>
      <c r="AV23" s="65">
        <f t="shared" si="18"/>
        <v>99.999999999965894</v>
      </c>
      <c r="AW23" s="58">
        <v>324.49</v>
      </c>
      <c r="AX23" s="65">
        <f t="shared" si="19"/>
        <v>69.999999999993179</v>
      </c>
      <c r="AY23" s="58">
        <v>363.75</v>
      </c>
      <c r="AZ23" s="65">
        <f t="shared" si="20"/>
        <v>40.000000000020464</v>
      </c>
      <c r="BA23" s="58">
        <v>382.55</v>
      </c>
      <c r="BB23" s="65">
        <f t="shared" si="21"/>
        <v>20.000000000038654</v>
      </c>
      <c r="BC23" s="58">
        <v>245.93</v>
      </c>
      <c r="BD23" s="65">
        <f t="shared" si="22"/>
        <v>30.000000000001137</v>
      </c>
      <c r="BE23" s="59">
        <v>41928</v>
      </c>
      <c r="BF23" s="67">
        <f t="shared" si="39"/>
        <v>29</v>
      </c>
      <c r="BG23" s="60">
        <v>236.19</v>
      </c>
      <c r="BH23" s="65">
        <f t="shared" si="23"/>
        <v>39.999999999992042</v>
      </c>
      <c r="BI23" s="60">
        <v>294.60000000000002</v>
      </c>
      <c r="BJ23" s="65">
        <f t="shared" si="40"/>
        <v>50.000000000011369</v>
      </c>
      <c r="BK23" s="60">
        <v>238.51</v>
      </c>
      <c r="BL23" s="65">
        <f t="shared" si="24"/>
        <v>39.999999999992042</v>
      </c>
      <c r="BM23" s="60">
        <v>225.88</v>
      </c>
      <c r="BN23" s="65">
        <f t="shared" si="25"/>
        <v>39.999999999992042</v>
      </c>
      <c r="BO23" s="60">
        <v>289.76</v>
      </c>
      <c r="BP23" s="65">
        <f t="shared" si="26"/>
        <v>9.9999999999909051</v>
      </c>
      <c r="BQ23" s="60">
        <v>46689</v>
      </c>
      <c r="BR23" s="65">
        <f t="shared" si="27"/>
        <v>33</v>
      </c>
      <c r="BS23" s="60">
        <v>202.49</v>
      </c>
      <c r="BT23" s="65">
        <f t="shared" si="42"/>
        <v>40.000000000020464</v>
      </c>
      <c r="BU23" s="60">
        <v>42796</v>
      </c>
      <c r="BV23" s="65">
        <f t="shared" si="29"/>
        <v>45</v>
      </c>
      <c r="BW23" s="60">
        <v>233.12</v>
      </c>
      <c r="BX23" s="65">
        <f t="shared" si="30"/>
        <v>20.000000000010232</v>
      </c>
      <c r="BY23" s="60">
        <v>62511</v>
      </c>
      <c r="BZ23" s="67">
        <f t="shared" si="31"/>
        <v>34</v>
      </c>
      <c r="CA23" s="60">
        <v>33801</v>
      </c>
      <c r="CB23" s="67">
        <f t="shared" si="32"/>
        <v>37.5</v>
      </c>
      <c r="CC23" s="60">
        <v>12587.2</v>
      </c>
      <c r="CD23" s="67">
        <f t="shared" si="33"/>
        <v>10.400000000001455</v>
      </c>
      <c r="CE23" s="60">
        <v>6694.1</v>
      </c>
      <c r="CF23" s="67">
        <f t="shared" si="34"/>
        <v>9</v>
      </c>
      <c r="CG23" s="60">
        <v>61736.3</v>
      </c>
      <c r="CH23" s="67">
        <f t="shared" si="35"/>
        <v>45.900000000001455</v>
      </c>
      <c r="CI23" s="60">
        <v>963412</v>
      </c>
      <c r="CJ23" s="67">
        <f t="shared" si="36"/>
        <v>272</v>
      </c>
      <c r="CK23" s="60">
        <v>800.23</v>
      </c>
      <c r="CL23" s="64">
        <f t="shared" si="37"/>
        <v>570.00000000005002</v>
      </c>
      <c r="CM23" s="65">
        <f t="shared" si="41"/>
        <v>58</v>
      </c>
      <c r="CN23" s="62">
        <v>13</v>
      </c>
      <c r="CO23" s="62">
        <v>26</v>
      </c>
      <c r="CP23" s="68">
        <v>12078</v>
      </c>
      <c r="CQ23" s="67">
        <f t="shared" si="38"/>
        <v>42</v>
      </c>
      <c r="CR23" s="68">
        <v>15511</v>
      </c>
      <c r="CS23" s="67">
        <f t="shared" si="38"/>
        <v>16</v>
      </c>
      <c r="CT23" s="75">
        <v>7070</v>
      </c>
      <c r="CU23" s="67">
        <f t="shared" si="38"/>
        <v>10</v>
      </c>
      <c r="CV23" s="68">
        <v>17088</v>
      </c>
      <c r="CW23" s="67">
        <f t="shared" si="38"/>
        <v>17</v>
      </c>
    </row>
    <row r="24" spans="1:101" ht="25.5" customHeight="1" thickBot="1" x14ac:dyDescent="0.45">
      <c r="A24" s="63">
        <v>44429</v>
      </c>
      <c r="B24" s="44"/>
      <c r="C24" s="58">
        <v>2.4020999999999999</v>
      </c>
      <c r="D24" s="64">
        <f t="shared" si="0"/>
        <v>1700.0000000000348</v>
      </c>
      <c r="E24" s="58">
        <v>3.4039000000000001</v>
      </c>
      <c r="F24" s="64">
        <f t="shared" si="1"/>
        <v>3000.0000000001137</v>
      </c>
      <c r="G24" s="58">
        <v>3.4619</v>
      </c>
      <c r="H24" s="64">
        <f t="shared" si="2"/>
        <v>2699.9999999999245</v>
      </c>
      <c r="I24" s="58">
        <v>1.7059</v>
      </c>
      <c r="J24" s="64">
        <f t="shared" si="3"/>
        <v>1400.0000000000678</v>
      </c>
      <c r="K24" s="58">
        <v>2.7542</v>
      </c>
      <c r="L24" s="64">
        <f t="shared" si="4"/>
        <v>1999.9999999997797</v>
      </c>
      <c r="M24" s="58">
        <v>1.5061</v>
      </c>
      <c r="N24" s="64">
        <f t="shared" si="5"/>
        <v>799.99999999991189</v>
      </c>
      <c r="O24" s="58">
        <v>14663</v>
      </c>
      <c r="P24" s="67">
        <f t="shared" si="44"/>
        <v>13</v>
      </c>
      <c r="Q24" s="58">
        <v>1147</v>
      </c>
      <c r="R24" s="67">
        <f t="shared" si="6"/>
        <v>3</v>
      </c>
      <c r="S24" s="58">
        <v>1037.4000000000001</v>
      </c>
      <c r="T24" s="67">
        <f t="shared" si="7"/>
        <v>0.90000000000009095</v>
      </c>
      <c r="U24" s="58">
        <v>434459</v>
      </c>
      <c r="V24" s="67">
        <f t="shared" si="8"/>
        <v>350.09999999997672</v>
      </c>
      <c r="W24" s="58">
        <v>412.03</v>
      </c>
      <c r="X24" s="65">
        <f t="shared" si="9"/>
        <v>269.99999999998181</v>
      </c>
      <c r="Y24" s="58">
        <v>2.9780000000000002</v>
      </c>
      <c r="Z24" s="65">
        <f t="shared" si="10"/>
        <v>2700.0000000003688</v>
      </c>
      <c r="AA24" s="58">
        <v>410.87</v>
      </c>
      <c r="AB24" s="65">
        <f t="shared" si="11"/>
        <v>180.00000000000682</v>
      </c>
      <c r="AC24" s="58">
        <v>384.33</v>
      </c>
      <c r="AD24" s="65">
        <f t="shared" si="12"/>
        <v>310.00000000000227</v>
      </c>
      <c r="AE24" s="58">
        <v>579.99</v>
      </c>
      <c r="AF24" s="65">
        <f t="shared" si="13"/>
        <v>240.00000000000909</v>
      </c>
      <c r="AG24" s="58">
        <v>6335</v>
      </c>
      <c r="AH24" s="67">
        <f t="shared" si="14"/>
        <v>32</v>
      </c>
      <c r="AI24" s="58">
        <v>648.44000000000005</v>
      </c>
      <c r="AJ24" s="65">
        <f t="shared" si="15"/>
        <v>540.00000000007731</v>
      </c>
      <c r="AK24" s="58">
        <v>214.71</v>
      </c>
      <c r="AL24" s="65">
        <f t="shared" si="15"/>
        <v>189.99999999999773</v>
      </c>
      <c r="AM24" s="58">
        <v>203.6</v>
      </c>
      <c r="AN24" s="65">
        <f t="shared" si="15"/>
        <v>120.00000000000455</v>
      </c>
      <c r="AO24" s="58">
        <v>196.48</v>
      </c>
      <c r="AP24" s="65">
        <f t="shared" si="15"/>
        <v>129.99999999999545</v>
      </c>
      <c r="AQ24" s="58">
        <v>255.81</v>
      </c>
      <c r="AR24" s="65">
        <f t="shared" si="16"/>
        <v>120.00000000000455</v>
      </c>
      <c r="AS24" s="58">
        <v>382.02</v>
      </c>
      <c r="AT24" s="65">
        <f t="shared" si="17"/>
        <v>139.99999999998636</v>
      </c>
      <c r="AU24" s="58">
        <v>292.16000000000003</v>
      </c>
      <c r="AV24" s="65">
        <f t="shared" si="18"/>
        <v>90.000000000031832</v>
      </c>
      <c r="AW24" s="58">
        <v>324.54000000000002</v>
      </c>
      <c r="AX24" s="65">
        <f t="shared" si="19"/>
        <v>50.000000000011369</v>
      </c>
      <c r="AY24" s="58">
        <v>363.77</v>
      </c>
      <c r="AZ24" s="65">
        <f t="shared" si="20"/>
        <v>19.99999999998181</v>
      </c>
      <c r="BA24" s="58">
        <v>382.56</v>
      </c>
      <c r="BB24" s="65">
        <f t="shared" si="21"/>
        <v>9.9999999999909051</v>
      </c>
      <c r="BC24" s="58">
        <v>245.95</v>
      </c>
      <c r="BD24" s="65">
        <f t="shared" si="22"/>
        <v>19.99999999998181</v>
      </c>
      <c r="BE24" s="59">
        <v>41973</v>
      </c>
      <c r="BF24" s="67">
        <f t="shared" si="39"/>
        <v>45</v>
      </c>
      <c r="BG24" s="60">
        <v>236.23</v>
      </c>
      <c r="BH24" s="65">
        <f t="shared" si="23"/>
        <v>39.999999999992042</v>
      </c>
      <c r="BI24" s="60">
        <v>294.62</v>
      </c>
      <c r="BJ24" s="65">
        <f t="shared" si="40"/>
        <v>19.99999999998181</v>
      </c>
      <c r="BK24" s="60">
        <v>238.54</v>
      </c>
      <c r="BL24" s="65">
        <f t="shared" si="24"/>
        <v>30.000000000001137</v>
      </c>
      <c r="BM24" s="60">
        <v>225.92</v>
      </c>
      <c r="BN24" s="65">
        <f t="shared" si="25"/>
        <v>39.999999999992042</v>
      </c>
      <c r="BO24" s="60">
        <v>289.81</v>
      </c>
      <c r="BP24" s="65">
        <f t="shared" si="26"/>
        <v>50.000000000011369</v>
      </c>
      <c r="BQ24" s="60">
        <v>46721</v>
      </c>
      <c r="BR24" s="65">
        <f t="shared" si="27"/>
        <v>32</v>
      </c>
      <c r="BS24" s="60">
        <v>202.53</v>
      </c>
      <c r="BT24" s="65">
        <f t="shared" si="42"/>
        <v>39.999999999992042</v>
      </c>
      <c r="BU24" s="60">
        <v>42836</v>
      </c>
      <c r="BV24" s="65">
        <f t="shared" si="29"/>
        <v>40</v>
      </c>
      <c r="BW24" s="60">
        <v>233.14</v>
      </c>
      <c r="BX24" s="65">
        <f t="shared" si="30"/>
        <v>19.99999999998181</v>
      </c>
      <c r="BY24" s="60">
        <v>62535</v>
      </c>
      <c r="BZ24" s="67">
        <f t="shared" si="31"/>
        <v>24</v>
      </c>
      <c r="CA24" s="60">
        <v>33836.699999999997</v>
      </c>
      <c r="CB24" s="67">
        <f t="shared" si="32"/>
        <v>35.69999999999709</v>
      </c>
      <c r="CC24" s="60">
        <v>12594.7</v>
      </c>
      <c r="CD24" s="67">
        <f t="shared" si="33"/>
        <v>7.5</v>
      </c>
      <c r="CE24" s="60">
        <v>6694.7</v>
      </c>
      <c r="CF24" s="67">
        <f t="shared" si="34"/>
        <v>0.5999999999994543</v>
      </c>
      <c r="CG24" s="60">
        <v>61778.5</v>
      </c>
      <c r="CH24" s="67">
        <f t="shared" si="35"/>
        <v>42.19999999999709</v>
      </c>
      <c r="CI24" s="60">
        <v>963688</v>
      </c>
      <c r="CJ24" s="67">
        <f t="shared" si="36"/>
        <v>276</v>
      </c>
      <c r="CK24" s="60">
        <v>800.91</v>
      </c>
      <c r="CL24" s="64">
        <f t="shared" si="37"/>
        <v>679.99999999994998</v>
      </c>
      <c r="CM24" s="65">
        <f t="shared" si="41"/>
        <v>48</v>
      </c>
      <c r="CN24" s="62">
        <v>15</v>
      </c>
      <c r="CO24" s="62">
        <v>30</v>
      </c>
      <c r="CP24" s="68">
        <v>12112</v>
      </c>
      <c r="CQ24" s="67">
        <f t="shared" si="38"/>
        <v>34</v>
      </c>
      <c r="CR24" s="68">
        <v>15525</v>
      </c>
      <c r="CS24" s="67">
        <f t="shared" si="38"/>
        <v>14</v>
      </c>
      <c r="CT24" s="75">
        <v>7079</v>
      </c>
      <c r="CU24" s="67">
        <f t="shared" si="38"/>
        <v>9</v>
      </c>
      <c r="CV24" s="68">
        <v>17105</v>
      </c>
      <c r="CW24" s="67">
        <f t="shared" si="38"/>
        <v>17</v>
      </c>
    </row>
    <row r="25" spans="1:101" ht="25.5" customHeight="1" thickBot="1" x14ac:dyDescent="0.45">
      <c r="A25" s="63">
        <v>44430</v>
      </c>
      <c r="B25" s="44"/>
      <c r="C25" s="58">
        <v>2.4037000000000002</v>
      </c>
      <c r="D25" s="64">
        <f t="shared" si="0"/>
        <v>1600.0000000002678</v>
      </c>
      <c r="E25" s="58">
        <v>3.4064999999999999</v>
      </c>
      <c r="F25" s="64">
        <f t="shared" si="1"/>
        <v>2599.9999999997135</v>
      </c>
      <c r="G25" s="58">
        <v>3.4643000000000002</v>
      </c>
      <c r="H25" s="64">
        <f t="shared" si="2"/>
        <v>2400.0000000001796</v>
      </c>
      <c r="I25" s="58">
        <v>1.7072000000000001</v>
      </c>
      <c r="J25" s="64">
        <f t="shared" si="3"/>
        <v>1300.0000000000789</v>
      </c>
      <c r="K25" s="58">
        <v>2.7562000000000002</v>
      </c>
      <c r="L25" s="64">
        <f t="shared" si="4"/>
        <v>2000.0000000002237</v>
      </c>
      <c r="M25" s="58">
        <v>1.5069999999999999</v>
      </c>
      <c r="N25" s="64">
        <f t="shared" si="5"/>
        <v>899.99999999990087</v>
      </c>
      <c r="O25" s="58">
        <v>14669</v>
      </c>
      <c r="P25" s="67">
        <f t="shared" si="44"/>
        <v>6</v>
      </c>
      <c r="Q25" s="58">
        <v>1151</v>
      </c>
      <c r="R25" s="67">
        <f t="shared" si="6"/>
        <v>4</v>
      </c>
      <c r="S25" s="58">
        <v>1038</v>
      </c>
      <c r="T25" s="67">
        <f t="shared" si="7"/>
        <v>0.59999999999990905</v>
      </c>
      <c r="U25" s="58">
        <v>434724.2</v>
      </c>
      <c r="V25" s="67">
        <f t="shared" si="8"/>
        <v>265.20000000001164</v>
      </c>
      <c r="W25" s="58">
        <v>412.34</v>
      </c>
      <c r="X25" s="65">
        <f t="shared" si="9"/>
        <v>310.00000000000227</v>
      </c>
      <c r="Y25" s="58">
        <v>2.9802</v>
      </c>
      <c r="Z25" s="65">
        <f t="shared" si="10"/>
        <v>2199.9999999997576</v>
      </c>
      <c r="AA25" s="58">
        <v>411.17</v>
      </c>
      <c r="AB25" s="65">
        <f t="shared" si="11"/>
        <v>300.00000000001137</v>
      </c>
      <c r="AC25" s="58">
        <v>384.6</v>
      </c>
      <c r="AD25" s="65">
        <f t="shared" si="12"/>
        <v>270.00000000003865</v>
      </c>
      <c r="AE25" s="58">
        <v>580.22</v>
      </c>
      <c r="AF25" s="65">
        <f t="shared" si="13"/>
        <v>230.00000000001819</v>
      </c>
      <c r="AG25" s="58">
        <v>6362</v>
      </c>
      <c r="AH25" s="67">
        <f t="shared" si="14"/>
        <v>27</v>
      </c>
      <c r="AI25" s="58">
        <v>648.95000000000005</v>
      </c>
      <c r="AJ25" s="65">
        <f t="shared" si="15"/>
        <v>509.99999999999091</v>
      </c>
      <c r="AK25" s="58">
        <v>214.91</v>
      </c>
      <c r="AL25" s="65">
        <f t="shared" si="15"/>
        <v>199.99999999998863</v>
      </c>
      <c r="AM25" s="58">
        <v>203.75</v>
      </c>
      <c r="AN25" s="65">
        <f t="shared" si="15"/>
        <v>150.00000000000568</v>
      </c>
      <c r="AO25" s="58">
        <v>196.61</v>
      </c>
      <c r="AP25" s="65">
        <f t="shared" si="15"/>
        <v>130.00000000002387</v>
      </c>
      <c r="AQ25" s="58">
        <v>255.9</v>
      </c>
      <c r="AR25" s="65">
        <f t="shared" si="16"/>
        <v>90.000000000003411</v>
      </c>
      <c r="AS25" s="58">
        <v>382.17</v>
      </c>
      <c r="AT25" s="65">
        <f t="shared" si="17"/>
        <v>150.00000000003411</v>
      </c>
      <c r="AU25" s="58">
        <v>292.22000000000003</v>
      </c>
      <c r="AV25" s="65">
        <f t="shared" si="18"/>
        <v>60.000000000002274</v>
      </c>
      <c r="AW25" s="58">
        <v>324.58</v>
      </c>
      <c r="AX25" s="65">
        <f t="shared" si="19"/>
        <v>39.99999999996362</v>
      </c>
      <c r="AY25" s="58">
        <v>363.79</v>
      </c>
      <c r="AZ25" s="65">
        <f t="shared" si="20"/>
        <v>20.000000000038654</v>
      </c>
      <c r="BA25" s="58">
        <v>382.59</v>
      </c>
      <c r="BB25" s="65">
        <f t="shared" si="21"/>
        <v>29.999999999972715</v>
      </c>
      <c r="BC25" s="58">
        <v>245.97</v>
      </c>
      <c r="BD25" s="65">
        <f t="shared" si="22"/>
        <v>20.000000000010232</v>
      </c>
      <c r="BE25" s="59">
        <v>42012</v>
      </c>
      <c r="BF25" s="67">
        <f t="shared" si="39"/>
        <v>39</v>
      </c>
      <c r="BG25" s="60">
        <v>236.27</v>
      </c>
      <c r="BH25" s="65">
        <f t="shared" si="23"/>
        <v>40.000000000020464</v>
      </c>
      <c r="BI25" s="60">
        <v>294.64999999999998</v>
      </c>
      <c r="BJ25" s="65">
        <f t="shared" si="40"/>
        <v>29.999999999972715</v>
      </c>
      <c r="BK25" s="60">
        <v>238.59</v>
      </c>
      <c r="BL25" s="65">
        <f t="shared" si="24"/>
        <v>50.000000000011369</v>
      </c>
      <c r="BM25" s="60">
        <v>225.96</v>
      </c>
      <c r="BN25" s="65">
        <f t="shared" si="25"/>
        <v>40.000000000020464</v>
      </c>
      <c r="BO25" s="60">
        <v>289.86</v>
      </c>
      <c r="BP25" s="65">
        <f t="shared" si="26"/>
        <v>50.000000000011369</v>
      </c>
      <c r="BQ25" s="60">
        <v>46751</v>
      </c>
      <c r="BR25" s="65">
        <f t="shared" si="27"/>
        <v>30</v>
      </c>
      <c r="BS25" s="60">
        <v>202.57</v>
      </c>
      <c r="BT25" s="65">
        <f t="shared" si="42"/>
        <v>39.999999999992042</v>
      </c>
      <c r="BU25" s="60">
        <v>42875</v>
      </c>
      <c r="BV25" s="65">
        <f t="shared" si="29"/>
        <v>39</v>
      </c>
      <c r="BW25" s="60">
        <v>233.17</v>
      </c>
      <c r="BX25" s="65">
        <f t="shared" si="30"/>
        <v>30.000000000001137</v>
      </c>
      <c r="BY25" s="60">
        <v>62561</v>
      </c>
      <c r="BZ25" s="67">
        <f t="shared" si="31"/>
        <v>26</v>
      </c>
      <c r="CA25" s="60">
        <v>33880.400000000001</v>
      </c>
      <c r="CB25" s="67">
        <f t="shared" si="32"/>
        <v>43.700000000004366</v>
      </c>
      <c r="CC25" s="60">
        <v>12599.7</v>
      </c>
      <c r="CD25" s="67">
        <f t="shared" si="33"/>
        <v>5</v>
      </c>
      <c r="CE25" s="60">
        <v>6700.2</v>
      </c>
      <c r="CF25" s="67">
        <f t="shared" si="34"/>
        <v>5.5</v>
      </c>
      <c r="CG25" s="60">
        <v>61831.8</v>
      </c>
      <c r="CH25" s="67">
        <f t="shared" si="35"/>
        <v>53.30000000000291</v>
      </c>
      <c r="CI25" s="60">
        <v>963955</v>
      </c>
      <c r="CJ25" s="67">
        <f t="shared" si="36"/>
        <v>267</v>
      </c>
      <c r="CK25" s="60">
        <v>801.48</v>
      </c>
      <c r="CL25" s="64">
        <f t="shared" si="37"/>
        <v>570.00000000005002</v>
      </c>
      <c r="CM25" s="65">
        <f t="shared" si="41"/>
        <v>54</v>
      </c>
      <c r="CN25" s="62">
        <v>15</v>
      </c>
      <c r="CO25" s="62">
        <v>30</v>
      </c>
      <c r="CP25" s="68">
        <v>12149</v>
      </c>
      <c r="CQ25" s="67">
        <f t="shared" si="38"/>
        <v>37</v>
      </c>
      <c r="CR25" s="68">
        <v>15542</v>
      </c>
      <c r="CS25" s="67">
        <f t="shared" si="38"/>
        <v>17</v>
      </c>
      <c r="CT25" s="75">
        <v>7089</v>
      </c>
      <c r="CU25" s="67">
        <f t="shared" si="38"/>
        <v>10</v>
      </c>
      <c r="CV25" s="68">
        <v>17122</v>
      </c>
      <c r="CW25" s="67">
        <f t="shared" si="38"/>
        <v>17</v>
      </c>
    </row>
    <row r="26" spans="1:101" ht="25.5" customHeight="1" thickBot="1" x14ac:dyDescent="0.45">
      <c r="A26" s="63">
        <v>44431</v>
      </c>
      <c r="B26" s="44"/>
      <c r="C26" s="58">
        <v>2.4054000000000002</v>
      </c>
      <c r="D26" s="64">
        <f t="shared" si="0"/>
        <v>1700.0000000000348</v>
      </c>
      <c r="E26" s="58">
        <v>3.4089999999999998</v>
      </c>
      <c r="F26" s="64">
        <f t="shared" si="1"/>
        <v>2499.9999999999468</v>
      </c>
      <c r="G26" s="58">
        <v>3.4666999999999999</v>
      </c>
      <c r="H26" s="64">
        <f t="shared" si="2"/>
        <v>2399.9999999997358</v>
      </c>
      <c r="I26" s="58">
        <v>1.7084999999999999</v>
      </c>
      <c r="J26" s="64">
        <f t="shared" si="3"/>
        <v>1299.9999999998568</v>
      </c>
      <c r="K26" s="58">
        <v>2.758</v>
      </c>
      <c r="L26" s="64">
        <f t="shared" si="4"/>
        <v>1799.9999999998017</v>
      </c>
      <c r="M26" s="58">
        <v>1.508</v>
      </c>
      <c r="N26" s="64">
        <f t="shared" si="5"/>
        <v>1000.0000000001119</v>
      </c>
      <c r="O26" s="58">
        <v>14676</v>
      </c>
      <c r="P26" s="67">
        <f t="shared" si="44"/>
        <v>7</v>
      </c>
      <c r="Q26" s="58">
        <v>1153</v>
      </c>
      <c r="R26" s="67">
        <f t="shared" si="6"/>
        <v>2</v>
      </c>
      <c r="S26" s="58">
        <v>1038.7</v>
      </c>
      <c r="T26" s="67">
        <f t="shared" si="7"/>
        <v>0.70000000000004547</v>
      </c>
      <c r="U26" s="58">
        <v>435024.7</v>
      </c>
      <c r="V26" s="67">
        <f t="shared" si="8"/>
        <v>300.5</v>
      </c>
      <c r="W26" s="58">
        <v>412.6</v>
      </c>
      <c r="X26" s="65">
        <f t="shared" si="9"/>
        <v>260.00000000004775</v>
      </c>
      <c r="Y26" s="58">
        <v>2.9823</v>
      </c>
      <c r="Z26" s="65">
        <f t="shared" si="10"/>
        <v>2099.9999999999909</v>
      </c>
      <c r="AA26" s="58">
        <v>411.46</v>
      </c>
      <c r="AB26" s="65">
        <f t="shared" si="11"/>
        <v>289.99999999996362</v>
      </c>
      <c r="AC26" s="58">
        <v>384.86</v>
      </c>
      <c r="AD26" s="65">
        <f t="shared" si="12"/>
        <v>259.99999999999091</v>
      </c>
      <c r="AE26" s="58">
        <v>580.51</v>
      </c>
      <c r="AF26" s="65">
        <f t="shared" si="13"/>
        <v>289.99999999996362</v>
      </c>
      <c r="AG26" s="58">
        <v>6390</v>
      </c>
      <c r="AH26" s="67">
        <f t="shared" si="14"/>
        <v>28</v>
      </c>
      <c r="AI26" s="58">
        <v>649.46</v>
      </c>
      <c r="AJ26" s="65">
        <f t="shared" si="15"/>
        <v>509.99999999999091</v>
      </c>
      <c r="AK26" s="58">
        <v>215.07</v>
      </c>
      <c r="AL26" s="65">
        <f t="shared" si="15"/>
        <v>159.99999999999659</v>
      </c>
      <c r="AM26" s="58">
        <v>203.9</v>
      </c>
      <c r="AN26" s="65">
        <f t="shared" si="15"/>
        <v>150.00000000000568</v>
      </c>
      <c r="AO26" s="58">
        <v>196.73</v>
      </c>
      <c r="AP26" s="65">
        <f t="shared" si="15"/>
        <v>119.99999999997613</v>
      </c>
      <c r="AQ26" s="58">
        <v>256.01</v>
      </c>
      <c r="AR26" s="65">
        <f t="shared" si="16"/>
        <v>109.99999999998522</v>
      </c>
      <c r="AS26" s="58">
        <v>382.33</v>
      </c>
      <c r="AT26" s="65">
        <f t="shared" si="17"/>
        <v>159.99999999996817</v>
      </c>
      <c r="AU26" s="58">
        <v>292.31</v>
      </c>
      <c r="AV26" s="65">
        <f t="shared" si="18"/>
        <v>89.999999999974989</v>
      </c>
      <c r="AW26" s="58">
        <v>324.63</v>
      </c>
      <c r="AX26" s="65">
        <f t="shared" si="19"/>
        <v>50.000000000011369</v>
      </c>
      <c r="AY26" s="58">
        <v>363.83</v>
      </c>
      <c r="AZ26" s="65">
        <f t="shared" si="20"/>
        <v>39.99999999996362</v>
      </c>
      <c r="BA26" s="58">
        <v>382.61</v>
      </c>
      <c r="BB26" s="65">
        <f t="shared" si="21"/>
        <v>20.000000000038654</v>
      </c>
      <c r="BC26" s="58">
        <v>246</v>
      </c>
      <c r="BD26" s="65">
        <f t="shared" si="22"/>
        <v>30.000000000001137</v>
      </c>
      <c r="BE26" s="59">
        <v>42052</v>
      </c>
      <c r="BF26" s="67">
        <f t="shared" si="39"/>
        <v>40</v>
      </c>
      <c r="BG26" s="60">
        <v>236.32</v>
      </c>
      <c r="BH26" s="65">
        <f t="shared" si="23"/>
        <v>49.999999999982947</v>
      </c>
      <c r="BI26" s="60">
        <v>294.68</v>
      </c>
      <c r="BJ26" s="65">
        <f t="shared" si="40"/>
        <v>30.000000000029559</v>
      </c>
      <c r="BK26" s="60">
        <v>238.62</v>
      </c>
      <c r="BL26" s="65">
        <f t="shared" si="24"/>
        <v>30.000000000001137</v>
      </c>
      <c r="BM26" s="60">
        <v>226</v>
      </c>
      <c r="BN26" s="65">
        <f t="shared" si="25"/>
        <v>39.999999999992042</v>
      </c>
      <c r="BO26" s="60">
        <v>289.91000000000003</v>
      </c>
      <c r="BP26" s="65">
        <f t="shared" si="26"/>
        <v>50.000000000011369</v>
      </c>
      <c r="BQ26" s="60">
        <v>46779</v>
      </c>
      <c r="BR26" s="65">
        <f t="shared" si="27"/>
        <v>28</v>
      </c>
      <c r="BS26" s="60">
        <v>202.6</v>
      </c>
      <c r="BT26" s="65">
        <f t="shared" si="42"/>
        <v>30.000000000001137</v>
      </c>
      <c r="BU26" s="60">
        <v>42915</v>
      </c>
      <c r="BV26" s="65">
        <f t="shared" si="29"/>
        <v>40</v>
      </c>
      <c r="BW26" s="60">
        <v>233.2</v>
      </c>
      <c r="BX26" s="65">
        <f t="shared" si="30"/>
        <v>30.000000000001137</v>
      </c>
      <c r="BY26" s="60">
        <v>62588</v>
      </c>
      <c r="BZ26" s="67">
        <f t="shared" si="31"/>
        <v>27</v>
      </c>
      <c r="CA26" s="60">
        <v>33919.4</v>
      </c>
      <c r="CB26" s="67">
        <f t="shared" si="32"/>
        <v>39</v>
      </c>
      <c r="CC26" s="60">
        <v>12604.7</v>
      </c>
      <c r="CD26" s="67">
        <f t="shared" si="33"/>
        <v>5</v>
      </c>
      <c r="CE26" s="60">
        <v>6702.9</v>
      </c>
      <c r="CF26" s="67">
        <f t="shared" si="34"/>
        <v>2.6999999999998181</v>
      </c>
      <c r="CG26" s="60">
        <v>61879.6</v>
      </c>
      <c r="CH26" s="67">
        <f t="shared" si="35"/>
        <v>47.799999999995634</v>
      </c>
      <c r="CI26" s="60">
        <v>964245</v>
      </c>
      <c r="CJ26" s="67">
        <f t="shared" si="36"/>
        <v>290</v>
      </c>
      <c r="CK26" s="60">
        <v>802.09</v>
      </c>
      <c r="CL26" s="64">
        <f t="shared" si="37"/>
        <v>610.00000000001364</v>
      </c>
      <c r="CM26" s="65">
        <f t="shared" si="41"/>
        <v>58</v>
      </c>
      <c r="CN26" s="62">
        <v>0</v>
      </c>
      <c r="CO26" s="62">
        <v>0</v>
      </c>
      <c r="CP26" s="68">
        <v>12188</v>
      </c>
      <c r="CQ26" s="67">
        <f t="shared" si="38"/>
        <v>39</v>
      </c>
      <c r="CR26" s="68">
        <v>15561</v>
      </c>
      <c r="CS26" s="67">
        <f t="shared" si="38"/>
        <v>19</v>
      </c>
      <c r="CT26" s="75">
        <v>7099</v>
      </c>
      <c r="CU26" s="67">
        <f t="shared" si="38"/>
        <v>10</v>
      </c>
      <c r="CV26" s="68">
        <v>17144</v>
      </c>
      <c r="CW26" s="67">
        <f t="shared" si="38"/>
        <v>22</v>
      </c>
    </row>
    <row r="27" spans="1:101" ht="25.5" customHeight="1" thickBot="1" x14ac:dyDescent="0.45">
      <c r="A27" s="63">
        <v>44432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2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D32" sqref="D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13</v>
      </c>
      <c r="D27" s="40">
        <v>26</v>
      </c>
      <c r="E27" s="41">
        <v>19</v>
      </c>
      <c r="F27" s="41">
        <v>5648</v>
      </c>
      <c r="G27" s="41">
        <v>0</v>
      </c>
      <c r="H27" s="41">
        <v>1671</v>
      </c>
      <c r="I27" s="41">
        <v>0</v>
      </c>
      <c r="J27" s="41">
        <v>407</v>
      </c>
      <c r="K27" s="42">
        <v>85</v>
      </c>
      <c r="L27" s="42">
        <v>13</v>
      </c>
      <c r="M27" s="42">
        <v>1399</v>
      </c>
      <c r="N27" s="39">
        <v>0</v>
      </c>
      <c r="O27" s="39">
        <v>0</v>
      </c>
      <c r="P27" s="39">
        <v>18</v>
      </c>
      <c r="Q27" s="39">
        <v>4079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15</v>
      </c>
      <c r="D28" s="40">
        <v>30</v>
      </c>
      <c r="E28" s="41">
        <v>85</v>
      </c>
      <c r="F28" s="41">
        <v>5646</v>
      </c>
      <c r="G28" s="41">
        <v>80</v>
      </c>
      <c r="H28" s="41">
        <v>1674</v>
      </c>
      <c r="I28" s="41">
        <v>85</v>
      </c>
      <c r="J28" s="41">
        <v>408</v>
      </c>
      <c r="K28" s="42">
        <v>85</v>
      </c>
      <c r="L28" s="42">
        <v>85</v>
      </c>
      <c r="M28" s="42">
        <v>1399</v>
      </c>
      <c r="N28" s="39">
        <v>85</v>
      </c>
      <c r="O28" s="39">
        <v>85</v>
      </c>
      <c r="P28" s="39">
        <v>85</v>
      </c>
      <c r="Q28" s="39">
        <v>4084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15</v>
      </c>
      <c r="D29" s="40">
        <v>30</v>
      </c>
      <c r="E29" s="41">
        <v>85</v>
      </c>
      <c r="F29" s="41">
        <v>5659</v>
      </c>
      <c r="G29" s="41">
        <v>65</v>
      </c>
      <c r="H29" s="41">
        <v>1675</v>
      </c>
      <c r="I29" s="41">
        <v>85</v>
      </c>
      <c r="J29" s="41">
        <v>409</v>
      </c>
      <c r="K29" s="42">
        <v>85</v>
      </c>
      <c r="L29" s="42">
        <v>85</v>
      </c>
      <c r="M29" s="42">
        <v>1401</v>
      </c>
      <c r="N29" s="39">
        <v>85</v>
      </c>
      <c r="O29" s="39">
        <v>80</v>
      </c>
      <c r="P29" s="39">
        <v>85</v>
      </c>
      <c r="Q29" s="39">
        <v>4087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15</v>
      </c>
      <c r="D30" s="40">
        <v>30</v>
      </c>
      <c r="E30" s="41">
        <v>85</v>
      </c>
      <c r="F30" s="41">
        <v>5664</v>
      </c>
      <c r="G30" s="41">
        <v>55</v>
      </c>
      <c r="H30" s="41">
        <v>1678</v>
      </c>
      <c r="I30" s="41">
        <v>85</v>
      </c>
      <c r="J30" s="41">
        <v>411</v>
      </c>
      <c r="K30" s="42">
        <v>85</v>
      </c>
      <c r="L30" s="42">
        <v>85</v>
      </c>
      <c r="M30" s="42">
        <v>1402</v>
      </c>
      <c r="N30" s="39">
        <v>85</v>
      </c>
      <c r="O30" s="39">
        <v>75</v>
      </c>
      <c r="P30" s="39">
        <v>85</v>
      </c>
      <c r="Q30" s="39">
        <v>4092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-217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2021-08-24T19:42:17Z</dcterms:modified>
</cp:coreProperties>
</file>