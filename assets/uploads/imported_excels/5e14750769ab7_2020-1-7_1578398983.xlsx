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2" i="6" l="1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5" i="4"/>
  <c r="E15" i="4"/>
  <c r="C15" i="4"/>
  <c r="G18" i="6" l="1"/>
  <c r="E18" i="6"/>
  <c r="C18" i="6"/>
  <c r="G13" i="4"/>
  <c r="E13" i="4"/>
  <c r="C13" i="4"/>
  <c r="U17" i="1" l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G17" i="6"/>
  <c r="K11" i="1" s="1"/>
  <c r="E17" i="6"/>
  <c r="C17" i="6"/>
  <c r="G12" i="4"/>
  <c r="E12" i="4"/>
  <c r="C12" i="4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I17" i="6"/>
  <c r="L11" i="1" s="1"/>
  <c r="I16" i="6"/>
  <c r="L10" i="1" s="1"/>
  <c r="G16" i="6"/>
  <c r="K10" i="1" s="1"/>
  <c r="E16" i="6"/>
  <c r="J10" i="1" s="1"/>
  <c r="C16" i="6"/>
  <c r="C48" i="6" s="1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/>
  <c r="A13" i="6" s="1"/>
  <c r="A14" i="6" s="1"/>
  <c r="A15" i="6" s="1"/>
  <c r="A16" i="6" s="1"/>
  <c r="C41" i="4"/>
  <c r="E41" i="4"/>
  <c r="G41" i="4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K7" i="4"/>
  <c r="J7" i="4"/>
  <c r="M6" i="4"/>
  <c r="J6" i="4"/>
  <c r="K6" i="4" s="1"/>
  <c r="M5" i="4"/>
  <c r="J5" i="4"/>
  <c r="K5" i="4" s="1"/>
  <c r="M4" i="4"/>
  <c r="J4" i="4"/>
  <c r="K4" i="4" s="1"/>
  <c r="D10" i="1" l="1"/>
  <c r="D41" i="1" s="1"/>
  <c r="E48" i="6"/>
  <c r="G48" i="6"/>
  <c r="I47" i="6"/>
  <c r="G47" i="6"/>
  <c r="E47" i="6"/>
  <c r="C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K37" i="4"/>
  <c r="J37" i="4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8" i="4"/>
  <c r="K18" i="4"/>
  <c r="J18" i="4"/>
  <c r="M17" i="4"/>
  <c r="J17" i="4"/>
  <c r="K17" i="4" s="1"/>
  <c r="M16" i="4"/>
  <c r="J16" i="4"/>
  <c r="K16" i="4" s="1"/>
  <c r="M15" i="4"/>
  <c r="J15" i="4"/>
  <c r="K15" i="4" s="1"/>
  <c r="M14" i="4"/>
  <c r="K14" i="4"/>
  <c r="J14" i="4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J41" i="1"/>
  <c r="K21" i="10"/>
  <c r="F27" i="1"/>
  <c r="K6" i="10"/>
  <c r="Y35" i="1"/>
  <c r="Z35" i="1" s="1"/>
  <c r="Y36" i="1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30" i="10"/>
  <c r="M31" i="10"/>
  <c r="Y28" i="1"/>
  <c r="Z28" i="1" s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18" i="10"/>
  <c r="K30" i="10"/>
  <c r="F38" i="1"/>
  <c r="E14" i="4" l="1"/>
  <c r="G14" i="4"/>
  <c r="C14" i="4"/>
  <c r="I11" i="10"/>
  <c r="G38" i="4"/>
  <c r="C38" i="4"/>
  <c r="E38" i="4"/>
  <c r="G34" i="4"/>
  <c r="C34" i="4"/>
  <c r="E34" i="4"/>
  <c r="G30" i="4"/>
  <c r="C30" i="4"/>
  <c r="E30" i="4"/>
  <c r="G26" i="4"/>
  <c r="C26" i="4"/>
  <c r="E26" i="4"/>
  <c r="G22" i="4"/>
  <c r="C22" i="4"/>
  <c r="E22" i="4"/>
  <c r="G18" i="4"/>
  <c r="C18" i="4"/>
  <c r="E18" i="4"/>
  <c r="C39" i="4"/>
  <c r="E39" i="4"/>
  <c r="G39" i="4"/>
  <c r="C35" i="4"/>
  <c r="E35" i="4"/>
  <c r="G35" i="4"/>
  <c r="C31" i="4"/>
  <c r="E31" i="4"/>
  <c r="G31" i="4"/>
  <c r="C27" i="4"/>
  <c r="E27" i="4"/>
  <c r="G27" i="4"/>
  <c r="C23" i="4"/>
  <c r="E23" i="4"/>
  <c r="G23" i="4"/>
  <c r="C19" i="4"/>
  <c r="E19" i="4"/>
  <c r="G19" i="4"/>
  <c r="C40" i="4"/>
  <c r="E40" i="4"/>
  <c r="G40" i="4"/>
  <c r="C36" i="4"/>
  <c r="E36" i="4"/>
  <c r="G36" i="4"/>
  <c r="C32" i="4"/>
  <c r="E32" i="4"/>
  <c r="G32" i="4"/>
  <c r="C28" i="4"/>
  <c r="E28" i="4"/>
  <c r="G28" i="4"/>
  <c r="C24" i="4"/>
  <c r="E24" i="4"/>
  <c r="G24" i="4"/>
  <c r="C20" i="4"/>
  <c r="E20" i="4"/>
  <c r="G20" i="4"/>
  <c r="E37" i="4"/>
  <c r="G37" i="4"/>
  <c r="C37" i="4"/>
  <c r="E33" i="4"/>
  <c r="G33" i="4"/>
  <c r="C33" i="4"/>
  <c r="E29" i="4"/>
  <c r="G29" i="4"/>
  <c r="C29" i="4"/>
  <c r="E25" i="4"/>
  <c r="G25" i="4"/>
  <c r="C25" i="4"/>
  <c r="E21" i="4"/>
  <c r="G21" i="4"/>
  <c r="C21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I22" i="10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P34" i="4" s="1"/>
  <c r="I26" i="4"/>
  <c r="L26" i="4"/>
  <c r="N26" i="4" s="1"/>
  <c r="O26" i="4" s="1"/>
  <c r="P26" i="4" s="1"/>
  <c r="I18" i="4"/>
  <c r="L18" i="4"/>
  <c r="N18" i="4" s="1"/>
  <c r="O18" i="4" s="1"/>
  <c r="P18" i="4" s="1"/>
  <c r="L39" i="4"/>
  <c r="N39" i="4" s="1"/>
  <c r="O39" i="4" s="1"/>
  <c r="P39" i="4" s="1"/>
  <c r="I39" i="4"/>
  <c r="I31" i="4"/>
  <c r="L31" i="4"/>
  <c r="N31" i="4" s="1"/>
  <c r="O31" i="4" s="1"/>
  <c r="P31" i="4" s="1"/>
  <c r="I23" i="4"/>
  <c r="L23" i="4"/>
  <c r="N23" i="4" s="1"/>
  <c r="O23" i="4" s="1"/>
  <c r="P23" i="4" s="1"/>
  <c r="I15" i="4"/>
  <c r="L15" i="4"/>
  <c r="N15" i="4" s="1"/>
  <c r="O15" i="4" s="1"/>
  <c r="I40" i="4"/>
  <c r="L40" i="4"/>
  <c r="N40" i="4" s="1"/>
  <c r="O40" i="4" s="1"/>
  <c r="P40" i="4" s="1"/>
  <c r="I36" i="4"/>
  <c r="L36" i="4"/>
  <c r="N36" i="4" s="1"/>
  <c r="O36" i="4" s="1"/>
  <c r="P36" i="4" s="1"/>
  <c r="I32" i="4"/>
  <c r="L32" i="4"/>
  <c r="N32" i="4" s="1"/>
  <c r="O32" i="4" s="1"/>
  <c r="P32" i="4" s="1"/>
  <c r="L28" i="4"/>
  <c r="N28" i="4" s="1"/>
  <c r="O28" i="4" s="1"/>
  <c r="P28" i="4" s="1"/>
  <c r="I28" i="4"/>
  <c r="L24" i="4"/>
  <c r="N24" i="4" s="1"/>
  <c r="O24" i="4" s="1"/>
  <c r="P24" i="4" s="1"/>
  <c r="I24" i="4"/>
  <c r="L20" i="4"/>
  <c r="N20" i="4" s="1"/>
  <c r="O20" i="4" s="1"/>
  <c r="P20" i="4" s="1"/>
  <c r="I20" i="4"/>
  <c r="L16" i="4"/>
  <c r="N16" i="4" s="1"/>
  <c r="O16" i="4" s="1"/>
  <c r="I16" i="4"/>
  <c r="L38" i="4"/>
  <c r="N38" i="4" s="1"/>
  <c r="O38" i="4" s="1"/>
  <c r="P38" i="4" s="1"/>
  <c r="I38" i="4"/>
  <c r="I30" i="4"/>
  <c r="L30" i="4"/>
  <c r="N30" i="4" s="1"/>
  <c r="O30" i="4" s="1"/>
  <c r="P30" i="4" s="1"/>
  <c r="I22" i="4"/>
  <c r="L22" i="4"/>
  <c r="N22" i="4" s="1"/>
  <c r="O22" i="4" s="1"/>
  <c r="P22" i="4" s="1"/>
  <c r="I14" i="4"/>
  <c r="L14" i="4"/>
  <c r="N14" i="4" s="1"/>
  <c r="O14" i="4" s="1"/>
  <c r="L35" i="4"/>
  <c r="N35" i="4" s="1"/>
  <c r="O35" i="4" s="1"/>
  <c r="P35" i="4" s="1"/>
  <c r="I35" i="4"/>
  <c r="L27" i="4"/>
  <c r="N27" i="4" s="1"/>
  <c r="O27" i="4" s="1"/>
  <c r="P27" i="4" s="1"/>
  <c r="I27" i="4"/>
  <c r="L19" i="4"/>
  <c r="N19" i="4" s="1"/>
  <c r="O19" i="4" s="1"/>
  <c r="P19" i="4" s="1"/>
  <c r="I19" i="4"/>
  <c r="AC43" i="4"/>
  <c r="K48" i="4" s="1"/>
  <c r="L48" i="4" s="1"/>
  <c r="M48" i="4" s="1"/>
  <c r="I41" i="4"/>
  <c r="L41" i="4"/>
  <c r="N41" i="4" s="1"/>
  <c r="O41" i="4" s="1"/>
  <c r="P41" i="4" s="1"/>
  <c r="I37" i="4"/>
  <c r="L37" i="4"/>
  <c r="N37" i="4" s="1"/>
  <c r="O37" i="4" s="1"/>
  <c r="P37" i="4" s="1"/>
  <c r="I33" i="4"/>
  <c r="L33" i="4"/>
  <c r="N33" i="4" s="1"/>
  <c r="O33" i="4" s="1"/>
  <c r="P33" i="4" s="1"/>
  <c r="I29" i="4"/>
  <c r="L29" i="4"/>
  <c r="N29" i="4" s="1"/>
  <c r="O29" i="4" s="1"/>
  <c r="P29" i="4" s="1"/>
  <c r="I25" i="4"/>
  <c r="L25" i="4"/>
  <c r="N25" i="4" s="1"/>
  <c r="O25" i="4" s="1"/>
  <c r="P25" i="4" s="1"/>
  <c r="I21" i="4"/>
  <c r="L21" i="4"/>
  <c r="N21" i="4" s="1"/>
  <c r="O21" i="4" s="1"/>
  <c r="P21" i="4" s="1"/>
  <c r="I17" i="4"/>
  <c r="L17" i="4"/>
  <c r="N17" i="4" s="1"/>
  <c r="O17" i="4" s="1"/>
  <c r="I13" i="4"/>
  <c r="L13" i="4"/>
  <c r="N13" i="4" s="1"/>
  <c r="O13" i="4" s="1"/>
  <c r="I20" i="10"/>
  <c r="I32" i="10"/>
  <c r="Z40" i="1"/>
  <c r="M39" i="1"/>
  <c r="E31" i="10" s="1"/>
  <c r="I31" i="10"/>
  <c r="Z39" i="1"/>
  <c r="M37" i="1"/>
  <c r="O37" i="1" s="1"/>
  <c r="M38" i="1"/>
  <c r="E30" i="10" s="1"/>
  <c r="W38" i="1"/>
  <c r="I28" i="10"/>
  <c r="Z36" i="1"/>
  <c r="I29" i="10"/>
  <c r="Z37" i="1"/>
  <c r="M34" i="1"/>
  <c r="E26" i="10" s="1"/>
  <c r="M35" i="1"/>
  <c r="O35" i="1" s="1"/>
  <c r="I26" i="10"/>
  <c r="I25" i="10"/>
  <c r="Z33" i="1"/>
  <c r="M31" i="1"/>
  <c r="E23" i="10" s="1"/>
  <c r="M32" i="1"/>
  <c r="E24" i="10" s="1"/>
  <c r="I23" i="10"/>
  <c r="I21" i="10"/>
  <c r="I19" i="10"/>
  <c r="M27" i="1"/>
  <c r="E19" i="10" s="1"/>
  <c r="I18" i="10"/>
  <c r="I17" i="10"/>
  <c r="Z25" i="1"/>
  <c r="M22" i="1"/>
  <c r="E14" i="10" s="1"/>
  <c r="M17" i="1"/>
  <c r="E9" i="10" s="1"/>
  <c r="M15" i="1"/>
  <c r="O15" i="1" s="1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M10" i="1"/>
  <c r="E2" i="10" s="1"/>
  <c r="O13" i="1"/>
  <c r="F12" i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P17" i="4" l="1"/>
  <c r="U16" i="1"/>
  <c r="P16" i="4"/>
  <c r="U15" i="1"/>
  <c r="P15" i="4"/>
  <c r="U14" i="1"/>
  <c r="W14" i="1" s="1"/>
  <c r="P14" i="4"/>
  <c r="U13" i="1"/>
  <c r="W13" i="1" s="1"/>
  <c r="P13" i="4"/>
  <c r="U12" i="1"/>
  <c r="P12" i="4"/>
  <c r="U11" i="1"/>
  <c r="W24" i="1"/>
  <c r="O38" i="1"/>
  <c r="O22" i="1"/>
  <c r="G43" i="4"/>
  <c r="C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W20" i="1"/>
  <c r="W21" i="1"/>
  <c r="W15" i="1"/>
  <c r="W22" i="1"/>
  <c r="W18" i="1"/>
  <c r="W16" i="1"/>
  <c r="W17" i="1"/>
  <c r="W19" i="1"/>
  <c r="W12" i="1"/>
  <c r="O39" i="1"/>
  <c r="O40" i="1"/>
  <c r="W40" i="1"/>
  <c r="W39" i="1"/>
  <c r="W36" i="1"/>
  <c r="W37" i="1"/>
  <c r="O34" i="1"/>
  <c r="W35" i="1"/>
  <c r="E25" i="10"/>
  <c r="W34" i="1"/>
  <c r="W33" i="1"/>
  <c r="W30" i="1"/>
  <c r="W31" i="1"/>
  <c r="W32" i="1"/>
  <c r="W29" i="1"/>
  <c r="W28" i="1"/>
  <c r="W27" i="1"/>
  <c r="W25" i="1"/>
  <c r="W23" i="1"/>
  <c r="E18" i="10"/>
  <c r="O32" i="1"/>
  <c r="O29" i="1"/>
  <c r="O23" i="1"/>
  <c r="O10" i="1"/>
  <c r="F41" i="1"/>
  <c r="O36" i="1"/>
  <c r="E27" i="10"/>
  <c r="Z41" i="1"/>
  <c r="M41" i="1"/>
  <c r="G30" i="10"/>
  <c r="G13" i="10"/>
  <c r="O13" i="10" s="1"/>
  <c r="O30" i="1"/>
  <c r="E22" i="10"/>
  <c r="G5" i="10" l="1"/>
  <c r="O5" i="10" s="1"/>
  <c r="G10" i="10"/>
  <c r="O10" i="10" s="1"/>
  <c r="G4" i="10"/>
  <c r="O4" i="10" s="1"/>
  <c r="U10" i="1"/>
  <c r="W10" i="1" s="1"/>
  <c r="G17" i="10"/>
  <c r="O17" i="10" s="1"/>
  <c r="W11" i="1"/>
  <c r="G18" i="10"/>
  <c r="O18" i="10" s="1"/>
  <c r="W26" i="1"/>
  <c r="G28" i="10"/>
  <c r="O28" i="10" s="1"/>
  <c r="G14" i="10"/>
  <c r="O14" i="10" s="1"/>
  <c r="G22" i="10"/>
  <c r="O22" i="10" s="1"/>
  <c r="G11" i="10"/>
  <c r="O11" i="10" s="1"/>
  <c r="G32" i="10"/>
  <c r="G29" i="10"/>
  <c r="O29" i="10" s="1"/>
  <c r="G21" i="10"/>
  <c r="O21" i="10" s="1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G19" i="10"/>
  <c r="O19" i="10" s="1"/>
  <c r="G8" i="10"/>
  <c r="O8" i="10" s="1"/>
  <c r="G20" i="10"/>
  <c r="O20" i="10" s="1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<sst xmlns="http://schemas.openxmlformats.org/spreadsheetml/2006/main" count="125" uniqueCount="82">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</sst>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7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4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87296"/>
        <c:axId val="118489088"/>
      </c:lineChart>
      <c:dateAx>
        <c:axId val="11848729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89088"/>
        <c:crosses val="autoZero"/>
        <c:auto val="1"/>
        <c:lblOffset val="100"/>
        <c:baseTimeUnit val="days"/>
      </c:dateAx>
      <c:valAx>
        <c:axId val="118489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8729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15968"/>
        <c:axId val="118517760"/>
      </c:lineChart>
      <c:dateAx>
        <c:axId val="11851596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17760"/>
        <c:crosses val="autoZero"/>
        <c:auto val="1"/>
        <c:lblOffset val="100"/>
        <c:baseTimeUnit val="days"/>
      </c:dateAx>
      <c:valAx>
        <c:axId val="1185177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1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38240"/>
        <c:axId val="118539776"/>
      </c:lineChart>
      <c:dateAx>
        <c:axId val="11853824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39776"/>
        <c:crosses val="autoZero"/>
        <c:auto val="1"/>
        <c:lblOffset val="100"/>
        <c:baseTimeUnit val="days"/>
      </c:dateAx>
      <c:valAx>
        <c:axId val="1185397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3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7" sqref="N7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8.8038000000000007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41507.748099999924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8.8038000000000007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38161.319159999694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8.8038000000000007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43174.510839999843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8.8038000000000007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39638.995040000547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8.8038000000000007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40309.030259999927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8.8038000000000007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41685.810179999964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0</v>
      </c>
      <c r="F8" s="108">
        <v>1.002</v>
      </c>
      <c r="G8" s="108">
        <f>'Consommation du 01.01 au 31.01'!U16</f>
        <v>0</v>
      </c>
      <c r="H8" s="108">
        <v>8.8038000000000007</v>
      </c>
      <c r="I8" s="108">
        <f>'Consommation du 01.01 au 31.01'!Y16*1000</f>
        <v>0</v>
      </c>
      <c r="J8" s="108">
        <v>0.53</v>
      </c>
      <c r="K8" s="108">
        <f>'Consommation du 01.01 au 31.01'!D16</f>
        <v>0</v>
      </c>
      <c r="L8" s="108">
        <v>12.67</v>
      </c>
      <c r="M8" s="122">
        <f>'Consommation du 01.01 au 31.01'!AC16</f>
        <v>0</v>
      </c>
      <c r="N8" s="122"/>
      <c r="O8" s="108">
        <f t="shared" si="0"/>
        <v>0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0</v>
      </c>
      <c r="F9" s="108">
        <v>1.002</v>
      </c>
      <c r="G9" s="108">
        <f>'Consommation du 01.01 au 31.01'!U17</f>
        <v>0</v>
      </c>
      <c r="H9" s="108">
        <v>8.8038000000000007</v>
      </c>
      <c r="I9" s="108">
        <f>'Consommation du 01.01 au 31.01'!Y17*1000</f>
        <v>0</v>
      </c>
      <c r="J9" s="108">
        <v>0.53</v>
      </c>
      <c r="K9" s="108">
        <f>'Consommation du 01.01 au 31.01'!D17</f>
        <v>0</v>
      </c>
      <c r="L9" s="108">
        <v>12.67</v>
      </c>
      <c r="M9" s="122">
        <f>'Consommation du 01.01 au 31.01'!AC17</f>
        <v>0</v>
      </c>
      <c r="N9" s="122"/>
      <c r="O9" s="108">
        <f t="shared" si="0"/>
        <v>0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0</v>
      </c>
      <c r="F10" s="108">
        <v>1.002</v>
      </c>
      <c r="G10" s="108">
        <f>'Consommation du 01.01 au 31.01'!U18</f>
        <v>0</v>
      </c>
      <c r="H10" s="108">
        <v>8.8038000000000007</v>
      </c>
      <c r="I10" s="108">
        <f>'Consommation du 01.01 au 31.01'!Y18*1000</f>
        <v>0</v>
      </c>
      <c r="J10" s="108">
        <v>0.53</v>
      </c>
      <c r="K10" s="108">
        <f>'Consommation du 01.01 au 31.01'!D18</f>
        <v>0</v>
      </c>
      <c r="L10" s="108">
        <v>12.67</v>
      </c>
      <c r="M10" s="122">
        <f>'Consommation du 01.01 au 31.01'!AC18</f>
        <v>0</v>
      </c>
      <c r="N10" s="122"/>
      <c r="O10" s="108">
        <f t="shared" si="0"/>
        <v>0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0</v>
      </c>
      <c r="F11" s="108">
        <v>1.002</v>
      </c>
      <c r="G11" s="108">
        <f>'Consommation du 01.01 au 31.01'!U19</f>
        <v>0</v>
      </c>
      <c r="H11" s="108">
        <v>8.8038000000000007</v>
      </c>
      <c r="I11" s="108">
        <f>'Consommation du 01.01 au 31.01'!Y19*1000</f>
        <v>0</v>
      </c>
      <c r="J11" s="108">
        <v>0.53</v>
      </c>
      <c r="K11" s="108">
        <f>'Consommation du 01.01 au 31.01'!D19</f>
        <v>0</v>
      </c>
      <c r="L11" s="108">
        <v>12.67</v>
      </c>
      <c r="M11" s="122">
        <f>'Consommation du 01.01 au 31.01'!AC19</f>
        <v>0</v>
      </c>
      <c r="N11" s="122"/>
      <c r="O11" s="108">
        <f t="shared" si="0"/>
        <v>0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0</v>
      </c>
      <c r="F12" s="108">
        <v>1.002</v>
      </c>
      <c r="G12" s="108">
        <f>'Consommation du 01.01 au 31.01'!U20</f>
        <v>0</v>
      </c>
      <c r="H12" s="108">
        <v>8.8038000000000007</v>
      </c>
      <c r="I12" s="108">
        <f>'Consommation du 01.01 au 31.01'!Y20*1000</f>
        <v>0</v>
      </c>
      <c r="J12" s="108">
        <v>0.53</v>
      </c>
      <c r="K12" s="108">
        <f>'Consommation du 01.01 au 31.01'!D20</f>
        <v>0</v>
      </c>
      <c r="L12" s="108">
        <v>12.67</v>
      </c>
      <c r="M12" s="122">
        <f>'Consommation du 01.01 au 31.01'!AC20</f>
        <v>0</v>
      </c>
      <c r="N12" s="122"/>
      <c r="O12" s="108">
        <f t="shared" si="0"/>
        <v>0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0</v>
      </c>
      <c r="F13" s="108">
        <v>1.002</v>
      </c>
      <c r="G13" s="108">
        <f>'Consommation du 01.01 au 31.01'!U21</f>
        <v>0</v>
      </c>
      <c r="H13" s="108">
        <v>8.8038000000000007</v>
      </c>
      <c r="I13" s="108">
        <f>'Consommation du 01.01 au 31.01'!Y21*1000</f>
        <v>0</v>
      </c>
      <c r="J13" s="108">
        <v>0.53</v>
      </c>
      <c r="K13" s="108">
        <f>'Consommation du 01.01 au 31.01'!D21</f>
        <v>0</v>
      </c>
      <c r="L13" s="108">
        <v>12.67</v>
      </c>
      <c r="M13" s="122">
        <f>'Consommation du 01.01 au 31.01'!AC21</f>
        <v>0</v>
      </c>
      <c r="N13" s="122"/>
      <c r="O13" s="108">
        <f t="shared" si="0"/>
        <v>0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0</v>
      </c>
      <c r="F14" s="108">
        <v>1.002</v>
      </c>
      <c r="G14" s="108">
        <f>'Consommation du 01.01 au 31.01'!U22</f>
        <v>0</v>
      </c>
      <c r="H14" s="108">
        <v>8.8038000000000007</v>
      </c>
      <c r="I14" s="108">
        <f>'Consommation du 01.01 au 31.01'!Y22*1000</f>
        <v>0</v>
      </c>
      <c r="J14" s="108">
        <v>0.53</v>
      </c>
      <c r="K14" s="108">
        <f>'Consommation du 01.01 au 31.01'!D22</f>
        <v>0</v>
      </c>
      <c r="L14" s="108">
        <v>12.67</v>
      </c>
      <c r="M14" s="122">
        <f>'Consommation du 01.01 au 31.01'!AC22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0</v>
      </c>
      <c r="F15" s="108">
        <v>1.002</v>
      </c>
      <c r="G15" s="108">
        <f>'Consommation du 01.01 au 31.01'!U23</f>
        <v>0</v>
      </c>
      <c r="H15" s="108">
        <v>8.8038000000000007</v>
      </c>
      <c r="I15" s="108">
        <f>'Consommation du 01.01 au 31.01'!Y23*1000</f>
        <v>0</v>
      </c>
      <c r="J15" s="108">
        <v>0.53</v>
      </c>
      <c r="K15" s="108">
        <f>'Consommation du 01.01 au 31.01'!D23</f>
        <v>0</v>
      </c>
      <c r="L15" s="108">
        <v>12.67</v>
      </c>
      <c r="M15" s="122">
        <f>'Consommation du 01.01 au 31.01'!AC23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0</v>
      </c>
      <c r="F16" s="108">
        <v>1.002</v>
      </c>
      <c r="G16" s="108">
        <f>'Consommation du 01.01 au 31.01'!U24</f>
        <v>0</v>
      </c>
      <c r="H16" s="108">
        <v>8.8038000000000007</v>
      </c>
      <c r="I16" s="108">
        <f>'Consommation du 01.01 au 31.01'!Y24*1000</f>
        <v>0</v>
      </c>
      <c r="J16" s="108">
        <v>0.53</v>
      </c>
      <c r="K16" s="108">
        <f>'Consommation du 01.01 au 31.01'!D24</f>
        <v>0</v>
      </c>
      <c r="L16" s="108">
        <v>12.67</v>
      </c>
      <c r="M16" s="122">
        <f>'Consommation du 01.01 au 31.01'!AC24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0</v>
      </c>
      <c r="F17" s="108">
        <v>1.002</v>
      </c>
      <c r="G17" s="108">
        <f>'Consommation du 01.01 au 31.01'!U25</f>
        <v>0</v>
      </c>
      <c r="H17" s="108">
        <v>8.8038000000000007</v>
      </c>
      <c r="I17" s="108">
        <f>'Consommation du 01.01 au 31.01'!Y25*1000</f>
        <v>0</v>
      </c>
      <c r="J17" s="108">
        <v>0.53</v>
      </c>
      <c r="K17" s="108">
        <f>'Consommation du 01.01 au 31.01'!D25</f>
        <v>0</v>
      </c>
      <c r="L17" s="108">
        <v>12.67</v>
      </c>
      <c r="M17" s="122">
        <f>'Consommation du 01.01 au 31.01'!AC25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0</v>
      </c>
      <c r="F18" s="108">
        <v>1.002</v>
      </c>
      <c r="G18" s="108">
        <f>'Consommation du 01.01 au 31.01'!U26</f>
        <v>0</v>
      </c>
      <c r="H18" s="108">
        <v>8.8038000000000007</v>
      </c>
      <c r="I18" s="108">
        <f>'Consommation du 01.01 au 31.01'!Y26*1000</f>
        <v>0</v>
      </c>
      <c r="J18" s="108">
        <v>0.53</v>
      </c>
      <c r="K18" s="108">
        <f>'Consommation du 01.01 au 31.01'!D26</f>
        <v>0</v>
      </c>
      <c r="L18" s="108">
        <v>12.67</v>
      </c>
      <c r="M18" s="122">
        <f>'Consommation du 01.01 au 31.01'!AC26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0</v>
      </c>
      <c r="F19" s="108">
        <v>1.002</v>
      </c>
      <c r="G19" s="108">
        <f>'Consommation du 01.01 au 31.01'!U27</f>
        <v>0</v>
      </c>
      <c r="H19" s="108">
        <v>8.8038000000000007</v>
      </c>
      <c r="I19" s="108">
        <f>'Consommation du 01.01 au 31.01'!Y27*1000</f>
        <v>0</v>
      </c>
      <c r="J19" s="108">
        <v>0.53</v>
      </c>
      <c r="K19" s="108">
        <f>'Consommation du 01.01 au 31.01'!D27</f>
        <v>0</v>
      </c>
      <c r="L19" s="108">
        <v>12.67</v>
      </c>
      <c r="M19" s="122">
        <f>'Consommation du 01.01 au 31.01'!AC27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0</v>
      </c>
      <c r="F20" s="108">
        <v>1.002</v>
      </c>
      <c r="G20" s="108">
        <f>'Consommation du 01.01 au 31.01'!U28</f>
        <v>0</v>
      </c>
      <c r="H20" s="108">
        <v>8.8038000000000007</v>
      </c>
      <c r="I20" s="108">
        <f>'Consommation du 01.01 au 31.01'!Y28*1000</f>
        <v>0</v>
      </c>
      <c r="J20" s="108">
        <v>0.53</v>
      </c>
      <c r="K20" s="108">
        <f>'Consommation du 01.01 au 31.01'!D28</f>
        <v>0</v>
      </c>
      <c r="L20" s="108">
        <v>12.67</v>
      </c>
      <c r="M20" s="122">
        <f>'Consommation du 01.01 au 31.01'!AC28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0</v>
      </c>
      <c r="F21" s="108">
        <v>1.002</v>
      </c>
      <c r="G21" s="108">
        <f>'Consommation du 01.01 au 31.01'!U29</f>
        <v>0</v>
      </c>
      <c r="H21" s="108">
        <v>8.8038000000000007</v>
      </c>
      <c r="I21" s="108">
        <f>'Consommation du 01.01 au 31.01'!Y29*1000</f>
        <v>0</v>
      </c>
      <c r="J21" s="108">
        <v>0.53</v>
      </c>
      <c r="K21" s="108">
        <f>'Consommation du 01.01 au 31.01'!D29</f>
        <v>0</v>
      </c>
      <c r="L21" s="108">
        <v>12.67</v>
      </c>
      <c r="M21" s="122">
        <f>'Consommation du 01.01 au 31.01'!AC29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0</v>
      </c>
      <c r="F22" s="108">
        <v>1.002</v>
      </c>
      <c r="G22" s="108">
        <f>'Consommation du 01.01 au 31.01'!U30</f>
        <v>0</v>
      </c>
      <c r="H22" s="108">
        <v>8.8038000000000007</v>
      </c>
      <c r="I22" s="108">
        <f>'Consommation du 01.01 au 31.01'!Y30*1000</f>
        <v>0</v>
      </c>
      <c r="J22" s="108">
        <v>0.53</v>
      </c>
      <c r="K22" s="108">
        <f>'Consommation du 01.01 au 31.01'!D30</f>
        <v>0</v>
      </c>
      <c r="L22" s="108">
        <v>12.67</v>
      </c>
      <c r="M22" s="122">
        <f>'Consommation du 01.01 au 31.01'!AC30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0</v>
      </c>
      <c r="F23" s="108">
        <v>1.002</v>
      </c>
      <c r="G23" s="108">
        <f>'Consommation du 01.01 au 31.01'!U31</f>
        <v>0</v>
      </c>
      <c r="H23" s="108">
        <v>8.8038000000000007</v>
      </c>
      <c r="I23" s="108">
        <f>'Consommation du 01.01 au 31.01'!Y31*1000</f>
        <v>0</v>
      </c>
      <c r="J23" s="108">
        <v>0.53</v>
      </c>
      <c r="K23" s="108">
        <f>'Consommation du 01.01 au 31.01'!D31</f>
        <v>0</v>
      </c>
      <c r="L23" s="108">
        <v>12.67</v>
      </c>
      <c r="M23" s="122">
        <f>'Consommation du 01.01 au 31.01'!AC31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8.8038000000000007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8.8038000000000007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8.8038000000000007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8.8038000000000007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8.8038000000000007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8.8038000000000007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8.8038000000000007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8.8038000000000007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8.8038000000000007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16" sqref="X16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75"/>
      <c r="B2" s="176"/>
      <c r="C2" s="176"/>
      <c r="D2" s="176"/>
      <c r="E2" s="176"/>
      <c r="F2" s="177"/>
      <c r="G2" s="164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6"/>
      <c r="AD2" s="163"/>
      <c r="AE2" s="163"/>
      <c r="AF2" s="163"/>
      <c r="AJ2" s="63"/>
    </row>
    <row r="3" spans="1:37" ht="1.5" customHeight="1" x14ac:dyDescent="0.2"/>
    <row r="4" spans="1:37" ht="39" hidden="1" customHeight="1" x14ac:dyDescent="0.2">
      <c r="A4" s="178"/>
      <c r="B4" s="178"/>
      <c r="C4" s="17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8"/>
      <c r="B5" s="178"/>
      <c r="C5" s="178"/>
      <c r="D5" s="6"/>
      <c r="E5" s="6"/>
      <c r="F5" s="6"/>
      <c r="G5" s="6"/>
      <c r="H5" s="6"/>
      <c r="I5" s="6"/>
      <c r="J5" s="6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0"/>
      <c r="E7" s="180"/>
      <c r="F7" s="180"/>
      <c r="G7" s="180"/>
      <c r="H7" s="180"/>
      <c r="I7" s="180"/>
      <c r="J7" s="180"/>
      <c r="K7" s="180"/>
      <c r="L7" s="232"/>
      <c r="M7" s="232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4"/>
      <c r="AC7" s="14"/>
      <c r="AI7" s="6"/>
      <c r="AJ7" s="6"/>
      <c r="AK7" s="6"/>
    </row>
    <row r="8" spans="1:37" ht="2.25" customHeight="1" thickBot="1" x14ac:dyDescent="0.25">
      <c r="A8" s="180"/>
      <c r="B8" s="181" t="s">
        <v>1</v>
      </c>
      <c r="C8" s="4"/>
      <c r="D8" s="182" t="s">
        <v>4</v>
      </c>
      <c r="E8" s="5"/>
      <c r="F8" s="167" t="s">
        <v>12</v>
      </c>
      <c r="G8" s="168"/>
      <c r="H8" s="169"/>
      <c r="I8" s="5"/>
      <c r="J8" s="187" t="s">
        <v>3</v>
      </c>
      <c r="K8" s="187"/>
      <c r="L8" s="187"/>
      <c r="M8" s="187" t="s">
        <v>2</v>
      </c>
      <c r="N8" s="5"/>
      <c r="O8" s="173" t="s">
        <v>12</v>
      </c>
      <c r="P8" s="5"/>
      <c r="Q8" s="173" t="s">
        <v>5</v>
      </c>
      <c r="R8" s="5"/>
      <c r="S8" s="173" t="s">
        <v>6</v>
      </c>
      <c r="T8" s="5"/>
      <c r="U8" s="233" t="s">
        <v>39</v>
      </c>
      <c r="V8" s="5"/>
      <c r="W8" s="173" t="s">
        <v>12</v>
      </c>
      <c r="X8" s="70"/>
      <c r="Y8" s="70"/>
      <c r="Z8" s="70"/>
      <c r="AA8" s="186"/>
      <c r="AB8" s="184" t="s">
        <v>80</v>
      </c>
      <c r="AC8" s="173" t="s">
        <v>75</v>
      </c>
      <c r="AD8" s="161" t="s">
        <v>54</v>
      </c>
      <c r="AE8" s="159" t="s">
        <v>59</v>
      </c>
      <c r="AF8" s="159" t="s">
        <v>60</v>
      </c>
      <c r="AG8" s="157" t="s">
        <v>61</v>
      </c>
      <c r="AH8" s="157" t="s">
        <v>62</v>
      </c>
      <c r="AI8" s="74"/>
      <c r="AJ8" s="74"/>
      <c r="AK8" s="74"/>
    </row>
    <row r="9" spans="1:37" ht="116.25" customHeight="1" thickBot="1" x14ac:dyDescent="0.25">
      <c r="A9" s="180"/>
      <c r="B9" s="181"/>
      <c r="C9" s="4"/>
      <c r="D9" s="183"/>
      <c r="E9" s="5"/>
      <c r="F9" s="170"/>
      <c r="G9" s="171"/>
      <c r="H9" s="172"/>
      <c r="I9" s="5"/>
      <c r="J9" s="86" t="s">
        <v>7</v>
      </c>
      <c r="K9" s="86" t="s">
        <v>8</v>
      </c>
      <c r="L9" s="86" t="s">
        <v>9</v>
      </c>
      <c r="M9" s="187"/>
      <c r="N9" s="5"/>
      <c r="O9" s="174"/>
      <c r="P9" s="5"/>
      <c r="Q9" s="174"/>
      <c r="R9" s="5"/>
      <c r="S9" s="174"/>
      <c r="T9" s="5"/>
      <c r="U9" s="234"/>
      <c r="V9" s="5"/>
      <c r="W9" s="174"/>
      <c r="X9" s="132" t="s">
        <v>81</v>
      </c>
      <c r="Y9" s="101" t="s">
        <v>55</v>
      </c>
      <c r="Z9" s="102" t="s">
        <v>56</v>
      </c>
      <c r="AA9" s="186"/>
      <c r="AB9" s="185"/>
      <c r="AC9" s="179"/>
      <c r="AD9" s="162"/>
      <c r="AE9" s="160"/>
      <c r="AF9" s="160"/>
      <c r="AG9" s="158"/>
      <c r="AH9" s="158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228">
        <f>D10*12.67</f>
        <v>5701.5</v>
      </c>
      <c r="G10" s="228"/>
      <c r="H10" s="229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228">
        <f t="shared" ref="F11:F40" si="0">D11*12.67</f>
        <v>7095.2</v>
      </c>
      <c r="G11" s="228"/>
      <c r="H11" s="229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228">
        <f t="shared" si="0"/>
        <v>6461.7</v>
      </c>
      <c r="G12" s="228"/>
      <c r="H12" s="229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228">
        <f t="shared" si="0"/>
        <v>5701.5</v>
      </c>
      <c r="G13" s="228"/>
      <c r="H13" s="229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228">
        <f t="shared" si="0"/>
        <v>5954.9</v>
      </c>
      <c r="G14" s="228"/>
      <c r="H14" s="229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228">
        <f t="shared" si="0"/>
        <v>5954.9</v>
      </c>
      <c r="G15" s="228"/>
      <c r="H15" s="229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0</v>
      </c>
      <c r="E16" s="112"/>
      <c r="F16" s="228">
        <f t="shared" si="0"/>
        <v>0</v>
      </c>
      <c r="G16" s="228"/>
      <c r="H16" s="229"/>
      <c r="I16" s="93"/>
      <c r="J16" s="117">
        <f>'Suivi EAU-ELEC'!E22</f>
        <v>0</v>
      </c>
      <c r="K16" s="118">
        <f>'Suivi EAU-ELEC'!G22</f>
        <v>0</v>
      </c>
      <c r="L16" s="118">
        <f>'Suivi EAU-ELEC'!I22</f>
        <v>0</v>
      </c>
      <c r="M16" s="119">
        <f t="shared" si="1"/>
        <v>0</v>
      </c>
      <c r="N16" s="92"/>
      <c r="O16" s="95">
        <f t="shared" si="2"/>
        <v>0</v>
      </c>
      <c r="P16" s="91"/>
      <c r="Q16" s="90"/>
      <c r="R16" s="89"/>
      <c r="S16" s="90"/>
      <c r="T16" s="97"/>
      <c r="U16" s="96">
        <f>'Suvi Gaz'!O17</f>
        <v>0</v>
      </c>
      <c r="V16" s="93"/>
      <c r="W16" s="95">
        <f t="shared" si="3"/>
        <v>0</v>
      </c>
      <c r="X16" s="138">
        <v>16089.92</v>
      </c>
      <c r="Y16" s="99">
        <f t="shared" si="4"/>
        <v>0</v>
      </c>
      <c r="Z16" s="100">
        <f t="shared" si="5"/>
        <v>0</v>
      </c>
      <c r="AA16" s="92"/>
      <c r="AB16" s="115"/>
      <c r="AC16" s="129"/>
      <c r="AD16" s="125"/>
      <c r="AE16" s="137"/>
      <c r="AF16" s="137"/>
      <c r="AG16" s="135"/>
      <c r="AH16" s="136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0</v>
      </c>
      <c r="E17" s="112"/>
      <c r="F17" s="228">
        <f t="shared" si="0"/>
        <v>0</v>
      </c>
      <c r="G17" s="228"/>
      <c r="H17" s="229"/>
      <c r="I17" s="93"/>
      <c r="J17" s="117">
        <f>'Suivi EAU-ELEC'!E23</f>
        <v>0</v>
      </c>
      <c r="K17" s="118">
        <f>'Suivi EAU-ELEC'!G23</f>
        <v>0</v>
      </c>
      <c r="L17" s="118">
        <f>'Suivi EAU-ELEC'!I23</f>
        <v>0</v>
      </c>
      <c r="M17" s="119">
        <f t="shared" si="1"/>
        <v>0</v>
      </c>
      <c r="N17" s="92"/>
      <c r="O17" s="95">
        <f t="shared" si="2"/>
        <v>0</v>
      </c>
      <c r="P17" s="91"/>
      <c r="Q17" s="90"/>
      <c r="R17" s="89"/>
      <c r="S17" s="90"/>
      <c r="T17" s="97"/>
      <c r="U17" s="96">
        <f>'Suvi Gaz'!O18</f>
        <v>0</v>
      </c>
      <c r="V17" s="93"/>
      <c r="W17" s="95">
        <f t="shared" si="3"/>
        <v>0</v>
      </c>
      <c r="X17" s="138"/>
      <c r="Y17" s="99">
        <f t="shared" si="4"/>
        <v>0</v>
      </c>
      <c r="Z17" s="100">
        <f t="shared" si="5"/>
        <v>0</v>
      </c>
      <c r="AA17" s="98"/>
      <c r="AB17" s="115"/>
      <c r="AC17" s="129"/>
      <c r="AD17" s="125"/>
      <c r="AE17" s="137"/>
      <c r="AF17" s="137"/>
      <c r="AG17" s="135"/>
      <c r="AH17" s="136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0</v>
      </c>
      <c r="E18" s="112"/>
      <c r="F18" s="228">
        <f t="shared" si="0"/>
        <v>0</v>
      </c>
      <c r="G18" s="228"/>
      <c r="H18" s="229"/>
      <c r="I18" s="93"/>
      <c r="J18" s="117">
        <f>'Suivi EAU-ELEC'!E24</f>
        <v>0</v>
      </c>
      <c r="K18" s="118">
        <f>'Suivi EAU-ELEC'!G24</f>
        <v>0</v>
      </c>
      <c r="L18" s="118">
        <f>'Suivi EAU-ELEC'!I24</f>
        <v>0</v>
      </c>
      <c r="M18" s="119">
        <f t="shared" si="1"/>
        <v>0</v>
      </c>
      <c r="N18" s="92"/>
      <c r="O18" s="95">
        <f t="shared" si="2"/>
        <v>0</v>
      </c>
      <c r="P18" s="91"/>
      <c r="Q18" s="90"/>
      <c r="R18" s="89"/>
      <c r="S18" s="90"/>
      <c r="T18" s="97"/>
      <c r="U18" s="96">
        <f>'Suvi Gaz'!O19</f>
        <v>0</v>
      </c>
      <c r="V18" s="93"/>
      <c r="W18" s="95">
        <f t="shared" si="3"/>
        <v>0</v>
      </c>
      <c r="X18" s="138"/>
      <c r="Y18" s="99">
        <f t="shared" si="4"/>
        <v>0</v>
      </c>
      <c r="Z18" s="100">
        <f t="shared" si="5"/>
        <v>0</v>
      </c>
      <c r="AA18" s="98"/>
      <c r="AB18" s="115"/>
      <c r="AC18" s="129"/>
      <c r="AD18" s="125"/>
      <c r="AE18" s="137"/>
      <c r="AF18" s="137"/>
      <c r="AG18" s="135"/>
      <c r="AH18" s="136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0</v>
      </c>
      <c r="E19" s="112"/>
      <c r="F19" s="228">
        <f t="shared" si="0"/>
        <v>0</v>
      </c>
      <c r="G19" s="228"/>
      <c r="H19" s="229"/>
      <c r="I19" s="93"/>
      <c r="J19" s="117">
        <f>'Suivi EAU-ELEC'!E25</f>
        <v>0</v>
      </c>
      <c r="K19" s="118">
        <f>'Suivi EAU-ELEC'!G25</f>
        <v>0</v>
      </c>
      <c r="L19" s="118">
        <f>'Suivi EAU-ELEC'!I25</f>
        <v>0</v>
      </c>
      <c r="M19" s="119">
        <f t="shared" si="1"/>
        <v>0</v>
      </c>
      <c r="N19" s="92"/>
      <c r="O19" s="95">
        <f t="shared" si="2"/>
        <v>0</v>
      </c>
      <c r="P19" s="91"/>
      <c r="Q19" s="90"/>
      <c r="R19" s="89"/>
      <c r="S19" s="90"/>
      <c r="T19" s="97"/>
      <c r="U19" s="96">
        <f>'Suvi Gaz'!O20</f>
        <v>0</v>
      </c>
      <c r="V19" s="93"/>
      <c r="W19" s="95">
        <f t="shared" si="3"/>
        <v>0</v>
      </c>
      <c r="X19" s="138"/>
      <c r="Y19" s="99">
        <f t="shared" si="4"/>
        <v>0</v>
      </c>
      <c r="Z19" s="100">
        <f t="shared" si="5"/>
        <v>0</v>
      </c>
      <c r="AA19" s="98"/>
      <c r="AB19" s="115"/>
      <c r="AC19" s="129"/>
      <c r="AD19" s="125"/>
      <c r="AE19" s="137"/>
      <c r="AF19" s="130"/>
      <c r="AG19" s="135"/>
      <c r="AH19" s="136"/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0</v>
      </c>
      <c r="E20" s="112"/>
      <c r="F20" s="228">
        <f t="shared" si="0"/>
        <v>0</v>
      </c>
      <c r="G20" s="228"/>
      <c r="H20" s="229"/>
      <c r="I20" s="93"/>
      <c r="J20" s="117">
        <f>'Suivi EAU-ELEC'!E26</f>
        <v>0</v>
      </c>
      <c r="K20" s="118">
        <f>'Suivi EAU-ELEC'!G26</f>
        <v>0</v>
      </c>
      <c r="L20" s="118">
        <f>'Suivi EAU-ELEC'!I26</f>
        <v>0</v>
      </c>
      <c r="M20" s="119">
        <f t="shared" si="1"/>
        <v>0</v>
      </c>
      <c r="N20" s="92"/>
      <c r="O20" s="95">
        <f t="shared" si="2"/>
        <v>0</v>
      </c>
      <c r="P20" s="91"/>
      <c r="Q20" s="90"/>
      <c r="R20" s="89"/>
      <c r="S20" s="90"/>
      <c r="T20" s="97"/>
      <c r="U20" s="96">
        <f>'Suvi Gaz'!O21</f>
        <v>0</v>
      </c>
      <c r="V20" s="93"/>
      <c r="W20" s="95">
        <f t="shared" si="3"/>
        <v>0</v>
      </c>
      <c r="X20" s="138"/>
      <c r="Y20" s="99">
        <f t="shared" si="4"/>
        <v>0</v>
      </c>
      <c r="Z20" s="100">
        <f t="shared" si="5"/>
        <v>0</v>
      </c>
      <c r="AA20" s="98">
        <v>14</v>
      </c>
      <c r="AB20" s="115"/>
      <c r="AC20" s="129"/>
      <c r="AD20" s="125"/>
      <c r="AE20" s="137"/>
      <c r="AF20" s="130"/>
      <c r="AG20" s="135"/>
      <c r="AH20" s="136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0</v>
      </c>
      <c r="E21" s="112"/>
      <c r="F21" s="228">
        <f t="shared" si="0"/>
        <v>0</v>
      </c>
      <c r="G21" s="228"/>
      <c r="H21" s="229"/>
      <c r="I21" s="93"/>
      <c r="J21" s="117">
        <f>'Suivi EAU-ELEC'!E27</f>
        <v>0</v>
      </c>
      <c r="K21" s="118">
        <f>'Suivi EAU-ELEC'!G27</f>
        <v>0</v>
      </c>
      <c r="L21" s="118">
        <f>'Suivi EAU-ELEC'!I27</f>
        <v>0</v>
      </c>
      <c r="M21" s="119">
        <f t="shared" si="1"/>
        <v>0</v>
      </c>
      <c r="N21" s="92"/>
      <c r="O21" s="95">
        <f t="shared" si="2"/>
        <v>0</v>
      </c>
      <c r="P21" s="91"/>
      <c r="Q21" s="90"/>
      <c r="R21" s="89"/>
      <c r="S21" s="90"/>
      <c r="T21" s="97"/>
      <c r="U21" s="96">
        <f>'Suvi Gaz'!O22</f>
        <v>0</v>
      </c>
      <c r="V21" s="93"/>
      <c r="W21" s="95">
        <f t="shared" si="3"/>
        <v>0</v>
      </c>
      <c r="X21" s="138"/>
      <c r="Y21" s="99">
        <f t="shared" si="4"/>
        <v>0</v>
      </c>
      <c r="Z21" s="100">
        <f t="shared" si="5"/>
        <v>0</v>
      </c>
      <c r="AA21" s="98">
        <v>14</v>
      </c>
      <c r="AB21" s="115"/>
      <c r="AC21" s="129"/>
      <c r="AD21" s="125"/>
      <c r="AE21" s="137"/>
      <c r="AF21" s="130"/>
      <c r="AG21" s="135"/>
      <c r="AH21" s="136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0</v>
      </c>
      <c r="E22" s="112"/>
      <c r="F22" s="228">
        <f t="shared" si="0"/>
        <v>0</v>
      </c>
      <c r="G22" s="228"/>
      <c r="H22" s="229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8"/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7"/>
      <c r="AF22" s="130"/>
      <c r="AG22" s="135"/>
      <c r="AH22" s="136"/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0</v>
      </c>
      <c r="E23" s="112"/>
      <c r="F23" s="228">
        <f t="shared" si="0"/>
        <v>0</v>
      </c>
      <c r="G23" s="228"/>
      <c r="H23" s="229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8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7"/>
      <c r="AF23" s="130"/>
      <c r="AG23" s="135"/>
      <c r="AH23" s="136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0</v>
      </c>
      <c r="E24" s="112"/>
      <c r="F24" s="228">
        <f t="shared" si="0"/>
        <v>0</v>
      </c>
      <c r="G24" s="228"/>
      <c r="H24" s="229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8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7"/>
      <c r="AF24" s="130"/>
      <c r="AG24" s="135"/>
      <c r="AH24" s="136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0</v>
      </c>
      <c r="E25" s="112"/>
      <c r="F25" s="228">
        <f t="shared" si="0"/>
        <v>0</v>
      </c>
      <c r="G25" s="228"/>
      <c r="H25" s="229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8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7"/>
      <c r="AF25" s="130"/>
      <c r="AG25" s="135"/>
      <c r="AH25" s="136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f>'Suivi EAU-ELEC'!C32</f>
        <v>0</v>
      </c>
      <c r="E26" s="113"/>
      <c r="F26" s="228">
        <f t="shared" si="0"/>
        <v>0</v>
      </c>
      <c r="G26" s="228"/>
      <c r="H26" s="229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8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f>'Suivi EAU-ELEC'!C33</f>
        <v>0</v>
      </c>
      <c r="E27" s="113"/>
      <c r="F27" s="228">
        <f t="shared" si="0"/>
        <v>0</v>
      </c>
      <c r="G27" s="228"/>
      <c r="H27" s="229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8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f>'Suivi EAU-ELEC'!C34</f>
        <v>0</v>
      </c>
      <c r="E28" s="113"/>
      <c r="F28" s="228">
        <f t="shared" si="0"/>
        <v>0</v>
      </c>
      <c r="G28" s="228"/>
      <c r="H28" s="229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8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f>'Suivi EAU-ELEC'!C35</f>
        <v>0</v>
      </c>
      <c r="E29" s="113"/>
      <c r="F29" s="228">
        <f t="shared" si="0"/>
        <v>0</v>
      </c>
      <c r="G29" s="228"/>
      <c r="H29" s="229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8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f>'Suivi EAU-ELEC'!C36</f>
        <v>0</v>
      </c>
      <c r="E30" s="113"/>
      <c r="F30" s="228">
        <f t="shared" si="0"/>
        <v>0</v>
      </c>
      <c r="G30" s="228"/>
      <c r="H30" s="229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8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0</v>
      </c>
      <c r="E31" s="89"/>
      <c r="F31" s="228">
        <f t="shared" si="0"/>
        <v>0</v>
      </c>
      <c r="G31" s="228"/>
      <c r="H31" s="229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8"/>
      <c r="Y31" s="99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228">
        <f t="shared" si="0"/>
        <v>0</v>
      </c>
      <c r="G32" s="228"/>
      <c r="H32" s="229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228">
        <f t="shared" si="0"/>
        <v>0</v>
      </c>
      <c r="G33" s="228"/>
      <c r="H33" s="229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228">
        <f t="shared" si="0"/>
        <v>0</v>
      </c>
      <c r="G34" s="228"/>
      <c r="H34" s="229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228">
        <f t="shared" si="0"/>
        <v>0</v>
      </c>
      <c r="G35" s="228"/>
      <c r="H35" s="229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228">
        <f t="shared" si="0"/>
        <v>0</v>
      </c>
      <c r="G36" s="228"/>
      <c r="H36" s="229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228">
        <f t="shared" si="0"/>
        <v>0</v>
      </c>
      <c r="G37" s="228"/>
      <c r="H37" s="229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228">
        <f t="shared" si="0"/>
        <v>0</v>
      </c>
      <c r="G38" s="228"/>
      <c r="H38" s="229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228">
        <f t="shared" si="0"/>
        <v>0</v>
      </c>
      <c r="G39" s="228"/>
      <c r="H39" s="229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228">
        <f t="shared" si="0"/>
        <v>0</v>
      </c>
      <c r="G40" s="228"/>
      <c r="H40" s="229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2910</v>
      </c>
      <c r="E41" s="1"/>
      <c r="F41" s="191">
        <f>SUM(F10:H40)</f>
        <v>36869.700000000004</v>
      </c>
      <c r="G41" s="192"/>
      <c r="H41" s="193"/>
      <c r="I41" s="1"/>
      <c r="J41" s="87">
        <f>SUM(J10:J40)</f>
        <v>25367</v>
      </c>
      <c r="K41" s="87">
        <f t="shared" ref="K41:M41" si="7">SUM(K10:K40)</f>
        <v>39182</v>
      </c>
      <c r="L41" s="87">
        <f t="shared" si="7"/>
        <v>17815</v>
      </c>
      <c r="M41" s="87">
        <f t="shared" si="7"/>
        <v>82364</v>
      </c>
      <c r="N41" s="28"/>
      <c r="O41" s="191">
        <f>SUM(O10:Q40)</f>
        <v>82528.728000000003</v>
      </c>
      <c r="P41" s="192"/>
      <c r="Q41" s="193"/>
      <c r="R41" s="28"/>
      <c r="S41" s="88">
        <f>SUM(S10:S40)</f>
        <v>0</v>
      </c>
      <c r="T41" s="28"/>
      <c r="U41" s="87">
        <f>SUM(U10:U40)</f>
        <v>10054.1</v>
      </c>
      <c r="V41" s="28"/>
      <c r="W41" s="87">
        <f>SUM(W10:W40)</f>
        <v>88514.285579999996</v>
      </c>
      <c r="X41" s="128"/>
      <c r="Y41" s="87">
        <f>SUM(Y10:Y40)</f>
        <v>68.989999999999782</v>
      </c>
      <c r="Z41" s="87">
        <f>SUM(Z10:Z40)</f>
        <v>36564.699999999888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0"/>
      <c r="G42" s="230"/>
      <c r="H42" s="230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94" t="s">
        <v>10</v>
      </c>
      <c r="B43" s="195"/>
      <c r="C43" s="196"/>
      <c r="D43" s="19" t="s">
        <v>7</v>
      </c>
      <c r="E43" s="53"/>
      <c r="F43" s="20">
        <v>1.002</v>
      </c>
      <c r="G43" s="200">
        <f>J41</f>
        <v>25367</v>
      </c>
      <c r="H43" s="201"/>
      <c r="I43" s="202"/>
      <c r="J43" s="217">
        <f>G43*F43</f>
        <v>25417.734</v>
      </c>
      <c r="K43" s="218"/>
      <c r="L43" s="219">
        <f>J43+J44+J45</f>
        <v>82528.728000000003</v>
      </c>
      <c r="M43" s="220"/>
      <c r="N43" s="220"/>
      <c r="O43" s="220"/>
      <c r="P43" s="220"/>
      <c r="Q43" s="220"/>
      <c r="R43" s="220"/>
      <c r="S43" s="220"/>
      <c r="T43" s="220"/>
      <c r="U43" s="221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97"/>
      <c r="B44" s="198"/>
      <c r="C44" s="199"/>
      <c r="D44" s="17" t="s">
        <v>8</v>
      </c>
      <c r="E44" s="53"/>
      <c r="F44" s="20">
        <v>1.002</v>
      </c>
      <c r="G44" s="200">
        <f>K41</f>
        <v>39182</v>
      </c>
      <c r="H44" s="201"/>
      <c r="I44" s="202"/>
      <c r="J44" s="217">
        <f>G44*F44</f>
        <v>39260.364000000001</v>
      </c>
      <c r="K44" s="218"/>
      <c r="L44" s="222"/>
      <c r="M44" s="223"/>
      <c r="N44" s="223"/>
      <c r="O44" s="223"/>
      <c r="P44" s="223"/>
      <c r="Q44" s="223"/>
      <c r="R44" s="223"/>
      <c r="S44" s="223"/>
      <c r="T44" s="223"/>
      <c r="U44" s="22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97"/>
      <c r="B45" s="198"/>
      <c r="C45" s="199"/>
      <c r="D45" s="23" t="s">
        <v>9</v>
      </c>
      <c r="E45" s="54"/>
      <c r="F45" s="20">
        <v>1.002</v>
      </c>
      <c r="G45" s="200">
        <f>L41</f>
        <v>17815</v>
      </c>
      <c r="H45" s="201"/>
      <c r="I45" s="202"/>
      <c r="J45" s="217">
        <f>G45*F45</f>
        <v>17850.63</v>
      </c>
      <c r="K45" s="218"/>
      <c r="L45" s="225"/>
      <c r="M45" s="226"/>
      <c r="N45" s="226"/>
      <c r="O45" s="226"/>
      <c r="P45" s="226"/>
      <c r="Q45" s="226"/>
      <c r="R45" s="226"/>
      <c r="S45" s="226"/>
      <c r="T45" s="226"/>
      <c r="U45" s="22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8" t="s">
        <v>11</v>
      </c>
      <c r="B46" s="189"/>
      <c r="C46" s="189"/>
      <c r="D46" s="190"/>
      <c r="E46" s="53"/>
      <c r="F46" s="24">
        <v>12.67</v>
      </c>
      <c r="G46" s="188">
        <f>D41</f>
        <v>2910</v>
      </c>
      <c r="H46" s="189"/>
      <c r="I46" s="190"/>
      <c r="J46" s="203">
        <f>G46*F46</f>
        <v>36869.699999999997</v>
      </c>
      <c r="K46" s="204"/>
      <c r="L46" s="211">
        <f>J46</f>
        <v>36869.699999999997</v>
      </c>
      <c r="M46" s="212"/>
      <c r="N46" s="212"/>
      <c r="O46" s="212"/>
      <c r="P46" s="212"/>
      <c r="Q46" s="212"/>
      <c r="R46" s="212"/>
      <c r="S46" s="212"/>
      <c r="T46" s="212"/>
      <c r="U46" s="21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08" t="s">
        <v>13</v>
      </c>
      <c r="B47" s="209"/>
      <c r="C47" s="209"/>
      <c r="D47" s="210"/>
      <c r="E47" s="53"/>
      <c r="F47" s="26">
        <v>8.8038000000000007</v>
      </c>
      <c r="G47" s="205">
        <f>U41</f>
        <v>10054.1</v>
      </c>
      <c r="H47" s="206"/>
      <c r="I47" s="207"/>
      <c r="J47" s="205">
        <f>G47*F47</f>
        <v>88514.285580000011</v>
      </c>
      <c r="K47" s="207"/>
      <c r="L47" s="214">
        <f>J47</f>
        <v>88514.285580000011</v>
      </c>
      <c r="M47" s="215"/>
      <c r="N47" s="215"/>
      <c r="O47" s="215"/>
      <c r="P47" s="215"/>
      <c r="Q47" s="215"/>
      <c r="R47" s="215"/>
      <c r="S47" s="215"/>
      <c r="T47" s="215"/>
      <c r="U47" s="21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B18" sqref="B18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79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17" si="0">IF(AC4&gt;0,((B4-R4)+(S4-B5)),IF(B5=0, ,(B4-B5)))</f>
        <v>5</v>
      </c>
      <c r="D4" s="139">
        <v>68</v>
      </c>
      <c r="E4" s="140">
        <f t="shared" ref="E4:E17" si="1">IF(AC4&gt;0,((D4-U4)+(V4-D5)),IF(D5=0, ,(D4-D5)))</f>
        <v>6</v>
      </c>
      <c r="F4" s="139">
        <v>63</v>
      </c>
      <c r="G4" s="140">
        <f t="shared" ref="G4:G17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0</v>
      </c>
      <c r="D17" s="139">
        <v>42</v>
      </c>
      <c r="E17" s="140">
        <f t="shared" si="1"/>
        <v>0</v>
      </c>
      <c r="F17" s="139">
        <v>39</v>
      </c>
      <c r="G17" s="140">
        <f t="shared" si="2"/>
        <v>0</v>
      </c>
      <c r="H17" s="139">
        <v>40</v>
      </c>
      <c r="I17" s="140">
        <f t="shared" si="16"/>
        <v>0</v>
      </c>
      <c r="J17" s="140">
        <f t="shared" si="17"/>
        <v>161</v>
      </c>
      <c r="K17" s="140">
        <f t="shared" si="18"/>
        <v>40.25</v>
      </c>
      <c r="L17" s="140">
        <f t="shared" si="19"/>
        <v>0</v>
      </c>
      <c r="M17" s="140">
        <f t="shared" si="7"/>
        <v>28000</v>
      </c>
      <c r="N17" s="140">
        <f t="shared" si="20"/>
        <v>0</v>
      </c>
      <c r="O17" s="140">
        <f t="shared" si="21"/>
        <v>0</v>
      </c>
      <c r="P17" s="38">
        <f t="shared" si="22"/>
        <v>0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43838</v>
      </c>
      <c r="B18" s="139"/>
      <c r="C18" s="140">
        <f t="shared" ref="C17:C41" si="23">IF(AC18&gt;0,((B18-R18)+(S18-B19)),IF(B19=0, ,(B18-B19)))</f>
        <v>0</v>
      </c>
      <c r="D18" s="139"/>
      <c r="E18" s="140">
        <f t="shared" ref="E17:E41" si="24">IF(AC18&gt;0,((D18-U18)+(V18-D19)),IF(D19=0, ,(D18-D19)))</f>
        <v>0</v>
      </c>
      <c r="F18" s="139"/>
      <c r="G18" s="140">
        <f t="shared" ref="G17:G41" si="25">IF(AC18&gt;0,((F18-X18)+(Y18-F19)),IF(F19=0, ,(F18-F19)))</f>
        <v>0</v>
      </c>
      <c r="H18" s="139"/>
      <c r="I18" s="140">
        <f t="shared" si="16"/>
        <v>0</v>
      </c>
      <c r="J18" s="140">
        <f t="shared" si="17"/>
        <v>0</v>
      </c>
      <c r="K18" s="140">
        <f t="shared" si="18"/>
        <v>0</v>
      </c>
      <c r="L18" s="140">
        <f t="shared" si="19"/>
        <v>0</v>
      </c>
      <c r="M18" s="140">
        <f t="shared" si="7"/>
        <v>28000</v>
      </c>
      <c r="N18" s="140">
        <f t="shared" si="20"/>
        <v>0</v>
      </c>
      <c r="O18" s="140">
        <f t="shared" si="21"/>
        <v>0</v>
      </c>
      <c r="P18" s="38">
        <f t="shared" si="22"/>
        <v>0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/>
      <c r="C19" s="140">
        <f t="shared" si="23"/>
        <v>0</v>
      </c>
      <c r="D19" s="139"/>
      <c r="E19" s="140">
        <f t="shared" si="24"/>
        <v>0</v>
      </c>
      <c r="F19" s="139"/>
      <c r="G19" s="140">
        <f t="shared" si="25"/>
        <v>0</v>
      </c>
      <c r="H19" s="139"/>
      <c r="I19" s="140">
        <f t="shared" si="16"/>
        <v>0</v>
      </c>
      <c r="J19" s="140">
        <f t="shared" si="17"/>
        <v>0</v>
      </c>
      <c r="K19" s="140">
        <f t="shared" si="18"/>
        <v>0</v>
      </c>
      <c r="L19" s="140">
        <f t="shared" si="19"/>
        <v>0</v>
      </c>
      <c r="M19" s="140">
        <f t="shared" si="7"/>
        <v>28000</v>
      </c>
      <c r="N19" s="140">
        <f t="shared" si="20"/>
        <v>0</v>
      </c>
      <c r="O19" s="140">
        <f t="shared" si="21"/>
        <v>0</v>
      </c>
      <c r="P19" s="38">
        <f t="shared" si="22"/>
        <v>0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/>
      <c r="C20" s="140">
        <f t="shared" si="23"/>
        <v>0</v>
      </c>
      <c r="D20" s="139"/>
      <c r="E20" s="140">
        <f t="shared" si="24"/>
        <v>0</v>
      </c>
      <c r="F20" s="139"/>
      <c r="G20" s="140">
        <f t="shared" si="25"/>
        <v>0</v>
      </c>
      <c r="H20" s="139"/>
      <c r="I20" s="140">
        <f t="shared" si="16"/>
        <v>0</v>
      </c>
      <c r="J20" s="140">
        <f t="shared" si="17"/>
        <v>0</v>
      </c>
      <c r="K20" s="140">
        <f t="shared" si="18"/>
        <v>0</v>
      </c>
      <c r="L20" s="140">
        <f t="shared" si="19"/>
        <v>0</v>
      </c>
      <c r="M20" s="140">
        <f t="shared" si="7"/>
        <v>28000</v>
      </c>
      <c r="N20" s="140">
        <f t="shared" si="20"/>
        <v>0</v>
      </c>
      <c r="O20" s="140">
        <f t="shared" si="21"/>
        <v>0</v>
      </c>
      <c r="P20" s="38">
        <f t="shared" si="22"/>
        <v>0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/>
      <c r="C21" s="140">
        <f t="shared" si="23"/>
        <v>0</v>
      </c>
      <c r="D21" s="139"/>
      <c r="E21" s="140">
        <f t="shared" si="24"/>
        <v>0</v>
      </c>
      <c r="F21" s="139"/>
      <c r="G21" s="140">
        <f t="shared" si="25"/>
        <v>0</v>
      </c>
      <c r="H21" s="139"/>
      <c r="I21" s="140">
        <f t="shared" si="16"/>
        <v>0</v>
      </c>
      <c r="J21" s="140">
        <f t="shared" si="17"/>
        <v>0</v>
      </c>
      <c r="K21" s="140">
        <f t="shared" si="18"/>
        <v>0</v>
      </c>
      <c r="L21" s="140">
        <f t="shared" si="19"/>
        <v>0</v>
      </c>
      <c r="M21" s="140">
        <f t="shared" si="7"/>
        <v>28000</v>
      </c>
      <c r="N21" s="140">
        <f t="shared" si="20"/>
        <v>0</v>
      </c>
      <c r="O21" s="140">
        <f t="shared" si="21"/>
        <v>0</v>
      </c>
      <c r="P21" s="38">
        <f t="shared" si="22"/>
        <v>0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43842</v>
      </c>
      <c r="B22" s="139"/>
      <c r="C22" s="140">
        <f t="shared" si="23"/>
        <v>0</v>
      </c>
      <c r="D22" s="139"/>
      <c r="E22" s="140">
        <f t="shared" si="24"/>
        <v>0</v>
      </c>
      <c r="F22" s="139"/>
      <c r="G22" s="140">
        <f t="shared" si="25"/>
        <v>0</v>
      </c>
      <c r="H22" s="139"/>
      <c r="I22" s="140">
        <f t="shared" si="16"/>
        <v>0</v>
      </c>
      <c r="J22" s="140">
        <f t="shared" si="17"/>
        <v>0</v>
      </c>
      <c r="K22" s="140">
        <f t="shared" si="18"/>
        <v>0</v>
      </c>
      <c r="L22" s="140">
        <f t="shared" si="19"/>
        <v>0</v>
      </c>
      <c r="M22" s="140">
        <f t="shared" si="7"/>
        <v>28000</v>
      </c>
      <c r="N22" s="140">
        <f t="shared" si="20"/>
        <v>0</v>
      </c>
      <c r="O22" s="140">
        <f t="shared" si="21"/>
        <v>0</v>
      </c>
      <c r="P22" s="38">
        <f t="shared" si="22"/>
        <v>0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/>
      <c r="C23" s="140">
        <f t="shared" si="23"/>
        <v>0</v>
      </c>
      <c r="D23" s="139"/>
      <c r="E23" s="140">
        <f t="shared" si="24"/>
        <v>0</v>
      </c>
      <c r="F23" s="139"/>
      <c r="G23" s="140">
        <f t="shared" si="25"/>
        <v>0</v>
      </c>
      <c r="H23" s="139"/>
      <c r="I23" s="140">
        <f t="shared" si="16"/>
        <v>0</v>
      </c>
      <c r="J23" s="140">
        <f t="shared" si="17"/>
        <v>0</v>
      </c>
      <c r="K23" s="140">
        <f t="shared" si="18"/>
        <v>0</v>
      </c>
      <c r="L23" s="140">
        <f t="shared" si="19"/>
        <v>0</v>
      </c>
      <c r="M23" s="140">
        <f t="shared" si="7"/>
        <v>28000</v>
      </c>
      <c r="N23" s="140">
        <f t="shared" si="20"/>
        <v>0</v>
      </c>
      <c r="O23" s="140">
        <f t="shared" si="21"/>
        <v>0</v>
      </c>
      <c r="P23" s="38">
        <f t="shared" si="22"/>
        <v>0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/>
      <c r="C24" s="140">
        <f t="shared" si="23"/>
        <v>0</v>
      </c>
      <c r="D24" s="139"/>
      <c r="E24" s="140">
        <f t="shared" si="24"/>
        <v>0</v>
      </c>
      <c r="F24" s="139"/>
      <c r="G24" s="140">
        <f t="shared" si="25"/>
        <v>0</v>
      </c>
      <c r="H24" s="139"/>
      <c r="I24" s="140">
        <f t="shared" si="16"/>
        <v>0</v>
      </c>
      <c r="J24" s="140">
        <f t="shared" si="17"/>
        <v>0</v>
      </c>
      <c r="K24" s="140">
        <f t="shared" si="18"/>
        <v>0</v>
      </c>
      <c r="L24" s="140">
        <f t="shared" si="19"/>
        <v>0</v>
      </c>
      <c r="M24" s="140">
        <f t="shared" si="7"/>
        <v>28000</v>
      </c>
      <c r="N24" s="140">
        <f t="shared" si="20"/>
        <v>0</v>
      </c>
      <c r="O24" s="140">
        <f t="shared" si="21"/>
        <v>0</v>
      </c>
      <c r="P24" s="38">
        <f t="shared" si="22"/>
        <v>0</v>
      </c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43845</v>
      </c>
      <c r="B25" s="139"/>
      <c r="C25" s="140">
        <f t="shared" si="23"/>
        <v>0</v>
      </c>
      <c r="D25" s="139"/>
      <c r="E25" s="140">
        <f t="shared" si="24"/>
        <v>0</v>
      </c>
      <c r="F25" s="139"/>
      <c r="G25" s="140">
        <f t="shared" si="25"/>
        <v>0</v>
      </c>
      <c r="H25" s="139"/>
      <c r="I25" s="140">
        <f t="shared" si="16"/>
        <v>0</v>
      </c>
      <c r="J25" s="140">
        <f t="shared" si="17"/>
        <v>0</v>
      </c>
      <c r="K25" s="140">
        <f t="shared" si="18"/>
        <v>0</v>
      </c>
      <c r="L25" s="140">
        <f t="shared" si="19"/>
        <v>0</v>
      </c>
      <c r="M25" s="140">
        <f t="shared" si="7"/>
        <v>28000</v>
      </c>
      <c r="N25" s="140">
        <f t="shared" si="20"/>
        <v>0</v>
      </c>
      <c r="O25" s="140">
        <f t="shared" si="21"/>
        <v>0</v>
      </c>
      <c r="P25" s="38">
        <f t="shared" si="22"/>
        <v>0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/>
      <c r="C26" s="140">
        <f t="shared" si="23"/>
        <v>0</v>
      </c>
      <c r="D26" s="139"/>
      <c r="E26" s="140">
        <f t="shared" si="24"/>
        <v>0</v>
      </c>
      <c r="F26" s="139"/>
      <c r="G26" s="140">
        <f t="shared" si="25"/>
        <v>0</v>
      </c>
      <c r="H26" s="139"/>
      <c r="I26" s="140">
        <f t="shared" si="16"/>
        <v>0</v>
      </c>
      <c r="J26" s="140">
        <f t="shared" si="17"/>
        <v>0</v>
      </c>
      <c r="K26" s="140">
        <f t="shared" si="18"/>
        <v>0</v>
      </c>
      <c r="L26" s="140">
        <f t="shared" si="19"/>
        <v>0</v>
      </c>
      <c r="M26" s="140">
        <f t="shared" si="7"/>
        <v>28000</v>
      </c>
      <c r="N26" s="140">
        <f t="shared" si="20"/>
        <v>0</v>
      </c>
      <c r="O26" s="140">
        <f t="shared" si="21"/>
        <v>0</v>
      </c>
      <c r="P26" s="38">
        <f t="shared" si="22"/>
        <v>0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/>
      <c r="C27" s="140">
        <f t="shared" si="23"/>
        <v>0</v>
      </c>
      <c r="D27" s="139"/>
      <c r="E27" s="140">
        <f t="shared" si="24"/>
        <v>0</v>
      </c>
      <c r="F27" s="139"/>
      <c r="G27" s="140">
        <f t="shared" si="25"/>
        <v>0</v>
      </c>
      <c r="H27" s="139"/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40">
        <f t="shared" si="7"/>
        <v>28000</v>
      </c>
      <c r="N27" s="140">
        <f t="shared" si="20"/>
        <v>0</v>
      </c>
      <c r="O27" s="140">
        <f t="shared" si="21"/>
        <v>0</v>
      </c>
      <c r="P27" s="38">
        <f t="shared" si="22"/>
        <v>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/>
      <c r="C28" s="140">
        <f t="shared" si="23"/>
        <v>0</v>
      </c>
      <c r="D28" s="139"/>
      <c r="E28" s="140">
        <f t="shared" si="24"/>
        <v>0</v>
      </c>
      <c r="F28" s="139"/>
      <c r="G28" s="140">
        <f t="shared" si="25"/>
        <v>0</v>
      </c>
      <c r="H28" s="139"/>
      <c r="I28" s="140">
        <f t="shared" si="16"/>
        <v>0</v>
      </c>
      <c r="J28" s="140">
        <f t="shared" si="17"/>
        <v>0</v>
      </c>
      <c r="K28" s="140">
        <f t="shared" si="18"/>
        <v>0</v>
      </c>
      <c r="L28" s="140">
        <f t="shared" si="19"/>
        <v>0</v>
      </c>
      <c r="M28" s="140">
        <f t="shared" si="7"/>
        <v>28000</v>
      </c>
      <c r="N28" s="140">
        <f t="shared" si="20"/>
        <v>0</v>
      </c>
      <c r="O28" s="140">
        <f t="shared" si="21"/>
        <v>0</v>
      </c>
      <c r="P28" s="38">
        <f t="shared" si="22"/>
        <v>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43849</v>
      </c>
      <c r="B29" s="139"/>
      <c r="C29" s="140">
        <f t="shared" si="23"/>
        <v>0</v>
      </c>
      <c r="D29" s="139"/>
      <c r="E29" s="140">
        <f t="shared" si="24"/>
        <v>0</v>
      </c>
      <c r="F29" s="139"/>
      <c r="G29" s="140">
        <f t="shared" si="25"/>
        <v>0</v>
      </c>
      <c r="H29" s="139"/>
      <c r="I29" s="140">
        <f t="shared" si="16"/>
        <v>0</v>
      </c>
      <c r="J29" s="140">
        <f t="shared" si="17"/>
        <v>0</v>
      </c>
      <c r="K29" s="140">
        <f t="shared" si="18"/>
        <v>0</v>
      </c>
      <c r="L29" s="140">
        <f t="shared" si="19"/>
        <v>0</v>
      </c>
      <c r="M29" s="140">
        <f t="shared" si="7"/>
        <v>28000</v>
      </c>
      <c r="N29" s="140">
        <f t="shared" si="20"/>
        <v>0</v>
      </c>
      <c r="O29" s="140">
        <f t="shared" si="21"/>
        <v>0</v>
      </c>
      <c r="P29" s="38">
        <f t="shared" si="22"/>
        <v>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/>
      <c r="C30" s="140">
        <f t="shared" si="23"/>
        <v>0</v>
      </c>
      <c r="D30" s="139"/>
      <c r="E30" s="140">
        <f t="shared" si="24"/>
        <v>0</v>
      </c>
      <c r="F30" s="139"/>
      <c r="G30" s="140">
        <f t="shared" si="25"/>
        <v>0</v>
      </c>
      <c r="H30" s="139"/>
      <c r="I30" s="140">
        <f t="shared" si="16"/>
        <v>0</v>
      </c>
      <c r="J30" s="140">
        <f t="shared" si="17"/>
        <v>0</v>
      </c>
      <c r="K30" s="140">
        <f t="shared" si="18"/>
        <v>0</v>
      </c>
      <c r="L30" s="140">
        <f t="shared" si="19"/>
        <v>0</v>
      </c>
      <c r="M30" s="140">
        <f t="shared" si="7"/>
        <v>28000</v>
      </c>
      <c r="N30" s="140">
        <f t="shared" si="20"/>
        <v>0</v>
      </c>
      <c r="O30" s="140">
        <f t="shared" si="21"/>
        <v>0</v>
      </c>
      <c r="P30" s="38">
        <f t="shared" si="22"/>
        <v>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/>
      <c r="C31" s="140">
        <f t="shared" si="23"/>
        <v>0</v>
      </c>
      <c r="D31" s="139"/>
      <c r="E31" s="140">
        <f t="shared" si="24"/>
        <v>0</v>
      </c>
      <c r="F31" s="139"/>
      <c r="G31" s="140">
        <f t="shared" si="25"/>
        <v>0</v>
      </c>
      <c r="H31" s="139"/>
      <c r="I31" s="140">
        <f t="shared" si="16"/>
        <v>0</v>
      </c>
      <c r="J31" s="140">
        <f t="shared" si="17"/>
        <v>0</v>
      </c>
      <c r="K31" s="140">
        <f t="shared" si="18"/>
        <v>0</v>
      </c>
      <c r="L31" s="140">
        <f t="shared" si="19"/>
        <v>0</v>
      </c>
      <c r="M31" s="140">
        <f t="shared" si="7"/>
        <v>28000</v>
      </c>
      <c r="N31" s="140">
        <f t="shared" si="20"/>
        <v>0</v>
      </c>
      <c r="O31" s="140">
        <f t="shared" si="21"/>
        <v>0</v>
      </c>
      <c r="P31" s="38">
        <f t="shared" si="22"/>
        <v>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43852</v>
      </c>
      <c r="B32" s="139"/>
      <c r="C32" s="140">
        <f t="shared" si="23"/>
        <v>0</v>
      </c>
      <c r="D32" s="139"/>
      <c r="E32" s="140">
        <f t="shared" si="24"/>
        <v>0</v>
      </c>
      <c r="F32" s="139"/>
      <c r="G32" s="140">
        <f t="shared" si="25"/>
        <v>0</v>
      </c>
      <c r="H32" s="139"/>
      <c r="I32" s="140">
        <f t="shared" si="16"/>
        <v>0</v>
      </c>
      <c r="J32" s="140">
        <f t="shared" si="17"/>
        <v>0</v>
      </c>
      <c r="K32" s="140">
        <f t="shared" si="18"/>
        <v>0</v>
      </c>
      <c r="L32" s="140">
        <f t="shared" si="19"/>
        <v>0</v>
      </c>
      <c r="M32" s="140">
        <f t="shared" si="7"/>
        <v>28000</v>
      </c>
      <c r="N32" s="140">
        <f t="shared" si="20"/>
        <v>0</v>
      </c>
      <c r="O32" s="140">
        <f t="shared" si="21"/>
        <v>0</v>
      </c>
      <c r="P32" s="38">
        <f t="shared" si="22"/>
        <v>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/>
      <c r="C33" s="140">
        <f t="shared" si="23"/>
        <v>0</v>
      </c>
      <c r="D33" s="139"/>
      <c r="E33" s="140">
        <f t="shared" si="24"/>
        <v>0</v>
      </c>
      <c r="F33" s="139"/>
      <c r="G33" s="140">
        <f t="shared" si="25"/>
        <v>0</v>
      </c>
      <c r="H33" s="139"/>
      <c r="I33" s="140">
        <f t="shared" si="16"/>
        <v>0</v>
      </c>
      <c r="J33" s="140">
        <f t="shared" si="17"/>
        <v>0</v>
      </c>
      <c r="K33" s="140">
        <f t="shared" si="18"/>
        <v>0</v>
      </c>
      <c r="L33" s="140">
        <f t="shared" si="19"/>
        <v>0</v>
      </c>
      <c r="M33" s="140">
        <f t="shared" si="7"/>
        <v>28000</v>
      </c>
      <c r="N33" s="140">
        <f t="shared" si="20"/>
        <v>0</v>
      </c>
      <c r="O33" s="140">
        <f t="shared" si="21"/>
        <v>0</v>
      </c>
      <c r="P33" s="38">
        <f t="shared" si="22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23"/>
        <v>0</v>
      </c>
      <c r="D34" s="139"/>
      <c r="E34" s="140">
        <f t="shared" si="24"/>
        <v>0</v>
      </c>
      <c r="F34" s="139"/>
      <c r="G34" s="140">
        <f t="shared" si="25"/>
        <v>0</v>
      </c>
      <c r="H34" s="139"/>
      <c r="I34" s="140">
        <f t="shared" si="16"/>
        <v>0</v>
      </c>
      <c r="J34" s="140">
        <f t="shared" si="17"/>
        <v>0</v>
      </c>
      <c r="K34" s="140">
        <f t="shared" si="18"/>
        <v>0</v>
      </c>
      <c r="L34" s="140">
        <f t="shared" si="19"/>
        <v>0</v>
      </c>
      <c r="M34" s="140">
        <f t="shared" si="7"/>
        <v>28000</v>
      </c>
      <c r="N34" s="140">
        <f t="shared" si="20"/>
        <v>0</v>
      </c>
      <c r="O34" s="140">
        <f t="shared" si="21"/>
        <v>0</v>
      </c>
      <c r="P34" s="38">
        <f t="shared" si="22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23"/>
        <v>0</v>
      </c>
      <c r="D35" s="139"/>
      <c r="E35" s="140">
        <f t="shared" si="24"/>
        <v>0</v>
      </c>
      <c r="F35" s="139"/>
      <c r="G35" s="140">
        <f t="shared" si="25"/>
        <v>0</v>
      </c>
      <c r="H35" s="139"/>
      <c r="I35" s="140">
        <f t="shared" si="16"/>
        <v>0</v>
      </c>
      <c r="J35" s="140">
        <f t="shared" si="17"/>
        <v>0</v>
      </c>
      <c r="K35" s="140">
        <f t="shared" si="18"/>
        <v>0</v>
      </c>
      <c r="L35" s="140">
        <f t="shared" si="19"/>
        <v>0</v>
      </c>
      <c r="M35" s="140">
        <f t="shared" si="7"/>
        <v>28000</v>
      </c>
      <c r="N35" s="140">
        <f t="shared" si="20"/>
        <v>0</v>
      </c>
      <c r="O35" s="140">
        <f t="shared" si="21"/>
        <v>0</v>
      </c>
      <c r="P35" s="38">
        <f t="shared" si="22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23"/>
        <v>0</v>
      </c>
      <c r="D36" s="139"/>
      <c r="E36" s="140">
        <f t="shared" si="24"/>
        <v>0</v>
      </c>
      <c r="F36" s="139"/>
      <c r="G36" s="140">
        <f t="shared" si="25"/>
        <v>0</v>
      </c>
      <c r="H36" s="139"/>
      <c r="I36" s="140">
        <f t="shared" si="16"/>
        <v>0</v>
      </c>
      <c r="J36" s="140">
        <f t="shared" si="17"/>
        <v>0</v>
      </c>
      <c r="K36" s="140">
        <f t="shared" si="18"/>
        <v>0</v>
      </c>
      <c r="L36" s="140">
        <f t="shared" si="19"/>
        <v>0</v>
      </c>
      <c r="M36" s="140">
        <f t="shared" si="7"/>
        <v>28000</v>
      </c>
      <c r="N36" s="140">
        <f t="shared" si="20"/>
        <v>0</v>
      </c>
      <c r="O36" s="140">
        <f t="shared" si="21"/>
        <v>0</v>
      </c>
      <c r="P36" s="38">
        <f t="shared" si="22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23"/>
        <v>0</v>
      </c>
      <c r="D37" s="139"/>
      <c r="E37" s="140">
        <f t="shared" si="24"/>
        <v>0</v>
      </c>
      <c r="F37" s="139"/>
      <c r="G37" s="140">
        <f t="shared" si="25"/>
        <v>0</v>
      </c>
      <c r="H37" s="139"/>
      <c r="I37" s="140">
        <f t="shared" si="16"/>
        <v>0</v>
      </c>
      <c r="J37" s="140">
        <f t="shared" si="17"/>
        <v>0</v>
      </c>
      <c r="K37" s="140">
        <f t="shared" si="18"/>
        <v>0</v>
      </c>
      <c r="L37" s="140">
        <f t="shared" si="19"/>
        <v>0</v>
      </c>
      <c r="M37" s="140">
        <f t="shared" si="7"/>
        <v>28000</v>
      </c>
      <c r="N37" s="140">
        <f t="shared" si="20"/>
        <v>0</v>
      </c>
      <c r="O37" s="140">
        <f t="shared" si="21"/>
        <v>0</v>
      </c>
      <c r="P37" s="38">
        <f t="shared" si="22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23"/>
        <v>0</v>
      </c>
      <c r="D38" s="139"/>
      <c r="E38" s="140">
        <f t="shared" si="24"/>
        <v>0</v>
      </c>
      <c r="F38" s="139"/>
      <c r="G38" s="140">
        <f t="shared" si="25"/>
        <v>0</v>
      </c>
      <c r="H38" s="139"/>
      <c r="I38" s="140">
        <f t="shared" si="16"/>
        <v>0</v>
      </c>
      <c r="J38" s="140">
        <f t="shared" si="17"/>
        <v>0</v>
      </c>
      <c r="K38" s="140">
        <f t="shared" si="18"/>
        <v>0</v>
      </c>
      <c r="L38" s="140">
        <f t="shared" si="19"/>
        <v>0</v>
      </c>
      <c r="M38" s="140">
        <f t="shared" si="7"/>
        <v>28000</v>
      </c>
      <c r="N38" s="140">
        <f t="shared" si="20"/>
        <v>0</v>
      </c>
      <c r="O38" s="140">
        <f t="shared" si="21"/>
        <v>0</v>
      </c>
      <c r="P38" s="38">
        <f t="shared" si="22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23"/>
        <v>0</v>
      </c>
      <c r="D39" s="139"/>
      <c r="E39" s="140">
        <f t="shared" si="24"/>
        <v>0</v>
      </c>
      <c r="F39" s="139"/>
      <c r="G39" s="140">
        <f t="shared" si="25"/>
        <v>0</v>
      </c>
      <c r="H39" s="139"/>
      <c r="I39" s="140">
        <f t="shared" si="16"/>
        <v>0</v>
      </c>
      <c r="J39" s="140">
        <f t="shared" si="17"/>
        <v>0</v>
      </c>
      <c r="K39" s="140">
        <f t="shared" si="18"/>
        <v>0</v>
      </c>
      <c r="L39" s="140">
        <f t="shared" si="19"/>
        <v>0</v>
      </c>
      <c r="M39" s="140">
        <f t="shared" si="7"/>
        <v>28000</v>
      </c>
      <c r="N39" s="140">
        <f t="shared" si="20"/>
        <v>0</v>
      </c>
      <c r="O39" s="140">
        <f t="shared" si="21"/>
        <v>0</v>
      </c>
      <c r="P39" s="38">
        <f t="shared" si="22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23"/>
        <v>0</v>
      </c>
      <c r="D40" s="139"/>
      <c r="E40" s="140">
        <f t="shared" si="24"/>
        <v>0</v>
      </c>
      <c r="F40" s="139"/>
      <c r="G40" s="140">
        <f t="shared" si="25"/>
        <v>0</v>
      </c>
      <c r="H40" s="139"/>
      <c r="I40" s="140">
        <f t="shared" si="16"/>
        <v>0</v>
      </c>
      <c r="J40" s="140">
        <f t="shared" si="17"/>
        <v>0</v>
      </c>
      <c r="K40" s="140">
        <f t="shared" si="18"/>
        <v>0</v>
      </c>
      <c r="L40" s="140">
        <f t="shared" si="19"/>
        <v>0</v>
      </c>
      <c r="M40" s="140">
        <f t="shared" si="7"/>
        <v>28000</v>
      </c>
      <c r="N40" s="140">
        <f t="shared" si="20"/>
        <v>0</v>
      </c>
      <c r="O40" s="140">
        <f t="shared" si="21"/>
        <v>0</v>
      </c>
      <c r="P40" s="38">
        <f t="shared" si="22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23"/>
        <v>0</v>
      </c>
      <c r="D41" s="139"/>
      <c r="E41" s="140">
        <f t="shared" si="24"/>
        <v>0</v>
      </c>
      <c r="F41" s="139"/>
      <c r="G41" s="140">
        <f t="shared" si="25"/>
        <v>0</v>
      </c>
      <c r="H41" s="139"/>
      <c r="I41" s="140">
        <f t="shared" si="16"/>
        <v>0</v>
      </c>
      <c r="J41" s="140">
        <f t="shared" si="17"/>
        <v>0</v>
      </c>
      <c r="K41" s="140">
        <f t="shared" si="18"/>
        <v>0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6">IF(AC42&gt;0,((B42-R42)+(S42-B43)),IF(B43=0, ,(B42-B43)))</f>
        <v>0</v>
      </c>
      <c r="D42" s="139"/>
      <c r="E42" s="140">
        <f t="shared" ref="E42" si="27">IF(AC42&gt;0,((D42-U42)+(V42-D43)),IF(D43=0, ,(D42-D43)))</f>
        <v>0</v>
      </c>
      <c r="F42" s="139"/>
      <c r="G42" s="140">
        <f t="shared" ref="G42" si="28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70</v>
      </c>
      <c r="D43" s="37"/>
      <c r="E43" s="140">
        <f>SUM(E11:E41)</f>
        <v>71</v>
      </c>
      <c r="F43" s="37"/>
      <c r="G43" s="140">
        <f>SUM(G11:G41)</f>
        <v>68</v>
      </c>
      <c r="H43" s="37"/>
      <c r="I43" s="140">
        <f>SUM(I11:I41)</f>
        <v>62</v>
      </c>
      <c r="J43" s="33"/>
      <c r="K43" s="33"/>
      <c r="L43" s="33"/>
      <c r="M43" s="33"/>
      <c r="N43" s="140">
        <f>SUM(N11:N41)</f>
        <v>18970</v>
      </c>
      <c r="O43" s="35">
        <f>N43*0.53</f>
        <v>10054.1</v>
      </c>
      <c r="P43" s="38">
        <f>O43*8.8038</f>
        <v>88514.285580000011</v>
      </c>
      <c r="Q43" s="238">
        <f>SUM(Q11:Q41)</f>
        <v>2000</v>
      </c>
      <c r="R43" s="239"/>
      <c r="S43" s="240"/>
      <c r="T43" s="241">
        <f>SUM(T11:T41)</f>
        <v>2000</v>
      </c>
      <c r="U43" s="239"/>
      <c r="V43" s="240"/>
      <c r="W43" s="241">
        <f>SUM(W11:W41)</f>
        <v>2000</v>
      </c>
      <c r="X43" s="239"/>
      <c r="Y43" s="240"/>
      <c r="Z43" s="241">
        <f>SUM(Z11:Z41)</f>
        <v>1740</v>
      </c>
      <c r="AA43" s="239"/>
      <c r="AB43" s="240"/>
      <c r="AC43" s="35">
        <f>SUM(AC11:AC41)</f>
        <v>7740</v>
      </c>
      <c r="AD43" s="33"/>
      <c r="AE43" s="33"/>
    </row>
    <row r="44" spans="1:31" ht="35.25" customHeight="1" thickBot="1" x14ac:dyDescent="0.35">
      <c r="B44" s="242"/>
      <c r="C44" s="243"/>
      <c r="D44" s="243"/>
      <c r="E44" s="243"/>
      <c r="F44" s="243"/>
      <c r="G44" s="243"/>
      <c r="H44" s="243"/>
      <c r="I44" s="244"/>
      <c r="J44" s="33"/>
      <c r="K44" s="33"/>
      <c r="L44" s="33"/>
      <c r="M44" s="33"/>
      <c r="N44" s="33"/>
      <c r="O44" s="33"/>
      <c r="P44" s="33"/>
      <c r="Q44" s="245">
        <f>Q43+T43+W43+Z43</f>
        <v>7740</v>
      </c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7"/>
      <c r="AC44" s="35">
        <f>Q43+T43+W43+Z43</f>
        <v>7740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8" t="s">
        <v>37</v>
      </c>
      <c r="I47" s="249"/>
      <c r="J47" s="250"/>
      <c r="K47" s="45">
        <f>N43</f>
        <v>18970</v>
      </c>
      <c r="L47" s="46">
        <f>O43</f>
        <v>10054.1</v>
      </c>
      <c r="M47" s="46">
        <f>P43</f>
        <v>88514.285580000011</v>
      </c>
    </row>
    <row r="48" spans="1:31" ht="54.75" customHeight="1" thickBot="1" x14ac:dyDescent="0.35">
      <c r="H48" s="235" t="s">
        <v>38</v>
      </c>
      <c r="I48" s="236"/>
      <c r="J48" s="237"/>
      <c r="K48" s="43">
        <f>AC43</f>
        <v>7740</v>
      </c>
      <c r="L48" s="44">
        <f>K48*0.53</f>
        <v>4102.2</v>
      </c>
      <c r="M48" s="44">
        <f>L48*8.8038</f>
        <v>36114.948360000002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3" sqref="B23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1"/>
      <c r="B1" s="282"/>
      <c r="C1" s="264" t="s">
        <v>58</v>
      </c>
      <c r="D1" s="265"/>
      <c r="E1" s="265"/>
      <c r="F1" s="265"/>
      <c r="G1" s="266"/>
      <c r="H1" s="273"/>
      <c r="I1" s="274"/>
      <c r="J1" s="50"/>
      <c r="K1" s="48"/>
      <c r="L1" s="48"/>
    </row>
    <row r="2" spans="1:20" ht="16.5" customHeight="1" x14ac:dyDescent="0.2">
      <c r="A2" s="283"/>
      <c r="B2" s="284"/>
      <c r="C2" s="267"/>
      <c r="D2" s="268"/>
      <c r="E2" s="268"/>
      <c r="F2" s="268"/>
      <c r="G2" s="269"/>
      <c r="H2" s="275"/>
      <c r="I2" s="276"/>
      <c r="J2" s="50"/>
      <c r="K2" s="48"/>
      <c r="L2" s="48"/>
    </row>
    <row r="3" spans="1:20" ht="48" customHeight="1" thickBot="1" x14ac:dyDescent="0.25">
      <c r="A3" s="285"/>
      <c r="B3" s="286"/>
      <c r="C3" s="270"/>
      <c r="D3" s="271"/>
      <c r="E3" s="271"/>
      <c r="F3" s="271"/>
      <c r="G3" s="272"/>
      <c r="H3" s="277"/>
      <c r="I3" s="278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3" t="s">
        <v>1</v>
      </c>
      <c r="B7" s="279" t="s">
        <v>42</v>
      </c>
      <c r="C7" s="279"/>
      <c r="D7" s="280" t="s">
        <v>43</v>
      </c>
      <c r="E7" s="280"/>
      <c r="F7" s="280"/>
      <c r="G7" s="280"/>
      <c r="H7" s="280"/>
      <c r="I7" s="280"/>
    </row>
    <row r="8" spans="1:20" s="27" customFormat="1" ht="28.5" customHeight="1" thickTop="1" thickBot="1" x14ac:dyDescent="0.25">
      <c r="A8" s="263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22" si="0">IF(B10&lt;B9,0,B10-B9)*10</f>
        <v>510</v>
      </c>
      <c r="D9" s="143">
        <v>17970206</v>
      </c>
      <c r="E9" s="142">
        <f t="shared" ref="E9:E22" si="1">IF(D10&lt;D9,0,D10-D9)</f>
        <v>4797</v>
      </c>
      <c r="F9" s="143">
        <v>32439245</v>
      </c>
      <c r="G9" s="142">
        <f t="shared" ref="G9:G22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0</v>
      </c>
      <c r="D22" s="143">
        <v>18028355</v>
      </c>
      <c r="E22" s="142">
        <f t="shared" si="1"/>
        <v>0</v>
      </c>
      <c r="F22" s="143">
        <v>32527040</v>
      </c>
      <c r="G22" s="142">
        <f t="shared" si="2"/>
        <v>0</v>
      </c>
      <c r="H22" s="143">
        <v>14385544</v>
      </c>
      <c r="I22" s="142">
        <f t="shared" si="5"/>
        <v>0</v>
      </c>
    </row>
    <row r="23" spans="1:9" ht="21" thickTop="1" thickBot="1" x14ac:dyDescent="0.35">
      <c r="A23" s="59">
        <f t="shared" si="4"/>
        <v>43838</v>
      </c>
      <c r="B23" s="141"/>
      <c r="C23" s="142">
        <f t="shared" ref="C22:C46" si="6">IF(B24&lt;B23,0,B24-B23)*10</f>
        <v>0</v>
      </c>
      <c r="D23" s="143"/>
      <c r="E23" s="142">
        <f t="shared" ref="E22:E46" si="7">IF(D24&lt;D23,0,D24-D23)</f>
        <v>0</v>
      </c>
      <c r="F23" s="143"/>
      <c r="G23" s="142">
        <f t="shared" ref="G22:G46" si="8">IF(F24&lt;F23,0,F24-F23)</f>
        <v>0</v>
      </c>
      <c r="H23" s="143"/>
      <c r="I23" s="142">
        <f t="shared" si="5"/>
        <v>0</v>
      </c>
    </row>
    <row r="24" spans="1:9" ht="21" thickTop="1" thickBot="1" x14ac:dyDescent="0.35">
      <c r="A24" s="59">
        <f t="shared" si="4"/>
        <v>43839</v>
      </c>
      <c r="B24" s="141"/>
      <c r="C24" s="142">
        <f t="shared" si="6"/>
        <v>0</v>
      </c>
      <c r="D24" s="143"/>
      <c r="E24" s="142">
        <f t="shared" si="7"/>
        <v>0</v>
      </c>
      <c r="F24" s="143"/>
      <c r="G24" s="142">
        <f t="shared" si="8"/>
        <v>0</v>
      </c>
      <c r="H24" s="143"/>
      <c r="I24" s="142">
        <f t="shared" si="5"/>
        <v>0</v>
      </c>
    </row>
    <row r="25" spans="1:9" ht="21" thickTop="1" thickBot="1" x14ac:dyDescent="0.35">
      <c r="A25" s="59">
        <f t="shared" si="4"/>
        <v>43840</v>
      </c>
      <c r="B25" s="141"/>
      <c r="C25" s="142">
        <f t="shared" si="6"/>
        <v>0</v>
      </c>
      <c r="D25" s="143"/>
      <c r="E25" s="142">
        <f t="shared" si="7"/>
        <v>0</v>
      </c>
      <c r="F25" s="143"/>
      <c r="G25" s="142">
        <f t="shared" si="8"/>
        <v>0</v>
      </c>
      <c r="H25" s="143"/>
      <c r="I25" s="142">
        <f t="shared" si="5"/>
        <v>0</v>
      </c>
    </row>
    <row r="26" spans="1:9" ht="21" thickTop="1" thickBot="1" x14ac:dyDescent="0.35">
      <c r="A26" s="59">
        <f t="shared" si="4"/>
        <v>43841</v>
      </c>
      <c r="B26" s="141"/>
      <c r="C26" s="142">
        <f t="shared" si="6"/>
        <v>0</v>
      </c>
      <c r="D26" s="143"/>
      <c r="E26" s="142">
        <f t="shared" si="7"/>
        <v>0</v>
      </c>
      <c r="F26" s="143"/>
      <c r="G26" s="142">
        <f t="shared" si="8"/>
        <v>0</v>
      </c>
      <c r="H26" s="143"/>
      <c r="I26" s="142">
        <f t="shared" si="5"/>
        <v>0</v>
      </c>
    </row>
    <row r="27" spans="1:9" ht="21" thickTop="1" thickBot="1" x14ac:dyDescent="0.35">
      <c r="A27" s="59">
        <f t="shared" si="4"/>
        <v>43842</v>
      </c>
      <c r="B27" s="141"/>
      <c r="C27" s="142">
        <f t="shared" si="6"/>
        <v>0</v>
      </c>
      <c r="D27" s="143"/>
      <c r="E27" s="142">
        <f t="shared" si="7"/>
        <v>0</v>
      </c>
      <c r="F27" s="143"/>
      <c r="G27" s="142">
        <f t="shared" si="8"/>
        <v>0</v>
      </c>
      <c r="H27" s="143"/>
      <c r="I27" s="142">
        <f t="shared" si="5"/>
        <v>0</v>
      </c>
    </row>
    <row r="28" spans="1:9" ht="21" thickTop="1" thickBot="1" x14ac:dyDescent="0.35">
      <c r="A28" s="59">
        <f t="shared" si="4"/>
        <v>43843</v>
      </c>
      <c r="B28" s="141"/>
      <c r="C28" s="142">
        <f t="shared" si="6"/>
        <v>0</v>
      </c>
      <c r="D28" s="143"/>
      <c r="E28" s="142">
        <f t="shared" si="7"/>
        <v>0</v>
      </c>
      <c r="F28" s="143"/>
      <c r="G28" s="142">
        <f t="shared" si="8"/>
        <v>0</v>
      </c>
      <c r="H28" s="143"/>
      <c r="I28" s="142">
        <f t="shared" si="5"/>
        <v>0</v>
      </c>
    </row>
    <row r="29" spans="1:9" ht="21" thickTop="1" thickBot="1" x14ac:dyDescent="0.35">
      <c r="A29" s="59">
        <f t="shared" si="4"/>
        <v>43844</v>
      </c>
      <c r="B29" s="141"/>
      <c r="C29" s="142">
        <f t="shared" si="6"/>
        <v>0</v>
      </c>
      <c r="D29" s="143"/>
      <c r="E29" s="142">
        <f t="shared" si="7"/>
        <v>0</v>
      </c>
      <c r="F29" s="143"/>
      <c r="G29" s="142">
        <f t="shared" si="8"/>
        <v>0</v>
      </c>
      <c r="H29" s="143"/>
      <c r="I29" s="142">
        <f t="shared" si="5"/>
        <v>0</v>
      </c>
    </row>
    <row r="30" spans="1:9" ht="21" thickTop="1" thickBot="1" x14ac:dyDescent="0.35">
      <c r="A30" s="59">
        <f t="shared" si="4"/>
        <v>43845</v>
      </c>
      <c r="B30" s="141"/>
      <c r="C30" s="142">
        <f t="shared" si="6"/>
        <v>0</v>
      </c>
      <c r="D30" s="143"/>
      <c r="E30" s="142">
        <f t="shared" si="7"/>
        <v>0</v>
      </c>
      <c r="F30" s="143"/>
      <c r="G30" s="142">
        <f t="shared" si="8"/>
        <v>0</v>
      </c>
      <c r="H30" s="143"/>
      <c r="I30" s="142">
        <f t="shared" si="5"/>
        <v>0</v>
      </c>
    </row>
    <row r="31" spans="1:9" ht="21" thickTop="1" thickBot="1" x14ac:dyDescent="0.35">
      <c r="A31" s="59">
        <f>A30+1</f>
        <v>43846</v>
      </c>
      <c r="B31" s="141"/>
      <c r="C31" s="142">
        <f t="shared" si="6"/>
        <v>0</v>
      </c>
      <c r="D31" s="143"/>
      <c r="E31" s="142">
        <f t="shared" si="7"/>
        <v>0</v>
      </c>
      <c r="F31" s="143"/>
      <c r="G31" s="142">
        <f t="shared" si="8"/>
        <v>0</v>
      </c>
      <c r="H31" s="143"/>
      <c r="I31" s="142">
        <f t="shared" si="5"/>
        <v>0</v>
      </c>
    </row>
    <row r="32" spans="1:9" ht="21" thickTop="1" thickBot="1" x14ac:dyDescent="0.35">
      <c r="A32" s="59">
        <f t="shared" si="4"/>
        <v>43847</v>
      </c>
      <c r="B32" s="141"/>
      <c r="C32" s="142">
        <f t="shared" si="6"/>
        <v>0</v>
      </c>
      <c r="D32" s="143"/>
      <c r="E32" s="142">
        <f t="shared" si="7"/>
        <v>0</v>
      </c>
      <c r="F32" s="143"/>
      <c r="G32" s="142">
        <f t="shared" si="8"/>
        <v>0</v>
      </c>
      <c r="H32" s="143"/>
      <c r="I32" s="142">
        <f t="shared" si="5"/>
        <v>0</v>
      </c>
    </row>
    <row r="33" spans="1:9" ht="21" thickTop="1" thickBot="1" x14ac:dyDescent="0.35">
      <c r="A33" s="59">
        <f t="shared" si="4"/>
        <v>43848</v>
      </c>
      <c r="B33" s="141"/>
      <c r="C33" s="142">
        <f t="shared" si="6"/>
        <v>0</v>
      </c>
      <c r="D33" s="143"/>
      <c r="E33" s="142">
        <f t="shared" si="7"/>
        <v>0</v>
      </c>
      <c r="F33" s="143"/>
      <c r="G33" s="142">
        <f t="shared" si="8"/>
        <v>0</v>
      </c>
      <c r="H33" s="143"/>
      <c r="I33" s="142">
        <f t="shared" si="5"/>
        <v>0</v>
      </c>
    </row>
    <row r="34" spans="1:9" ht="21" thickTop="1" thickBot="1" x14ac:dyDescent="0.35">
      <c r="A34" s="59">
        <f t="shared" si="4"/>
        <v>43849</v>
      </c>
      <c r="B34" s="141"/>
      <c r="C34" s="142">
        <f t="shared" si="6"/>
        <v>0</v>
      </c>
      <c r="D34" s="143"/>
      <c r="E34" s="142">
        <f t="shared" si="7"/>
        <v>0</v>
      </c>
      <c r="F34" s="143"/>
      <c r="G34" s="142">
        <f t="shared" si="8"/>
        <v>0</v>
      </c>
      <c r="H34" s="143"/>
      <c r="I34" s="142">
        <f t="shared" si="5"/>
        <v>0</v>
      </c>
    </row>
    <row r="35" spans="1:9" ht="21" thickTop="1" thickBot="1" x14ac:dyDescent="0.35">
      <c r="A35" s="59">
        <f t="shared" si="4"/>
        <v>43850</v>
      </c>
      <c r="B35" s="141"/>
      <c r="C35" s="142">
        <f t="shared" si="6"/>
        <v>0</v>
      </c>
      <c r="D35" s="143"/>
      <c r="E35" s="142">
        <f t="shared" si="7"/>
        <v>0</v>
      </c>
      <c r="F35" s="143"/>
      <c r="G35" s="142">
        <f t="shared" si="8"/>
        <v>0</v>
      </c>
      <c r="H35" s="143"/>
      <c r="I35" s="142">
        <f t="shared" si="5"/>
        <v>0</v>
      </c>
    </row>
    <row r="36" spans="1:9" ht="21" thickTop="1" thickBot="1" x14ac:dyDescent="0.35">
      <c r="A36" s="59">
        <f t="shared" si="4"/>
        <v>43851</v>
      </c>
      <c r="B36" s="141"/>
      <c r="C36" s="142">
        <f t="shared" si="6"/>
        <v>0</v>
      </c>
      <c r="D36" s="143"/>
      <c r="E36" s="142">
        <f t="shared" si="7"/>
        <v>0</v>
      </c>
      <c r="F36" s="143"/>
      <c r="G36" s="142">
        <f t="shared" si="8"/>
        <v>0</v>
      </c>
      <c r="H36" s="143"/>
      <c r="I36" s="142">
        <f t="shared" si="5"/>
        <v>0</v>
      </c>
    </row>
    <row r="37" spans="1:9" ht="21" thickTop="1" thickBot="1" x14ac:dyDescent="0.35">
      <c r="A37" s="59">
        <f t="shared" si="4"/>
        <v>43852</v>
      </c>
      <c r="B37" s="141"/>
      <c r="C37" s="142">
        <f t="shared" si="6"/>
        <v>0</v>
      </c>
      <c r="D37" s="143"/>
      <c r="E37" s="142">
        <f t="shared" si="7"/>
        <v>0</v>
      </c>
      <c r="F37" s="143"/>
      <c r="G37" s="142">
        <f t="shared" si="8"/>
        <v>0</v>
      </c>
      <c r="H37" s="143"/>
      <c r="I37" s="142">
        <f t="shared" si="5"/>
        <v>0</v>
      </c>
    </row>
    <row r="38" spans="1:9" ht="21" thickTop="1" thickBot="1" x14ac:dyDescent="0.35">
      <c r="A38" s="59">
        <f t="shared" si="4"/>
        <v>43853</v>
      </c>
      <c r="B38" s="141"/>
      <c r="C38" s="142">
        <f t="shared" si="6"/>
        <v>0</v>
      </c>
      <c r="D38" s="143"/>
      <c r="E38" s="142">
        <f t="shared" si="7"/>
        <v>0</v>
      </c>
      <c r="F38" s="143"/>
      <c r="G38" s="142">
        <f t="shared" si="8"/>
        <v>0</v>
      </c>
      <c r="H38" s="143"/>
      <c r="I38" s="142">
        <f t="shared" si="5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6"/>
        <v>0</v>
      </c>
      <c r="D39" s="143"/>
      <c r="E39" s="142">
        <f t="shared" si="7"/>
        <v>0</v>
      </c>
      <c r="F39" s="143"/>
      <c r="G39" s="142">
        <f t="shared" si="8"/>
        <v>0</v>
      </c>
      <c r="H39" s="143"/>
      <c r="I39" s="142">
        <f t="shared" si="5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6"/>
        <v>0</v>
      </c>
      <c r="D40" s="143"/>
      <c r="E40" s="142">
        <f t="shared" si="7"/>
        <v>0</v>
      </c>
      <c r="F40" s="143"/>
      <c r="G40" s="142">
        <f t="shared" si="8"/>
        <v>0</v>
      </c>
      <c r="H40" s="143"/>
      <c r="I40" s="142">
        <f t="shared" si="5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6"/>
        <v>0</v>
      </c>
      <c r="D41" s="143"/>
      <c r="E41" s="142">
        <f t="shared" si="7"/>
        <v>0</v>
      </c>
      <c r="F41" s="143"/>
      <c r="G41" s="142">
        <f t="shared" si="8"/>
        <v>0</v>
      </c>
      <c r="H41" s="143"/>
      <c r="I41" s="142">
        <f t="shared" si="5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6"/>
        <v>0</v>
      </c>
      <c r="D42" s="143"/>
      <c r="E42" s="142">
        <f t="shared" si="7"/>
        <v>0</v>
      </c>
      <c r="F42" s="143"/>
      <c r="G42" s="142">
        <f t="shared" si="8"/>
        <v>0</v>
      </c>
      <c r="H42" s="143"/>
      <c r="I42" s="142">
        <f t="shared" si="5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6"/>
        <v>0</v>
      </c>
      <c r="D43" s="143"/>
      <c r="E43" s="142">
        <f t="shared" si="7"/>
        <v>0</v>
      </c>
      <c r="F43" s="143"/>
      <c r="G43" s="142">
        <f t="shared" si="8"/>
        <v>0</v>
      </c>
      <c r="H43" s="143"/>
      <c r="I43" s="142">
        <f t="shared" si="5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6"/>
        <v>0</v>
      </c>
      <c r="D44" s="143"/>
      <c r="E44" s="142">
        <f t="shared" si="7"/>
        <v>0</v>
      </c>
      <c r="F44" s="143"/>
      <c r="G44" s="142">
        <f t="shared" si="8"/>
        <v>0</v>
      </c>
      <c r="H44" s="143"/>
      <c r="I44" s="142">
        <f t="shared" si="5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6"/>
        <v>0</v>
      </c>
      <c r="D45" s="143"/>
      <c r="E45" s="142">
        <f t="shared" si="7"/>
        <v>0</v>
      </c>
      <c r="F45" s="143"/>
      <c r="G45" s="142">
        <f t="shared" si="8"/>
        <v>0</v>
      </c>
      <c r="H45" s="143"/>
      <c r="I45" s="142">
        <f t="shared" si="5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6"/>
        <v>0</v>
      </c>
      <c r="D46" s="143"/>
      <c r="E46" s="142">
        <f t="shared" si="7"/>
        <v>0</v>
      </c>
      <c r="F46" s="143"/>
      <c r="G46" s="142">
        <f t="shared" si="8"/>
        <v>0</v>
      </c>
      <c r="H46" s="143"/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2910</v>
      </c>
      <c r="E48" s="142">
        <f>SUM(E16:E46)</f>
        <v>25367</v>
      </c>
      <c r="F48" s="84"/>
      <c r="G48" s="142">
        <f>SUM(G16:G46)</f>
        <v>39182</v>
      </c>
      <c r="H48" s="84"/>
      <c r="I48" s="142">
        <f>SUM(I16:I46)</f>
        <v>17815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40" priority="2938" stopIfTrue="1" operator="lessThanOrEqual">
      <formula>0</formula>
    </cfRule>
  </conditionalFormatting>
  <conditionalFormatting sqref="C48">
    <cfRule type="cellIs" dxfId="39" priority="48" stopIfTrue="1" operator="lessThanOrEqual">
      <formula>0</formula>
    </cfRule>
  </conditionalFormatting>
  <conditionalFormatting sqref="C48">
    <cfRule type="cellIs" dxfId="38" priority="47" stopIfTrue="1" operator="lessThanOrEqual">
      <formula>0</formula>
    </cfRule>
  </conditionalFormatting>
  <conditionalFormatting sqref="C48">
    <cfRule type="cellIs" dxfId="37" priority="46" stopIfTrue="1" operator="lessThanOrEqual">
      <formula>0</formula>
    </cfRule>
  </conditionalFormatting>
  <conditionalFormatting sqref="C48">
    <cfRule type="cellIs" dxfId="36" priority="45" stopIfTrue="1" operator="lessThanOrEqual">
      <formula>0</formula>
    </cfRule>
  </conditionalFormatting>
  <conditionalFormatting sqref="C47">
    <cfRule type="cellIs" dxfId="35" priority="44" stopIfTrue="1" operator="lessThanOrEqual">
      <formula>0</formula>
    </cfRule>
  </conditionalFormatting>
  <conditionalFormatting sqref="C47">
    <cfRule type="cellIs" dxfId="34" priority="43" stopIfTrue="1" operator="lessThanOrEqual">
      <formula>0</formula>
    </cfRule>
  </conditionalFormatting>
  <conditionalFormatting sqref="C47">
    <cfRule type="cellIs" dxfId="33" priority="42" stopIfTrue="1" operator="lessThanOrEqual">
      <formula>0</formula>
    </cfRule>
  </conditionalFormatting>
  <conditionalFormatting sqref="C47">
    <cfRule type="cellIs" dxfId="32" priority="41" stopIfTrue="1" operator="lessThanOrEqual">
      <formula>0</formula>
    </cfRule>
  </conditionalFormatting>
  <conditionalFormatting sqref="C9:C15 C23:C46">
    <cfRule type="cellIs" dxfId="31" priority="36" stopIfTrue="1" operator="lessThanOrEqual">
      <formula>0</formula>
    </cfRule>
  </conditionalFormatting>
  <conditionalFormatting sqref="C9:C15 C23:C46">
    <cfRule type="cellIs" dxfId="30" priority="35" stopIfTrue="1" operator="lessThanOrEqual">
      <formula>0</formula>
    </cfRule>
  </conditionalFormatting>
  <conditionalFormatting sqref="C9:C15 C23:C46">
    <cfRule type="cellIs" dxfId="29" priority="34" stopIfTrue="1" operator="lessThanOrEqual">
      <formula>0</formula>
    </cfRule>
  </conditionalFormatting>
  <conditionalFormatting sqref="C9:C15 C23:C46">
    <cfRule type="cellIs" dxfId="28" priority="33" stopIfTrue="1" operator="lessThanOrEqual">
      <formula>0</formula>
    </cfRule>
  </conditionalFormatting>
  <conditionalFormatting sqref="C16">
    <cfRule type="cellIs" dxfId="27" priority="32" stopIfTrue="1" operator="lessThanOrEqual">
      <formula>0</formula>
    </cfRule>
  </conditionalFormatting>
  <conditionalFormatting sqref="C16">
    <cfRule type="cellIs" dxfId="26" priority="31" stopIfTrue="1" operator="lessThanOrEqual">
      <formula>0</formula>
    </cfRule>
  </conditionalFormatting>
  <conditionalFormatting sqref="C16">
    <cfRule type="cellIs" dxfId="25" priority="30" stopIfTrue="1" operator="lessThanOrEqual">
      <formula>0</formula>
    </cfRule>
  </conditionalFormatting>
  <conditionalFormatting sqref="C16">
    <cfRule type="cellIs" dxfId="24" priority="29" stopIfTrue="1" operator="lessThanOrEqual">
      <formula>0</formula>
    </cfRule>
  </conditionalFormatting>
  <conditionalFormatting sqref="I48 G48 E48">
    <cfRule type="cellIs" dxfId="23" priority="20" stopIfTrue="1" operator="lessThanOrEqual">
      <formula>0</formula>
    </cfRule>
  </conditionalFormatting>
  <conditionalFormatting sqref="I48 G48 E48">
    <cfRule type="cellIs" dxfId="22" priority="19" stopIfTrue="1" operator="lessThanOrEqual">
      <formula>0</formula>
    </cfRule>
  </conditionalFormatting>
  <conditionalFormatting sqref="I48 G48 E48">
    <cfRule type="cellIs" dxfId="21" priority="18" stopIfTrue="1" operator="lessThanOrEqual">
      <formula>0</formula>
    </cfRule>
  </conditionalFormatting>
  <conditionalFormatting sqref="I48 G48 E48">
    <cfRule type="cellIs" dxfId="20" priority="17" stopIfTrue="1" operator="lessThanOrEqual">
      <formula>0</formula>
    </cfRule>
  </conditionalFormatting>
  <conditionalFormatting sqref="C17">
    <cfRule type="cellIs" dxfId="19" priority="16" stopIfTrue="1" operator="lessThanOrEqual">
      <formula>0</formula>
    </cfRule>
  </conditionalFormatting>
  <conditionalFormatting sqref="C17">
    <cfRule type="cellIs" dxfId="18" priority="15" stopIfTrue="1" operator="lessThanOrEqual">
      <formula>0</formula>
    </cfRule>
  </conditionalFormatting>
  <conditionalFormatting sqref="C17">
    <cfRule type="cellIs" dxfId="17" priority="14" stopIfTrue="1" operator="lessThanOrEqual">
      <formula>0</formula>
    </cfRule>
  </conditionalFormatting>
  <conditionalFormatting sqref="C17">
    <cfRule type="cellIs" dxfId="16" priority="13" stopIfTrue="1" operator="lessThanOrEqual">
      <formula>0</formula>
    </cfRule>
  </conditionalFormatting>
  <conditionalFormatting sqref="C18">
    <cfRule type="cellIs" dxfId="15" priority="12" stopIfTrue="1" operator="lessThanOrEqual">
      <formula>0</formula>
    </cfRule>
  </conditionalFormatting>
  <conditionalFormatting sqref="C18">
    <cfRule type="cellIs" dxfId="14" priority="11" stopIfTrue="1" operator="lessThanOrEqual">
      <formula>0</formula>
    </cfRule>
  </conditionalFormatting>
  <conditionalFormatting sqref="C18">
    <cfRule type="cellIs" dxfId="13" priority="10" stopIfTrue="1" operator="lessThanOrEqual">
      <formula>0</formula>
    </cfRule>
  </conditionalFormatting>
  <conditionalFormatting sqref="C18">
    <cfRule type="cellIs" dxfId="12" priority="9" stopIfTrue="1" operator="lessThanOrEqual">
      <formula>0</formula>
    </cfRule>
  </conditionalFormatting>
  <conditionalFormatting sqref="C19:C21">
    <cfRule type="cellIs" dxfId="11" priority="8" stopIfTrue="1" operator="lessThanOrEqual">
      <formula>0</formula>
    </cfRule>
  </conditionalFormatting>
  <conditionalFormatting sqref="C19:C21">
    <cfRule type="cellIs" dxfId="10" priority="7" stopIfTrue="1" operator="lessThanOrEqual">
      <formula>0</formula>
    </cfRule>
  </conditionalFormatting>
  <conditionalFormatting sqref="C19:C21">
    <cfRule type="cellIs" dxfId="9" priority="6" stopIfTrue="1" operator="lessThanOrEqual">
      <formula>0</formula>
    </cfRule>
  </conditionalFormatting>
  <conditionalFormatting sqref="C19:C21">
    <cfRule type="cellIs" dxfId="8" priority="5" stopIfTrue="1" operator="lessThanOrEqual">
      <formula>0</formula>
    </cfRule>
  </conditionalFormatting>
  <conditionalFormatting sqref="C22">
    <cfRule type="cellIs" dxfId="7" priority="4" stopIfTrue="1" operator="lessThanOrEqual">
      <formula>0</formula>
    </cfRule>
  </conditionalFormatting>
  <conditionalFormatting sqref="C22">
    <cfRule type="cellIs" dxfId="5" priority="3" stopIfTrue="1" operator="lessThanOrEqual">
      <formula>0</formula>
    </cfRule>
  </conditionalFormatting>
  <conditionalFormatting sqref="C22">
    <cfRule type="cellIs" dxfId="3" priority="2" stopIfTrue="1" operator="lessThanOrEqual">
      <formula>0</formula>
    </cfRule>
  </conditionalFormatting>
  <conditionalFormatting sqref="C22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2020-01-07T12:08:03Z</dcterms:modified>
</cp:coreProperties>
</file>