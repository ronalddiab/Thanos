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3 FS Tokyo at Otemachi_HEP_Daily\"/>
    </mc:Choice>
  </mc:AlternateContent>
  <xr:revisionPtr revIDLastSave="0" documentId="13_ncr:1_{CE41D215-98D2-44F3-B8B1-2A0B7F18A8A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<sst xmlns="http://schemas.openxmlformats.org/spreadsheetml/2006/main" count="66" uniqueCount="32">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</sst>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>
        <row r="387">
          <cell r="G387"/>
          <cell r="H387"/>
          <cell r="I387"/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/>
          <cell r="H388"/>
          <cell r="I388"/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36.5</v>
          </cell>
        </row>
        <row r="23">
          <cell r="M23" t="e">
            <v>#DIV/0!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U13" sqref="U12:U13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2023</v>
      </c>
      <c r="E2" s="9">
        <f>'Otemachi Daily'!D5</f>
        <v>0</v>
      </c>
      <c r="F2" s="34">
        <f>[1]見込!$G$3</f>
        <v>36.5</v>
      </c>
      <c r="G2" s="9">
        <f>'Otemachi Daily'!F5</f>
        <v>0</v>
      </c>
      <c r="H2" s="34" t="e">
        <f>[1]見込!$M$23</f>
        <v>#DIV/0!</v>
      </c>
      <c r="I2" s="9">
        <f>'Otemachi Daily'!H5</f>
        <v>0</v>
      </c>
      <c r="J2" s="34">
        <v>10.79</v>
      </c>
      <c r="K2" s="9">
        <f>'Otemachi Daily'!J5</f>
        <v>0</v>
      </c>
      <c r="L2" s="34">
        <v>7.22</v>
      </c>
      <c r="M2" s="9">
        <f>'Otemachi Daily'!L5</f>
        <v>0</v>
      </c>
      <c r="N2" s="34">
        <v>741</v>
      </c>
      <c r="O2" s="9">
        <f>'Otemachi Daily'!M5</f>
        <v>0</v>
      </c>
      <c r="P2" s="9">
        <f>'Otemachi Daily'!N5</f>
        <v>0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2023</v>
      </c>
      <c r="E3" s="9">
        <f>'Otemachi Daily'!D6</f>
        <v>0</v>
      </c>
      <c r="F3" s="34">
        <f>[1]見込!$G$3</f>
        <v>36.5</v>
      </c>
      <c r="G3" s="9">
        <f>'Otemachi Daily'!F6</f>
        <v>0</v>
      </c>
      <c r="H3" s="34" t="e">
        <f>[1]見込!$M$23</f>
        <v>#DIV/0!</v>
      </c>
      <c r="I3" s="9">
        <f>'Otemachi Daily'!H6</f>
        <v>0</v>
      </c>
      <c r="J3" s="34">
        <v>10.79</v>
      </c>
      <c r="K3" s="9">
        <f>'Otemachi Daily'!J6</f>
        <v>0</v>
      </c>
      <c r="L3" s="34">
        <v>7.22</v>
      </c>
      <c r="M3" s="9">
        <f>'Otemachi Daily'!L6</f>
        <v>0</v>
      </c>
      <c r="N3" s="34">
        <v>741</v>
      </c>
      <c r="O3" s="9">
        <f>'Otemachi Daily'!M6</f>
        <v>0</v>
      </c>
      <c r="P3" s="9">
        <f>'Otemachi Daily'!N6</f>
        <v>0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2023</v>
      </c>
      <c r="E4" s="9">
        <f>'Otemachi Daily'!D7</f>
        <v>0</v>
      </c>
      <c r="F4" s="34">
        <f>[1]見込!$G$3</f>
        <v>36.5</v>
      </c>
      <c r="G4" s="9">
        <f>'Otemachi Daily'!F7</f>
        <v>0</v>
      </c>
      <c r="H4" s="34" t="e">
        <f>[1]見込!$M$23</f>
        <v>#DIV/0!</v>
      </c>
      <c r="I4" s="9">
        <f>'Otemachi Daily'!H7</f>
        <v>0</v>
      </c>
      <c r="J4" s="34">
        <v>10.79</v>
      </c>
      <c r="K4" s="9">
        <f>'Otemachi Daily'!J7</f>
        <v>0</v>
      </c>
      <c r="L4" s="34">
        <v>7.22</v>
      </c>
      <c r="M4" s="9">
        <f>'Otemachi Daily'!L7</f>
        <v>0</v>
      </c>
      <c r="N4" s="34">
        <v>741</v>
      </c>
      <c r="O4" s="9">
        <f>'Otemachi Daily'!M7</f>
        <v>0</v>
      </c>
      <c r="P4" s="9">
        <f>'Otemachi Daily'!N7</f>
        <v>0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2023</v>
      </c>
      <c r="E5" s="9">
        <f>'Otemachi Daily'!D8</f>
        <v>0</v>
      </c>
      <c r="F5" s="34">
        <f>[1]見込!$G$3</f>
        <v>36.5</v>
      </c>
      <c r="G5" s="9">
        <f>'Otemachi Daily'!F8</f>
        <v>0</v>
      </c>
      <c r="H5" s="34" t="e">
        <f>[1]見込!$M$23</f>
        <v>#DIV/0!</v>
      </c>
      <c r="I5" s="9">
        <f>'Otemachi Daily'!H8</f>
        <v>0</v>
      </c>
      <c r="J5" s="34">
        <v>10.79</v>
      </c>
      <c r="K5" s="9">
        <f>'Otemachi Daily'!J8</f>
        <v>0</v>
      </c>
      <c r="L5" s="34">
        <v>7.22</v>
      </c>
      <c r="M5" s="9">
        <f>'Otemachi Daily'!L8</f>
        <v>0</v>
      </c>
      <c r="N5" s="34">
        <v>741</v>
      </c>
      <c r="O5" s="9">
        <f>'Otemachi Daily'!M8</f>
        <v>0</v>
      </c>
      <c r="P5" s="9">
        <f>'Otemachi Daily'!N8</f>
        <v>0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2023</v>
      </c>
      <c r="E6" s="9">
        <f>'Otemachi Daily'!D9</f>
        <v>0</v>
      </c>
      <c r="F6" s="34">
        <f>[1]見込!$G$3</f>
        <v>36.5</v>
      </c>
      <c r="G6" s="9">
        <f>'Otemachi Daily'!F9</f>
        <v>0</v>
      </c>
      <c r="H6" s="34" t="e">
        <f>[1]見込!$M$23</f>
        <v>#DIV/0!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2023</v>
      </c>
      <c r="E7" s="9">
        <f>'Otemachi Daily'!D10</f>
        <v>0</v>
      </c>
      <c r="F7" s="34">
        <f>[1]見込!$G$3</f>
        <v>36.5</v>
      </c>
      <c r="G7" s="9">
        <f>'Otemachi Daily'!F10</f>
        <v>0</v>
      </c>
      <c r="H7" s="34" t="e">
        <f>[1]見込!$M$23</f>
        <v>#DIV/0!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2023</v>
      </c>
      <c r="E8" s="9">
        <f>'Otemachi Daily'!D11</f>
        <v>0</v>
      </c>
      <c r="F8" s="34">
        <f>[1]見込!$G$3</f>
        <v>36.5</v>
      </c>
      <c r="G8" s="9">
        <f>'Otemachi Daily'!F11</f>
        <v>0</v>
      </c>
      <c r="H8" s="34" t="e">
        <f>[1]見込!$M$23</f>
        <v>#DIV/0!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2023</v>
      </c>
      <c r="E9" s="9">
        <f>'Otemachi Daily'!D12</f>
        <v>0</v>
      </c>
      <c r="F9" s="34">
        <f>[1]見込!$G$3</f>
        <v>36.5</v>
      </c>
      <c r="G9" s="9">
        <f>'Otemachi Daily'!F12</f>
        <v>0</v>
      </c>
      <c r="H9" s="34" t="e">
        <f>[1]見込!$M$23</f>
        <v>#DIV/0!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2023</v>
      </c>
      <c r="E10" s="9">
        <f>'Otemachi Daily'!D13</f>
        <v>0</v>
      </c>
      <c r="F10" s="34">
        <f>[1]見込!$G$3</f>
        <v>36.5</v>
      </c>
      <c r="G10" s="9">
        <f>'Otemachi Daily'!F13</f>
        <v>0</v>
      </c>
      <c r="H10" s="34" t="e">
        <f>[1]見込!$M$23</f>
        <v>#DIV/0!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2023</v>
      </c>
      <c r="E11" s="9">
        <f>'Otemachi Daily'!D14</f>
        <v>0</v>
      </c>
      <c r="F11" s="34">
        <f>[1]見込!$G$3</f>
        <v>36.5</v>
      </c>
      <c r="G11" s="9">
        <f>'Otemachi Daily'!F14</f>
        <v>0</v>
      </c>
      <c r="H11" s="34" t="e">
        <f>[1]見込!$M$23</f>
        <v>#DIV/0!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2023</v>
      </c>
      <c r="E12" s="9">
        <f>'Otemachi Daily'!D15</f>
        <v>0</v>
      </c>
      <c r="F12" s="34">
        <f>[1]見込!$G$3</f>
        <v>36.5</v>
      </c>
      <c r="G12" s="9">
        <f>'Otemachi Daily'!F15</f>
        <v>0</v>
      </c>
      <c r="H12" s="34" t="e">
        <f>[1]見込!$M$23</f>
        <v>#DIV/0!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2023</v>
      </c>
      <c r="E13" s="9">
        <f>'Otemachi Daily'!D16</f>
        <v>0</v>
      </c>
      <c r="F13" s="34">
        <f>[1]見込!$G$3</f>
        <v>36.5</v>
      </c>
      <c r="G13" s="9">
        <f>'Otemachi Daily'!F16</f>
        <v>0</v>
      </c>
      <c r="H13" s="34" t="e">
        <f>[1]見込!$M$23</f>
        <v>#DIV/0!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2023</v>
      </c>
      <c r="E14" s="9">
        <f>'Otemachi Daily'!D17</f>
        <v>0</v>
      </c>
      <c r="F14" s="34">
        <f>[1]見込!$G$3</f>
        <v>36.5</v>
      </c>
      <c r="G14" s="9">
        <f>'Otemachi Daily'!F17</f>
        <v>0</v>
      </c>
      <c r="H14" s="34" t="e">
        <f>[1]見込!$M$23</f>
        <v>#DIV/0!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2023</v>
      </c>
      <c r="E15" s="9">
        <f>'Otemachi Daily'!D18</f>
        <v>0</v>
      </c>
      <c r="F15" s="34">
        <f>[1]見込!$G$3</f>
        <v>36.5</v>
      </c>
      <c r="G15" s="9">
        <f>'Otemachi Daily'!F18</f>
        <v>0</v>
      </c>
      <c r="H15" s="34" t="e">
        <f>[1]見込!$M$23</f>
        <v>#DIV/0!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2023</v>
      </c>
      <c r="E16" s="9">
        <f>'Otemachi Daily'!D19</f>
        <v>0</v>
      </c>
      <c r="F16" s="34">
        <f>[1]見込!$G$3</f>
        <v>36.5</v>
      </c>
      <c r="G16" s="9">
        <f>'Otemachi Daily'!F19</f>
        <v>0</v>
      </c>
      <c r="H16" s="34" t="e">
        <f>[1]見込!$M$23</f>
        <v>#DIV/0!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2023</v>
      </c>
      <c r="E17" s="9">
        <f>'Otemachi Daily'!D20</f>
        <v>0</v>
      </c>
      <c r="F17" s="34">
        <f>[1]見込!$G$3</f>
        <v>36.5</v>
      </c>
      <c r="G17" s="9">
        <f>'Otemachi Daily'!F20</f>
        <v>0</v>
      </c>
      <c r="H17" s="34" t="e">
        <f>[1]見込!$M$23</f>
        <v>#DIV/0!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2023</v>
      </c>
      <c r="E18" s="9">
        <f>'Otemachi Daily'!D21</f>
        <v>0</v>
      </c>
      <c r="F18" s="34">
        <f>[1]見込!$G$3</f>
        <v>36.5</v>
      </c>
      <c r="G18" s="9">
        <f>'Otemachi Daily'!F21</f>
        <v>0</v>
      </c>
      <c r="H18" s="34" t="e">
        <f>[1]見込!$M$23</f>
        <v>#DIV/0!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2023</v>
      </c>
      <c r="E19" s="9">
        <f>'Otemachi Daily'!D22</f>
        <v>0</v>
      </c>
      <c r="F19" s="34">
        <f>[1]見込!$G$3</f>
        <v>36.5</v>
      </c>
      <c r="G19" s="9">
        <f>'Otemachi Daily'!F22</f>
        <v>0</v>
      </c>
      <c r="H19" s="34" t="e">
        <f>[1]見込!$M$23</f>
        <v>#DIV/0!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2023</v>
      </c>
      <c r="E20" s="9">
        <f>'Otemachi Daily'!D23</f>
        <v>0</v>
      </c>
      <c r="F20" s="34">
        <f>[1]見込!$G$3</f>
        <v>36.5</v>
      </c>
      <c r="G20" s="9">
        <f>'Otemachi Daily'!F23</f>
        <v>0</v>
      </c>
      <c r="H20" s="34" t="e">
        <f>[1]見込!$M$23</f>
        <v>#DIV/0!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2023</v>
      </c>
      <c r="E21" s="9">
        <f>'Otemachi Daily'!D24</f>
        <v>0</v>
      </c>
      <c r="F21" s="34">
        <f>[1]見込!$G$3</f>
        <v>36.5</v>
      </c>
      <c r="G21" s="9">
        <f>'Otemachi Daily'!F24</f>
        <v>0</v>
      </c>
      <c r="H21" s="34" t="e">
        <f>[1]見込!$M$23</f>
        <v>#DIV/0!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2023</v>
      </c>
      <c r="E22" s="9">
        <f>'Otemachi Daily'!D25</f>
        <v>0</v>
      </c>
      <c r="F22" s="34">
        <f>[1]見込!$G$3</f>
        <v>36.5</v>
      </c>
      <c r="G22" s="9">
        <f>'Otemachi Daily'!F25</f>
        <v>0</v>
      </c>
      <c r="H22" s="34" t="e">
        <f>[1]見込!$M$23</f>
        <v>#DIV/0!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2023</v>
      </c>
      <c r="E23" s="9">
        <f>'Otemachi Daily'!D26</f>
        <v>0</v>
      </c>
      <c r="F23" s="34">
        <f>[1]見込!$G$3</f>
        <v>36.5</v>
      </c>
      <c r="G23" s="9">
        <f>'Otemachi Daily'!F26</f>
        <v>0</v>
      </c>
      <c r="H23" s="34" t="e">
        <f>[1]見込!$M$23</f>
        <v>#DIV/0!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2023</v>
      </c>
      <c r="E24" s="9">
        <f>'Otemachi Daily'!D27</f>
        <v>0</v>
      </c>
      <c r="F24" s="34">
        <f>[1]見込!$G$3</f>
        <v>36.5</v>
      </c>
      <c r="G24" s="9">
        <f>'Otemachi Daily'!F27</f>
        <v>0</v>
      </c>
      <c r="H24" s="34" t="e">
        <f>[1]見込!$M$23</f>
        <v>#DIV/0!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2023</v>
      </c>
      <c r="E25" s="9">
        <f>'Otemachi Daily'!D28</f>
        <v>0</v>
      </c>
      <c r="F25" s="34">
        <f>[1]見込!$G$3</f>
        <v>36.5</v>
      </c>
      <c r="G25" s="9">
        <f>'Otemachi Daily'!F28</f>
        <v>0</v>
      </c>
      <c r="H25" s="34" t="e">
        <f>[1]見込!$M$23</f>
        <v>#DIV/0!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2023</v>
      </c>
      <c r="E26" s="9">
        <f>'Otemachi Daily'!D29</f>
        <v>0</v>
      </c>
      <c r="F26" s="34">
        <f>[1]見込!$G$3</f>
        <v>36.5</v>
      </c>
      <c r="G26" s="9">
        <f>'Otemachi Daily'!F29</f>
        <v>0</v>
      </c>
      <c r="H26" s="34" t="e">
        <f>[1]見込!$M$23</f>
        <v>#DIV/0!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2023</v>
      </c>
      <c r="E27" s="9">
        <f>'Otemachi Daily'!D30</f>
        <v>0</v>
      </c>
      <c r="F27" s="34">
        <f>[1]見込!$G$3</f>
        <v>36.5</v>
      </c>
      <c r="G27" s="9">
        <f>'Otemachi Daily'!F30</f>
        <v>0</v>
      </c>
      <c r="H27" s="34" t="e">
        <f>[1]見込!$M$23</f>
        <v>#DIV/0!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2023</v>
      </c>
      <c r="E28" s="9">
        <f>'Otemachi Daily'!D31</f>
        <v>0</v>
      </c>
      <c r="F28" s="34">
        <f>[1]見込!$G$3</f>
        <v>36.5</v>
      </c>
      <c r="G28" s="9">
        <f>'Otemachi Daily'!F31</f>
        <v>0</v>
      </c>
      <c r="H28" s="34" t="e">
        <f>[1]見込!$M$23</f>
        <v>#DIV/0!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2023</v>
      </c>
      <c r="E29" s="9">
        <f>'Otemachi Daily'!D32</f>
        <v>0</v>
      </c>
      <c r="F29" s="34">
        <f>[1]見込!$G$3</f>
        <v>36.5</v>
      </c>
      <c r="G29" s="9">
        <f>'Otemachi Daily'!F32</f>
        <v>0</v>
      </c>
      <c r="H29" s="34" t="e">
        <f>[1]見込!$M$23</f>
        <v>#DIV/0!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2023</v>
      </c>
      <c r="E30" s="9">
        <f>'Otemachi Daily'!D33</f>
        <v>0</v>
      </c>
      <c r="F30" s="34">
        <f>[1]見込!$G$3</f>
        <v>36.5</v>
      </c>
      <c r="G30" s="9">
        <f>'Otemachi Daily'!F33</f>
        <v>0</v>
      </c>
      <c r="H30" s="34" t="e">
        <f>[1]見込!$M$23</f>
        <v>#DIV/0!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2023</v>
      </c>
      <c r="E31" s="9">
        <f>'Otemachi Daily'!D34</f>
        <v>0</v>
      </c>
      <c r="F31" s="34">
        <f>[1]見込!$G$3</f>
        <v>36.5</v>
      </c>
      <c r="G31" s="9">
        <f>'Otemachi Daily'!F34</f>
        <v>0</v>
      </c>
      <c r="H31" s="34" t="e">
        <f>[1]見込!$M$23</f>
        <v>#DIV/0!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2023</v>
      </c>
      <c r="E32" s="9">
        <f>'Otemachi Daily'!D35</f>
        <v>0</v>
      </c>
      <c r="F32" s="34">
        <f>[1]見込!$G$3</f>
        <v>36.5</v>
      </c>
      <c r="G32" s="9">
        <f>'Otemachi Daily'!F35</f>
        <v>0</v>
      </c>
      <c r="H32" s="34" t="e">
        <f>[1]見込!$M$23</f>
        <v>#DIV/0!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45261</v>
      </c>
      <c r="B5" s="38"/>
      <c r="C5" s="35">
        <f>[1]コスト!$G$147</f>
        <v>0</v>
      </c>
      <c r="D5" s="35">
        <f>C5</f>
        <v>0</v>
      </c>
      <c r="E5" s="35">
        <f>[1]コスト!$G$23</f>
        <v>0</v>
      </c>
      <c r="F5" s="35">
        <f>E5</f>
        <v>0</v>
      </c>
      <c r="G5" s="35">
        <f>[1]コスト!$G$115</f>
        <v>0</v>
      </c>
      <c r="H5" s="35">
        <f>G5</f>
        <v>0</v>
      </c>
      <c r="I5" s="35">
        <f>[1]コスト!$G$91</f>
        <v>0</v>
      </c>
      <c r="J5" s="35">
        <f>I5</f>
        <v>0</v>
      </c>
      <c r="K5" s="35">
        <f>[1]コスト!$G$41</f>
        <v>0</v>
      </c>
      <c r="L5" s="35">
        <f>K5</f>
        <v>0</v>
      </c>
      <c r="M5" s="35">
        <f>[1]使用量!$G$387</f>
        <v>0</v>
      </c>
      <c r="N5" s="35">
        <f>[1]使用量!$G$388</f>
        <v>0</v>
      </c>
      <c r="O5" s="26"/>
      <c r="P5" s="37"/>
      <c r="Q5" s="37"/>
    </row>
    <row r="6" spans="1:17" ht="45" customHeight="1">
      <c r="A6" s="28">
        <v>45262</v>
      </c>
      <c r="B6" s="38"/>
      <c r="C6" s="35">
        <f>[1]コスト!$H$147</f>
        <v>0</v>
      </c>
      <c r="D6" s="35">
        <f t="shared" ref="D6:F35" si="0">C6</f>
        <v>0</v>
      </c>
      <c r="E6" s="35">
        <f>[1]コスト!$H$23</f>
        <v>0</v>
      </c>
      <c r="F6" s="35">
        <f t="shared" si="0"/>
        <v>0</v>
      </c>
      <c r="G6" s="35">
        <f>[1]コスト!$H$115</f>
        <v>0</v>
      </c>
      <c r="H6" s="35">
        <f t="shared" ref="H6" si="1">G6</f>
        <v>0</v>
      </c>
      <c r="I6" s="35">
        <f>[1]コスト!$H$91</f>
        <v>0</v>
      </c>
      <c r="J6" s="35">
        <f t="shared" ref="J6" si="2">I6</f>
        <v>0</v>
      </c>
      <c r="K6" s="35">
        <f>[1]コスト!$H$41</f>
        <v>0</v>
      </c>
      <c r="L6" s="35">
        <f t="shared" ref="L6" si="3">K6</f>
        <v>0</v>
      </c>
      <c r="M6" s="35">
        <f>[1]使用量!$H$387</f>
        <v>0</v>
      </c>
      <c r="N6" s="35">
        <f>[1]使用量!$H$388</f>
        <v>0</v>
      </c>
      <c r="O6" s="26"/>
      <c r="P6" s="37"/>
      <c r="Q6" s="37"/>
    </row>
    <row r="7" spans="1:17" ht="45" customHeight="1">
      <c r="A7" s="28">
        <v>45263</v>
      </c>
      <c r="B7" s="38"/>
      <c r="C7" s="35">
        <f>[1]コスト!$I$147</f>
        <v>0</v>
      </c>
      <c r="D7" s="35">
        <f t="shared" si="0"/>
        <v>0</v>
      </c>
      <c r="E7" s="35">
        <f>[1]コスト!$I$23</f>
        <v>0</v>
      </c>
      <c r="F7" s="35">
        <f t="shared" si="0"/>
        <v>0</v>
      </c>
      <c r="G7" s="35">
        <f>[1]コスト!$I$115</f>
        <v>0</v>
      </c>
      <c r="H7" s="35">
        <f t="shared" ref="H7" si="4">G7</f>
        <v>0</v>
      </c>
      <c r="I7" s="35">
        <f>[1]コスト!$I$91</f>
        <v>0</v>
      </c>
      <c r="J7" s="35">
        <f t="shared" ref="J7" si="5">I7</f>
        <v>0</v>
      </c>
      <c r="K7" s="35">
        <f>[1]コスト!$I$41</f>
        <v>0</v>
      </c>
      <c r="L7" s="35">
        <f t="shared" ref="L7" si="6">K7</f>
        <v>0</v>
      </c>
      <c r="M7" s="35">
        <f>[1]使用量!$I$387</f>
        <v>0</v>
      </c>
      <c r="N7" s="35">
        <f>[1]使用量!$I$388</f>
        <v>0</v>
      </c>
      <c r="P7" s="37"/>
      <c r="Q7" s="37"/>
    </row>
    <row r="8" spans="1:17" ht="45" customHeight="1">
      <c r="A8" s="28">
        <v>45264</v>
      </c>
      <c r="B8" s="38"/>
      <c r="C8" s="35">
        <f>[1]コスト!$J$147</f>
        <v>0</v>
      </c>
      <c r="D8" s="35">
        <f t="shared" si="0"/>
        <v>0</v>
      </c>
      <c r="E8" s="35">
        <f>[1]コスト!$J$23</f>
        <v>0</v>
      </c>
      <c r="F8" s="35">
        <f t="shared" si="0"/>
        <v>0</v>
      </c>
      <c r="G8" s="35">
        <f>[1]コスト!$J$115</f>
        <v>0</v>
      </c>
      <c r="H8" s="35">
        <f t="shared" ref="H8" si="7">G8</f>
        <v>0</v>
      </c>
      <c r="I8" s="35">
        <f>[1]コスト!$J$91</f>
        <v>0</v>
      </c>
      <c r="J8" s="35">
        <f t="shared" ref="J8" si="8">I8</f>
        <v>0</v>
      </c>
      <c r="K8" s="35">
        <f>[1]コスト!$J$41</f>
        <v>0</v>
      </c>
      <c r="L8" s="35">
        <f t="shared" ref="L8" si="9">K8</f>
        <v>0</v>
      </c>
      <c r="M8" s="35">
        <f>[1]使用量!$J$387</f>
        <v>0</v>
      </c>
      <c r="N8" s="35">
        <f>[1]使用量!$J$388</f>
        <v>0</v>
      </c>
      <c r="P8" s="37"/>
      <c r="Q8" s="37"/>
    </row>
    <row r="9" spans="1:17" ht="45" customHeight="1">
      <c r="A9" s="28">
        <v>45265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45266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45267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45268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45269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45270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45271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45272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45273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45274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45275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45276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45277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45278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45279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45280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45281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45282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45283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45284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45285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45286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45287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45288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45289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45290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45291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2022-12-15T05:24:10Z</dcterms:modified>
</cp:coreProperties>
</file>