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R9" i="7" l="1"/>
  <c r="N9" i="7" l="1"/>
  <c r="N10" i="7"/>
  <c r="AV7" i="7" l="1"/>
  <c r="T5" i="7" l="1"/>
  <c r="T6" i="7"/>
  <c r="T7" i="7"/>
  <c r="CL4" i="7" l="1"/>
  <c r="CJ4" i="7"/>
  <c r="CH4" i="7"/>
  <c r="CF4" i="7"/>
  <c r="CD4" i="7"/>
  <c r="CB4" i="7"/>
  <c r="BZ4" i="7"/>
  <c r="BX4" i="7"/>
  <c r="BV4" i="7"/>
  <c r="BT4" i="7"/>
  <c r="BR4" i="7"/>
  <c r="BP4" i="7"/>
  <c r="BN4" i="7"/>
  <c r="BL4" i="7"/>
  <c r="BJ4" i="7"/>
  <c r="BH4" i="7"/>
  <c r="BF4" i="7"/>
  <c r="BD4" i="7"/>
  <c r="BB4" i="7"/>
  <c r="AZ4" i="7"/>
  <c r="AX4" i="7"/>
  <c r="AV4" i="7"/>
  <c r="AT4" i="7"/>
  <c r="AR4" i="7"/>
  <c r="AP4" i="7"/>
  <c r="AN4" i="7"/>
  <c r="AL4" i="7"/>
  <c r="AJ4" i="7"/>
  <c r="AH4" i="7"/>
  <c r="AF4" i="7"/>
  <c r="AD4" i="7"/>
  <c r="AB4" i="7"/>
  <c r="Z4" i="7"/>
  <c r="X4" i="7"/>
  <c r="V4" i="7"/>
  <c r="T4" i="7"/>
  <c r="R4" i="7"/>
  <c r="P4" i="7"/>
  <c r="N4" i="7"/>
  <c r="L4" i="7"/>
  <c r="J4" i="7"/>
  <c r="H4" i="7"/>
  <c r="F4" i="7"/>
  <c r="D4" i="7"/>
  <c r="T33" i="7" l="1"/>
  <c r="T34" i="7"/>
  <c r="AT32" i="7" l="1"/>
  <c r="AV31" i="7" l="1"/>
  <c r="CJ25" i="7" l="1"/>
  <c r="CD23" i="7" l="1"/>
  <c r="CD24" i="7"/>
  <c r="BP19" i="7" l="1"/>
  <c r="BP20" i="7"/>
  <c r="BP21" i="7"/>
  <c r="BP22" i="7"/>
  <c r="BR19" i="7"/>
  <c r="BR20" i="7"/>
  <c r="BT19" i="7"/>
  <c r="BT20" i="7"/>
  <c r="BT21" i="7"/>
  <c r="BV19" i="7"/>
  <c r="BV20" i="7"/>
  <c r="BV21" i="7"/>
  <c r="BX19" i="7"/>
  <c r="BX20" i="7"/>
  <c r="BX21" i="7"/>
  <c r="BZ19" i="7"/>
  <c r="BZ20" i="7"/>
  <c r="BZ21" i="7"/>
  <c r="T17" i="7" l="1"/>
  <c r="T15" i="7"/>
  <c r="Z28" i="7" l="1"/>
  <c r="AT22" i="7" l="1"/>
  <c r="F22" i="7"/>
  <c r="D22" i="7"/>
  <c r="AV20" i="7" l="1"/>
  <c r="AV21" i="7"/>
  <c r="AT19" i="7"/>
  <c r="AT20" i="7"/>
  <c r="AF20" i="7"/>
  <c r="T19" i="7" l="1"/>
  <c r="BB15" i="7" l="1"/>
  <c r="F15" i="7"/>
  <c r="D15" i="7"/>
  <c r="X14" i="7" l="1"/>
  <c r="R13" i="7"/>
  <c r="BR13" i="7" l="1"/>
  <c r="AB13" i="7"/>
  <c r="N13" i="7"/>
  <c r="AN11" i="7" l="1"/>
  <c r="AT9" i="7"/>
  <c r="AJ9" i="7"/>
  <c r="AF9" i="7"/>
  <c r="AD9" i="7"/>
  <c r="Z9" i="7"/>
  <c r="X9" i="7"/>
  <c r="AB9" i="7"/>
  <c r="D12" i="7"/>
  <c r="AP11" i="7" l="1"/>
  <c r="CL9" i="7" l="1"/>
  <c r="AN9" i="7"/>
  <c r="AL9" i="7"/>
  <c r="AH9" i="7"/>
  <c r="V9" i="7"/>
  <c r="T9" i="7"/>
  <c r="R9" i="7"/>
  <c r="P9" i="7"/>
  <c r="BB5" i="7" l="1"/>
  <c r="N5" i="7" l="1"/>
  <c r="N6" i="7"/>
  <c r="N7" i="7"/>
  <c r="N8" i="7"/>
  <c r="N11" i="7"/>
  <c r="N12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CF32" i="7" l="1"/>
  <c r="BN31" i="7" l="1"/>
  <c r="AP30" i="7" l="1"/>
  <c r="AR29" i="7" l="1"/>
  <c r="CH28" i="7" l="1"/>
  <c r="BZ28" i="7"/>
  <c r="BF28" i="7"/>
  <c r="BL28" i="7"/>
  <c r="BL29" i="7"/>
  <c r="BL30" i="7"/>
  <c r="BL31" i="7"/>
  <c r="BX24" i="7" l="1"/>
  <c r="BP18" i="7" l="1"/>
  <c r="CF11" i="7" l="1"/>
  <c r="M5" i="6" l="1"/>
  <c r="T8" i="7"/>
  <c r="M6" i="6" s="1"/>
  <c r="T10" i="7"/>
  <c r="T11" i="7"/>
  <c r="AT10" i="7" l="1"/>
  <c r="F10" i="7"/>
  <c r="BH9" i="7" l="1"/>
  <c r="CJ8" i="7" l="1"/>
  <c r="BX8" i="7" l="1"/>
  <c r="X8" i="7"/>
  <c r="O5" i="6" s="1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L7" i="7" l="1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BA6" i="6"/>
  <c r="BB6" i="6"/>
  <c r="AY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I3" i="6" s="1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G28" i="6" s="1"/>
  <c r="H31" i="7"/>
  <c r="G29" i="6" s="1"/>
  <c r="H32" i="7"/>
  <c r="G30" i="6" s="1"/>
  <c r="H33" i="7"/>
  <c r="G31" i="6" s="1"/>
  <c r="H34" i="7"/>
  <c r="G32" i="6" s="1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3" i="6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0" i="6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32" i="6" s="1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E10" i="6"/>
  <c r="D13" i="7"/>
  <c r="E11" i="6" s="1"/>
  <c r="D14" i="7"/>
  <c r="E12" i="6" s="1"/>
  <c r="E13" i="6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E20" i="6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V7" i="6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W7" i="6"/>
  <c r="AN10" i="7"/>
  <c r="W8" i="6" s="1"/>
  <c r="W9" i="6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X9" i="6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X28" i="6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Y27" i="6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21" i="7"/>
  <c r="AT23" i="7"/>
  <c r="AT24" i="7"/>
  <c r="AT25" i="7"/>
  <c r="AT26" i="7"/>
  <c r="AT27" i="7"/>
  <c r="AT28" i="7"/>
  <c r="AT29" i="7"/>
  <c r="AT30" i="7"/>
  <c r="AT31" i="7"/>
  <c r="AT33" i="7"/>
  <c r="AT34" i="7"/>
  <c r="AV6" i="7"/>
  <c r="AB4" i="6" s="1"/>
  <c r="AB5" i="6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B18" i="6"/>
  <c r="AB19" i="6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B29" i="6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AD13" i="6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AI26" i="6"/>
  <c r="AI27" i="6"/>
  <c r="AI28" i="6"/>
  <c r="AI29" i="6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AJ29" i="6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AK17" i="6"/>
  <c r="AK18" i="6"/>
  <c r="AK19" i="6"/>
  <c r="AK20" i="6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AL7" i="6"/>
  <c r="BR10" i="7"/>
  <c r="AL8" i="6" s="1"/>
  <c r="BR11" i="7"/>
  <c r="AL9" i="6" s="1"/>
  <c r="BR12" i="7"/>
  <c r="AL10" i="6" s="1"/>
  <c r="AL11" i="6"/>
  <c r="BR14" i="7"/>
  <c r="AL12" i="6" s="1"/>
  <c r="BR15" i="7"/>
  <c r="AL13" i="6" s="1"/>
  <c r="BR16" i="7"/>
  <c r="AL14" i="6" s="1"/>
  <c r="BR17" i="7"/>
  <c r="AL15" i="6" s="1"/>
  <c r="BR18" i="7"/>
  <c r="AL16" i="6" s="1"/>
  <c r="AL17" i="6"/>
  <c r="AL18" i="6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AN17" i="6"/>
  <c r="AN18" i="6"/>
  <c r="AN19" i="6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AO17" i="6"/>
  <c r="AO18" i="6"/>
  <c r="AO19" i="6"/>
  <c r="BX22" i="7"/>
  <c r="AO20" i="6" s="1"/>
  <c r="BX23" i="7"/>
  <c r="AO21" i="6" s="1"/>
  <c r="AO22" i="6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AP17" i="6"/>
  <c r="AP18" i="6"/>
  <c r="AP19" i="6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AP26" i="6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AO2" i="6"/>
  <c r="AM2" i="6"/>
  <c r="AK2" i="6"/>
  <c r="AJ2" i="6"/>
  <c r="AI2" i="6"/>
  <c r="AH2" i="6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AG2" i="6"/>
  <c r="BD5" i="7"/>
  <c r="AE3" i="6" s="1"/>
  <c r="AD3" i="6"/>
  <c r="AZ5" i="7"/>
  <c r="AC3" i="6" s="1"/>
  <c r="AX5" i="7"/>
  <c r="AV5" i="7"/>
  <c r="AB3" i="6" s="1"/>
  <c r="AT5" i="7"/>
  <c r="AR5" i="7"/>
  <c r="Y3" i="6" s="1"/>
  <c r="AE2" i="6"/>
  <c r="AD2" i="6"/>
  <c r="AC2" i="6"/>
  <c r="AB2" i="6"/>
  <c r="Y2" i="6"/>
  <c r="AL5" i="7"/>
  <c r="V3" i="6" s="1"/>
  <c r="V2" i="6"/>
  <c r="AJ6" i="7"/>
  <c r="U4" i="6" s="1"/>
  <c r="AJ7" i="7"/>
  <c r="U5" i="6" s="1"/>
  <c r="AJ8" i="7"/>
  <c r="U6" i="6" s="1"/>
  <c r="U7" i="6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U2" i="6"/>
  <c r="AF6" i="7"/>
  <c r="S4" i="6" s="1"/>
  <c r="AF7" i="7"/>
  <c r="S5" i="6" s="1"/>
  <c r="AF8" i="7"/>
  <c r="S6" i="6" s="1"/>
  <c r="S7" i="6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S2" i="6"/>
  <c r="AD6" i="7"/>
  <c r="R4" i="6" s="1"/>
  <c r="AD7" i="7"/>
  <c r="R5" i="6" s="1"/>
  <c r="AD8" i="7"/>
  <c r="R6" i="6" s="1"/>
  <c r="R7" i="6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R2" i="6"/>
  <c r="AB6" i="7"/>
  <c r="Q4" i="6" s="1"/>
  <c r="AB7" i="7"/>
  <c r="Q5" i="6" s="1"/>
  <c r="Q6" i="6"/>
  <c r="Q7" i="6"/>
  <c r="AB10" i="7"/>
  <c r="Q8" i="6" s="1"/>
  <c r="AB11" i="7"/>
  <c r="Q9" i="6" s="1"/>
  <c r="AB12" i="7"/>
  <c r="Q10" i="6" s="1"/>
  <c r="Q11" i="6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Q2" i="6"/>
  <c r="Z6" i="7"/>
  <c r="P4" i="6" s="1"/>
  <c r="Z7" i="7"/>
  <c r="P5" i="6" s="1"/>
  <c r="P6" i="6"/>
  <c r="P7" i="6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P26" i="6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P2" i="6"/>
  <c r="X7" i="7"/>
  <c r="O4" i="6" s="1"/>
  <c r="O6" i="6"/>
  <c r="O7" i="6"/>
  <c r="X10" i="7"/>
  <c r="O8" i="6" s="1"/>
  <c r="X11" i="7"/>
  <c r="O9" i="6" s="1"/>
  <c r="X12" i="7"/>
  <c r="O10" i="6" s="1"/>
  <c r="X13" i="7"/>
  <c r="O11" i="6" s="1"/>
  <c r="O12" i="6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AU23" i="6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AT26" i="6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AT2" i="6"/>
  <c r="CF34" i="7"/>
  <c r="AS32" i="6" s="1"/>
  <c r="CF33" i="7"/>
  <c r="AS31" i="6" s="1"/>
  <c r="AS30" i="6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AS2" i="6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AR22" i="6"/>
  <c r="AR21" i="6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AP2" i="6"/>
  <c r="BV5" i="7"/>
  <c r="AN3" i="6" s="1"/>
  <c r="AN2" i="6"/>
  <c r="BR5" i="7"/>
  <c r="AL3" i="6" s="1"/>
  <c r="AL2" i="6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AF26" i="6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AF2" i="6" l="1"/>
  <c r="AF33" i="6" s="1"/>
  <c r="BF35" i="7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M32" i="6"/>
  <c r="R34" i="7"/>
  <c r="L32" i="6" s="1"/>
  <c r="P34" i="7"/>
  <c r="K32" i="6" s="1"/>
  <c r="AH33" i="7"/>
  <c r="T31" i="6" s="1"/>
  <c r="V33" i="7"/>
  <c r="N31" i="6" s="1"/>
  <c r="M31" i="6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M17" i="6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M15" i="6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M13" i="6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L11" i="6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T7" i="6"/>
  <c r="N7" i="6"/>
  <c r="M7" i="6"/>
  <c r="L7" i="6"/>
  <c r="K7" i="6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<sst xmlns="http://schemas.openxmlformats.org/spreadsheetml/2006/main" count="296" uniqueCount="138">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</sst>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topLeftCell="A9" workbookViewId="0">
      <selection activeCell="P25" sqref="P25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5</v>
      </c>
      <c r="D2" s="1">
        <v>2020</v>
      </c>
      <c r="E2" s="12">
        <f>Submetering!E2+Submetering!F2+Submetering!G2+Submetering!H2-Submetering!AV2</f>
        <v>4860.0000000001419</v>
      </c>
      <c r="F2" s="11">
        <v>0.58765030286592534</v>
      </c>
      <c r="G2" s="12">
        <f>(Submetering!AX2+Submetering!AY2+Submetering!AZ2+Submetering!BA2+Submetering!BB2)</f>
        <v>14.651999999999999</v>
      </c>
      <c r="H2" s="11">
        <v>0.99</v>
      </c>
      <c r="I2" s="12">
        <f>'FS Desroches Daily'!CM4</f>
        <v>29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5</v>
      </c>
      <c r="D3" s="1">
        <v>2020</v>
      </c>
      <c r="E3" s="12">
        <f>Submetering!E3+Submetering!F3+Submetering!G3+Submetering!H3-Submetering!AV3</f>
        <v>5190.0000000000819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29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5</v>
      </c>
      <c r="D4" s="1">
        <v>2020</v>
      </c>
      <c r="E4" s="12">
        <f>Submetering!E4+Submetering!F4+Submetering!G4+Submetering!H4-Submetering!AV4</f>
        <v>4940.0000000000691</v>
      </c>
      <c r="F4" s="11">
        <f t="shared" ref="F4:F32" si="1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2">H3</f>
        <v>0.99</v>
      </c>
      <c r="I4" s="12">
        <f>'FS Desroches Daily'!CM6</f>
        <v>19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5</v>
      </c>
      <c r="D5" s="1">
        <v>2020</v>
      </c>
      <c r="E5" s="12">
        <f>Submetering!E5+Submetering!F5+Submetering!G5+Submetering!H5-Submetering!AV5</f>
        <v>5450.0000000002265</v>
      </c>
      <c r="F5" s="11">
        <f t="shared" si="1"/>
        <v>0.58765030286592534</v>
      </c>
      <c r="G5" s="12">
        <f>(Submetering!AX5+Submetering!AY5+Submetering!AZ5+Submetering!BA5+Submetering!BB5)</f>
        <v>7.3259999999999996</v>
      </c>
      <c r="H5" s="11">
        <f t="shared" si="2"/>
        <v>0.99</v>
      </c>
      <c r="I5" s="12">
        <f>'FS Desroches Daily'!CM7</f>
        <v>25.7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5</v>
      </c>
      <c r="D6" s="1">
        <v>2020</v>
      </c>
      <c r="E6" s="12">
        <f>Submetering!E6+Submetering!F6+Submetering!G6+Submetering!H6-Submetering!AV6</f>
        <v>5590.0000000000373</v>
      </c>
      <c r="F6" s="11">
        <f t="shared" si="1"/>
        <v>0.58765030286592534</v>
      </c>
      <c r="G6" s="12">
        <f>(Submetering!AX6+Submetering!AY6+Submetering!AZ6+Submetering!BA6+Submetering!BB6)</f>
        <v>7.3259999999999996</v>
      </c>
      <c r="H6" s="11">
        <f t="shared" si="2"/>
        <v>0.99</v>
      </c>
      <c r="I6" s="12">
        <f>'FS Desroches Daily'!CM8</f>
        <v>30.3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5</v>
      </c>
      <c r="D7" s="1">
        <v>2020</v>
      </c>
      <c r="E7" s="12">
        <f>Submetering!E7+Submetering!F7+Submetering!G7+Submetering!H7-Submetering!AV7</f>
        <v>5209.9999999997281</v>
      </c>
      <c r="F7" s="11">
        <f t="shared" si="1"/>
        <v>0.58765030286592534</v>
      </c>
      <c r="G7" s="12">
        <f>(Submetering!AX7+Submetering!AY7+Submetering!AZ7+Submetering!BA7+Submetering!BB7)</f>
        <v>7.3259999999999996</v>
      </c>
      <c r="H7" s="11">
        <f t="shared" si="2"/>
        <v>0.99</v>
      </c>
      <c r="I7" s="12">
        <f>'FS Desroches Daily'!CM9</f>
        <v>26.9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5</v>
      </c>
      <c r="D8" s="1">
        <v>2020</v>
      </c>
      <c r="E8" s="12">
        <f>Submetering!E8+Submetering!F8+Submetering!G8+Submetering!H8-Submetering!AV8</f>
        <v>5389.9999999998035</v>
      </c>
      <c r="F8" s="11">
        <f t="shared" si="1"/>
        <v>0.58765030286592534</v>
      </c>
      <c r="G8" s="12">
        <f>(Submetering!AX8+Submetering!AY8+Submetering!AZ8+Submetering!BA8+Submetering!BB8)</f>
        <v>7.3259999999999996</v>
      </c>
      <c r="H8" s="11">
        <f t="shared" si="2"/>
        <v>0.99</v>
      </c>
      <c r="I8" s="12">
        <f>'FS Desroches Daily'!CM10</f>
        <v>40.4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5</v>
      </c>
      <c r="D9" s="1">
        <v>2020</v>
      </c>
      <c r="E9" s="12">
        <f>Submetering!E9+Submetering!F9+Submetering!G9+Submetering!H9-Submetering!AV9</f>
        <v>5530.0000000003138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48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5</v>
      </c>
      <c r="D10" s="1">
        <v>2020</v>
      </c>
      <c r="E10" s="12" t="e">
        <f>Submetering!E10+Submetering!F10+Submetering!G10+Submetering!H10-Submetering!AV10</f>
        <v>#VALUE!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5</v>
      </c>
      <c r="D11" s="1">
        <v>2020</v>
      </c>
      <c r="E11" s="12">
        <f>Submetering!E11+Submetering!F11+Submetering!G11+Submetering!H11-Submetering!AV11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5</v>
      </c>
      <c r="D12" s="1">
        <v>2020</v>
      </c>
      <c r="E12" s="12">
        <f>Submetering!E12+Submetering!F12+Submetering!G12+Submetering!H12-Submetering!AV12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5</v>
      </c>
      <c r="D13" s="1">
        <v>2020</v>
      </c>
      <c r="E13" s="12">
        <f>Submetering!E13+Submetering!F13+Submetering!G13+Submetering!H13-Submetering!AV13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5</v>
      </c>
      <c r="D14" s="1">
        <v>2020</v>
      </c>
      <c r="E14" s="12">
        <f>Submetering!E14+Submetering!F14+Submetering!G14+Submetering!H14-Submetering!AV14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5</v>
      </c>
      <c r="D15" s="1">
        <v>2020</v>
      </c>
      <c r="E15" s="12">
        <f>Submetering!E15+Submetering!F15+Submetering!G15+Submetering!H15-Submetering!AV15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5</v>
      </c>
      <c r="D16" s="1">
        <v>2020</v>
      </c>
      <c r="E16" s="12">
        <f>Submetering!E16+Submetering!F16+Submetering!G16+Submetering!H16-Submetering!AV16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5</v>
      </c>
      <c r="D17" s="1">
        <v>2020</v>
      </c>
      <c r="E17" s="12">
        <f>Submetering!E17+Submetering!F17+Submetering!G17+Submetering!H17-Submetering!AV17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5</v>
      </c>
      <c r="D18" s="1">
        <v>2020</v>
      </c>
      <c r="E18" s="12">
        <f>Submetering!E18+Submetering!F18+Submetering!G18+Submetering!H18-Submetering!AV18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5</v>
      </c>
      <c r="D19" s="1">
        <v>2020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5</v>
      </c>
      <c r="D20" s="1">
        <v>2020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5</v>
      </c>
      <c r="D21" s="1">
        <v>2020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5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5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5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5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5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5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5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5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5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5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5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AZ8" sqref="AZ8"/>
    </sheetView>
  </sheetViews>
  <sheetFormatPr defaultColWidth="11.5703125" defaultRowHeight="15" x14ac:dyDescent="0.25"/>
  <cols>
    <col min="1" max="1" width="27" style="28" customWidth="1"/>
    <col min="2" max="2" width="11.5703125" style="28"/>
    <col min="3" max="3" width="11.5703125" style="18"/>
    <col min="4" max="4" width="13.42578125" style="28" customWidth="1"/>
    <col min="5" max="5" width="13" style="17" customWidth="1"/>
    <col min="6" max="6" width="12.5703125" style="18" customWidth="1"/>
    <col min="7" max="7" width="13" style="30" customWidth="1"/>
    <col min="8" max="8" width="11.5703125" style="18"/>
    <col min="9" max="9" width="11.5703125" style="28"/>
    <col min="10" max="10" width="11.5703125" style="18"/>
    <col min="11" max="11" width="11.5703125" style="28"/>
    <col min="12" max="12" width="12" style="28" bestFit="1" customWidth="1"/>
    <col min="13" max="20" width="11.5703125" style="28"/>
    <col min="21" max="31" width="11.5703125" style="37"/>
    <col min="32" max="32" width="11.5703125" style="28"/>
    <col min="33" max="42" width="11.5703125" style="18"/>
    <col min="43" max="55" width="11.5703125" style="28"/>
    <col min="56" max="56" width="12" style="29" bestFit="1" customWidth="1"/>
    <col min="57" max="16384" width="11.5703125" style="29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1" t="s">
        <v>69</v>
      </c>
      <c r="F1" s="31" t="s">
        <v>70</v>
      </c>
      <c r="G1" s="31" t="s">
        <v>71</v>
      </c>
      <c r="H1" s="31" t="s">
        <v>72</v>
      </c>
      <c r="I1" s="31" t="s">
        <v>73</v>
      </c>
      <c r="J1" s="31" t="s">
        <v>74</v>
      </c>
      <c r="K1" s="31" t="s">
        <v>75</v>
      </c>
      <c r="L1" s="31" t="s">
        <v>76</v>
      </c>
      <c r="M1" s="31" t="s">
        <v>112</v>
      </c>
      <c r="N1" s="31" t="s">
        <v>111</v>
      </c>
      <c r="O1" s="31" t="s">
        <v>77</v>
      </c>
      <c r="P1" s="31" t="s">
        <v>78</v>
      </c>
      <c r="Q1" s="31" t="s">
        <v>79</v>
      </c>
      <c r="R1" s="31" t="s">
        <v>80</v>
      </c>
      <c r="S1" s="31" t="s">
        <v>81</v>
      </c>
      <c r="T1" s="31" t="s">
        <v>82</v>
      </c>
      <c r="U1" s="35" t="s">
        <v>83</v>
      </c>
      <c r="V1" s="35" t="s">
        <v>84</v>
      </c>
      <c r="W1" s="35" t="s">
        <v>85</v>
      </c>
      <c r="X1" s="35" t="s">
        <v>86</v>
      </c>
      <c r="Y1" s="35" t="s">
        <v>87</v>
      </c>
      <c r="Z1" s="35" t="s">
        <v>88</v>
      </c>
      <c r="AA1" s="35" t="s">
        <v>89</v>
      </c>
      <c r="AB1" s="35" t="s">
        <v>90</v>
      </c>
      <c r="AC1" s="35" t="s">
        <v>91</v>
      </c>
      <c r="AD1" s="35" t="s">
        <v>92</v>
      </c>
      <c r="AE1" s="35" t="s">
        <v>93</v>
      </c>
      <c r="AF1" s="31" t="s">
        <v>94</v>
      </c>
      <c r="AG1" s="34" t="s">
        <v>95</v>
      </c>
      <c r="AH1" s="34" t="s">
        <v>96</v>
      </c>
      <c r="AI1" s="34" t="s">
        <v>97</v>
      </c>
      <c r="AJ1" s="34" t="s">
        <v>98</v>
      </c>
      <c r="AK1" s="34" t="s">
        <v>99</v>
      </c>
      <c r="AL1" s="34" t="s">
        <v>100</v>
      </c>
      <c r="AM1" s="34" t="s">
        <v>101</v>
      </c>
      <c r="AN1" s="34" t="s">
        <v>102</v>
      </c>
      <c r="AO1" s="34" t="s">
        <v>103</v>
      </c>
      <c r="AP1" s="34" t="s">
        <v>104</v>
      </c>
      <c r="AQ1" s="31" t="s">
        <v>105</v>
      </c>
      <c r="AR1" s="31" t="s">
        <v>106</v>
      </c>
      <c r="AS1" s="31" t="s">
        <v>107</v>
      </c>
      <c r="AT1" s="31" t="s">
        <v>108</v>
      </c>
      <c r="AU1" s="31" t="s">
        <v>109</v>
      </c>
      <c r="AV1" s="31" t="s">
        <v>110</v>
      </c>
      <c r="AW1" s="31" t="s">
        <v>50</v>
      </c>
      <c r="AX1" s="31" t="s">
        <v>113</v>
      </c>
      <c r="AY1" s="31" t="s">
        <v>116</v>
      </c>
      <c r="AZ1" s="31" t="s">
        <v>117</v>
      </c>
      <c r="BA1" s="31" t="s">
        <v>114</v>
      </c>
      <c r="BB1" s="31" t="s">
        <v>115</v>
      </c>
      <c r="BC1" s="31" t="s">
        <v>9</v>
      </c>
    </row>
    <row r="2" spans="1:56" s="16" customFormat="1" x14ac:dyDescent="0.25">
      <c r="A2" s="28" t="s">
        <v>11</v>
      </c>
      <c r="B2" s="15">
        <v>1</v>
      </c>
      <c r="C2" s="18">
        <v>5</v>
      </c>
      <c r="D2" s="28">
        <v>2020</v>
      </c>
      <c r="E2" s="32">
        <f>'FS Desroches Daily'!D4</f>
        <v>1400.0000000000678</v>
      </c>
      <c r="F2" s="33">
        <f>'FS Desroches Daily'!F4</f>
        <v>900.0000000001229</v>
      </c>
      <c r="G2" s="32">
        <f>'FS Desroches Daily'!H4</f>
        <v>1799.9999999998017</v>
      </c>
      <c r="H2" s="33">
        <f>'FS Desroches Daily'!J4</f>
        <v>1200.0000000000898</v>
      </c>
      <c r="I2" s="32">
        <f>'FS Desroches Daily'!L4</f>
        <v>2099.9999999999909</v>
      </c>
      <c r="J2" s="33">
        <f>'FS Desroches Daily'!N4</f>
        <v>1000.0000000001119</v>
      </c>
      <c r="K2" s="13">
        <f>'FS Desroches Daily'!P4</f>
        <v>0</v>
      </c>
      <c r="L2" s="32">
        <f>'FS Desroches Daily'!R4</f>
        <v>4</v>
      </c>
      <c r="M2" s="32">
        <f>'FS Desroches Daily'!T4</f>
        <v>261</v>
      </c>
      <c r="N2" s="32">
        <f>'FS Desroches Daily'!V4</f>
        <v>115</v>
      </c>
      <c r="O2" s="32">
        <f>'FS Desroches Daily'!X4</f>
        <v>180.00000000000682</v>
      </c>
      <c r="P2" s="32">
        <f>'FS Desroches Daily'!Z4</f>
        <v>600.00000000037801</v>
      </c>
      <c r="Q2" s="32">
        <f>'FS Desroches Daily'!AB4</f>
        <v>79.999999999984084</v>
      </c>
      <c r="R2" s="32">
        <f>'FS Desroches Daily'!AD4</f>
        <v>279.99999999997272</v>
      </c>
      <c r="S2" s="32">
        <f>'FS Desroches Daily'!AF4</f>
        <v>500</v>
      </c>
      <c r="T2" s="32">
        <f>'FS Desroches Daily'!AH4</f>
        <v>0.89999999999986358</v>
      </c>
      <c r="U2" s="36">
        <f>'FS Desroches Daily'!AJ4</f>
        <v>320.00000000005002</v>
      </c>
      <c r="V2" s="36">
        <f>'FS Desroches Daily'!AL4</f>
        <v>0.12999999999999545</v>
      </c>
      <c r="W2" s="36">
        <f>'FS Desroches Daily'!AN4</f>
        <v>9.9999999999994316E-2</v>
      </c>
      <c r="X2" s="36">
        <f>'FS Desroches Daily'!AP4</f>
        <v>9.0000000000003411E-2</v>
      </c>
      <c r="Y2" s="36">
        <f>'FS Desroches Daily'!AR4</f>
        <v>69.999999999993179</v>
      </c>
      <c r="Z2" s="36">
        <f>'FS Desroches Daily'!AT4</f>
        <v>90.000000000031832</v>
      </c>
      <c r="AA2" s="36">
        <f>'FS Desroches Daily'!AT4</f>
        <v>90.000000000031832</v>
      </c>
      <c r="AB2" s="36">
        <f>'FS Desroches Daily'!AV4</f>
        <v>79.999999999984084</v>
      </c>
      <c r="AC2" s="36">
        <f>'FS Desroches Daily'!AZ4</f>
        <v>79.999999999984084</v>
      </c>
      <c r="AD2" s="36">
        <f>'FS Desroches Daily'!BB4</f>
        <v>69.999999999993179</v>
      </c>
      <c r="AE2" s="36">
        <f>'FS Desroches Daily'!BD4</f>
        <v>9.9999999999909051</v>
      </c>
      <c r="AF2" s="32">
        <f>'FS Desroches Daily'!BF4</f>
        <v>32</v>
      </c>
      <c r="AG2" s="33">
        <f>'FS Desroches Daily'!BH4</f>
        <v>40.000000000020464</v>
      </c>
      <c r="AH2" s="33">
        <f>'FS Desroches Daily'!BJ4</f>
        <v>30.000000000029559</v>
      </c>
      <c r="AI2" s="33">
        <f>'FS Desroches Daily'!BL4</f>
        <v>30.000000000001137</v>
      </c>
      <c r="AJ2" s="33">
        <f>'FS Desroches Daily'!BN4</f>
        <v>39.999999999992042</v>
      </c>
      <c r="AK2" s="33">
        <f>'FS Desroches Daily'!BP4</f>
        <v>39.99999999996362</v>
      </c>
      <c r="AL2" s="33">
        <f>'FS Desroches Daily'!BR4</f>
        <v>24</v>
      </c>
      <c r="AM2" s="33">
        <f>'FS Desroches Daily'!BT4</f>
        <v>30.000000000001137</v>
      </c>
      <c r="AN2" s="33">
        <f>'FS Desroches Daily'!BV4</f>
        <v>21</v>
      </c>
      <c r="AO2" s="33">
        <f>'FS Desroches Daily'!BX4</f>
        <v>39.999999999992042</v>
      </c>
      <c r="AP2" s="33">
        <f>'FS Desroches Daily'!BZ4</f>
        <v>35</v>
      </c>
      <c r="AQ2" s="32">
        <f>'FS Desroches Daily'!CB4</f>
        <v>0</v>
      </c>
      <c r="AR2" s="32">
        <f>'FS Desroches Daily'!CD4</f>
        <v>0</v>
      </c>
      <c r="AS2" s="32">
        <f>'FS Desroches Daily'!CF4</f>
        <v>0</v>
      </c>
      <c r="AT2" s="32">
        <f>'FS Desroches Daily'!CH4</f>
        <v>61.900000000001455</v>
      </c>
      <c r="AU2" s="32">
        <f>'FS Desroches Daily'!CJ4</f>
        <v>197</v>
      </c>
      <c r="AV2" s="32">
        <f>'FS Desroches Daily'!CL4</f>
        <v>439.99999999994088</v>
      </c>
      <c r="AW2" s="32">
        <f>'FS Desroches Daily'!CM4</f>
        <v>29</v>
      </c>
      <c r="AX2" s="32">
        <f>IF(LPG!F9-LPG!F8&lt;0,"0",(LPG!F9-LPG!F8)*1.8315)</f>
        <v>0</v>
      </c>
      <c r="AY2" s="32">
        <f>IF(LPG!H9-LPG!H8&lt;0,"0",(LPG!H9-LPG!H8)*1.8315)</f>
        <v>0</v>
      </c>
      <c r="AZ2" s="32">
        <f>IF(LPG!J9-LPG!J8&lt;0,"0",(LPG!J9-LPG!J8)*1.8315)</f>
        <v>0</v>
      </c>
      <c r="BA2" s="32">
        <f>IF(LPG!M9-LPG!M8&lt;0,"0",(LPG!M9-LPG!M8)*1.8315)</f>
        <v>0</v>
      </c>
      <c r="BB2" s="32">
        <f>IF(LPG!Q9-LPG!Q8&lt;0,"0",(LPG!Q9-LPG!Q8)*1.8315)</f>
        <v>14.651999999999999</v>
      </c>
      <c r="BC2" s="13">
        <f>'FS Desroches Daily'!CN4</f>
        <v>0</v>
      </c>
      <c r="BD2" s="9"/>
    </row>
    <row r="3" spans="1:56" s="16" customFormat="1" x14ac:dyDescent="0.25">
      <c r="A3" s="28" t="s">
        <v>11</v>
      </c>
      <c r="B3" s="15">
        <f>B2+1</f>
        <v>2</v>
      </c>
      <c r="C3" s="18">
        <v>5</v>
      </c>
      <c r="D3" s="28">
        <v>2020</v>
      </c>
      <c r="E3" s="32">
        <f>'FS Desroches Daily'!D5</f>
        <v>1600.0000000000459</v>
      </c>
      <c r="F3" s="33">
        <f>'FS Desroches Daily'!F5</f>
        <v>999.99999999988984</v>
      </c>
      <c r="G3" s="32">
        <f>'FS Desroches Daily'!H5</f>
        <v>1800.0000000002458</v>
      </c>
      <c r="H3" s="33">
        <f>'FS Desroches Daily'!J5</f>
        <v>1199.9999999998679</v>
      </c>
      <c r="I3" s="32">
        <f>'FS Desroches Daily'!L5</f>
        <v>2300.000000000191</v>
      </c>
      <c r="J3" s="33">
        <f>'FS Desroches Daily'!N5</f>
        <v>999.99999999988984</v>
      </c>
      <c r="K3" s="13">
        <f>'FS Desroches Daily'!P5</f>
        <v>0</v>
      </c>
      <c r="L3" s="32">
        <f>'FS Desroches Daily'!R5</f>
        <v>7</v>
      </c>
      <c r="M3" s="32">
        <f>'FS Desroches Daily'!T5</f>
        <v>145.40000000002328</v>
      </c>
      <c r="N3" s="32">
        <f>'FS Desroches Daily'!V5</f>
        <v>154.70000000001164</v>
      </c>
      <c r="O3" s="32">
        <f>'FS Desroches Daily'!X6</f>
        <v>210.00000000003638</v>
      </c>
      <c r="P3" s="32">
        <f>'FS Desroches Daily'!Z5</f>
        <v>599.99999999993395</v>
      </c>
      <c r="Q3" s="32">
        <f>'FS Desroches Daily'!AB5</f>
        <v>100.00000000002274</v>
      </c>
      <c r="R3" s="32">
        <f>'FS Desroches Daily'!AD5</f>
        <v>310.00000000000227</v>
      </c>
      <c r="S3" s="32">
        <f>'FS Desroches Daily'!AF5</f>
        <v>539.99999999996362</v>
      </c>
      <c r="T3" s="32">
        <f>'FS Desroches Daily'!AH5</f>
        <v>0.8000000000001819</v>
      </c>
      <c r="U3" s="36">
        <f>'FS Desroches Daily'!AJ5</f>
        <v>349.99999999996589</v>
      </c>
      <c r="V3" s="36">
        <f>'FS Desroches Daily'!AL5</f>
        <v>0.17000000000001592</v>
      </c>
      <c r="W3" s="36">
        <f>'FS Desroches Daily'!AN5</f>
        <v>0.12000000000000455</v>
      </c>
      <c r="X3" s="36">
        <f>'FS Desroches Daily'!AP5</f>
        <v>0.12999999999999545</v>
      </c>
      <c r="Y3" s="36">
        <f>'FS Desroches Daily'!AR5</f>
        <v>99.999999999994316</v>
      </c>
      <c r="Z3" s="36">
        <f>'FS Desroches Daily'!AT5</f>
        <v>109.9999999999568</v>
      </c>
      <c r="AA3" s="36">
        <f>'FS Desroches Daily'!AT5</f>
        <v>109.9999999999568</v>
      </c>
      <c r="AB3" s="36">
        <f>'FS Desroches Daily'!AV5</f>
        <v>110.00000000001364</v>
      </c>
      <c r="AC3" s="36">
        <f>'FS Desroches Daily'!AZ5</f>
        <v>89.999999999974989</v>
      </c>
      <c r="AD3" s="36">
        <f>'FS Desroches Daily'!BB5</f>
        <v>79.999999999984084</v>
      </c>
      <c r="AE3" s="36">
        <f>'FS Desroches Daily'!BD5</f>
        <v>9.9999999999909051</v>
      </c>
      <c r="AF3" s="32">
        <f>'FS Desroches Daily'!BF5</f>
        <v>36</v>
      </c>
      <c r="AG3" s="33">
        <f>'FS Desroches Daily'!BH5</f>
        <v>30.000000000001137</v>
      </c>
      <c r="AH3" s="33">
        <f>'FS Desroches Daily'!BJ5</f>
        <v>50.000000000011369</v>
      </c>
      <c r="AI3" s="33">
        <f>'FS Desroches Daily'!BL5</f>
        <v>39.999999999992042</v>
      </c>
      <c r="AJ3" s="33">
        <f>'FS Desroches Daily'!BN5</f>
        <v>50.000000000011369</v>
      </c>
      <c r="AK3" s="33">
        <f>'FS Desroches Daily'!BP5</f>
        <v>50.000000000011369</v>
      </c>
      <c r="AL3" s="33">
        <f>'FS Desroches Daily'!BR5</f>
        <v>25</v>
      </c>
      <c r="AM3" s="33">
        <f>'FS Desroches Daily'!BT5</f>
        <v>19.99999999998181</v>
      </c>
      <c r="AN3" s="33">
        <f>'FS Desroches Daily'!BV5</f>
        <v>24</v>
      </c>
      <c r="AO3" s="33">
        <f>'FS Desroches Daily'!BX5</f>
        <v>30.000000000001137</v>
      </c>
      <c r="AP3" s="33">
        <f>'FS Desroches Daily'!BZ5</f>
        <v>39</v>
      </c>
      <c r="AQ3" s="32">
        <f>'FS Desroches Daily'!CB5</f>
        <v>0</v>
      </c>
      <c r="AR3" s="32">
        <f>'FS Desroches Daily'!CD5</f>
        <v>0</v>
      </c>
      <c r="AS3" s="32">
        <f>'FS Desroches Daily'!CF5</f>
        <v>0</v>
      </c>
      <c r="AT3" s="32">
        <f>'FS Desroches Daily'!CH5</f>
        <v>65.80000000000291</v>
      </c>
      <c r="AU3" s="32">
        <f>'FS Desroches Daily'!CJ5</f>
        <v>216</v>
      </c>
      <c r="AV3" s="32">
        <f>'FS Desroches Daily'!CL5</f>
        <v>409.99999999996817</v>
      </c>
      <c r="AW3" s="32">
        <f>'FS Desroches Daily'!CM5</f>
        <v>29</v>
      </c>
      <c r="AX3" s="32">
        <f>IF(LPG!F10-LPG!F9&lt;0,"0",(LPG!F10-LPG!F9)*1.8315)</f>
        <v>0</v>
      </c>
      <c r="AY3" s="32">
        <f>IF(LPG!H10-LPG!H9&lt;0,"0",(LPG!H10-LPG!H9)*1.8315)</f>
        <v>0</v>
      </c>
      <c r="AZ3" s="32">
        <f>IF(LPG!J10-LPG!J9&lt;0,"0",(LPG!J10-LPG!J9)*1.8315)</f>
        <v>0</v>
      </c>
      <c r="BA3" s="32">
        <f>IF(LPG!M10-LPG!M9&lt;0,"0",(LPG!M10-LPG!M9)*1.8315)</f>
        <v>0</v>
      </c>
      <c r="BB3" s="32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8" t="s">
        <v>11</v>
      </c>
      <c r="B4" s="15">
        <f t="shared" ref="B4:B32" si="0">B3+1</f>
        <v>3</v>
      </c>
      <c r="C4" s="18">
        <v>5</v>
      </c>
      <c r="D4" s="28">
        <v>2020</v>
      </c>
      <c r="E4" s="32">
        <f>'FS Desroches Daily'!D6</f>
        <v>1600.0000000000459</v>
      </c>
      <c r="F4" s="33">
        <f>'FS Desroches Daily'!F6</f>
        <v>900.0000000001229</v>
      </c>
      <c r="G4" s="32">
        <f>'FS Desroches Daily'!H6</f>
        <v>1599.9999999998238</v>
      </c>
      <c r="H4" s="33">
        <f>'FS Desroches Daily'!J6</f>
        <v>1200.0000000000898</v>
      </c>
      <c r="I4" s="32">
        <f>'FS Desroches Daily'!L6</f>
        <v>2099.9999999999909</v>
      </c>
      <c r="J4" s="33">
        <f>'FS Desroches Daily'!N6</f>
        <v>1100.000000000101</v>
      </c>
      <c r="K4" s="13">
        <f>'FS Desroches Daily'!P6</f>
        <v>0</v>
      </c>
      <c r="L4" s="32">
        <f>'FS Desroches Daily'!R6</f>
        <v>6</v>
      </c>
      <c r="M4" s="32">
        <f>'FS Desroches Daily'!T6</f>
        <v>56.599999999976717</v>
      </c>
      <c r="N4" s="32">
        <f>'FS Desroches Daily'!V6</f>
        <v>37.299999999988358</v>
      </c>
      <c r="O4" s="32">
        <f>'FS Desroches Daily'!X7</f>
        <v>219.99999999997044</v>
      </c>
      <c r="P4" s="32">
        <f>'FS Desroches Daily'!Z6</f>
        <v>599.99999999993395</v>
      </c>
      <c r="Q4" s="32">
        <f>'FS Desroches Daily'!AB6</f>
        <v>100.00000000002274</v>
      </c>
      <c r="R4" s="32">
        <f>'FS Desroches Daily'!AD6</f>
        <v>330.00000000004093</v>
      </c>
      <c r="S4" s="32">
        <f>'FS Desroches Daily'!AF6</f>
        <v>540.00000000002046</v>
      </c>
      <c r="T4" s="32">
        <f>'FS Desroches Daily'!AH6</f>
        <v>0.79999999999995453</v>
      </c>
      <c r="U4" s="36">
        <f>'FS Desroches Daily'!AJ6</f>
        <v>270.00000000003865</v>
      </c>
      <c r="V4" s="36">
        <f>'FS Desroches Daily'!AL6</f>
        <v>0.1799999999999784</v>
      </c>
      <c r="W4" s="36">
        <f>'FS Desroches Daily'!AN6</f>
        <v>0.12000000000000455</v>
      </c>
      <c r="X4" s="36">
        <f>'FS Desroches Daily'!AP6</f>
        <v>0.13999999999998636</v>
      </c>
      <c r="Y4" s="36">
        <f>'FS Desroches Daily'!AR6</f>
        <v>100.00000000002274</v>
      </c>
      <c r="Z4" s="36">
        <f>'FS Desroches Daily'!AT6</f>
        <v>110.00000000001364</v>
      </c>
      <c r="AA4" s="36">
        <f>'FS Desroches Daily'!AT6</f>
        <v>110.00000000001364</v>
      </c>
      <c r="AB4" s="36">
        <f>'FS Desroches Daily'!AV6</f>
        <v>89.999999999974989</v>
      </c>
      <c r="AC4" s="36">
        <f>'FS Desroches Daily'!AZ6</f>
        <v>100.00000000002274</v>
      </c>
      <c r="AD4" s="36">
        <f>'FS Desroches Daily'!BB6</f>
        <v>79.999999999984084</v>
      </c>
      <c r="AE4" s="36">
        <f>'FS Desroches Daily'!BD6</f>
        <v>10.000000000019327</v>
      </c>
      <c r="AF4" s="32">
        <f>'FS Desroches Daily'!BF6</f>
        <v>30</v>
      </c>
      <c r="AG4" s="33">
        <f>'FS Desroches Daily'!BH6</f>
        <v>30.000000000001137</v>
      </c>
      <c r="AH4" s="33">
        <f>'FS Desroches Daily'!BJ6</f>
        <v>39.99999999996362</v>
      </c>
      <c r="AI4" s="33">
        <f>'FS Desroches Daily'!BL6</f>
        <v>30.000000000001137</v>
      </c>
      <c r="AJ4" s="33">
        <f>'FS Desroches Daily'!BN6</f>
        <v>49.999999999982947</v>
      </c>
      <c r="AK4" s="33">
        <f>'FS Desroches Daily'!BP6</f>
        <v>60.000000000002274</v>
      </c>
      <c r="AL4" s="33">
        <f>'FS Desroches Daily'!BR6</f>
        <v>27</v>
      </c>
      <c r="AM4" s="33">
        <f>'FS Desroches Daily'!BT6</f>
        <v>20.000000000010232</v>
      </c>
      <c r="AN4" s="33">
        <f>'FS Desroches Daily'!BV6</f>
        <v>25</v>
      </c>
      <c r="AO4" s="33">
        <f>'FS Desroches Daily'!BX6</f>
        <v>30.000000000001137</v>
      </c>
      <c r="AP4" s="33">
        <f>'FS Desroches Daily'!BZ6</f>
        <v>39</v>
      </c>
      <c r="AQ4" s="32">
        <f>'FS Desroches Daily'!CB6</f>
        <v>0</v>
      </c>
      <c r="AR4" s="32">
        <f>'FS Desroches Daily'!CD6</f>
        <v>0</v>
      </c>
      <c r="AS4" s="32">
        <f>'FS Desroches Daily'!CF6</f>
        <v>0</v>
      </c>
      <c r="AT4" s="32">
        <f>'FS Desroches Daily'!CH6</f>
        <v>70.19999999999709</v>
      </c>
      <c r="AU4" s="32">
        <f>'FS Desroches Daily'!CJ6</f>
        <v>199</v>
      </c>
      <c r="AV4" s="32">
        <f>'FS Desroches Daily'!CL6</f>
        <v>360.00000000001364</v>
      </c>
      <c r="AW4" s="32">
        <f>'FS Desroches Daily'!CM6</f>
        <v>19</v>
      </c>
      <c r="AX4" s="32">
        <f>IF(LPG!F11-LPG!F10&lt;0,"0",(LPG!F11-LPG!F10)*1.8315)</f>
        <v>0</v>
      </c>
      <c r="AY4" s="32">
        <f>IF(LPG!H11-LPG!H10&lt;0,"0",(LPG!H11-LPG!H10)*1.8315)</f>
        <v>0</v>
      </c>
      <c r="AZ4" s="32">
        <f>IF(LPG!J13-LPG!J10&lt;0,"0",(LPG!J13-LPG!J10)*1.8315)</f>
        <v>0</v>
      </c>
      <c r="BA4" s="32">
        <f>IF(LPG!M11-LPG!M10&lt;0,"0",(LPG!M11-LPG!M10)*1.8315)</f>
        <v>0</v>
      </c>
      <c r="BB4" s="32">
        <f>IF(LPG!Q11-LPG!Q10&lt;0,"0",(LPG!Q11-LPG!Q10)*1.8315)</f>
        <v>7.3259999999999996</v>
      </c>
      <c r="BC4" s="13">
        <f>'FS Desroches Daily'!CN6</f>
        <v>0</v>
      </c>
      <c r="BD4" s="9"/>
    </row>
    <row r="5" spans="1:56" s="16" customFormat="1" x14ac:dyDescent="0.25">
      <c r="A5" s="28" t="s">
        <v>11</v>
      </c>
      <c r="B5" s="15">
        <f t="shared" si="0"/>
        <v>4</v>
      </c>
      <c r="C5" s="18">
        <v>5</v>
      </c>
      <c r="D5" s="28">
        <v>2020</v>
      </c>
      <c r="E5" s="32">
        <f>'FS Desroches Daily'!D7</f>
        <v>1700.0000000000348</v>
      </c>
      <c r="F5" s="33">
        <f>'FS Desroches Daily'!F7</f>
        <v>999.99999999988984</v>
      </c>
      <c r="G5" s="32">
        <f>'FS Desroches Daily'!H7</f>
        <v>1800.0000000002458</v>
      </c>
      <c r="H5" s="33">
        <f>'FS Desroches Daily'!J7</f>
        <v>1300.0000000000789</v>
      </c>
      <c r="I5" s="32">
        <f>'FS Desroches Daily'!L7</f>
        <v>2499.9999999999468</v>
      </c>
      <c r="J5" s="33">
        <f>'FS Desroches Daily'!N7</f>
        <v>1199.9999999998679</v>
      </c>
      <c r="K5" s="13">
        <f>'FS Desroches Daily'!P7</f>
        <v>0</v>
      </c>
      <c r="L5" s="32">
        <f>'FS Desroches Daily'!R7</f>
        <v>7</v>
      </c>
      <c r="M5" s="32">
        <f>'FS Desroches Daily'!T7</f>
        <v>292.09999999997672</v>
      </c>
      <c r="N5" s="32">
        <f>'FS Desroches Daily'!V7</f>
        <v>171.59999999997672</v>
      </c>
      <c r="O5" s="32">
        <f>'FS Desroches Daily'!X8</f>
        <v>230.00000000001819</v>
      </c>
      <c r="P5" s="32">
        <f>'FS Desroches Daily'!Z7</f>
        <v>700.00000000014495</v>
      </c>
      <c r="Q5" s="32">
        <f>'FS Desroches Daily'!AB7</f>
        <v>120.00000000000455</v>
      </c>
      <c r="R5" s="32">
        <f>'FS Desroches Daily'!AD7</f>
        <v>359.9999999999568</v>
      </c>
      <c r="S5" s="32">
        <f>'FS Desroches Daily'!AF7</f>
        <v>610.00000000001364</v>
      </c>
      <c r="T5" s="32">
        <f>'FS Desroches Daily'!AH7</f>
        <v>1.2999999999999545</v>
      </c>
      <c r="U5" s="36">
        <f>'FS Desroches Daily'!AJ7</f>
        <v>279.99999999997272</v>
      </c>
      <c r="V5" s="36">
        <f>'FS Desroches Daily'!AL7</f>
        <v>0.20000000000001705</v>
      </c>
      <c r="W5" s="36">
        <f>'FS Desroches Daily'!AN7</f>
        <v>0.14000000000001478</v>
      </c>
      <c r="X5" s="36">
        <f>'FS Desroches Daily'!AP7</f>
        <v>0.11000000000001364</v>
      </c>
      <c r="Y5" s="36">
        <f>'FS Desroches Daily'!AR7</f>
        <v>109.99999999998522</v>
      </c>
      <c r="Z5" s="36">
        <f>'FS Desroches Daily'!AT7</f>
        <v>129.99999999999545</v>
      </c>
      <c r="AA5" s="36">
        <f>'FS Desroches Daily'!AT7</f>
        <v>129.99999999999545</v>
      </c>
      <c r="AB5" s="36">
        <f>'FS Desroches Daily'!AV7</f>
        <v>120.00000000000455</v>
      </c>
      <c r="AC5" s="36">
        <f>'FS Desroches Daily'!AZ7</f>
        <v>120.00000000000455</v>
      </c>
      <c r="AD5" s="36">
        <f>'FS Desroches Daily'!BB7</f>
        <v>100.00000000002274</v>
      </c>
      <c r="AE5" s="36">
        <f>'FS Desroches Daily'!BD7</f>
        <v>9.9999999999909051</v>
      </c>
      <c r="AF5" s="32">
        <f>'FS Desroches Daily'!BF7</f>
        <v>31</v>
      </c>
      <c r="AG5" s="33">
        <f>'FS Desroches Daily'!BH7</f>
        <v>39.999999999992042</v>
      </c>
      <c r="AH5" s="33">
        <f>'FS Desroches Daily'!BJ7</f>
        <v>30.000000000029559</v>
      </c>
      <c r="AI5" s="33">
        <f>'FS Desroches Daily'!BL7</f>
        <v>39.999999999992042</v>
      </c>
      <c r="AJ5" s="33">
        <f>'FS Desroches Daily'!BN7</f>
        <v>39.999999999992042</v>
      </c>
      <c r="AK5" s="33">
        <f>'FS Desroches Daily'!BP7</f>
        <v>50.000000000011369</v>
      </c>
      <c r="AL5" s="33">
        <f>'FS Desroches Daily'!BR7</f>
        <v>27</v>
      </c>
      <c r="AM5" s="33">
        <f>'FS Desroches Daily'!BT7</f>
        <v>30.000000000001137</v>
      </c>
      <c r="AN5" s="33">
        <f>'FS Desroches Daily'!BV7</f>
        <v>28</v>
      </c>
      <c r="AO5" s="33">
        <f>'FS Desroches Daily'!BX7</f>
        <v>39.999999999992042</v>
      </c>
      <c r="AP5" s="33">
        <f>'FS Desroches Daily'!BZ7</f>
        <v>35</v>
      </c>
      <c r="AQ5" s="32">
        <f>'FS Desroches Daily'!CB7</f>
        <v>0</v>
      </c>
      <c r="AR5" s="32">
        <f>'FS Desroches Daily'!CD7</f>
        <v>0</v>
      </c>
      <c r="AS5" s="32">
        <f>'FS Desroches Daily'!CF7</f>
        <v>0</v>
      </c>
      <c r="AT5" s="32">
        <f>'FS Desroches Daily'!CH7</f>
        <v>66.5</v>
      </c>
      <c r="AU5" s="32">
        <f>'FS Desroches Daily'!CJ7</f>
        <v>269</v>
      </c>
      <c r="AV5" s="32">
        <f>'FS Desroches Daily'!CL7</f>
        <v>350.00000000002274</v>
      </c>
      <c r="AW5" s="32">
        <f>'FS Desroches Daily'!CM7</f>
        <v>25.7</v>
      </c>
      <c r="AX5" s="32">
        <f>IF(LPG!F12-LPG!F11&lt;0,"0",(LPG!F12-LPG!F11)*1.8315)</f>
        <v>0</v>
      </c>
      <c r="AY5" s="32">
        <f>IF(LPG!H12-LPG!H11&lt;0,"0",(LPG!H12-LPG!H11)*1.8315)</f>
        <v>0</v>
      </c>
      <c r="AZ5" s="32">
        <f>IF(LPG!J12-LPG!J13&lt;0,"0",(LPG!J12-LPG!J13)*1.8315)</f>
        <v>0</v>
      </c>
      <c r="BA5" s="32">
        <f>IF(LPG!M12-LPG!M11&lt;0,"0",(LPG!M12-LPG!M11)*1.8315)</f>
        <v>0</v>
      </c>
      <c r="BB5" s="32">
        <f>IF(LPG!Q12-LPG!Q11&lt;0,"0",(LPG!Q12-LPG!Q11)*1.8315)</f>
        <v>7.3259999999999996</v>
      </c>
      <c r="BC5" s="13">
        <f>'FS Desroches Daily'!CN7</f>
        <v>0</v>
      </c>
      <c r="BD5" s="9"/>
    </row>
    <row r="6" spans="1:56" s="16" customFormat="1" x14ac:dyDescent="0.25">
      <c r="A6" s="28" t="s">
        <v>11</v>
      </c>
      <c r="B6" s="15">
        <f t="shared" si="0"/>
        <v>5</v>
      </c>
      <c r="C6" s="18">
        <v>5</v>
      </c>
      <c r="D6" s="28">
        <v>2020</v>
      </c>
      <c r="E6" s="32">
        <f>'FS Desroches Daily'!D8</f>
        <v>1699.9999999998129</v>
      </c>
      <c r="F6" s="33">
        <f>'FS Desroches Daily'!F8</f>
        <v>1000.000000000334</v>
      </c>
      <c r="G6" s="32">
        <f>'FS Desroches Daily'!H8</f>
        <v>1900.0000000000127</v>
      </c>
      <c r="H6" s="33">
        <f>'FS Desroches Daily'!J8</f>
        <v>1399.9999999998458</v>
      </c>
      <c r="I6" s="32">
        <f>'FS Desroches Daily'!L8</f>
        <v>2399.9999999999577</v>
      </c>
      <c r="J6" s="33">
        <f>'FS Desroches Daily'!N8</f>
        <v>1100.000000000101</v>
      </c>
      <c r="K6" s="13">
        <f>'FS Desroches Daily'!P8</f>
        <v>0</v>
      </c>
      <c r="L6" s="32">
        <f>'FS Desroches Daily'!R8</f>
        <v>6</v>
      </c>
      <c r="M6" s="32">
        <f>'FS Desroches Daily'!T8</f>
        <v>193.5</v>
      </c>
      <c r="N6" s="32">
        <f>'FS Desroches Daily'!V8</f>
        <v>126.70000000001164</v>
      </c>
      <c r="O6" s="32">
        <f>'FS Desroches Daily'!X8</f>
        <v>230.00000000001819</v>
      </c>
      <c r="P6" s="32">
        <f>'FS Desroches Daily'!Z8</f>
        <v>599.99999999993395</v>
      </c>
      <c r="Q6" s="32">
        <f>'FS Desroches Daily'!AB8</f>
        <v>109.9999999999568</v>
      </c>
      <c r="R6" s="32">
        <f>'FS Desroches Daily'!AD8</f>
        <v>350.00000000002274</v>
      </c>
      <c r="S6" s="32">
        <f>'FS Desroches Daily'!AF8</f>
        <v>589.99999999997499</v>
      </c>
      <c r="T6" s="32">
        <f>'FS Desroches Daily'!AH8</f>
        <v>1.0999999999999091</v>
      </c>
      <c r="U6" s="36">
        <f>'FS Desroches Daily'!AJ8</f>
        <v>290.00000000002046</v>
      </c>
      <c r="V6" s="36">
        <f>'FS Desroches Daily'!AL8</f>
        <v>0.19999999999998863</v>
      </c>
      <c r="W6" s="36">
        <f>'FS Desroches Daily'!AN8</f>
        <v>0.14999999999997726</v>
      </c>
      <c r="X6" s="36">
        <f>'FS Desroches Daily'!AP8</f>
        <v>0.12999999999999545</v>
      </c>
      <c r="Y6" s="36">
        <f>'FS Desroches Daily'!AR8</f>
        <v>99.999999999994316</v>
      </c>
      <c r="Z6" s="36">
        <f>'FS Desroches Daily'!AT8</f>
        <v>110.00000000001364</v>
      </c>
      <c r="AA6" s="36">
        <f>'FS Desroches Daily'!AT8</f>
        <v>110.00000000001364</v>
      </c>
      <c r="AB6" s="36">
        <f>'FS Desroches Daily'!AV8</f>
        <v>110.00000000001364</v>
      </c>
      <c r="AC6" s="36">
        <f>'FS Desroches Daily'!AZ8</f>
        <v>110.00000000001364</v>
      </c>
      <c r="AD6" s="36">
        <f>'FS Desroches Daily'!BB8</f>
        <v>89.999999999974989</v>
      </c>
      <c r="AE6" s="36">
        <f>'FS Desroches Daily'!BD8</f>
        <v>9.9999999999909051</v>
      </c>
      <c r="AF6" s="32">
        <f>'FS Desroches Daily'!BF8</f>
        <v>40</v>
      </c>
      <c r="AG6" s="33">
        <f>'FS Desroches Daily'!BH8</f>
        <v>30.000000000001137</v>
      </c>
      <c r="AH6" s="33">
        <f>'FS Desroches Daily'!BJ8</f>
        <v>50.000000000011369</v>
      </c>
      <c r="AI6" s="33">
        <f>'FS Desroches Daily'!BL8</f>
        <v>30.000000000001137</v>
      </c>
      <c r="AJ6" s="33">
        <f>'FS Desroches Daily'!BN8</f>
        <v>30.000000000001137</v>
      </c>
      <c r="AK6" s="33">
        <f>'FS Desroches Daily'!BP8</f>
        <v>50.000000000011369</v>
      </c>
      <c r="AL6" s="33">
        <f>'FS Desroches Daily'!BR8</f>
        <v>26</v>
      </c>
      <c r="AM6" s="33">
        <f>'FS Desroches Daily'!BT8</f>
        <v>30.000000000001137</v>
      </c>
      <c r="AN6" s="33">
        <f>'FS Desroches Daily'!BV8</f>
        <v>26</v>
      </c>
      <c r="AO6" s="33">
        <f>'FS Desroches Daily'!BX8</f>
        <v>30.000000000001137</v>
      </c>
      <c r="AP6" s="33">
        <f>'FS Desroches Daily'!BZ8</f>
        <v>38</v>
      </c>
      <c r="AQ6" s="32">
        <f>'FS Desroches Daily'!CB8</f>
        <v>0</v>
      </c>
      <c r="AR6" s="32">
        <f>'FS Desroches Daily'!CD8</f>
        <v>0</v>
      </c>
      <c r="AS6" s="32">
        <f>'FS Desroches Daily'!CF8</f>
        <v>0</v>
      </c>
      <c r="AT6" s="32">
        <f>'FS Desroches Daily'!CH8</f>
        <v>55.30000000000291</v>
      </c>
      <c r="AU6" s="32">
        <f>'FS Desroches Daily'!CJ8</f>
        <v>264</v>
      </c>
      <c r="AV6" s="32">
        <f>'FS Desroches Daily'!CL8</f>
        <v>409.99999999996817</v>
      </c>
      <c r="AW6" s="32">
        <f>'FS Desroches Daily'!CM8</f>
        <v>30.3</v>
      </c>
      <c r="AX6" s="32">
        <f>IF(LPG!F13-LPG!F12&lt;0,"0",(LPG!F13-LPG!F12)*1.8315)</f>
        <v>0</v>
      </c>
      <c r="AY6" s="32">
        <f>IF(LPG!H13-LPG!H12&lt;0,"0",(LPG!H13-LPG!H12)*1.8315)</f>
        <v>0</v>
      </c>
      <c r="AZ6" s="32">
        <v>0</v>
      </c>
      <c r="BA6" s="32">
        <f>IF(LPG!M13-LPG!M12&lt;0,"0",(LPG!M13-LPG!M12)*1.8315)</f>
        <v>0</v>
      </c>
      <c r="BB6" s="32">
        <f>IF(LPG!Q13-LPG!Q12&lt;0,"0",(LPG!Q13-LPG!Q12)*1.8315)</f>
        <v>7.3259999999999996</v>
      </c>
      <c r="BC6" s="13">
        <f>'FS Desroches Daily'!CN8</f>
        <v>0</v>
      </c>
      <c r="BD6" s="9"/>
    </row>
    <row r="7" spans="1:56" s="16" customFormat="1" x14ac:dyDescent="0.25">
      <c r="A7" s="28" t="s">
        <v>11</v>
      </c>
      <c r="B7" s="15">
        <f t="shared" si="0"/>
        <v>6</v>
      </c>
      <c r="C7" s="18">
        <v>5</v>
      </c>
      <c r="D7" s="28">
        <v>2020</v>
      </c>
      <c r="E7" s="32">
        <f>'FS Desroches Daily'!D9</f>
        <v>1600.0000000000459</v>
      </c>
      <c r="F7" s="33">
        <f>'FS Desroches Daily'!F9</f>
        <v>999.99999999988984</v>
      </c>
      <c r="G7" s="32">
        <f>'FS Desroches Daily'!H9</f>
        <v>1799.9999999998017</v>
      </c>
      <c r="H7" s="33">
        <f>'FS Desroches Daily'!J9</f>
        <v>1200.0000000000898</v>
      </c>
      <c r="I7" s="32">
        <f>'FS Desroches Daily'!L9</f>
        <v>2299.9999999999686</v>
      </c>
      <c r="J7" s="33">
        <f>'FS Desroches Daily'!N9</f>
        <v>1199.9999999998679</v>
      </c>
      <c r="K7" s="13">
        <f>'FS Desroches Daily'!P9</f>
        <v>0</v>
      </c>
      <c r="L7" s="32">
        <f>'FS Desroches Daily'!R9</f>
        <v>6</v>
      </c>
      <c r="M7" s="32">
        <f>'FS Desroches Daily'!T9</f>
        <v>243.70000000006985</v>
      </c>
      <c r="N7" s="32">
        <f>'FS Desroches Daily'!V9</f>
        <v>168.60000000003492</v>
      </c>
      <c r="O7" s="32">
        <f>'FS Desroches Daily'!X9</f>
        <v>209.99999999997954</v>
      </c>
      <c r="P7" s="32">
        <f>'FS Desroches Daily'!Z9</f>
        <v>599.99999999993395</v>
      </c>
      <c r="Q7" s="32">
        <f>'FS Desroches Daily'!AB9</f>
        <v>100.00000000002274</v>
      </c>
      <c r="R7" s="32">
        <f>'FS Desroches Daily'!AD9</f>
        <v>329.99999999998408</v>
      </c>
      <c r="S7" s="32">
        <f>'FS Desroches Daily'!AF9</f>
        <v>600.00000000002274</v>
      </c>
      <c r="T7" s="32">
        <f>'FS Desroches Daily'!AH9</f>
        <v>0.90000000000009095</v>
      </c>
      <c r="U7" s="36">
        <f>'FS Desroches Daily'!AJ9</f>
        <v>279.99999999997272</v>
      </c>
      <c r="V7" s="36">
        <f>'FS Desroches Daily'!AL9</f>
        <v>0.17000000000001592</v>
      </c>
      <c r="W7" s="36">
        <f>'FS Desroches Daily'!AN9</f>
        <v>0.15000000000000568</v>
      </c>
      <c r="X7" s="36">
        <f>'FS Desroches Daily'!AP9</f>
        <v>0.15999999999999659</v>
      </c>
      <c r="Y7" s="36">
        <f>'FS Desroches Daily'!AR9</f>
        <v>110.00000000001364</v>
      </c>
      <c r="Z7" s="36">
        <f>'FS Desroches Daily'!AT9</f>
        <v>110.00000000001364</v>
      </c>
      <c r="AA7" s="36">
        <f>'FS Desroches Daily'!AT9</f>
        <v>110.00000000001364</v>
      </c>
      <c r="AB7" s="36">
        <f>'FS Desroches Daily'!AV9</f>
        <v>100.00000000002274</v>
      </c>
      <c r="AC7" s="36">
        <f>'FS Desroches Daily'!AZ9</f>
        <v>99.999999999965894</v>
      </c>
      <c r="AD7" s="36">
        <f>'FS Desroches Daily'!BB9</f>
        <v>80.000000000040927</v>
      </c>
      <c r="AE7" s="36">
        <f>'FS Desroches Daily'!BD9</f>
        <v>10.000000000019327</v>
      </c>
      <c r="AF7" s="32">
        <f>'FS Desroches Daily'!BF9</f>
        <v>33</v>
      </c>
      <c r="AG7" s="33">
        <f>'FS Desroches Daily'!BH9</f>
        <v>39.999999999992042</v>
      </c>
      <c r="AH7" s="33">
        <f>'FS Desroches Daily'!BJ9</f>
        <v>39.99999999996362</v>
      </c>
      <c r="AI7" s="33">
        <f>'FS Desroches Daily'!BL9</f>
        <v>39.999999999992042</v>
      </c>
      <c r="AJ7" s="33">
        <f>'FS Desroches Daily'!BN9</f>
        <v>50.000000000011369</v>
      </c>
      <c r="AK7" s="33">
        <f>'FS Desroches Daily'!BP9</f>
        <v>39.99999999996362</v>
      </c>
      <c r="AL7" s="33">
        <f>'FS Desroches Daily'!BR9</f>
        <v>26</v>
      </c>
      <c r="AM7" s="33">
        <f>'FS Desroches Daily'!BT9</f>
        <v>30.000000000001137</v>
      </c>
      <c r="AN7" s="33">
        <f>'FS Desroches Daily'!BV9</f>
        <v>26</v>
      </c>
      <c r="AO7" s="33">
        <f>'FS Desroches Daily'!BX9</f>
        <v>40.000000000020464</v>
      </c>
      <c r="AP7" s="33">
        <f>'FS Desroches Daily'!BZ9</f>
        <v>40</v>
      </c>
      <c r="AQ7" s="32">
        <f>'FS Desroches Daily'!CB9</f>
        <v>0</v>
      </c>
      <c r="AR7" s="32">
        <f>'FS Desroches Daily'!CD9</f>
        <v>0</v>
      </c>
      <c r="AS7" s="32">
        <f>'FS Desroches Daily'!CF9</f>
        <v>0</v>
      </c>
      <c r="AT7" s="32">
        <f>'FS Desroches Daily'!CH9</f>
        <v>64.899999999994179</v>
      </c>
      <c r="AU7" s="32">
        <f>'FS Desroches Daily'!CJ9</f>
        <v>248</v>
      </c>
      <c r="AV7" s="32">
        <f>'FS Desroches Daily'!CL9</f>
        <v>390.00000000010004</v>
      </c>
      <c r="AW7" s="32">
        <f>'FS Desroches Daily'!CM9</f>
        <v>26.9</v>
      </c>
      <c r="AX7" s="32">
        <f>IF(LPG!F14-LPG!F13&lt;0,"0",(LPG!F14-LPG!F13)*1.8315)</f>
        <v>0</v>
      </c>
      <c r="AY7" s="32">
        <f>IF(LPG!H14-LPG!H13&lt;0,"0",(LPG!H14-LPG!H13)*1.8315)</f>
        <v>0</v>
      </c>
      <c r="AZ7" s="32">
        <v>0</v>
      </c>
      <c r="BA7" s="32">
        <f>IF(LPG!M14-LPG!M13&lt;0,"0",(LPG!M14-LPG!M13)*1.8315)</f>
        <v>0</v>
      </c>
      <c r="BB7" s="32">
        <f>IF(LPG!Q14-LPG!Q13&lt;0,"0",(LPG!Q14-LPG!Q13)*1.8315)</f>
        <v>7.3259999999999996</v>
      </c>
      <c r="BC7" s="13">
        <f>'FS Desroches Daily'!CN9</f>
        <v>0</v>
      </c>
      <c r="BD7" s="9"/>
    </row>
    <row r="8" spans="1:56" s="16" customFormat="1" x14ac:dyDescent="0.25">
      <c r="A8" s="28" t="s">
        <v>11</v>
      </c>
      <c r="B8" s="15">
        <f t="shared" si="0"/>
        <v>7</v>
      </c>
      <c r="C8" s="18">
        <v>5</v>
      </c>
      <c r="D8" s="28">
        <v>2020</v>
      </c>
      <c r="E8" s="32">
        <f>'FS Desroches Daily'!D10</f>
        <v>1700.0000000000348</v>
      </c>
      <c r="F8" s="33">
        <f>'FS Desroches Daily'!F10</f>
        <v>999.99999999988984</v>
      </c>
      <c r="G8" s="32">
        <f>'FS Desroches Daily'!H10</f>
        <v>1900.0000000000127</v>
      </c>
      <c r="H8" s="33">
        <f>'FS Desroches Daily'!J10</f>
        <v>1299.9999999998568</v>
      </c>
      <c r="I8" s="32">
        <f>'FS Desroches Daily'!L10</f>
        <v>2299.9999999999686</v>
      </c>
      <c r="J8" s="33">
        <f>'FS Desroches Daily'!N10</f>
        <v>1000.0000000001119</v>
      </c>
      <c r="K8" s="13">
        <f>'FS Desroches Daily'!P10</f>
        <v>20</v>
      </c>
      <c r="L8" s="32">
        <f>'FS Desroches Daily'!R10</f>
        <v>6</v>
      </c>
      <c r="M8" s="32">
        <f>'FS Desroches Daily'!T10</f>
        <v>273.29999999993015</v>
      </c>
      <c r="N8" s="32">
        <f>'FS Desroches Daily'!V10</f>
        <v>185.5</v>
      </c>
      <c r="O8" s="32">
        <f>'FS Desroches Daily'!X10</f>
        <v>220.00000000002728</v>
      </c>
      <c r="P8" s="32">
        <f>'FS Desroches Daily'!Z10</f>
        <v>699.99999999970089</v>
      </c>
      <c r="Q8" s="32">
        <f>'FS Desroches Daily'!AB10</f>
        <v>110.00000000001364</v>
      </c>
      <c r="R8" s="32">
        <f>'FS Desroches Daily'!AD10</f>
        <v>330.00000000004093</v>
      </c>
      <c r="S8" s="32">
        <f>'FS Desroches Daily'!AF10</f>
        <v>519.99999999998181</v>
      </c>
      <c r="T8" s="32">
        <f>'FS Desroches Daily'!AH10</f>
        <v>1.2000000000000455</v>
      </c>
      <c r="U8" s="36">
        <f>'FS Desroches Daily'!AJ10</f>
        <v>280.00000000002956</v>
      </c>
      <c r="V8" s="36">
        <f>'FS Desroches Daily'!AL10</f>
        <v>0.1799999999999784</v>
      </c>
      <c r="W8" s="36">
        <f>'FS Desroches Daily'!AN10</f>
        <v>0.14000000000001478</v>
      </c>
      <c r="X8" s="36">
        <f>'FS Desroches Daily'!AP10</f>
        <v>3.0000000000001137E-2</v>
      </c>
      <c r="Y8" s="36">
        <f>'FS Desroches Daily'!AR10</f>
        <v>120.00000000000455</v>
      </c>
      <c r="Z8" s="36">
        <f>'FS Desroches Daily'!AT10</f>
        <v>109.9999999999568</v>
      </c>
      <c r="AA8" s="36">
        <f>'FS Desroches Daily'!AT10</f>
        <v>109.9999999999568</v>
      </c>
      <c r="AB8" s="36">
        <f>'FS Desroches Daily'!AV10</f>
        <v>110.00000000001364</v>
      </c>
      <c r="AC8" s="36">
        <f>'FS Desroches Daily'!AZ10</f>
        <v>100.00000000002274</v>
      </c>
      <c r="AD8" s="36">
        <f>'FS Desroches Daily'!BB10</f>
        <v>79.999999999984084</v>
      </c>
      <c r="AE8" s="36">
        <f>'FS Desroches Daily'!BD10</f>
        <v>19.99999999998181</v>
      </c>
      <c r="AF8" s="32">
        <f>'FS Desroches Daily'!BF10</f>
        <v>40</v>
      </c>
      <c r="AG8" s="33">
        <f>'FS Desroches Daily'!BH10</f>
        <v>30.000000000001137</v>
      </c>
      <c r="AH8" s="33">
        <f>'FS Desroches Daily'!BJ10</f>
        <v>30.000000000029559</v>
      </c>
      <c r="AI8" s="33">
        <f>'FS Desroches Daily'!BL10</f>
        <v>30.000000000001137</v>
      </c>
      <c r="AJ8" s="33">
        <f>'FS Desroches Daily'!BN10</f>
        <v>30.000000000001137</v>
      </c>
      <c r="AK8" s="33">
        <f>'FS Desroches Daily'!BP10</f>
        <v>50.000000000011369</v>
      </c>
      <c r="AL8" s="33">
        <f>'FS Desroches Daily'!BR10</f>
        <v>23</v>
      </c>
      <c r="AM8" s="33">
        <f>'FS Desroches Daily'!BT10</f>
        <v>30.000000000001137</v>
      </c>
      <c r="AN8" s="33">
        <f>'FS Desroches Daily'!BV10</f>
        <v>25</v>
      </c>
      <c r="AO8" s="33">
        <f>'FS Desroches Daily'!BX10</f>
        <v>30.000000000001137</v>
      </c>
      <c r="AP8" s="33">
        <f>'FS Desroches Daily'!BZ10</f>
        <v>35</v>
      </c>
      <c r="AQ8" s="32">
        <f>'FS Desroches Daily'!CB10</f>
        <v>0</v>
      </c>
      <c r="AR8" s="32">
        <f>'FS Desroches Daily'!CD10</f>
        <v>0</v>
      </c>
      <c r="AS8" s="32">
        <f>'FS Desroches Daily'!CF10</f>
        <v>0</v>
      </c>
      <c r="AT8" s="32">
        <f>'FS Desroches Daily'!CH10</f>
        <v>54.900000000001455</v>
      </c>
      <c r="AU8" s="32">
        <f>'FS Desroches Daily'!CJ10</f>
        <v>229</v>
      </c>
      <c r="AV8" s="32">
        <f>'FS Desroches Daily'!CL10</f>
        <v>509.99999999999091</v>
      </c>
      <c r="AW8" s="32">
        <f>'FS Desroches Daily'!CM10</f>
        <v>40.4</v>
      </c>
      <c r="AX8" s="32">
        <f>IF(LPG!F15-LPG!F14&lt;0,"0",(LPG!F15-LPG!F14)*1.8315)</f>
        <v>0</v>
      </c>
      <c r="AY8" s="32">
        <f>IF(LPG!H15-LPG!H14&lt;0,"0",(LPG!H15-LPG!H14)*1.8315)</f>
        <v>0</v>
      </c>
      <c r="AZ8" s="32">
        <f>IF(LPG!J15-LPG!J14&lt;0,"0",(LPG!J15-LPG!J14)*1.8315)</f>
        <v>0</v>
      </c>
      <c r="BA8" s="32">
        <f>IF(LPG!M15-LPG!M14&lt;0,"0",(LPG!M15-LPG!M14)*1.8315)</f>
        <v>0</v>
      </c>
      <c r="BB8" s="32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28" t="s">
        <v>11</v>
      </c>
      <c r="B9" s="15">
        <f t="shared" si="0"/>
        <v>8</v>
      </c>
      <c r="C9" s="18">
        <v>5</v>
      </c>
      <c r="D9" s="28">
        <v>2020</v>
      </c>
      <c r="E9" s="32">
        <f>'FS Desroches Daily'!D11</f>
        <v>1700.0000000000348</v>
      </c>
      <c r="F9" s="33">
        <f>'FS Desroches Daily'!F11</f>
        <v>999.99999999988984</v>
      </c>
      <c r="G9" s="32">
        <f>'FS Desroches Daily'!H11</f>
        <v>2000.0000000002237</v>
      </c>
      <c r="H9" s="33">
        <f>'FS Desroches Daily'!J11</f>
        <v>1300.0000000000789</v>
      </c>
      <c r="I9" s="32">
        <f>'FS Desroches Daily'!L11</f>
        <v>2600.0000000001578</v>
      </c>
      <c r="J9" s="33">
        <f>'FS Desroches Daily'!N11</f>
        <v>1199.9999999998679</v>
      </c>
      <c r="K9" s="13">
        <f>'FS Desroches Daily'!P11</f>
        <v>0</v>
      </c>
      <c r="L9" s="32">
        <f>'FS Desroches Daily'!R11</f>
        <v>5</v>
      </c>
      <c r="M9" s="32">
        <f>'FS Desroches Daily'!T11</f>
        <v>305.40000000002328</v>
      </c>
      <c r="N9" s="32">
        <f>'FS Desroches Daily'!V11</f>
        <v>190.59999999997672</v>
      </c>
      <c r="O9" s="32">
        <f>'FS Desroches Daily'!X11</f>
        <v>219.99999999997044</v>
      </c>
      <c r="P9" s="32">
        <f>'FS Desroches Daily'!Z11</f>
        <v>700.00000000014495</v>
      </c>
      <c r="Q9" s="32">
        <f>'FS Desroches Daily'!AB11</f>
        <v>109.9999999999568</v>
      </c>
      <c r="R9" s="32">
        <f>'FS Desroches Daily'!AD11</f>
        <v>310.00000000000227</v>
      </c>
      <c r="S9" s="32">
        <f>'FS Desroches Daily'!AF11</f>
        <v>639.99999999998636</v>
      </c>
      <c r="T9" s="32">
        <f>'FS Desroches Daily'!AH11</f>
        <v>4.3999999999998636</v>
      </c>
      <c r="U9" s="36">
        <f>'FS Desroches Daily'!AJ11</f>
        <v>289.99999999996362</v>
      </c>
      <c r="V9" s="36">
        <f>'FS Desroches Daily'!AL11</f>
        <v>0.15999999999999659</v>
      </c>
      <c r="W9" s="36">
        <f>'FS Desroches Daily'!AN11</f>
        <v>0.12999999999999545</v>
      </c>
      <c r="X9" s="36">
        <f>'FS Desroches Daily'!AP11</f>
        <v>0.23000000000001819</v>
      </c>
      <c r="Y9" s="36">
        <f>'FS Desroches Daily'!AR11</f>
        <v>120.00000000000455</v>
      </c>
      <c r="Z9" s="36">
        <f>'FS Desroches Daily'!AT11</f>
        <v>100.00000000002274</v>
      </c>
      <c r="AA9" s="36">
        <f>'FS Desroches Daily'!AT11</f>
        <v>100.00000000002274</v>
      </c>
      <c r="AB9" s="36">
        <f>'FS Desroches Daily'!AV11</f>
        <v>99.999999999965894</v>
      </c>
      <c r="AC9" s="36">
        <f>'FS Desroches Daily'!AZ11</f>
        <v>110.00000000001364</v>
      </c>
      <c r="AD9" s="36">
        <f>'FS Desroches Daily'!BB11</f>
        <v>120.00000000000455</v>
      </c>
      <c r="AE9" s="36">
        <f>'FS Desroches Daily'!BD11</f>
        <v>10.000000000019327</v>
      </c>
      <c r="AF9" s="32">
        <f>'FS Desroches Daily'!BF11</f>
        <v>38</v>
      </c>
      <c r="AG9" s="33">
        <f>'FS Desroches Daily'!BH11</f>
        <v>39.999999999992042</v>
      </c>
      <c r="AH9" s="33">
        <f>'FS Desroches Daily'!BJ11</f>
        <v>39.99999999996362</v>
      </c>
      <c r="AI9" s="33">
        <f>'FS Desroches Daily'!BL11</f>
        <v>30.000000000001137</v>
      </c>
      <c r="AJ9" s="33">
        <f>'FS Desroches Daily'!BN11</f>
        <v>39.999999999992042</v>
      </c>
      <c r="AK9" s="33">
        <f>'FS Desroches Daily'!BP11</f>
        <v>50.000000000011369</v>
      </c>
      <c r="AL9" s="33">
        <f>'FS Desroches Daily'!BR11</f>
        <v>24</v>
      </c>
      <c r="AM9" s="33">
        <f>'FS Desroches Daily'!BT11</f>
        <v>20.000000000010232</v>
      </c>
      <c r="AN9" s="33">
        <f>'FS Desroches Daily'!BV11</f>
        <v>26</v>
      </c>
      <c r="AO9" s="33">
        <f>'FS Desroches Daily'!BX11</f>
        <v>39.999999999992042</v>
      </c>
      <c r="AP9" s="33">
        <f>'FS Desroches Daily'!BZ11</f>
        <v>40</v>
      </c>
      <c r="AQ9" s="32">
        <f>'FS Desroches Daily'!CB11</f>
        <v>0</v>
      </c>
      <c r="AR9" s="32">
        <f>'FS Desroches Daily'!CD11</f>
        <v>0</v>
      </c>
      <c r="AS9" s="32">
        <f>'FS Desroches Daily'!CF11</f>
        <v>0</v>
      </c>
      <c r="AT9" s="32">
        <f>'FS Desroches Daily'!CH11</f>
        <v>58.80000000000291</v>
      </c>
      <c r="AU9" s="32">
        <f>'FS Desroches Daily'!CJ11</f>
        <v>217</v>
      </c>
      <c r="AV9" s="32">
        <f>'FS Desroches Daily'!CL11</f>
        <v>469.9999999999136</v>
      </c>
      <c r="AW9" s="32">
        <f>'FS Desroches Daily'!CM11</f>
        <v>48</v>
      </c>
      <c r="AX9" s="32" t="str">
        <f>IF(LPG!F16-LPG!F15&lt;0,"0",(LPG!F16-LPG!F15)*1.8315)</f>
        <v>0</v>
      </c>
      <c r="AY9" s="32" t="str">
        <f>IF(LPG!H16-LPG!H15&lt;0,"0",(LPG!H16-LPG!H15)*1.8315)</f>
        <v>0</v>
      </c>
      <c r="AZ9" s="32" t="str">
        <f>IF(LPG!J16-LPG!J15&lt;0,"0",(LPG!J16-LPG!J15)*1.8315)</f>
        <v>0</v>
      </c>
      <c r="BA9" s="32" t="str">
        <f>IF(LPG!M16-LPG!M15&lt;0,"0",(LPG!M16-LPG!M15)*1.8315)</f>
        <v>0</v>
      </c>
      <c r="BB9" s="32" t="str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8" t="s">
        <v>11</v>
      </c>
      <c r="B10" s="15">
        <f t="shared" si="0"/>
        <v>9</v>
      </c>
      <c r="C10" s="18">
        <v>5</v>
      </c>
      <c r="D10" s="28">
        <v>2020</v>
      </c>
      <c r="E10" s="32" t="str">
        <f>'FS Desroches Daily'!D12</f>
        <v>0</v>
      </c>
      <c r="F10" s="33" t="str">
        <f>'FS Desroches Daily'!F12</f>
        <v>0</v>
      </c>
      <c r="G10" s="32" t="str">
        <f>'FS Desroches Daily'!H12</f>
        <v>0</v>
      </c>
      <c r="H10" s="33" t="str">
        <f>'FS Desroches Daily'!J12</f>
        <v>0</v>
      </c>
      <c r="I10" s="32" t="str">
        <f>'FS Desroches Daily'!L12</f>
        <v>0</v>
      </c>
      <c r="J10" s="33" t="str">
        <f>'FS Desroches Daily'!N12</f>
        <v/>
      </c>
      <c r="K10" s="13" t="str">
        <f>'FS Desroches Daily'!P12</f>
        <v/>
      </c>
      <c r="L10" s="32" t="str">
        <f>'FS Desroches Daily'!R12</f>
        <v/>
      </c>
      <c r="M10" s="32" t="str">
        <f>'FS Desroches Daily'!T12</f>
        <v/>
      </c>
      <c r="N10" s="32" t="str">
        <f>'FS Desroches Daily'!V12</f>
        <v/>
      </c>
      <c r="O10" s="32" t="str">
        <f>'FS Desroches Daily'!X12</f>
        <v/>
      </c>
      <c r="P10" s="32" t="str">
        <f>'FS Desroches Daily'!Z12</f>
        <v/>
      </c>
      <c r="Q10" s="32" t="str">
        <f>'FS Desroches Daily'!AB12</f>
        <v/>
      </c>
      <c r="R10" s="32" t="str">
        <f>'FS Desroches Daily'!AD12</f>
        <v/>
      </c>
      <c r="S10" s="32" t="str">
        <f>'FS Desroches Daily'!AF12</f>
        <v/>
      </c>
      <c r="T10" s="32" t="str">
        <f>'FS Desroches Daily'!AH12</f>
        <v/>
      </c>
      <c r="U10" s="36" t="str">
        <f>'FS Desroches Daily'!AJ12</f>
        <v/>
      </c>
      <c r="V10" s="36" t="str">
        <f>'FS Desroches Daily'!AL12</f>
        <v/>
      </c>
      <c r="W10" s="36" t="str">
        <f>'FS Desroches Daily'!AN12</f>
        <v/>
      </c>
      <c r="X10" s="36" t="str">
        <f>'FS Desroches Daily'!AP12</f>
        <v/>
      </c>
      <c r="Y10" s="36" t="str">
        <f>'FS Desroches Daily'!AR12</f>
        <v/>
      </c>
      <c r="Z10" s="36" t="str">
        <f>'FS Desroches Daily'!AT12</f>
        <v/>
      </c>
      <c r="AA10" s="36" t="str">
        <f>'FS Desroches Daily'!AT12</f>
        <v/>
      </c>
      <c r="AB10" s="36" t="str">
        <f>'FS Desroches Daily'!AV12</f>
        <v/>
      </c>
      <c r="AC10" s="36" t="str">
        <f>'FS Desroches Daily'!AZ12</f>
        <v/>
      </c>
      <c r="AD10" s="36" t="str">
        <f>'FS Desroches Daily'!BB12</f>
        <v/>
      </c>
      <c r="AE10" s="36" t="str">
        <f>'FS Desroches Daily'!BD12</f>
        <v/>
      </c>
      <c r="AF10" s="32" t="str">
        <f>'FS Desroches Daily'!BF12</f>
        <v/>
      </c>
      <c r="AG10" s="33" t="str">
        <f>'FS Desroches Daily'!BH12</f>
        <v/>
      </c>
      <c r="AH10" s="33" t="str">
        <f>'FS Desroches Daily'!BJ12</f>
        <v/>
      </c>
      <c r="AI10" s="33" t="str">
        <f>'FS Desroches Daily'!BL12</f>
        <v/>
      </c>
      <c r="AJ10" s="33" t="str">
        <f>'FS Desroches Daily'!BN12</f>
        <v/>
      </c>
      <c r="AK10" s="33" t="str">
        <f>'FS Desroches Daily'!BP12</f>
        <v/>
      </c>
      <c r="AL10" s="33" t="str">
        <f>'FS Desroches Daily'!BR12</f>
        <v/>
      </c>
      <c r="AM10" s="33" t="str">
        <f>'FS Desroches Daily'!BT12</f>
        <v/>
      </c>
      <c r="AN10" s="33" t="str">
        <f>'FS Desroches Daily'!BV12</f>
        <v/>
      </c>
      <c r="AO10" s="33" t="str">
        <f>'FS Desroches Daily'!BX12</f>
        <v/>
      </c>
      <c r="AP10" s="33" t="str">
        <f>'FS Desroches Daily'!BZ12</f>
        <v/>
      </c>
      <c r="AQ10" s="32" t="str">
        <f>'FS Desroches Daily'!CB12</f>
        <v/>
      </c>
      <c r="AR10" s="32" t="str">
        <f>'FS Desroches Daily'!CD12</f>
        <v/>
      </c>
      <c r="AS10" s="32" t="str">
        <f>'FS Desroches Daily'!CF12</f>
        <v/>
      </c>
      <c r="AT10" s="32" t="str">
        <f>'FS Desroches Daily'!CH12</f>
        <v/>
      </c>
      <c r="AU10" s="32" t="str">
        <f>'FS Desroches Daily'!CJ12</f>
        <v/>
      </c>
      <c r="AV10" s="32" t="str">
        <f>'FS Desroches Daily'!CL12</f>
        <v/>
      </c>
      <c r="AW10" s="32">
        <f>'FS Desroches Daily'!CM12</f>
        <v>0</v>
      </c>
      <c r="AX10" s="32">
        <f>IF(LPG!F17-LPG!F16&lt;0,"0",(LPG!F17-LPG!F16)*1.8315)</f>
        <v>0</v>
      </c>
      <c r="AY10" s="32">
        <f>IF(LPG!H17-LPG!H16&lt;0,"0",(LPG!H17-LPG!H16)*1.8315)</f>
        <v>0</v>
      </c>
      <c r="AZ10" s="32">
        <f>IF(LPG!J17-LPG!J16&lt;0,"0",(LPG!J17-LPG!J16)*1.8315)</f>
        <v>0</v>
      </c>
      <c r="BA10" s="32">
        <f>IF(LPG!M17-LPG!M16&lt;0,"0",(LPG!M17-LPG!M16)*1.8315)</f>
        <v>0</v>
      </c>
      <c r="BB10" s="32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8" t="s">
        <v>11</v>
      </c>
      <c r="B11" s="15">
        <f t="shared" si="0"/>
        <v>10</v>
      </c>
      <c r="C11" s="18">
        <v>5</v>
      </c>
      <c r="D11" s="28">
        <v>2020</v>
      </c>
      <c r="E11" s="32">
        <f>'FS Desroches Daily'!D13</f>
        <v>0</v>
      </c>
      <c r="F11" s="33">
        <f>'FS Desroches Daily'!F13</f>
        <v>0</v>
      </c>
      <c r="G11" s="32">
        <f>'FS Desroches Daily'!H13</f>
        <v>0</v>
      </c>
      <c r="H11" s="33">
        <f>'FS Desroches Daily'!J13</f>
        <v>0</v>
      </c>
      <c r="I11" s="32">
        <f>'FS Desroches Daily'!L13</f>
        <v>0</v>
      </c>
      <c r="J11" s="33">
        <f>'FS Desroches Daily'!N13</f>
        <v>0</v>
      </c>
      <c r="K11" s="13">
        <f>'FS Desroches Daily'!P13</f>
        <v>0</v>
      </c>
      <c r="L11" s="32">
        <f>'FS Desroches Daily'!R13</f>
        <v>0</v>
      </c>
      <c r="M11" s="32">
        <f>'FS Desroches Daily'!T13</f>
        <v>0</v>
      </c>
      <c r="N11" s="32">
        <f>'FS Desroches Daily'!V13</f>
        <v>0</v>
      </c>
      <c r="O11" s="32">
        <f>'FS Desroches Daily'!X13</f>
        <v>0</v>
      </c>
      <c r="P11" s="32">
        <f>'FS Desroches Daily'!Z13</f>
        <v>0</v>
      </c>
      <c r="Q11" s="32">
        <f>'FS Desroches Daily'!AB13</f>
        <v>0</v>
      </c>
      <c r="R11" s="32">
        <f>'FS Desroches Daily'!AD13</f>
        <v>0</v>
      </c>
      <c r="S11" s="32">
        <f>'FS Desroches Daily'!AF13</f>
        <v>0</v>
      </c>
      <c r="T11" s="32">
        <f>'FS Desroches Daily'!AH13</f>
        <v>0</v>
      </c>
      <c r="U11" s="36">
        <f>'FS Desroches Daily'!AJ13</f>
        <v>0</v>
      </c>
      <c r="V11" s="36">
        <f>'FS Desroches Daily'!AL13</f>
        <v>0</v>
      </c>
      <c r="W11" s="36">
        <f>'FS Desroches Daily'!AN13</f>
        <v>0</v>
      </c>
      <c r="X11" s="36">
        <f>'FS Desroches Daily'!AP13</f>
        <v>0</v>
      </c>
      <c r="Y11" s="36">
        <f>'FS Desroches Daily'!AR13</f>
        <v>0</v>
      </c>
      <c r="Z11" s="36">
        <f>'FS Desroches Daily'!AT13</f>
        <v>0</v>
      </c>
      <c r="AA11" s="36">
        <f>'FS Desroches Daily'!AT13</f>
        <v>0</v>
      </c>
      <c r="AB11" s="36">
        <f>'FS Desroches Daily'!AV13</f>
        <v>0</v>
      </c>
      <c r="AC11" s="36">
        <f>'FS Desroches Daily'!AZ13</f>
        <v>0</v>
      </c>
      <c r="AD11" s="36">
        <f>'FS Desroches Daily'!BB13</f>
        <v>0</v>
      </c>
      <c r="AE11" s="36">
        <f>'FS Desroches Daily'!BD13</f>
        <v>0</v>
      </c>
      <c r="AF11" s="32">
        <f>'FS Desroches Daily'!BF13</f>
        <v>0</v>
      </c>
      <c r="AG11" s="33">
        <f>'FS Desroches Daily'!BH13</f>
        <v>0</v>
      </c>
      <c r="AH11" s="33">
        <f>'FS Desroches Daily'!BJ13</f>
        <v>0</v>
      </c>
      <c r="AI11" s="33">
        <f>'FS Desroches Daily'!BL13</f>
        <v>0</v>
      </c>
      <c r="AJ11" s="33">
        <f>'FS Desroches Daily'!BN13</f>
        <v>0</v>
      </c>
      <c r="AK11" s="33">
        <f>'FS Desroches Daily'!BP13</f>
        <v>0</v>
      </c>
      <c r="AL11" s="33">
        <f>'FS Desroches Daily'!BR13</f>
        <v>0</v>
      </c>
      <c r="AM11" s="33">
        <f>'FS Desroches Daily'!BT13</f>
        <v>0</v>
      </c>
      <c r="AN11" s="33">
        <f>'FS Desroches Daily'!BV13</f>
        <v>0</v>
      </c>
      <c r="AO11" s="33">
        <f>'FS Desroches Daily'!BX13</f>
        <v>0</v>
      </c>
      <c r="AP11" s="33">
        <f>'FS Desroches Daily'!BZ13</f>
        <v>0</v>
      </c>
      <c r="AQ11" s="32">
        <f>'FS Desroches Daily'!CB13</f>
        <v>0</v>
      </c>
      <c r="AR11" s="32">
        <f>'FS Desroches Daily'!CD13</f>
        <v>0</v>
      </c>
      <c r="AS11" s="32">
        <f>'FS Desroches Daily'!CF13</f>
        <v>0</v>
      </c>
      <c r="AT11" s="32">
        <f>'FS Desroches Daily'!CH13</f>
        <v>0</v>
      </c>
      <c r="AU11" s="32">
        <f>'FS Desroches Daily'!CJ13</f>
        <v>0</v>
      </c>
      <c r="AV11" s="32">
        <f>'FS Desroches Daily'!CL13</f>
        <v>0</v>
      </c>
      <c r="AW11" s="32">
        <f>'FS Desroches Daily'!CM13</f>
        <v>0</v>
      </c>
      <c r="AX11" s="32">
        <f>IF(LPG!F18-LPG!F17&lt;0,"0",(LPG!F18-LPG!F17)*1.8315)</f>
        <v>0</v>
      </c>
      <c r="AY11" s="32">
        <f>IF(LPG!H18-LPG!H17&lt;0,"0",(LPG!H18-LPG!H17)*1.8315)</f>
        <v>0</v>
      </c>
      <c r="AZ11" s="32">
        <f>IF(LPG!J18-LPG!J17&lt;0,"0",(LPG!J18-LPG!J17)*1.8315)</f>
        <v>0</v>
      </c>
      <c r="BA11" s="32">
        <f>IF(LPG!M18-LPG!M17&lt;0,"0",(LPG!M18-LPG!M17)*1.8315)</f>
        <v>0</v>
      </c>
      <c r="BB11" s="32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8" t="s">
        <v>11</v>
      </c>
      <c r="B12" s="15">
        <f t="shared" si="0"/>
        <v>11</v>
      </c>
      <c r="C12" s="18">
        <v>5</v>
      </c>
      <c r="D12" s="28">
        <v>2020</v>
      </c>
      <c r="E12" s="32">
        <f>'FS Desroches Daily'!D14</f>
        <v>0</v>
      </c>
      <c r="F12" s="33">
        <f>'FS Desroches Daily'!F14</f>
        <v>0</v>
      </c>
      <c r="G12" s="32">
        <f>'FS Desroches Daily'!H14</f>
        <v>0</v>
      </c>
      <c r="H12" s="33">
        <f>'FS Desroches Daily'!J14</f>
        <v>0</v>
      </c>
      <c r="I12" s="32">
        <f>'FS Desroches Daily'!L14</f>
        <v>0</v>
      </c>
      <c r="J12" s="33">
        <f>'FS Desroches Daily'!N14</f>
        <v>0</v>
      </c>
      <c r="K12" s="13">
        <f>'FS Desroches Daily'!P14</f>
        <v>0</v>
      </c>
      <c r="L12" s="32">
        <f>'FS Desroches Daily'!R14</f>
        <v>0</v>
      </c>
      <c r="M12" s="32">
        <f>'FS Desroches Daily'!T14</f>
        <v>0</v>
      </c>
      <c r="N12" s="32">
        <f>'FS Desroches Daily'!V14</f>
        <v>0</v>
      </c>
      <c r="O12" s="32">
        <f>'FS Desroches Daily'!X14</f>
        <v>0</v>
      </c>
      <c r="P12" s="32">
        <f>'FS Desroches Daily'!Z14</f>
        <v>0</v>
      </c>
      <c r="Q12" s="32">
        <f>'FS Desroches Daily'!AB14</f>
        <v>0</v>
      </c>
      <c r="R12" s="32">
        <f>'FS Desroches Daily'!AD14</f>
        <v>0</v>
      </c>
      <c r="S12" s="32">
        <f>'FS Desroches Daily'!AF14</f>
        <v>0</v>
      </c>
      <c r="T12" s="32">
        <f>'FS Desroches Daily'!AH14</f>
        <v>0</v>
      </c>
      <c r="U12" s="36">
        <f>'FS Desroches Daily'!AJ14</f>
        <v>0</v>
      </c>
      <c r="V12" s="36">
        <f>'FS Desroches Daily'!AL14</f>
        <v>0</v>
      </c>
      <c r="W12" s="36">
        <f>'FS Desroches Daily'!AN14</f>
        <v>0</v>
      </c>
      <c r="X12" s="36">
        <f>'FS Desroches Daily'!AP14</f>
        <v>0</v>
      </c>
      <c r="Y12" s="36">
        <f>'FS Desroches Daily'!AR14</f>
        <v>0</v>
      </c>
      <c r="Z12" s="36">
        <f>'FS Desroches Daily'!AT14</f>
        <v>0</v>
      </c>
      <c r="AA12" s="36">
        <f>'FS Desroches Daily'!AT14</f>
        <v>0</v>
      </c>
      <c r="AB12" s="36">
        <f>'FS Desroches Daily'!AV14</f>
        <v>0</v>
      </c>
      <c r="AC12" s="36">
        <f>'FS Desroches Daily'!AZ14</f>
        <v>0</v>
      </c>
      <c r="AD12" s="36">
        <f>'FS Desroches Daily'!BB14</f>
        <v>0</v>
      </c>
      <c r="AE12" s="36">
        <f>'FS Desroches Daily'!BD14</f>
        <v>0</v>
      </c>
      <c r="AF12" s="32">
        <f>'FS Desroches Daily'!BF14</f>
        <v>0</v>
      </c>
      <c r="AG12" s="33">
        <f>'FS Desroches Daily'!BH14</f>
        <v>0</v>
      </c>
      <c r="AH12" s="33">
        <f>'FS Desroches Daily'!BJ14</f>
        <v>0</v>
      </c>
      <c r="AI12" s="33">
        <f>'FS Desroches Daily'!BL14</f>
        <v>0</v>
      </c>
      <c r="AJ12" s="33">
        <f>'FS Desroches Daily'!BN14</f>
        <v>0</v>
      </c>
      <c r="AK12" s="33">
        <f>'FS Desroches Daily'!BP14</f>
        <v>0</v>
      </c>
      <c r="AL12" s="33">
        <f>'FS Desroches Daily'!BR14</f>
        <v>0</v>
      </c>
      <c r="AM12" s="33">
        <f>'FS Desroches Daily'!BT14</f>
        <v>0</v>
      </c>
      <c r="AN12" s="33">
        <f>'FS Desroches Daily'!BV14</f>
        <v>0</v>
      </c>
      <c r="AO12" s="33">
        <f>'FS Desroches Daily'!BX14</f>
        <v>0</v>
      </c>
      <c r="AP12" s="33">
        <f>'FS Desroches Daily'!BZ14</f>
        <v>0</v>
      </c>
      <c r="AQ12" s="32">
        <f>'FS Desroches Daily'!CB14</f>
        <v>0</v>
      </c>
      <c r="AR12" s="32">
        <f>'FS Desroches Daily'!CD14</f>
        <v>0</v>
      </c>
      <c r="AS12" s="32">
        <f>'FS Desroches Daily'!CF14</f>
        <v>0</v>
      </c>
      <c r="AT12" s="32">
        <f>'FS Desroches Daily'!CH14</f>
        <v>0</v>
      </c>
      <c r="AU12" s="32">
        <f>'FS Desroches Daily'!CJ14</f>
        <v>0</v>
      </c>
      <c r="AV12" s="32">
        <f>'FS Desroches Daily'!CL14</f>
        <v>0</v>
      </c>
      <c r="AW12" s="32">
        <f>'FS Desroches Daily'!CM14</f>
        <v>0</v>
      </c>
      <c r="AX12" s="32">
        <f>IF(LPG!F19-LPG!F18&lt;0,"0",(LPG!F19-LPG!F18)*1.8315)</f>
        <v>0</v>
      </c>
      <c r="AY12" s="32">
        <f>IF(LPG!H19-LPG!H18&lt;0,"0",(LPG!H19-LPG!H18)*1.8315)</f>
        <v>0</v>
      </c>
      <c r="AZ12" s="32">
        <f>IF(LPG!J19-LPG!J18&lt;0,"0",(LPG!J19-LPG!J18)*1.8315)</f>
        <v>0</v>
      </c>
      <c r="BA12" s="32">
        <f>IF(LPG!M19-LPG!M18&lt;0,"0",(LPG!M19-LPG!M18)*1.8315)</f>
        <v>0</v>
      </c>
      <c r="BB12" s="32">
        <f>IF(LPG!Q19-LPG!Q18&lt;0,"0",(LPG!Q19-LPG!Q18)*1.8315)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8" t="s">
        <v>11</v>
      </c>
      <c r="B13" s="15">
        <f t="shared" si="0"/>
        <v>12</v>
      </c>
      <c r="C13" s="18">
        <v>5</v>
      </c>
      <c r="D13" s="28">
        <v>2020</v>
      </c>
      <c r="E13" s="32">
        <f>'FS Desroches Daily'!D15</f>
        <v>0</v>
      </c>
      <c r="F13" s="33">
        <f>'FS Desroches Daily'!F15</f>
        <v>0</v>
      </c>
      <c r="G13" s="32">
        <f>'FS Desroches Daily'!H15</f>
        <v>0</v>
      </c>
      <c r="H13" s="33">
        <f>'FS Desroches Daily'!J15</f>
        <v>0</v>
      </c>
      <c r="I13" s="32">
        <f>'FS Desroches Daily'!L15</f>
        <v>0</v>
      </c>
      <c r="J13" s="33">
        <f>'FS Desroches Daily'!N15</f>
        <v>0</v>
      </c>
      <c r="K13" s="13">
        <f>'FS Desroches Daily'!P15</f>
        <v>0</v>
      </c>
      <c r="L13" s="32">
        <f>'FS Desroches Daily'!R15</f>
        <v>0</v>
      </c>
      <c r="M13" s="32">
        <f>'FS Desroches Daily'!T15</f>
        <v>0</v>
      </c>
      <c r="N13" s="32">
        <f>'FS Desroches Daily'!V15</f>
        <v>0</v>
      </c>
      <c r="O13" s="32">
        <f>'FS Desroches Daily'!X15</f>
        <v>0</v>
      </c>
      <c r="P13" s="32">
        <f>'FS Desroches Daily'!Z15</f>
        <v>0</v>
      </c>
      <c r="Q13" s="32">
        <f>'FS Desroches Daily'!AB15</f>
        <v>0</v>
      </c>
      <c r="R13" s="32">
        <f>'FS Desroches Daily'!AD15</f>
        <v>0</v>
      </c>
      <c r="S13" s="32">
        <f>'FS Desroches Daily'!AF15</f>
        <v>0</v>
      </c>
      <c r="T13" s="32">
        <f>'FS Desroches Daily'!AH15</f>
        <v>0</v>
      </c>
      <c r="U13" s="36">
        <f>'FS Desroches Daily'!AJ15</f>
        <v>0</v>
      </c>
      <c r="V13" s="36">
        <f>'FS Desroches Daily'!AL15</f>
        <v>0</v>
      </c>
      <c r="W13" s="36">
        <f>'FS Desroches Daily'!AN15</f>
        <v>0</v>
      </c>
      <c r="X13" s="36">
        <f>'FS Desroches Daily'!AP15</f>
        <v>0</v>
      </c>
      <c r="Y13" s="36">
        <f>'FS Desroches Daily'!AR15</f>
        <v>0</v>
      </c>
      <c r="Z13" s="36">
        <f>'FS Desroches Daily'!AT15</f>
        <v>0</v>
      </c>
      <c r="AA13" s="36">
        <f>'FS Desroches Daily'!AT15</f>
        <v>0</v>
      </c>
      <c r="AB13" s="36">
        <f>'FS Desroches Daily'!AV15</f>
        <v>0</v>
      </c>
      <c r="AC13" s="36">
        <f>'FS Desroches Daily'!AZ15</f>
        <v>0</v>
      </c>
      <c r="AD13" s="36">
        <f>'FS Desroches Daily'!BB15</f>
        <v>0</v>
      </c>
      <c r="AE13" s="36">
        <f>'FS Desroches Daily'!BD15</f>
        <v>0</v>
      </c>
      <c r="AF13" s="32">
        <f>'FS Desroches Daily'!BF15</f>
        <v>0</v>
      </c>
      <c r="AG13" s="33">
        <f>'FS Desroches Daily'!BH15</f>
        <v>0</v>
      </c>
      <c r="AH13" s="33">
        <f>'FS Desroches Daily'!BJ15</f>
        <v>0</v>
      </c>
      <c r="AI13" s="33">
        <f>'FS Desroches Daily'!BL15</f>
        <v>0</v>
      </c>
      <c r="AJ13" s="33">
        <f>'FS Desroches Daily'!BN15</f>
        <v>0</v>
      </c>
      <c r="AK13" s="33">
        <f>'FS Desroches Daily'!BP15</f>
        <v>0</v>
      </c>
      <c r="AL13" s="33">
        <f>'FS Desroches Daily'!BR15</f>
        <v>0</v>
      </c>
      <c r="AM13" s="33">
        <f>'FS Desroches Daily'!BT15</f>
        <v>0</v>
      </c>
      <c r="AN13" s="33">
        <f>'FS Desroches Daily'!BV15</f>
        <v>0</v>
      </c>
      <c r="AO13" s="33">
        <f>'FS Desroches Daily'!BX15</f>
        <v>0</v>
      </c>
      <c r="AP13" s="33">
        <f>'FS Desroches Daily'!BZ15</f>
        <v>0</v>
      </c>
      <c r="AQ13" s="32">
        <f>'FS Desroches Daily'!CB15</f>
        <v>0</v>
      </c>
      <c r="AR13" s="32">
        <f>'FS Desroches Daily'!CD15</f>
        <v>0</v>
      </c>
      <c r="AS13" s="32">
        <f>'FS Desroches Daily'!CF15</f>
        <v>0</v>
      </c>
      <c r="AT13" s="32">
        <f>'FS Desroches Daily'!CH15</f>
        <v>0</v>
      </c>
      <c r="AU13" s="32">
        <f>'FS Desroches Daily'!CJ15</f>
        <v>0</v>
      </c>
      <c r="AV13" s="32">
        <f>'FS Desroches Daily'!CL15</f>
        <v>0</v>
      </c>
      <c r="AW13" s="32">
        <f>'FS Desroches Daily'!CM15</f>
        <v>0</v>
      </c>
      <c r="AX13" s="32">
        <f>IF(LPG!F20-LPG!F19&lt;0,"0",(LPG!F20-LPG!F19)*1.8315)</f>
        <v>0</v>
      </c>
      <c r="AY13" s="32">
        <f>IF(LPG!H20-LPG!H19&lt;0,"0",(LPG!H20-LPG!H19)*1.8315)</f>
        <v>0</v>
      </c>
      <c r="AZ13" s="32">
        <f>IF(LPG!J20-LPG!J19&lt;0,"0",(LPG!J20-LPG!J19)*1.8315)</f>
        <v>0</v>
      </c>
      <c r="BA13" s="32">
        <f>IF(LPG!M20-LPG!M19&lt;0,"0",(LPG!M20-LPG!M19)*1.8315)</f>
        <v>0</v>
      </c>
      <c r="BB13" s="32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8" t="s">
        <v>11</v>
      </c>
      <c r="B14" s="15">
        <f t="shared" si="0"/>
        <v>13</v>
      </c>
      <c r="C14" s="18">
        <v>5</v>
      </c>
      <c r="D14" s="28">
        <v>2020</v>
      </c>
      <c r="E14" s="32">
        <f>'FS Desroches Daily'!D16</f>
        <v>0</v>
      </c>
      <c r="F14" s="33">
        <f>'FS Desroches Daily'!F16</f>
        <v>0</v>
      </c>
      <c r="G14" s="32">
        <f>'FS Desroches Daily'!H16</f>
        <v>0</v>
      </c>
      <c r="H14" s="33">
        <f>'FS Desroches Daily'!J16</f>
        <v>0</v>
      </c>
      <c r="I14" s="32">
        <f>'FS Desroches Daily'!L16</f>
        <v>0</v>
      </c>
      <c r="J14" s="33">
        <f>'FS Desroches Daily'!N16</f>
        <v>0</v>
      </c>
      <c r="K14" s="13">
        <f>'FS Desroches Daily'!P16</f>
        <v>0</v>
      </c>
      <c r="L14" s="32">
        <f>'FS Desroches Daily'!R16</f>
        <v>0</v>
      </c>
      <c r="M14" s="32">
        <f>'FS Desroches Daily'!T16</f>
        <v>0</v>
      </c>
      <c r="N14" s="32">
        <f>'FS Desroches Daily'!V16</f>
        <v>0</v>
      </c>
      <c r="O14" s="32">
        <f>'FS Desroches Daily'!X16</f>
        <v>0</v>
      </c>
      <c r="P14" s="32">
        <f>'FS Desroches Daily'!Z16</f>
        <v>0</v>
      </c>
      <c r="Q14" s="32">
        <f>'FS Desroches Daily'!AB16</f>
        <v>0</v>
      </c>
      <c r="R14" s="32">
        <f>'FS Desroches Daily'!AD16</f>
        <v>0</v>
      </c>
      <c r="S14" s="32">
        <f>'FS Desroches Daily'!AF16</f>
        <v>0</v>
      </c>
      <c r="T14" s="32">
        <f>'FS Desroches Daily'!AH16</f>
        <v>0</v>
      </c>
      <c r="U14" s="36">
        <f>'FS Desroches Daily'!AJ16</f>
        <v>0</v>
      </c>
      <c r="V14" s="36">
        <f>'FS Desroches Daily'!AL16</f>
        <v>0</v>
      </c>
      <c r="W14" s="36">
        <f>'FS Desroches Daily'!AN16</f>
        <v>0</v>
      </c>
      <c r="X14" s="36">
        <f>'FS Desroches Daily'!AP16</f>
        <v>0</v>
      </c>
      <c r="Y14" s="36">
        <f>'FS Desroches Daily'!AR16</f>
        <v>0</v>
      </c>
      <c r="Z14" s="36">
        <f>'FS Desroches Daily'!AT16</f>
        <v>0</v>
      </c>
      <c r="AA14" s="36">
        <f>'FS Desroches Daily'!AT16</f>
        <v>0</v>
      </c>
      <c r="AB14" s="36">
        <f>'FS Desroches Daily'!AV16</f>
        <v>0</v>
      </c>
      <c r="AC14" s="36">
        <f>'FS Desroches Daily'!AZ16</f>
        <v>0</v>
      </c>
      <c r="AD14" s="36">
        <f>'FS Desroches Daily'!BB16</f>
        <v>0</v>
      </c>
      <c r="AE14" s="36">
        <f>'FS Desroches Daily'!BD16</f>
        <v>0</v>
      </c>
      <c r="AF14" s="32">
        <f>'FS Desroches Daily'!BF16</f>
        <v>0</v>
      </c>
      <c r="AG14" s="33">
        <f>'FS Desroches Daily'!BH16</f>
        <v>0</v>
      </c>
      <c r="AH14" s="33">
        <f>'FS Desroches Daily'!BJ16</f>
        <v>0</v>
      </c>
      <c r="AI14" s="33">
        <f>'FS Desroches Daily'!BL16</f>
        <v>0</v>
      </c>
      <c r="AJ14" s="33">
        <f>'FS Desroches Daily'!BN16</f>
        <v>0</v>
      </c>
      <c r="AK14" s="33">
        <f>'FS Desroches Daily'!BP16</f>
        <v>0</v>
      </c>
      <c r="AL14" s="33">
        <f>'FS Desroches Daily'!BR16</f>
        <v>0</v>
      </c>
      <c r="AM14" s="33">
        <f>'FS Desroches Daily'!BT16</f>
        <v>0</v>
      </c>
      <c r="AN14" s="33">
        <f>'FS Desroches Daily'!BV16</f>
        <v>0</v>
      </c>
      <c r="AO14" s="33">
        <f>'FS Desroches Daily'!BX16</f>
        <v>0</v>
      </c>
      <c r="AP14" s="33">
        <f>'FS Desroches Daily'!BZ16</f>
        <v>0</v>
      </c>
      <c r="AQ14" s="32">
        <f>'FS Desroches Daily'!CB16</f>
        <v>0</v>
      </c>
      <c r="AR14" s="32">
        <f>'FS Desroches Daily'!CD16</f>
        <v>0</v>
      </c>
      <c r="AS14" s="32">
        <f>'FS Desroches Daily'!CF16</f>
        <v>0</v>
      </c>
      <c r="AT14" s="32">
        <f>'FS Desroches Daily'!CH16</f>
        <v>0</v>
      </c>
      <c r="AU14" s="32">
        <f>'FS Desroches Daily'!CJ16</f>
        <v>0</v>
      </c>
      <c r="AV14" s="32">
        <f>'FS Desroches Daily'!CL16</f>
        <v>0</v>
      </c>
      <c r="AW14" s="32">
        <f>'FS Desroches Daily'!CM16</f>
        <v>0</v>
      </c>
      <c r="AX14" s="32">
        <f>IF(LPG!F21-LPG!F20&lt;0,"0",(LPG!F21-LPG!F20)*1.8315)</f>
        <v>0</v>
      </c>
      <c r="AY14" s="32">
        <f>IF(LPG!H21-LPG!H20&lt;0,"0",(LPG!H21-LPG!H20)*1.8315)</f>
        <v>0</v>
      </c>
      <c r="AZ14" s="32">
        <f>IF(LPG!J21-LPG!J20&lt;0,"0",(LPG!J21-LPG!J20)*1.8315)</f>
        <v>0</v>
      </c>
      <c r="BA14" s="32">
        <f>IF(LPG!M21-LPG!M20&lt;0,"0",(LPG!M21-LPG!M20)*1.8315)</f>
        <v>0</v>
      </c>
      <c r="BB14" s="32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8" t="s">
        <v>11</v>
      </c>
      <c r="B15" s="15">
        <f t="shared" si="0"/>
        <v>14</v>
      </c>
      <c r="C15" s="18">
        <v>5</v>
      </c>
      <c r="D15" s="28">
        <v>2020</v>
      </c>
      <c r="E15" s="32">
        <f>'FS Desroches Daily'!D17</f>
        <v>0</v>
      </c>
      <c r="F15" s="33">
        <f>'FS Desroches Daily'!F17</f>
        <v>0</v>
      </c>
      <c r="G15" s="32">
        <f>'FS Desroches Daily'!H17</f>
        <v>0</v>
      </c>
      <c r="H15" s="33">
        <f>'FS Desroches Daily'!J17</f>
        <v>0</v>
      </c>
      <c r="I15" s="32">
        <f>'FS Desroches Daily'!L17</f>
        <v>0</v>
      </c>
      <c r="J15" s="33">
        <f>'FS Desroches Daily'!N17</f>
        <v>0</v>
      </c>
      <c r="K15" s="13">
        <f>'FS Desroches Daily'!P17</f>
        <v>0</v>
      </c>
      <c r="L15" s="32">
        <f>'FS Desroches Daily'!R17</f>
        <v>0</v>
      </c>
      <c r="M15" s="32">
        <f>'FS Desroches Daily'!T17</f>
        <v>0</v>
      </c>
      <c r="N15" s="32">
        <f>'FS Desroches Daily'!V17</f>
        <v>0</v>
      </c>
      <c r="O15" s="32">
        <f>'FS Desroches Daily'!X17</f>
        <v>0</v>
      </c>
      <c r="P15" s="32">
        <f>'FS Desroches Daily'!Z17</f>
        <v>0</v>
      </c>
      <c r="Q15" s="32">
        <f>'FS Desroches Daily'!AB17</f>
        <v>0</v>
      </c>
      <c r="R15" s="32">
        <f>'FS Desroches Daily'!AD17</f>
        <v>0</v>
      </c>
      <c r="S15" s="32">
        <f>'FS Desroches Daily'!AF17</f>
        <v>0</v>
      </c>
      <c r="T15" s="32">
        <f>'FS Desroches Daily'!AH17</f>
        <v>0</v>
      </c>
      <c r="U15" s="36">
        <f>'FS Desroches Daily'!AJ17</f>
        <v>0</v>
      </c>
      <c r="V15" s="36">
        <f>'FS Desroches Daily'!AL17</f>
        <v>0</v>
      </c>
      <c r="W15" s="36">
        <f>'FS Desroches Daily'!AN17</f>
        <v>0</v>
      </c>
      <c r="X15" s="36">
        <f>'FS Desroches Daily'!AP17</f>
        <v>0</v>
      </c>
      <c r="Y15" s="36">
        <f>'FS Desroches Daily'!AR17</f>
        <v>0</v>
      </c>
      <c r="Z15" s="36">
        <f>'FS Desroches Daily'!AT17</f>
        <v>0</v>
      </c>
      <c r="AA15" s="36">
        <f>'FS Desroches Daily'!AT17</f>
        <v>0</v>
      </c>
      <c r="AB15" s="36">
        <f>'FS Desroches Daily'!AV17</f>
        <v>0</v>
      </c>
      <c r="AC15" s="36">
        <f>'FS Desroches Daily'!AZ17</f>
        <v>0</v>
      </c>
      <c r="AD15" s="36">
        <f>'FS Desroches Daily'!BB17</f>
        <v>0</v>
      </c>
      <c r="AE15" s="36">
        <f>'FS Desroches Daily'!BD17</f>
        <v>0</v>
      </c>
      <c r="AF15" s="32">
        <f>'FS Desroches Daily'!BF17</f>
        <v>0</v>
      </c>
      <c r="AG15" s="33">
        <f>'FS Desroches Daily'!BH17</f>
        <v>0</v>
      </c>
      <c r="AH15" s="33">
        <f>'FS Desroches Daily'!BJ17</f>
        <v>0</v>
      </c>
      <c r="AI15" s="33">
        <f>'FS Desroches Daily'!BL17</f>
        <v>0</v>
      </c>
      <c r="AJ15" s="33">
        <f>'FS Desroches Daily'!BN17</f>
        <v>0</v>
      </c>
      <c r="AK15" s="33">
        <f>'FS Desroches Daily'!BP17</f>
        <v>0</v>
      </c>
      <c r="AL15" s="33">
        <f>'FS Desroches Daily'!BR17</f>
        <v>0</v>
      </c>
      <c r="AM15" s="33">
        <f>'FS Desroches Daily'!BT17</f>
        <v>0</v>
      </c>
      <c r="AN15" s="33">
        <f>'FS Desroches Daily'!BV17</f>
        <v>0</v>
      </c>
      <c r="AO15" s="33">
        <f>'FS Desroches Daily'!BX17</f>
        <v>0</v>
      </c>
      <c r="AP15" s="33">
        <f>'FS Desroches Daily'!BZ17</f>
        <v>0</v>
      </c>
      <c r="AQ15" s="32">
        <f>'FS Desroches Daily'!CB17</f>
        <v>0</v>
      </c>
      <c r="AR15" s="32">
        <f>'FS Desroches Daily'!CD17</f>
        <v>0</v>
      </c>
      <c r="AS15" s="32">
        <f>'FS Desroches Daily'!CF17</f>
        <v>0</v>
      </c>
      <c r="AT15" s="32">
        <f>'FS Desroches Daily'!CH17</f>
        <v>0</v>
      </c>
      <c r="AU15" s="32">
        <f>'FS Desroches Daily'!CJ17</f>
        <v>0</v>
      </c>
      <c r="AV15" s="32">
        <f>'FS Desroches Daily'!CL17</f>
        <v>0</v>
      </c>
      <c r="AW15" s="32">
        <f>'FS Desroches Daily'!CM17</f>
        <v>0</v>
      </c>
      <c r="AX15" s="32">
        <f>IF(LPG!F22-LPG!F21&lt;0,"0",(LPG!F22-LPG!F21)*1.8315)</f>
        <v>0</v>
      </c>
      <c r="AY15" s="32">
        <f>IF(LPG!H22-LPG!H21&lt;0,"0",(LPG!H22-LPG!H21)*1.8315)</f>
        <v>0</v>
      </c>
      <c r="AZ15" s="32">
        <f>IF(LPG!J22-LPG!J21&lt;0,"0",(LPG!J22-LPG!J21)*1.8315)</f>
        <v>0</v>
      </c>
      <c r="BA15" s="32">
        <f>IF(LPG!M22-LPG!M21&lt;0,"0",(LPG!M22-LPG!M21)*1.8315)</f>
        <v>0</v>
      </c>
      <c r="BB15" s="32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8" t="s">
        <v>11</v>
      </c>
      <c r="B16" s="15">
        <f t="shared" si="0"/>
        <v>15</v>
      </c>
      <c r="C16" s="18">
        <v>5</v>
      </c>
      <c r="D16" s="28">
        <v>2020</v>
      </c>
      <c r="E16" s="32">
        <f>'FS Desroches Daily'!D18</f>
        <v>0</v>
      </c>
      <c r="F16" s="33">
        <f>'FS Desroches Daily'!F18</f>
        <v>0</v>
      </c>
      <c r="G16" s="32">
        <f>'FS Desroches Daily'!H18</f>
        <v>0</v>
      </c>
      <c r="H16" s="33">
        <f>'FS Desroches Daily'!J18</f>
        <v>0</v>
      </c>
      <c r="I16" s="32">
        <f>'FS Desroches Daily'!L18</f>
        <v>0</v>
      </c>
      <c r="J16" s="33">
        <f>'FS Desroches Daily'!N18</f>
        <v>0</v>
      </c>
      <c r="K16" s="13">
        <f>'FS Desroches Daily'!P18</f>
        <v>0</v>
      </c>
      <c r="L16" s="32">
        <f>'FS Desroches Daily'!R18</f>
        <v>0</v>
      </c>
      <c r="M16" s="32">
        <f>'FS Desroches Daily'!T18</f>
        <v>0</v>
      </c>
      <c r="N16" s="32">
        <f>'FS Desroches Daily'!V18</f>
        <v>0</v>
      </c>
      <c r="O16" s="32">
        <f>'FS Desroches Daily'!X18</f>
        <v>0</v>
      </c>
      <c r="P16" s="32">
        <f>'FS Desroches Daily'!Z18</f>
        <v>0</v>
      </c>
      <c r="Q16" s="32">
        <f>'FS Desroches Daily'!AB18</f>
        <v>0</v>
      </c>
      <c r="R16" s="32">
        <f>'FS Desroches Daily'!AD18</f>
        <v>0</v>
      </c>
      <c r="S16" s="32">
        <f>'FS Desroches Daily'!AF18</f>
        <v>0</v>
      </c>
      <c r="T16" s="32">
        <f>'FS Desroches Daily'!AH18</f>
        <v>0</v>
      </c>
      <c r="U16" s="36">
        <f>'FS Desroches Daily'!AJ18</f>
        <v>0</v>
      </c>
      <c r="V16" s="36">
        <f>'FS Desroches Daily'!AL18</f>
        <v>0</v>
      </c>
      <c r="W16" s="36">
        <f>'FS Desroches Daily'!AN18</f>
        <v>0</v>
      </c>
      <c r="X16" s="36">
        <f>'FS Desroches Daily'!AP18</f>
        <v>0</v>
      </c>
      <c r="Y16" s="36">
        <f>'FS Desroches Daily'!AR18</f>
        <v>0</v>
      </c>
      <c r="Z16" s="36">
        <f>'FS Desroches Daily'!AT18</f>
        <v>0</v>
      </c>
      <c r="AA16" s="36">
        <f>'FS Desroches Daily'!AT18</f>
        <v>0</v>
      </c>
      <c r="AB16" s="36">
        <f>'FS Desroches Daily'!AV18</f>
        <v>0</v>
      </c>
      <c r="AC16" s="36">
        <f>'FS Desroches Daily'!AZ18</f>
        <v>0</v>
      </c>
      <c r="AD16" s="36">
        <f>'FS Desroches Daily'!BB18</f>
        <v>0</v>
      </c>
      <c r="AE16" s="36">
        <f>'FS Desroches Daily'!BD18</f>
        <v>0</v>
      </c>
      <c r="AF16" s="32">
        <f>'FS Desroches Daily'!BF18</f>
        <v>0</v>
      </c>
      <c r="AG16" s="33">
        <f>'FS Desroches Daily'!BH18</f>
        <v>0</v>
      </c>
      <c r="AH16" s="33">
        <f>'FS Desroches Daily'!BJ18</f>
        <v>0</v>
      </c>
      <c r="AI16" s="33">
        <f>'FS Desroches Daily'!BL18</f>
        <v>0</v>
      </c>
      <c r="AJ16" s="33">
        <f>'FS Desroches Daily'!BN18</f>
        <v>0</v>
      </c>
      <c r="AK16" s="33">
        <f>'FS Desroches Daily'!BP18</f>
        <v>0</v>
      </c>
      <c r="AL16" s="33">
        <f>'FS Desroches Daily'!BR18</f>
        <v>0</v>
      </c>
      <c r="AM16" s="33">
        <f>'FS Desroches Daily'!BT18</f>
        <v>0</v>
      </c>
      <c r="AN16" s="33">
        <f>'FS Desroches Daily'!BV18</f>
        <v>0</v>
      </c>
      <c r="AO16" s="33">
        <f>'FS Desroches Daily'!BX18</f>
        <v>0</v>
      </c>
      <c r="AP16" s="33">
        <f>'FS Desroches Daily'!BZ18</f>
        <v>0</v>
      </c>
      <c r="AQ16" s="32">
        <f>'FS Desroches Daily'!CB18</f>
        <v>0</v>
      </c>
      <c r="AR16" s="32">
        <f>'FS Desroches Daily'!CD18</f>
        <v>0</v>
      </c>
      <c r="AS16" s="32">
        <f>'FS Desroches Daily'!CF18</f>
        <v>0</v>
      </c>
      <c r="AT16" s="32">
        <f>'FS Desroches Daily'!CH18</f>
        <v>0</v>
      </c>
      <c r="AU16" s="32">
        <f>'FS Desroches Daily'!CJ18</f>
        <v>0</v>
      </c>
      <c r="AV16" s="32">
        <f>'FS Desroches Daily'!CL18</f>
        <v>0</v>
      </c>
      <c r="AW16" s="32">
        <f>'FS Desroches Daily'!CM18</f>
        <v>0</v>
      </c>
      <c r="AX16" s="32">
        <f>IF(LPG!F23-LPG!F22&lt;0,"0",(LPG!F23-LPG!F22)*1.8315)</f>
        <v>0</v>
      </c>
      <c r="AY16" s="32">
        <f>IF(LPG!H23-LPG!H22&lt;0,"0",(LPG!H23-LPG!H22)*1.8315)</f>
        <v>0</v>
      </c>
      <c r="AZ16" s="32">
        <f>IF(LPG!J23-LPG!J22&lt;0,"0",(LPG!J23-LPG!J22)*1.8315)</f>
        <v>0</v>
      </c>
      <c r="BA16" s="32">
        <f>IF(LPG!M23-LPG!M22&lt;0,"0",(LPG!M23-LPG!M22)*1.8315)</f>
        <v>0</v>
      </c>
      <c r="BB16" s="32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8" t="s">
        <v>11</v>
      </c>
      <c r="B17" s="15">
        <f t="shared" si="0"/>
        <v>16</v>
      </c>
      <c r="C17" s="18">
        <v>5</v>
      </c>
      <c r="D17" s="28">
        <v>2020</v>
      </c>
      <c r="E17" s="32">
        <f>'FS Desroches Daily'!D19</f>
        <v>0</v>
      </c>
      <c r="F17" s="33">
        <f>'FS Desroches Daily'!F19</f>
        <v>0</v>
      </c>
      <c r="G17" s="32">
        <f>'FS Desroches Daily'!H19</f>
        <v>0</v>
      </c>
      <c r="H17" s="33">
        <f>'FS Desroches Daily'!J19</f>
        <v>0</v>
      </c>
      <c r="I17" s="32">
        <f>'FS Desroches Daily'!L19</f>
        <v>0</v>
      </c>
      <c r="J17" s="33">
        <f>'FS Desroches Daily'!N19</f>
        <v>0</v>
      </c>
      <c r="K17" s="13">
        <f>'FS Desroches Daily'!P19</f>
        <v>0</v>
      </c>
      <c r="L17" s="32">
        <f>'FS Desroches Daily'!R19</f>
        <v>0</v>
      </c>
      <c r="M17" s="32">
        <f>'FS Desroches Daily'!T19</f>
        <v>0</v>
      </c>
      <c r="N17" s="32">
        <f>'FS Desroches Daily'!V19</f>
        <v>0</v>
      </c>
      <c r="O17" s="32">
        <f>'FS Desroches Daily'!X19</f>
        <v>0</v>
      </c>
      <c r="P17" s="32">
        <f>'FS Desroches Daily'!Z19</f>
        <v>0</v>
      </c>
      <c r="Q17" s="32">
        <f>'FS Desroches Daily'!AB19</f>
        <v>0</v>
      </c>
      <c r="R17" s="32">
        <f>'FS Desroches Daily'!AD19</f>
        <v>0</v>
      </c>
      <c r="S17" s="32">
        <f>'FS Desroches Daily'!AF19</f>
        <v>0</v>
      </c>
      <c r="T17" s="32">
        <f>'FS Desroches Daily'!AH19</f>
        <v>0</v>
      </c>
      <c r="U17" s="36">
        <f>'FS Desroches Daily'!AJ19</f>
        <v>0</v>
      </c>
      <c r="V17" s="36">
        <f>'FS Desroches Daily'!AL19</f>
        <v>0</v>
      </c>
      <c r="W17" s="36">
        <f>'FS Desroches Daily'!AN19</f>
        <v>0</v>
      </c>
      <c r="X17" s="36">
        <f>'FS Desroches Daily'!AP19</f>
        <v>0</v>
      </c>
      <c r="Y17" s="36">
        <f>'FS Desroches Daily'!AR19</f>
        <v>0</v>
      </c>
      <c r="Z17" s="36">
        <f>'FS Desroches Daily'!AU20</f>
        <v>0</v>
      </c>
      <c r="AA17" s="36">
        <f>'FS Desroches Daily'!AU20</f>
        <v>0</v>
      </c>
      <c r="AB17" s="36">
        <f>'FS Desroches Daily'!AV19</f>
        <v>0</v>
      </c>
      <c r="AC17" s="36">
        <f>'FS Desroches Daily'!AZ19</f>
        <v>0</v>
      </c>
      <c r="AD17" s="36">
        <f>'FS Desroches Daily'!BB19</f>
        <v>0</v>
      </c>
      <c r="AE17" s="36">
        <f>'FS Desroches Daily'!BD19</f>
        <v>0</v>
      </c>
      <c r="AF17" s="32">
        <f>'FS Desroches Daily'!BF19</f>
        <v>0</v>
      </c>
      <c r="AG17" s="33">
        <f>'FS Desroches Daily'!BH19</f>
        <v>0</v>
      </c>
      <c r="AH17" s="33">
        <f>'FS Desroches Daily'!BJ19</f>
        <v>0</v>
      </c>
      <c r="AI17" s="33">
        <f>'FS Desroches Daily'!BL19</f>
        <v>0</v>
      </c>
      <c r="AJ17" s="33">
        <f>'FS Desroches Daily'!BN19</f>
        <v>0</v>
      </c>
      <c r="AK17" s="33">
        <f>'FS Desroches Daily'!BP19</f>
        <v>0</v>
      </c>
      <c r="AL17" s="33">
        <f>'FS Desroches Daily'!BR19</f>
        <v>0</v>
      </c>
      <c r="AM17" s="33">
        <f>'FS Desroches Daily'!BT19</f>
        <v>0</v>
      </c>
      <c r="AN17" s="33">
        <f>'FS Desroches Daily'!BV19</f>
        <v>0</v>
      </c>
      <c r="AO17" s="33">
        <f>'FS Desroches Daily'!BX19</f>
        <v>0</v>
      </c>
      <c r="AP17" s="33">
        <f>'FS Desroches Daily'!BZ19</f>
        <v>0</v>
      </c>
      <c r="AQ17" s="32">
        <f>'FS Desroches Daily'!CB19</f>
        <v>0</v>
      </c>
      <c r="AR17" s="32">
        <f>'FS Desroches Daily'!CD19</f>
        <v>0</v>
      </c>
      <c r="AS17" s="32">
        <f>'FS Desroches Daily'!CF19</f>
        <v>0</v>
      </c>
      <c r="AT17" s="32">
        <f>'FS Desroches Daily'!CH19</f>
        <v>0</v>
      </c>
      <c r="AU17" s="32">
        <f>'FS Desroches Daily'!CJ19</f>
        <v>0</v>
      </c>
      <c r="AV17" s="32">
        <f>'FS Desroches Daily'!CL19</f>
        <v>0</v>
      </c>
      <c r="AW17" s="32">
        <f>'FS Desroches Daily'!CM19</f>
        <v>0</v>
      </c>
      <c r="AX17" s="32">
        <f>IF(LPG!F24-LPG!F23&lt;0,"0",(LPG!F24-LPG!F23)*1.8315)</f>
        <v>0</v>
      </c>
      <c r="AY17" s="32">
        <f>IF(LPG!H24-LPG!H23&lt;0,"0",(LPG!H24-LPG!H23)*1.8315)</f>
        <v>0</v>
      </c>
      <c r="AZ17" s="32">
        <f>IF(LPG!J24-LPG!J23&lt;0,"0",(LPG!J24-LPG!J23)*1.8315)</f>
        <v>0</v>
      </c>
      <c r="BA17" s="32">
        <f>IF(LPG!M24-LPG!M23&lt;0,"0",(LPG!M24-LPG!M23)*1.8315)</f>
        <v>0</v>
      </c>
      <c r="BB17" s="32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8" t="s">
        <v>11</v>
      </c>
      <c r="B18" s="15">
        <f t="shared" si="0"/>
        <v>17</v>
      </c>
      <c r="C18" s="18">
        <v>5</v>
      </c>
      <c r="D18" s="28">
        <v>2020</v>
      </c>
      <c r="E18" s="32">
        <f>'FS Desroches Daily'!D20</f>
        <v>0</v>
      </c>
      <c r="F18" s="33">
        <f>'FS Desroches Daily'!F20</f>
        <v>0</v>
      </c>
      <c r="G18" s="32">
        <f>'FS Desroches Daily'!H20</f>
        <v>0</v>
      </c>
      <c r="H18" s="33">
        <f>'FS Desroches Daily'!J20</f>
        <v>0</v>
      </c>
      <c r="I18" s="32">
        <f>'FS Desroches Daily'!L20</f>
        <v>0</v>
      </c>
      <c r="J18" s="33">
        <f>'FS Desroches Daily'!N20</f>
        <v>0</v>
      </c>
      <c r="K18" s="13">
        <f>'FS Desroches Daily'!P20</f>
        <v>0</v>
      </c>
      <c r="L18" s="32">
        <f>'FS Desroches Daily'!R20</f>
        <v>0</v>
      </c>
      <c r="M18" s="32">
        <f>'FS Desroches Daily'!T20</f>
        <v>0</v>
      </c>
      <c r="N18" s="32">
        <f>'FS Desroches Daily'!V20</f>
        <v>0</v>
      </c>
      <c r="O18" s="32">
        <f>'FS Desroches Daily'!X20</f>
        <v>0</v>
      </c>
      <c r="P18" s="32">
        <f>'FS Desroches Daily'!Z20</f>
        <v>0</v>
      </c>
      <c r="Q18" s="32">
        <f>'FS Desroches Daily'!AB20</f>
        <v>0</v>
      </c>
      <c r="R18" s="32">
        <f>'FS Desroches Daily'!AD20</f>
        <v>0</v>
      </c>
      <c r="S18" s="32">
        <f>'FS Desroches Daily'!AF20</f>
        <v>0</v>
      </c>
      <c r="T18" s="32">
        <f>'FS Desroches Daily'!AH20</f>
        <v>0</v>
      </c>
      <c r="U18" s="36">
        <f>'FS Desroches Daily'!AJ20</f>
        <v>0</v>
      </c>
      <c r="V18" s="36">
        <f>'FS Desroches Daily'!AL20</f>
        <v>0</v>
      </c>
      <c r="W18" s="36">
        <f>'FS Desroches Daily'!AN20</f>
        <v>0</v>
      </c>
      <c r="X18" s="36">
        <f>'FS Desroches Daily'!AP20</f>
        <v>0</v>
      </c>
      <c r="Y18" s="36">
        <f>'FS Desroches Daily'!AR20</f>
        <v>0</v>
      </c>
      <c r="Z18" s="36">
        <f>'FS Desroches Daily'!AT20</f>
        <v>0</v>
      </c>
      <c r="AA18" s="36">
        <f>'FS Desroches Daily'!AT20</f>
        <v>0</v>
      </c>
      <c r="AB18" s="36">
        <f>'FS Desroches Daily'!AV20</f>
        <v>0</v>
      </c>
      <c r="AC18" s="36">
        <f>'FS Desroches Daily'!AZ20</f>
        <v>0</v>
      </c>
      <c r="AD18" s="36">
        <f>'FS Desroches Daily'!BB20</f>
        <v>0</v>
      </c>
      <c r="AE18" s="36">
        <f>'FS Desroches Daily'!BD20</f>
        <v>0</v>
      </c>
      <c r="AF18" s="32">
        <f>'FS Desroches Daily'!BF20</f>
        <v>0</v>
      </c>
      <c r="AG18" s="33">
        <f>'FS Desroches Daily'!BH20</f>
        <v>0</v>
      </c>
      <c r="AH18" s="33">
        <f>'FS Desroches Daily'!BJ20</f>
        <v>0</v>
      </c>
      <c r="AI18" s="33">
        <f>'FS Desroches Daily'!BL20</f>
        <v>0</v>
      </c>
      <c r="AJ18" s="33">
        <f>'FS Desroches Daily'!BN20</f>
        <v>0</v>
      </c>
      <c r="AK18" s="33">
        <f>'FS Desroches Daily'!BP20</f>
        <v>0</v>
      </c>
      <c r="AL18" s="33">
        <f>'FS Desroches Daily'!BR20</f>
        <v>0</v>
      </c>
      <c r="AM18" s="33">
        <f>'FS Desroches Daily'!BT20</f>
        <v>0</v>
      </c>
      <c r="AN18" s="33">
        <f>'FS Desroches Daily'!BV20</f>
        <v>0</v>
      </c>
      <c r="AO18" s="33">
        <f>'FS Desroches Daily'!BX20</f>
        <v>0</v>
      </c>
      <c r="AP18" s="33">
        <f>'FS Desroches Daily'!BZ20</f>
        <v>0</v>
      </c>
      <c r="AQ18" s="32">
        <f>'FS Desroches Daily'!CB20</f>
        <v>0</v>
      </c>
      <c r="AR18" s="32">
        <f>'FS Desroches Daily'!CD20</f>
        <v>0</v>
      </c>
      <c r="AS18" s="32">
        <f>'FS Desroches Daily'!CF20</f>
        <v>0</v>
      </c>
      <c r="AT18" s="32">
        <f>'FS Desroches Daily'!CH20</f>
        <v>0</v>
      </c>
      <c r="AU18" s="32">
        <f>'FS Desroches Daily'!CJ20</f>
        <v>0</v>
      </c>
      <c r="AV18" s="32">
        <f>'FS Desroches Daily'!CL20</f>
        <v>0</v>
      </c>
      <c r="AW18" s="32">
        <f>'FS Desroches Daily'!CM20</f>
        <v>0</v>
      </c>
      <c r="AX18" s="32">
        <f>IF(LPG!F25-LPG!F24&lt;0,"0",(LPG!F25-LPG!F24)*1.8315)</f>
        <v>0</v>
      </c>
      <c r="AY18" s="32">
        <f>IF(LPG!H25-LPG!H24&lt;0,"0",(LPG!H25-LPG!H24)*1.8315)</f>
        <v>0</v>
      </c>
      <c r="AZ18" s="32">
        <f>IF(LPG!J25-LPG!J24&lt;0,"0",(LPG!J25-LPG!J24)*1.8315)</f>
        <v>0</v>
      </c>
      <c r="BA18" s="32">
        <f>IF(LPG!M25-LPG!M24&lt;0,"0",(LPG!M25-LPG!M24)*1.8315)</f>
        <v>0</v>
      </c>
      <c r="BB18" s="32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8" t="s">
        <v>11</v>
      </c>
      <c r="B19" s="15">
        <f t="shared" si="0"/>
        <v>18</v>
      </c>
      <c r="C19" s="18">
        <v>5</v>
      </c>
      <c r="D19" s="28">
        <v>2020</v>
      </c>
      <c r="E19" s="32">
        <f>'FS Desroches Daily'!D21</f>
        <v>0</v>
      </c>
      <c r="F19" s="33">
        <f>'FS Desroches Daily'!F21</f>
        <v>0</v>
      </c>
      <c r="G19" s="32">
        <f>'FS Desroches Daily'!H21</f>
        <v>0</v>
      </c>
      <c r="H19" s="33">
        <f>'FS Desroches Daily'!J21</f>
        <v>0</v>
      </c>
      <c r="I19" s="32">
        <f>'FS Desroches Daily'!L21</f>
        <v>0</v>
      </c>
      <c r="J19" s="33">
        <f>'FS Desroches Daily'!N21</f>
        <v>0</v>
      </c>
      <c r="K19" s="13">
        <f>'FS Desroches Daily'!P21</f>
        <v>0</v>
      </c>
      <c r="L19" s="32">
        <f>'FS Desroches Daily'!R21</f>
        <v>0</v>
      </c>
      <c r="M19" s="32">
        <f>'FS Desroches Daily'!T21</f>
        <v>0</v>
      </c>
      <c r="N19" s="32">
        <f>'FS Desroches Daily'!V21</f>
        <v>0</v>
      </c>
      <c r="O19" s="32">
        <f>'FS Desroches Daily'!X21</f>
        <v>0</v>
      </c>
      <c r="P19" s="32">
        <f>'FS Desroches Daily'!Z21</f>
        <v>0</v>
      </c>
      <c r="Q19" s="32">
        <f>'FS Desroches Daily'!AB21</f>
        <v>0</v>
      </c>
      <c r="R19" s="32">
        <f>'FS Desroches Daily'!AD21</f>
        <v>0</v>
      </c>
      <c r="S19" s="32">
        <f>'FS Desroches Daily'!AF21</f>
        <v>0</v>
      </c>
      <c r="T19" s="32">
        <f>'FS Desroches Daily'!AH21</f>
        <v>0</v>
      </c>
      <c r="U19" s="36">
        <f>'FS Desroches Daily'!AJ21</f>
        <v>0</v>
      </c>
      <c r="V19" s="36">
        <f>'FS Desroches Daily'!AL21</f>
        <v>0</v>
      </c>
      <c r="W19" s="36">
        <f>'FS Desroches Daily'!AN21</f>
        <v>0</v>
      </c>
      <c r="X19" s="36">
        <f>'FS Desroches Daily'!AP21</f>
        <v>0</v>
      </c>
      <c r="Y19" s="36">
        <f>'FS Desroches Daily'!AR21</f>
        <v>0</v>
      </c>
      <c r="Z19" s="36">
        <f>'FS Desroches Daily'!AT21</f>
        <v>0</v>
      </c>
      <c r="AA19" s="36">
        <f>'FS Desroches Daily'!AT21</f>
        <v>0</v>
      </c>
      <c r="AB19" s="36">
        <f>'FS Desroches Daily'!AV21</f>
        <v>0</v>
      </c>
      <c r="AC19" s="36">
        <f>'FS Desroches Daily'!AZ21</f>
        <v>0</v>
      </c>
      <c r="AD19" s="36">
        <f>'FS Desroches Daily'!BB21</f>
        <v>0</v>
      </c>
      <c r="AE19" s="36">
        <f>'FS Desroches Daily'!BD21</f>
        <v>0</v>
      </c>
      <c r="AF19" s="32">
        <f>'FS Desroches Daily'!BF21</f>
        <v>0</v>
      </c>
      <c r="AG19" s="33">
        <f>'FS Desroches Daily'!BH21</f>
        <v>0</v>
      </c>
      <c r="AH19" s="33">
        <f>'FS Desroches Daily'!BJ21</f>
        <v>0</v>
      </c>
      <c r="AI19" s="33">
        <f>'FS Desroches Daily'!BL21</f>
        <v>0</v>
      </c>
      <c r="AJ19" s="33">
        <f>'FS Desroches Daily'!BN21</f>
        <v>0</v>
      </c>
      <c r="AK19" s="33">
        <f>'FS Desroches Daily'!BP21</f>
        <v>0</v>
      </c>
      <c r="AL19" s="33">
        <f>'FS Desroches Daily'!BR21</f>
        <v>0</v>
      </c>
      <c r="AM19" s="33">
        <f>'FS Desroches Daily'!BT21</f>
        <v>0</v>
      </c>
      <c r="AN19" s="33">
        <f>'FS Desroches Daily'!BV21</f>
        <v>0</v>
      </c>
      <c r="AO19" s="33">
        <f>'FS Desroches Daily'!BX21</f>
        <v>0</v>
      </c>
      <c r="AP19" s="33">
        <f>'FS Desroches Daily'!BZ21</f>
        <v>0</v>
      </c>
      <c r="AQ19" s="32">
        <f>'FS Desroches Daily'!CB21</f>
        <v>0</v>
      </c>
      <c r="AR19" s="32">
        <f>'FS Desroches Daily'!CD21</f>
        <v>0</v>
      </c>
      <c r="AS19" s="32">
        <f>'FS Desroches Daily'!CF21</f>
        <v>0</v>
      </c>
      <c r="AT19" s="32">
        <f>'FS Desroches Daily'!CH21</f>
        <v>0</v>
      </c>
      <c r="AU19" s="32">
        <f>'FS Desroches Daily'!CJ21</f>
        <v>0</v>
      </c>
      <c r="AV19" s="32">
        <f>'FS Desroches Daily'!CL21</f>
        <v>0</v>
      </c>
      <c r="AW19" s="32">
        <f>'FS Desroches Daily'!CM21</f>
        <v>0</v>
      </c>
      <c r="AX19" s="32">
        <f>IF(LPG!F26-LPG!F25&lt;0,"0",(LPG!F26-LPG!F25)*1.8315)</f>
        <v>0</v>
      </c>
      <c r="AY19" s="32">
        <f>IF(LPG!H26-LPG!H25&lt;0,"0",(LPG!H26-LPG!H25)*1.8315)</f>
        <v>0</v>
      </c>
      <c r="AZ19" s="32">
        <f>IF(LPG!J26-LPG!J25&lt;0,"0",(LPG!J26-LPG!J25)*1.8315)</f>
        <v>0</v>
      </c>
      <c r="BA19" s="32">
        <f>IF(LPG!M26-LPG!M25&lt;0,"0",(LPG!M26-LPG!M25)*1.8315)</f>
        <v>0</v>
      </c>
      <c r="BB19" s="32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8" t="s">
        <v>11</v>
      </c>
      <c r="B20" s="15">
        <f t="shared" si="0"/>
        <v>19</v>
      </c>
      <c r="C20" s="18">
        <v>5</v>
      </c>
      <c r="D20" s="28">
        <v>2020</v>
      </c>
      <c r="E20" s="32">
        <f>'FS Desroches Daily'!D22</f>
        <v>0</v>
      </c>
      <c r="F20" s="33">
        <f>'FS Desroches Daily'!F22</f>
        <v>0</v>
      </c>
      <c r="G20" s="32">
        <f>'FS Desroches Daily'!H22</f>
        <v>0</v>
      </c>
      <c r="H20" s="33">
        <f>'FS Desroches Daily'!J22</f>
        <v>0</v>
      </c>
      <c r="I20" s="32">
        <f>'FS Desroches Daily'!L22</f>
        <v>0</v>
      </c>
      <c r="J20" s="33">
        <f>'FS Desroches Daily'!N22</f>
        <v>0</v>
      </c>
      <c r="K20" s="13">
        <f>'FS Desroches Daily'!P22</f>
        <v>0</v>
      </c>
      <c r="L20" s="32">
        <f>'FS Desroches Daily'!R22</f>
        <v>0</v>
      </c>
      <c r="M20" s="32">
        <f>'FS Desroches Daily'!T22</f>
        <v>0</v>
      </c>
      <c r="N20" s="32">
        <f>'FS Desroches Daily'!V22</f>
        <v>0</v>
      </c>
      <c r="O20" s="32">
        <f>'FS Desroches Daily'!X22</f>
        <v>0</v>
      </c>
      <c r="P20" s="32">
        <f>'FS Desroches Daily'!Z22</f>
        <v>0</v>
      </c>
      <c r="Q20" s="32">
        <f>'FS Desroches Daily'!AB22</f>
        <v>0</v>
      </c>
      <c r="R20" s="32">
        <f>'FS Desroches Daily'!AD22</f>
        <v>0</v>
      </c>
      <c r="S20" s="32">
        <f>'FS Desroches Daily'!AF22</f>
        <v>0</v>
      </c>
      <c r="T20" s="32">
        <f>'FS Desroches Daily'!AH22</f>
        <v>0</v>
      </c>
      <c r="U20" s="36">
        <f>'FS Desroches Daily'!AJ22</f>
        <v>0</v>
      </c>
      <c r="V20" s="36">
        <f>'FS Desroches Daily'!AL22</f>
        <v>0</v>
      </c>
      <c r="W20" s="36">
        <f>'FS Desroches Daily'!AN22</f>
        <v>0</v>
      </c>
      <c r="X20" s="36">
        <f>'FS Desroches Daily'!AP22</f>
        <v>0</v>
      </c>
      <c r="Y20" s="36">
        <f>'FS Desroches Daily'!AR22</f>
        <v>0</v>
      </c>
      <c r="Z20" s="36">
        <f>'FS Desroches Daily'!AT22</f>
        <v>0</v>
      </c>
      <c r="AA20" s="36">
        <f>'FS Desroches Daily'!AT22</f>
        <v>0</v>
      </c>
      <c r="AB20" s="36">
        <f>'FS Desroches Daily'!AV22</f>
        <v>0</v>
      </c>
      <c r="AC20" s="36">
        <f>'FS Desroches Daily'!AZ22</f>
        <v>0</v>
      </c>
      <c r="AD20" s="36">
        <f>'FS Desroches Daily'!BB22</f>
        <v>0</v>
      </c>
      <c r="AE20" s="36">
        <f>'FS Desroches Daily'!BD22</f>
        <v>0</v>
      </c>
      <c r="AF20" s="32">
        <f>'FS Desroches Daily'!BF22</f>
        <v>0</v>
      </c>
      <c r="AG20" s="33">
        <f>'FS Desroches Daily'!BH22</f>
        <v>0</v>
      </c>
      <c r="AH20" s="33">
        <f>'FS Desroches Daily'!BJ22</f>
        <v>0</v>
      </c>
      <c r="AI20" s="33">
        <f>'FS Desroches Daily'!BL22</f>
        <v>0</v>
      </c>
      <c r="AJ20" s="33">
        <f>'FS Desroches Daily'!BN22</f>
        <v>0</v>
      </c>
      <c r="AK20" s="33">
        <f>'FS Desroches Daily'!BP22</f>
        <v>0</v>
      </c>
      <c r="AL20" s="33">
        <f>'FS Desroches Daily'!BR22</f>
        <v>0</v>
      </c>
      <c r="AM20" s="33">
        <f>'FS Desroches Daily'!BT22</f>
        <v>0</v>
      </c>
      <c r="AN20" s="33">
        <f>'FS Desroches Daily'!BV22</f>
        <v>0</v>
      </c>
      <c r="AO20" s="33">
        <f>'FS Desroches Daily'!BX22</f>
        <v>0</v>
      </c>
      <c r="AP20" s="33">
        <f>'FS Desroches Daily'!BZ22</f>
        <v>0</v>
      </c>
      <c r="AQ20" s="32">
        <f>'FS Desroches Daily'!CB22</f>
        <v>0</v>
      </c>
      <c r="AR20" s="32">
        <f>'FS Desroches Daily'!CD22</f>
        <v>0</v>
      </c>
      <c r="AS20" s="32">
        <f>'FS Desroches Daily'!CF22</f>
        <v>0</v>
      </c>
      <c r="AT20" s="32">
        <f>'FS Desroches Daily'!CH22</f>
        <v>0</v>
      </c>
      <c r="AU20" s="32">
        <f>'FS Desroches Daily'!CJ22</f>
        <v>0</v>
      </c>
      <c r="AV20" s="32">
        <f>'FS Desroches Daily'!CL22</f>
        <v>0</v>
      </c>
      <c r="AW20" s="32">
        <f>'FS Desroches Daily'!CM22</f>
        <v>0</v>
      </c>
      <c r="AX20" s="32">
        <f>IF(LPG!F27-LPG!F26&lt;0,"0",(LPG!F27-LPG!F26)*1.8315)</f>
        <v>0</v>
      </c>
      <c r="AY20" s="32">
        <f>IF(LPG!H27-LPG!H26&lt;0,"0",(LPG!H27-LPG!H26)*1.8315)</f>
        <v>0</v>
      </c>
      <c r="AZ20" s="32">
        <f>IF(LPG!J27-LPG!J26&lt;0,"0",(LPG!J27-LPG!J26)*1.8315)</f>
        <v>0</v>
      </c>
      <c r="BA20" s="32">
        <f>IF(LPG!M27-LPG!M26&lt;0,"0",(LPG!M27-LPG!M26)*1.8315)</f>
        <v>0</v>
      </c>
      <c r="BB20" s="32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8" t="s">
        <v>11</v>
      </c>
      <c r="B21" s="15">
        <f t="shared" si="0"/>
        <v>20</v>
      </c>
      <c r="C21" s="18">
        <v>5</v>
      </c>
      <c r="D21" s="28">
        <v>2020</v>
      </c>
      <c r="E21" s="32">
        <f>'FS Desroches Daily'!D23</f>
        <v>0</v>
      </c>
      <c r="F21" s="33">
        <f>'FS Desroches Daily'!F23</f>
        <v>0</v>
      </c>
      <c r="G21" s="32">
        <f>'FS Desroches Daily'!H23</f>
        <v>0</v>
      </c>
      <c r="H21" s="33">
        <f>'FS Desroches Daily'!J23</f>
        <v>0</v>
      </c>
      <c r="I21" s="32">
        <f>'FS Desroches Daily'!L23</f>
        <v>0</v>
      </c>
      <c r="J21" s="33">
        <f>'FS Desroches Daily'!N23</f>
        <v>0</v>
      </c>
      <c r="K21" s="13">
        <f>'FS Desroches Daily'!P23</f>
        <v>0</v>
      </c>
      <c r="L21" s="32">
        <f>'FS Desroches Daily'!R23</f>
        <v>0</v>
      </c>
      <c r="M21" s="32">
        <f>'FS Desroches Daily'!T23</f>
        <v>0</v>
      </c>
      <c r="N21" s="32">
        <f>'FS Desroches Daily'!V23</f>
        <v>0</v>
      </c>
      <c r="O21" s="32">
        <f>'FS Desroches Daily'!X23</f>
        <v>0</v>
      </c>
      <c r="P21" s="32">
        <f>'FS Desroches Daily'!Z23</f>
        <v>0</v>
      </c>
      <c r="Q21" s="32">
        <f>'FS Desroches Daily'!AB23</f>
        <v>0</v>
      </c>
      <c r="R21" s="32">
        <f>'FS Desroches Daily'!AD23</f>
        <v>0</v>
      </c>
      <c r="S21" s="32">
        <f>'FS Desroches Daily'!AF23</f>
        <v>0</v>
      </c>
      <c r="T21" s="32">
        <f>'FS Desroches Daily'!AH23</f>
        <v>0</v>
      </c>
      <c r="U21" s="36">
        <f>'FS Desroches Daily'!AJ23</f>
        <v>0</v>
      </c>
      <c r="V21" s="36">
        <f>'FS Desroches Daily'!AL23</f>
        <v>0</v>
      </c>
      <c r="W21" s="36">
        <f>'FS Desroches Daily'!AN23</f>
        <v>0</v>
      </c>
      <c r="X21" s="36">
        <f>'FS Desroches Daily'!AP23</f>
        <v>0</v>
      </c>
      <c r="Y21" s="36">
        <f>'FS Desroches Daily'!AR23</f>
        <v>0</v>
      </c>
      <c r="Z21" s="36">
        <f>'FS Desroches Daily'!AT23</f>
        <v>0</v>
      </c>
      <c r="AA21" s="36">
        <f>'FS Desroches Daily'!AT23</f>
        <v>0</v>
      </c>
      <c r="AB21" s="36">
        <f>'FS Desroches Daily'!AV23</f>
        <v>0</v>
      </c>
      <c r="AC21" s="36">
        <f>'FS Desroches Daily'!AZ23</f>
        <v>0</v>
      </c>
      <c r="AD21" s="36">
        <f>'FS Desroches Daily'!BB23</f>
        <v>0</v>
      </c>
      <c r="AE21" s="36">
        <f>'FS Desroches Daily'!BD23</f>
        <v>0</v>
      </c>
      <c r="AF21" s="32">
        <f>'FS Desroches Daily'!BF23</f>
        <v>0</v>
      </c>
      <c r="AG21" s="33">
        <f>'FS Desroches Daily'!BH23</f>
        <v>0</v>
      </c>
      <c r="AH21" s="33">
        <f>'FS Desroches Daily'!BJ23</f>
        <v>0</v>
      </c>
      <c r="AI21" s="33">
        <f>'FS Desroches Daily'!BL23</f>
        <v>0</v>
      </c>
      <c r="AJ21" s="33">
        <f>'FS Desroches Daily'!BN23</f>
        <v>0</v>
      </c>
      <c r="AK21" s="33">
        <f>'FS Desroches Daily'!BP23</f>
        <v>0</v>
      </c>
      <c r="AL21" s="33">
        <f>'FS Desroches Daily'!BR23</f>
        <v>0</v>
      </c>
      <c r="AM21" s="33">
        <f>'FS Desroches Daily'!BT23</f>
        <v>0</v>
      </c>
      <c r="AN21" s="33">
        <f>'FS Desroches Daily'!BV23</f>
        <v>0</v>
      </c>
      <c r="AO21" s="33">
        <f>'FS Desroches Daily'!BX23</f>
        <v>0</v>
      </c>
      <c r="AP21" s="33">
        <f>'FS Desroches Daily'!BZ23</f>
        <v>0</v>
      </c>
      <c r="AQ21" s="32">
        <f>'FS Desroches Daily'!CB23</f>
        <v>0</v>
      </c>
      <c r="AR21" s="32">
        <f>'FS Desroches Daily'!CD23</f>
        <v>0</v>
      </c>
      <c r="AS21" s="32">
        <f>'FS Desroches Daily'!CF23</f>
        <v>0</v>
      </c>
      <c r="AT21" s="32">
        <f>'FS Desroches Daily'!CH23</f>
        <v>0</v>
      </c>
      <c r="AU21" s="32">
        <f>'FS Desroches Daily'!CJ23</f>
        <v>0</v>
      </c>
      <c r="AV21" s="32">
        <f>'FS Desroches Daily'!CL23</f>
        <v>0</v>
      </c>
      <c r="AW21" s="32">
        <f>'FS Desroches Daily'!CM23</f>
        <v>0</v>
      </c>
      <c r="AX21" s="32">
        <f>IF(LPG!F28-LPG!F27&lt;0,"0",(LPG!F28-LPG!F27)*1.8315)</f>
        <v>0</v>
      </c>
      <c r="AY21" s="32">
        <f>IF(LPG!H28-LPG!H27&lt;0,"0",(LPG!H28-LPG!H27)*1.8315)</f>
        <v>0</v>
      </c>
      <c r="AZ21" s="32">
        <f>IF(LPG!J28-LPG!J27&lt;0,"0",(LPG!J28-LPG!J27)*1.8315)</f>
        <v>0</v>
      </c>
      <c r="BA21" s="32">
        <f>IF(LPG!M28-LPG!M27&lt;0,"0",(LPG!M28-LPG!M27)*1.8315)</f>
        <v>0</v>
      </c>
      <c r="BB21" s="32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8" t="s">
        <v>11</v>
      </c>
      <c r="B22" s="15">
        <f t="shared" si="0"/>
        <v>21</v>
      </c>
      <c r="C22" s="18">
        <v>5</v>
      </c>
      <c r="D22" s="28">
        <v>2020</v>
      </c>
      <c r="E22" s="32">
        <f>'FS Desroches Daily'!D24</f>
        <v>0</v>
      </c>
      <c r="F22" s="33">
        <f>'FS Desroches Daily'!F24</f>
        <v>0</v>
      </c>
      <c r="G22" s="32">
        <f>'FS Desroches Daily'!H24</f>
        <v>0</v>
      </c>
      <c r="H22" s="33">
        <f>'FS Desroches Daily'!J24</f>
        <v>0</v>
      </c>
      <c r="I22" s="32">
        <f>'FS Desroches Daily'!L24</f>
        <v>0</v>
      </c>
      <c r="J22" s="33">
        <f>'FS Desroches Daily'!N24</f>
        <v>0</v>
      </c>
      <c r="K22" s="13">
        <f>'FS Desroches Daily'!P24</f>
        <v>0</v>
      </c>
      <c r="L22" s="32">
        <f>'FS Desroches Daily'!R24</f>
        <v>0</v>
      </c>
      <c r="M22" s="32">
        <f>'FS Desroches Daily'!T24</f>
        <v>0</v>
      </c>
      <c r="N22" s="32">
        <f>'FS Desroches Daily'!V24</f>
        <v>0</v>
      </c>
      <c r="O22" s="32">
        <f>'FS Desroches Daily'!X24</f>
        <v>0</v>
      </c>
      <c r="P22" s="32">
        <f>'FS Desroches Daily'!Z24</f>
        <v>0</v>
      </c>
      <c r="Q22" s="32">
        <f>'FS Desroches Daily'!AB24</f>
        <v>0</v>
      </c>
      <c r="R22" s="32">
        <f>'FS Desroches Daily'!AD24</f>
        <v>0</v>
      </c>
      <c r="S22" s="32">
        <f>'FS Desroches Daily'!AF24</f>
        <v>0</v>
      </c>
      <c r="T22" s="32">
        <f>'FS Desroches Daily'!AH24</f>
        <v>0</v>
      </c>
      <c r="U22" s="36">
        <f>'FS Desroches Daily'!AJ24</f>
        <v>0</v>
      </c>
      <c r="V22" s="36">
        <f>'FS Desroches Daily'!AL24</f>
        <v>0</v>
      </c>
      <c r="W22" s="36">
        <f>'FS Desroches Daily'!AN24</f>
        <v>0</v>
      </c>
      <c r="X22" s="36">
        <f>'FS Desroches Daily'!AP24</f>
        <v>0</v>
      </c>
      <c r="Y22" s="36">
        <f>'FS Desroches Daily'!AR24</f>
        <v>0</v>
      </c>
      <c r="Z22" s="36">
        <f>'FS Desroches Daily'!AT24</f>
        <v>0</v>
      </c>
      <c r="AA22" s="36">
        <f>'FS Desroches Daily'!AT24</f>
        <v>0</v>
      </c>
      <c r="AB22" s="36">
        <f>'FS Desroches Daily'!AV24</f>
        <v>0</v>
      </c>
      <c r="AC22" s="36">
        <f>'FS Desroches Daily'!AZ24</f>
        <v>0</v>
      </c>
      <c r="AD22" s="36">
        <f>'FS Desroches Daily'!BB24</f>
        <v>0</v>
      </c>
      <c r="AE22" s="36">
        <f>'FS Desroches Daily'!BD24</f>
        <v>0</v>
      </c>
      <c r="AF22" s="32">
        <f>'FS Desroches Daily'!BF24</f>
        <v>0</v>
      </c>
      <c r="AG22" s="33">
        <f>'FS Desroches Daily'!BH24</f>
        <v>0</v>
      </c>
      <c r="AH22" s="33">
        <f>'FS Desroches Daily'!BJ24</f>
        <v>0</v>
      </c>
      <c r="AI22" s="33">
        <f>'FS Desroches Daily'!BL24</f>
        <v>0</v>
      </c>
      <c r="AJ22" s="33">
        <f>'FS Desroches Daily'!BN24</f>
        <v>0</v>
      </c>
      <c r="AK22" s="33">
        <f>'FS Desroches Daily'!BP24</f>
        <v>0</v>
      </c>
      <c r="AL22" s="33">
        <f>'FS Desroches Daily'!BR24</f>
        <v>0</v>
      </c>
      <c r="AM22" s="33">
        <f>'FS Desroches Daily'!BT24</f>
        <v>0</v>
      </c>
      <c r="AN22" s="33">
        <f>'FS Desroches Daily'!BV24</f>
        <v>0</v>
      </c>
      <c r="AO22" s="33">
        <f>'FS Desroches Daily'!BX24</f>
        <v>0</v>
      </c>
      <c r="AP22" s="33">
        <f>'FS Desroches Daily'!BZ24</f>
        <v>0</v>
      </c>
      <c r="AQ22" s="32">
        <f>'FS Desroches Daily'!CB24</f>
        <v>0</v>
      </c>
      <c r="AR22" s="32">
        <f>'FS Desroches Daily'!CD24</f>
        <v>0</v>
      </c>
      <c r="AS22" s="32">
        <f>'FS Desroches Daily'!CF24</f>
        <v>0</v>
      </c>
      <c r="AT22" s="32">
        <f>'FS Desroches Daily'!CH24</f>
        <v>0</v>
      </c>
      <c r="AU22" s="32">
        <f>'FS Desroches Daily'!CJ24</f>
        <v>0</v>
      </c>
      <c r="AV22" s="32">
        <f>'FS Desroches Daily'!CL24</f>
        <v>0</v>
      </c>
      <c r="AW22" s="32">
        <f>'FS Desroches Daily'!CM24</f>
        <v>0</v>
      </c>
      <c r="AX22" s="32">
        <f>IF(LPG!F29-LPG!F28&lt;0,"0",(LPG!F29-LPG!F28)*1.8315)</f>
        <v>0</v>
      </c>
      <c r="AY22" s="32">
        <f>IF(LPG!H29-LPG!H28&lt;0,"0",(LPG!H29-LPG!H28)*1.8315)</f>
        <v>0</v>
      </c>
      <c r="AZ22" s="32">
        <f>IF(LPG!J29-LPG!J28&lt;0,"0",(LPG!J29-LPG!J28)*1.8315)</f>
        <v>0</v>
      </c>
      <c r="BA22" s="32">
        <f>IF(LPG!M29-LPG!M28&lt;0,"0",(LPG!M29-LPG!M28)*1.8315)</f>
        <v>0</v>
      </c>
      <c r="BB22" s="32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8" t="s">
        <v>11</v>
      </c>
      <c r="B23" s="15">
        <f t="shared" si="0"/>
        <v>22</v>
      </c>
      <c r="C23" s="18">
        <v>5</v>
      </c>
      <c r="D23" s="28">
        <v>2020</v>
      </c>
      <c r="E23" s="32">
        <f>'FS Desroches Daily'!D25</f>
        <v>0</v>
      </c>
      <c r="F23" s="33">
        <f>'FS Desroches Daily'!F25</f>
        <v>0</v>
      </c>
      <c r="G23" s="32">
        <f>'FS Desroches Daily'!H25</f>
        <v>0</v>
      </c>
      <c r="H23" s="33">
        <f>'FS Desroches Daily'!J25</f>
        <v>0</v>
      </c>
      <c r="I23" s="32">
        <f>'FS Desroches Daily'!L25</f>
        <v>0</v>
      </c>
      <c r="J23" s="33">
        <f>'FS Desroches Daily'!N25</f>
        <v>0</v>
      </c>
      <c r="K23" s="13">
        <f>'FS Desroches Daily'!P25</f>
        <v>0</v>
      </c>
      <c r="L23" s="32">
        <f>'FS Desroches Daily'!R25</f>
        <v>0</v>
      </c>
      <c r="M23" s="32">
        <f>'FS Desroches Daily'!T25</f>
        <v>0</v>
      </c>
      <c r="N23" s="32">
        <f>'FS Desroches Daily'!V25</f>
        <v>0</v>
      </c>
      <c r="O23" s="32">
        <f>'FS Desroches Daily'!X25</f>
        <v>0</v>
      </c>
      <c r="P23" s="32">
        <f>'FS Desroches Daily'!Z25</f>
        <v>0</v>
      </c>
      <c r="Q23" s="32">
        <f>'FS Desroches Daily'!AB25</f>
        <v>0</v>
      </c>
      <c r="R23" s="32">
        <f>'FS Desroches Daily'!AD25</f>
        <v>0</v>
      </c>
      <c r="S23" s="32">
        <f>'FS Desroches Daily'!AF25</f>
        <v>0</v>
      </c>
      <c r="T23" s="32">
        <f>'FS Desroches Daily'!AH25</f>
        <v>0</v>
      </c>
      <c r="U23" s="36">
        <f>'FS Desroches Daily'!AJ25</f>
        <v>0</v>
      </c>
      <c r="V23" s="36">
        <f>'FS Desroches Daily'!AL25</f>
        <v>0</v>
      </c>
      <c r="W23" s="36">
        <f>'FS Desroches Daily'!AN25</f>
        <v>0</v>
      </c>
      <c r="X23" s="36">
        <f>'FS Desroches Daily'!AP25</f>
        <v>0</v>
      </c>
      <c r="Y23" s="36">
        <f>'FS Desroches Daily'!AR25</f>
        <v>0</v>
      </c>
      <c r="Z23" s="36">
        <f>'FS Desroches Daily'!AT25</f>
        <v>0</v>
      </c>
      <c r="AA23" s="36">
        <f>'FS Desroches Daily'!AT25</f>
        <v>0</v>
      </c>
      <c r="AB23" s="36">
        <f>'FS Desroches Daily'!AV25</f>
        <v>0</v>
      </c>
      <c r="AC23" s="36">
        <f>'FS Desroches Daily'!AZ25</f>
        <v>0</v>
      </c>
      <c r="AD23" s="36">
        <f>'FS Desroches Daily'!BB25</f>
        <v>0</v>
      </c>
      <c r="AE23" s="36">
        <f>'FS Desroches Daily'!BD25</f>
        <v>0</v>
      </c>
      <c r="AF23" s="32">
        <f>'FS Desroches Daily'!BF25</f>
        <v>0</v>
      </c>
      <c r="AG23" s="33">
        <f>'FS Desroches Daily'!BH25</f>
        <v>0</v>
      </c>
      <c r="AH23" s="33">
        <f>'FS Desroches Daily'!BJ25</f>
        <v>0</v>
      </c>
      <c r="AI23" s="33">
        <f>'FS Desroches Daily'!BL25</f>
        <v>0</v>
      </c>
      <c r="AJ23" s="33">
        <f>'FS Desroches Daily'!BN25</f>
        <v>0</v>
      </c>
      <c r="AK23" s="33">
        <f>'FS Desroches Daily'!BP25</f>
        <v>0</v>
      </c>
      <c r="AL23" s="33">
        <f>'FS Desroches Daily'!BR25</f>
        <v>0</v>
      </c>
      <c r="AM23" s="33">
        <f>'FS Desroches Daily'!BT25</f>
        <v>0</v>
      </c>
      <c r="AN23" s="33">
        <f>'FS Desroches Daily'!BV25</f>
        <v>0</v>
      </c>
      <c r="AO23" s="33">
        <f>'FS Desroches Daily'!BX25</f>
        <v>0</v>
      </c>
      <c r="AP23" s="33">
        <f>'FS Desroches Daily'!BZ25</f>
        <v>0</v>
      </c>
      <c r="AQ23" s="32">
        <f>'FS Desroches Daily'!CB25</f>
        <v>0</v>
      </c>
      <c r="AR23" s="32">
        <f>'FS Desroches Daily'!CD25</f>
        <v>0</v>
      </c>
      <c r="AS23" s="32">
        <f>'FS Desroches Daily'!CF25</f>
        <v>0</v>
      </c>
      <c r="AT23" s="32">
        <f>'FS Desroches Daily'!CH25</f>
        <v>0</v>
      </c>
      <c r="AU23" s="32">
        <f>'FS Desroches Daily'!CJ25</f>
        <v>0</v>
      </c>
      <c r="AV23" s="32">
        <f>'FS Desroches Daily'!CL25</f>
        <v>0</v>
      </c>
      <c r="AW23" s="32">
        <f>'FS Desroches Daily'!CM25</f>
        <v>0</v>
      </c>
      <c r="AX23" s="32">
        <f>IF(LPG!F30-LPG!F29&lt;0,"0",(LPG!F30-LPG!F29)*1.8315)</f>
        <v>0</v>
      </c>
      <c r="AY23" s="32">
        <f>IF(LPG!H30-LPG!H29&lt;0,"0",(LPG!H30-LPG!H29)*1.8315)</f>
        <v>0</v>
      </c>
      <c r="AZ23" s="32">
        <f>IF(LPG!J30-LPG!J29&lt;0,"0",(LPG!J30-LPG!J29)*1.8315)</f>
        <v>0</v>
      </c>
      <c r="BA23" s="32">
        <f>IF(LPG!M30-LPG!M29&lt;0,"0",(LPG!M30-LPG!M29)*1.8315)</f>
        <v>0</v>
      </c>
      <c r="BB23" s="32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8" t="s">
        <v>11</v>
      </c>
      <c r="B24" s="15">
        <f t="shared" si="0"/>
        <v>23</v>
      </c>
      <c r="C24" s="18">
        <v>5</v>
      </c>
      <c r="D24" s="28">
        <v>2020</v>
      </c>
      <c r="E24" s="32">
        <f>'FS Desroches Daily'!D26</f>
        <v>0</v>
      </c>
      <c r="F24" s="33">
        <f>'FS Desroches Daily'!F26</f>
        <v>0</v>
      </c>
      <c r="G24" s="32">
        <f>'FS Desroches Daily'!H26</f>
        <v>0</v>
      </c>
      <c r="H24" s="33">
        <f>'FS Desroches Daily'!J26</f>
        <v>0</v>
      </c>
      <c r="I24" s="32">
        <f>'FS Desroches Daily'!L26</f>
        <v>0</v>
      </c>
      <c r="J24" s="33">
        <f>'FS Desroches Daily'!N26</f>
        <v>0</v>
      </c>
      <c r="K24" s="13">
        <f>'FS Desroches Daily'!P26</f>
        <v>0</v>
      </c>
      <c r="L24" s="32">
        <f>'FS Desroches Daily'!R26</f>
        <v>0</v>
      </c>
      <c r="M24" s="32">
        <f>'FS Desroches Daily'!T26</f>
        <v>0</v>
      </c>
      <c r="N24" s="32">
        <f>'FS Desroches Daily'!V26</f>
        <v>0</v>
      </c>
      <c r="O24" s="32">
        <f>'FS Desroches Daily'!X26</f>
        <v>0</v>
      </c>
      <c r="P24" s="32">
        <f>'FS Desroches Daily'!Z26</f>
        <v>0</v>
      </c>
      <c r="Q24" s="32">
        <f>'FS Desroches Daily'!AB26</f>
        <v>0</v>
      </c>
      <c r="R24" s="32">
        <f>'FS Desroches Daily'!AD26</f>
        <v>0</v>
      </c>
      <c r="S24" s="32">
        <f>'FS Desroches Daily'!AF26</f>
        <v>0</v>
      </c>
      <c r="T24" s="32">
        <f>'FS Desroches Daily'!AH26</f>
        <v>0</v>
      </c>
      <c r="U24" s="36">
        <f>'FS Desroches Daily'!AJ26</f>
        <v>0</v>
      </c>
      <c r="V24" s="36">
        <f>'FS Desroches Daily'!AL26</f>
        <v>0</v>
      </c>
      <c r="W24" s="36">
        <f>'FS Desroches Daily'!AN26</f>
        <v>0</v>
      </c>
      <c r="X24" s="36">
        <f>'FS Desroches Daily'!AP26</f>
        <v>0</v>
      </c>
      <c r="Y24" s="36">
        <f>'FS Desroches Daily'!AR26</f>
        <v>0</v>
      </c>
      <c r="Z24" s="36">
        <f>'FS Desroches Daily'!AT26</f>
        <v>0</v>
      </c>
      <c r="AA24" s="36">
        <f>'FS Desroches Daily'!AT26</f>
        <v>0</v>
      </c>
      <c r="AB24" s="36">
        <f>'FS Desroches Daily'!AV26</f>
        <v>0</v>
      </c>
      <c r="AC24" s="36">
        <f>'FS Desroches Daily'!AZ26</f>
        <v>0</v>
      </c>
      <c r="AD24" s="36">
        <f>'FS Desroches Daily'!BB26</f>
        <v>0</v>
      </c>
      <c r="AE24" s="36">
        <f>'FS Desroches Daily'!BD26</f>
        <v>0</v>
      </c>
      <c r="AF24" s="32">
        <f>'FS Desroches Daily'!BF26</f>
        <v>0</v>
      </c>
      <c r="AG24" s="33">
        <f>'FS Desroches Daily'!BH26</f>
        <v>0</v>
      </c>
      <c r="AH24" s="33">
        <f>'FS Desroches Daily'!BJ26</f>
        <v>0</v>
      </c>
      <c r="AI24" s="33">
        <f>'FS Desroches Daily'!BL26</f>
        <v>0</v>
      </c>
      <c r="AJ24" s="33">
        <f>'FS Desroches Daily'!BN26</f>
        <v>0</v>
      </c>
      <c r="AK24" s="33">
        <f>'FS Desroches Daily'!BP26</f>
        <v>0</v>
      </c>
      <c r="AL24" s="33">
        <f>'FS Desroches Daily'!BR26</f>
        <v>0</v>
      </c>
      <c r="AM24" s="33">
        <f>'FS Desroches Daily'!BT26</f>
        <v>0</v>
      </c>
      <c r="AN24" s="33">
        <f>'FS Desroches Daily'!BV26</f>
        <v>0</v>
      </c>
      <c r="AO24" s="33">
        <f>'FS Desroches Daily'!BX26</f>
        <v>0</v>
      </c>
      <c r="AP24" s="33">
        <f>'FS Desroches Daily'!BZ26</f>
        <v>0</v>
      </c>
      <c r="AQ24" s="32">
        <f>'FS Desroches Daily'!CB26</f>
        <v>0</v>
      </c>
      <c r="AR24" s="32">
        <f>'FS Desroches Daily'!CD26</f>
        <v>0</v>
      </c>
      <c r="AS24" s="32">
        <f>'FS Desroches Daily'!CF26</f>
        <v>0</v>
      </c>
      <c r="AT24" s="32">
        <f>'FS Desroches Daily'!CH26</f>
        <v>0</v>
      </c>
      <c r="AU24" s="32">
        <f>'FS Desroches Daily'!CJ26</f>
        <v>0</v>
      </c>
      <c r="AV24" s="32">
        <f>'FS Desroches Daily'!CL26</f>
        <v>0</v>
      </c>
      <c r="AW24" s="32">
        <f>'FS Desroches Daily'!CM26</f>
        <v>0</v>
      </c>
      <c r="AX24" s="32">
        <f>IF(LPG!F31-LPG!F30&lt;0,"0",(LPG!F31-LPG!F30)*1.8315)</f>
        <v>0</v>
      </c>
      <c r="AY24" s="32">
        <f>IF(LPG!H31-LPG!H30&lt;0,"0",(LPG!H31-LPG!H30)*1.8315)</f>
        <v>0</v>
      </c>
      <c r="AZ24" s="32">
        <f>IF(LPG!J31-LPG!J30&lt;0,"0",(LPG!J31-LPG!J30)*1.8315)</f>
        <v>0</v>
      </c>
      <c r="BA24" s="32">
        <f>IF(LPG!M31-LPG!M30&lt;0,"0",(LPG!M31-LPG!M30)*1.8315)</f>
        <v>0</v>
      </c>
      <c r="BB24" s="32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8" t="s">
        <v>11</v>
      </c>
      <c r="B25" s="15">
        <f t="shared" si="0"/>
        <v>24</v>
      </c>
      <c r="C25" s="18">
        <v>5</v>
      </c>
      <c r="D25" s="28">
        <v>2020</v>
      </c>
      <c r="E25" s="32">
        <f>'FS Desroches Daily'!D27</f>
        <v>0</v>
      </c>
      <c r="F25" s="33">
        <f>'FS Desroches Daily'!F27</f>
        <v>0</v>
      </c>
      <c r="G25" s="32">
        <f>'FS Desroches Daily'!H27</f>
        <v>0</v>
      </c>
      <c r="H25" s="33">
        <f>'FS Desroches Daily'!J27</f>
        <v>0</v>
      </c>
      <c r="I25" s="32">
        <f>'FS Desroches Daily'!L27</f>
        <v>0</v>
      </c>
      <c r="J25" s="33">
        <f>'FS Desroches Daily'!N27</f>
        <v>0</v>
      </c>
      <c r="K25" s="13">
        <f>'FS Desroches Daily'!P27</f>
        <v>0</v>
      </c>
      <c r="L25" s="32">
        <f>'FS Desroches Daily'!R27</f>
        <v>0</v>
      </c>
      <c r="M25" s="32">
        <f>'FS Desroches Daily'!T27</f>
        <v>0</v>
      </c>
      <c r="N25" s="32">
        <f>'FS Desroches Daily'!V27</f>
        <v>0</v>
      </c>
      <c r="O25" s="32">
        <f>'FS Desroches Daily'!X27</f>
        <v>0</v>
      </c>
      <c r="P25" s="32">
        <f>'FS Desroches Daily'!Z27</f>
        <v>0</v>
      </c>
      <c r="Q25" s="32">
        <f>'FS Desroches Daily'!AB27</f>
        <v>0</v>
      </c>
      <c r="R25" s="32">
        <f>'FS Desroches Daily'!AD27</f>
        <v>0</v>
      </c>
      <c r="S25" s="32">
        <f>'FS Desroches Daily'!AF27</f>
        <v>0</v>
      </c>
      <c r="T25" s="32">
        <f>'FS Desroches Daily'!AH27</f>
        <v>0</v>
      </c>
      <c r="U25" s="36">
        <f>'FS Desroches Daily'!AJ27</f>
        <v>0</v>
      </c>
      <c r="V25" s="36">
        <f>'FS Desroches Daily'!AL27</f>
        <v>0</v>
      </c>
      <c r="W25" s="36">
        <f>'FS Desroches Daily'!AN27</f>
        <v>0</v>
      </c>
      <c r="X25" s="36">
        <f>'FS Desroches Daily'!AP27</f>
        <v>0</v>
      </c>
      <c r="Y25" s="36">
        <f>'FS Desroches Daily'!AR27</f>
        <v>0</v>
      </c>
      <c r="Z25" s="36">
        <f>'FS Desroches Daily'!AT27</f>
        <v>0</v>
      </c>
      <c r="AA25" s="36">
        <f>'FS Desroches Daily'!AT27</f>
        <v>0</v>
      </c>
      <c r="AB25" s="36">
        <f>'FS Desroches Daily'!AV27</f>
        <v>0</v>
      </c>
      <c r="AC25" s="36">
        <f>'FS Desroches Daily'!AZ27</f>
        <v>0</v>
      </c>
      <c r="AD25" s="36">
        <f>'FS Desroches Daily'!BB27</f>
        <v>0</v>
      </c>
      <c r="AE25" s="36">
        <f>'FS Desroches Daily'!BD27</f>
        <v>0</v>
      </c>
      <c r="AF25" s="32">
        <f>'FS Desroches Daily'!BF27</f>
        <v>0</v>
      </c>
      <c r="AG25" s="33">
        <f>'FS Desroches Daily'!BH27</f>
        <v>0</v>
      </c>
      <c r="AH25" s="33">
        <f>'FS Desroches Daily'!BJ27</f>
        <v>0</v>
      </c>
      <c r="AI25" s="33">
        <f>'FS Desroches Daily'!BL27</f>
        <v>0</v>
      </c>
      <c r="AJ25" s="33">
        <f>'FS Desroches Daily'!BN27</f>
        <v>0</v>
      </c>
      <c r="AK25" s="33">
        <f>'FS Desroches Daily'!BP27</f>
        <v>0</v>
      </c>
      <c r="AL25" s="33">
        <f>'FS Desroches Daily'!BR27</f>
        <v>0</v>
      </c>
      <c r="AM25" s="33">
        <f>'FS Desroches Daily'!BT27</f>
        <v>0</v>
      </c>
      <c r="AN25" s="33">
        <f>'FS Desroches Daily'!BV27</f>
        <v>0</v>
      </c>
      <c r="AO25" s="33">
        <f>'FS Desroches Daily'!BX27</f>
        <v>0</v>
      </c>
      <c r="AP25" s="33">
        <f>'FS Desroches Daily'!BZ27</f>
        <v>0</v>
      </c>
      <c r="AQ25" s="32">
        <f>'FS Desroches Daily'!CB27</f>
        <v>0</v>
      </c>
      <c r="AR25" s="32">
        <f>'FS Desroches Daily'!CD27</f>
        <v>0</v>
      </c>
      <c r="AS25" s="32">
        <f>'FS Desroches Daily'!CF27</f>
        <v>0</v>
      </c>
      <c r="AT25" s="32">
        <f>'FS Desroches Daily'!CH27</f>
        <v>0</v>
      </c>
      <c r="AU25" s="32">
        <f>'FS Desroches Daily'!CJ27</f>
        <v>0</v>
      </c>
      <c r="AV25" s="32">
        <f>'FS Desroches Daily'!CL27</f>
        <v>0</v>
      </c>
      <c r="AW25" s="32">
        <f>'FS Desroches Daily'!CM27</f>
        <v>0</v>
      </c>
      <c r="AX25" s="32">
        <f>IF(LPG!F32-LPG!F31&lt;0,"0",(LPG!F32-LPG!F31)*1.8315)</f>
        <v>0</v>
      </c>
      <c r="AY25" s="32">
        <f>IF(LPG!H32-LPG!H31&lt;0,"0",(LPG!H32-LPG!H31)*1.8315)</f>
        <v>0</v>
      </c>
      <c r="AZ25" s="32">
        <f>IF(LPG!J32-LPG!J31&lt;0,"0",(LPG!J32-LPG!J31)*1.8315)</f>
        <v>0</v>
      </c>
      <c r="BA25" s="32">
        <f>IF(LPG!M32-LPG!M31&lt;0,"0",(LPG!M32-LPG!M31)*1.8315)</f>
        <v>0</v>
      </c>
      <c r="BB25" s="32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8" t="s">
        <v>11</v>
      </c>
      <c r="B26" s="15">
        <f>B25+1</f>
        <v>25</v>
      </c>
      <c r="C26" s="18">
        <v>5</v>
      </c>
      <c r="D26" s="28">
        <v>2020</v>
      </c>
      <c r="E26" s="32">
        <f>'FS Desroches Daily'!D28</f>
        <v>0</v>
      </c>
      <c r="F26" s="33">
        <f>'FS Desroches Daily'!F28</f>
        <v>0</v>
      </c>
      <c r="G26" s="32">
        <f>'FS Desroches Daily'!H28</f>
        <v>0</v>
      </c>
      <c r="H26" s="33">
        <f>'FS Desroches Daily'!J28</f>
        <v>0</v>
      </c>
      <c r="I26" s="32">
        <f>'FS Desroches Daily'!L28</f>
        <v>0</v>
      </c>
      <c r="J26" s="33">
        <f>'FS Desroches Daily'!N28</f>
        <v>0</v>
      </c>
      <c r="K26" s="13">
        <f>'FS Desroches Daily'!P28</f>
        <v>0</v>
      </c>
      <c r="L26" s="32">
        <f>'FS Desroches Daily'!R28</f>
        <v>0</v>
      </c>
      <c r="M26" s="32">
        <f>'FS Desroches Daily'!T28</f>
        <v>0</v>
      </c>
      <c r="N26" s="32">
        <f>'FS Desroches Daily'!V28</f>
        <v>0</v>
      </c>
      <c r="O26" s="32">
        <f>'FS Desroches Daily'!X28</f>
        <v>0</v>
      </c>
      <c r="P26" s="32">
        <f>'FS Desroches Daily'!Z28</f>
        <v>0</v>
      </c>
      <c r="Q26" s="32">
        <f>'FS Desroches Daily'!AB28</f>
        <v>0</v>
      </c>
      <c r="R26" s="32">
        <f>'FS Desroches Daily'!AD28</f>
        <v>0</v>
      </c>
      <c r="S26" s="32">
        <f>'FS Desroches Daily'!AF28</f>
        <v>0</v>
      </c>
      <c r="T26" s="32">
        <f>'FS Desroches Daily'!AH28</f>
        <v>0</v>
      </c>
      <c r="U26" s="36">
        <f>'FS Desroches Daily'!AJ28</f>
        <v>0</v>
      </c>
      <c r="V26" s="36">
        <f>'FS Desroches Daily'!AL28</f>
        <v>0</v>
      </c>
      <c r="W26" s="36">
        <f>'FS Desroches Daily'!AN28</f>
        <v>0</v>
      </c>
      <c r="X26" s="36">
        <f>'FS Desroches Daily'!AP28</f>
        <v>0</v>
      </c>
      <c r="Y26" s="36">
        <f>'FS Desroches Daily'!AR28</f>
        <v>0</v>
      </c>
      <c r="Z26" s="36">
        <f>'FS Desroches Daily'!AT28</f>
        <v>0</v>
      </c>
      <c r="AA26" s="36">
        <f>'FS Desroches Daily'!AT28</f>
        <v>0</v>
      </c>
      <c r="AB26" s="36">
        <f>'FS Desroches Daily'!AV28</f>
        <v>0</v>
      </c>
      <c r="AC26" s="36">
        <f>'FS Desroches Daily'!AZ28</f>
        <v>0</v>
      </c>
      <c r="AD26" s="36">
        <f>'FS Desroches Daily'!BB28</f>
        <v>0</v>
      </c>
      <c r="AE26" s="36">
        <f>'FS Desroches Daily'!BD28</f>
        <v>0</v>
      </c>
      <c r="AF26" s="32">
        <f>'FS Desroches Daily'!BF28</f>
        <v>0</v>
      </c>
      <c r="AG26" s="33">
        <f>'FS Desroches Daily'!BH28</f>
        <v>0</v>
      </c>
      <c r="AH26" s="33">
        <f>'FS Desroches Daily'!BJ28</f>
        <v>0</v>
      </c>
      <c r="AI26" s="33">
        <f>'FS Desroches Daily'!BL28</f>
        <v>0</v>
      </c>
      <c r="AJ26" s="33">
        <f>'FS Desroches Daily'!BN28</f>
        <v>0</v>
      </c>
      <c r="AK26" s="33">
        <f>'FS Desroches Daily'!BP28</f>
        <v>0</v>
      </c>
      <c r="AL26" s="33">
        <f>'FS Desroches Daily'!BR28</f>
        <v>0</v>
      </c>
      <c r="AM26" s="33">
        <f>'FS Desroches Daily'!BT28</f>
        <v>0</v>
      </c>
      <c r="AN26" s="33">
        <f>'FS Desroches Daily'!BV28</f>
        <v>0</v>
      </c>
      <c r="AO26" s="33">
        <f>'FS Desroches Daily'!BX28</f>
        <v>0</v>
      </c>
      <c r="AP26" s="33">
        <f>'FS Desroches Daily'!BZ28</f>
        <v>0</v>
      </c>
      <c r="AQ26" s="32">
        <f>'FS Desroches Daily'!CB28</f>
        <v>0</v>
      </c>
      <c r="AR26" s="32">
        <f>'FS Desroches Daily'!CD28</f>
        <v>0</v>
      </c>
      <c r="AS26" s="32">
        <f>'FS Desroches Daily'!CF28</f>
        <v>0</v>
      </c>
      <c r="AT26" s="32">
        <f>'FS Desroches Daily'!CH28</f>
        <v>0</v>
      </c>
      <c r="AU26" s="32">
        <f>'FS Desroches Daily'!CJ28</f>
        <v>0</v>
      </c>
      <c r="AV26" s="32">
        <f>'FS Desroches Daily'!CL28</f>
        <v>0</v>
      </c>
      <c r="AW26" s="32">
        <f>'FS Desroches Daily'!CM28</f>
        <v>0</v>
      </c>
      <c r="AX26" s="32">
        <f>IF(LPG!F33-LPG!F32&lt;0,"0",(LPG!F33-LPG!F32)*1.8315)</f>
        <v>0</v>
      </c>
      <c r="AY26" s="32">
        <f>IF(LPG!H33-LPG!H32&lt;0,"0",(LPG!H33-LPG!H32)*1.8315)</f>
        <v>0</v>
      </c>
      <c r="AZ26" s="32">
        <f>IF(LPG!J33-LPG!J32&lt;0,"0",(LPG!J33-LPG!J32)*1.8315)</f>
        <v>0</v>
      </c>
      <c r="BA26" s="32">
        <f>IF(LPG!M33-LPG!M32&lt;0,"0",(LPG!M33-LPG!M32)*1.8315)</f>
        <v>0</v>
      </c>
      <c r="BB26" s="32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8" t="s">
        <v>11</v>
      </c>
      <c r="B27" s="15">
        <f t="shared" si="0"/>
        <v>26</v>
      </c>
      <c r="C27" s="18">
        <v>5</v>
      </c>
      <c r="D27" s="28">
        <v>2020</v>
      </c>
      <c r="E27" s="32">
        <f>'FS Desroches Daily'!D29</f>
        <v>0</v>
      </c>
      <c r="F27" s="33">
        <f>'FS Desroches Daily'!F29</f>
        <v>0</v>
      </c>
      <c r="G27" s="32">
        <f>'FS Desroches Daily'!H29</f>
        <v>0</v>
      </c>
      <c r="H27" s="33">
        <f>'FS Desroches Daily'!J29</f>
        <v>0</v>
      </c>
      <c r="I27" s="32">
        <f>'FS Desroches Daily'!L29</f>
        <v>0</v>
      </c>
      <c r="J27" s="33">
        <f>'FS Desroches Daily'!N29</f>
        <v>0</v>
      </c>
      <c r="K27" s="13">
        <f>'FS Desroches Daily'!P29</f>
        <v>0</v>
      </c>
      <c r="L27" s="32">
        <f>'FS Desroches Daily'!R29</f>
        <v>0</v>
      </c>
      <c r="M27" s="32">
        <f>'FS Desroches Daily'!T29</f>
        <v>0</v>
      </c>
      <c r="N27" s="32">
        <f>'FS Desroches Daily'!V29</f>
        <v>0</v>
      </c>
      <c r="O27" s="32">
        <f>'FS Desroches Daily'!X29</f>
        <v>0</v>
      </c>
      <c r="P27" s="32">
        <f>'FS Desroches Daily'!Z29</f>
        <v>0</v>
      </c>
      <c r="Q27" s="32">
        <f>'FS Desroches Daily'!AB29</f>
        <v>0</v>
      </c>
      <c r="R27" s="32">
        <f>'FS Desroches Daily'!AD29</f>
        <v>0</v>
      </c>
      <c r="S27" s="32">
        <f>'FS Desroches Daily'!AF29</f>
        <v>0</v>
      </c>
      <c r="T27" s="32">
        <f>'FS Desroches Daily'!AH29</f>
        <v>0</v>
      </c>
      <c r="U27" s="36">
        <f>'FS Desroches Daily'!AJ29</f>
        <v>0</v>
      </c>
      <c r="V27" s="36">
        <f>'FS Desroches Daily'!AL29</f>
        <v>0</v>
      </c>
      <c r="W27" s="36">
        <f>'FS Desroches Daily'!AN29</f>
        <v>0</v>
      </c>
      <c r="X27" s="36">
        <f>'FS Desroches Daily'!AP29</f>
        <v>0</v>
      </c>
      <c r="Y27" s="36">
        <f>'FS Desroches Daily'!AR29</f>
        <v>0</v>
      </c>
      <c r="Z27" s="36">
        <f>'FS Desroches Daily'!AT29</f>
        <v>0</v>
      </c>
      <c r="AA27" s="36">
        <f>'FS Desroches Daily'!AT29</f>
        <v>0</v>
      </c>
      <c r="AB27" s="36">
        <f>'FS Desroches Daily'!AV29</f>
        <v>0</v>
      </c>
      <c r="AC27" s="36">
        <f>'FS Desroches Daily'!AZ29</f>
        <v>0</v>
      </c>
      <c r="AD27" s="36">
        <f>'FS Desroches Daily'!BB29</f>
        <v>0</v>
      </c>
      <c r="AE27" s="36">
        <f>'FS Desroches Daily'!BD29</f>
        <v>0</v>
      </c>
      <c r="AF27" s="32">
        <f>'FS Desroches Daily'!BF29</f>
        <v>0</v>
      </c>
      <c r="AG27" s="33">
        <f>'FS Desroches Daily'!BH29</f>
        <v>0</v>
      </c>
      <c r="AH27" s="33">
        <f>'FS Desroches Daily'!BJ29</f>
        <v>0</v>
      </c>
      <c r="AI27" s="33">
        <f>'FS Desroches Daily'!BL29</f>
        <v>0</v>
      </c>
      <c r="AJ27" s="33">
        <f>'FS Desroches Daily'!BN29</f>
        <v>0</v>
      </c>
      <c r="AK27" s="33">
        <f>'FS Desroches Daily'!BP29</f>
        <v>0</v>
      </c>
      <c r="AL27" s="33">
        <f>'FS Desroches Daily'!BR29</f>
        <v>0</v>
      </c>
      <c r="AM27" s="33">
        <f>'FS Desroches Daily'!BT29</f>
        <v>0</v>
      </c>
      <c r="AN27" s="33">
        <f>'FS Desroches Daily'!BV29</f>
        <v>0</v>
      </c>
      <c r="AO27" s="33">
        <f>'FS Desroches Daily'!BX29</f>
        <v>0</v>
      </c>
      <c r="AP27" s="33">
        <f>'FS Desroches Daily'!BZ29</f>
        <v>0</v>
      </c>
      <c r="AQ27" s="32">
        <f>'FS Desroches Daily'!CB29</f>
        <v>0</v>
      </c>
      <c r="AR27" s="32">
        <f>'FS Desroches Daily'!CD29</f>
        <v>0</v>
      </c>
      <c r="AS27" s="32">
        <f>'FS Desroches Daily'!CF29</f>
        <v>0</v>
      </c>
      <c r="AT27" s="32">
        <f>'FS Desroches Daily'!CH29</f>
        <v>0</v>
      </c>
      <c r="AU27" s="32">
        <f>'FS Desroches Daily'!CJ29</f>
        <v>0</v>
      </c>
      <c r="AV27" s="32">
        <f>'FS Desroches Daily'!CL29</f>
        <v>0</v>
      </c>
      <c r="AW27" s="32">
        <f>'FS Desroches Daily'!CM29</f>
        <v>0</v>
      </c>
      <c r="AX27" s="32">
        <f>IF(LPG!F34-LPG!F33&lt;0,"0",(LPG!F34-LPG!F33)*1.8315)</f>
        <v>0</v>
      </c>
      <c r="AY27" s="32">
        <f>IF(LPG!H34-LPG!H33&lt;0,"0",(LPG!H34-LPG!H33)*1.8315)</f>
        <v>0</v>
      </c>
      <c r="AZ27" s="32">
        <f>IF(LPG!J34-LPG!J33&lt;0,"0",(LPG!J34-LPG!J33)*1.8315)</f>
        <v>0</v>
      </c>
      <c r="BA27" s="32">
        <f>IF(LPG!M34-LPG!M33&lt;0,"0",(LPG!M34-LPG!M33)*1.8315)</f>
        <v>0</v>
      </c>
      <c r="BB27" s="32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8" t="s">
        <v>11</v>
      </c>
      <c r="B28" s="15">
        <f t="shared" si="0"/>
        <v>27</v>
      </c>
      <c r="C28" s="18">
        <v>5</v>
      </c>
      <c r="D28" s="28">
        <v>2020</v>
      </c>
      <c r="E28" s="32">
        <f>'FS Desroches Daily'!D30</f>
        <v>0</v>
      </c>
      <c r="F28" s="33">
        <f>'FS Desroches Daily'!F30</f>
        <v>0</v>
      </c>
      <c r="G28" s="32">
        <f>'FS Desroches Daily'!H30</f>
        <v>0</v>
      </c>
      <c r="H28" s="33">
        <f>'FS Desroches Daily'!J30</f>
        <v>0</v>
      </c>
      <c r="I28" s="32">
        <f>'FS Desroches Daily'!L30</f>
        <v>0</v>
      </c>
      <c r="J28" s="33">
        <f>'FS Desroches Daily'!N30</f>
        <v>0</v>
      </c>
      <c r="K28" s="13">
        <f>'FS Desroches Daily'!P30</f>
        <v>0</v>
      </c>
      <c r="L28" s="32">
        <f>'FS Desroches Daily'!R30</f>
        <v>0</v>
      </c>
      <c r="M28" s="32">
        <f>'FS Desroches Daily'!T30</f>
        <v>0</v>
      </c>
      <c r="N28" s="32">
        <f>'FS Desroches Daily'!V30</f>
        <v>0</v>
      </c>
      <c r="O28" s="32">
        <f>'FS Desroches Daily'!X30</f>
        <v>0</v>
      </c>
      <c r="P28" s="32">
        <f>'FS Desroches Daily'!Z30</f>
        <v>0</v>
      </c>
      <c r="Q28" s="32">
        <f>'FS Desroches Daily'!AB30</f>
        <v>0</v>
      </c>
      <c r="R28" s="32">
        <f>'FS Desroches Daily'!AD30</f>
        <v>0</v>
      </c>
      <c r="S28" s="32">
        <f>'FS Desroches Daily'!AF30</f>
        <v>0</v>
      </c>
      <c r="T28" s="32">
        <f>'FS Desroches Daily'!AH30</f>
        <v>0</v>
      </c>
      <c r="U28" s="36">
        <f>'FS Desroches Daily'!AJ30</f>
        <v>0</v>
      </c>
      <c r="V28" s="36">
        <f>'FS Desroches Daily'!AL30</f>
        <v>0</v>
      </c>
      <c r="W28" s="36">
        <f>'FS Desroches Daily'!AN30</f>
        <v>0</v>
      </c>
      <c r="X28" s="36">
        <f>'FS Desroches Daily'!AP30</f>
        <v>0</v>
      </c>
      <c r="Y28" s="36">
        <f>'FS Desroches Daily'!AR30</f>
        <v>0</v>
      </c>
      <c r="Z28" s="36">
        <f>'FS Desroches Daily'!AT30</f>
        <v>0</v>
      </c>
      <c r="AA28" s="36">
        <f>'FS Desroches Daily'!AT30</f>
        <v>0</v>
      </c>
      <c r="AB28" s="36">
        <f>'FS Desroches Daily'!AV30</f>
        <v>0</v>
      </c>
      <c r="AC28" s="36">
        <f>'FS Desroches Daily'!AZ30</f>
        <v>0</v>
      </c>
      <c r="AD28" s="36">
        <f>'FS Desroches Daily'!BB30</f>
        <v>0</v>
      </c>
      <c r="AE28" s="36">
        <f>'FS Desroches Daily'!BD30</f>
        <v>0</v>
      </c>
      <c r="AF28" s="32">
        <f>'FS Desroches Daily'!BF30</f>
        <v>0</v>
      </c>
      <c r="AG28" s="33">
        <f>'FS Desroches Daily'!BH30</f>
        <v>0</v>
      </c>
      <c r="AH28" s="33">
        <f>'FS Desroches Daily'!BJ30</f>
        <v>0</v>
      </c>
      <c r="AI28" s="33">
        <f>'FS Desroches Daily'!BL30</f>
        <v>0</v>
      </c>
      <c r="AJ28" s="33">
        <f>'FS Desroches Daily'!BN30</f>
        <v>0</v>
      </c>
      <c r="AK28" s="33">
        <f>'FS Desroches Daily'!BP30</f>
        <v>0</v>
      </c>
      <c r="AL28" s="33">
        <f>'FS Desroches Daily'!BR30</f>
        <v>0</v>
      </c>
      <c r="AM28" s="33">
        <f>'FS Desroches Daily'!BT30</f>
        <v>0</v>
      </c>
      <c r="AN28" s="33">
        <f>'FS Desroches Daily'!BV30</f>
        <v>0</v>
      </c>
      <c r="AO28" s="33">
        <f>'FS Desroches Daily'!BX30</f>
        <v>0</v>
      </c>
      <c r="AP28" s="33">
        <f>'FS Desroches Daily'!BZ30</f>
        <v>0</v>
      </c>
      <c r="AQ28" s="32">
        <f>'FS Desroches Daily'!CB30</f>
        <v>0</v>
      </c>
      <c r="AR28" s="32">
        <f>'FS Desroches Daily'!CD30</f>
        <v>0</v>
      </c>
      <c r="AS28" s="32">
        <f>'FS Desroches Daily'!CF30</f>
        <v>0</v>
      </c>
      <c r="AT28" s="32">
        <f>'FS Desroches Daily'!CH30</f>
        <v>0</v>
      </c>
      <c r="AU28" s="32">
        <f>'FS Desroches Daily'!CJ30</f>
        <v>0</v>
      </c>
      <c r="AV28" s="32">
        <f>'FS Desroches Daily'!CL30</f>
        <v>0</v>
      </c>
      <c r="AW28" s="32">
        <f>'FS Desroches Daily'!CM30</f>
        <v>0</v>
      </c>
      <c r="AX28" s="32">
        <f>IF(LPG!F35-LPG!F34&lt;0,"0",(LPG!F35-LPG!F34)*1.8315)</f>
        <v>0</v>
      </c>
      <c r="AY28" s="32">
        <f>IF(LPG!H35-LPG!H34&lt;0,"0",(LPG!H35-LPG!H34)*1.8315)</f>
        <v>0</v>
      </c>
      <c r="AZ28" s="32">
        <f>IF(LPG!J35-LPG!J34&lt;0,"0",(LPG!J35-LPG!J34)*1.8315)</f>
        <v>0</v>
      </c>
      <c r="BA28" s="32">
        <f>IF(LPG!M35-LPG!M34&lt;0,"0",(LPG!M35-LPG!M34)*1.8315)</f>
        <v>0</v>
      </c>
      <c r="BB28" s="32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8" t="s">
        <v>11</v>
      </c>
      <c r="B29" s="15">
        <f t="shared" si="0"/>
        <v>28</v>
      </c>
      <c r="C29" s="18">
        <v>5</v>
      </c>
      <c r="D29" s="28">
        <v>2020</v>
      </c>
      <c r="E29" s="32">
        <f>'FS Desroches Daily'!D31</f>
        <v>0</v>
      </c>
      <c r="F29" s="33">
        <f>'FS Desroches Daily'!F31</f>
        <v>0</v>
      </c>
      <c r="G29" s="32">
        <f>'FS Desroches Daily'!H31</f>
        <v>0</v>
      </c>
      <c r="H29" s="33">
        <f>'FS Desroches Daily'!J31</f>
        <v>0</v>
      </c>
      <c r="I29" s="32">
        <f>'FS Desroches Daily'!L31</f>
        <v>0</v>
      </c>
      <c r="J29" s="33">
        <f>'FS Desroches Daily'!N31</f>
        <v>0</v>
      </c>
      <c r="K29" s="13">
        <f>'FS Desroches Daily'!P31</f>
        <v>0</v>
      </c>
      <c r="L29" s="32">
        <f>'FS Desroches Daily'!R31</f>
        <v>0</v>
      </c>
      <c r="M29" s="32">
        <f>'FS Desroches Daily'!T31</f>
        <v>0</v>
      </c>
      <c r="N29" s="32">
        <f>'FS Desroches Daily'!V31</f>
        <v>0</v>
      </c>
      <c r="O29" s="32">
        <f>'FS Desroches Daily'!X31</f>
        <v>0</v>
      </c>
      <c r="P29" s="32">
        <f>'FS Desroches Daily'!Z31</f>
        <v>0</v>
      </c>
      <c r="Q29" s="32">
        <f>'FS Desroches Daily'!AB31</f>
        <v>0</v>
      </c>
      <c r="R29" s="32">
        <f>'FS Desroches Daily'!AD31</f>
        <v>0</v>
      </c>
      <c r="S29" s="32">
        <f>'FS Desroches Daily'!AF31</f>
        <v>0</v>
      </c>
      <c r="T29" s="32">
        <f>'FS Desroches Daily'!AH31</f>
        <v>0</v>
      </c>
      <c r="U29" s="36">
        <f>'FS Desroches Daily'!AJ31</f>
        <v>0</v>
      </c>
      <c r="V29" s="36">
        <f>'FS Desroches Daily'!AL31</f>
        <v>0</v>
      </c>
      <c r="W29" s="36">
        <f>'FS Desroches Daily'!AN31</f>
        <v>0</v>
      </c>
      <c r="X29" s="36">
        <f>'FS Desroches Daily'!AP31</f>
        <v>0</v>
      </c>
      <c r="Y29" s="36">
        <f>'FS Desroches Daily'!AR31</f>
        <v>0</v>
      </c>
      <c r="Z29" s="36">
        <f>'FS Desroches Daily'!AT31</f>
        <v>0</v>
      </c>
      <c r="AA29" s="36">
        <f>'FS Desroches Daily'!AT31</f>
        <v>0</v>
      </c>
      <c r="AB29" s="36">
        <f>'FS Desroches Daily'!AV31</f>
        <v>0</v>
      </c>
      <c r="AC29" s="36">
        <f>'FS Desroches Daily'!AZ31</f>
        <v>0</v>
      </c>
      <c r="AD29" s="36">
        <f>'FS Desroches Daily'!BB31</f>
        <v>0</v>
      </c>
      <c r="AE29" s="36">
        <f>'FS Desroches Daily'!BD31</f>
        <v>0</v>
      </c>
      <c r="AF29" s="32">
        <f>'FS Desroches Daily'!BF31</f>
        <v>0</v>
      </c>
      <c r="AG29" s="33">
        <f>'FS Desroches Daily'!BH31</f>
        <v>0</v>
      </c>
      <c r="AH29" s="33">
        <f>'FS Desroches Daily'!BJ31</f>
        <v>0</v>
      </c>
      <c r="AI29" s="33">
        <f>'FS Desroches Daily'!BL31</f>
        <v>0</v>
      </c>
      <c r="AJ29" s="33">
        <f>'FS Desroches Daily'!BN31</f>
        <v>0</v>
      </c>
      <c r="AK29" s="33">
        <f>'FS Desroches Daily'!BP31</f>
        <v>0</v>
      </c>
      <c r="AL29" s="33">
        <f>'FS Desroches Daily'!BR31</f>
        <v>0</v>
      </c>
      <c r="AM29" s="33">
        <f>'FS Desroches Daily'!BT31</f>
        <v>0</v>
      </c>
      <c r="AN29" s="33">
        <f>'FS Desroches Daily'!BV31</f>
        <v>0</v>
      </c>
      <c r="AO29" s="33">
        <f>'FS Desroches Daily'!BX31</f>
        <v>0</v>
      </c>
      <c r="AP29" s="33">
        <f>'FS Desroches Daily'!BZ31</f>
        <v>0</v>
      </c>
      <c r="AQ29" s="32">
        <f>'FS Desroches Daily'!CB31</f>
        <v>0</v>
      </c>
      <c r="AR29" s="32">
        <f>'FS Desroches Daily'!CD31</f>
        <v>0</v>
      </c>
      <c r="AS29" s="32">
        <f>'FS Desroches Daily'!CF31</f>
        <v>0</v>
      </c>
      <c r="AT29" s="32">
        <f>'FS Desroches Daily'!CH31</f>
        <v>0</v>
      </c>
      <c r="AU29" s="32">
        <f>'FS Desroches Daily'!CJ31</f>
        <v>0</v>
      </c>
      <c r="AV29" s="32">
        <f>'FS Desroches Daily'!CL31</f>
        <v>0</v>
      </c>
      <c r="AW29" s="32">
        <f>'FS Desroches Daily'!CM31</f>
        <v>0</v>
      </c>
      <c r="AX29" s="32">
        <f>IF(LPG!F36-LPG!F35&lt;0,"0",(LPG!F36-LPG!F35)*1.8315)</f>
        <v>0</v>
      </c>
      <c r="AY29" s="32">
        <f>IF(LPG!H36-LPG!H35&lt;0,"0",(LPG!H36-LPG!H35)*1.8315)</f>
        <v>0</v>
      </c>
      <c r="AZ29" s="32">
        <f>IF(LPG!J36-LPG!J35&lt;0,"0",(LPG!J36-LPG!J35)*1.8315)</f>
        <v>0</v>
      </c>
      <c r="BA29" s="32">
        <f>IF(LPG!M36-LPG!M35&lt;0,"0",(LPG!M36-LPG!M35)*1.8315)</f>
        <v>0</v>
      </c>
      <c r="BB29" s="32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8" t="s">
        <v>11</v>
      </c>
      <c r="B30" s="15">
        <f t="shared" si="0"/>
        <v>29</v>
      </c>
      <c r="C30" s="18">
        <v>5</v>
      </c>
      <c r="D30" s="28">
        <v>2020</v>
      </c>
      <c r="E30" s="32">
        <f>'FS Desroches Daily'!D32</f>
        <v>0</v>
      </c>
      <c r="F30" s="33">
        <f>'FS Desroches Daily'!F32</f>
        <v>0</v>
      </c>
      <c r="G30" s="32">
        <f>'FS Desroches Daily'!H32</f>
        <v>0</v>
      </c>
      <c r="H30" s="33">
        <f>'FS Desroches Daily'!J32</f>
        <v>0</v>
      </c>
      <c r="I30" s="32">
        <f>'FS Desroches Daily'!L32</f>
        <v>0</v>
      </c>
      <c r="J30" s="33">
        <f>'FS Desroches Daily'!N32</f>
        <v>0</v>
      </c>
      <c r="K30" s="13">
        <f>'FS Desroches Daily'!P32</f>
        <v>0</v>
      </c>
      <c r="L30" s="32">
        <f>'FS Desroches Daily'!R32</f>
        <v>0</v>
      </c>
      <c r="M30" s="32">
        <f>'FS Desroches Daily'!T32</f>
        <v>0</v>
      </c>
      <c r="N30" s="32">
        <f>'FS Desroches Daily'!V32</f>
        <v>0</v>
      </c>
      <c r="O30" s="32">
        <f>'FS Desroches Daily'!X32</f>
        <v>0</v>
      </c>
      <c r="P30" s="32">
        <f>'FS Desroches Daily'!Z32</f>
        <v>0</v>
      </c>
      <c r="Q30" s="32">
        <f>'FS Desroches Daily'!AB32</f>
        <v>0</v>
      </c>
      <c r="R30" s="32">
        <f>'FS Desroches Daily'!AD32</f>
        <v>0</v>
      </c>
      <c r="S30" s="32">
        <f>'FS Desroches Daily'!AF32</f>
        <v>0</v>
      </c>
      <c r="T30" s="32">
        <f>'FS Desroches Daily'!AH32</f>
        <v>0</v>
      </c>
      <c r="U30" s="36">
        <f>'FS Desroches Daily'!AJ32</f>
        <v>0</v>
      </c>
      <c r="V30" s="36">
        <f>'FS Desroches Daily'!AL32</f>
        <v>0</v>
      </c>
      <c r="W30" s="36">
        <f>'FS Desroches Daily'!AN32</f>
        <v>0</v>
      </c>
      <c r="X30" s="36">
        <f>'FS Desroches Daily'!AP32</f>
        <v>0</v>
      </c>
      <c r="Y30" s="36">
        <f>'FS Desroches Daily'!AR32</f>
        <v>0</v>
      </c>
      <c r="Z30" s="36">
        <f>'FS Desroches Daily'!AT32</f>
        <v>0</v>
      </c>
      <c r="AA30" s="36">
        <f>'FS Desroches Daily'!AT32</f>
        <v>0</v>
      </c>
      <c r="AB30" s="36">
        <f>'FS Desroches Daily'!AV32</f>
        <v>0</v>
      </c>
      <c r="AC30" s="36">
        <f>'FS Desroches Daily'!AZ32</f>
        <v>0</v>
      </c>
      <c r="AD30" s="36">
        <f>'FS Desroches Daily'!BB32</f>
        <v>0</v>
      </c>
      <c r="AE30" s="36">
        <f>'FS Desroches Daily'!BD32</f>
        <v>0</v>
      </c>
      <c r="AF30" s="32">
        <f>'FS Desroches Daily'!BF32</f>
        <v>0</v>
      </c>
      <c r="AG30" s="33">
        <f>'FS Desroches Daily'!BH32</f>
        <v>0</v>
      </c>
      <c r="AH30" s="33">
        <f>'FS Desroches Daily'!BJ32</f>
        <v>0</v>
      </c>
      <c r="AI30" s="33">
        <f>'FS Desroches Daily'!BL32</f>
        <v>0</v>
      </c>
      <c r="AJ30" s="33">
        <f>'FS Desroches Daily'!BN32</f>
        <v>0</v>
      </c>
      <c r="AK30" s="33">
        <f>'FS Desroches Daily'!BP32</f>
        <v>0</v>
      </c>
      <c r="AL30" s="33">
        <f>'FS Desroches Daily'!BR32</f>
        <v>0</v>
      </c>
      <c r="AM30" s="33">
        <f>'FS Desroches Daily'!BT32</f>
        <v>0</v>
      </c>
      <c r="AN30" s="33">
        <f>'FS Desroches Daily'!BV32</f>
        <v>0</v>
      </c>
      <c r="AO30" s="33">
        <f>'FS Desroches Daily'!BX32</f>
        <v>0</v>
      </c>
      <c r="AP30" s="33">
        <f>'FS Desroches Daily'!BZ32</f>
        <v>0</v>
      </c>
      <c r="AQ30" s="32">
        <f>'FS Desroches Daily'!CB32</f>
        <v>0</v>
      </c>
      <c r="AR30" s="32">
        <f>'FS Desroches Daily'!CD32</f>
        <v>0</v>
      </c>
      <c r="AS30" s="32">
        <f>'FS Desroches Daily'!CF32</f>
        <v>0</v>
      </c>
      <c r="AT30" s="32">
        <f>'FS Desroches Daily'!CH32</f>
        <v>0</v>
      </c>
      <c r="AU30" s="32">
        <f>'FS Desroches Daily'!CJ32</f>
        <v>0</v>
      </c>
      <c r="AV30" s="32">
        <f>'FS Desroches Daily'!CL32</f>
        <v>0</v>
      </c>
      <c r="AW30" s="32">
        <f>'FS Desroches Daily'!CM32</f>
        <v>0</v>
      </c>
      <c r="AX30" s="32">
        <f>IF(LPG!F37-LPG!F36&lt;0,"0",(LPG!F37-LPG!F36)*1.8315)</f>
        <v>0</v>
      </c>
      <c r="AY30" s="32">
        <f>IF(LPG!H37-LPG!H36&lt;0,"0",(LPG!H37-LPG!H36)*1.8315)</f>
        <v>0</v>
      </c>
      <c r="AZ30" s="32">
        <f>IF(LPG!J37-LPG!J36&lt;0,"0",(LPG!J37-LPG!J36)*1.8315)</f>
        <v>0</v>
      </c>
      <c r="BA30" s="32">
        <f>IF(LPG!M37-LPG!M36&lt;0,"0",(LPG!M37-LPG!M36)*1.8315)</f>
        <v>0</v>
      </c>
      <c r="BB30" s="32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8" t="s">
        <v>11</v>
      </c>
      <c r="B31" s="15">
        <f t="shared" si="0"/>
        <v>30</v>
      </c>
      <c r="C31" s="18">
        <v>5</v>
      </c>
      <c r="D31" s="28">
        <v>2020</v>
      </c>
      <c r="E31" s="32">
        <f>'FS Desroches Daily'!D33</f>
        <v>0</v>
      </c>
      <c r="F31" s="33">
        <f>'FS Desroches Daily'!F33</f>
        <v>0</v>
      </c>
      <c r="G31" s="32">
        <f>'FS Desroches Daily'!H33</f>
        <v>0</v>
      </c>
      <c r="H31" s="33">
        <f>'FS Desroches Daily'!J33</f>
        <v>0</v>
      </c>
      <c r="I31" s="32">
        <f>'FS Desroches Daily'!L33</f>
        <v>0</v>
      </c>
      <c r="J31" s="33">
        <f>'FS Desroches Daily'!N33</f>
        <v>0</v>
      </c>
      <c r="K31" s="13">
        <f>'FS Desroches Daily'!P33</f>
        <v>0</v>
      </c>
      <c r="L31" s="32">
        <f>'FS Desroches Daily'!R33</f>
        <v>0</v>
      </c>
      <c r="M31" s="32">
        <f>'FS Desroches Daily'!T33</f>
        <v>0</v>
      </c>
      <c r="N31" s="32">
        <f>'FS Desroches Daily'!V33</f>
        <v>0</v>
      </c>
      <c r="O31" s="32">
        <f>'FS Desroches Daily'!X33</f>
        <v>0</v>
      </c>
      <c r="P31" s="32">
        <f>'FS Desroches Daily'!Z33</f>
        <v>0</v>
      </c>
      <c r="Q31" s="32">
        <f>'FS Desroches Daily'!AB33</f>
        <v>0</v>
      </c>
      <c r="R31" s="32">
        <f>'FS Desroches Daily'!AD33</f>
        <v>0</v>
      </c>
      <c r="S31" s="32">
        <f>'FS Desroches Daily'!AF33</f>
        <v>0</v>
      </c>
      <c r="T31" s="32">
        <f>'FS Desroches Daily'!AH33</f>
        <v>0</v>
      </c>
      <c r="U31" s="36">
        <f>'FS Desroches Daily'!AJ33</f>
        <v>0</v>
      </c>
      <c r="V31" s="36">
        <f>'FS Desroches Daily'!AL33</f>
        <v>0</v>
      </c>
      <c r="W31" s="36">
        <f>'FS Desroches Daily'!AN33</f>
        <v>0</v>
      </c>
      <c r="X31" s="36">
        <f>'FS Desroches Daily'!AP33</f>
        <v>0</v>
      </c>
      <c r="Y31" s="36">
        <f>'FS Desroches Daily'!AR33</f>
        <v>0</v>
      </c>
      <c r="Z31" s="36">
        <f>'FS Desroches Daily'!AT33</f>
        <v>0</v>
      </c>
      <c r="AA31" s="36">
        <f>'FS Desroches Daily'!AT33</f>
        <v>0</v>
      </c>
      <c r="AB31" s="36">
        <f>'FS Desroches Daily'!AV33</f>
        <v>0</v>
      </c>
      <c r="AC31" s="36">
        <f>'FS Desroches Daily'!AZ33</f>
        <v>0</v>
      </c>
      <c r="AD31" s="36">
        <f>'FS Desroches Daily'!BB33</f>
        <v>0</v>
      </c>
      <c r="AE31" s="36">
        <f>'FS Desroches Daily'!BD33</f>
        <v>0</v>
      </c>
      <c r="AF31" s="32">
        <f>'FS Desroches Daily'!BF33</f>
        <v>0</v>
      </c>
      <c r="AG31" s="33">
        <f>'FS Desroches Daily'!BH33</f>
        <v>0</v>
      </c>
      <c r="AH31" s="33">
        <f>'FS Desroches Daily'!BJ33</f>
        <v>0</v>
      </c>
      <c r="AI31" s="33">
        <f>'FS Desroches Daily'!BL33</f>
        <v>0</v>
      </c>
      <c r="AJ31" s="33">
        <f>'FS Desroches Daily'!BN33</f>
        <v>0</v>
      </c>
      <c r="AK31" s="33">
        <f>'FS Desroches Daily'!BP33</f>
        <v>0</v>
      </c>
      <c r="AL31" s="33">
        <f>'FS Desroches Daily'!BR33</f>
        <v>0</v>
      </c>
      <c r="AM31" s="33">
        <f>'FS Desroches Daily'!BT33</f>
        <v>0</v>
      </c>
      <c r="AN31" s="33">
        <f>'FS Desroches Daily'!BV33</f>
        <v>0</v>
      </c>
      <c r="AO31" s="33">
        <f>'FS Desroches Daily'!BX33</f>
        <v>0</v>
      </c>
      <c r="AP31" s="33">
        <f>'FS Desroches Daily'!BZ33</f>
        <v>0</v>
      </c>
      <c r="AQ31" s="32">
        <f>'FS Desroches Daily'!CB33</f>
        <v>0</v>
      </c>
      <c r="AR31" s="32">
        <f>'FS Desroches Daily'!CD33</f>
        <v>0</v>
      </c>
      <c r="AS31" s="32">
        <f>'FS Desroches Daily'!CF33</f>
        <v>0</v>
      </c>
      <c r="AT31" s="32">
        <f>'FS Desroches Daily'!CH33</f>
        <v>0</v>
      </c>
      <c r="AU31" s="32">
        <f>'FS Desroches Daily'!CJ33</f>
        <v>0</v>
      </c>
      <c r="AV31" s="32">
        <f>'FS Desroches Daily'!CL33</f>
        <v>0</v>
      </c>
      <c r="AW31" s="32">
        <f>'FS Desroches Daily'!CM33</f>
        <v>0</v>
      </c>
      <c r="AX31" s="32">
        <f>IF(LPG!F38-LPG!F37&lt;0,"0",(LPG!F38-LPG!F37)*1.8315)</f>
        <v>0</v>
      </c>
      <c r="AY31" s="32">
        <f>IF(LPG!H38-LPG!H37&lt;0,"0",(LPG!H38-LPG!H37)*1.8315)</f>
        <v>0</v>
      </c>
      <c r="AZ31" s="32">
        <f>IF(LPG!J38-LPG!J37&lt;0,"0",(LPG!J38-LPG!J37)*1.8315)</f>
        <v>0</v>
      </c>
      <c r="BA31" s="32">
        <f>IF(LPG!M38-LPG!M37&lt;0,"0",(LPG!M38-LPG!M37)*1.8315)</f>
        <v>0</v>
      </c>
      <c r="BB31" s="32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8" t="s">
        <v>11</v>
      </c>
      <c r="B32" s="15">
        <f t="shared" si="0"/>
        <v>31</v>
      </c>
      <c r="C32" s="18">
        <v>5</v>
      </c>
      <c r="D32" s="28">
        <v>2020</v>
      </c>
      <c r="E32" s="32">
        <f>'FS Desroches Daily'!D34</f>
        <v>0</v>
      </c>
      <c r="F32" s="33">
        <f>'FS Desroches Daily'!F34</f>
        <v>0</v>
      </c>
      <c r="G32" s="32">
        <f>'FS Desroches Daily'!H34</f>
        <v>0</v>
      </c>
      <c r="H32" s="33">
        <f>'FS Desroches Daily'!J34</f>
        <v>0</v>
      </c>
      <c r="I32" s="32">
        <f>'FS Desroches Daily'!L34</f>
        <v>0</v>
      </c>
      <c r="J32" s="33">
        <f>'FS Desroches Daily'!N34</f>
        <v>0</v>
      </c>
      <c r="K32" s="13">
        <f>'FS Desroches Daily'!P34</f>
        <v>0</v>
      </c>
      <c r="L32" s="32">
        <f>'FS Desroches Daily'!R34</f>
        <v>0</v>
      </c>
      <c r="M32" s="32">
        <f>'FS Desroches Daily'!T34</f>
        <v>0</v>
      </c>
      <c r="N32" s="32">
        <f>'FS Desroches Daily'!V34</f>
        <v>0</v>
      </c>
      <c r="O32" s="32">
        <f>'FS Desroches Daily'!X34</f>
        <v>0</v>
      </c>
      <c r="P32" s="32">
        <f>'FS Desroches Daily'!Z34</f>
        <v>0</v>
      </c>
      <c r="Q32" s="32">
        <f>'FS Desroches Daily'!AB34</f>
        <v>0</v>
      </c>
      <c r="R32" s="32">
        <f>'FS Desroches Daily'!AD34</f>
        <v>0</v>
      </c>
      <c r="S32" s="32">
        <f>'FS Desroches Daily'!AF34</f>
        <v>0</v>
      </c>
      <c r="T32" s="32">
        <f>'FS Desroches Daily'!AH34</f>
        <v>0</v>
      </c>
      <c r="U32" s="36">
        <f>'FS Desroches Daily'!AJ34</f>
        <v>0</v>
      </c>
      <c r="V32" s="36">
        <f>'FS Desroches Daily'!AL34</f>
        <v>0</v>
      </c>
      <c r="W32" s="36">
        <f>'FS Desroches Daily'!AN34</f>
        <v>0</v>
      </c>
      <c r="X32" s="36">
        <f>'FS Desroches Daily'!AP34</f>
        <v>0</v>
      </c>
      <c r="Y32" s="36">
        <f>'FS Desroches Daily'!AR34</f>
        <v>0</v>
      </c>
      <c r="Z32" s="36">
        <f>'FS Desroches Daily'!AT34</f>
        <v>0</v>
      </c>
      <c r="AA32" s="36">
        <f>'FS Desroches Daily'!AT34</f>
        <v>0</v>
      </c>
      <c r="AB32" s="36">
        <f>'FS Desroches Daily'!AV34</f>
        <v>0</v>
      </c>
      <c r="AC32" s="36">
        <f>'FS Desroches Daily'!AZ34</f>
        <v>0</v>
      </c>
      <c r="AD32" s="36">
        <f>'FS Desroches Daily'!BB34</f>
        <v>0</v>
      </c>
      <c r="AE32" s="36">
        <f>'FS Desroches Daily'!BD34</f>
        <v>0</v>
      </c>
      <c r="AF32" s="32">
        <f>'FS Desroches Daily'!BF34</f>
        <v>0</v>
      </c>
      <c r="AG32" s="33">
        <f>'FS Desroches Daily'!BH34</f>
        <v>0</v>
      </c>
      <c r="AH32" s="33">
        <f>'FS Desroches Daily'!BJ34</f>
        <v>0</v>
      </c>
      <c r="AI32" s="33">
        <f>'FS Desroches Daily'!BL34</f>
        <v>0</v>
      </c>
      <c r="AJ32" s="33">
        <f>'FS Desroches Daily'!BN34</f>
        <v>0</v>
      </c>
      <c r="AK32" s="33">
        <f>'FS Desroches Daily'!BP34</f>
        <v>0</v>
      </c>
      <c r="AL32" s="33">
        <f>'FS Desroches Daily'!BR34</f>
        <v>0</v>
      </c>
      <c r="AM32" s="33">
        <f>'FS Desroches Daily'!BT34</f>
        <v>0</v>
      </c>
      <c r="AN32" s="33">
        <f>'FS Desroches Daily'!BV34</f>
        <v>0</v>
      </c>
      <c r="AO32" s="33">
        <f>'FS Desroches Daily'!BX34</f>
        <v>0</v>
      </c>
      <c r="AP32" s="33">
        <f>'FS Desroches Daily'!BZ34</f>
        <v>0</v>
      </c>
      <c r="AQ32" s="32">
        <f>'FS Desroches Daily'!CB34</f>
        <v>0</v>
      </c>
      <c r="AR32" s="32">
        <f>'FS Desroches Daily'!CD34</f>
        <v>0</v>
      </c>
      <c r="AS32" s="32">
        <f>'FS Desroches Daily'!CF34</f>
        <v>0</v>
      </c>
      <c r="AT32" s="32">
        <f>'FS Desroches Daily'!CH34</f>
        <v>0</v>
      </c>
      <c r="AU32" s="32">
        <f>'FS Desroches Daily'!CJ34</f>
        <v>0</v>
      </c>
      <c r="AV32" s="32">
        <f>'FS Desroches Daily'!CL34</f>
        <v>0</v>
      </c>
      <c r="AW32" s="32">
        <f>'FS Desroches Daily'!CM34</f>
        <v>0</v>
      </c>
      <c r="AX32" s="32">
        <f>IF(LPG!F39-LPG!F38&lt;0,"0",(LPG!F39-LPG!F38)*1.8315)</f>
        <v>0</v>
      </c>
      <c r="AY32" s="32">
        <f>IF(LPG!H39-LPG!H38&lt;0,"0",(LPG!H39-LPG!H38)*1.8315)</f>
        <v>0</v>
      </c>
      <c r="AZ32" s="32">
        <f>IF(LPG!J39-LPG!J38&lt;0,"0",(LPG!J39-LPG!J38)*1.8315)</f>
        <v>0</v>
      </c>
      <c r="BA32" s="32">
        <f>IF(LPG!M39-LPG!M38&lt;0,"0",(LPG!M39-LPG!M38)*1.8315)</f>
        <v>0</v>
      </c>
      <c r="BB32" s="32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6">
        <f>SUM(E2:E32)</f>
        <v>13000.000000000122</v>
      </c>
      <c r="F33" s="17">
        <f t="shared" ref="F33:BC33" si="1">SUM(F2:F32)</f>
        <v>7800.0000000000291</v>
      </c>
      <c r="G33" s="17">
        <f t="shared" si="1"/>
        <v>14600.000000000167</v>
      </c>
      <c r="H33" s="17">
        <f t="shared" si="1"/>
        <v>10099.999999999998</v>
      </c>
      <c r="I33" s="17">
        <f t="shared" si="1"/>
        <v>18600.000000000175</v>
      </c>
      <c r="J33" s="17">
        <f t="shared" si="1"/>
        <v>8799.99999999992</v>
      </c>
      <c r="K33" s="17">
        <f t="shared" si="1"/>
        <v>20</v>
      </c>
      <c r="L33" s="17">
        <f t="shared" si="1"/>
        <v>47</v>
      </c>
      <c r="M33" s="17">
        <f t="shared" si="1"/>
        <v>1771</v>
      </c>
      <c r="N33" s="17">
        <f t="shared" si="1"/>
        <v>1150</v>
      </c>
      <c r="O33" s="17">
        <f t="shared" si="1"/>
        <v>1720.0000000000273</v>
      </c>
      <c r="P33" s="17">
        <f t="shared" si="1"/>
        <v>5100.0000000001046</v>
      </c>
      <c r="Q33" s="17">
        <f t="shared" si="1"/>
        <v>829.99999999998408</v>
      </c>
      <c r="R33" s="17">
        <f t="shared" si="1"/>
        <v>2600.0000000000227</v>
      </c>
      <c r="S33" s="17">
        <f t="shared" si="1"/>
        <v>4539.9999999999636</v>
      </c>
      <c r="T33" s="17">
        <f t="shared" si="1"/>
        <v>11.399999999999864</v>
      </c>
      <c r="U33" s="36">
        <f t="shared" si="1"/>
        <v>2360.0000000000136</v>
      </c>
      <c r="V33" s="36">
        <f t="shared" si="1"/>
        <v>1.3899999999999864</v>
      </c>
      <c r="W33" s="36">
        <f t="shared" si="1"/>
        <v>1.0500000000000114</v>
      </c>
      <c r="X33" s="36">
        <f t="shared" si="1"/>
        <v>1.0200000000000102</v>
      </c>
      <c r="Y33" s="36">
        <f t="shared" si="1"/>
        <v>830.00000000001251</v>
      </c>
      <c r="Z33" s="36">
        <f t="shared" si="1"/>
        <v>870.00000000000455</v>
      </c>
      <c r="AA33" s="36">
        <f t="shared" si="1"/>
        <v>870.00000000000455</v>
      </c>
      <c r="AB33" s="36">
        <f t="shared" si="1"/>
        <v>819.99999999999318</v>
      </c>
      <c r="AC33" s="36">
        <f t="shared" si="1"/>
        <v>810.00000000000227</v>
      </c>
      <c r="AD33" s="36">
        <f t="shared" si="1"/>
        <v>699.99999999998863</v>
      </c>
      <c r="AE33" s="36">
        <f t="shared" si="1"/>
        <v>90.000000000003411</v>
      </c>
      <c r="AF33" s="17">
        <f t="shared" si="1"/>
        <v>280</v>
      </c>
      <c r="AG33" s="33">
        <f t="shared" si="1"/>
        <v>280.00000000000114</v>
      </c>
      <c r="AH33" s="33">
        <f t="shared" si="1"/>
        <v>310.00000000000227</v>
      </c>
      <c r="AI33" s="33">
        <f t="shared" si="1"/>
        <v>269.99999999998181</v>
      </c>
      <c r="AJ33" s="33">
        <f t="shared" si="1"/>
        <v>329.99999999998408</v>
      </c>
      <c r="AK33" s="33">
        <f t="shared" si="1"/>
        <v>389.99999999998636</v>
      </c>
      <c r="AL33" s="33">
        <f t="shared" si="1"/>
        <v>202</v>
      </c>
      <c r="AM33" s="33">
        <f t="shared" si="1"/>
        <v>210.00000000000796</v>
      </c>
      <c r="AN33" s="33">
        <f t="shared" si="1"/>
        <v>201</v>
      </c>
      <c r="AO33" s="33">
        <f t="shared" si="1"/>
        <v>280.00000000000114</v>
      </c>
      <c r="AP33" s="33">
        <f t="shared" si="1"/>
        <v>301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498.30000000000291</v>
      </c>
      <c r="AU33" s="17">
        <f t="shared" si="1"/>
        <v>1839</v>
      </c>
      <c r="AV33" s="17">
        <f t="shared" si="1"/>
        <v>3339.9999999999181</v>
      </c>
      <c r="AW33" s="17">
        <f t="shared" si="1"/>
        <v>248.3</v>
      </c>
      <c r="AX33" s="17">
        <f t="shared" si="1"/>
        <v>0</v>
      </c>
      <c r="AY33" s="17">
        <f t="shared" si="1"/>
        <v>0</v>
      </c>
      <c r="AZ33" s="17">
        <f t="shared" si="1"/>
        <v>0</v>
      </c>
      <c r="BA33" s="17">
        <f t="shared" si="1"/>
        <v>0</v>
      </c>
      <c r="BB33" s="17">
        <f t="shared" si="1"/>
        <v>58.607999999999997</v>
      </c>
      <c r="BC33" s="17">
        <f t="shared" si="1"/>
        <v>0</v>
      </c>
    </row>
    <row r="35" spans="5:55" x14ac:dyDescent="0.25">
      <c r="E35" s="39">
        <f>E33/E37</f>
        <v>0.28610414190765554</v>
      </c>
      <c r="G35" s="30">
        <f>G33-M36</f>
        <v>11679.000000000167</v>
      </c>
      <c r="AE35" s="36">
        <f>SUM(U33:AE33)</f>
        <v>7353.4600000000228</v>
      </c>
      <c r="AG35" s="33">
        <f>SUM(AG33:AP33)</f>
        <v>2773.9999999999645</v>
      </c>
    </row>
    <row r="36" spans="5:55" x14ac:dyDescent="0.25">
      <c r="G36" s="30">
        <f>G35-633*14</f>
        <v>2817.0000000001673</v>
      </c>
      <c r="M36" s="30">
        <f>M33+N33</f>
        <v>2921</v>
      </c>
    </row>
    <row r="37" spans="5:55" x14ac:dyDescent="0.25">
      <c r="E37" s="17">
        <f>E33+F33+G33+H33+J33-633*14</f>
        <v>45438.00000000024</v>
      </c>
      <c r="G37" s="38">
        <f>M36/E37</f>
        <v>6.4285399885558009E-2</v>
      </c>
      <c r="M37" s="36">
        <f>AE35</f>
        <v>7353.4600000000228</v>
      </c>
    </row>
    <row r="38" spans="5:55" x14ac:dyDescent="0.25">
      <c r="L38" s="28">
        <f>M38/E37</f>
        <v>6.1050222280909151E-2</v>
      </c>
      <c r="M38" s="30">
        <f>AG35</f>
        <v>2773.9999999999645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8"/>
  <sheetViews>
    <sheetView tabSelected="1" topLeftCell="AP1" zoomScale="60" zoomScaleNormal="60" workbookViewId="0">
      <pane ySplit="1" topLeftCell="A2" activePane="bottomLeft" state="frozen"/>
      <selection pane="bottomLeft" activeCell="BE12" sqref="BE12"/>
    </sheetView>
  </sheetViews>
  <sheetFormatPr defaultRowHeight="18.75" x14ac:dyDescent="0.3"/>
  <cols>
    <col min="1" max="1" width="14" style="59" customWidth="1"/>
    <col min="2" max="2" width="2" style="59" customWidth="1"/>
    <col min="3" max="3" width="11.85546875" style="63" customWidth="1"/>
    <col min="4" max="4" width="18.42578125" style="71" customWidth="1"/>
    <col min="5" max="5" width="13.7109375" style="59" customWidth="1"/>
    <col min="6" max="6" width="13.85546875" style="72" customWidth="1"/>
    <col min="7" max="7" width="14.7109375" style="63" customWidth="1"/>
    <col min="8" max="8" width="14.5703125" style="63" customWidth="1"/>
    <col min="9" max="9" width="13.42578125" style="59" customWidth="1"/>
    <col min="10" max="10" width="13.42578125" style="63" customWidth="1"/>
    <col min="11" max="11" width="13.42578125" style="59" customWidth="1"/>
    <col min="12" max="12" width="13.42578125" style="63" customWidth="1"/>
    <col min="13" max="13" width="13.42578125" style="59" customWidth="1"/>
    <col min="14" max="16" width="13.42578125" style="73" customWidth="1"/>
    <col min="17" max="17" width="13.42578125" style="59" customWidth="1"/>
    <col min="18" max="18" width="13.42578125" style="73" customWidth="1"/>
    <col min="19" max="19" width="13.42578125" style="59" customWidth="1"/>
    <col min="20" max="20" width="13.42578125" style="73" customWidth="1"/>
    <col min="21" max="21" width="13.42578125" style="59" customWidth="1"/>
    <col min="22" max="22" width="13.42578125" style="73" customWidth="1"/>
    <col min="23" max="23" width="13.42578125" style="59" customWidth="1"/>
    <col min="24" max="24" width="13.42578125" style="73" customWidth="1"/>
    <col min="25" max="25" width="13.42578125" style="59" customWidth="1"/>
    <col min="26" max="26" width="13.42578125" style="73" customWidth="1"/>
    <col min="27" max="27" width="14.42578125" style="59" customWidth="1"/>
    <col min="28" max="28" width="10.5703125" style="73" customWidth="1"/>
    <col min="29" max="29" width="13.42578125" style="59" customWidth="1"/>
    <col min="30" max="30" width="11" style="73" customWidth="1"/>
    <col min="31" max="31" width="13.42578125" style="59" customWidth="1"/>
    <col min="32" max="32" width="13.42578125" style="73" customWidth="1"/>
    <col min="33" max="33" width="11.85546875" style="59" customWidth="1"/>
    <col min="34" max="34" width="9.5703125" style="73" customWidth="1"/>
    <col min="35" max="35" width="13.140625" style="59" customWidth="1"/>
    <col min="36" max="36" width="12.5703125" style="73" customWidth="1"/>
    <col min="37" max="37" width="13.42578125" style="59" customWidth="1"/>
    <col min="38" max="38" width="16" style="73" customWidth="1"/>
    <col min="39" max="39" width="13.42578125" style="63" customWidth="1"/>
    <col min="40" max="40" width="13.42578125" style="73" customWidth="1"/>
    <col min="41" max="41" width="13.42578125" style="63" customWidth="1"/>
    <col min="42" max="42" width="13.42578125" style="73" customWidth="1"/>
    <col min="43" max="43" width="13.42578125" style="63" customWidth="1"/>
    <col min="44" max="44" width="13.42578125" style="73" customWidth="1"/>
    <col min="45" max="45" width="13.42578125" style="63" customWidth="1"/>
    <col min="46" max="46" width="13.42578125" style="73" customWidth="1"/>
    <col min="47" max="47" width="13.42578125" style="63" customWidth="1"/>
    <col min="48" max="48" width="13.42578125" style="73" customWidth="1"/>
    <col min="49" max="49" width="13.42578125" style="63" customWidth="1"/>
    <col min="50" max="50" width="13.42578125" style="73" customWidth="1"/>
    <col min="51" max="51" width="13.42578125" style="63" customWidth="1"/>
    <col min="52" max="52" width="13.42578125" style="73" customWidth="1"/>
    <col min="53" max="53" width="13.42578125" style="63" customWidth="1"/>
    <col min="54" max="54" width="13.42578125" style="73" customWidth="1"/>
    <col min="55" max="55" width="13.42578125" style="63" customWidth="1"/>
    <col min="56" max="56" width="13.42578125" style="73" customWidth="1"/>
    <col min="57" max="57" width="13.42578125" style="63" customWidth="1"/>
    <col min="58" max="58" width="13.42578125" style="73" customWidth="1"/>
    <col min="59" max="59" width="13.42578125" style="63" customWidth="1"/>
    <col min="60" max="60" width="13.42578125" style="73" customWidth="1"/>
    <col min="61" max="61" width="13.42578125" style="63" customWidth="1"/>
    <col min="62" max="62" width="13.42578125" style="73" customWidth="1"/>
    <col min="63" max="63" width="13.42578125" style="63" customWidth="1"/>
    <col min="64" max="64" width="13.42578125" style="73" customWidth="1"/>
    <col min="65" max="65" width="13.42578125" style="63" customWidth="1"/>
    <col min="66" max="66" width="13.42578125" style="73" customWidth="1"/>
    <col min="67" max="67" width="13.42578125" style="63" customWidth="1"/>
    <col min="68" max="68" width="13.42578125" style="73" customWidth="1"/>
    <col min="69" max="69" width="13.42578125" style="63" customWidth="1"/>
    <col min="70" max="70" width="13.42578125" style="73" customWidth="1"/>
    <col min="71" max="71" width="13.42578125" style="63" customWidth="1"/>
    <col min="72" max="72" width="13.42578125" style="73" customWidth="1"/>
    <col min="73" max="73" width="13.42578125" style="63" customWidth="1"/>
    <col min="74" max="74" width="13.42578125" style="73" customWidth="1"/>
    <col min="75" max="75" width="13.42578125" style="63" customWidth="1"/>
    <col min="76" max="76" width="13.42578125" style="73" customWidth="1"/>
    <col min="77" max="77" width="13.42578125" style="63" customWidth="1"/>
    <col min="78" max="78" width="13.42578125" style="73" customWidth="1"/>
    <col min="79" max="79" width="13.42578125" style="63" customWidth="1"/>
    <col min="80" max="80" width="13.42578125" style="73" customWidth="1"/>
    <col min="81" max="81" width="13.42578125" style="63" customWidth="1"/>
    <col min="82" max="82" width="13.42578125" style="73" customWidth="1"/>
    <col min="83" max="83" width="13.42578125" style="63" customWidth="1"/>
    <col min="84" max="84" width="13.42578125" style="73" customWidth="1"/>
    <col min="85" max="85" width="13.42578125" style="63" customWidth="1"/>
    <col min="86" max="86" width="13.42578125" style="73" customWidth="1"/>
    <col min="87" max="87" width="13.42578125" style="63" customWidth="1"/>
    <col min="88" max="88" width="13.42578125" style="73" customWidth="1"/>
    <col min="89" max="89" width="13.7109375" style="63" customWidth="1"/>
    <col min="90" max="91" width="13" style="63" customWidth="1"/>
    <col min="92" max="93" width="13" style="74" customWidth="1"/>
    <col min="94" max="292" width="9.140625" style="59"/>
    <col min="293" max="293" width="14" style="59" customWidth="1"/>
    <col min="294" max="294" width="2" style="59" customWidth="1"/>
    <col min="295" max="295" width="11.85546875" style="59" customWidth="1"/>
    <col min="296" max="297" width="13.5703125" style="59" customWidth="1"/>
    <col min="298" max="298" width="13.85546875" style="59" customWidth="1"/>
    <col min="299" max="300" width="14.5703125" style="59" customWidth="1"/>
    <col min="301" max="319" width="13.42578125" style="59" customWidth="1"/>
    <col min="320" max="320" width="10.5703125" style="59" customWidth="1"/>
    <col min="321" max="321" width="13.42578125" style="59" customWidth="1"/>
    <col min="322" max="322" width="11" style="59" customWidth="1"/>
    <col min="323" max="326" width="13.42578125" style="59" customWidth="1"/>
    <col min="327" max="327" width="19.5703125" style="59" customWidth="1"/>
    <col min="328" max="328" width="16.42578125" style="59" customWidth="1"/>
    <col min="329" max="329" width="13.42578125" style="59" customWidth="1"/>
    <col min="330" max="330" width="16" style="59" customWidth="1"/>
    <col min="331" max="334" width="13.42578125" style="59" customWidth="1"/>
    <col min="335" max="335" width="2.140625" style="59" customWidth="1"/>
    <col min="336" max="336" width="10.42578125" style="59" customWidth="1"/>
    <col min="337" max="337" width="14.140625" style="59" customWidth="1"/>
    <col min="338" max="338" width="9.140625" style="59"/>
    <col min="339" max="339" width="13.85546875" style="59" customWidth="1"/>
    <col min="340" max="340" width="9.140625" style="59"/>
    <col min="341" max="341" width="12.5703125" style="59" customWidth="1"/>
    <col min="342" max="342" width="10.42578125" style="59" customWidth="1"/>
    <col min="343" max="344" width="13.5703125" style="59" customWidth="1"/>
    <col min="345" max="345" width="13" style="59" customWidth="1"/>
    <col min="346" max="346" width="13.5703125" style="59" customWidth="1"/>
    <col min="347" max="349" width="13" style="59" customWidth="1"/>
    <col min="350" max="548" width="9.140625" style="59"/>
    <col min="549" max="549" width="14" style="59" customWidth="1"/>
    <col min="550" max="550" width="2" style="59" customWidth="1"/>
    <col min="551" max="551" width="11.85546875" style="59" customWidth="1"/>
    <col min="552" max="553" width="13.5703125" style="59" customWidth="1"/>
    <col min="554" max="554" width="13.85546875" style="59" customWidth="1"/>
    <col min="555" max="556" width="14.5703125" style="59" customWidth="1"/>
    <col min="557" max="575" width="13.42578125" style="59" customWidth="1"/>
    <col min="576" max="576" width="10.5703125" style="59" customWidth="1"/>
    <col min="577" max="577" width="13.42578125" style="59" customWidth="1"/>
    <col min="578" max="578" width="11" style="59" customWidth="1"/>
    <col min="579" max="582" width="13.42578125" style="59" customWidth="1"/>
    <col min="583" max="583" width="19.5703125" style="59" customWidth="1"/>
    <col min="584" max="584" width="16.42578125" style="59" customWidth="1"/>
    <col min="585" max="585" width="13.42578125" style="59" customWidth="1"/>
    <col min="586" max="586" width="16" style="59" customWidth="1"/>
    <col min="587" max="590" width="13.42578125" style="59" customWidth="1"/>
    <col min="591" max="591" width="2.140625" style="59" customWidth="1"/>
    <col min="592" max="592" width="10.42578125" style="59" customWidth="1"/>
    <col min="593" max="593" width="14.140625" style="59" customWidth="1"/>
    <col min="594" max="594" width="9.140625" style="59"/>
    <col min="595" max="595" width="13.85546875" style="59" customWidth="1"/>
    <col min="596" max="596" width="9.140625" style="59"/>
    <col min="597" max="597" width="12.5703125" style="59" customWidth="1"/>
    <col min="598" max="598" width="10.42578125" style="59" customWidth="1"/>
    <col min="599" max="600" width="13.5703125" style="59" customWidth="1"/>
    <col min="601" max="601" width="13" style="59" customWidth="1"/>
    <col min="602" max="602" width="13.5703125" style="59" customWidth="1"/>
    <col min="603" max="605" width="13" style="59" customWidth="1"/>
    <col min="606" max="804" width="9.140625" style="59"/>
    <col min="805" max="805" width="14" style="59" customWidth="1"/>
    <col min="806" max="806" width="2" style="59" customWidth="1"/>
    <col min="807" max="807" width="11.85546875" style="59" customWidth="1"/>
    <col min="808" max="809" width="13.5703125" style="59" customWidth="1"/>
    <col min="810" max="810" width="13.85546875" style="59" customWidth="1"/>
    <col min="811" max="812" width="14.5703125" style="59" customWidth="1"/>
    <col min="813" max="831" width="13.42578125" style="59" customWidth="1"/>
    <col min="832" max="832" width="10.5703125" style="59" customWidth="1"/>
    <col min="833" max="833" width="13.42578125" style="59" customWidth="1"/>
    <col min="834" max="834" width="11" style="59" customWidth="1"/>
    <col min="835" max="838" width="13.42578125" style="59" customWidth="1"/>
    <col min="839" max="839" width="19.5703125" style="59" customWidth="1"/>
    <col min="840" max="840" width="16.42578125" style="59" customWidth="1"/>
    <col min="841" max="841" width="13.42578125" style="59" customWidth="1"/>
    <col min="842" max="842" width="16" style="59" customWidth="1"/>
    <col min="843" max="846" width="13.42578125" style="59" customWidth="1"/>
    <col min="847" max="847" width="2.140625" style="59" customWidth="1"/>
    <col min="848" max="848" width="10.42578125" style="59" customWidth="1"/>
    <col min="849" max="849" width="14.140625" style="59" customWidth="1"/>
    <col min="850" max="850" width="9.140625" style="59"/>
    <col min="851" max="851" width="13.85546875" style="59" customWidth="1"/>
    <col min="852" max="852" width="9.140625" style="59"/>
    <col min="853" max="853" width="12.5703125" style="59" customWidth="1"/>
    <col min="854" max="854" width="10.42578125" style="59" customWidth="1"/>
    <col min="855" max="856" width="13.5703125" style="59" customWidth="1"/>
    <col min="857" max="857" width="13" style="59" customWidth="1"/>
    <col min="858" max="858" width="13.5703125" style="59" customWidth="1"/>
    <col min="859" max="861" width="13" style="59" customWidth="1"/>
    <col min="862" max="1060" width="9.140625" style="59"/>
    <col min="1061" max="1061" width="14" style="59" customWidth="1"/>
    <col min="1062" max="1062" width="2" style="59" customWidth="1"/>
    <col min="1063" max="1063" width="11.85546875" style="59" customWidth="1"/>
    <col min="1064" max="1065" width="13.5703125" style="59" customWidth="1"/>
    <col min="1066" max="1066" width="13.85546875" style="59" customWidth="1"/>
    <col min="1067" max="1068" width="14.5703125" style="59" customWidth="1"/>
    <col min="1069" max="1087" width="13.42578125" style="59" customWidth="1"/>
    <col min="1088" max="1088" width="10.5703125" style="59" customWidth="1"/>
    <col min="1089" max="1089" width="13.42578125" style="59" customWidth="1"/>
    <col min="1090" max="1090" width="11" style="59" customWidth="1"/>
    <col min="1091" max="1094" width="13.42578125" style="59" customWidth="1"/>
    <col min="1095" max="1095" width="19.5703125" style="59" customWidth="1"/>
    <col min="1096" max="1096" width="16.42578125" style="59" customWidth="1"/>
    <col min="1097" max="1097" width="13.42578125" style="59" customWidth="1"/>
    <col min="1098" max="1098" width="16" style="59" customWidth="1"/>
    <col min="1099" max="1102" width="13.42578125" style="59" customWidth="1"/>
    <col min="1103" max="1103" width="2.140625" style="59" customWidth="1"/>
    <col min="1104" max="1104" width="10.42578125" style="59" customWidth="1"/>
    <col min="1105" max="1105" width="14.140625" style="59" customWidth="1"/>
    <col min="1106" max="1106" width="9.140625" style="59"/>
    <col min="1107" max="1107" width="13.85546875" style="59" customWidth="1"/>
    <col min="1108" max="1108" width="9.140625" style="59"/>
    <col min="1109" max="1109" width="12.5703125" style="59" customWidth="1"/>
    <col min="1110" max="1110" width="10.42578125" style="59" customWidth="1"/>
    <col min="1111" max="1112" width="13.5703125" style="59" customWidth="1"/>
    <col min="1113" max="1113" width="13" style="59" customWidth="1"/>
    <col min="1114" max="1114" width="13.5703125" style="59" customWidth="1"/>
    <col min="1115" max="1117" width="13" style="59" customWidth="1"/>
    <col min="1118" max="1316" width="9.140625" style="59"/>
    <col min="1317" max="1317" width="14" style="59" customWidth="1"/>
    <col min="1318" max="1318" width="2" style="59" customWidth="1"/>
    <col min="1319" max="1319" width="11.85546875" style="59" customWidth="1"/>
    <col min="1320" max="1321" width="13.5703125" style="59" customWidth="1"/>
    <col min="1322" max="1322" width="13.85546875" style="59" customWidth="1"/>
    <col min="1323" max="1324" width="14.5703125" style="59" customWidth="1"/>
    <col min="1325" max="1343" width="13.42578125" style="59" customWidth="1"/>
    <col min="1344" max="1344" width="10.5703125" style="59" customWidth="1"/>
    <col min="1345" max="1345" width="13.42578125" style="59" customWidth="1"/>
    <col min="1346" max="1346" width="11" style="59" customWidth="1"/>
    <col min="1347" max="1350" width="13.42578125" style="59" customWidth="1"/>
    <col min="1351" max="1351" width="19.5703125" style="59" customWidth="1"/>
    <col min="1352" max="1352" width="16.42578125" style="59" customWidth="1"/>
    <col min="1353" max="1353" width="13.42578125" style="59" customWidth="1"/>
    <col min="1354" max="1354" width="16" style="59" customWidth="1"/>
    <col min="1355" max="1358" width="13.42578125" style="59" customWidth="1"/>
    <col min="1359" max="1359" width="2.140625" style="59" customWidth="1"/>
    <col min="1360" max="1360" width="10.42578125" style="59" customWidth="1"/>
    <col min="1361" max="1361" width="14.140625" style="59" customWidth="1"/>
    <col min="1362" max="1362" width="9.140625" style="59"/>
    <col min="1363" max="1363" width="13.85546875" style="59" customWidth="1"/>
    <col min="1364" max="1364" width="9.140625" style="59"/>
    <col min="1365" max="1365" width="12.5703125" style="59" customWidth="1"/>
    <col min="1366" max="1366" width="10.42578125" style="59" customWidth="1"/>
    <col min="1367" max="1368" width="13.5703125" style="59" customWidth="1"/>
    <col min="1369" max="1369" width="13" style="59" customWidth="1"/>
    <col min="1370" max="1370" width="13.5703125" style="59" customWidth="1"/>
    <col min="1371" max="1373" width="13" style="59" customWidth="1"/>
    <col min="1374" max="1572" width="9.140625" style="59"/>
    <col min="1573" max="1573" width="14" style="59" customWidth="1"/>
    <col min="1574" max="1574" width="2" style="59" customWidth="1"/>
    <col min="1575" max="1575" width="11.85546875" style="59" customWidth="1"/>
    <col min="1576" max="1577" width="13.5703125" style="59" customWidth="1"/>
    <col min="1578" max="1578" width="13.85546875" style="59" customWidth="1"/>
    <col min="1579" max="1580" width="14.5703125" style="59" customWidth="1"/>
    <col min="1581" max="1599" width="13.42578125" style="59" customWidth="1"/>
    <col min="1600" max="1600" width="10.5703125" style="59" customWidth="1"/>
    <col min="1601" max="1601" width="13.42578125" style="59" customWidth="1"/>
    <col min="1602" max="1602" width="11" style="59" customWidth="1"/>
    <col min="1603" max="1606" width="13.42578125" style="59" customWidth="1"/>
    <col min="1607" max="1607" width="19.5703125" style="59" customWidth="1"/>
    <col min="1608" max="1608" width="16.42578125" style="59" customWidth="1"/>
    <col min="1609" max="1609" width="13.42578125" style="59" customWidth="1"/>
    <col min="1610" max="1610" width="16" style="59" customWidth="1"/>
    <col min="1611" max="1614" width="13.42578125" style="59" customWidth="1"/>
    <col min="1615" max="1615" width="2.140625" style="59" customWidth="1"/>
    <col min="1616" max="1616" width="10.42578125" style="59" customWidth="1"/>
    <col min="1617" max="1617" width="14.140625" style="59" customWidth="1"/>
    <col min="1618" max="1618" width="9.140625" style="59"/>
    <col min="1619" max="1619" width="13.85546875" style="59" customWidth="1"/>
    <col min="1620" max="1620" width="9.140625" style="59"/>
    <col min="1621" max="1621" width="12.5703125" style="59" customWidth="1"/>
    <col min="1622" max="1622" width="10.42578125" style="59" customWidth="1"/>
    <col min="1623" max="1624" width="13.5703125" style="59" customWidth="1"/>
    <col min="1625" max="1625" width="13" style="59" customWidth="1"/>
    <col min="1626" max="1626" width="13.5703125" style="59" customWidth="1"/>
    <col min="1627" max="1629" width="13" style="59" customWidth="1"/>
    <col min="1630" max="1828" width="9.140625" style="59"/>
    <col min="1829" max="1829" width="14" style="59" customWidth="1"/>
    <col min="1830" max="1830" width="2" style="59" customWidth="1"/>
    <col min="1831" max="1831" width="11.85546875" style="59" customWidth="1"/>
    <col min="1832" max="1833" width="13.5703125" style="59" customWidth="1"/>
    <col min="1834" max="1834" width="13.85546875" style="59" customWidth="1"/>
    <col min="1835" max="1836" width="14.5703125" style="59" customWidth="1"/>
    <col min="1837" max="1855" width="13.42578125" style="59" customWidth="1"/>
    <col min="1856" max="1856" width="10.5703125" style="59" customWidth="1"/>
    <col min="1857" max="1857" width="13.42578125" style="59" customWidth="1"/>
    <col min="1858" max="1858" width="11" style="59" customWidth="1"/>
    <col min="1859" max="1862" width="13.42578125" style="59" customWidth="1"/>
    <col min="1863" max="1863" width="19.5703125" style="59" customWidth="1"/>
    <col min="1864" max="1864" width="16.42578125" style="59" customWidth="1"/>
    <col min="1865" max="1865" width="13.42578125" style="59" customWidth="1"/>
    <col min="1866" max="1866" width="16" style="59" customWidth="1"/>
    <col min="1867" max="1870" width="13.42578125" style="59" customWidth="1"/>
    <col min="1871" max="1871" width="2.140625" style="59" customWidth="1"/>
    <col min="1872" max="1872" width="10.42578125" style="59" customWidth="1"/>
    <col min="1873" max="1873" width="14.140625" style="59" customWidth="1"/>
    <col min="1874" max="1874" width="9.140625" style="59"/>
    <col min="1875" max="1875" width="13.85546875" style="59" customWidth="1"/>
    <col min="1876" max="1876" width="9.140625" style="59"/>
    <col min="1877" max="1877" width="12.5703125" style="59" customWidth="1"/>
    <col min="1878" max="1878" width="10.42578125" style="59" customWidth="1"/>
    <col min="1879" max="1880" width="13.5703125" style="59" customWidth="1"/>
    <col min="1881" max="1881" width="13" style="59" customWidth="1"/>
    <col min="1882" max="1882" width="13.5703125" style="59" customWidth="1"/>
    <col min="1883" max="1885" width="13" style="59" customWidth="1"/>
    <col min="1886" max="2084" width="9.140625" style="59"/>
    <col min="2085" max="2085" width="14" style="59" customWidth="1"/>
    <col min="2086" max="2086" width="2" style="59" customWidth="1"/>
    <col min="2087" max="2087" width="11.85546875" style="59" customWidth="1"/>
    <col min="2088" max="2089" width="13.5703125" style="59" customWidth="1"/>
    <col min="2090" max="2090" width="13.85546875" style="59" customWidth="1"/>
    <col min="2091" max="2092" width="14.5703125" style="59" customWidth="1"/>
    <col min="2093" max="2111" width="13.42578125" style="59" customWidth="1"/>
    <col min="2112" max="2112" width="10.5703125" style="59" customWidth="1"/>
    <col min="2113" max="2113" width="13.42578125" style="59" customWidth="1"/>
    <col min="2114" max="2114" width="11" style="59" customWidth="1"/>
    <col min="2115" max="2118" width="13.42578125" style="59" customWidth="1"/>
    <col min="2119" max="2119" width="19.5703125" style="59" customWidth="1"/>
    <col min="2120" max="2120" width="16.42578125" style="59" customWidth="1"/>
    <col min="2121" max="2121" width="13.42578125" style="59" customWidth="1"/>
    <col min="2122" max="2122" width="16" style="59" customWidth="1"/>
    <col min="2123" max="2126" width="13.42578125" style="59" customWidth="1"/>
    <col min="2127" max="2127" width="2.140625" style="59" customWidth="1"/>
    <col min="2128" max="2128" width="10.42578125" style="59" customWidth="1"/>
    <col min="2129" max="2129" width="14.140625" style="59" customWidth="1"/>
    <col min="2130" max="2130" width="9.140625" style="59"/>
    <col min="2131" max="2131" width="13.85546875" style="59" customWidth="1"/>
    <col min="2132" max="2132" width="9.140625" style="59"/>
    <col min="2133" max="2133" width="12.5703125" style="59" customWidth="1"/>
    <col min="2134" max="2134" width="10.42578125" style="59" customWidth="1"/>
    <col min="2135" max="2136" width="13.5703125" style="59" customWidth="1"/>
    <col min="2137" max="2137" width="13" style="59" customWidth="1"/>
    <col min="2138" max="2138" width="13.5703125" style="59" customWidth="1"/>
    <col min="2139" max="2141" width="13" style="59" customWidth="1"/>
    <col min="2142" max="2340" width="9.140625" style="59"/>
    <col min="2341" max="2341" width="14" style="59" customWidth="1"/>
    <col min="2342" max="2342" width="2" style="59" customWidth="1"/>
    <col min="2343" max="2343" width="11.85546875" style="59" customWidth="1"/>
    <col min="2344" max="2345" width="13.5703125" style="59" customWidth="1"/>
    <col min="2346" max="2346" width="13.85546875" style="59" customWidth="1"/>
    <col min="2347" max="2348" width="14.5703125" style="59" customWidth="1"/>
    <col min="2349" max="2367" width="13.42578125" style="59" customWidth="1"/>
    <col min="2368" max="2368" width="10.5703125" style="59" customWidth="1"/>
    <col min="2369" max="2369" width="13.42578125" style="59" customWidth="1"/>
    <col min="2370" max="2370" width="11" style="59" customWidth="1"/>
    <col min="2371" max="2374" width="13.42578125" style="59" customWidth="1"/>
    <col min="2375" max="2375" width="19.5703125" style="59" customWidth="1"/>
    <col min="2376" max="2376" width="16.42578125" style="59" customWidth="1"/>
    <col min="2377" max="2377" width="13.42578125" style="59" customWidth="1"/>
    <col min="2378" max="2378" width="16" style="59" customWidth="1"/>
    <col min="2379" max="2382" width="13.42578125" style="59" customWidth="1"/>
    <col min="2383" max="2383" width="2.140625" style="59" customWidth="1"/>
    <col min="2384" max="2384" width="10.42578125" style="59" customWidth="1"/>
    <col min="2385" max="2385" width="14.140625" style="59" customWidth="1"/>
    <col min="2386" max="2386" width="9.140625" style="59"/>
    <col min="2387" max="2387" width="13.85546875" style="59" customWidth="1"/>
    <col min="2388" max="2388" width="9.140625" style="59"/>
    <col min="2389" max="2389" width="12.5703125" style="59" customWidth="1"/>
    <col min="2390" max="2390" width="10.42578125" style="59" customWidth="1"/>
    <col min="2391" max="2392" width="13.5703125" style="59" customWidth="1"/>
    <col min="2393" max="2393" width="13" style="59" customWidth="1"/>
    <col min="2394" max="2394" width="13.5703125" style="59" customWidth="1"/>
    <col min="2395" max="2397" width="13" style="59" customWidth="1"/>
    <col min="2398" max="2596" width="9.140625" style="59"/>
    <col min="2597" max="2597" width="14" style="59" customWidth="1"/>
    <col min="2598" max="2598" width="2" style="59" customWidth="1"/>
    <col min="2599" max="2599" width="11.85546875" style="59" customWidth="1"/>
    <col min="2600" max="2601" width="13.5703125" style="59" customWidth="1"/>
    <col min="2602" max="2602" width="13.85546875" style="59" customWidth="1"/>
    <col min="2603" max="2604" width="14.5703125" style="59" customWidth="1"/>
    <col min="2605" max="2623" width="13.42578125" style="59" customWidth="1"/>
    <col min="2624" max="2624" width="10.5703125" style="59" customWidth="1"/>
    <col min="2625" max="2625" width="13.42578125" style="59" customWidth="1"/>
    <col min="2626" max="2626" width="11" style="59" customWidth="1"/>
    <col min="2627" max="2630" width="13.42578125" style="59" customWidth="1"/>
    <col min="2631" max="2631" width="19.5703125" style="59" customWidth="1"/>
    <col min="2632" max="2632" width="16.42578125" style="59" customWidth="1"/>
    <col min="2633" max="2633" width="13.42578125" style="59" customWidth="1"/>
    <col min="2634" max="2634" width="16" style="59" customWidth="1"/>
    <col min="2635" max="2638" width="13.42578125" style="59" customWidth="1"/>
    <col min="2639" max="2639" width="2.140625" style="59" customWidth="1"/>
    <col min="2640" max="2640" width="10.42578125" style="59" customWidth="1"/>
    <col min="2641" max="2641" width="14.140625" style="59" customWidth="1"/>
    <col min="2642" max="2642" width="9.140625" style="59"/>
    <col min="2643" max="2643" width="13.85546875" style="59" customWidth="1"/>
    <col min="2644" max="2644" width="9.140625" style="59"/>
    <col min="2645" max="2645" width="12.5703125" style="59" customWidth="1"/>
    <col min="2646" max="2646" width="10.42578125" style="59" customWidth="1"/>
    <col min="2647" max="2648" width="13.5703125" style="59" customWidth="1"/>
    <col min="2649" max="2649" width="13" style="59" customWidth="1"/>
    <col min="2650" max="2650" width="13.5703125" style="59" customWidth="1"/>
    <col min="2651" max="2653" width="13" style="59" customWidth="1"/>
    <col min="2654" max="2852" width="9.140625" style="59"/>
    <col min="2853" max="2853" width="14" style="59" customWidth="1"/>
    <col min="2854" max="2854" width="2" style="59" customWidth="1"/>
    <col min="2855" max="2855" width="11.85546875" style="59" customWidth="1"/>
    <col min="2856" max="2857" width="13.5703125" style="59" customWidth="1"/>
    <col min="2858" max="2858" width="13.85546875" style="59" customWidth="1"/>
    <col min="2859" max="2860" width="14.5703125" style="59" customWidth="1"/>
    <col min="2861" max="2879" width="13.42578125" style="59" customWidth="1"/>
    <col min="2880" max="2880" width="10.5703125" style="59" customWidth="1"/>
    <col min="2881" max="2881" width="13.42578125" style="59" customWidth="1"/>
    <col min="2882" max="2882" width="11" style="59" customWidth="1"/>
    <col min="2883" max="2886" width="13.42578125" style="59" customWidth="1"/>
    <col min="2887" max="2887" width="19.5703125" style="59" customWidth="1"/>
    <col min="2888" max="2888" width="16.42578125" style="59" customWidth="1"/>
    <col min="2889" max="2889" width="13.42578125" style="59" customWidth="1"/>
    <col min="2890" max="2890" width="16" style="59" customWidth="1"/>
    <col min="2891" max="2894" width="13.42578125" style="59" customWidth="1"/>
    <col min="2895" max="2895" width="2.140625" style="59" customWidth="1"/>
    <col min="2896" max="2896" width="10.42578125" style="59" customWidth="1"/>
    <col min="2897" max="2897" width="14.140625" style="59" customWidth="1"/>
    <col min="2898" max="2898" width="9.140625" style="59"/>
    <col min="2899" max="2899" width="13.85546875" style="59" customWidth="1"/>
    <col min="2900" max="2900" width="9.140625" style="59"/>
    <col min="2901" max="2901" width="12.5703125" style="59" customWidth="1"/>
    <col min="2902" max="2902" width="10.42578125" style="59" customWidth="1"/>
    <col min="2903" max="2904" width="13.5703125" style="59" customWidth="1"/>
    <col min="2905" max="2905" width="13" style="59" customWidth="1"/>
    <col min="2906" max="2906" width="13.5703125" style="59" customWidth="1"/>
    <col min="2907" max="2909" width="13" style="59" customWidth="1"/>
    <col min="2910" max="3108" width="9.140625" style="59"/>
    <col min="3109" max="3109" width="14" style="59" customWidth="1"/>
    <col min="3110" max="3110" width="2" style="59" customWidth="1"/>
    <col min="3111" max="3111" width="11.85546875" style="59" customWidth="1"/>
    <col min="3112" max="3113" width="13.5703125" style="59" customWidth="1"/>
    <col min="3114" max="3114" width="13.85546875" style="59" customWidth="1"/>
    <col min="3115" max="3116" width="14.5703125" style="59" customWidth="1"/>
    <col min="3117" max="3135" width="13.42578125" style="59" customWidth="1"/>
    <col min="3136" max="3136" width="10.5703125" style="59" customWidth="1"/>
    <col min="3137" max="3137" width="13.42578125" style="59" customWidth="1"/>
    <col min="3138" max="3138" width="11" style="59" customWidth="1"/>
    <col min="3139" max="3142" width="13.42578125" style="59" customWidth="1"/>
    <col min="3143" max="3143" width="19.5703125" style="59" customWidth="1"/>
    <col min="3144" max="3144" width="16.42578125" style="59" customWidth="1"/>
    <col min="3145" max="3145" width="13.42578125" style="59" customWidth="1"/>
    <col min="3146" max="3146" width="16" style="59" customWidth="1"/>
    <col min="3147" max="3150" width="13.42578125" style="59" customWidth="1"/>
    <col min="3151" max="3151" width="2.140625" style="59" customWidth="1"/>
    <col min="3152" max="3152" width="10.42578125" style="59" customWidth="1"/>
    <col min="3153" max="3153" width="14.140625" style="59" customWidth="1"/>
    <col min="3154" max="3154" width="9.140625" style="59"/>
    <col min="3155" max="3155" width="13.85546875" style="59" customWidth="1"/>
    <col min="3156" max="3156" width="9.140625" style="59"/>
    <col min="3157" max="3157" width="12.5703125" style="59" customWidth="1"/>
    <col min="3158" max="3158" width="10.42578125" style="59" customWidth="1"/>
    <col min="3159" max="3160" width="13.5703125" style="59" customWidth="1"/>
    <col min="3161" max="3161" width="13" style="59" customWidth="1"/>
    <col min="3162" max="3162" width="13.5703125" style="59" customWidth="1"/>
    <col min="3163" max="3165" width="13" style="59" customWidth="1"/>
    <col min="3166" max="3364" width="9.140625" style="59"/>
    <col min="3365" max="3365" width="14" style="59" customWidth="1"/>
    <col min="3366" max="3366" width="2" style="59" customWidth="1"/>
    <col min="3367" max="3367" width="11.85546875" style="59" customWidth="1"/>
    <col min="3368" max="3369" width="13.5703125" style="59" customWidth="1"/>
    <col min="3370" max="3370" width="13.85546875" style="59" customWidth="1"/>
    <col min="3371" max="3372" width="14.5703125" style="59" customWidth="1"/>
    <col min="3373" max="3391" width="13.42578125" style="59" customWidth="1"/>
    <col min="3392" max="3392" width="10.5703125" style="59" customWidth="1"/>
    <col min="3393" max="3393" width="13.42578125" style="59" customWidth="1"/>
    <col min="3394" max="3394" width="11" style="59" customWidth="1"/>
    <col min="3395" max="3398" width="13.42578125" style="59" customWidth="1"/>
    <col min="3399" max="3399" width="19.5703125" style="59" customWidth="1"/>
    <col min="3400" max="3400" width="16.42578125" style="59" customWidth="1"/>
    <col min="3401" max="3401" width="13.42578125" style="59" customWidth="1"/>
    <col min="3402" max="3402" width="16" style="59" customWidth="1"/>
    <col min="3403" max="3406" width="13.42578125" style="59" customWidth="1"/>
    <col min="3407" max="3407" width="2.140625" style="59" customWidth="1"/>
    <col min="3408" max="3408" width="10.42578125" style="59" customWidth="1"/>
    <col min="3409" max="3409" width="14.140625" style="59" customWidth="1"/>
    <col min="3410" max="3410" width="9.140625" style="59"/>
    <col min="3411" max="3411" width="13.85546875" style="59" customWidth="1"/>
    <col min="3412" max="3412" width="9.140625" style="59"/>
    <col min="3413" max="3413" width="12.5703125" style="59" customWidth="1"/>
    <col min="3414" max="3414" width="10.42578125" style="59" customWidth="1"/>
    <col min="3415" max="3416" width="13.5703125" style="59" customWidth="1"/>
    <col min="3417" max="3417" width="13" style="59" customWidth="1"/>
    <col min="3418" max="3418" width="13.5703125" style="59" customWidth="1"/>
    <col min="3419" max="3421" width="13" style="59" customWidth="1"/>
    <col min="3422" max="3620" width="9.140625" style="59"/>
    <col min="3621" max="3621" width="14" style="59" customWidth="1"/>
    <col min="3622" max="3622" width="2" style="59" customWidth="1"/>
    <col min="3623" max="3623" width="11.85546875" style="59" customWidth="1"/>
    <col min="3624" max="3625" width="13.5703125" style="59" customWidth="1"/>
    <col min="3626" max="3626" width="13.85546875" style="59" customWidth="1"/>
    <col min="3627" max="3628" width="14.5703125" style="59" customWidth="1"/>
    <col min="3629" max="3647" width="13.42578125" style="59" customWidth="1"/>
    <col min="3648" max="3648" width="10.5703125" style="59" customWidth="1"/>
    <col min="3649" max="3649" width="13.42578125" style="59" customWidth="1"/>
    <col min="3650" max="3650" width="11" style="59" customWidth="1"/>
    <col min="3651" max="3654" width="13.42578125" style="59" customWidth="1"/>
    <col min="3655" max="3655" width="19.5703125" style="59" customWidth="1"/>
    <col min="3656" max="3656" width="16.42578125" style="59" customWidth="1"/>
    <col min="3657" max="3657" width="13.42578125" style="59" customWidth="1"/>
    <col min="3658" max="3658" width="16" style="59" customWidth="1"/>
    <col min="3659" max="3662" width="13.42578125" style="59" customWidth="1"/>
    <col min="3663" max="3663" width="2.140625" style="59" customWidth="1"/>
    <col min="3664" max="3664" width="10.42578125" style="59" customWidth="1"/>
    <col min="3665" max="3665" width="14.140625" style="59" customWidth="1"/>
    <col min="3666" max="3666" width="9.140625" style="59"/>
    <col min="3667" max="3667" width="13.85546875" style="59" customWidth="1"/>
    <col min="3668" max="3668" width="9.140625" style="59"/>
    <col min="3669" max="3669" width="12.5703125" style="59" customWidth="1"/>
    <col min="3670" max="3670" width="10.42578125" style="59" customWidth="1"/>
    <col min="3671" max="3672" width="13.5703125" style="59" customWidth="1"/>
    <col min="3673" max="3673" width="13" style="59" customWidth="1"/>
    <col min="3674" max="3674" width="13.5703125" style="59" customWidth="1"/>
    <col min="3675" max="3677" width="13" style="59" customWidth="1"/>
    <col min="3678" max="3876" width="9.140625" style="59"/>
    <col min="3877" max="3877" width="14" style="59" customWidth="1"/>
    <col min="3878" max="3878" width="2" style="59" customWidth="1"/>
    <col min="3879" max="3879" width="11.85546875" style="59" customWidth="1"/>
    <col min="3880" max="3881" width="13.5703125" style="59" customWidth="1"/>
    <col min="3882" max="3882" width="13.85546875" style="59" customWidth="1"/>
    <col min="3883" max="3884" width="14.5703125" style="59" customWidth="1"/>
    <col min="3885" max="3903" width="13.42578125" style="59" customWidth="1"/>
    <col min="3904" max="3904" width="10.5703125" style="59" customWidth="1"/>
    <col min="3905" max="3905" width="13.42578125" style="59" customWidth="1"/>
    <col min="3906" max="3906" width="11" style="59" customWidth="1"/>
    <col min="3907" max="3910" width="13.42578125" style="59" customWidth="1"/>
    <col min="3911" max="3911" width="19.5703125" style="59" customWidth="1"/>
    <col min="3912" max="3912" width="16.42578125" style="59" customWidth="1"/>
    <col min="3913" max="3913" width="13.42578125" style="59" customWidth="1"/>
    <col min="3914" max="3914" width="16" style="59" customWidth="1"/>
    <col min="3915" max="3918" width="13.42578125" style="59" customWidth="1"/>
    <col min="3919" max="3919" width="2.140625" style="59" customWidth="1"/>
    <col min="3920" max="3920" width="10.42578125" style="59" customWidth="1"/>
    <col min="3921" max="3921" width="14.140625" style="59" customWidth="1"/>
    <col min="3922" max="3922" width="9.140625" style="59"/>
    <col min="3923" max="3923" width="13.85546875" style="59" customWidth="1"/>
    <col min="3924" max="3924" width="9.140625" style="59"/>
    <col min="3925" max="3925" width="12.5703125" style="59" customWidth="1"/>
    <col min="3926" max="3926" width="10.42578125" style="59" customWidth="1"/>
    <col min="3927" max="3928" width="13.5703125" style="59" customWidth="1"/>
    <col min="3929" max="3929" width="13" style="59" customWidth="1"/>
    <col min="3930" max="3930" width="13.5703125" style="59" customWidth="1"/>
    <col min="3931" max="3933" width="13" style="59" customWidth="1"/>
    <col min="3934" max="4132" width="9.140625" style="59"/>
    <col min="4133" max="4133" width="14" style="59" customWidth="1"/>
    <col min="4134" max="4134" width="2" style="59" customWidth="1"/>
    <col min="4135" max="4135" width="11.85546875" style="59" customWidth="1"/>
    <col min="4136" max="4137" width="13.5703125" style="59" customWidth="1"/>
    <col min="4138" max="4138" width="13.85546875" style="59" customWidth="1"/>
    <col min="4139" max="4140" width="14.5703125" style="59" customWidth="1"/>
    <col min="4141" max="4159" width="13.42578125" style="59" customWidth="1"/>
    <col min="4160" max="4160" width="10.5703125" style="59" customWidth="1"/>
    <col min="4161" max="4161" width="13.42578125" style="59" customWidth="1"/>
    <col min="4162" max="4162" width="11" style="59" customWidth="1"/>
    <col min="4163" max="4166" width="13.42578125" style="59" customWidth="1"/>
    <col min="4167" max="4167" width="19.5703125" style="59" customWidth="1"/>
    <col min="4168" max="4168" width="16.42578125" style="59" customWidth="1"/>
    <col min="4169" max="4169" width="13.42578125" style="59" customWidth="1"/>
    <col min="4170" max="4170" width="16" style="59" customWidth="1"/>
    <col min="4171" max="4174" width="13.42578125" style="59" customWidth="1"/>
    <col min="4175" max="4175" width="2.140625" style="59" customWidth="1"/>
    <col min="4176" max="4176" width="10.42578125" style="59" customWidth="1"/>
    <col min="4177" max="4177" width="14.140625" style="59" customWidth="1"/>
    <col min="4178" max="4178" width="9.140625" style="59"/>
    <col min="4179" max="4179" width="13.85546875" style="59" customWidth="1"/>
    <col min="4180" max="4180" width="9.140625" style="59"/>
    <col min="4181" max="4181" width="12.5703125" style="59" customWidth="1"/>
    <col min="4182" max="4182" width="10.42578125" style="59" customWidth="1"/>
    <col min="4183" max="4184" width="13.5703125" style="59" customWidth="1"/>
    <col min="4185" max="4185" width="13" style="59" customWidth="1"/>
    <col min="4186" max="4186" width="13.5703125" style="59" customWidth="1"/>
    <col min="4187" max="4189" width="13" style="59" customWidth="1"/>
    <col min="4190" max="4388" width="9.140625" style="59"/>
    <col min="4389" max="4389" width="14" style="59" customWidth="1"/>
    <col min="4390" max="4390" width="2" style="59" customWidth="1"/>
    <col min="4391" max="4391" width="11.85546875" style="59" customWidth="1"/>
    <col min="4392" max="4393" width="13.5703125" style="59" customWidth="1"/>
    <col min="4394" max="4394" width="13.85546875" style="59" customWidth="1"/>
    <col min="4395" max="4396" width="14.5703125" style="59" customWidth="1"/>
    <col min="4397" max="4415" width="13.42578125" style="59" customWidth="1"/>
    <col min="4416" max="4416" width="10.5703125" style="59" customWidth="1"/>
    <col min="4417" max="4417" width="13.42578125" style="59" customWidth="1"/>
    <col min="4418" max="4418" width="11" style="59" customWidth="1"/>
    <col min="4419" max="4422" width="13.42578125" style="59" customWidth="1"/>
    <col min="4423" max="4423" width="19.5703125" style="59" customWidth="1"/>
    <col min="4424" max="4424" width="16.42578125" style="59" customWidth="1"/>
    <col min="4425" max="4425" width="13.42578125" style="59" customWidth="1"/>
    <col min="4426" max="4426" width="16" style="59" customWidth="1"/>
    <col min="4427" max="4430" width="13.42578125" style="59" customWidth="1"/>
    <col min="4431" max="4431" width="2.140625" style="59" customWidth="1"/>
    <col min="4432" max="4432" width="10.42578125" style="59" customWidth="1"/>
    <col min="4433" max="4433" width="14.140625" style="59" customWidth="1"/>
    <col min="4434" max="4434" width="9.140625" style="59"/>
    <col min="4435" max="4435" width="13.85546875" style="59" customWidth="1"/>
    <col min="4436" max="4436" width="9.140625" style="59"/>
    <col min="4437" max="4437" width="12.5703125" style="59" customWidth="1"/>
    <col min="4438" max="4438" width="10.42578125" style="59" customWidth="1"/>
    <col min="4439" max="4440" width="13.5703125" style="59" customWidth="1"/>
    <col min="4441" max="4441" width="13" style="59" customWidth="1"/>
    <col min="4442" max="4442" width="13.5703125" style="59" customWidth="1"/>
    <col min="4443" max="4445" width="13" style="59" customWidth="1"/>
    <col min="4446" max="4644" width="9.140625" style="59"/>
    <col min="4645" max="4645" width="14" style="59" customWidth="1"/>
    <col min="4646" max="4646" width="2" style="59" customWidth="1"/>
    <col min="4647" max="4647" width="11.85546875" style="59" customWidth="1"/>
    <col min="4648" max="4649" width="13.5703125" style="59" customWidth="1"/>
    <col min="4650" max="4650" width="13.85546875" style="59" customWidth="1"/>
    <col min="4651" max="4652" width="14.5703125" style="59" customWidth="1"/>
    <col min="4653" max="4671" width="13.42578125" style="59" customWidth="1"/>
    <col min="4672" max="4672" width="10.5703125" style="59" customWidth="1"/>
    <col min="4673" max="4673" width="13.42578125" style="59" customWidth="1"/>
    <col min="4674" max="4674" width="11" style="59" customWidth="1"/>
    <col min="4675" max="4678" width="13.42578125" style="59" customWidth="1"/>
    <col min="4679" max="4679" width="19.5703125" style="59" customWidth="1"/>
    <col min="4680" max="4680" width="16.42578125" style="59" customWidth="1"/>
    <col min="4681" max="4681" width="13.42578125" style="59" customWidth="1"/>
    <col min="4682" max="4682" width="16" style="59" customWidth="1"/>
    <col min="4683" max="4686" width="13.42578125" style="59" customWidth="1"/>
    <col min="4687" max="4687" width="2.140625" style="59" customWidth="1"/>
    <col min="4688" max="4688" width="10.42578125" style="59" customWidth="1"/>
    <col min="4689" max="4689" width="14.140625" style="59" customWidth="1"/>
    <col min="4690" max="4690" width="9.140625" style="59"/>
    <col min="4691" max="4691" width="13.85546875" style="59" customWidth="1"/>
    <col min="4692" max="4692" width="9.140625" style="59"/>
    <col min="4693" max="4693" width="12.5703125" style="59" customWidth="1"/>
    <col min="4694" max="4694" width="10.42578125" style="59" customWidth="1"/>
    <col min="4695" max="4696" width="13.5703125" style="59" customWidth="1"/>
    <col min="4697" max="4697" width="13" style="59" customWidth="1"/>
    <col min="4698" max="4698" width="13.5703125" style="59" customWidth="1"/>
    <col min="4699" max="4701" width="13" style="59" customWidth="1"/>
    <col min="4702" max="4900" width="9.140625" style="59"/>
    <col min="4901" max="4901" width="14" style="59" customWidth="1"/>
    <col min="4902" max="4902" width="2" style="59" customWidth="1"/>
    <col min="4903" max="4903" width="11.85546875" style="59" customWidth="1"/>
    <col min="4904" max="4905" width="13.5703125" style="59" customWidth="1"/>
    <col min="4906" max="4906" width="13.85546875" style="59" customWidth="1"/>
    <col min="4907" max="4908" width="14.5703125" style="59" customWidth="1"/>
    <col min="4909" max="4927" width="13.42578125" style="59" customWidth="1"/>
    <col min="4928" max="4928" width="10.5703125" style="59" customWidth="1"/>
    <col min="4929" max="4929" width="13.42578125" style="59" customWidth="1"/>
    <col min="4930" max="4930" width="11" style="59" customWidth="1"/>
    <col min="4931" max="4934" width="13.42578125" style="59" customWidth="1"/>
    <col min="4935" max="4935" width="19.5703125" style="59" customWidth="1"/>
    <col min="4936" max="4936" width="16.42578125" style="59" customWidth="1"/>
    <col min="4937" max="4937" width="13.42578125" style="59" customWidth="1"/>
    <col min="4938" max="4938" width="16" style="59" customWidth="1"/>
    <col min="4939" max="4942" width="13.42578125" style="59" customWidth="1"/>
    <col min="4943" max="4943" width="2.140625" style="59" customWidth="1"/>
    <col min="4944" max="4944" width="10.42578125" style="59" customWidth="1"/>
    <col min="4945" max="4945" width="14.140625" style="59" customWidth="1"/>
    <col min="4946" max="4946" width="9.140625" style="59"/>
    <col min="4947" max="4947" width="13.85546875" style="59" customWidth="1"/>
    <col min="4948" max="4948" width="9.140625" style="59"/>
    <col min="4949" max="4949" width="12.5703125" style="59" customWidth="1"/>
    <col min="4950" max="4950" width="10.42578125" style="59" customWidth="1"/>
    <col min="4951" max="4952" width="13.5703125" style="59" customWidth="1"/>
    <col min="4953" max="4953" width="13" style="59" customWidth="1"/>
    <col min="4954" max="4954" width="13.5703125" style="59" customWidth="1"/>
    <col min="4955" max="4957" width="13" style="59" customWidth="1"/>
    <col min="4958" max="5156" width="9.140625" style="59"/>
    <col min="5157" max="5157" width="14" style="59" customWidth="1"/>
    <col min="5158" max="5158" width="2" style="59" customWidth="1"/>
    <col min="5159" max="5159" width="11.85546875" style="59" customWidth="1"/>
    <col min="5160" max="5161" width="13.5703125" style="59" customWidth="1"/>
    <col min="5162" max="5162" width="13.85546875" style="59" customWidth="1"/>
    <col min="5163" max="5164" width="14.5703125" style="59" customWidth="1"/>
    <col min="5165" max="5183" width="13.42578125" style="59" customWidth="1"/>
    <col min="5184" max="5184" width="10.5703125" style="59" customWidth="1"/>
    <col min="5185" max="5185" width="13.42578125" style="59" customWidth="1"/>
    <col min="5186" max="5186" width="11" style="59" customWidth="1"/>
    <col min="5187" max="5190" width="13.42578125" style="59" customWidth="1"/>
    <col min="5191" max="5191" width="19.5703125" style="59" customWidth="1"/>
    <col min="5192" max="5192" width="16.42578125" style="59" customWidth="1"/>
    <col min="5193" max="5193" width="13.42578125" style="59" customWidth="1"/>
    <col min="5194" max="5194" width="16" style="59" customWidth="1"/>
    <col min="5195" max="5198" width="13.42578125" style="59" customWidth="1"/>
    <col min="5199" max="5199" width="2.140625" style="59" customWidth="1"/>
    <col min="5200" max="5200" width="10.42578125" style="59" customWidth="1"/>
    <col min="5201" max="5201" width="14.140625" style="59" customWidth="1"/>
    <col min="5202" max="5202" width="9.140625" style="59"/>
    <col min="5203" max="5203" width="13.85546875" style="59" customWidth="1"/>
    <col min="5204" max="5204" width="9.140625" style="59"/>
    <col min="5205" max="5205" width="12.5703125" style="59" customWidth="1"/>
    <col min="5206" max="5206" width="10.42578125" style="59" customWidth="1"/>
    <col min="5207" max="5208" width="13.5703125" style="59" customWidth="1"/>
    <col min="5209" max="5209" width="13" style="59" customWidth="1"/>
    <col min="5210" max="5210" width="13.5703125" style="59" customWidth="1"/>
    <col min="5211" max="5213" width="13" style="59" customWidth="1"/>
    <col min="5214" max="5412" width="9.140625" style="59"/>
    <col min="5413" max="5413" width="14" style="59" customWidth="1"/>
    <col min="5414" max="5414" width="2" style="59" customWidth="1"/>
    <col min="5415" max="5415" width="11.85546875" style="59" customWidth="1"/>
    <col min="5416" max="5417" width="13.5703125" style="59" customWidth="1"/>
    <col min="5418" max="5418" width="13.85546875" style="59" customWidth="1"/>
    <col min="5419" max="5420" width="14.5703125" style="59" customWidth="1"/>
    <col min="5421" max="5439" width="13.42578125" style="59" customWidth="1"/>
    <col min="5440" max="5440" width="10.5703125" style="59" customWidth="1"/>
    <col min="5441" max="5441" width="13.42578125" style="59" customWidth="1"/>
    <col min="5442" max="5442" width="11" style="59" customWidth="1"/>
    <col min="5443" max="5446" width="13.42578125" style="59" customWidth="1"/>
    <col min="5447" max="5447" width="19.5703125" style="59" customWidth="1"/>
    <col min="5448" max="5448" width="16.42578125" style="59" customWidth="1"/>
    <col min="5449" max="5449" width="13.42578125" style="59" customWidth="1"/>
    <col min="5450" max="5450" width="16" style="59" customWidth="1"/>
    <col min="5451" max="5454" width="13.42578125" style="59" customWidth="1"/>
    <col min="5455" max="5455" width="2.140625" style="59" customWidth="1"/>
    <col min="5456" max="5456" width="10.42578125" style="59" customWidth="1"/>
    <col min="5457" max="5457" width="14.140625" style="59" customWidth="1"/>
    <col min="5458" max="5458" width="9.140625" style="59"/>
    <col min="5459" max="5459" width="13.85546875" style="59" customWidth="1"/>
    <col min="5460" max="5460" width="9.140625" style="59"/>
    <col min="5461" max="5461" width="12.5703125" style="59" customWidth="1"/>
    <col min="5462" max="5462" width="10.42578125" style="59" customWidth="1"/>
    <col min="5463" max="5464" width="13.5703125" style="59" customWidth="1"/>
    <col min="5465" max="5465" width="13" style="59" customWidth="1"/>
    <col min="5466" max="5466" width="13.5703125" style="59" customWidth="1"/>
    <col min="5467" max="5469" width="13" style="59" customWidth="1"/>
    <col min="5470" max="5668" width="9.140625" style="59"/>
    <col min="5669" max="5669" width="14" style="59" customWidth="1"/>
    <col min="5670" max="5670" width="2" style="59" customWidth="1"/>
    <col min="5671" max="5671" width="11.85546875" style="59" customWidth="1"/>
    <col min="5672" max="5673" width="13.5703125" style="59" customWidth="1"/>
    <col min="5674" max="5674" width="13.85546875" style="59" customWidth="1"/>
    <col min="5675" max="5676" width="14.5703125" style="59" customWidth="1"/>
    <col min="5677" max="5695" width="13.42578125" style="59" customWidth="1"/>
    <col min="5696" max="5696" width="10.5703125" style="59" customWidth="1"/>
    <col min="5697" max="5697" width="13.42578125" style="59" customWidth="1"/>
    <col min="5698" max="5698" width="11" style="59" customWidth="1"/>
    <col min="5699" max="5702" width="13.42578125" style="59" customWidth="1"/>
    <col min="5703" max="5703" width="19.5703125" style="59" customWidth="1"/>
    <col min="5704" max="5704" width="16.42578125" style="59" customWidth="1"/>
    <col min="5705" max="5705" width="13.42578125" style="59" customWidth="1"/>
    <col min="5706" max="5706" width="16" style="59" customWidth="1"/>
    <col min="5707" max="5710" width="13.42578125" style="59" customWidth="1"/>
    <col min="5711" max="5711" width="2.140625" style="59" customWidth="1"/>
    <col min="5712" max="5712" width="10.42578125" style="59" customWidth="1"/>
    <col min="5713" max="5713" width="14.140625" style="59" customWidth="1"/>
    <col min="5714" max="5714" width="9.140625" style="59"/>
    <col min="5715" max="5715" width="13.85546875" style="59" customWidth="1"/>
    <col min="5716" max="5716" width="9.140625" style="59"/>
    <col min="5717" max="5717" width="12.5703125" style="59" customWidth="1"/>
    <col min="5718" max="5718" width="10.42578125" style="59" customWidth="1"/>
    <col min="5719" max="5720" width="13.5703125" style="59" customWidth="1"/>
    <col min="5721" max="5721" width="13" style="59" customWidth="1"/>
    <col min="5722" max="5722" width="13.5703125" style="59" customWidth="1"/>
    <col min="5723" max="5725" width="13" style="59" customWidth="1"/>
    <col min="5726" max="5924" width="9.140625" style="59"/>
    <col min="5925" max="5925" width="14" style="59" customWidth="1"/>
    <col min="5926" max="5926" width="2" style="59" customWidth="1"/>
    <col min="5927" max="5927" width="11.85546875" style="59" customWidth="1"/>
    <col min="5928" max="5929" width="13.5703125" style="59" customWidth="1"/>
    <col min="5930" max="5930" width="13.85546875" style="59" customWidth="1"/>
    <col min="5931" max="5932" width="14.5703125" style="59" customWidth="1"/>
    <col min="5933" max="5951" width="13.42578125" style="59" customWidth="1"/>
    <col min="5952" max="5952" width="10.5703125" style="59" customWidth="1"/>
    <col min="5953" max="5953" width="13.42578125" style="59" customWidth="1"/>
    <col min="5954" max="5954" width="11" style="59" customWidth="1"/>
    <col min="5955" max="5958" width="13.42578125" style="59" customWidth="1"/>
    <col min="5959" max="5959" width="19.5703125" style="59" customWidth="1"/>
    <col min="5960" max="5960" width="16.42578125" style="59" customWidth="1"/>
    <col min="5961" max="5961" width="13.42578125" style="59" customWidth="1"/>
    <col min="5962" max="5962" width="16" style="59" customWidth="1"/>
    <col min="5963" max="5966" width="13.42578125" style="59" customWidth="1"/>
    <col min="5967" max="5967" width="2.140625" style="59" customWidth="1"/>
    <col min="5968" max="5968" width="10.42578125" style="59" customWidth="1"/>
    <col min="5969" max="5969" width="14.140625" style="59" customWidth="1"/>
    <col min="5970" max="5970" width="9.140625" style="59"/>
    <col min="5971" max="5971" width="13.85546875" style="59" customWidth="1"/>
    <col min="5972" max="5972" width="9.140625" style="59"/>
    <col min="5973" max="5973" width="12.5703125" style="59" customWidth="1"/>
    <col min="5974" max="5974" width="10.42578125" style="59" customWidth="1"/>
    <col min="5975" max="5976" width="13.5703125" style="59" customWidth="1"/>
    <col min="5977" max="5977" width="13" style="59" customWidth="1"/>
    <col min="5978" max="5978" width="13.5703125" style="59" customWidth="1"/>
    <col min="5979" max="5981" width="13" style="59" customWidth="1"/>
    <col min="5982" max="6180" width="9.140625" style="59"/>
    <col min="6181" max="6181" width="14" style="59" customWidth="1"/>
    <col min="6182" max="6182" width="2" style="59" customWidth="1"/>
    <col min="6183" max="6183" width="11.85546875" style="59" customWidth="1"/>
    <col min="6184" max="6185" width="13.5703125" style="59" customWidth="1"/>
    <col min="6186" max="6186" width="13.85546875" style="59" customWidth="1"/>
    <col min="6187" max="6188" width="14.5703125" style="59" customWidth="1"/>
    <col min="6189" max="6207" width="13.42578125" style="59" customWidth="1"/>
    <col min="6208" max="6208" width="10.5703125" style="59" customWidth="1"/>
    <col min="6209" max="6209" width="13.42578125" style="59" customWidth="1"/>
    <col min="6210" max="6210" width="11" style="59" customWidth="1"/>
    <col min="6211" max="6214" width="13.42578125" style="59" customWidth="1"/>
    <col min="6215" max="6215" width="19.5703125" style="59" customWidth="1"/>
    <col min="6216" max="6216" width="16.42578125" style="59" customWidth="1"/>
    <col min="6217" max="6217" width="13.42578125" style="59" customWidth="1"/>
    <col min="6218" max="6218" width="16" style="59" customWidth="1"/>
    <col min="6219" max="6222" width="13.42578125" style="59" customWidth="1"/>
    <col min="6223" max="6223" width="2.140625" style="59" customWidth="1"/>
    <col min="6224" max="6224" width="10.42578125" style="59" customWidth="1"/>
    <col min="6225" max="6225" width="14.140625" style="59" customWidth="1"/>
    <col min="6226" max="6226" width="9.140625" style="59"/>
    <col min="6227" max="6227" width="13.85546875" style="59" customWidth="1"/>
    <col min="6228" max="6228" width="9.140625" style="59"/>
    <col min="6229" max="6229" width="12.5703125" style="59" customWidth="1"/>
    <col min="6230" max="6230" width="10.42578125" style="59" customWidth="1"/>
    <col min="6231" max="6232" width="13.5703125" style="59" customWidth="1"/>
    <col min="6233" max="6233" width="13" style="59" customWidth="1"/>
    <col min="6234" max="6234" width="13.5703125" style="59" customWidth="1"/>
    <col min="6235" max="6237" width="13" style="59" customWidth="1"/>
    <col min="6238" max="6436" width="9.140625" style="59"/>
    <col min="6437" max="6437" width="14" style="59" customWidth="1"/>
    <col min="6438" max="6438" width="2" style="59" customWidth="1"/>
    <col min="6439" max="6439" width="11.85546875" style="59" customWidth="1"/>
    <col min="6440" max="6441" width="13.5703125" style="59" customWidth="1"/>
    <col min="6442" max="6442" width="13.85546875" style="59" customWidth="1"/>
    <col min="6443" max="6444" width="14.5703125" style="59" customWidth="1"/>
    <col min="6445" max="6463" width="13.42578125" style="59" customWidth="1"/>
    <col min="6464" max="6464" width="10.5703125" style="59" customWidth="1"/>
    <col min="6465" max="6465" width="13.42578125" style="59" customWidth="1"/>
    <col min="6466" max="6466" width="11" style="59" customWidth="1"/>
    <col min="6467" max="6470" width="13.42578125" style="59" customWidth="1"/>
    <col min="6471" max="6471" width="19.5703125" style="59" customWidth="1"/>
    <col min="6472" max="6472" width="16.42578125" style="59" customWidth="1"/>
    <col min="6473" max="6473" width="13.42578125" style="59" customWidth="1"/>
    <col min="6474" max="6474" width="16" style="59" customWidth="1"/>
    <col min="6475" max="6478" width="13.42578125" style="59" customWidth="1"/>
    <col min="6479" max="6479" width="2.140625" style="59" customWidth="1"/>
    <col min="6480" max="6480" width="10.42578125" style="59" customWidth="1"/>
    <col min="6481" max="6481" width="14.140625" style="59" customWidth="1"/>
    <col min="6482" max="6482" width="9.140625" style="59"/>
    <col min="6483" max="6483" width="13.85546875" style="59" customWidth="1"/>
    <col min="6484" max="6484" width="9.140625" style="59"/>
    <col min="6485" max="6485" width="12.5703125" style="59" customWidth="1"/>
    <col min="6486" max="6486" width="10.42578125" style="59" customWidth="1"/>
    <col min="6487" max="6488" width="13.5703125" style="59" customWidth="1"/>
    <col min="6489" max="6489" width="13" style="59" customWidth="1"/>
    <col min="6490" max="6490" width="13.5703125" style="59" customWidth="1"/>
    <col min="6491" max="6493" width="13" style="59" customWidth="1"/>
    <col min="6494" max="6692" width="9.140625" style="59"/>
    <col min="6693" max="6693" width="14" style="59" customWidth="1"/>
    <col min="6694" max="6694" width="2" style="59" customWidth="1"/>
    <col min="6695" max="6695" width="11.85546875" style="59" customWidth="1"/>
    <col min="6696" max="6697" width="13.5703125" style="59" customWidth="1"/>
    <col min="6698" max="6698" width="13.85546875" style="59" customWidth="1"/>
    <col min="6699" max="6700" width="14.5703125" style="59" customWidth="1"/>
    <col min="6701" max="6719" width="13.42578125" style="59" customWidth="1"/>
    <col min="6720" max="6720" width="10.5703125" style="59" customWidth="1"/>
    <col min="6721" max="6721" width="13.42578125" style="59" customWidth="1"/>
    <col min="6722" max="6722" width="11" style="59" customWidth="1"/>
    <col min="6723" max="6726" width="13.42578125" style="59" customWidth="1"/>
    <col min="6727" max="6727" width="19.5703125" style="59" customWidth="1"/>
    <col min="6728" max="6728" width="16.42578125" style="59" customWidth="1"/>
    <col min="6729" max="6729" width="13.42578125" style="59" customWidth="1"/>
    <col min="6730" max="6730" width="16" style="59" customWidth="1"/>
    <col min="6731" max="6734" width="13.42578125" style="59" customWidth="1"/>
    <col min="6735" max="6735" width="2.140625" style="59" customWidth="1"/>
    <col min="6736" max="6736" width="10.42578125" style="59" customWidth="1"/>
    <col min="6737" max="6737" width="14.140625" style="59" customWidth="1"/>
    <col min="6738" max="6738" width="9.140625" style="59"/>
    <col min="6739" max="6739" width="13.85546875" style="59" customWidth="1"/>
    <col min="6740" max="6740" width="9.140625" style="59"/>
    <col min="6741" max="6741" width="12.5703125" style="59" customWidth="1"/>
    <col min="6742" max="6742" width="10.42578125" style="59" customWidth="1"/>
    <col min="6743" max="6744" width="13.5703125" style="59" customWidth="1"/>
    <col min="6745" max="6745" width="13" style="59" customWidth="1"/>
    <col min="6746" max="6746" width="13.5703125" style="59" customWidth="1"/>
    <col min="6747" max="6749" width="13" style="59" customWidth="1"/>
    <col min="6750" max="6948" width="9.140625" style="59"/>
    <col min="6949" max="6949" width="14" style="59" customWidth="1"/>
    <col min="6950" max="6950" width="2" style="59" customWidth="1"/>
    <col min="6951" max="6951" width="11.85546875" style="59" customWidth="1"/>
    <col min="6952" max="6953" width="13.5703125" style="59" customWidth="1"/>
    <col min="6954" max="6954" width="13.85546875" style="59" customWidth="1"/>
    <col min="6955" max="6956" width="14.5703125" style="59" customWidth="1"/>
    <col min="6957" max="6975" width="13.42578125" style="59" customWidth="1"/>
    <col min="6976" max="6976" width="10.5703125" style="59" customWidth="1"/>
    <col min="6977" max="6977" width="13.42578125" style="59" customWidth="1"/>
    <col min="6978" max="6978" width="11" style="59" customWidth="1"/>
    <col min="6979" max="6982" width="13.42578125" style="59" customWidth="1"/>
    <col min="6983" max="6983" width="19.5703125" style="59" customWidth="1"/>
    <col min="6984" max="6984" width="16.42578125" style="59" customWidth="1"/>
    <col min="6985" max="6985" width="13.42578125" style="59" customWidth="1"/>
    <col min="6986" max="6986" width="16" style="59" customWidth="1"/>
    <col min="6987" max="6990" width="13.42578125" style="59" customWidth="1"/>
    <col min="6991" max="6991" width="2.140625" style="59" customWidth="1"/>
    <col min="6992" max="6992" width="10.42578125" style="59" customWidth="1"/>
    <col min="6993" max="6993" width="14.140625" style="59" customWidth="1"/>
    <col min="6994" max="6994" width="9.140625" style="59"/>
    <col min="6995" max="6995" width="13.85546875" style="59" customWidth="1"/>
    <col min="6996" max="6996" width="9.140625" style="59"/>
    <col min="6997" max="6997" width="12.5703125" style="59" customWidth="1"/>
    <col min="6998" max="6998" width="10.42578125" style="59" customWidth="1"/>
    <col min="6999" max="7000" width="13.5703125" style="59" customWidth="1"/>
    <col min="7001" max="7001" width="13" style="59" customWidth="1"/>
    <col min="7002" max="7002" width="13.5703125" style="59" customWidth="1"/>
    <col min="7003" max="7005" width="13" style="59" customWidth="1"/>
    <col min="7006" max="7204" width="9.140625" style="59"/>
    <col min="7205" max="7205" width="14" style="59" customWidth="1"/>
    <col min="7206" max="7206" width="2" style="59" customWidth="1"/>
    <col min="7207" max="7207" width="11.85546875" style="59" customWidth="1"/>
    <col min="7208" max="7209" width="13.5703125" style="59" customWidth="1"/>
    <col min="7210" max="7210" width="13.85546875" style="59" customWidth="1"/>
    <col min="7211" max="7212" width="14.5703125" style="59" customWidth="1"/>
    <col min="7213" max="7231" width="13.42578125" style="59" customWidth="1"/>
    <col min="7232" max="7232" width="10.5703125" style="59" customWidth="1"/>
    <col min="7233" max="7233" width="13.42578125" style="59" customWidth="1"/>
    <col min="7234" max="7234" width="11" style="59" customWidth="1"/>
    <col min="7235" max="7238" width="13.42578125" style="59" customWidth="1"/>
    <col min="7239" max="7239" width="19.5703125" style="59" customWidth="1"/>
    <col min="7240" max="7240" width="16.42578125" style="59" customWidth="1"/>
    <col min="7241" max="7241" width="13.42578125" style="59" customWidth="1"/>
    <col min="7242" max="7242" width="16" style="59" customWidth="1"/>
    <col min="7243" max="7246" width="13.42578125" style="59" customWidth="1"/>
    <col min="7247" max="7247" width="2.140625" style="59" customWidth="1"/>
    <col min="7248" max="7248" width="10.42578125" style="59" customWidth="1"/>
    <col min="7249" max="7249" width="14.140625" style="59" customWidth="1"/>
    <col min="7250" max="7250" width="9.140625" style="59"/>
    <col min="7251" max="7251" width="13.85546875" style="59" customWidth="1"/>
    <col min="7252" max="7252" width="9.140625" style="59"/>
    <col min="7253" max="7253" width="12.5703125" style="59" customWidth="1"/>
    <col min="7254" max="7254" width="10.42578125" style="59" customWidth="1"/>
    <col min="7255" max="7256" width="13.5703125" style="59" customWidth="1"/>
    <col min="7257" max="7257" width="13" style="59" customWidth="1"/>
    <col min="7258" max="7258" width="13.5703125" style="59" customWidth="1"/>
    <col min="7259" max="7261" width="13" style="59" customWidth="1"/>
    <col min="7262" max="7460" width="9.140625" style="59"/>
    <col min="7461" max="7461" width="14" style="59" customWidth="1"/>
    <col min="7462" max="7462" width="2" style="59" customWidth="1"/>
    <col min="7463" max="7463" width="11.85546875" style="59" customWidth="1"/>
    <col min="7464" max="7465" width="13.5703125" style="59" customWidth="1"/>
    <col min="7466" max="7466" width="13.85546875" style="59" customWidth="1"/>
    <col min="7467" max="7468" width="14.5703125" style="59" customWidth="1"/>
    <col min="7469" max="7487" width="13.42578125" style="59" customWidth="1"/>
    <col min="7488" max="7488" width="10.5703125" style="59" customWidth="1"/>
    <col min="7489" max="7489" width="13.42578125" style="59" customWidth="1"/>
    <col min="7490" max="7490" width="11" style="59" customWidth="1"/>
    <col min="7491" max="7494" width="13.42578125" style="59" customWidth="1"/>
    <col min="7495" max="7495" width="19.5703125" style="59" customWidth="1"/>
    <col min="7496" max="7496" width="16.42578125" style="59" customWidth="1"/>
    <col min="7497" max="7497" width="13.42578125" style="59" customWidth="1"/>
    <col min="7498" max="7498" width="16" style="59" customWidth="1"/>
    <col min="7499" max="7502" width="13.42578125" style="59" customWidth="1"/>
    <col min="7503" max="7503" width="2.140625" style="59" customWidth="1"/>
    <col min="7504" max="7504" width="10.42578125" style="59" customWidth="1"/>
    <col min="7505" max="7505" width="14.140625" style="59" customWidth="1"/>
    <col min="7506" max="7506" width="9.140625" style="59"/>
    <col min="7507" max="7507" width="13.85546875" style="59" customWidth="1"/>
    <col min="7508" max="7508" width="9.140625" style="59"/>
    <col min="7509" max="7509" width="12.5703125" style="59" customWidth="1"/>
    <col min="7510" max="7510" width="10.42578125" style="59" customWidth="1"/>
    <col min="7511" max="7512" width="13.5703125" style="59" customWidth="1"/>
    <col min="7513" max="7513" width="13" style="59" customWidth="1"/>
    <col min="7514" max="7514" width="13.5703125" style="59" customWidth="1"/>
    <col min="7515" max="7517" width="13" style="59" customWidth="1"/>
    <col min="7518" max="7716" width="9.140625" style="59"/>
    <col min="7717" max="7717" width="14" style="59" customWidth="1"/>
    <col min="7718" max="7718" width="2" style="59" customWidth="1"/>
    <col min="7719" max="7719" width="11.85546875" style="59" customWidth="1"/>
    <col min="7720" max="7721" width="13.5703125" style="59" customWidth="1"/>
    <col min="7722" max="7722" width="13.85546875" style="59" customWidth="1"/>
    <col min="7723" max="7724" width="14.5703125" style="59" customWidth="1"/>
    <col min="7725" max="7743" width="13.42578125" style="59" customWidth="1"/>
    <col min="7744" max="7744" width="10.5703125" style="59" customWidth="1"/>
    <col min="7745" max="7745" width="13.42578125" style="59" customWidth="1"/>
    <col min="7746" max="7746" width="11" style="59" customWidth="1"/>
    <col min="7747" max="7750" width="13.42578125" style="59" customWidth="1"/>
    <col min="7751" max="7751" width="19.5703125" style="59" customWidth="1"/>
    <col min="7752" max="7752" width="16.42578125" style="59" customWidth="1"/>
    <col min="7753" max="7753" width="13.42578125" style="59" customWidth="1"/>
    <col min="7754" max="7754" width="16" style="59" customWidth="1"/>
    <col min="7755" max="7758" width="13.42578125" style="59" customWidth="1"/>
    <col min="7759" max="7759" width="2.140625" style="59" customWidth="1"/>
    <col min="7760" max="7760" width="10.42578125" style="59" customWidth="1"/>
    <col min="7761" max="7761" width="14.140625" style="59" customWidth="1"/>
    <col min="7762" max="7762" width="9.140625" style="59"/>
    <col min="7763" max="7763" width="13.85546875" style="59" customWidth="1"/>
    <col min="7764" max="7764" width="9.140625" style="59"/>
    <col min="7765" max="7765" width="12.5703125" style="59" customWidth="1"/>
    <col min="7766" max="7766" width="10.42578125" style="59" customWidth="1"/>
    <col min="7767" max="7768" width="13.5703125" style="59" customWidth="1"/>
    <col min="7769" max="7769" width="13" style="59" customWidth="1"/>
    <col min="7770" max="7770" width="13.5703125" style="59" customWidth="1"/>
    <col min="7771" max="7773" width="13" style="59" customWidth="1"/>
    <col min="7774" max="7972" width="9.140625" style="59"/>
    <col min="7973" max="7973" width="14" style="59" customWidth="1"/>
    <col min="7974" max="7974" width="2" style="59" customWidth="1"/>
    <col min="7975" max="7975" width="11.85546875" style="59" customWidth="1"/>
    <col min="7976" max="7977" width="13.5703125" style="59" customWidth="1"/>
    <col min="7978" max="7978" width="13.85546875" style="59" customWidth="1"/>
    <col min="7979" max="7980" width="14.5703125" style="59" customWidth="1"/>
    <col min="7981" max="7999" width="13.42578125" style="59" customWidth="1"/>
    <col min="8000" max="8000" width="10.5703125" style="59" customWidth="1"/>
    <col min="8001" max="8001" width="13.42578125" style="59" customWidth="1"/>
    <col min="8002" max="8002" width="11" style="59" customWidth="1"/>
    <col min="8003" max="8006" width="13.42578125" style="59" customWidth="1"/>
    <col min="8007" max="8007" width="19.5703125" style="59" customWidth="1"/>
    <col min="8008" max="8008" width="16.42578125" style="59" customWidth="1"/>
    <col min="8009" max="8009" width="13.42578125" style="59" customWidth="1"/>
    <col min="8010" max="8010" width="16" style="59" customWidth="1"/>
    <col min="8011" max="8014" width="13.42578125" style="59" customWidth="1"/>
    <col min="8015" max="8015" width="2.140625" style="59" customWidth="1"/>
    <col min="8016" max="8016" width="10.42578125" style="59" customWidth="1"/>
    <col min="8017" max="8017" width="14.140625" style="59" customWidth="1"/>
    <col min="8018" max="8018" width="9.140625" style="59"/>
    <col min="8019" max="8019" width="13.85546875" style="59" customWidth="1"/>
    <col min="8020" max="8020" width="9.140625" style="59"/>
    <col min="8021" max="8021" width="12.5703125" style="59" customWidth="1"/>
    <col min="8022" max="8022" width="10.42578125" style="59" customWidth="1"/>
    <col min="8023" max="8024" width="13.5703125" style="59" customWidth="1"/>
    <col min="8025" max="8025" width="13" style="59" customWidth="1"/>
    <col min="8026" max="8026" width="13.5703125" style="59" customWidth="1"/>
    <col min="8027" max="8029" width="13" style="59" customWidth="1"/>
    <col min="8030" max="8228" width="9.140625" style="59"/>
    <col min="8229" max="8229" width="14" style="59" customWidth="1"/>
    <col min="8230" max="8230" width="2" style="59" customWidth="1"/>
    <col min="8231" max="8231" width="11.85546875" style="59" customWidth="1"/>
    <col min="8232" max="8233" width="13.5703125" style="59" customWidth="1"/>
    <col min="8234" max="8234" width="13.85546875" style="59" customWidth="1"/>
    <col min="8235" max="8236" width="14.5703125" style="59" customWidth="1"/>
    <col min="8237" max="8255" width="13.42578125" style="59" customWidth="1"/>
    <col min="8256" max="8256" width="10.5703125" style="59" customWidth="1"/>
    <col min="8257" max="8257" width="13.42578125" style="59" customWidth="1"/>
    <col min="8258" max="8258" width="11" style="59" customWidth="1"/>
    <col min="8259" max="8262" width="13.42578125" style="59" customWidth="1"/>
    <col min="8263" max="8263" width="19.5703125" style="59" customWidth="1"/>
    <col min="8264" max="8264" width="16.42578125" style="59" customWidth="1"/>
    <col min="8265" max="8265" width="13.42578125" style="59" customWidth="1"/>
    <col min="8266" max="8266" width="16" style="59" customWidth="1"/>
    <col min="8267" max="8270" width="13.42578125" style="59" customWidth="1"/>
    <col min="8271" max="8271" width="2.140625" style="59" customWidth="1"/>
    <col min="8272" max="8272" width="10.42578125" style="59" customWidth="1"/>
    <col min="8273" max="8273" width="14.140625" style="59" customWidth="1"/>
    <col min="8274" max="8274" width="9.140625" style="59"/>
    <col min="8275" max="8275" width="13.85546875" style="59" customWidth="1"/>
    <col min="8276" max="8276" width="9.140625" style="59"/>
    <col min="8277" max="8277" width="12.5703125" style="59" customWidth="1"/>
    <col min="8278" max="8278" width="10.42578125" style="59" customWidth="1"/>
    <col min="8279" max="8280" width="13.5703125" style="59" customWidth="1"/>
    <col min="8281" max="8281" width="13" style="59" customWidth="1"/>
    <col min="8282" max="8282" width="13.5703125" style="59" customWidth="1"/>
    <col min="8283" max="8285" width="13" style="59" customWidth="1"/>
    <col min="8286" max="8484" width="9.140625" style="59"/>
    <col min="8485" max="8485" width="14" style="59" customWidth="1"/>
    <col min="8486" max="8486" width="2" style="59" customWidth="1"/>
    <col min="8487" max="8487" width="11.85546875" style="59" customWidth="1"/>
    <col min="8488" max="8489" width="13.5703125" style="59" customWidth="1"/>
    <col min="8490" max="8490" width="13.85546875" style="59" customWidth="1"/>
    <col min="8491" max="8492" width="14.5703125" style="59" customWidth="1"/>
    <col min="8493" max="8511" width="13.42578125" style="59" customWidth="1"/>
    <col min="8512" max="8512" width="10.5703125" style="59" customWidth="1"/>
    <col min="8513" max="8513" width="13.42578125" style="59" customWidth="1"/>
    <col min="8514" max="8514" width="11" style="59" customWidth="1"/>
    <col min="8515" max="8518" width="13.42578125" style="59" customWidth="1"/>
    <col min="8519" max="8519" width="19.5703125" style="59" customWidth="1"/>
    <col min="8520" max="8520" width="16.42578125" style="59" customWidth="1"/>
    <col min="8521" max="8521" width="13.42578125" style="59" customWidth="1"/>
    <col min="8522" max="8522" width="16" style="59" customWidth="1"/>
    <col min="8523" max="8526" width="13.42578125" style="59" customWidth="1"/>
    <col min="8527" max="8527" width="2.140625" style="59" customWidth="1"/>
    <col min="8528" max="8528" width="10.42578125" style="59" customWidth="1"/>
    <col min="8529" max="8529" width="14.140625" style="59" customWidth="1"/>
    <col min="8530" max="8530" width="9.140625" style="59"/>
    <col min="8531" max="8531" width="13.85546875" style="59" customWidth="1"/>
    <col min="8532" max="8532" width="9.140625" style="59"/>
    <col min="8533" max="8533" width="12.5703125" style="59" customWidth="1"/>
    <col min="8534" max="8534" width="10.42578125" style="59" customWidth="1"/>
    <col min="8535" max="8536" width="13.5703125" style="59" customWidth="1"/>
    <col min="8537" max="8537" width="13" style="59" customWidth="1"/>
    <col min="8538" max="8538" width="13.5703125" style="59" customWidth="1"/>
    <col min="8539" max="8541" width="13" style="59" customWidth="1"/>
    <col min="8542" max="8740" width="9.140625" style="59"/>
    <col min="8741" max="8741" width="14" style="59" customWidth="1"/>
    <col min="8742" max="8742" width="2" style="59" customWidth="1"/>
    <col min="8743" max="8743" width="11.85546875" style="59" customWidth="1"/>
    <col min="8744" max="8745" width="13.5703125" style="59" customWidth="1"/>
    <col min="8746" max="8746" width="13.85546875" style="59" customWidth="1"/>
    <col min="8747" max="8748" width="14.5703125" style="59" customWidth="1"/>
    <col min="8749" max="8767" width="13.42578125" style="59" customWidth="1"/>
    <col min="8768" max="8768" width="10.5703125" style="59" customWidth="1"/>
    <col min="8769" max="8769" width="13.42578125" style="59" customWidth="1"/>
    <col min="8770" max="8770" width="11" style="59" customWidth="1"/>
    <col min="8771" max="8774" width="13.42578125" style="59" customWidth="1"/>
    <col min="8775" max="8775" width="19.5703125" style="59" customWidth="1"/>
    <col min="8776" max="8776" width="16.42578125" style="59" customWidth="1"/>
    <col min="8777" max="8777" width="13.42578125" style="59" customWidth="1"/>
    <col min="8778" max="8778" width="16" style="59" customWidth="1"/>
    <col min="8779" max="8782" width="13.42578125" style="59" customWidth="1"/>
    <col min="8783" max="8783" width="2.140625" style="59" customWidth="1"/>
    <col min="8784" max="8784" width="10.42578125" style="59" customWidth="1"/>
    <col min="8785" max="8785" width="14.140625" style="59" customWidth="1"/>
    <col min="8786" max="8786" width="9.140625" style="59"/>
    <col min="8787" max="8787" width="13.85546875" style="59" customWidth="1"/>
    <col min="8788" max="8788" width="9.140625" style="59"/>
    <col min="8789" max="8789" width="12.5703125" style="59" customWidth="1"/>
    <col min="8790" max="8790" width="10.42578125" style="59" customWidth="1"/>
    <col min="8791" max="8792" width="13.5703125" style="59" customWidth="1"/>
    <col min="8793" max="8793" width="13" style="59" customWidth="1"/>
    <col min="8794" max="8794" width="13.5703125" style="59" customWidth="1"/>
    <col min="8795" max="8797" width="13" style="59" customWidth="1"/>
    <col min="8798" max="8996" width="9.140625" style="59"/>
    <col min="8997" max="8997" width="14" style="59" customWidth="1"/>
    <col min="8998" max="8998" width="2" style="59" customWidth="1"/>
    <col min="8999" max="8999" width="11.85546875" style="59" customWidth="1"/>
    <col min="9000" max="9001" width="13.5703125" style="59" customWidth="1"/>
    <col min="9002" max="9002" width="13.85546875" style="59" customWidth="1"/>
    <col min="9003" max="9004" width="14.5703125" style="59" customWidth="1"/>
    <col min="9005" max="9023" width="13.42578125" style="59" customWidth="1"/>
    <col min="9024" max="9024" width="10.5703125" style="59" customWidth="1"/>
    <col min="9025" max="9025" width="13.42578125" style="59" customWidth="1"/>
    <col min="9026" max="9026" width="11" style="59" customWidth="1"/>
    <col min="9027" max="9030" width="13.42578125" style="59" customWidth="1"/>
    <col min="9031" max="9031" width="19.5703125" style="59" customWidth="1"/>
    <col min="9032" max="9032" width="16.42578125" style="59" customWidth="1"/>
    <col min="9033" max="9033" width="13.42578125" style="59" customWidth="1"/>
    <col min="9034" max="9034" width="16" style="59" customWidth="1"/>
    <col min="9035" max="9038" width="13.42578125" style="59" customWidth="1"/>
    <col min="9039" max="9039" width="2.140625" style="59" customWidth="1"/>
    <col min="9040" max="9040" width="10.42578125" style="59" customWidth="1"/>
    <col min="9041" max="9041" width="14.140625" style="59" customWidth="1"/>
    <col min="9042" max="9042" width="9.140625" style="59"/>
    <col min="9043" max="9043" width="13.85546875" style="59" customWidth="1"/>
    <col min="9044" max="9044" width="9.140625" style="59"/>
    <col min="9045" max="9045" width="12.5703125" style="59" customWidth="1"/>
    <col min="9046" max="9046" width="10.42578125" style="59" customWidth="1"/>
    <col min="9047" max="9048" width="13.5703125" style="59" customWidth="1"/>
    <col min="9049" max="9049" width="13" style="59" customWidth="1"/>
    <col min="9050" max="9050" width="13.5703125" style="59" customWidth="1"/>
    <col min="9051" max="9053" width="13" style="59" customWidth="1"/>
    <col min="9054" max="9252" width="9.140625" style="59"/>
    <col min="9253" max="9253" width="14" style="59" customWidth="1"/>
    <col min="9254" max="9254" width="2" style="59" customWidth="1"/>
    <col min="9255" max="9255" width="11.85546875" style="59" customWidth="1"/>
    <col min="9256" max="9257" width="13.5703125" style="59" customWidth="1"/>
    <col min="9258" max="9258" width="13.85546875" style="59" customWidth="1"/>
    <col min="9259" max="9260" width="14.5703125" style="59" customWidth="1"/>
    <col min="9261" max="9279" width="13.42578125" style="59" customWidth="1"/>
    <col min="9280" max="9280" width="10.5703125" style="59" customWidth="1"/>
    <col min="9281" max="9281" width="13.42578125" style="59" customWidth="1"/>
    <col min="9282" max="9282" width="11" style="59" customWidth="1"/>
    <col min="9283" max="9286" width="13.42578125" style="59" customWidth="1"/>
    <col min="9287" max="9287" width="19.5703125" style="59" customWidth="1"/>
    <col min="9288" max="9288" width="16.42578125" style="59" customWidth="1"/>
    <col min="9289" max="9289" width="13.42578125" style="59" customWidth="1"/>
    <col min="9290" max="9290" width="16" style="59" customWidth="1"/>
    <col min="9291" max="9294" width="13.42578125" style="59" customWidth="1"/>
    <col min="9295" max="9295" width="2.140625" style="59" customWidth="1"/>
    <col min="9296" max="9296" width="10.42578125" style="59" customWidth="1"/>
    <col min="9297" max="9297" width="14.140625" style="59" customWidth="1"/>
    <col min="9298" max="9298" width="9.140625" style="59"/>
    <col min="9299" max="9299" width="13.85546875" style="59" customWidth="1"/>
    <col min="9300" max="9300" width="9.140625" style="59"/>
    <col min="9301" max="9301" width="12.5703125" style="59" customWidth="1"/>
    <col min="9302" max="9302" width="10.42578125" style="59" customWidth="1"/>
    <col min="9303" max="9304" width="13.5703125" style="59" customWidth="1"/>
    <col min="9305" max="9305" width="13" style="59" customWidth="1"/>
    <col min="9306" max="9306" width="13.5703125" style="59" customWidth="1"/>
    <col min="9307" max="9309" width="13" style="59" customWidth="1"/>
    <col min="9310" max="9508" width="9.140625" style="59"/>
    <col min="9509" max="9509" width="14" style="59" customWidth="1"/>
    <col min="9510" max="9510" width="2" style="59" customWidth="1"/>
    <col min="9511" max="9511" width="11.85546875" style="59" customWidth="1"/>
    <col min="9512" max="9513" width="13.5703125" style="59" customWidth="1"/>
    <col min="9514" max="9514" width="13.85546875" style="59" customWidth="1"/>
    <col min="9515" max="9516" width="14.5703125" style="59" customWidth="1"/>
    <col min="9517" max="9535" width="13.42578125" style="59" customWidth="1"/>
    <col min="9536" max="9536" width="10.5703125" style="59" customWidth="1"/>
    <col min="9537" max="9537" width="13.42578125" style="59" customWidth="1"/>
    <col min="9538" max="9538" width="11" style="59" customWidth="1"/>
    <col min="9539" max="9542" width="13.42578125" style="59" customWidth="1"/>
    <col min="9543" max="9543" width="19.5703125" style="59" customWidth="1"/>
    <col min="9544" max="9544" width="16.42578125" style="59" customWidth="1"/>
    <col min="9545" max="9545" width="13.42578125" style="59" customWidth="1"/>
    <col min="9546" max="9546" width="16" style="59" customWidth="1"/>
    <col min="9547" max="9550" width="13.42578125" style="59" customWidth="1"/>
    <col min="9551" max="9551" width="2.140625" style="59" customWidth="1"/>
    <col min="9552" max="9552" width="10.42578125" style="59" customWidth="1"/>
    <col min="9553" max="9553" width="14.140625" style="59" customWidth="1"/>
    <col min="9554" max="9554" width="9.140625" style="59"/>
    <col min="9555" max="9555" width="13.85546875" style="59" customWidth="1"/>
    <col min="9556" max="9556" width="9.140625" style="59"/>
    <col min="9557" max="9557" width="12.5703125" style="59" customWidth="1"/>
    <col min="9558" max="9558" width="10.42578125" style="59" customWidth="1"/>
    <col min="9559" max="9560" width="13.5703125" style="59" customWidth="1"/>
    <col min="9561" max="9561" width="13" style="59" customWidth="1"/>
    <col min="9562" max="9562" width="13.5703125" style="59" customWidth="1"/>
    <col min="9563" max="9565" width="13" style="59" customWidth="1"/>
    <col min="9566" max="9764" width="9.140625" style="59"/>
    <col min="9765" max="9765" width="14" style="59" customWidth="1"/>
    <col min="9766" max="9766" width="2" style="59" customWidth="1"/>
    <col min="9767" max="9767" width="11.85546875" style="59" customWidth="1"/>
    <col min="9768" max="9769" width="13.5703125" style="59" customWidth="1"/>
    <col min="9770" max="9770" width="13.85546875" style="59" customWidth="1"/>
    <col min="9771" max="9772" width="14.5703125" style="59" customWidth="1"/>
    <col min="9773" max="9791" width="13.42578125" style="59" customWidth="1"/>
    <col min="9792" max="9792" width="10.5703125" style="59" customWidth="1"/>
    <col min="9793" max="9793" width="13.42578125" style="59" customWidth="1"/>
    <col min="9794" max="9794" width="11" style="59" customWidth="1"/>
    <col min="9795" max="9798" width="13.42578125" style="59" customWidth="1"/>
    <col min="9799" max="9799" width="19.5703125" style="59" customWidth="1"/>
    <col min="9800" max="9800" width="16.42578125" style="59" customWidth="1"/>
    <col min="9801" max="9801" width="13.42578125" style="59" customWidth="1"/>
    <col min="9802" max="9802" width="16" style="59" customWidth="1"/>
    <col min="9803" max="9806" width="13.42578125" style="59" customWidth="1"/>
    <col min="9807" max="9807" width="2.140625" style="59" customWidth="1"/>
    <col min="9808" max="9808" width="10.42578125" style="59" customWidth="1"/>
    <col min="9809" max="9809" width="14.140625" style="59" customWidth="1"/>
    <col min="9810" max="9810" width="9.140625" style="59"/>
    <col min="9811" max="9811" width="13.85546875" style="59" customWidth="1"/>
    <col min="9812" max="9812" width="9.140625" style="59"/>
    <col min="9813" max="9813" width="12.5703125" style="59" customWidth="1"/>
    <col min="9814" max="9814" width="10.42578125" style="59" customWidth="1"/>
    <col min="9815" max="9816" width="13.5703125" style="59" customWidth="1"/>
    <col min="9817" max="9817" width="13" style="59" customWidth="1"/>
    <col min="9818" max="9818" width="13.5703125" style="59" customWidth="1"/>
    <col min="9819" max="9821" width="13" style="59" customWidth="1"/>
    <col min="9822" max="10020" width="9.140625" style="59"/>
    <col min="10021" max="10021" width="14" style="59" customWidth="1"/>
    <col min="10022" max="10022" width="2" style="59" customWidth="1"/>
    <col min="10023" max="10023" width="11.85546875" style="59" customWidth="1"/>
    <col min="10024" max="10025" width="13.5703125" style="59" customWidth="1"/>
    <col min="10026" max="10026" width="13.85546875" style="59" customWidth="1"/>
    <col min="10027" max="10028" width="14.5703125" style="59" customWidth="1"/>
    <col min="10029" max="10047" width="13.42578125" style="59" customWidth="1"/>
    <col min="10048" max="10048" width="10.5703125" style="59" customWidth="1"/>
    <col min="10049" max="10049" width="13.42578125" style="59" customWidth="1"/>
    <col min="10050" max="10050" width="11" style="59" customWidth="1"/>
    <col min="10051" max="10054" width="13.42578125" style="59" customWidth="1"/>
    <col min="10055" max="10055" width="19.5703125" style="59" customWidth="1"/>
    <col min="10056" max="10056" width="16.42578125" style="59" customWidth="1"/>
    <col min="10057" max="10057" width="13.42578125" style="59" customWidth="1"/>
    <col min="10058" max="10058" width="16" style="59" customWidth="1"/>
    <col min="10059" max="10062" width="13.42578125" style="59" customWidth="1"/>
    <col min="10063" max="10063" width="2.140625" style="59" customWidth="1"/>
    <col min="10064" max="10064" width="10.42578125" style="59" customWidth="1"/>
    <col min="10065" max="10065" width="14.140625" style="59" customWidth="1"/>
    <col min="10066" max="10066" width="9.140625" style="59"/>
    <col min="10067" max="10067" width="13.85546875" style="59" customWidth="1"/>
    <col min="10068" max="10068" width="9.140625" style="59"/>
    <col min="10069" max="10069" width="12.5703125" style="59" customWidth="1"/>
    <col min="10070" max="10070" width="10.42578125" style="59" customWidth="1"/>
    <col min="10071" max="10072" width="13.5703125" style="59" customWidth="1"/>
    <col min="10073" max="10073" width="13" style="59" customWidth="1"/>
    <col min="10074" max="10074" width="13.5703125" style="59" customWidth="1"/>
    <col min="10075" max="10077" width="13" style="59" customWidth="1"/>
    <col min="10078" max="10276" width="9.140625" style="59"/>
    <col min="10277" max="10277" width="14" style="59" customWidth="1"/>
    <col min="10278" max="10278" width="2" style="59" customWidth="1"/>
    <col min="10279" max="10279" width="11.85546875" style="59" customWidth="1"/>
    <col min="10280" max="10281" width="13.5703125" style="59" customWidth="1"/>
    <col min="10282" max="10282" width="13.85546875" style="59" customWidth="1"/>
    <col min="10283" max="10284" width="14.5703125" style="59" customWidth="1"/>
    <col min="10285" max="10303" width="13.42578125" style="59" customWidth="1"/>
    <col min="10304" max="10304" width="10.5703125" style="59" customWidth="1"/>
    <col min="10305" max="10305" width="13.42578125" style="59" customWidth="1"/>
    <col min="10306" max="10306" width="11" style="59" customWidth="1"/>
    <col min="10307" max="10310" width="13.42578125" style="59" customWidth="1"/>
    <col min="10311" max="10311" width="19.5703125" style="59" customWidth="1"/>
    <col min="10312" max="10312" width="16.42578125" style="59" customWidth="1"/>
    <col min="10313" max="10313" width="13.42578125" style="59" customWidth="1"/>
    <col min="10314" max="10314" width="16" style="59" customWidth="1"/>
    <col min="10315" max="10318" width="13.42578125" style="59" customWidth="1"/>
    <col min="10319" max="10319" width="2.140625" style="59" customWidth="1"/>
    <col min="10320" max="10320" width="10.42578125" style="59" customWidth="1"/>
    <col min="10321" max="10321" width="14.140625" style="59" customWidth="1"/>
    <col min="10322" max="10322" width="9.140625" style="59"/>
    <col min="10323" max="10323" width="13.85546875" style="59" customWidth="1"/>
    <col min="10324" max="10324" width="9.140625" style="59"/>
    <col min="10325" max="10325" width="12.5703125" style="59" customWidth="1"/>
    <col min="10326" max="10326" width="10.42578125" style="59" customWidth="1"/>
    <col min="10327" max="10328" width="13.5703125" style="59" customWidth="1"/>
    <col min="10329" max="10329" width="13" style="59" customWidth="1"/>
    <col min="10330" max="10330" width="13.5703125" style="59" customWidth="1"/>
    <col min="10331" max="10333" width="13" style="59" customWidth="1"/>
    <col min="10334" max="10532" width="9.140625" style="59"/>
    <col min="10533" max="10533" width="14" style="59" customWidth="1"/>
    <col min="10534" max="10534" width="2" style="59" customWidth="1"/>
    <col min="10535" max="10535" width="11.85546875" style="59" customWidth="1"/>
    <col min="10536" max="10537" width="13.5703125" style="59" customWidth="1"/>
    <col min="10538" max="10538" width="13.85546875" style="59" customWidth="1"/>
    <col min="10539" max="10540" width="14.5703125" style="59" customWidth="1"/>
    <col min="10541" max="10559" width="13.42578125" style="59" customWidth="1"/>
    <col min="10560" max="10560" width="10.5703125" style="59" customWidth="1"/>
    <col min="10561" max="10561" width="13.42578125" style="59" customWidth="1"/>
    <col min="10562" max="10562" width="11" style="59" customWidth="1"/>
    <col min="10563" max="10566" width="13.42578125" style="59" customWidth="1"/>
    <col min="10567" max="10567" width="19.5703125" style="59" customWidth="1"/>
    <col min="10568" max="10568" width="16.42578125" style="59" customWidth="1"/>
    <col min="10569" max="10569" width="13.42578125" style="59" customWidth="1"/>
    <col min="10570" max="10570" width="16" style="59" customWidth="1"/>
    <col min="10571" max="10574" width="13.42578125" style="59" customWidth="1"/>
    <col min="10575" max="10575" width="2.140625" style="59" customWidth="1"/>
    <col min="10576" max="10576" width="10.42578125" style="59" customWidth="1"/>
    <col min="10577" max="10577" width="14.140625" style="59" customWidth="1"/>
    <col min="10578" max="10578" width="9.140625" style="59"/>
    <col min="10579" max="10579" width="13.85546875" style="59" customWidth="1"/>
    <col min="10580" max="10580" width="9.140625" style="59"/>
    <col min="10581" max="10581" width="12.5703125" style="59" customWidth="1"/>
    <col min="10582" max="10582" width="10.42578125" style="59" customWidth="1"/>
    <col min="10583" max="10584" width="13.5703125" style="59" customWidth="1"/>
    <col min="10585" max="10585" width="13" style="59" customWidth="1"/>
    <col min="10586" max="10586" width="13.5703125" style="59" customWidth="1"/>
    <col min="10587" max="10589" width="13" style="59" customWidth="1"/>
    <col min="10590" max="10788" width="9.140625" style="59"/>
    <col min="10789" max="10789" width="14" style="59" customWidth="1"/>
    <col min="10790" max="10790" width="2" style="59" customWidth="1"/>
    <col min="10791" max="10791" width="11.85546875" style="59" customWidth="1"/>
    <col min="10792" max="10793" width="13.5703125" style="59" customWidth="1"/>
    <col min="10794" max="10794" width="13.85546875" style="59" customWidth="1"/>
    <col min="10795" max="10796" width="14.5703125" style="59" customWidth="1"/>
    <col min="10797" max="10815" width="13.42578125" style="59" customWidth="1"/>
    <col min="10816" max="10816" width="10.5703125" style="59" customWidth="1"/>
    <col min="10817" max="10817" width="13.42578125" style="59" customWidth="1"/>
    <col min="10818" max="10818" width="11" style="59" customWidth="1"/>
    <col min="10819" max="10822" width="13.42578125" style="59" customWidth="1"/>
    <col min="10823" max="10823" width="19.5703125" style="59" customWidth="1"/>
    <col min="10824" max="10824" width="16.42578125" style="59" customWidth="1"/>
    <col min="10825" max="10825" width="13.42578125" style="59" customWidth="1"/>
    <col min="10826" max="10826" width="16" style="59" customWidth="1"/>
    <col min="10827" max="10830" width="13.42578125" style="59" customWidth="1"/>
    <col min="10831" max="10831" width="2.140625" style="59" customWidth="1"/>
    <col min="10832" max="10832" width="10.42578125" style="59" customWidth="1"/>
    <col min="10833" max="10833" width="14.140625" style="59" customWidth="1"/>
    <col min="10834" max="10834" width="9.140625" style="59"/>
    <col min="10835" max="10835" width="13.85546875" style="59" customWidth="1"/>
    <col min="10836" max="10836" width="9.140625" style="59"/>
    <col min="10837" max="10837" width="12.5703125" style="59" customWidth="1"/>
    <col min="10838" max="10838" width="10.42578125" style="59" customWidth="1"/>
    <col min="10839" max="10840" width="13.5703125" style="59" customWidth="1"/>
    <col min="10841" max="10841" width="13" style="59" customWidth="1"/>
    <col min="10842" max="10842" width="13.5703125" style="59" customWidth="1"/>
    <col min="10843" max="10845" width="13" style="59" customWidth="1"/>
    <col min="10846" max="11044" width="9.140625" style="59"/>
    <col min="11045" max="11045" width="14" style="59" customWidth="1"/>
    <col min="11046" max="11046" width="2" style="59" customWidth="1"/>
    <col min="11047" max="11047" width="11.85546875" style="59" customWidth="1"/>
    <col min="11048" max="11049" width="13.5703125" style="59" customWidth="1"/>
    <col min="11050" max="11050" width="13.85546875" style="59" customWidth="1"/>
    <col min="11051" max="11052" width="14.5703125" style="59" customWidth="1"/>
    <col min="11053" max="11071" width="13.42578125" style="59" customWidth="1"/>
    <col min="11072" max="11072" width="10.5703125" style="59" customWidth="1"/>
    <col min="11073" max="11073" width="13.42578125" style="59" customWidth="1"/>
    <col min="11074" max="11074" width="11" style="59" customWidth="1"/>
    <col min="11075" max="11078" width="13.42578125" style="59" customWidth="1"/>
    <col min="11079" max="11079" width="19.5703125" style="59" customWidth="1"/>
    <col min="11080" max="11080" width="16.42578125" style="59" customWidth="1"/>
    <col min="11081" max="11081" width="13.42578125" style="59" customWidth="1"/>
    <col min="11082" max="11082" width="16" style="59" customWidth="1"/>
    <col min="11083" max="11086" width="13.42578125" style="59" customWidth="1"/>
    <col min="11087" max="11087" width="2.140625" style="59" customWidth="1"/>
    <col min="11088" max="11088" width="10.42578125" style="59" customWidth="1"/>
    <col min="11089" max="11089" width="14.140625" style="59" customWidth="1"/>
    <col min="11090" max="11090" width="9.140625" style="59"/>
    <col min="11091" max="11091" width="13.85546875" style="59" customWidth="1"/>
    <col min="11092" max="11092" width="9.140625" style="59"/>
    <col min="11093" max="11093" width="12.5703125" style="59" customWidth="1"/>
    <col min="11094" max="11094" width="10.42578125" style="59" customWidth="1"/>
    <col min="11095" max="11096" width="13.5703125" style="59" customWidth="1"/>
    <col min="11097" max="11097" width="13" style="59" customWidth="1"/>
    <col min="11098" max="11098" width="13.5703125" style="59" customWidth="1"/>
    <col min="11099" max="11101" width="13" style="59" customWidth="1"/>
    <col min="11102" max="11300" width="9.140625" style="59"/>
    <col min="11301" max="11301" width="14" style="59" customWidth="1"/>
    <col min="11302" max="11302" width="2" style="59" customWidth="1"/>
    <col min="11303" max="11303" width="11.85546875" style="59" customWidth="1"/>
    <col min="11304" max="11305" width="13.5703125" style="59" customWidth="1"/>
    <col min="11306" max="11306" width="13.85546875" style="59" customWidth="1"/>
    <col min="11307" max="11308" width="14.5703125" style="59" customWidth="1"/>
    <col min="11309" max="11327" width="13.42578125" style="59" customWidth="1"/>
    <col min="11328" max="11328" width="10.5703125" style="59" customWidth="1"/>
    <col min="11329" max="11329" width="13.42578125" style="59" customWidth="1"/>
    <col min="11330" max="11330" width="11" style="59" customWidth="1"/>
    <col min="11331" max="11334" width="13.42578125" style="59" customWidth="1"/>
    <col min="11335" max="11335" width="19.5703125" style="59" customWidth="1"/>
    <col min="11336" max="11336" width="16.42578125" style="59" customWidth="1"/>
    <col min="11337" max="11337" width="13.42578125" style="59" customWidth="1"/>
    <col min="11338" max="11338" width="16" style="59" customWidth="1"/>
    <col min="11339" max="11342" width="13.42578125" style="59" customWidth="1"/>
    <col min="11343" max="11343" width="2.140625" style="59" customWidth="1"/>
    <col min="11344" max="11344" width="10.42578125" style="59" customWidth="1"/>
    <col min="11345" max="11345" width="14.140625" style="59" customWidth="1"/>
    <col min="11346" max="11346" width="9.140625" style="59"/>
    <col min="11347" max="11347" width="13.85546875" style="59" customWidth="1"/>
    <col min="11348" max="11348" width="9.140625" style="59"/>
    <col min="11349" max="11349" width="12.5703125" style="59" customWidth="1"/>
    <col min="11350" max="11350" width="10.42578125" style="59" customWidth="1"/>
    <col min="11351" max="11352" width="13.5703125" style="59" customWidth="1"/>
    <col min="11353" max="11353" width="13" style="59" customWidth="1"/>
    <col min="11354" max="11354" width="13.5703125" style="59" customWidth="1"/>
    <col min="11355" max="11357" width="13" style="59" customWidth="1"/>
    <col min="11358" max="11556" width="9.140625" style="59"/>
    <col min="11557" max="11557" width="14" style="59" customWidth="1"/>
    <col min="11558" max="11558" width="2" style="59" customWidth="1"/>
    <col min="11559" max="11559" width="11.85546875" style="59" customWidth="1"/>
    <col min="11560" max="11561" width="13.5703125" style="59" customWidth="1"/>
    <col min="11562" max="11562" width="13.85546875" style="59" customWidth="1"/>
    <col min="11563" max="11564" width="14.5703125" style="59" customWidth="1"/>
    <col min="11565" max="11583" width="13.42578125" style="59" customWidth="1"/>
    <col min="11584" max="11584" width="10.5703125" style="59" customWidth="1"/>
    <col min="11585" max="11585" width="13.42578125" style="59" customWidth="1"/>
    <col min="11586" max="11586" width="11" style="59" customWidth="1"/>
    <col min="11587" max="11590" width="13.42578125" style="59" customWidth="1"/>
    <col min="11591" max="11591" width="19.5703125" style="59" customWidth="1"/>
    <col min="11592" max="11592" width="16.42578125" style="59" customWidth="1"/>
    <col min="11593" max="11593" width="13.42578125" style="59" customWidth="1"/>
    <col min="11594" max="11594" width="16" style="59" customWidth="1"/>
    <col min="11595" max="11598" width="13.42578125" style="59" customWidth="1"/>
    <col min="11599" max="11599" width="2.140625" style="59" customWidth="1"/>
    <col min="11600" max="11600" width="10.42578125" style="59" customWidth="1"/>
    <col min="11601" max="11601" width="14.140625" style="59" customWidth="1"/>
    <col min="11602" max="11602" width="9.140625" style="59"/>
    <col min="11603" max="11603" width="13.85546875" style="59" customWidth="1"/>
    <col min="11604" max="11604" width="9.140625" style="59"/>
    <col min="11605" max="11605" width="12.5703125" style="59" customWidth="1"/>
    <col min="11606" max="11606" width="10.42578125" style="59" customWidth="1"/>
    <col min="11607" max="11608" width="13.5703125" style="59" customWidth="1"/>
    <col min="11609" max="11609" width="13" style="59" customWidth="1"/>
    <col min="11610" max="11610" width="13.5703125" style="59" customWidth="1"/>
    <col min="11611" max="11613" width="13" style="59" customWidth="1"/>
    <col min="11614" max="11812" width="9.140625" style="59"/>
    <col min="11813" max="11813" width="14" style="59" customWidth="1"/>
    <col min="11814" max="11814" width="2" style="59" customWidth="1"/>
    <col min="11815" max="11815" width="11.85546875" style="59" customWidth="1"/>
    <col min="11816" max="11817" width="13.5703125" style="59" customWidth="1"/>
    <col min="11818" max="11818" width="13.85546875" style="59" customWidth="1"/>
    <col min="11819" max="11820" width="14.5703125" style="59" customWidth="1"/>
    <col min="11821" max="11839" width="13.42578125" style="59" customWidth="1"/>
    <col min="11840" max="11840" width="10.5703125" style="59" customWidth="1"/>
    <col min="11841" max="11841" width="13.42578125" style="59" customWidth="1"/>
    <col min="11842" max="11842" width="11" style="59" customWidth="1"/>
    <col min="11843" max="11846" width="13.42578125" style="59" customWidth="1"/>
    <col min="11847" max="11847" width="19.5703125" style="59" customWidth="1"/>
    <col min="11848" max="11848" width="16.42578125" style="59" customWidth="1"/>
    <col min="11849" max="11849" width="13.42578125" style="59" customWidth="1"/>
    <col min="11850" max="11850" width="16" style="59" customWidth="1"/>
    <col min="11851" max="11854" width="13.42578125" style="59" customWidth="1"/>
    <col min="11855" max="11855" width="2.140625" style="59" customWidth="1"/>
    <col min="11856" max="11856" width="10.42578125" style="59" customWidth="1"/>
    <col min="11857" max="11857" width="14.140625" style="59" customWidth="1"/>
    <col min="11858" max="11858" width="9.140625" style="59"/>
    <col min="11859" max="11859" width="13.85546875" style="59" customWidth="1"/>
    <col min="11860" max="11860" width="9.140625" style="59"/>
    <col min="11861" max="11861" width="12.5703125" style="59" customWidth="1"/>
    <col min="11862" max="11862" width="10.42578125" style="59" customWidth="1"/>
    <col min="11863" max="11864" width="13.5703125" style="59" customWidth="1"/>
    <col min="11865" max="11865" width="13" style="59" customWidth="1"/>
    <col min="11866" max="11866" width="13.5703125" style="59" customWidth="1"/>
    <col min="11867" max="11869" width="13" style="59" customWidth="1"/>
    <col min="11870" max="12068" width="9.140625" style="59"/>
    <col min="12069" max="12069" width="14" style="59" customWidth="1"/>
    <col min="12070" max="12070" width="2" style="59" customWidth="1"/>
    <col min="12071" max="12071" width="11.85546875" style="59" customWidth="1"/>
    <col min="12072" max="12073" width="13.5703125" style="59" customWidth="1"/>
    <col min="12074" max="12074" width="13.85546875" style="59" customWidth="1"/>
    <col min="12075" max="12076" width="14.5703125" style="59" customWidth="1"/>
    <col min="12077" max="12095" width="13.42578125" style="59" customWidth="1"/>
    <col min="12096" max="12096" width="10.5703125" style="59" customWidth="1"/>
    <col min="12097" max="12097" width="13.42578125" style="59" customWidth="1"/>
    <col min="12098" max="12098" width="11" style="59" customWidth="1"/>
    <col min="12099" max="12102" width="13.42578125" style="59" customWidth="1"/>
    <col min="12103" max="12103" width="19.5703125" style="59" customWidth="1"/>
    <col min="12104" max="12104" width="16.42578125" style="59" customWidth="1"/>
    <col min="12105" max="12105" width="13.42578125" style="59" customWidth="1"/>
    <col min="12106" max="12106" width="16" style="59" customWidth="1"/>
    <col min="12107" max="12110" width="13.42578125" style="59" customWidth="1"/>
    <col min="12111" max="12111" width="2.140625" style="59" customWidth="1"/>
    <col min="12112" max="12112" width="10.42578125" style="59" customWidth="1"/>
    <col min="12113" max="12113" width="14.140625" style="59" customWidth="1"/>
    <col min="12114" max="12114" width="9.140625" style="59"/>
    <col min="12115" max="12115" width="13.85546875" style="59" customWidth="1"/>
    <col min="12116" max="12116" width="9.140625" style="59"/>
    <col min="12117" max="12117" width="12.5703125" style="59" customWidth="1"/>
    <col min="12118" max="12118" width="10.42578125" style="59" customWidth="1"/>
    <col min="12119" max="12120" width="13.5703125" style="59" customWidth="1"/>
    <col min="12121" max="12121" width="13" style="59" customWidth="1"/>
    <col min="12122" max="12122" width="13.5703125" style="59" customWidth="1"/>
    <col min="12123" max="12125" width="13" style="59" customWidth="1"/>
    <col min="12126" max="12324" width="9.140625" style="59"/>
    <col min="12325" max="12325" width="14" style="59" customWidth="1"/>
    <col min="12326" max="12326" width="2" style="59" customWidth="1"/>
    <col min="12327" max="12327" width="11.85546875" style="59" customWidth="1"/>
    <col min="12328" max="12329" width="13.5703125" style="59" customWidth="1"/>
    <col min="12330" max="12330" width="13.85546875" style="59" customWidth="1"/>
    <col min="12331" max="12332" width="14.5703125" style="59" customWidth="1"/>
    <col min="12333" max="12351" width="13.42578125" style="59" customWidth="1"/>
    <col min="12352" max="12352" width="10.5703125" style="59" customWidth="1"/>
    <col min="12353" max="12353" width="13.42578125" style="59" customWidth="1"/>
    <col min="12354" max="12354" width="11" style="59" customWidth="1"/>
    <col min="12355" max="12358" width="13.42578125" style="59" customWidth="1"/>
    <col min="12359" max="12359" width="19.5703125" style="59" customWidth="1"/>
    <col min="12360" max="12360" width="16.42578125" style="59" customWidth="1"/>
    <col min="12361" max="12361" width="13.42578125" style="59" customWidth="1"/>
    <col min="12362" max="12362" width="16" style="59" customWidth="1"/>
    <col min="12363" max="12366" width="13.42578125" style="59" customWidth="1"/>
    <col min="12367" max="12367" width="2.140625" style="59" customWidth="1"/>
    <col min="12368" max="12368" width="10.42578125" style="59" customWidth="1"/>
    <col min="12369" max="12369" width="14.140625" style="59" customWidth="1"/>
    <col min="12370" max="12370" width="9.140625" style="59"/>
    <col min="12371" max="12371" width="13.85546875" style="59" customWidth="1"/>
    <col min="12372" max="12372" width="9.140625" style="59"/>
    <col min="12373" max="12373" width="12.5703125" style="59" customWidth="1"/>
    <col min="12374" max="12374" width="10.42578125" style="59" customWidth="1"/>
    <col min="12375" max="12376" width="13.5703125" style="59" customWidth="1"/>
    <col min="12377" max="12377" width="13" style="59" customWidth="1"/>
    <col min="12378" max="12378" width="13.5703125" style="59" customWidth="1"/>
    <col min="12379" max="12381" width="13" style="59" customWidth="1"/>
    <col min="12382" max="12580" width="9.140625" style="59"/>
    <col min="12581" max="12581" width="14" style="59" customWidth="1"/>
    <col min="12582" max="12582" width="2" style="59" customWidth="1"/>
    <col min="12583" max="12583" width="11.85546875" style="59" customWidth="1"/>
    <col min="12584" max="12585" width="13.5703125" style="59" customWidth="1"/>
    <col min="12586" max="12586" width="13.85546875" style="59" customWidth="1"/>
    <col min="12587" max="12588" width="14.5703125" style="59" customWidth="1"/>
    <col min="12589" max="12607" width="13.42578125" style="59" customWidth="1"/>
    <col min="12608" max="12608" width="10.5703125" style="59" customWidth="1"/>
    <col min="12609" max="12609" width="13.42578125" style="59" customWidth="1"/>
    <col min="12610" max="12610" width="11" style="59" customWidth="1"/>
    <col min="12611" max="12614" width="13.42578125" style="59" customWidth="1"/>
    <col min="12615" max="12615" width="19.5703125" style="59" customWidth="1"/>
    <col min="12616" max="12616" width="16.42578125" style="59" customWidth="1"/>
    <col min="12617" max="12617" width="13.42578125" style="59" customWidth="1"/>
    <col min="12618" max="12618" width="16" style="59" customWidth="1"/>
    <col min="12619" max="12622" width="13.42578125" style="59" customWidth="1"/>
    <col min="12623" max="12623" width="2.140625" style="59" customWidth="1"/>
    <col min="12624" max="12624" width="10.42578125" style="59" customWidth="1"/>
    <col min="12625" max="12625" width="14.140625" style="59" customWidth="1"/>
    <col min="12626" max="12626" width="9.140625" style="59"/>
    <col min="12627" max="12627" width="13.85546875" style="59" customWidth="1"/>
    <col min="12628" max="12628" width="9.140625" style="59"/>
    <col min="12629" max="12629" width="12.5703125" style="59" customWidth="1"/>
    <col min="12630" max="12630" width="10.42578125" style="59" customWidth="1"/>
    <col min="12631" max="12632" width="13.5703125" style="59" customWidth="1"/>
    <col min="12633" max="12633" width="13" style="59" customWidth="1"/>
    <col min="12634" max="12634" width="13.5703125" style="59" customWidth="1"/>
    <col min="12635" max="12637" width="13" style="59" customWidth="1"/>
    <col min="12638" max="12836" width="9.140625" style="59"/>
    <col min="12837" max="12837" width="14" style="59" customWidth="1"/>
    <col min="12838" max="12838" width="2" style="59" customWidth="1"/>
    <col min="12839" max="12839" width="11.85546875" style="59" customWidth="1"/>
    <col min="12840" max="12841" width="13.5703125" style="59" customWidth="1"/>
    <col min="12842" max="12842" width="13.85546875" style="59" customWidth="1"/>
    <col min="12843" max="12844" width="14.5703125" style="59" customWidth="1"/>
    <col min="12845" max="12863" width="13.42578125" style="59" customWidth="1"/>
    <col min="12864" max="12864" width="10.5703125" style="59" customWidth="1"/>
    <col min="12865" max="12865" width="13.42578125" style="59" customWidth="1"/>
    <col min="12866" max="12866" width="11" style="59" customWidth="1"/>
    <col min="12867" max="12870" width="13.42578125" style="59" customWidth="1"/>
    <col min="12871" max="12871" width="19.5703125" style="59" customWidth="1"/>
    <col min="12872" max="12872" width="16.42578125" style="59" customWidth="1"/>
    <col min="12873" max="12873" width="13.42578125" style="59" customWidth="1"/>
    <col min="12874" max="12874" width="16" style="59" customWidth="1"/>
    <col min="12875" max="12878" width="13.42578125" style="59" customWidth="1"/>
    <col min="12879" max="12879" width="2.140625" style="59" customWidth="1"/>
    <col min="12880" max="12880" width="10.42578125" style="59" customWidth="1"/>
    <col min="12881" max="12881" width="14.140625" style="59" customWidth="1"/>
    <col min="12882" max="12882" width="9.140625" style="59"/>
    <col min="12883" max="12883" width="13.85546875" style="59" customWidth="1"/>
    <col min="12884" max="12884" width="9.140625" style="59"/>
    <col min="12885" max="12885" width="12.5703125" style="59" customWidth="1"/>
    <col min="12886" max="12886" width="10.42578125" style="59" customWidth="1"/>
    <col min="12887" max="12888" width="13.5703125" style="59" customWidth="1"/>
    <col min="12889" max="12889" width="13" style="59" customWidth="1"/>
    <col min="12890" max="12890" width="13.5703125" style="59" customWidth="1"/>
    <col min="12891" max="12893" width="13" style="59" customWidth="1"/>
    <col min="12894" max="13092" width="9.140625" style="59"/>
    <col min="13093" max="13093" width="14" style="59" customWidth="1"/>
    <col min="13094" max="13094" width="2" style="59" customWidth="1"/>
    <col min="13095" max="13095" width="11.85546875" style="59" customWidth="1"/>
    <col min="13096" max="13097" width="13.5703125" style="59" customWidth="1"/>
    <col min="13098" max="13098" width="13.85546875" style="59" customWidth="1"/>
    <col min="13099" max="13100" width="14.5703125" style="59" customWidth="1"/>
    <col min="13101" max="13119" width="13.42578125" style="59" customWidth="1"/>
    <col min="13120" max="13120" width="10.5703125" style="59" customWidth="1"/>
    <col min="13121" max="13121" width="13.42578125" style="59" customWidth="1"/>
    <col min="13122" max="13122" width="11" style="59" customWidth="1"/>
    <col min="13123" max="13126" width="13.42578125" style="59" customWidth="1"/>
    <col min="13127" max="13127" width="19.5703125" style="59" customWidth="1"/>
    <col min="13128" max="13128" width="16.42578125" style="59" customWidth="1"/>
    <col min="13129" max="13129" width="13.42578125" style="59" customWidth="1"/>
    <col min="13130" max="13130" width="16" style="59" customWidth="1"/>
    <col min="13131" max="13134" width="13.42578125" style="59" customWidth="1"/>
    <col min="13135" max="13135" width="2.140625" style="59" customWidth="1"/>
    <col min="13136" max="13136" width="10.42578125" style="59" customWidth="1"/>
    <col min="13137" max="13137" width="14.140625" style="59" customWidth="1"/>
    <col min="13138" max="13138" width="9.140625" style="59"/>
    <col min="13139" max="13139" width="13.85546875" style="59" customWidth="1"/>
    <col min="13140" max="13140" width="9.140625" style="59"/>
    <col min="13141" max="13141" width="12.5703125" style="59" customWidth="1"/>
    <col min="13142" max="13142" width="10.42578125" style="59" customWidth="1"/>
    <col min="13143" max="13144" width="13.5703125" style="59" customWidth="1"/>
    <col min="13145" max="13145" width="13" style="59" customWidth="1"/>
    <col min="13146" max="13146" width="13.5703125" style="59" customWidth="1"/>
    <col min="13147" max="13149" width="13" style="59" customWidth="1"/>
    <col min="13150" max="13348" width="9.140625" style="59"/>
    <col min="13349" max="13349" width="14" style="59" customWidth="1"/>
    <col min="13350" max="13350" width="2" style="59" customWidth="1"/>
    <col min="13351" max="13351" width="11.85546875" style="59" customWidth="1"/>
    <col min="13352" max="13353" width="13.5703125" style="59" customWidth="1"/>
    <col min="13354" max="13354" width="13.85546875" style="59" customWidth="1"/>
    <col min="13355" max="13356" width="14.5703125" style="59" customWidth="1"/>
    <col min="13357" max="13375" width="13.42578125" style="59" customWidth="1"/>
    <col min="13376" max="13376" width="10.5703125" style="59" customWidth="1"/>
    <col min="13377" max="13377" width="13.42578125" style="59" customWidth="1"/>
    <col min="13378" max="13378" width="11" style="59" customWidth="1"/>
    <col min="13379" max="13382" width="13.42578125" style="59" customWidth="1"/>
    <col min="13383" max="13383" width="19.5703125" style="59" customWidth="1"/>
    <col min="13384" max="13384" width="16.42578125" style="59" customWidth="1"/>
    <col min="13385" max="13385" width="13.42578125" style="59" customWidth="1"/>
    <col min="13386" max="13386" width="16" style="59" customWidth="1"/>
    <col min="13387" max="13390" width="13.42578125" style="59" customWidth="1"/>
    <col min="13391" max="13391" width="2.140625" style="59" customWidth="1"/>
    <col min="13392" max="13392" width="10.42578125" style="59" customWidth="1"/>
    <col min="13393" max="13393" width="14.140625" style="59" customWidth="1"/>
    <col min="13394" max="13394" width="9.140625" style="59"/>
    <col min="13395" max="13395" width="13.85546875" style="59" customWidth="1"/>
    <col min="13396" max="13396" width="9.140625" style="59"/>
    <col min="13397" max="13397" width="12.5703125" style="59" customWidth="1"/>
    <col min="13398" max="13398" width="10.42578125" style="59" customWidth="1"/>
    <col min="13399" max="13400" width="13.5703125" style="59" customWidth="1"/>
    <col min="13401" max="13401" width="13" style="59" customWidth="1"/>
    <col min="13402" max="13402" width="13.5703125" style="59" customWidth="1"/>
    <col min="13403" max="13405" width="13" style="59" customWidth="1"/>
    <col min="13406" max="13604" width="9.140625" style="59"/>
    <col min="13605" max="13605" width="14" style="59" customWidth="1"/>
    <col min="13606" max="13606" width="2" style="59" customWidth="1"/>
    <col min="13607" max="13607" width="11.85546875" style="59" customWidth="1"/>
    <col min="13608" max="13609" width="13.5703125" style="59" customWidth="1"/>
    <col min="13610" max="13610" width="13.85546875" style="59" customWidth="1"/>
    <col min="13611" max="13612" width="14.5703125" style="59" customWidth="1"/>
    <col min="13613" max="13631" width="13.42578125" style="59" customWidth="1"/>
    <col min="13632" max="13632" width="10.5703125" style="59" customWidth="1"/>
    <col min="13633" max="13633" width="13.42578125" style="59" customWidth="1"/>
    <col min="13634" max="13634" width="11" style="59" customWidth="1"/>
    <col min="13635" max="13638" width="13.42578125" style="59" customWidth="1"/>
    <col min="13639" max="13639" width="19.5703125" style="59" customWidth="1"/>
    <col min="13640" max="13640" width="16.42578125" style="59" customWidth="1"/>
    <col min="13641" max="13641" width="13.42578125" style="59" customWidth="1"/>
    <col min="13642" max="13642" width="16" style="59" customWidth="1"/>
    <col min="13643" max="13646" width="13.42578125" style="59" customWidth="1"/>
    <col min="13647" max="13647" width="2.140625" style="59" customWidth="1"/>
    <col min="13648" max="13648" width="10.42578125" style="59" customWidth="1"/>
    <col min="13649" max="13649" width="14.140625" style="59" customWidth="1"/>
    <col min="13650" max="13650" width="9.140625" style="59"/>
    <col min="13651" max="13651" width="13.85546875" style="59" customWidth="1"/>
    <col min="13652" max="13652" width="9.140625" style="59"/>
    <col min="13653" max="13653" width="12.5703125" style="59" customWidth="1"/>
    <col min="13654" max="13654" width="10.42578125" style="59" customWidth="1"/>
    <col min="13655" max="13656" width="13.5703125" style="59" customWidth="1"/>
    <col min="13657" max="13657" width="13" style="59" customWidth="1"/>
    <col min="13658" max="13658" width="13.5703125" style="59" customWidth="1"/>
    <col min="13659" max="13661" width="13" style="59" customWidth="1"/>
    <col min="13662" max="13860" width="9.140625" style="59"/>
    <col min="13861" max="13861" width="14" style="59" customWidth="1"/>
    <col min="13862" max="13862" width="2" style="59" customWidth="1"/>
    <col min="13863" max="13863" width="11.85546875" style="59" customWidth="1"/>
    <col min="13864" max="13865" width="13.5703125" style="59" customWidth="1"/>
    <col min="13866" max="13866" width="13.85546875" style="59" customWidth="1"/>
    <col min="13867" max="13868" width="14.5703125" style="59" customWidth="1"/>
    <col min="13869" max="13887" width="13.42578125" style="59" customWidth="1"/>
    <col min="13888" max="13888" width="10.5703125" style="59" customWidth="1"/>
    <col min="13889" max="13889" width="13.42578125" style="59" customWidth="1"/>
    <col min="13890" max="13890" width="11" style="59" customWidth="1"/>
    <col min="13891" max="13894" width="13.42578125" style="59" customWidth="1"/>
    <col min="13895" max="13895" width="19.5703125" style="59" customWidth="1"/>
    <col min="13896" max="13896" width="16.42578125" style="59" customWidth="1"/>
    <col min="13897" max="13897" width="13.42578125" style="59" customWidth="1"/>
    <col min="13898" max="13898" width="16" style="59" customWidth="1"/>
    <col min="13899" max="13902" width="13.42578125" style="59" customWidth="1"/>
    <col min="13903" max="13903" width="2.140625" style="59" customWidth="1"/>
    <col min="13904" max="13904" width="10.42578125" style="59" customWidth="1"/>
    <col min="13905" max="13905" width="14.140625" style="59" customWidth="1"/>
    <col min="13906" max="13906" width="9.140625" style="59"/>
    <col min="13907" max="13907" width="13.85546875" style="59" customWidth="1"/>
    <col min="13908" max="13908" width="9.140625" style="59"/>
    <col min="13909" max="13909" width="12.5703125" style="59" customWidth="1"/>
    <col min="13910" max="13910" width="10.42578125" style="59" customWidth="1"/>
    <col min="13911" max="13912" width="13.5703125" style="59" customWidth="1"/>
    <col min="13913" max="13913" width="13" style="59" customWidth="1"/>
    <col min="13914" max="13914" width="13.5703125" style="59" customWidth="1"/>
    <col min="13915" max="13917" width="13" style="59" customWidth="1"/>
    <col min="13918" max="14116" width="9.140625" style="59"/>
    <col min="14117" max="14117" width="14" style="59" customWidth="1"/>
    <col min="14118" max="14118" width="2" style="59" customWidth="1"/>
    <col min="14119" max="14119" width="11.85546875" style="59" customWidth="1"/>
    <col min="14120" max="14121" width="13.5703125" style="59" customWidth="1"/>
    <col min="14122" max="14122" width="13.85546875" style="59" customWidth="1"/>
    <col min="14123" max="14124" width="14.5703125" style="59" customWidth="1"/>
    <col min="14125" max="14143" width="13.42578125" style="59" customWidth="1"/>
    <col min="14144" max="14144" width="10.5703125" style="59" customWidth="1"/>
    <col min="14145" max="14145" width="13.42578125" style="59" customWidth="1"/>
    <col min="14146" max="14146" width="11" style="59" customWidth="1"/>
    <col min="14147" max="14150" width="13.42578125" style="59" customWidth="1"/>
    <col min="14151" max="14151" width="19.5703125" style="59" customWidth="1"/>
    <col min="14152" max="14152" width="16.42578125" style="59" customWidth="1"/>
    <col min="14153" max="14153" width="13.42578125" style="59" customWidth="1"/>
    <col min="14154" max="14154" width="16" style="59" customWidth="1"/>
    <col min="14155" max="14158" width="13.42578125" style="59" customWidth="1"/>
    <col min="14159" max="14159" width="2.140625" style="59" customWidth="1"/>
    <col min="14160" max="14160" width="10.42578125" style="59" customWidth="1"/>
    <col min="14161" max="14161" width="14.140625" style="59" customWidth="1"/>
    <col min="14162" max="14162" width="9.140625" style="59"/>
    <col min="14163" max="14163" width="13.85546875" style="59" customWidth="1"/>
    <col min="14164" max="14164" width="9.140625" style="59"/>
    <col min="14165" max="14165" width="12.5703125" style="59" customWidth="1"/>
    <col min="14166" max="14166" width="10.42578125" style="59" customWidth="1"/>
    <col min="14167" max="14168" width="13.5703125" style="59" customWidth="1"/>
    <col min="14169" max="14169" width="13" style="59" customWidth="1"/>
    <col min="14170" max="14170" width="13.5703125" style="59" customWidth="1"/>
    <col min="14171" max="14173" width="13" style="59" customWidth="1"/>
    <col min="14174" max="14372" width="9.140625" style="59"/>
    <col min="14373" max="14373" width="14" style="59" customWidth="1"/>
    <col min="14374" max="14374" width="2" style="59" customWidth="1"/>
    <col min="14375" max="14375" width="11.85546875" style="59" customWidth="1"/>
    <col min="14376" max="14377" width="13.5703125" style="59" customWidth="1"/>
    <col min="14378" max="14378" width="13.85546875" style="59" customWidth="1"/>
    <col min="14379" max="14380" width="14.5703125" style="59" customWidth="1"/>
    <col min="14381" max="14399" width="13.42578125" style="59" customWidth="1"/>
    <col min="14400" max="14400" width="10.5703125" style="59" customWidth="1"/>
    <col min="14401" max="14401" width="13.42578125" style="59" customWidth="1"/>
    <col min="14402" max="14402" width="11" style="59" customWidth="1"/>
    <col min="14403" max="14406" width="13.42578125" style="59" customWidth="1"/>
    <col min="14407" max="14407" width="19.5703125" style="59" customWidth="1"/>
    <col min="14408" max="14408" width="16.42578125" style="59" customWidth="1"/>
    <col min="14409" max="14409" width="13.42578125" style="59" customWidth="1"/>
    <col min="14410" max="14410" width="16" style="59" customWidth="1"/>
    <col min="14411" max="14414" width="13.42578125" style="59" customWidth="1"/>
    <col min="14415" max="14415" width="2.140625" style="59" customWidth="1"/>
    <col min="14416" max="14416" width="10.42578125" style="59" customWidth="1"/>
    <col min="14417" max="14417" width="14.140625" style="59" customWidth="1"/>
    <col min="14418" max="14418" width="9.140625" style="59"/>
    <col min="14419" max="14419" width="13.85546875" style="59" customWidth="1"/>
    <col min="14420" max="14420" width="9.140625" style="59"/>
    <col min="14421" max="14421" width="12.5703125" style="59" customWidth="1"/>
    <col min="14422" max="14422" width="10.42578125" style="59" customWidth="1"/>
    <col min="14423" max="14424" width="13.5703125" style="59" customWidth="1"/>
    <col min="14425" max="14425" width="13" style="59" customWidth="1"/>
    <col min="14426" max="14426" width="13.5703125" style="59" customWidth="1"/>
    <col min="14427" max="14429" width="13" style="59" customWidth="1"/>
    <col min="14430" max="14628" width="9.140625" style="59"/>
    <col min="14629" max="14629" width="14" style="59" customWidth="1"/>
    <col min="14630" max="14630" width="2" style="59" customWidth="1"/>
    <col min="14631" max="14631" width="11.85546875" style="59" customWidth="1"/>
    <col min="14632" max="14633" width="13.5703125" style="59" customWidth="1"/>
    <col min="14634" max="14634" width="13.85546875" style="59" customWidth="1"/>
    <col min="14635" max="14636" width="14.5703125" style="59" customWidth="1"/>
    <col min="14637" max="14655" width="13.42578125" style="59" customWidth="1"/>
    <col min="14656" max="14656" width="10.5703125" style="59" customWidth="1"/>
    <col min="14657" max="14657" width="13.42578125" style="59" customWidth="1"/>
    <col min="14658" max="14658" width="11" style="59" customWidth="1"/>
    <col min="14659" max="14662" width="13.42578125" style="59" customWidth="1"/>
    <col min="14663" max="14663" width="19.5703125" style="59" customWidth="1"/>
    <col min="14664" max="14664" width="16.42578125" style="59" customWidth="1"/>
    <col min="14665" max="14665" width="13.42578125" style="59" customWidth="1"/>
    <col min="14666" max="14666" width="16" style="59" customWidth="1"/>
    <col min="14667" max="14670" width="13.42578125" style="59" customWidth="1"/>
    <col min="14671" max="14671" width="2.140625" style="59" customWidth="1"/>
    <col min="14672" max="14672" width="10.42578125" style="59" customWidth="1"/>
    <col min="14673" max="14673" width="14.140625" style="59" customWidth="1"/>
    <col min="14674" max="14674" width="9.140625" style="59"/>
    <col min="14675" max="14675" width="13.85546875" style="59" customWidth="1"/>
    <col min="14676" max="14676" width="9.140625" style="59"/>
    <col min="14677" max="14677" width="12.5703125" style="59" customWidth="1"/>
    <col min="14678" max="14678" width="10.42578125" style="59" customWidth="1"/>
    <col min="14679" max="14680" width="13.5703125" style="59" customWidth="1"/>
    <col min="14681" max="14681" width="13" style="59" customWidth="1"/>
    <col min="14682" max="14682" width="13.5703125" style="59" customWidth="1"/>
    <col min="14683" max="14685" width="13" style="59" customWidth="1"/>
    <col min="14686" max="14884" width="9.140625" style="59"/>
    <col min="14885" max="14885" width="14" style="59" customWidth="1"/>
    <col min="14886" max="14886" width="2" style="59" customWidth="1"/>
    <col min="14887" max="14887" width="11.85546875" style="59" customWidth="1"/>
    <col min="14888" max="14889" width="13.5703125" style="59" customWidth="1"/>
    <col min="14890" max="14890" width="13.85546875" style="59" customWidth="1"/>
    <col min="14891" max="14892" width="14.5703125" style="59" customWidth="1"/>
    <col min="14893" max="14911" width="13.42578125" style="59" customWidth="1"/>
    <col min="14912" max="14912" width="10.5703125" style="59" customWidth="1"/>
    <col min="14913" max="14913" width="13.42578125" style="59" customWidth="1"/>
    <col min="14914" max="14914" width="11" style="59" customWidth="1"/>
    <col min="14915" max="14918" width="13.42578125" style="59" customWidth="1"/>
    <col min="14919" max="14919" width="19.5703125" style="59" customWidth="1"/>
    <col min="14920" max="14920" width="16.42578125" style="59" customWidth="1"/>
    <col min="14921" max="14921" width="13.42578125" style="59" customWidth="1"/>
    <col min="14922" max="14922" width="16" style="59" customWidth="1"/>
    <col min="14923" max="14926" width="13.42578125" style="59" customWidth="1"/>
    <col min="14927" max="14927" width="2.140625" style="59" customWidth="1"/>
    <col min="14928" max="14928" width="10.42578125" style="59" customWidth="1"/>
    <col min="14929" max="14929" width="14.140625" style="59" customWidth="1"/>
    <col min="14930" max="14930" width="9.140625" style="59"/>
    <col min="14931" max="14931" width="13.85546875" style="59" customWidth="1"/>
    <col min="14932" max="14932" width="9.140625" style="59"/>
    <col min="14933" max="14933" width="12.5703125" style="59" customWidth="1"/>
    <col min="14934" max="14934" width="10.42578125" style="59" customWidth="1"/>
    <col min="14935" max="14936" width="13.5703125" style="59" customWidth="1"/>
    <col min="14937" max="14937" width="13" style="59" customWidth="1"/>
    <col min="14938" max="14938" width="13.5703125" style="59" customWidth="1"/>
    <col min="14939" max="14941" width="13" style="59" customWidth="1"/>
    <col min="14942" max="15140" width="9.140625" style="59"/>
    <col min="15141" max="15141" width="14" style="59" customWidth="1"/>
    <col min="15142" max="15142" width="2" style="59" customWidth="1"/>
    <col min="15143" max="15143" width="11.85546875" style="59" customWidth="1"/>
    <col min="15144" max="15145" width="13.5703125" style="59" customWidth="1"/>
    <col min="15146" max="15146" width="13.85546875" style="59" customWidth="1"/>
    <col min="15147" max="15148" width="14.5703125" style="59" customWidth="1"/>
    <col min="15149" max="15167" width="13.42578125" style="59" customWidth="1"/>
    <col min="15168" max="15168" width="10.5703125" style="59" customWidth="1"/>
    <col min="15169" max="15169" width="13.42578125" style="59" customWidth="1"/>
    <col min="15170" max="15170" width="11" style="59" customWidth="1"/>
    <col min="15171" max="15174" width="13.42578125" style="59" customWidth="1"/>
    <col min="15175" max="15175" width="19.5703125" style="59" customWidth="1"/>
    <col min="15176" max="15176" width="16.42578125" style="59" customWidth="1"/>
    <col min="15177" max="15177" width="13.42578125" style="59" customWidth="1"/>
    <col min="15178" max="15178" width="16" style="59" customWidth="1"/>
    <col min="15179" max="15182" width="13.42578125" style="59" customWidth="1"/>
    <col min="15183" max="15183" width="2.140625" style="59" customWidth="1"/>
    <col min="15184" max="15184" width="10.42578125" style="59" customWidth="1"/>
    <col min="15185" max="15185" width="14.140625" style="59" customWidth="1"/>
    <col min="15186" max="15186" width="9.140625" style="59"/>
    <col min="15187" max="15187" width="13.85546875" style="59" customWidth="1"/>
    <col min="15188" max="15188" width="9.140625" style="59"/>
    <col min="15189" max="15189" width="12.5703125" style="59" customWidth="1"/>
    <col min="15190" max="15190" width="10.42578125" style="59" customWidth="1"/>
    <col min="15191" max="15192" width="13.5703125" style="59" customWidth="1"/>
    <col min="15193" max="15193" width="13" style="59" customWidth="1"/>
    <col min="15194" max="15194" width="13.5703125" style="59" customWidth="1"/>
    <col min="15195" max="15197" width="13" style="59" customWidth="1"/>
    <col min="15198" max="15396" width="9.140625" style="59"/>
    <col min="15397" max="15397" width="14" style="59" customWidth="1"/>
    <col min="15398" max="15398" width="2" style="59" customWidth="1"/>
    <col min="15399" max="15399" width="11.85546875" style="59" customWidth="1"/>
    <col min="15400" max="15401" width="13.5703125" style="59" customWidth="1"/>
    <col min="15402" max="15402" width="13.85546875" style="59" customWidth="1"/>
    <col min="15403" max="15404" width="14.5703125" style="59" customWidth="1"/>
    <col min="15405" max="15423" width="13.42578125" style="59" customWidth="1"/>
    <col min="15424" max="15424" width="10.5703125" style="59" customWidth="1"/>
    <col min="15425" max="15425" width="13.42578125" style="59" customWidth="1"/>
    <col min="15426" max="15426" width="11" style="59" customWidth="1"/>
    <col min="15427" max="15430" width="13.42578125" style="59" customWidth="1"/>
    <col min="15431" max="15431" width="19.5703125" style="59" customWidth="1"/>
    <col min="15432" max="15432" width="16.42578125" style="59" customWidth="1"/>
    <col min="15433" max="15433" width="13.42578125" style="59" customWidth="1"/>
    <col min="15434" max="15434" width="16" style="59" customWidth="1"/>
    <col min="15435" max="15438" width="13.42578125" style="59" customWidth="1"/>
    <col min="15439" max="15439" width="2.140625" style="59" customWidth="1"/>
    <col min="15440" max="15440" width="10.42578125" style="59" customWidth="1"/>
    <col min="15441" max="15441" width="14.140625" style="59" customWidth="1"/>
    <col min="15442" max="15442" width="9.140625" style="59"/>
    <col min="15443" max="15443" width="13.85546875" style="59" customWidth="1"/>
    <col min="15444" max="15444" width="9.140625" style="59"/>
    <col min="15445" max="15445" width="12.5703125" style="59" customWidth="1"/>
    <col min="15446" max="15446" width="10.42578125" style="59" customWidth="1"/>
    <col min="15447" max="15448" width="13.5703125" style="59" customWidth="1"/>
    <col min="15449" max="15449" width="13" style="59" customWidth="1"/>
    <col min="15450" max="15450" width="13.5703125" style="59" customWidth="1"/>
    <col min="15451" max="15453" width="13" style="59" customWidth="1"/>
    <col min="15454" max="15652" width="9.140625" style="59"/>
    <col min="15653" max="15653" width="14" style="59" customWidth="1"/>
    <col min="15654" max="15654" width="2" style="59" customWidth="1"/>
    <col min="15655" max="15655" width="11.85546875" style="59" customWidth="1"/>
    <col min="15656" max="15657" width="13.5703125" style="59" customWidth="1"/>
    <col min="15658" max="15658" width="13.85546875" style="59" customWidth="1"/>
    <col min="15659" max="15660" width="14.5703125" style="59" customWidth="1"/>
    <col min="15661" max="15679" width="13.42578125" style="59" customWidth="1"/>
    <col min="15680" max="15680" width="10.5703125" style="59" customWidth="1"/>
    <col min="15681" max="15681" width="13.42578125" style="59" customWidth="1"/>
    <col min="15682" max="15682" width="11" style="59" customWidth="1"/>
    <col min="15683" max="15686" width="13.42578125" style="59" customWidth="1"/>
    <col min="15687" max="15687" width="19.5703125" style="59" customWidth="1"/>
    <col min="15688" max="15688" width="16.42578125" style="59" customWidth="1"/>
    <col min="15689" max="15689" width="13.42578125" style="59" customWidth="1"/>
    <col min="15690" max="15690" width="16" style="59" customWidth="1"/>
    <col min="15691" max="15694" width="13.42578125" style="59" customWidth="1"/>
    <col min="15695" max="15695" width="2.140625" style="59" customWidth="1"/>
    <col min="15696" max="15696" width="10.42578125" style="59" customWidth="1"/>
    <col min="15697" max="15697" width="14.140625" style="59" customWidth="1"/>
    <col min="15698" max="15698" width="9.140625" style="59"/>
    <col min="15699" max="15699" width="13.85546875" style="59" customWidth="1"/>
    <col min="15700" max="15700" width="9.140625" style="59"/>
    <col min="15701" max="15701" width="12.5703125" style="59" customWidth="1"/>
    <col min="15702" max="15702" width="10.42578125" style="59" customWidth="1"/>
    <col min="15703" max="15704" width="13.5703125" style="59" customWidth="1"/>
    <col min="15705" max="15705" width="13" style="59" customWidth="1"/>
    <col min="15706" max="15706" width="13.5703125" style="59" customWidth="1"/>
    <col min="15707" max="15709" width="13" style="59" customWidth="1"/>
    <col min="15710" max="15908" width="9.140625" style="59"/>
    <col min="15909" max="15909" width="14" style="59" customWidth="1"/>
    <col min="15910" max="15910" width="2" style="59" customWidth="1"/>
    <col min="15911" max="15911" width="11.85546875" style="59" customWidth="1"/>
    <col min="15912" max="15913" width="13.5703125" style="59" customWidth="1"/>
    <col min="15914" max="15914" width="13.85546875" style="59" customWidth="1"/>
    <col min="15915" max="15916" width="14.5703125" style="59" customWidth="1"/>
    <col min="15917" max="15935" width="13.42578125" style="59" customWidth="1"/>
    <col min="15936" max="15936" width="10.5703125" style="59" customWidth="1"/>
    <col min="15937" max="15937" width="13.42578125" style="59" customWidth="1"/>
    <col min="15938" max="15938" width="11" style="59" customWidth="1"/>
    <col min="15939" max="15942" width="13.42578125" style="59" customWidth="1"/>
    <col min="15943" max="15943" width="19.5703125" style="59" customWidth="1"/>
    <col min="15944" max="15944" width="16.42578125" style="59" customWidth="1"/>
    <col min="15945" max="15945" width="13.42578125" style="59" customWidth="1"/>
    <col min="15946" max="15946" width="16" style="59" customWidth="1"/>
    <col min="15947" max="15950" width="13.42578125" style="59" customWidth="1"/>
    <col min="15951" max="15951" width="2.140625" style="59" customWidth="1"/>
    <col min="15952" max="15952" width="10.42578125" style="59" customWidth="1"/>
    <col min="15953" max="15953" width="14.140625" style="59" customWidth="1"/>
    <col min="15954" max="15954" width="9.140625" style="59"/>
    <col min="15955" max="15955" width="13.85546875" style="59" customWidth="1"/>
    <col min="15956" max="15956" width="9.140625" style="59"/>
    <col min="15957" max="15957" width="12.5703125" style="59" customWidth="1"/>
    <col min="15958" max="15958" width="10.42578125" style="59" customWidth="1"/>
    <col min="15959" max="15960" width="13.5703125" style="59" customWidth="1"/>
    <col min="15961" max="15961" width="13" style="59" customWidth="1"/>
    <col min="15962" max="15962" width="13.5703125" style="59" customWidth="1"/>
    <col min="15963" max="15965" width="13" style="59" customWidth="1"/>
    <col min="15966" max="16164" width="9.140625" style="59"/>
    <col min="16165" max="16165" width="14" style="59" customWidth="1"/>
    <col min="16166" max="16166" width="2" style="59" customWidth="1"/>
    <col min="16167" max="16167" width="11.85546875" style="59" customWidth="1"/>
    <col min="16168" max="16169" width="13.5703125" style="59" customWidth="1"/>
    <col min="16170" max="16170" width="13.85546875" style="59" customWidth="1"/>
    <col min="16171" max="16172" width="14.5703125" style="59" customWidth="1"/>
    <col min="16173" max="16191" width="13.42578125" style="59" customWidth="1"/>
    <col min="16192" max="16192" width="10.5703125" style="59" customWidth="1"/>
    <col min="16193" max="16193" width="13.42578125" style="59" customWidth="1"/>
    <col min="16194" max="16194" width="11" style="59" customWidth="1"/>
    <col min="16195" max="16198" width="13.42578125" style="59" customWidth="1"/>
    <col min="16199" max="16199" width="19.5703125" style="59" customWidth="1"/>
    <col min="16200" max="16200" width="16.42578125" style="59" customWidth="1"/>
    <col min="16201" max="16201" width="13.42578125" style="59" customWidth="1"/>
    <col min="16202" max="16202" width="16" style="59" customWidth="1"/>
    <col min="16203" max="16206" width="13.42578125" style="59" customWidth="1"/>
    <col min="16207" max="16207" width="2.140625" style="59" customWidth="1"/>
    <col min="16208" max="16208" width="10.42578125" style="59" customWidth="1"/>
    <col min="16209" max="16209" width="14.140625" style="59" customWidth="1"/>
    <col min="16210" max="16210" width="9.140625" style="59"/>
    <col min="16211" max="16211" width="13.85546875" style="59" customWidth="1"/>
    <col min="16212" max="16212" width="9.140625" style="59"/>
    <col min="16213" max="16213" width="12.5703125" style="59" customWidth="1"/>
    <col min="16214" max="16214" width="10.42578125" style="59" customWidth="1"/>
    <col min="16215" max="16216" width="13.5703125" style="59" customWidth="1"/>
    <col min="16217" max="16217" width="13" style="59" customWidth="1"/>
    <col min="16218" max="16218" width="13.5703125" style="59" customWidth="1"/>
    <col min="16219" max="16221" width="13" style="59" customWidth="1"/>
    <col min="16222" max="16384" width="9.140625" style="59"/>
  </cols>
  <sheetData>
    <row r="1" spans="1:93" s="49" customFormat="1" ht="61.5" customHeight="1" thickBot="1" x14ac:dyDescent="0.45">
      <c r="A1" s="44" t="s">
        <v>38</v>
      </c>
      <c r="B1" s="45"/>
      <c r="C1" s="75" t="s">
        <v>14</v>
      </c>
      <c r="D1" s="76"/>
      <c r="E1" s="75" t="s">
        <v>15</v>
      </c>
      <c r="F1" s="76"/>
      <c r="G1" s="75" t="s">
        <v>16</v>
      </c>
      <c r="H1" s="76"/>
      <c r="I1" s="75" t="s">
        <v>137</v>
      </c>
      <c r="J1" s="76"/>
      <c r="K1" s="75" t="s">
        <v>17</v>
      </c>
      <c r="L1" s="76"/>
      <c r="M1" s="75" t="s">
        <v>18</v>
      </c>
      <c r="N1" s="76"/>
      <c r="O1" s="75" t="s">
        <v>19</v>
      </c>
      <c r="P1" s="76"/>
      <c r="Q1" s="75" t="s">
        <v>20</v>
      </c>
      <c r="R1" s="76"/>
      <c r="S1" s="75" t="s">
        <v>118</v>
      </c>
      <c r="T1" s="76"/>
      <c r="U1" s="75" t="s">
        <v>119</v>
      </c>
      <c r="V1" s="76"/>
      <c r="W1" s="77" t="s">
        <v>120</v>
      </c>
      <c r="X1" s="78"/>
      <c r="Y1" s="75" t="s">
        <v>121</v>
      </c>
      <c r="Z1" s="76"/>
      <c r="AA1" s="75" t="s">
        <v>122</v>
      </c>
      <c r="AB1" s="76"/>
      <c r="AC1" s="75" t="s">
        <v>123</v>
      </c>
      <c r="AD1" s="76"/>
      <c r="AE1" s="75" t="s">
        <v>124</v>
      </c>
      <c r="AF1" s="76"/>
      <c r="AG1" s="75" t="s">
        <v>21</v>
      </c>
      <c r="AH1" s="76"/>
      <c r="AI1" s="75" t="s">
        <v>125</v>
      </c>
      <c r="AJ1" s="76"/>
      <c r="AK1" s="75" t="s">
        <v>126</v>
      </c>
      <c r="AL1" s="76"/>
      <c r="AM1" s="75" t="s">
        <v>127</v>
      </c>
      <c r="AN1" s="76"/>
      <c r="AO1" s="75" t="s">
        <v>128</v>
      </c>
      <c r="AP1" s="76"/>
      <c r="AQ1" s="75" t="s">
        <v>129</v>
      </c>
      <c r="AR1" s="76"/>
      <c r="AS1" s="75" t="s">
        <v>130</v>
      </c>
      <c r="AT1" s="76"/>
      <c r="AU1" s="75" t="s">
        <v>136</v>
      </c>
      <c r="AV1" s="76"/>
      <c r="AW1" s="75" t="s">
        <v>135</v>
      </c>
      <c r="AX1" s="76"/>
      <c r="AY1" s="75" t="s">
        <v>134</v>
      </c>
      <c r="AZ1" s="76"/>
      <c r="BA1" s="75" t="s">
        <v>133</v>
      </c>
      <c r="BB1" s="76"/>
      <c r="BC1" s="75" t="s">
        <v>22</v>
      </c>
      <c r="BD1" s="76"/>
      <c r="BE1" s="75" t="s">
        <v>131</v>
      </c>
      <c r="BF1" s="76"/>
      <c r="BG1" s="75" t="s">
        <v>23</v>
      </c>
      <c r="BH1" s="76"/>
      <c r="BI1" s="75" t="s">
        <v>24</v>
      </c>
      <c r="BJ1" s="76"/>
      <c r="BK1" s="75" t="s">
        <v>25</v>
      </c>
      <c r="BL1" s="76"/>
      <c r="BM1" s="75" t="s">
        <v>26</v>
      </c>
      <c r="BN1" s="76"/>
      <c r="BO1" s="75" t="s">
        <v>27</v>
      </c>
      <c r="BP1" s="76"/>
      <c r="BQ1" s="75" t="s">
        <v>28</v>
      </c>
      <c r="BR1" s="76"/>
      <c r="BS1" s="75" t="s">
        <v>29</v>
      </c>
      <c r="BT1" s="76"/>
      <c r="BU1" s="75" t="s">
        <v>30</v>
      </c>
      <c r="BV1" s="76"/>
      <c r="BW1" s="75" t="s">
        <v>31</v>
      </c>
      <c r="BX1" s="76"/>
      <c r="BY1" s="75" t="s">
        <v>32</v>
      </c>
      <c r="BZ1" s="76"/>
      <c r="CA1" s="75" t="s">
        <v>132</v>
      </c>
      <c r="CB1" s="76"/>
      <c r="CC1" s="75" t="s">
        <v>33</v>
      </c>
      <c r="CD1" s="76"/>
      <c r="CE1" s="75" t="s">
        <v>34</v>
      </c>
      <c r="CF1" s="76"/>
      <c r="CG1" s="75" t="s">
        <v>35</v>
      </c>
      <c r="CH1" s="76"/>
      <c r="CI1" s="75" t="s">
        <v>49</v>
      </c>
      <c r="CJ1" s="76"/>
      <c r="CK1" s="75" t="s">
        <v>37</v>
      </c>
      <c r="CL1" s="76"/>
      <c r="CM1" s="46" t="s">
        <v>47</v>
      </c>
      <c r="CN1" s="47"/>
      <c r="CO1" s="48"/>
    </row>
    <row r="2" spans="1:93" ht="44.25" customHeight="1" thickBot="1" x14ac:dyDescent="0.45">
      <c r="A2" s="50" t="s">
        <v>0</v>
      </c>
      <c r="B2" s="45"/>
      <c r="C2" s="51" t="s">
        <v>44</v>
      </c>
      <c r="D2" s="52" t="s">
        <v>39</v>
      </c>
      <c r="E2" s="51" t="s">
        <v>44</v>
      </c>
      <c r="F2" s="53" t="s">
        <v>39</v>
      </c>
      <c r="G2" s="51" t="s">
        <v>44</v>
      </c>
      <c r="H2" s="54" t="s">
        <v>39</v>
      </c>
      <c r="I2" s="54" t="s">
        <v>46</v>
      </c>
      <c r="J2" s="54" t="s">
        <v>39</v>
      </c>
      <c r="K2" s="51" t="s">
        <v>44</v>
      </c>
      <c r="L2" s="54" t="s">
        <v>39</v>
      </c>
      <c r="M2" s="54" t="s">
        <v>45</v>
      </c>
      <c r="N2" s="54" t="s">
        <v>39</v>
      </c>
      <c r="O2" s="54" t="s">
        <v>40</v>
      </c>
      <c r="P2" s="54" t="s">
        <v>39</v>
      </c>
      <c r="Q2" s="54" t="s">
        <v>40</v>
      </c>
      <c r="R2" s="54" t="s">
        <v>39</v>
      </c>
      <c r="S2" s="54" t="s">
        <v>40</v>
      </c>
      <c r="T2" s="54" t="s">
        <v>39</v>
      </c>
      <c r="U2" s="54" t="s">
        <v>40</v>
      </c>
      <c r="V2" s="54" t="s">
        <v>39</v>
      </c>
      <c r="W2" s="54" t="s">
        <v>45</v>
      </c>
      <c r="X2" s="54" t="s">
        <v>39</v>
      </c>
      <c r="Y2" s="54" t="s">
        <v>46</v>
      </c>
      <c r="Z2" s="54" t="s">
        <v>39</v>
      </c>
      <c r="AA2" s="54" t="s">
        <v>45</v>
      </c>
      <c r="AB2" s="54" t="s">
        <v>39</v>
      </c>
      <c r="AC2" s="54" t="s">
        <v>45</v>
      </c>
      <c r="AD2" s="54" t="s">
        <v>39</v>
      </c>
      <c r="AE2" s="54" t="s">
        <v>45</v>
      </c>
      <c r="AF2" s="54" t="s">
        <v>39</v>
      </c>
      <c r="AG2" s="54" t="s">
        <v>40</v>
      </c>
      <c r="AH2" s="54" t="s">
        <v>39</v>
      </c>
      <c r="AI2" s="54" t="s">
        <v>45</v>
      </c>
      <c r="AJ2" s="54" t="s">
        <v>39</v>
      </c>
      <c r="AK2" s="54" t="s">
        <v>40</v>
      </c>
      <c r="AL2" s="54" t="s">
        <v>39</v>
      </c>
      <c r="AM2" s="54" t="s">
        <v>40</v>
      </c>
      <c r="AN2" s="54" t="s">
        <v>39</v>
      </c>
      <c r="AO2" s="54" t="s">
        <v>40</v>
      </c>
      <c r="AP2" s="54" t="s">
        <v>39</v>
      </c>
      <c r="AQ2" s="54" t="s">
        <v>45</v>
      </c>
      <c r="AR2" s="54" t="s">
        <v>39</v>
      </c>
      <c r="AS2" s="54" t="s">
        <v>45</v>
      </c>
      <c r="AT2" s="54" t="s">
        <v>39</v>
      </c>
      <c r="AU2" s="54" t="s">
        <v>45</v>
      </c>
      <c r="AV2" s="54" t="s">
        <v>39</v>
      </c>
      <c r="AW2" s="54" t="s">
        <v>45</v>
      </c>
      <c r="AX2" s="54" t="s">
        <v>39</v>
      </c>
      <c r="AY2" s="54" t="s">
        <v>45</v>
      </c>
      <c r="AZ2" s="54" t="s">
        <v>39</v>
      </c>
      <c r="BA2" s="54" t="s">
        <v>43</v>
      </c>
      <c r="BB2" s="54" t="s">
        <v>39</v>
      </c>
      <c r="BC2" s="54" t="s">
        <v>43</v>
      </c>
      <c r="BD2" s="54" t="s">
        <v>39</v>
      </c>
      <c r="BE2" s="54" t="s">
        <v>40</v>
      </c>
      <c r="BF2" s="54" t="s">
        <v>39</v>
      </c>
      <c r="BG2" s="54" t="s">
        <v>43</v>
      </c>
      <c r="BH2" s="54" t="s">
        <v>39</v>
      </c>
      <c r="BI2" s="54" t="s">
        <v>43</v>
      </c>
      <c r="BJ2" s="54" t="s">
        <v>39</v>
      </c>
      <c r="BK2" s="54" t="s">
        <v>43</v>
      </c>
      <c r="BL2" s="54" t="s">
        <v>39</v>
      </c>
      <c r="BM2" s="54" t="s">
        <v>43</v>
      </c>
      <c r="BN2" s="54" t="s">
        <v>39</v>
      </c>
      <c r="BO2" s="54" t="s">
        <v>43</v>
      </c>
      <c r="BP2" s="54" t="s">
        <v>39</v>
      </c>
      <c r="BQ2" s="54" t="s">
        <v>40</v>
      </c>
      <c r="BR2" s="54" t="s">
        <v>39</v>
      </c>
      <c r="BS2" s="54" t="s">
        <v>43</v>
      </c>
      <c r="BT2" s="54" t="s">
        <v>39</v>
      </c>
      <c r="BU2" s="54" t="s">
        <v>40</v>
      </c>
      <c r="BV2" s="54" t="s">
        <v>39</v>
      </c>
      <c r="BW2" s="54" t="s">
        <v>43</v>
      </c>
      <c r="BX2" s="54" t="s">
        <v>39</v>
      </c>
      <c r="BY2" s="54" t="s">
        <v>40</v>
      </c>
      <c r="BZ2" s="54" t="s">
        <v>39</v>
      </c>
      <c r="CA2" s="54" t="s">
        <v>40</v>
      </c>
      <c r="CB2" s="54" t="s">
        <v>39</v>
      </c>
      <c r="CC2" s="54" t="s">
        <v>40</v>
      </c>
      <c r="CD2" s="54" t="s">
        <v>39</v>
      </c>
      <c r="CE2" s="54" t="s">
        <v>40</v>
      </c>
      <c r="CF2" s="54" t="s">
        <v>39</v>
      </c>
      <c r="CG2" s="54" t="s">
        <v>40</v>
      </c>
      <c r="CH2" s="54" t="s">
        <v>39</v>
      </c>
      <c r="CI2" s="54" t="s">
        <v>40</v>
      </c>
      <c r="CJ2" s="54" t="s">
        <v>39</v>
      </c>
      <c r="CK2" s="55" t="s">
        <v>45</v>
      </c>
      <c r="CL2" s="56" t="s">
        <v>39</v>
      </c>
      <c r="CM2" s="57" t="s">
        <v>48</v>
      </c>
      <c r="CN2" s="58" t="s">
        <v>41</v>
      </c>
      <c r="CO2" s="58" t="s">
        <v>42</v>
      </c>
    </row>
    <row r="3" spans="1:93" ht="25.5" customHeight="1" thickBot="1" x14ac:dyDescent="0.45">
      <c r="A3" s="65">
        <v>43951</v>
      </c>
      <c r="B3" s="70"/>
      <c r="C3" s="60">
        <v>1.6661999999999999</v>
      </c>
      <c r="D3" s="66"/>
      <c r="E3" s="60">
        <v>2.6827999999999999</v>
      </c>
      <c r="F3" s="66"/>
      <c r="G3" s="60">
        <v>2.4979</v>
      </c>
      <c r="H3" s="66"/>
      <c r="I3" s="60">
        <v>1.1938</v>
      </c>
      <c r="J3" s="66"/>
      <c r="K3" s="60">
        <v>1.8312999999999999</v>
      </c>
      <c r="L3" s="66"/>
      <c r="M3" s="60">
        <v>1.1695</v>
      </c>
      <c r="N3" s="66"/>
      <c r="O3" s="60">
        <v>12541</v>
      </c>
      <c r="P3" s="69"/>
      <c r="Q3" s="60">
        <v>5269</v>
      </c>
      <c r="R3" s="69"/>
      <c r="S3" s="60">
        <v>825614</v>
      </c>
      <c r="T3" s="69"/>
      <c r="U3" s="60">
        <v>334731</v>
      </c>
      <c r="V3" s="69"/>
      <c r="W3" s="60">
        <v>326.64</v>
      </c>
      <c r="X3" s="67"/>
      <c r="Y3" s="60">
        <v>2.3725999999999998</v>
      </c>
      <c r="Z3" s="67"/>
      <c r="AA3" s="60">
        <v>323.95</v>
      </c>
      <c r="AB3" s="67"/>
      <c r="AC3" s="60">
        <v>299</v>
      </c>
      <c r="AD3" s="67"/>
      <c r="AE3" s="60">
        <v>466.92</v>
      </c>
      <c r="AF3" s="67"/>
      <c r="AG3" s="60">
        <v>1195.7</v>
      </c>
      <c r="AH3" s="69"/>
      <c r="AI3" s="60">
        <v>409.28</v>
      </c>
      <c r="AJ3" s="67"/>
      <c r="AK3" s="60">
        <v>145.75</v>
      </c>
      <c r="AL3" s="67"/>
      <c r="AM3" s="60">
        <v>146.57</v>
      </c>
      <c r="AN3" s="67"/>
      <c r="AO3" s="60">
        <v>143.06</v>
      </c>
      <c r="AP3" s="67"/>
      <c r="AQ3" s="60">
        <v>214.5</v>
      </c>
      <c r="AR3" s="67"/>
      <c r="AS3" s="60">
        <v>341.01</v>
      </c>
      <c r="AT3" s="67"/>
      <c r="AU3" s="60">
        <v>263</v>
      </c>
      <c r="AV3" s="67"/>
      <c r="AW3" s="60">
        <v>290.60000000000002</v>
      </c>
      <c r="AX3" s="67"/>
      <c r="AY3" s="60">
        <v>341.54</v>
      </c>
      <c r="AZ3" s="67"/>
      <c r="BA3" s="60">
        <v>361.79</v>
      </c>
      <c r="BB3" s="67"/>
      <c r="BC3" s="60">
        <v>203.18</v>
      </c>
      <c r="BD3" s="67"/>
      <c r="BE3" s="61">
        <v>27899</v>
      </c>
      <c r="BF3" s="69"/>
      <c r="BG3" s="62">
        <v>223.42</v>
      </c>
      <c r="BH3" s="67"/>
      <c r="BI3" s="62">
        <v>281.02999999999997</v>
      </c>
      <c r="BJ3" s="67"/>
      <c r="BK3" s="62">
        <v>229.02</v>
      </c>
      <c r="BL3" s="67"/>
      <c r="BM3" s="62">
        <v>211.96</v>
      </c>
      <c r="BN3" s="67"/>
      <c r="BO3" s="62">
        <v>276.23</v>
      </c>
      <c r="BP3" s="67"/>
      <c r="BQ3" s="62">
        <v>37988</v>
      </c>
      <c r="BR3" s="67"/>
      <c r="BS3" s="62">
        <v>192.34</v>
      </c>
      <c r="BT3" s="67"/>
      <c r="BU3" s="62">
        <v>28985</v>
      </c>
      <c r="BV3" s="67"/>
      <c r="BW3" s="62">
        <v>222.34</v>
      </c>
      <c r="BX3" s="67"/>
      <c r="BY3" s="62">
        <v>47448</v>
      </c>
      <c r="BZ3" s="67"/>
      <c r="CA3" s="62">
        <v>27500.7</v>
      </c>
      <c r="CB3" s="69"/>
      <c r="CC3" s="62">
        <v>11250.4</v>
      </c>
      <c r="CD3" s="69"/>
      <c r="CE3" s="62">
        <v>5487.5</v>
      </c>
      <c r="CF3" s="69"/>
      <c r="CG3" s="62">
        <v>43397.599999999999</v>
      </c>
      <c r="CH3" s="69"/>
      <c r="CI3" s="62">
        <v>849693</v>
      </c>
      <c r="CJ3" s="69"/>
      <c r="CK3" s="62">
        <v>554.96</v>
      </c>
      <c r="CL3" s="66"/>
      <c r="CM3" s="67">
        <v>29.5</v>
      </c>
      <c r="CN3" s="64">
        <v>0</v>
      </c>
      <c r="CO3" s="64">
        <v>0</v>
      </c>
    </row>
    <row r="4" spans="1:93" ht="25.5" customHeight="1" thickBot="1" x14ac:dyDescent="0.45">
      <c r="A4" s="65">
        <v>43952</v>
      </c>
      <c r="B4" s="70"/>
      <c r="C4" s="60">
        <v>1.6676</v>
      </c>
      <c r="D4" s="66">
        <f t="shared" ref="D4" si="0">IF((C4-C3&lt;0), "0",(C4-C3)*1000000)</f>
        <v>1400.0000000000678</v>
      </c>
      <c r="E4" s="60">
        <v>2.6837</v>
      </c>
      <c r="F4" s="66">
        <f t="shared" ref="F4" si="1">IF((E4-E3&lt;0), "0",(E4-E3)*1000000)</f>
        <v>900.0000000001229</v>
      </c>
      <c r="G4" s="60">
        <v>2.4996999999999998</v>
      </c>
      <c r="H4" s="66">
        <f t="shared" ref="H4" si="2">IF((G4-G3&lt;0), "0",(G4-G3)*1000000)</f>
        <v>1799.9999999998017</v>
      </c>
      <c r="I4" s="60">
        <v>1.1950000000000001</v>
      </c>
      <c r="J4" s="66">
        <f t="shared" ref="J4" si="3">IF((I4-I3&lt;0), "0",(I4-I3)*1000000)</f>
        <v>1200.0000000000898</v>
      </c>
      <c r="K4" s="60">
        <v>1.8333999999999999</v>
      </c>
      <c r="L4" s="66">
        <f t="shared" ref="L4" si="4">IF((K4-K3&lt;0), "0",(K4-K3)*1000000)</f>
        <v>2099.9999999999909</v>
      </c>
      <c r="M4" s="60">
        <v>1.1705000000000001</v>
      </c>
      <c r="N4" s="66">
        <f t="shared" ref="N4" si="5">IF((M4-M3&lt;0), "",(M4-M3)*1000000)</f>
        <v>1000.0000000001119</v>
      </c>
      <c r="O4" s="60">
        <v>12541</v>
      </c>
      <c r="P4" s="69">
        <f>IF((O4-O3&lt;0), "",O4-O3)</f>
        <v>0</v>
      </c>
      <c r="Q4" s="60">
        <v>5273</v>
      </c>
      <c r="R4" s="69">
        <f t="shared" ref="R4" si="6">IF((Q4-Q3&lt;0), "",Q4-Q3)</f>
        <v>4</v>
      </c>
      <c r="S4" s="60">
        <v>825875</v>
      </c>
      <c r="T4" s="69">
        <f t="shared" ref="T4" si="7">IF((S4-S3&lt;0), "",S4-S3)</f>
        <v>261</v>
      </c>
      <c r="U4" s="60">
        <v>334846</v>
      </c>
      <c r="V4" s="69">
        <f t="shared" ref="V4" si="8">IF((U4-U3&lt;0), "",U4-U3)</f>
        <v>115</v>
      </c>
      <c r="W4" s="60">
        <v>326.82</v>
      </c>
      <c r="X4" s="67">
        <f t="shared" ref="X4" si="9">IF((W4-W3&lt;0), "",(W4-W3)*1000)</f>
        <v>180.00000000000682</v>
      </c>
      <c r="Y4" s="60">
        <v>2.3732000000000002</v>
      </c>
      <c r="Z4" s="67">
        <f t="shared" ref="Z4" si="10">IF((Y4-Y3&lt;0), "",(Y4-Y3)*1000000)</f>
        <v>600.00000000037801</v>
      </c>
      <c r="AA4" s="60">
        <v>324.02999999999997</v>
      </c>
      <c r="AB4" s="67">
        <f t="shared" ref="AB4" si="11">IF((AA4-AA3&lt;0), "",(AA4-AA3)*1000)</f>
        <v>79.999999999984084</v>
      </c>
      <c r="AC4" s="60">
        <v>299.27999999999997</v>
      </c>
      <c r="AD4" s="67">
        <f t="shared" ref="AD4" si="12">IF((AC4-AC3&lt;0), "",(AC4-AC3)*1000)</f>
        <v>279.99999999997272</v>
      </c>
      <c r="AE4" s="60">
        <v>467.42</v>
      </c>
      <c r="AF4" s="67">
        <f t="shared" ref="AF4" si="13">IF((AE4-AE3&lt;0), "",(AE4-AE3)*1000)</f>
        <v>500</v>
      </c>
      <c r="AG4" s="60">
        <v>1196.5999999999999</v>
      </c>
      <c r="AH4" s="69">
        <f t="shared" ref="AH4" si="14">IF((AG4-AG3&lt;0), "",AG4-AG3)</f>
        <v>0.89999999999986358</v>
      </c>
      <c r="AI4" s="60">
        <v>409.6</v>
      </c>
      <c r="AJ4" s="67">
        <f t="shared" ref="AJ4" si="15">IF((AI4-AI3&lt;0), "",(AI4-AI3)*1000)</f>
        <v>320.00000000005002</v>
      </c>
      <c r="AK4" s="60">
        <v>145.88</v>
      </c>
      <c r="AL4" s="67">
        <f t="shared" ref="AL4" si="16">IF((AK4-AK3&lt;0), "",AK4-AK3)</f>
        <v>0.12999999999999545</v>
      </c>
      <c r="AM4" s="60">
        <v>146.66999999999999</v>
      </c>
      <c r="AN4" s="67">
        <f t="shared" ref="AN4" si="17">IF((AM4-AM3&lt;0), "",AM4-AM3)</f>
        <v>9.9999999999994316E-2</v>
      </c>
      <c r="AO4" s="60">
        <v>143.15</v>
      </c>
      <c r="AP4" s="67">
        <f t="shared" ref="AP4" si="18">IF((AO4-AO3&lt;0), "",AO4-AO3)</f>
        <v>9.0000000000003411E-2</v>
      </c>
      <c r="AQ4" s="60">
        <v>214.57</v>
      </c>
      <c r="AR4" s="67">
        <f t="shared" ref="AR4" si="19">IF((AQ4-AQ3&lt;0), "",(AQ4-AQ3)*1000)</f>
        <v>69.999999999993179</v>
      </c>
      <c r="AS4" s="60">
        <v>341.1</v>
      </c>
      <c r="AT4" s="67">
        <f t="shared" ref="AT4" si="20">IF((AS4-AS3&lt;0), "",(AS4-AS3)*1000)</f>
        <v>90.000000000031832</v>
      </c>
      <c r="AU4" s="60">
        <v>263.08</v>
      </c>
      <c r="AV4" s="67">
        <f t="shared" ref="AV4" si="21">IF((AU4-AU3&lt;0), "",(AU4-AU3)*1000)</f>
        <v>79.999999999984084</v>
      </c>
      <c r="AW4" s="60">
        <v>290.66000000000003</v>
      </c>
      <c r="AX4" s="67">
        <f t="shared" ref="AX4" si="22">IF((AW4-AW3&lt;0), "",(AW4-AW3)*1000)</f>
        <v>60.000000000002274</v>
      </c>
      <c r="AY4" s="60">
        <v>341.62</v>
      </c>
      <c r="AZ4" s="67">
        <f t="shared" ref="AZ4" si="23">IF((AY4-AY3&lt;0), "",(AY4-AY3)*1000)</f>
        <v>79.999999999984084</v>
      </c>
      <c r="BA4" s="60">
        <v>361.86</v>
      </c>
      <c r="BB4" s="67">
        <f t="shared" ref="BB4" si="24">IF((BA4-BA3&lt;0), "",(BA4-BA3)*1000)</f>
        <v>69.999999999993179</v>
      </c>
      <c r="BC4" s="60">
        <v>203.19</v>
      </c>
      <c r="BD4" s="67">
        <f t="shared" ref="BD4" si="25">IF((BC4-BC3&lt;0), "",(BC4-BC3)*1000)</f>
        <v>9.9999999999909051</v>
      </c>
      <c r="BE4" s="61">
        <v>27931</v>
      </c>
      <c r="BF4" s="69">
        <f>IF((BE4-BE3&lt;0), "",BE4-BE3)</f>
        <v>32</v>
      </c>
      <c r="BG4" s="62">
        <v>223.46</v>
      </c>
      <c r="BH4" s="67">
        <f t="shared" ref="BH4" si="26">IF((BG4-BG3&lt;0), "",(BG4-BG3)*1000)</f>
        <v>40.000000000020464</v>
      </c>
      <c r="BI4" s="62">
        <v>281.06</v>
      </c>
      <c r="BJ4" s="67">
        <f t="shared" ref="BJ4" si="27">IF((BI4-BI3&lt;0), "",(BI4-BI3)*1000)</f>
        <v>30.000000000029559</v>
      </c>
      <c r="BK4" s="62">
        <v>229.05</v>
      </c>
      <c r="BL4" s="67">
        <f t="shared" ref="BL4" si="28">IF((BK4-BK3&lt;0), "",(BK4-BK3)*1000)</f>
        <v>30.000000000001137</v>
      </c>
      <c r="BM4" s="62">
        <v>212</v>
      </c>
      <c r="BN4" s="67">
        <f t="shared" ref="BN4" si="29">IF((BM4-BM3&lt;0), "",(BM4-BM3)*1000)</f>
        <v>39.999999999992042</v>
      </c>
      <c r="BO4" s="62">
        <v>276.27</v>
      </c>
      <c r="BP4" s="67">
        <f t="shared" ref="BP4" si="30">IF((BO4-BO3&lt;0), "",(BO4-BO3)*1000)</f>
        <v>39.99999999996362</v>
      </c>
      <c r="BQ4" s="62">
        <v>38012</v>
      </c>
      <c r="BR4" s="67">
        <f t="shared" ref="BR4" si="31">IF((BQ4-BQ3&lt;0), "",BQ4-BQ3)</f>
        <v>24</v>
      </c>
      <c r="BS4" s="62">
        <v>192.37</v>
      </c>
      <c r="BT4" s="67">
        <f t="shared" ref="BT4" si="32">IF((BS4-BS3&lt;0), "",(BS4-BS3)*1000)</f>
        <v>30.000000000001137</v>
      </c>
      <c r="BU4" s="62">
        <v>29006</v>
      </c>
      <c r="BV4" s="67">
        <f t="shared" ref="BV4" si="33">IF((BU4-BU3&lt;0), "",BU4-BU3)</f>
        <v>21</v>
      </c>
      <c r="BW4" s="62">
        <v>222.38</v>
      </c>
      <c r="BX4" s="67">
        <f t="shared" ref="BX4" si="34">IF((BW4-BW3&lt;0), "",(BW4-BW3)*1000)</f>
        <v>39.999999999992042</v>
      </c>
      <c r="BY4" s="62">
        <v>47483</v>
      </c>
      <c r="BZ4" s="69">
        <f t="shared" ref="BZ4" si="35">IF((BY4-BY3&lt;0), "",BY4-BY3)</f>
        <v>35</v>
      </c>
      <c r="CA4" s="62">
        <v>27500.7</v>
      </c>
      <c r="CB4" s="69">
        <f t="shared" ref="CB4" si="36">IF((CA4-CA3&lt;0), "",CA4-CA3)</f>
        <v>0</v>
      </c>
      <c r="CC4" s="62">
        <v>11250.4</v>
      </c>
      <c r="CD4" s="69">
        <f t="shared" ref="CD4" si="37">IF((CC4-CC3&lt;0), "",CC4-CC3)</f>
        <v>0</v>
      </c>
      <c r="CE4" s="62">
        <v>5487.5</v>
      </c>
      <c r="CF4" s="69">
        <f t="shared" ref="CF4" si="38">IF((CE4-CE3&lt;0), "",CE4-CE3)</f>
        <v>0</v>
      </c>
      <c r="CG4" s="62">
        <v>43459.5</v>
      </c>
      <c r="CH4" s="69">
        <f t="shared" ref="CH4" si="39">IF((CG4-CG3&lt;0), "",CG4-CG3)</f>
        <v>61.900000000001455</v>
      </c>
      <c r="CI4" s="62">
        <v>849890</v>
      </c>
      <c r="CJ4" s="69">
        <f t="shared" ref="CJ4" si="40">IF((CI4-CI3&lt;0), "",CI4-CI3)</f>
        <v>197</v>
      </c>
      <c r="CK4" s="62">
        <v>555.4</v>
      </c>
      <c r="CL4" s="66">
        <f t="shared" ref="CL4" si="41">IF((CK4-CK3&lt;0), "",(CK4-CK3)*1000)</f>
        <v>439.99999999994088</v>
      </c>
      <c r="CM4" s="67">
        <v>29</v>
      </c>
      <c r="CN4" s="64">
        <v>0</v>
      </c>
      <c r="CO4" s="64">
        <v>0</v>
      </c>
    </row>
    <row r="5" spans="1:93" ht="25.5" customHeight="1" thickBot="1" x14ac:dyDescent="0.45">
      <c r="A5" s="65">
        <v>43953</v>
      </c>
      <c r="B5" s="45"/>
      <c r="C5" s="60">
        <v>1.6692</v>
      </c>
      <c r="D5" s="66">
        <f t="shared" ref="D5:D34" si="42">IF((C5-C4&lt;0), "0",(C5-C4)*1000000)</f>
        <v>1600.0000000000459</v>
      </c>
      <c r="E5" s="60">
        <v>2.6846999999999999</v>
      </c>
      <c r="F5" s="66">
        <f t="shared" ref="F5:F34" si="43">IF((E5-E4&lt;0), "0",(E5-E4)*1000000)</f>
        <v>999.99999999988984</v>
      </c>
      <c r="G5" s="60">
        <v>2.5015000000000001</v>
      </c>
      <c r="H5" s="66">
        <f t="shared" ref="H5:H34" si="44">IF((G5-G4&lt;0), "0",(G5-G4)*1000000)</f>
        <v>1800.0000000002458</v>
      </c>
      <c r="I5" s="60">
        <v>1.1961999999999999</v>
      </c>
      <c r="J5" s="66">
        <f>IF((I5-I4&lt;0), "0",(I5-I4)*1000000)</f>
        <v>1199.9999999998679</v>
      </c>
      <c r="K5" s="60">
        <v>1.8357000000000001</v>
      </c>
      <c r="L5" s="66">
        <f t="shared" ref="L5:L34" si="45">IF((K5-K4&lt;0), "0",(K5-K4)*1000000)</f>
        <v>2300.000000000191</v>
      </c>
      <c r="M5" s="60">
        <v>1.1715</v>
      </c>
      <c r="N5" s="66">
        <f t="shared" ref="N5:N34" si="46">IF((M5-M4&lt;0), "",(M5-M4)*1000000)</f>
        <v>999.99999999988984</v>
      </c>
      <c r="O5" s="60">
        <v>12541</v>
      </c>
      <c r="P5" s="67">
        <f t="shared" ref="P5:P32" si="47">IF((O5-O4&lt;0), "",O5-O4)</f>
        <v>0</v>
      </c>
      <c r="Q5" s="60">
        <v>5280</v>
      </c>
      <c r="R5" s="67">
        <f t="shared" ref="R5:R34" si="48">IF((Q5-Q4&lt;0), "",Q5-Q4)</f>
        <v>7</v>
      </c>
      <c r="S5" s="60">
        <v>826020.4</v>
      </c>
      <c r="T5" s="66">
        <f t="shared" ref="T5:T11" si="49">IF((S5-S4&lt;0), "",S5-S4)</f>
        <v>145.40000000002328</v>
      </c>
      <c r="U5" s="60">
        <v>335000.7</v>
      </c>
      <c r="V5" s="67">
        <f t="shared" ref="V5:V34" si="50">IF((U5-U4&lt;0), "",U5-U4)</f>
        <v>154.70000000001164</v>
      </c>
      <c r="W5" s="60">
        <v>327.02</v>
      </c>
      <c r="X5" s="66">
        <f>IF((W5-W4&lt;0), "",(W5-W4)*1000)</f>
        <v>199.99999999998863</v>
      </c>
      <c r="Y5" s="60">
        <v>2.3738000000000001</v>
      </c>
      <c r="Z5" s="67">
        <f>IF((Y5-Y4&lt;0), "",(Y5-Y4)*1000000)</f>
        <v>599.99999999993395</v>
      </c>
      <c r="AA5" s="60">
        <v>324.13</v>
      </c>
      <c r="AB5" s="67">
        <f>IF((AA5-AA4&lt;0), "",(AA5-AA4)*1000)</f>
        <v>100.00000000002274</v>
      </c>
      <c r="AC5" s="60">
        <v>299.58999999999997</v>
      </c>
      <c r="AD5" s="67">
        <f>IF((AC5-AC4&lt;0), "",(AC5-AC4)*1000)</f>
        <v>310.00000000000227</v>
      </c>
      <c r="AE5" s="60">
        <v>467.96</v>
      </c>
      <c r="AF5" s="67">
        <f>IF((AE5-AE4&lt;0), "",(AE5-AE4)*1000)</f>
        <v>539.99999999996362</v>
      </c>
      <c r="AG5" s="60">
        <v>1197.4000000000001</v>
      </c>
      <c r="AH5" s="67">
        <f t="shared" ref="AH5:AH34" si="51">IF((AG5-AG4&lt;0), "",AG5-AG4)</f>
        <v>0.8000000000001819</v>
      </c>
      <c r="AI5" s="60">
        <v>409.95</v>
      </c>
      <c r="AJ5" s="67">
        <f>IF((AI5-AI4&lt;0), "",(AI5-AI4)*1000)</f>
        <v>349.99999999996589</v>
      </c>
      <c r="AK5" s="60">
        <v>146.05000000000001</v>
      </c>
      <c r="AL5" s="67">
        <f t="shared" ref="AL5:AL34" si="52">IF((AK5-AK4&lt;0), "",AK5-AK4)</f>
        <v>0.17000000000001592</v>
      </c>
      <c r="AM5" s="60">
        <v>146.79</v>
      </c>
      <c r="AN5" s="67">
        <f t="shared" ref="AN5:AN34" si="53">IF((AM5-AM4&lt;0), "",AM5-AM4)</f>
        <v>0.12000000000000455</v>
      </c>
      <c r="AO5" s="60">
        <v>143.28</v>
      </c>
      <c r="AP5" s="67">
        <f t="shared" ref="AP5:AP34" si="54">IF((AO5-AO4&lt;0), "",AO5-AO4)</f>
        <v>0.12999999999999545</v>
      </c>
      <c r="AQ5" s="60">
        <v>214.67</v>
      </c>
      <c r="AR5" s="67">
        <f>IF((AQ5-AQ4&lt;0), "",(AQ5-AQ4)*1000)</f>
        <v>99.999999999994316</v>
      </c>
      <c r="AS5" s="60">
        <v>341.21</v>
      </c>
      <c r="AT5" s="67">
        <f>IF((AS5-AS4&lt;0), "",(AS5-AS4)*1000)</f>
        <v>109.9999999999568</v>
      </c>
      <c r="AU5" s="60">
        <v>263.19</v>
      </c>
      <c r="AV5" s="67">
        <f>IF((AU5-AU4&lt;0), "",(AU5-AU4)*1000)</f>
        <v>110.00000000001364</v>
      </c>
      <c r="AW5" s="60">
        <v>290.75</v>
      </c>
      <c r="AX5" s="67">
        <f>IF((AW5-AW4&lt;0), "",(AW5-AW4)*1000)</f>
        <v>89.999999999974989</v>
      </c>
      <c r="AY5" s="60">
        <v>341.71</v>
      </c>
      <c r="AZ5" s="67">
        <f>IF((AY5-AY4&lt;0), "",(AY5-AY4)*1000)</f>
        <v>89.999999999974989</v>
      </c>
      <c r="BA5" s="60">
        <v>361.94</v>
      </c>
      <c r="BB5" s="66">
        <f>IF((BA5-BA4&lt;0), "",(BA5-BA4)*1000)</f>
        <v>79.999999999984084</v>
      </c>
      <c r="BC5" s="60">
        <v>203.2</v>
      </c>
      <c r="BD5" s="67">
        <f>IF((BC5-BC4&lt;0), "",(BC5-BC4)*1000)</f>
        <v>9.9999999999909051</v>
      </c>
      <c r="BE5" s="61">
        <v>27967</v>
      </c>
      <c r="BF5" s="67">
        <f t="shared" ref="BF5:BF33" si="55">IF((BE5-BE4&lt;0), "",BE5-BE4)</f>
        <v>36</v>
      </c>
      <c r="BG5" s="62">
        <v>223.49</v>
      </c>
      <c r="BH5" s="67">
        <f>IF((BG5-BG4&lt;0), "",(BG5-BG4)*1000)</f>
        <v>30.000000000001137</v>
      </c>
      <c r="BI5" s="62">
        <v>281.11</v>
      </c>
      <c r="BJ5" s="67">
        <f>IF((BI5-BI4&lt;0), "",(BI5-BI4)*1000)</f>
        <v>50.000000000011369</v>
      </c>
      <c r="BK5" s="62">
        <v>229.09</v>
      </c>
      <c r="BL5" s="67">
        <f>IF((BK5-BK4&lt;0), "",(BK5-BK4)*1000)</f>
        <v>39.999999999992042</v>
      </c>
      <c r="BM5" s="62">
        <v>212.05</v>
      </c>
      <c r="BN5" s="67">
        <f>IF((BM5-BM4&lt;0), "",(BM5-BM4)*1000)</f>
        <v>50.000000000011369</v>
      </c>
      <c r="BO5" s="62">
        <v>276.32</v>
      </c>
      <c r="BP5" s="67">
        <f>IF((BO5-BO4&lt;0), "",(BO5-BO4)*1000)</f>
        <v>50.000000000011369</v>
      </c>
      <c r="BQ5" s="62">
        <v>38037</v>
      </c>
      <c r="BR5" s="67">
        <f t="shared" ref="BR5:BR34" si="56">IF((BQ5-BQ4&lt;0), "",BQ5-BQ4)</f>
        <v>25</v>
      </c>
      <c r="BS5" s="62">
        <v>192.39</v>
      </c>
      <c r="BT5" s="67">
        <f>IF((BS5-BS4&lt;0), "",(BS5-BS4)*1000)</f>
        <v>19.99999999998181</v>
      </c>
      <c r="BU5" s="62">
        <v>29030</v>
      </c>
      <c r="BV5" s="67">
        <f t="shared" ref="BV5:BV35" si="57">IF((BU5-BU4&lt;0), "",BU5-BU4)</f>
        <v>24</v>
      </c>
      <c r="BW5" s="62">
        <v>222.41</v>
      </c>
      <c r="BX5" s="67">
        <f>IF((BW5-BW4&lt;0), "",(BW5-BW4)*1000)</f>
        <v>30.000000000001137</v>
      </c>
      <c r="BY5" s="62">
        <v>47522</v>
      </c>
      <c r="BZ5" s="67">
        <f t="shared" ref="BZ5:BZ34" si="58">IF((BY5-BY4&lt;0), "",BY5-BY4)</f>
        <v>39</v>
      </c>
      <c r="CA5" s="62">
        <v>27500.7</v>
      </c>
      <c r="CB5" s="67">
        <f t="shared" ref="CB5:CB34" si="59">IF((CA5-CA4&lt;0), "",CA5-CA4)</f>
        <v>0</v>
      </c>
      <c r="CC5" s="62">
        <v>11250.4</v>
      </c>
      <c r="CD5" s="67">
        <f t="shared" ref="CD5:CD34" si="60">IF((CC5-CC4&lt;0), "",CC5-CC4)</f>
        <v>0</v>
      </c>
      <c r="CE5" s="62">
        <v>5487.5</v>
      </c>
      <c r="CF5" s="67">
        <f t="shared" ref="CF5:CF34" si="61">IF((CE5-CE4&lt;0), "",CE5-CE4)</f>
        <v>0</v>
      </c>
      <c r="CG5" s="62">
        <v>43525.3</v>
      </c>
      <c r="CH5" s="67">
        <f t="shared" ref="CH5:CH34" si="62">IF((CG5-CG4&lt;0), "",CG5-CG4)</f>
        <v>65.80000000000291</v>
      </c>
      <c r="CI5" s="62">
        <v>850106</v>
      </c>
      <c r="CJ5" s="67">
        <f t="shared" ref="CJ5:CJ34" si="63">IF((CI5-CI4&lt;0), "",CI5-CI4)</f>
        <v>216</v>
      </c>
      <c r="CK5" s="62">
        <v>555.80999999999995</v>
      </c>
      <c r="CL5" s="66">
        <f t="shared" ref="CL5:CL34" si="64">IF((CK5-CK4&lt;0), "",(CK5-CK4)*1000)</f>
        <v>409.99999999996817</v>
      </c>
      <c r="CM5" s="67">
        <v>29</v>
      </c>
      <c r="CN5" s="64">
        <v>0</v>
      </c>
      <c r="CO5" s="64">
        <v>0</v>
      </c>
    </row>
    <row r="6" spans="1:93" ht="25.5" customHeight="1" thickBot="1" x14ac:dyDescent="0.45">
      <c r="A6" s="65">
        <v>43954</v>
      </c>
      <c r="B6" s="45"/>
      <c r="C6" s="60">
        <v>1.6708000000000001</v>
      </c>
      <c r="D6" s="66">
        <f t="shared" si="42"/>
        <v>1600.0000000000459</v>
      </c>
      <c r="E6" s="60">
        <v>2.6856</v>
      </c>
      <c r="F6" s="66">
        <f t="shared" si="43"/>
        <v>900.0000000001229</v>
      </c>
      <c r="G6" s="60">
        <v>2.5030999999999999</v>
      </c>
      <c r="H6" s="66">
        <f t="shared" si="44"/>
        <v>1599.9999999998238</v>
      </c>
      <c r="I6" s="60">
        <v>1.1974</v>
      </c>
      <c r="J6" s="66">
        <f>IF((I6-I5&lt;0), "0",(I6-I5)*1000000)</f>
        <v>1200.0000000000898</v>
      </c>
      <c r="K6" s="60">
        <v>1.8378000000000001</v>
      </c>
      <c r="L6" s="66">
        <f t="shared" si="45"/>
        <v>2099.9999999999909</v>
      </c>
      <c r="M6" s="60">
        <v>1.1726000000000001</v>
      </c>
      <c r="N6" s="66">
        <f t="shared" si="46"/>
        <v>1100.000000000101</v>
      </c>
      <c r="O6" s="60">
        <v>12541</v>
      </c>
      <c r="P6" s="67">
        <f t="shared" si="47"/>
        <v>0</v>
      </c>
      <c r="Q6" s="60">
        <v>5286</v>
      </c>
      <c r="R6" s="67">
        <f t="shared" si="48"/>
        <v>6</v>
      </c>
      <c r="S6" s="60">
        <v>826077</v>
      </c>
      <c r="T6" s="66">
        <f t="shared" si="49"/>
        <v>56.599999999976717</v>
      </c>
      <c r="U6" s="60">
        <v>335038</v>
      </c>
      <c r="V6" s="67">
        <f t="shared" si="50"/>
        <v>37.299999999988358</v>
      </c>
      <c r="W6" s="60">
        <v>327.23</v>
      </c>
      <c r="X6" s="67">
        <f t="shared" ref="X6:X34" si="65">IF((W6-W5&lt;0), "",(W6-W5)*1000)</f>
        <v>210.00000000003638</v>
      </c>
      <c r="Y6" s="60">
        <v>2.3744000000000001</v>
      </c>
      <c r="Z6" s="67">
        <f t="shared" ref="Z6:Z34" si="66">IF((Y6-Y5&lt;0), "",(Y6-Y5)*1000000)</f>
        <v>599.99999999993395</v>
      </c>
      <c r="AA6" s="60">
        <v>324.23</v>
      </c>
      <c r="AB6" s="67">
        <f t="shared" ref="AB6:AB34" si="67">IF((AA6-AA5&lt;0), "",(AA6-AA5)*1000)</f>
        <v>100.00000000002274</v>
      </c>
      <c r="AC6" s="60">
        <v>299.92</v>
      </c>
      <c r="AD6" s="67">
        <f t="shared" ref="AD6:AD34" si="68">IF((AC6-AC5&lt;0), "",(AC6-AC5)*1000)</f>
        <v>330.00000000004093</v>
      </c>
      <c r="AE6" s="60">
        <v>468.5</v>
      </c>
      <c r="AF6" s="67">
        <f t="shared" ref="AF6:AF34" si="69">IF((AE6-AE5&lt;0), "",(AE6-AE5)*1000)</f>
        <v>540.00000000002046</v>
      </c>
      <c r="AG6" s="60">
        <v>1198.2</v>
      </c>
      <c r="AH6" s="67">
        <f t="shared" si="51"/>
        <v>0.79999999999995453</v>
      </c>
      <c r="AI6" s="60">
        <v>410.22</v>
      </c>
      <c r="AJ6" s="67">
        <f t="shared" ref="AJ6:AJ34" si="70">IF((AI6-AI5&lt;0), "",(AI6-AI5)*1000)</f>
        <v>270.00000000003865</v>
      </c>
      <c r="AK6" s="60">
        <v>146.22999999999999</v>
      </c>
      <c r="AL6" s="67">
        <f t="shared" si="52"/>
        <v>0.1799999999999784</v>
      </c>
      <c r="AM6" s="60">
        <v>146.91</v>
      </c>
      <c r="AN6" s="67">
        <f t="shared" si="53"/>
        <v>0.12000000000000455</v>
      </c>
      <c r="AO6" s="60">
        <v>143.41999999999999</v>
      </c>
      <c r="AP6" s="67">
        <f t="shared" si="54"/>
        <v>0.13999999999998636</v>
      </c>
      <c r="AQ6" s="60">
        <v>214.77</v>
      </c>
      <c r="AR6" s="67">
        <f t="shared" ref="AR6:AR34" si="71">IF((AQ6-AQ5&lt;0), "",(AQ6-AQ5)*1000)</f>
        <v>100.00000000002274</v>
      </c>
      <c r="AS6" s="60">
        <v>341.32</v>
      </c>
      <c r="AT6" s="67">
        <f t="shared" ref="AT6:AT34" si="72">IF((AS6-AS5&lt;0), "",(AS6-AS5)*1000)</f>
        <v>110.00000000001364</v>
      </c>
      <c r="AU6" s="60">
        <v>263.27999999999997</v>
      </c>
      <c r="AV6" s="67">
        <f t="shared" ref="AV6:AV34" si="73">IF((AU6-AU5&lt;0), "",(AU6-AU5)*1000)</f>
        <v>89.999999999974989</v>
      </c>
      <c r="AW6" s="60">
        <v>290.83</v>
      </c>
      <c r="AX6" s="67">
        <f t="shared" ref="AX6:AX37" si="74">IF((AW6-AW5&lt;0), "",(AW6-AW5)*1000)</f>
        <v>79.999999999984084</v>
      </c>
      <c r="AY6" s="60">
        <v>341.81</v>
      </c>
      <c r="AZ6" s="67">
        <f t="shared" ref="AZ6:AZ34" si="75">IF((AY6-AY5&lt;0), "",(AY6-AY5)*1000)</f>
        <v>100.00000000002274</v>
      </c>
      <c r="BA6" s="60">
        <v>362.02</v>
      </c>
      <c r="BB6" s="67">
        <f t="shared" ref="BB6:BB34" si="76">IF((BA6-BA5&lt;0), "",(BA6-BA5)*1000)</f>
        <v>79.999999999984084</v>
      </c>
      <c r="BC6" s="60">
        <v>203.21</v>
      </c>
      <c r="BD6" s="67">
        <f t="shared" ref="BD6:BD34" si="77">IF((BC6-BC5&lt;0), "",(BC6-BC5)*1000)</f>
        <v>10.000000000019327</v>
      </c>
      <c r="BE6" s="61">
        <v>27997</v>
      </c>
      <c r="BF6" s="67">
        <f t="shared" si="55"/>
        <v>30</v>
      </c>
      <c r="BG6" s="62">
        <v>223.52</v>
      </c>
      <c r="BH6" s="67">
        <f t="shared" ref="BH6:BH34" si="78">IF((BG6-BG5&lt;0), "",(BG6-BG5)*1000)</f>
        <v>30.000000000001137</v>
      </c>
      <c r="BI6" s="62">
        <v>281.14999999999998</v>
      </c>
      <c r="BJ6" s="67">
        <f t="shared" ref="BJ6:BJ35" si="79">IF((BI6-BI5&lt;0), "",(BI6-BI5)*1000)</f>
        <v>39.99999999996362</v>
      </c>
      <c r="BK6" s="62">
        <v>229.12</v>
      </c>
      <c r="BL6" s="67">
        <f t="shared" ref="BL6:BL35" si="80">IF((BK6-BK5&lt;0), "",(BK6-BK5)*1000)</f>
        <v>30.000000000001137</v>
      </c>
      <c r="BM6" s="62">
        <v>212.1</v>
      </c>
      <c r="BN6" s="67">
        <f t="shared" ref="BN6:BN34" si="81">IF((BM6-BM5&lt;0), "",(BM6-BM5)*1000)</f>
        <v>49.999999999982947</v>
      </c>
      <c r="BO6" s="62">
        <v>276.38</v>
      </c>
      <c r="BP6" s="67">
        <f t="shared" ref="BP6:BP34" si="82">IF((BO6-BO5&lt;0), "",(BO6-BO5)*1000)</f>
        <v>60.000000000002274</v>
      </c>
      <c r="BQ6" s="62">
        <v>38064</v>
      </c>
      <c r="BR6" s="67">
        <f t="shared" si="56"/>
        <v>27</v>
      </c>
      <c r="BS6" s="62">
        <v>192.41</v>
      </c>
      <c r="BT6" s="67">
        <f t="shared" ref="BT6:BT35" si="83">IF((BS6-BS5&lt;0), "",(BS6-BS5)*1000)</f>
        <v>20.000000000010232</v>
      </c>
      <c r="BU6" s="62">
        <v>29055</v>
      </c>
      <c r="BV6" s="67">
        <f t="shared" si="57"/>
        <v>25</v>
      </c>
      <c r="BW6" s="62">
        <v>222.44</v>
      </c>
      <c r="BX6" s="67">
        <f t="shared" ref="BX6:BX34" si="84">IF((BW6-BW5&lt;0), "",(BW6-BW5)*1000)</f>
        <v>30.000000000001137</v>
      </c>
      <c r="BY6" s="62">
        <v>47561</v>
      </c>
      <c r="BZ6" s="67">
        <f t="shared" si="58"/>
        <v>39</v>
      </c>
      <c r="CA6" s="62">
        <v>27500.7</v>
      </c>
      <c r="CB6" s="67">
        <f t="shared" si="59"/>
        <v>0</v>
      </c>
      <c r="CC6" s="62">
        <v>11250.4</v>
      </c>
      <c r="CD6" s="67">
        <f t="shared" si="60"/>
        <v>0</v>
      </c>
      <c r="CE6" s="62">
        <v>5487.5</v>
      </c>
      <c r="CF6" s="67">
        <f t="shared" si="61"/>
        <v>0</v>
      </c>
      <c r="CG6" s="62">
        <v>43595.5</v>
      </c>
      <c r="CH6" s="67">
        <f t="shared" si="62"/>
        <v>70.19999999999709</v>
      </c>
      <c r="CI6" s="62">
        <v>850305</v>
      </c>
      <c r="CJ6" s="67">
        <f t="shared" si="63"/>
        <v>199</v>
      </c>
      <c r="CK6" s="62">
        <v>556.16999999999996</v>
      </c>
      <c r="CL6" s="66">
        <f t="shared" si="64"/>
        <v>360.00000000001364</v>
      </c>
      <c r="CM6" s="67">
        <v>19</v>
      </c>
      <c r="CN6" s="64">
        <v>0</v>
      </c>
      <c r="CO6" s="64">
        <v>0</v>
      </c>
    </row>
    <row r="7" spans="1:93" ht="25.5" customHeight="1" thickBot="1" x14ac:dyDescent="0.45">
      <c r="A7" s="65">
        <v>43955</v>
      </c>
      <c r="B7" s="45"/>
      <c r="C7" s="60">
        <v>1.6725000000000001</v>
      </c>
      <c r="D7" s="66">
        <f t="shared" si="42"/>
        <v>1700.0000000000348</v>
      </c>
      <c r="E7" s="60">
        <v>2.6865999999999999</v>
      </c>
      <c r="F7" s="66">
        <f t="shared" si="43"/>
        <v>999.99999999988984</v>
      </c>
      <c r="G7" s="60">
        <v>2.5049000000000001</v>
      </c>
      <c r="H7" s="66">
        <f t="shared" si="44"/>
        <v>1800.0000000002458</v>
      </c>
      <c r="I7" s="60">
        <v>1.1987000000000001</v>
      </c>
      <c r="J7" s="66">
        <f>IF((I7-I6&lt;0), "0",(I7-I6)*1000000)</f>
        <v>1300.0000000000789</v>
      </c>
      <c r="K7" s="60">
        <v>1.8403</v>
      </c>
      <c r="L7" s="66">
        <f t="shared" si="45"/>
        <v>2499.9999999999468</v>
      </c>
      <c r="M7" s="60">
        <v>1.1738</v>
      </c>
      <c r="N7" s="66">
        <f t="shared" si="46"/>
        <v>1199.9999999998679</v>
      </c>
      <c r="O7" s="60">
        <v>12541</v>
      </c>
      <c r="P7" s="67">
        <f t="shared" si="47"/>
        <v>0</v>
      </c>
      <c r="Q7" s="60">
        <v>5293</v>
      </c>
      <c r="R7" s="67">
        <f t="shared" si="48"/>
        <v>7</v>
      </c>
      <c r="S7" s="60">
        <v>826369.1</v>
      </c>
      <c r="T7" s="66">
        <f t="shared" si="49"/>
        <v>292.09999999997672</v>
      </c>
      <c r="U7" s="60">
        <v>335209.59999999998</v>
      </c>
      <c r="V7" s="67">
        <f t="shared" si="50"/>
        <v>171.59999999997672</v>
      </c>
      <c r="W7" s="60">
        <v>327.45</v>
      </c>
      <c r="X7" s="67">
        <f t="shared" si="65"/>
        <v>219.99999999997044</v>
      </c>
      <c r="Y7" s="60">
        <v>2.3751000000000002</v>
      </c>
      <c r="Z7" s="67">
        <f t="shared" si="66"/>
        <v>700.00000000014495</v>
      </c>
      <c r="AA7" s="60">
        <v>324.35000000000002</v>
      </c>
      <c r="AB7" s="67">
        <f t="shared" si="67"/>
        <v>120.00000000000455</v>
      </c>
      <c r="AC7" s="60">
        <v>300.27999999999997</v>
      </c>
      <c r="AD7" s="67">
        <f t="shared" si="68"/>
        <v>359.9999999999568</v>
      </c>
      <c r="AE7" s="60">
        <v>469.11</v>
      </c>
      <c r="AF7" s="67">
        <f t="shared" si="69"/>
        <v>610.00000000001364</v>
      </c>
      <c r="AG7" s="60">
        <v>1199.5</v>
      </c>
      <c r="AH7" s="67">
        <f t="shared" si="51"/>
        <v>1.2999999999999545</v>
      </c>
      <c r="AI7" s="60">
        <v>410.5</v>
      </c>
      <c r="AJ7" s="67">
        <f t="shared" si="70"/>
        <v>279.99999999997272</v>
      </c>
      <c r="AK7" s="60">
        <v>146.43</v>
      </c>
      <c r="AL7" s="67">
        <f t="shared" si="52"/>
        <v>0.20000000000001705</v>
      </c>
      <c r="AM7" s="60">
        <v>147.05000000000001</v>
      </c>
      <c r="AN7" s="67">
        <f t="shared" si="53"/>
        <v>0.14000000000001478</v>
      </c>
      <c r="AO7" s="60">
        <v>143.53</v>
      </c>
      <c r="AP7" s="67">
        <f t="shared" si="54"/>
        <v>0.11000000000001364</v>
      </c>
      <c r="AQ7" s="60">
        <v>214.88</v>
      </c>
      <c r="AR7" s="67">
        <f t="shared" si="71"/>
        <v>109.99999999998522</v>
      </c>
      <c r="AS7" s="60">
        <v>341.45</v>
      </c>
      <c r="AT7" s="67">
        <f t="shared" si="72"/>
        <v>129.99999999999545</v>
      </c>
      <c r="AU7" s="60">
        <v>263.39999999999998</v>
      </c>
      <c r="AV7" s="67">
        <f t="shared" si="73"/>
        <v>120.00000000000455</v>
      </c>
      <c r="AW7" s="60">
        <v>290.94</v>
      </c>
      <c r="AX7" s="67">
        <f t="shared" si="74"/>
        <v>110.00000000001364</v>
      </c>
      <c r="AY7" s="60">
        <v>341.93</v>
      </c>
      <c r="AZ7" s="67">
        <f t="shared" si="75"/>
        <v>120.00000000000455</v>
      </c>
      <c r="BA7" s="60">
        <v>362.12</v>
      </c>
      <c r="BB7" s="67">
        <f t="shared" si="76"/>
        <v>100.00000000002274</v>
      </c>
      <c r="BC7" s="60">
        <v>203.22</v>
      </c>
      <c r="BD7" s="67">
        <f t="shared" si="77"/>
        <v>9.9999999999909051</v>
      </c>
      <c r="BE7" s="61">
        <v>28028</v>
      </c>
      <c r="BF7" s="67">
        <f t="shared" si="55"/>
        <v>31</v>
      </c>
      <c r="BG7" s="62">
        <v>223.56</v>
      </c>
      <c r="BH7" s="67">
        <f t="shared" si="78"/>
        <v>39.999999999992042</v>
      </c>
      <c r="BI7" s="62">
        <v>281.18</v>
      </c>
      <c r="BJ7" s="67">
        <f t="shared" si="79"/>
        <v>30.000000000029559</v>
      </c>
      <c r="BK7" s="62">
        <v>229.16</v>
      </c>
      <c r="BL7" s="67">
        <f t="shared" si="80"/>
        <v>39.999999999992042</v>
      </c>
      <c r="BM7" s="62">
        <v>212.14</v>
      </c>
      <c r="BN7" s="67">
        <f t="shared" si="81"/>
        <v>39.999999999992042</v>
      </c>
      <c r="BO7" s="62">
        <v>276.43</v>
      </c>
      <c r="BP7" s="67">
        <f t="shared" si="82"/>
        <v>50.000000000011369</v>
      </c>
      <c r="BQ7" s="62">
        <v>38091</v>
      </c>
      <c r="BR7" s="67">
        <f t="shared" si="56"/>
        <v>27</v>
      </c>
      <c r="BS7" s="62">
        <v>192.44</v>
      </c>
      <c r="BT7" s="67">
        <f t="shared" si="83"/>
        <v>30.000000000001137</v>
      </c>
      <c r="BU7" s="62">
        <v>29083</v>
      </c>
      <c r="BV7" s="67">
        <f t="shared" si="57"/>
        <v>28</v>
      </c>
      <c r="BW7" s="62">
        <v>222.48</v>
      </c>
      <c r="BX7" s="67">
        <f t="shared" si="84"/>
        <v>39.999999999992042</v>
      </c>
      <c r="BY7" s="62">
        <v>47596</v>
      </c>
      <c r="BZ7" s="67">
        <f t="shared" si="58"/>
        <v>35</v>
      </c>
      <c r="CA7" s="62">
        <v>27500.7</v>
      </c>
      <c r="CB7" s="67">
        <f t="shared" si="59"/>
        <v>0</v>
      </c>
      <c r="CC7" s="62">
        <v>11250.4</v>
      </c>
      <c r="CD7" s="67">
        <f t="shared" si="60"/>
        <v>0</v>
      </c>
      <c r="CE7" s="62">
        <v>5487.5</v>
      </c>
      <c r="CF7" s="67">
        <f t="shared" si="61"/>
        <v>0</v>
      </c>
      <c r="CG7" s="62">
        <v>43662</v>
      </c>
      <c r="CH7" s="67">
        <f t="shared" si="62"/>
        <v>66.5</v>
      </c>
      <c r="CI7" s="62">
        <v>850574</v>
      </c>
      <c r="CJ7" s="67">
        <f t="shared" si="63"/>
        <v>269</v>
      </c>
      <c r="CK7" s="62">
        <v>556.52</v>
      </c>
      <c r="CL7" s="66">
        <f t="shared" si="64"/>
        <v>350.00000000002274</v>
      </c>
      <c r="CM7" s="67">
        <v>25.7</v>
      </c>
      <c r="CN7" s="64">
        <v>0</v>
      </c>
      <c r="CO7" s="64">
        <v>0</v>
      </c>
    </row>
    <row r="8" spans="1:93" ht="25.5" customHeight="1" thickBot="1" x14ac:dyDescent="0.45">
      <c r="A8" s="65">
        <v>43956</v>
      </c>
      <c r="B8" s="45"/>
      <c r="C8" s="60">
        <v>1.6741999999999999</v>
      </c>
      <c r="D8" s="66">
        <f t="shared" si="42"/>
        <v>1699.9999999998129</v>
      </c>
      <c r="E8" s="60">
        <v>2.6876000000000002</v>
      </c>
      <c r="F8" s="66">
        <f t="shared" si="43"/>
        <v>1000.000000000334</v>
      </c>
      <c r="G8" s="60">
        <v>2.5068000000000001</v>
      </c>
      <c r="H8" s="66">
        <f t="shared" si="44"/>
        <v>1900.0000000000127</v>
      </c>
      <c r="I8" s="60">
        <v>1.2000999999999999</v>
      </c>
      <c r="J8" s="66">
        <f>IF((I8-I7&lt;0), "0",(I8-I7)*1000000)</f>
        <v>1399.9999999998458</v>
      </c>
      <c r="K8" s="60">
        <v>1.8427</v>
      </c>
      <c r="L8" s="66">
        <f t="shared" si="45"/>
        <v>2399.9999999999577</v>
      </c>
      <c r="M8" s="60">
        <v>1.1749000000000001</v>
      </c>
      <c r="N8" s="66">
        <f t="shared" si="46"/>
        <v>1100.000000000101</v>
      </c>
      <c r="O8" s="60">
        <v>12541</v>
      </c>
      <c r="P8" s="67">
        <f t="shared" si="47"/>
        <v>0</v>
      </c>
      <c r="Q8" s="60">
        <v>5299</v>
      </c>
      <c r="R8" s="67">
        <f t="shared" si="48"/>
        <v>6</v>
      </c>
      <c r="S8" s="60">
        <v>826562.6</v>
      </c>
      <c r="T8" s="66">
        <f t="shared" si="49"/>
        <v>193.5</v>
      </c>
      <c r="U8" s="60">
        <v>335336.3</v>
      </c>
      <c r="V8" s="67">
        <f t="shared" si="50"/>
        <v>126.70000000001164</v>
      </c>
      <c r="W8" s="60">
        <v>327.68</v>
      </c>
      <c r="X8" s="67">
        <f t="shared" si="65"/>
        <v>230.00000000001819</v>
      </c>
      <c r="Y8" s="60">
        <v>2.3757000000000001</v>
      </c>
      <c r="Z8" s="67">
        <f t="shared" si="66"/>
        <v>599.99999999993395</v>
      </c>
      <c r="AA8" s="60">
        <v>324.45999999999998</v>
      </c>
      <c r="AB8" s="67">
        <f t="shared" si="67"/>
        <v>109.9999999999568</v>
      </c>
      <c r="AC8" s="60">
        <v>300.63</v>
      </c>
      <c r="AD8" s="67">
        <f t="shared" si="68"/>
        <v>350.00000000002274</v>
      </c>
      <c r="AE8" s="60">
        <v>469.7</v>
      </c>
      <c r="AF8" s="67">
        <f t="shared" si="69"/>
        <v>589.99999999997499</v>
      </c>
      <c r="AG8" s="60">
        <v>1200.5999999999999</v>
      </c>
      <c r="AH8" s="67">
        <f t="shared" si="51"/>
        <v>1.0999999999999091</v>
      </c>
      <c r="AI8" s="60">
        <v>410.79</v>
      </c>
      <c r="AJ8" s="67">
        <f t="shared" si="70"/>
        <v>290.00000000002046</v>
      </c>
      <c r="AK8" s="60">
        <v>146.63</v>
      </c>
      <c r="AL8" s="67">
        <f t="shared" si="52"/>
        <v>0.19999999999998863</v>
      </c>
      <c r="AM8" s="60">
        <v>147.19999999999999</v>
      </c>
      <c r="AN8" s="67">
        <f t="shared" si="53"/>
        <v>0.14999999999997726</v>
      </c>
      <c r="AO8" s="60">
        <v>143.66</v>
      </c>
      <c r="AP8" s="67">
        <f t="shared" si="54"/>
        <v>0.12999999999999545</v>
      </c>
      <c r="AQ8" s="60">
        <v>214.98</v>
      </c>
      <c r="AR8" s="67">
        <f t="shared" si="71"/>
        <v>99.999999999994316</v>
      </c>
      <c r="AS8" s="60">
        <v>341.56</v>
      </c>
      <c r="AT8" s="67">
        <f t="shared" si="72"/>
        <v>110.00000000001364</v>
      </c>
      <c r="AU8" s="60">
        <v>263.51</v>
      </c>
      <c r="AV8" s="67">
        <f t="shared" si="73"/>
        <v>110.00000000001364</v>
      </c>
      <c r="AW8" s="60">
        <v>291.02999999999997</v>
      </c>
      <c r="AX8" s="67">
        <f t="shared" si="74"/>
        <v>89.999999999974989</v>
      </c>
      <c r="AY8" s="60">
        <v>342.04</v>
      </c>
      <c r="AZ8" s="67">
        <f t="shared" si="75"/>
        <v>110.00000000001364</v>
      </c>
      <c r="BA8" s="60">
        <v>362.21</v>
      </c>
      <c r="BB8" s="67">
        <f t="shared" si="76"/>
        <v>89.999999999974989</v>
      </c>
      <c r="BC8" s="60">
        <v>203.23</v>
      </c>
      <c r="BD8" s="67">
        <f t="shared" si="77"/>
        <v>9.9999999999909051</v>
      </c>
      <c r="BE8" s="61">
        <v>28068</v>
      </c>
      <c r="BF8" s="67">
        <f t="shared" si="55"/>
        <v>40</v>
      </c>
      <c r="BG8" s="62">
        <v>223.59</v>
      </c>
      <c r="BH8" s="67">
        <f t="shared" si="78"/>
        <v>30.000000000001137</v>
      </c>
      <c r="BI8" s="62">
        <v>281.23</v>
      </c>
      <c r="BJ8" s="67">
        <f t="shared" si="79"/>
        <v>50.000000000011369</v>
      </c>
      <c r="BK8" s="62">
        <v>229.19</v>
      </c>
      <c r="BL8" s="67">
        <f t="shared" si="80"/>
        <v>30.000000000001137</v>
      </c>
      <c r="BM8" s="62">
        <v>212.17</v>
      </c>
      <c r="BN8" s="67">
        <f t="shared" si="81"/>
        <v>30.000000000001137</v>
      </c>
      <c r="BO8" s="62">
        <v>276.48</v>
      </c>
      <c r="BP8" s="67">
        <f t="shared" si="82"/>
        <v>50.000000000011369</v>
      </c>
      <c r="BQ8" s="62">
        <v>38117</v>
      </c>
      <c r="BR8" s="67">
        <f t="shared" si="56"/>
        <v>26</v>
      </c>
      <c r="BS8" s="62">
        <v>192.47</v>
      </c>
      <c r="BT8" s="67">
        <f t="shared" si="83"/>
        <v>30.000000000001137</v>
      </c>
      <c r="BU8" s="62">
        <v>29109</v>
      </c>
      <c r="BV8" s="67">
        <f t="shared" si="57"/>
        <v>26</v>
      </c>
      <c r="BW8" s="62">
        <v>222.51</v>
      </c>
      <c r="BX8" s="67">
        <f t="shared" si="84"/>
        <v>30.000000000001137</v>
      </c>
      <c r="BY8" s="62">
        <v>47634</v>
      </c>
      <c r="BZ8" s="67">
        <f t="shared" si="58"/>
        <v>38</v>
      </c>
      <c r="CA8" s="62">
        <v>27500.7</v>
      </c>
      <c r="CB8" s="67">
        <f t="shared" si="59"/>
        <v>0</v>
      </c>
      <c r="CC8" s="62">
        <v>11250.4</v>
      </c>
      <c r="CD8" s="67">
        <f t="shared" si="60"/>
        <v>0</v>
      </c>
      <c r="CE8" s="62">
        <v>5487.5</v>
      </c>
      <c r="CF8" s="67">
        <f t="shared" si="61"/>
        <v>0</v>
      </c>
      <c r="CG8" s="62">
        <v>43717.3</v>
      </c>
      <c r="CH8" s="67">
        <f t="shared" si="62"/>
        <v>55.30000000000291</v>
      </c>
      <c r="CI8" s="62">
        <v>850838</v>
      </c>
      <c r="CJ8" s="67">
        <f t="shared" si="63"/>
        <v>264</v>
      </c>
      <c r="CK8" s="62">
        <v>556.92999999999995</v>
      </c>
      <c r="CL8" s="66">
        <f t="shared" si="64"/>
        <v>409.99999999996817</v>
      </c>
      <c r="CM8" s="67">
        <v>30.3</v>
      </c>
      <c r="CN8" s="64">
        <v>0</v>
      </c>
      <c r="CO8" s="64">
        <v>0</v>
      </c>
    </row>
    <row r="9" spans="1:93" ht="25.5" customHeight="1" thickBot="1" x14ac:dyDescent="0.45">
      <c r="A9" s="65">
        <v>43957</v>
      </c>
      <c r="B9" s="45"/>
      <c r="C9" s="60">
        <v>1.6758</v>
      </c>
      <c r="D9" s="66">
        <f t="shared" si="42"/>
        <v>1600.0000000000459</v>
      </c>
      <c r="E9" s="60">
        <v>2.6886000000000001</v>
      </c>
      <c r="F9" s="66">
        <f t="shared" si="43"/>
        <v>999.99999999988984</v>
      </c>
      <c r="G9" s="60">
        <v>2.5085999999999999</v>
      </c>
      <c r="H9" s="66">
        <f t="shared" si="44"/>
        <v>1799.9999999998017</v>
      </c>
      <c r="I9" s="60">
        <v>1.2013</v>
      </c>
      <c r="J9" s="66">
        <f t="shared" ref="J9:J34" si="85">IF((I9-I8&lt;0), "0",(I9-I8)*1000000)</f>
        <v>1200.0000000000898</v>
      </c>
      <c r="K9" s="60">
        <v>1.845</v>
      </c>
      <c r="L9" s="66">
        <f t="shared" si="45"/>
        <v>2299.9999999999686</v>
      </c>
      <c r="M9" s="60">
        <v>1.1760999999999999</v>
      </c>
      <c r="N9" s="66">
        <f t="shared" si="46"/>
        <v>1199.9999999998679</v>
      </c>
      <c r="O9" s="60">
        <v>12541</v>
      </c>
      <c r="P9" s="67">
        <f>IF((O9-O8&lt;0), "0",O9-O8)</f>
        <v>0</v>
      </c>
      <c r="Q9" s="60">
        <v>5305</v>
      </c>
      <c r="R9" s="67">
        <f>IF((Q9-Q8&lt;0), "0",Q9-Q8)</f>
        <v>6</v>
      </c>
      <c r="S9" s="60">
        <v>826806.3</v>
      </c>
      <c r="T9" s="67">
        <f>IF((S9-S8&lt;0), "0",S9-S8)</f>
        <v>243.70000000006985</v>
      </c>
      <c r="U9" s="60">
        <v>335504.90000000002</v>
      </c>
      <c r="V9" s="67">
        <f>IF((U9-U8&lt;0), "0",U9-U8)</f>
        <v>168.60000000003492</v>
      </c>
      <c r="W9" s="60">
        <v>327.89</v>
      </c>
      <c r="X9" s="67">
        <f t="shared" si="65"/>
        <v>209.99999999997954</v>
      </c>
      <c r="Y9" s="60">
        <v>2.3763000000000001</v>
      </c>
      <c r="Z9" s="67">
        <f t="shared" si="66"/>
        <v>599.99999999993395</v>
      </c>
      <c r="AA9" s="60">
        <v>324.56</v>
      </c>
      <c r="AB9" s="67">
        <f t="shared" si="67"/>
        <v>100.00000000002274</v>
      </c>
      <c r="AC9" s="60">
        <v>300.95999999999998</v>
      </c>
      <c r="AD9" s="67">
        <f t="shared" si="68"/>
        <v>329.99999999998408</v>
      </c>
      <c r="AE9" s="60">
        <v>470.3</v>
      </c>
      <c r="AF9" s="67">
        <f t="shared" si="69"/>
        <v>600.00000000002274</v>
      </c>
      <c r="AG9" s="60">
        <v>1201.5</v>
      </c>
      <c r="AH9" s="67">
        <f>IF((AG9-AG8&lt;0), "0",AG9-AG8)</f>
        <v>0.90000000000009095</v>
      </c>
      <c r="AI9" s="60">
        <v>411.07</v>
      </c>
      <c r="AJ9" s="67">
        <f t="shared" si="70"/>
        <v>279.99999999997272</v>
      </c>
      <c r="AK9" s="60">
        <v>146.80000000000001</v>
      </c>
      <c r="AL9" s="67">
        <f>IF((AK9-AK8&lt;0), "0",AK9-AK8)</f>
        <v>0.17000000000001592</v>
      </c>
      <c r="AM9" s="60">
        <v>147.35</v>
      </c>
      <c r="AN9" s="67">
        <f>IF((AM9-AM8&lt;0), "0",AM9-AM8)</f>
        <v>0.15000000000000568</v>
      </c>
      <c r="AO9" s="60">
        <v>143.82</v>
      </c>
      <c r="AP9" s="67">
        <f t="shared" si="54"/>
        <v>0.15999999999999659</v>
      </c>
      <c r="AQ9" s="60">
        <v>215.09</v>
      </c>
      <c r="AR9" s="67">
        <f t="shared" si="71"/>
        <v>110.00000000001364</v>
      </c>
      <c r="AS9" s="60">
        <v>341.67</v>
      </c>
      <c r="AT9" s="67">
        <f t="shared" si="72"/>
        <v>110.00000000001364</v>
      </c>
      <c r="AU9" s="60">
        <v>263.61</v>
      </c>
      <c r="AV9" s="67">
        <f t="shared" si="73"/>
        <v>100.00000000002274</v>
      </c>
      <c r="AW9" s="60">
        <v>291.11</v>
      </c>
      <c r="AX9" s="67">
        <f t="shared" si="74"/>
        <v>80.000000000040927</v>
      </c>
      <c r="AY9" s="60">
        <v>342.14</v>
      </c>
      <c r="AZ9" s="67">
        <f t="shared" si="75"/>
        <v>99.999999999965894</v>
      </c>
      <c r="BA9" s="60">
        <v>362.29</v>
      </c>
      <c r="BB9" s="67">
        <f t="shared" si="76"/>
        <v>80.000000000040927</v>
      </c>
      <c r="BC9" s="60">
        <v>203.24</v>
      </c>
      <c r="BD9" s="67">
        <f t="shared" si="77"/>
        <v>10.000000000019327</v>
      </c>
      <c r="BE9" s="61">
        <v>28101</v>
      </c>
      <c r="BF9" s="67">
        <f t="shared" si="55"/>
        <v>33</v>
      </c>
      <c r="BG9" s="62">
        <v>223.63</v>
      </c>
      <c r="BH9" s="67">
        <f t="shared" si="78"/>
        <v>39.999999999992042</v>
      </c>
      <c r="BI9" s="62">
        <v>281.27</v>
      </c>
      <c r="BJ9" s="67">
        <f t="shared" si="79"/>
        <v>39.99999999996362</v>
      </c>
      <c r="BK9" s="62">
        <v>229.23</v>
      </c>
      <c r="BL9" s="67">
        <f t="shared" si="80"/>
        <v>39.999999999992042</v>
      </c>
      <c r="BM9" s="62">
        <v>212.22</v>
      </c>
      <c r="BN9" s="67">
        <f t="shared" si="81"/>
        <v>50.000000000011369</v>
      </c>
      <c r="BO9" s="62">
        <v>276.52</v>
      </c>
      <c r="BP9" s="67">
        <f t="shared" si="82"/>
        <v>39.99999999996362</v>
      </c>
      <c r="BQ9" s="62">
        <v>38143</v>
      </c>
      <c r="BR9" s="67">
        <f t="shared" si="56"/>
        <v>26</v>
      </c>
      <c r="BS9" s="62">
        <v>192.5</v>
      </c>
      <c r="BT9" s="67">
        <f t="shared" si="83"/>
        <v>30.000000000001137</v>
      </c>
      <c r="BU9" s="62">
        <v>29135</v>
      </c>
      <c r="BV9" s="67">
        <f t="shared" si="57"/>
        <v>26</v>
      </c>
      <c r="BW9" s="62">
        <v>222.55</v>
      </c>
      <c r="BX9" s="67">
        <f t="shared" si="84"/>
        <v>40.000000000020464</v>
      </c>
      <c r="BY9" s="62">
        <v>47674</v>
      </c>
      <c r="BZ9" s="67">
        <f t="shared" si="58"/>
        <v>40</v>
      </c>
      <c r="CA9" s="62">
        <v>27500.7</v>
      </c>
      <c r="CB9" s="67">
        <f t="shared" si="59"/>
        <v>0</v>
      </c>
      <c r="CC9" s="62">
        <v>11250.4</v>
      </c>
      <c r="CD9" s="67">
        <f t="shared" si="60"/>
        <v>0</v>
      </c>
      <c r="CE9" s="62">
        <v>5487.5</v>
      </c>
      <c r="CF9" s="67">
        <f t="shared" si="61"/>
        <v>0</v>
      </c>
      <c r="CG9" s="62">
        <v>43782.2</v>
      </c>
      <c r="CH9" s="67">
        <f t="shared" si="62"/>
        <v>64.899999999994179</v>
      </c>
      <c r="CI9" s="62">
        <v>851086</v>
      </c>
      <c r="CJ9" s="67">
        <f t="shared" si="63"/>
        <v>248</v>
      </c>
      <c r="CK9" s="62">
        <v>557.32000000000005</v>
      </c>
      <c r="CL9" s="66">
        <f>IF((CK9-CK8&lt;0), "0",(CK9-CK8)*1000)</f>
        <v>390.00000000010004</v>
      </c>
      <c r="CM9" s="67">
        <v>26.9</v>
      </c>
      <c r="CN9" s="64">
        <v>0</v>
      </c>
      <c r="CO9" s="64">
        <v>0</v>
      </c>
    </row>
    <row r="10" spans="1:93" ht="25.5" customHeight="1" thickBot="1" x14ac:dyDescent="0.45">
      <c r="A10" s="65">
        <v>43958</v>
      </c>
      <c r="B10" s="45"/>
      <c r="C10" s="60">
        <v>1.6775</v>
      </c>
      <c r="D10" s="66">
        <f t="shared" si="42"/>
        <v>1700.0000000000348</v>
      </c>
      <c r="E10" s="60">
        <v>2.6896</v>
      </c>
      <c r="F10" s="66">
        <f t="shared" si="43"/>
        <v>999.99999999988984</v>
      </c>
      <c r="G10" s="60">
        <v>2.5105</v>
      </c>
      <c r="H10" s="66">
        <f t="shared" si="44"/>
        <v>1900.0000000000127</v>
      </c>
      <c r="I10" s="60">
        <v>1.2025999999999999</v>
      </c>
      <c r="J10" s="66">
        <f t="shared" si="85"/>
        <v>1299.9999999998568</v>
      </c>
      <c r="K10" s="60">
        <v>1.8472999999999999</v>
      </c>
      <c r="L10" s="66">
        <f t="shared" si="45"/>
        <v>2299.9999999999686</v>
      </c>
      <c r="M10" s="60">
        <v>1.1771</v>
      </c>
      <c r="N10" s="66">
        <f t="shared" si="46"/>
        <v>1000.0000000001119</v>
      </c>
      <c r="O10" s="60">
        <v>12561</v>
      </c>
      <c r="P10" s="67">
        <f t="shared" si="47"/>
        <v>20</v>
      </c>
      <c r="Q10" s="60">
        <v>5311</v>
      </c>
      <c r="R10" s="67">
        <f t="shared" si="48"/>
        <v>6</v>
      </c>
      <c r="S10" s="60">
        <v>827079.6</v>
      </c>
      <c r="T10" s="66">
        <f t="shared" si="49"/>
        <v>273.29999999993015</v>
      </c>
      <c r="U10" s="60">
        <v>335690.4</v>
      </c>
      <c r="V10" s="67">
        <f t="shared" si="50"/>
        <v>185.5</v>
      </c>
      <c r="W10" s="60">
        <v>328.11</v>
      </c>
      <c r="X10" s="67">
        <f t="shared" si="65"/>
        <v>220.00000000002728</v>
      </c>
      <c r="Y10" s="60">
        <v>2.3769999999999998</v>
      </c>
      <c r="Z10" s="67">
        <f t="shared" si="66"/>
        <v>699.99999999970089</v>
      </c>
      <c r="AA10" s="60">
        <v>324.67</v>
      </c>
      <c r="AB10" s="67">
        <f t="shared" si="67"/>
        <v>110.00000000001364</v>
      </c>
      <c r="AC10" s="60">
        <v>301.29000000000002</v>
      </c>
      <c r="AD10" s="67">
        <f t="shared" si="68"/>
        <v>330.00000000004093</v>
      </c>
      <c r="AE10" s="60">
        <v>470.82</v>
      </c>
      <c r="AF10" s="67">
        <f t="shared" si="69"/>
        <v>519.99999999998181</v>
      </c>
      <c r="AG10" s="60">
        <v>1202.7</v>
      </c>
      <c r="AH10" s="67">
        <f t="shared" si="51"/>
        <v>1.2000000000000455</v>
      </c>
      <c r="AI10" s="60">
        <v>411.35</v>
      </c>
      <c r="AJ10" s="67">
        <f t="shared" si="70"/>
        <v>280.00000000002956</v>
      </c>
      <c r="AK10" s="60">
        <v>146.97999999999999</v>
      </c>
      <c r="AL10" s="67">
        <f t="shared" si="52"/>
        <v>0.1799999999999784</v>
      </c>
      <c r="AM10" s="60">
        <v>147.49</v>
      </c>
      <c r="AN10" s="67">
        <f t="shared" si="53"/>
        <v>0.14000000000001478</v>
      </c>
      <c r="AO10" s="60">
        <v>143.85</v>
      </c>
      <c r="AP10" s="67">
        <f t="shared" si="54"/>
        <v>3.0000000000001137E-2</v>
      </c>
      <c r="AQ10" s="60">
        <v>215.21</v>
      </c>
      <c r="AR10" s="67">
        <f t="shared" si="71"/>
        <v>120.00000000000455</v>
      </c>
      <c r="AS10" s="60">
        <v>341.78</v>
      </c>
      <c r="AT10" s="67">
        <f t="shared" si="72"/>
        <v>109.9999999999568</v>
      </c>
      <c r="AU10" s="60">
        <v>263.72000000000003</v>
      </c>
      <c r="AV10" s="67">
        <f t="shared" si="73"/>
        <v>110.00000000001364</v>
      </c>
      <c r="AW10" s="60">
        <v>291.20999999999998</v>
      </c>
      <c r="AX10" s="67">
        <f t="shared" si="74"/>
        <v>99.999999999965894</v>
      </c>
      <c r="AY10" s="60">
        <v>342.24</v>
      </c>
      <c r="AZ10" s="67">
        <f t="shared" si="75"/>
        <v>100.00000000002274</v>
      </c>
      <c r="BA10" s="60">
        <v>362.37</v>
      </c>
      <c r="BB10" s="67">
        <f t="shared" si="76"/>
        <v>79.999999999984084</v>
      </c>
      <c r="BC10" s="60">
        <v>203.26</v>
      </c>
      <c r="BD10" s="67">
        <f t="shared" si="77"/>
        <v>19.99999999998181</v>
      </c>
      <c r="BE10" s="61">
        <v>28141</v>
      </c>
      <c r="BF10" s="67">
        <f t="shared" si="55"/>
        <v>40</v>
      </c>
      <c r="BG10" s="62">
        <v>223.66</v>
      </c>
      <c r="BH10" s="67">
        <f t="shared" si="78"/>
        <v>30.000000000001137</v>
      </c>
      <c r="BI10" s="62">
        <v>281.3</v>
      </c>
      <c r="BJ10" s="67">
        <f t="shared" si="79"/>
        <v>30.000000000029559</v>
      </c>
      <c r="BK10" s="62">
        <v>229.26</v>
      </c>
      <c r="BL10" s="67">
        <f t="shared" si="80"/>
        <v>30.000000000001137</v>
      </c>
      <c r="BM10" s="62">
        <v>212.25</v>
      </c>
      <c r="BN10" s="67">
        <f t="shared" si="81"/>
        <v>30.000000000001137</v>
      </c>
      <c r="BO10" s="62">
        <v>276.57</v>
      </c>
      <c r="BP10" s="67">
        <f t="shared" si="82"/>
        <v>50.000000000011369</v>
      </c>
      <c r="BQ10" s="62">
        <v>38166</v>
      </c>
      <c r="BR10" s="67">
        <f t="shared" si="56"/>
        <v>23</v>
      </c>
      <c r="BS10" s="62">
        <v>192.53</v>
      </c>
      <c r="BT10" s="67">
        <f t="shared" si="83"/>
        <v>30.000000000001137</v>
      </c>
      <c r="BU10" s="62">
        <v>29160</v>
      </c>
      <c r="BV10" s="67">
        <f t="shared" si="57"/>
        <v>25</v>
      </c>
      <c r="BW10" s="62">
        <v>222.58</v>
      </c>
      <c r="BX10" s="67">
        <f t="shared" si="84"/>
        <v>30.000000000001137</v>
      </c>
      <c r="BY10" s="62">
        <v>47709</v>
      </c>
      <c r="BZ10" s="67">
        <f t="shared" si="58"/>
        <v>35</v>
      </c>
      <c r="CA10" s="62">
        <v>27500.7</v>
      </c>
      <c r="CB10" s="67">
        <f t="shared" si="59"/>
        <v>0</v>
      </c>
      <c r="CC10" s="62">
        <v>11250.4</v>
      </c>
      <c r="CD10" s="67">
        <f t="shared" si="60"/>
        <v>0</v>
      </c>
      <c r="CE10" s="62">
        <v>5487.5</v>
      </c>
      <c r="CF10" s="67">
        <f t="shared" si="61"/>
        <v>0</v>
      </c>
      <c r="CG10" s="62">
        <v>43837.1</v>
      </c>
      <c r="CH10" s="67">
        <f t="shared" si="62"/>
        <v>54.900000000001455</v>
      </c>
      <c r="CI10" s="62">
        <v>851315</v>
      </c>
      <c r="CJ10" s="67">
        <f t="shared" si="63"/>
        <v>229</v>
      </c>
      <c r="CK10" s="62">
        <v>557.83000000000004</v>
      </c>
      <c r="CL10" s="66">
        <f t="shared" si="64"/>
        <v>509.99999999999091</v>
      </c>
      <c r="CM10" s="67">
        <v>40.4</v>
      </c>
      <c r="CN10" s="64">
        <v>0</v>
      </c>
      <c r="CO10" s="64">
        <v>0</v>
      </c>
    </row>
    <row r="11" spans="1:93" ht="25.5" customHeight="1" thickBot="1" x14ac:dyDescent="0.45">
      <c r="A11" s="65">
        <v>43959</v>
      </c>
      <c r="B11" s="45"/>
      <c r="C11" s="60">
        <v>1.6792</v>
      </c>
      <c r="D11" s="66">
        <f t="shared" si="42"/>
        <v>1700.0000000000348</v>
      </c>
      <c r="E11" s="60">
        <v>2.6905999999999999</v>
      </c>
      <c r="F11" s="66">
        <f t="shared" si="43"/>
        <v>999.99999999988984</v>
      </c>
      <c r="G11" s="60">
        <v>2.5125000000000002</v>
      </c>
      <c r="H11" s="66">
        <f t="shared" si="44"/>
        <v>2000.0000000002237</v>
      </c>
      <c r="I11" s="60">
        <v>1.2039</v>
      </c>
      <c r="J11" s="66">
        <f t="shared" si="85"/>
        <v>1300.0000000000789</v>
      </c>
      <c r="K11" s="60">
        <v>1.8499000000000001</v>
      </c>
      <c r="L11" s="66">
        <f t="shared" si="45"/>
        <v>2600.0000000001578</v>
      </c>
      <c r="M11" s="60">
        <v>1.1782999999999999</v>
      </c>
      <c r="N11" s="66">
        <f t="shared" si="46"/>
        <v>1199.9999999998679</v>
      </c>
      <c r="O11" s="60">
        <v>12561</v>
      </c>
      <c r="P11" s="67">
        <f t="shared" si="47"/>
        <v>0</v>
      </c>
      <c r="Q11" s="60">
        <v>5316</v>
      </c>
      <c r="R11" s="67">
        <f t="shared" si="48"/>
        <v>5</v>
      </c>
      <c r="S11" s="60">
        <v>827385</v>
      </c>
      <c r="T11" s="66">
        <f t="shared" si="49"/>
        <v>305.40000000002328</v>
      </c>
      <c r="U11" s="60">
        <v>335881</v>
      </c>
      <c r="V11" s="67">
        <f t="shared" si="50"/>
        <v>190.59999999997672</v>
      </c>
      <c r="W11" s="60">
        <v>328.33</v>
      </c>
      <c r="X11" s="67">
        <f t="shared" si="65"/>
        <v>219.99999999997044</v>
      </c>
      <c r="Y11" s="60">
        <v>2.3776999999999999</v>
      </c>
      <c r="Z11" s="67">
        <f t="shared" si="66"/>
        <v>700.00000000014495</v>
      </c>
      <c r="AA11" s="60">
        <v>324.77999999999997</v>
      </c>
      <c r="AB11" s="67">
        <f t="shared" si="67"/>
        <v>109.9999999999568</v>
      </c>
      <c r="AC11" s="60">
        <v>301.60000000000002</v>
      </c>
      <c r="AD11" s="67">
        <f t="shared" si="68"/>
        <v>310.00000000000227</v>
      </c>
      <c r="AE11" s="60">
        <v>471.46</v>
      </c>
      <c r="AF11" s="67">
        <f t="shared" si="69"/>
        <v>639.99999999998636</v>
      </c>
      <c r="AG11" s="60">
        <v>1207.0999999999999</v>
      </c>
      <c r="AH11" s="67">
        <f t="shared" si="51"/>
        <v>4.3999999999998636</v>
      </c>
      <c r="AI11" s="60">
        <v>411.64</v>
      </c>
      <c r="AJ11" s="67">
        <f t="shared" si="70"/>
        <v>289.99999999996362</v>
      </c>
      <c r="AK11" s="60">
        <v>147.13999999999999</v>
      </c>
      <c r="AL11" s="67">
        <f t="shared" si="52"/>
        <v>0.15999999999999659</v>
      </c>
      <c r="AM11" s="60">
        <v>147.62</v>
      </c>
      <c r="AN11" s="67">
        <f t="shared" si="53"/>
        <v>0.12999999999999545</v>
      </c>
      <c r="AO11" s="60">
        <v>144.08000000000001</v>
      </c>
      <c r="AP11" s="67">
        <f t="shared" si="54"/>
        <v>0.23000000000001819</v>
      </c>
      <c r="AQ11" s="60">
        <v>215.33</v>
      </c>
      <c r="AR11" s="67">
        <f t="shared" si="71"/>
        <v>120.00000000000455</v>
      </c>
      <c r="AS11" s="60">
        <v>341.88</v>
      </c>
      <c r="AT11" s="67">
        <f t="shared" si="72"/>
        <v>100.00000000002274</v>
      </c>
      <c r="AU11" s="60">
        <v>263.82</v>
      </c>
      <c r="AV11" s="67">
        <f t="shared" si="73"/>
        <v>99.999999999965894</v>
      </c>
      <c r="AW11" s="60">
        <v>291.31</v>
      </c>
      <c r="AX11" s="67">
        <f t="shared" si="74"/>
        <v>100.00000000002274</v>
      </c>
      <c r="AY11" s="60">
        <v>342.35</v>
      </c>
      <c r="AZ11" s="67">
        <f t="shared" si="75"/>
        <v>110.00000000001364</v>
      </c>
      <c r="BA11" s="60">
        <v>362.49</v>
      </c>
      <c r="BB11" s="67">
        <f t="shared" si="76"/>
        <v>120.00000000000455</v>
      </c>
      <c r="BC11" s="60">
        <v>203.27</v>
      </c>
      <c r="BD11" s="67">
        <f t="shared" si="77"/>
        <v>10.000000000019327</v>
      </c>
      <c r="BE11" s="61">
        <v>28179</v>
      </c>
      <c r="BF11" s="67">
        <f t="shared" si="55"/>
        <v>38</v>
      </c>
      <c r="BG11" s="62">
        <v>223.7</v>
      </c>
      <c r="BH11" s="67">
        <f t="shared" si="78"/>
        <v>39.999999999992042</v>
      </c>
      <c r="BI11" s="62">
        <v>281.33999999999997</v>
      </c>
      <c r="BJ11" s="67">
        <f t="shared" si="79"/>
        <v>39.99999999996362</v>
      </c>
      <c r="BK11" s="62">
        <v>229.29</v>
      </c>
      <c r="BL11" s="67">
        <f t="shared" si="80"/>
        <v>30.000000000001137</v>
      </c>
      <c r="BM11" s="62">
        <v>212.29</v>
      </c>
      <c r="BN11" s="67">
        <f t="shared" si="81"/>
        <v>39.999999999992042</v>
      </c>
      <c r="BO11" s="62">
        <v>276.62</v>
      </c>
      <c r="BP11" s="67">
        <f t="shared" si="82"/>
        <v>50.000000000011369</v>
      </c>
      <c r="BQ11" s="62">
        <v>38190</v>
      </c>
      <c r="BR11" s="67">
        <f t="shared" si="56"/>
        <v>24</v>
      </c>
      <c r="BS11" s="62">
        <v>192.55</v>
      </c>
      <c r="BT11" s="67">
        <f t="shared" si="83"/>
        <v>20.000000000010232</v>
      </c>
      <c r="BU11" s="62">
        <v>29186</v>
      </c>
      <c r="BV11" s="67">
        <f t="shared" si="57"/>
        <v>26</v>
      </c>
      <c r="BW11" s="62">
        <v>222.62</v>
      </c>
      <c r="BX11" s="67">
        <f t="shared" si="84"/>
        <v>39.999999999992042</v>
      </c>
      <c r="BY11" s="62">
        <v>47749</v>
      </c>
      <c r="BZ11" s="67">
        <f t="shared" si="58"/>
        <v>40</v>
      </c>
      <c r="CA11" s="62">
        <v>27500.7</v>
      </c>
      <c r="CB11" s="67">
        <f t="shared" si="59"/>
        <v>0</v>
      </c>
      <c r="CC11" s="62">
        <v>11250.4</v>
      </c>
      <c r="CD11" s="67">
        <f t="shared" si="60"/>
        <v>0</v>
      </c>
      <c r="CE11" s="62">
        <v>5487.5</v>
      </c>
      <c r="CF11" s="67">
        <f t="shared" si="61"/>
        <v>0</v>
      </c>
      <c r="CG11" s="62">
        <v>43895.9</v>
      </c>
      <c r="CH11" s="67">
        <f t="shared" si="62"/>
        <v>58.80000000000291</v>
      </c>
      <c r="CI11" s="62">
        <v>851532</v>
      </c>
      <c r="CJ11" s="67">
        <f t="shared" si="63"/>
        <v>217</v>
      </c>
      <c r="CK11" s="62">
        <v>558.29999999999995</v>
      </c>
      <c r="CL11" s="66">
        <f t="shared" si="64"/>
        <v>469.9999999999136</v>
      </c>
      <c r="CM11" s="67">
        <v>48</v>
      </c>
      <c r="CN11" s="64">
        <v>0</v>
      </c>
      <c r="CO11" s="64">
        <v>0</v>
      </c>
    </row>
    <row r="12" spans="1:93" ht="25.5" customHeight="1" thickBot="1" x14ac:dyDescent="0.45">
      <c r="A12" s="65">
        <v>43960</v>
      </c>
      <c r="B12" s="45"/>
      <c r="C12" s="60"/>
      <c r="D12" s="66" t="str">
        <f t="shared" si="42"/>
        <v>0</v>
      </c>
      <c r="E12" s="60"/>
      <c r="F12" s="66" t="str">
        <f t="shared" si="43"/>
        <v>0</v>
      </c>
      <c r="G12" s="60"/>
      <c r="H12" s="66" t="str">
        <f t="shared" si="44"/>
        <v>0</v>
      </c>
      <c r="I12" s="60"/>
      <c r="J12" s="66" t="str">
        <f t="shared" si="85"/>
        <v>0</v>
      </c>
      <c r="K12" s="60"/>
      <c r="L12" s="66" t="str">
        <f t="shared" si="45"/>
        <v>0</v>
      </c>
      <c r="M12" s="60"/>
      <c r="N12" s="66" t="str">
        <f t="shared" si="46"/>
        <v/>
      </c>
      <c r="O12" s="60"/>
      <c r="P12" s="67" t="str">
        <f t="shared" si="47"/>
        <v/>
      </c>
      <c r="Q12" s="60"/>
      <c r="R12" s="67" t="str">
        <f t="shared" si="48"/>
        <v/>
      </c>
      <c r="S12" s="60"/>
      <c r="T12" s="67" t="str">
        <f t="shared" ref="T12:T34" si="86">IF((S12-S11&lt;0), "",S12-S11)</f>
        <v/>
      </c>
      <c r="U12" s="60"/>
      <c r="V12" s="67" t="str">
        <f t="shared" si="50"/>
        <v/>
      </c>
      <c r="W12" s="60"/>
      <c r="X12" s="67" t="str">
        <f t="shared" si="65"/>
        <v/>
      </c>
      <c r="Y12" s="60"/>
      <c r="Z12" s="67" t="str">
        <f t="shared" si="66"/>
        <v/>
      </c>
      <c r="AA12" s="60"/>
      <c r="AB12" s="67" t="str">
        <f t="shared" si="67"/>
        <v/>
      </c>
      <c r="AC12" s="60"/>
      <c r="AD12" s="67" t="str">
        <f t="shared" si="68"/>
        <v/>
      </c>
      <c r="AE12" s="60"/>
      <c r="AF12" s="67" t="str">
        <f t="shared" si="69"/>
        <v/>
      </c>
      <c r="AG12" s="60"/>
      <c r="AH12" s="67" t="str">
        <f t="shared" si="51"/>
        <v/>
      </c>
      <c r="AI12" s="60"/>
      <c r="AJ12" s="67" t="str">
        <f t="shared" si="70"/>
        <v/>
      </c>
      <c r="AK12" s="60"/>
      <c r="AL12" s="67" t="str">
        <f t="shared" si="52"/>
        <v/>
      </c>
      <c r="AM12" s="60"/>
      <c r="AN12" s="67" t="str">
        <f t="shared" si="53"/>
        <v/>
      </c>
      <c r="AO12" s="60"/>
      <c r="AP12" s="67" t="str">
        <f t="shared" si="54"/>
        <v/>
      </c>
      <c r="AQ12" s="60"/>
      <c r="AR12" s="67" t="str">
        <f t="shared" si="71"/>
        <v/>
      </c>
      <c r="AS12" s="60"/>
      <c r="AT12" s="67" t="str">
        <f t="shared" si="72"/>
        <v/>
      </c>
      <c r="AU12" s="60"/>
      <c r="AV12" s="67" t="str">
        <f t="shared" si="73"/>
        <v/>
      </c>
      <c r="AW12" s="60"/>
      <c r="AX12" s="67" t="str">
        <f t="shared" si="74"/>
        <v/>
      </c>
      <c r="AY12" s="60"/>
      <c r="AZ12" s="67" t="str">
        <f t="shared" si="75"/>
        <v/>
      </c>
      <c r="BA12" s="60"/>
      <c r="BB12" s="67" t="str">
        <f t="shared" si="76"/>
        <v/>
      </c>
      <c r="BC12" s="60"/>
      <c r="BD12" s="67" t="str">
        <f t="shared" si="77"/>
        <v/>
      </c>
      <c r="BE12" s="61"/>
      <c r="BF12" s="67" t="str">
        <f t="shared" si="55"/>
        <v/>
      </c>
      <c r="BG12" s="62"/>
      <c r="BH12" s="67" t="str">
        <f t="shared" si="78"/>
        <v/>
      </c>
      <c r="BI12" s="62"/>
      <c r="BJ12" s="67" t="str">
        <f t="shared" si="79"/>
        <v/>
      </c>
      <c r="BK12" s="62"/>
      <c r="BL12" s="67" t="str">
        <f t="shared" si="80"/>
        <v/>
      </c>
      <c r="BM12" s="62"/>
      <c r="BN12" s="67" t="str">
        <f t="shared" si="81"/>
        <v/>
      </c>
      <c r="BO12" s="62"/>
      <c r="BP12" s="67" t="str">
        <f t="shared" si="82"/>
        <v/>
      </c>
      <c r="BQ12" s="62"/>
      <c r="BR12" s="67" t="str">
        <f t="shared" si="56"/>
        <v/>
      </c>
      <c r="BS12" s="62"/>
      <c r="BT12" s="67" t="str">
        <f t="shared" si="83"/>
        <v/>
      </c>
      <c r="BU12" s="62"/>
      <c r="BV12" s="67" t="str">
        <f t="shared" si="57"/>
        <v/>
      </c>
      <c r="BW12" s="62"/>
      <c r="BX12" s="67" t="str">
        <f t="shared" si="84"/>
        <v/>
      </c>
      <c r="BY12" s="62"/>
      <c r="BZ12" s="67" t="str">
        <f t="shared" si="58"/>
        <v/>
      </c>
      <c r="CA12" s="62"/>
      <c r="CB12" s="67" t="str">
        <f t="shared" si="59"/>
        <v/>
      </c>
      <c r="CC12" s="62"/>
      <c r="CD12" s="67" t="str">
        <f t="shared" si="60"/>
        <v/>
      </c>
      <c r="CE12" s="62"/>
      <c r="CF12" s="67" t="str">
        <f t="shared" si="61"/>
        <v/>
      </c>
      <c r="CG12" s="62"/>
      <c r="CH12" s="67" t="str">
        <f t="shared" si="62"/>
        <v/>
      </c>
      <c r="CI12" s="62"/>
      <c r="CJ12" s="67" t="str">
        <f t="shared" si="63"/>
        <v/>
      </c>
      <c r="CK12" s="62"/>
      <c r="CL12" s="66" t="str">
        <f t="shared" si="64"/>
        <v/>
      </c>
      <c r="CM12" s="67"/>
      <c r="CN12" s="64">
        <v>0</v>
      </c>
      <c r="CO12" s="64">
        <v>0</v>
      </c>
    </row>
    <row r="13" spans="1:93" ht="25.5" customHeight="1" thickBot="1" x14ac:dyDescent="0.45">
      <c r="A13" s="65">
        <v>43961</v>
      </c>
      <c r="B13" s="45"/>
      <c r="C13" s="60"/>
      <c r="D13" s="66">
        <f t="shared" si="42"/>
        <v>0</v>
      </c>
      <c r="E13" s="60"/>
      <c r="F13" s="66">
        <f t="shared" si="43"/>
        <v>0</v>
      </c>
      <c r="G13" s="60"/>
      <c r="H13" s="66">
        <f t="shared" si="44"/>
        <v>0</v>
      </c>
      <c r="I13" s="60"/>
      <c r="J13" s="66">
        <f t="shared" si="85"/>
        <v>0</v>
      </c>
      <c r="K13" s="60"/>
      <c r="L13" s="66">
        <f t="shared" si="45"/>
        <v>0</v>
      </c>
      <c r="M13" s="60"/>
      <c r="N13" s="66">
        <f t="shared" si="46"/>
        <v>0</v>
      </c>
      <c r="O13" s="60"/>
      <c r="P13" s="67">
        <f t="shared" si="47"/>
        <v>0</v>
      </c>
      <c r="Q13" s="60"/>
      <c r="R13" s="67">
        <f t="shared" si="48"/>
        <v>0</v>
      </c>
      <c r="S13" s="60"/>
      <c r="T13" s="67">
        <f t="shared" si="86"/>
        <v>0</v>
      </c>
      <c r="U13" s="60"/>
      <c r="V13" s="67">
        <f t="shared" si="50"/>
        <v>0</v>
      </c>
      <c r="W13" s="60"/>
      <c r="X13" s="67">
        <f t="shared" si="65"/>
        <v>0</v>
      </c>
      <c r="Y13" s="60"/>
      <c r="Z13" s="67">
        <f t="shared" si="66"/>
        <v>0</v>
      </c>
      <c r="AA13" s="60"/>
      <c r="AB13" s="67">
        <f t="shared" si="67"/>
        <v>0</v>
      </c>
      <c r="AC13" s="60"/>
      <c r="AD13" s="67">
        <f t="shared" si="68"/>
        <v>0</v>
      </c>
      <c r="AE13" s="60"/>
      <c r="AF13" s="67">
        <f t="shared" si="69"/>
        <v>0</v>
      </c>
      <c r="AG13" s="60"/>
      <c r="AH13" s="67">
        <f t="shared" si="51"/>
        <v>0</v>
      </c>
      <c r="AI13" s="60"/>
      <c r="AJ13" s="67">
        <f t="shared" si="70"/>
        <v>0</v>
      </c>
      <c r="AK13" s="60"/>
      <c r="AL13" s="67">
        <f t="shared" si="52"/>
        <v>0</v>
      </c>
      <c r="AM13" s="60"/>
      <c r="AN13" s="67">
        <f t="shared" si="53"/>
        <v>0</v>
      </c>
      <c r="AO13" s="60"/>
      <c r="AP13" s="67">
        <f t="shared" si="54"/>
        <v>0</v>
      </c>
      <c r="AQ13" s="60"/>
      <c r="AR13" s="67">
        <f t="shared" si="71"/>
        <v>0</v>
      </c>
      <c r="AS13" s="60"/>
      <c r="AT13" s="67">
        <f t="shared" si="72"/>
        <v>0</v>
      </c>
      <c r="AU13" s="60"/>
      <c r="AV13" s="67">
        <f t="shared" si="73"/>
        <v>0</v>
      </c>
      <c r="AW13" s="60"/>
      <c r="AX13" s="67">
        <f t="shared" si="74"/>
        <v>0</v>
      </c>
      <c r="AY13" s="60"/>
      <c r="AZ13" s="67">
        <f t="shared" si="75"/>
        <v>0</v>
      </c>
      <c r="BA13" s="60"/>
      <c r="BB13" s="67">
        <f t="shared" si="76"/>
        <v>0</v>
      </c>
      <c r="BC13" s="60"/>
      <c r="BD13" s="67">
        <f t="shared" si="77"/>
        <v>0</v>
      </c>
      <c r="BE13" s="61"/>
      <c r="BF13" s="67">
        <f t="shared" si="55"/>
        <v>0</v>
      </c>
      <c r="BG13" s="62"/>
      <c r="BH13" s="67">
        <f t="shared" si="78"/>
        <v>0</v>
      </c>
      <c r="BI13" s="62"/>
      <c r="BJ13" s="67">
        <f t="shared" si="79"/>
        <v>0</v>
      </c>
      <c r="BK13" s="62"/>
      <c r="BL13" s="67">
        <f t="shared" si="80"/>
        <v>0</v>
      </c>
      <c r="BM13" s="62"/>
      <c r="BN13" s="67">
        <f t="shared" si="81"/>
        <v>0</v>
      </c>
      <c r="BO13" s="62"/>
      <c r="BP13" s="67">
        <f t="shared" si="82"/>
        <v>0</v>
      </c>
      <c r="BQ13" s="62"/>
      <c r="BR13" s="67">
        <f t="shared" si="56"/>
        <v>0</v>
      </c>
      <c r="BS13" s="62"/>
      <c r="BT13" s="67">
        <f t="shared" si="83"/>
        <v>0</v>
      </c>
      <c r="BU13" s="62"/>
      <c r="BV13" s="67">
        <f t="shared" si="57"/>
        <v>0</v>
      </c>
      <c r="BW13" s="62"/>
      <c r="BX13" s="67">
        <f t="shared" si="84"/>
        <v>0</v>
      </c>
      <c r="BY13" s="62"/>
      <c r="BZ13" s="67">
        <f t="shared" si="58"/>
        <v>0</v>
      </c>
      <c r="CA13" s="62"/>
      <c r="CB13" s="67">
        <f t="shared" si="59"/>
        <v>0</v>
      </c>
      <c r="CC13" s="62"/>
      <c r="CD13" s="67">
        <f t="shared" si="60"/>
        <v>0</v>
      </c>
      <c r="CE13" s="62"/>
      <c r="CF13" s="67">
        <f t="shared" si="61"/>
        <v>0</v>
      </c>
      <c r="CG13" s="62"/>
      <c r="CH13" s="67">
        <f t="shared" si="62"/>
        <v>0</v>
      </c>
      <c r="CI13" s="62"/>
      <c r="CJ13" s="67">
        <f t="shared" si="63"/>
        <v>0</v>
      </c>
      <c r="CK13" s="62"/>
      <c r="CL13" s="66">
        <f t="shared" si="64"/>
        <v>0</v>
      </c>
      <c r="CM13" s="67"/>
      <c r="CN13" s="64">
        <v>0</v>
      </c>
      <c r="CO13" s="64">
        <v>0</v>
      </c>
    </row>
    <row r="14" spans="1:93" ht="25.5" customHeight="1" thickBot="1" x14ac:dyDescent="0.45">
      <c r="A14" s="65">
        <v>43962</v>
      </c>
      <c r="B14" s="45"/>
      <c r="C14" s="60"/>
      <c r="D14" s="66">
        <f t="shared" si="42"/>
        <v>0</v>
      </c>
      <c r="E14" s="60"/>
      <c r="F14" s="66">
        <f t="shared" si="43"/>
        <v>0</v>
      </c>
      <c r="G14" s="60"/>
      <c r="H14" s="66">
        <f t="shared" si="44"/>
        <v>0</v>
      </c>
      <c r="I14" s="60"/>
      <c r="J14" s="66">
        <f t="shared" si="85"/>
        <v>0</v>
      </c>
      <c r="K14" s="60"/>
      <c r="L14" s="66">
        <f t="shared" si="45"/>
        <v>0</v>
      </c>
      <c r="M14" s="60"/>
      <c r="N14" s="66">
        <f t="shared" si="46"/>
        <v>0</v>
      </c>
      <c r="O14" s="60"/>
      <c r="P14" s="67">
        <f t="shared" si="47"/>
        <v>0</v>
      </c>
      <c r="Q14" s="60"/>
      <c r="R14" s="67">
        <f t="shared" si="48"/>
        <v>0</v>
      </c>
      <c r="S14" s="60"/>
      <c r="T14" s="67">
        <f t="shared" si="86"/>
        <v>0</v>
      </c>
      <c r="U14" s="60"/>
      <c r="V14" s="67">
        <f t="shared" si="50"/>
        <v>0</v>
      </c>
      <c r="W14" s="60"/>
      <c r="X14" s="67">
        <f>IF((W14-W13&lt;0), "",(W14-W13)*1000)</f>
        <v>0</v>
      </c>
      <c r="Y14" s="60"/>
      <c r="Z14" s="67">
        <f t="shared" si="66"/>
        <v>0</v>
      </c>
      <c r="AA14" s="60"/>
      <c r="AB14" s="67">
        <f t="shared" si="67"/>
        <v>0</v>
      </c>
      <c r="AC14" s="60"/>
      <c r="AD14" s="67">
        <f t="shared" si="68"/>
        <v>0</v>
      </c>
      <c r="AE14" s="60"/>
      <c r="AF14" s="67">
        <f t="shared" si="69"/>
        <v>0</v>
      </c>
      <c r="AG14" s="60"/>
      <c r="AH14" s="67">
        <f t="shared" si="51"/>
        <v>0</v>
      </c>
      <c r="AI14" s="60"/>
      <c r="AJ14" s="67">
        <f t="shared" si="70"/>
        <v>0</v>
      </c>
      <c r="AK14" s="60"/>
      <c r="AL14" s="67">
        <f t="shared" si="52"/>
        <v>0</v>
      </c>
      <c r="AM14" s="60"/>
      <c r="AN14" s="67">
        <f t="shared" si="53"/>
        <v>0</v>
      </c>
      <c r="AO14" s="60"/>
      <c r="AP14" s="67">
        <f t="shared" si="54"/>
        <v>0</v>
      </c>
      <c r="AQ14" s="60"/>
      <c r="AR14" s="67">
        <f t="shared" si="71"/>
        <v>0</v>
      </c>
      <c r="AS14" s="60"/>
      <c r="AT14" s="67">
        <f t="shared" si="72"/>
        <v>0</v>
      </c>
      <c r="AU14" s="60"/>
      <c r="AV14" s="67">
        <f t="shared" si="73"/>
        <v>0</v>
      </c>
      <c r="AW14" s="60"/>
      <c r="AX14" s="67">
        <f t="shared" si="74"/>
        <v>0</v>
      </c>
      <c r="AY14" s="60"/>
      <c r="AZ14" s="67">
        <f t="shared" si="75"/>
        <v>0</v>
      </c>
      <c r="BA14" s="60"/>
      <c r="BB14" s="67">
        <f t="shared" si="76"/>
        <v>0</v>
      </c>
      <c r="BC14" s="60"/>
      <c r="BD14" s="67">
        <f t="shared" si="77"/>
        <v>0</v>
      </c>
      <c r="BE14" s="61"/>
      <c r="BF14" s="67">
        <f t="shared" si="55"/>
        <v>0</v>
      </c>
      <c r="BG14" s="62"/>
      <c r="BH14" s="67">
        <f t="shared" si="78"/>
        <v>0</v>
      </c>
      <c r="BI14" s="62"/>
      <c r="BJ14" s="67">
        <f t="shared" si="79"/>
        <v>0</v>
      </c>
      <c r="BK14" s="62"/>
      <c r="BL14" s="67">
        <f t="shared" si="80"/>
        <v>0</v>
      </c>
      <c r="BM14" s="62"/>
      <c r="BN14" s="67">
        <f t="shared" si="81"/>
        <v>0</v>
      </c>
      <c r="BO14" s="62"/>
      <c r="BP14" s="67">
        <f t="shared" si="82"/>
        <v>0</v>
      </c>
      <c r="BQ14" s="62"/>
      <c r="BR14" s="67">
        <f t="shared" si="56"/>
        <v>0</v>
      </c>
      <c r="BS14" s="62"/>
      <c r="BT14" s="67">
        <f t="shared" si="83"/>
        <v>0</v>
      </c>
      <c r="BU14" s="62"/>
      <c r="BV14" s="67">
        <f t="shared" si="57"/>
        <v>0</v>
      </c>
      <c r="BW14" s="62"/>
      <c r="BX14" s="67">
        <f t="shared" si="84"/>
        <v>0</v>
      </c>
      <c r="BY14" s="62"/>
      <c r="BZ14" s="67">
        <f t="shared" si="58"/>
        <v>0</v>
      </c>
      <c r="CA14" s="62"/>
      <c r="CB14" s="67">
        <f t="shared" si="59"/>
        <v>0</v>
      </c>
      <c r="CC14" s="62"/>
      <c r="CD14" s="67">
        <f t="shared" si="60"/>
        <v>0</v>
      </c>
      <c r="CE14" s="62"/>
      <c r="CF14" s="67">
        <f t="shared" si="61"/>
        <v>0</v>
      </c>
      <c r="CG14" s="62"/>
      <c r="CH14" s="67">
        <f t="shared" si="62"/>
        <v>0</v>
      </c>
      <c r="CI14" s="62"/>
      <c r="CJ14" s="67">
        <f t="shared" si="63"/>
        <v>0</v>
      </c>
      <c r="CK14" s="62"/>
      <c r="CL14" s="66">
        <f t="shared" si="64"/>
        <v>0</v>
      </c>
      <c r="CM14" s="67"/>
      <c r="CN14" s="64">
        <v>0</v>
      </c>
      <c r="CO14" s="64">
        <v>0</v>
      </c>
    </row>
    <row r="15" spans="1:93" ht="25.5" customHeight="1" thickBot="1" x14ac:dyDescent="0.45">
      <c r="A15" s="65">
        <v>43963</v>
      </c>
      <c r="B15" s="45"/>
      <c r="C15" s="60"/>
      <c r="D15" s="66">
        <f t="shared" si="42"/>
        <v>0</v>
      </c>
      <c r="E15" s="60"/>
      <c r="F15" s="66">
        <f t="shared" si="43"/>
        <v>0</v>
      </c>
      <c r="G15" s="60"/>
      <c r="H15" s="66">
        <f t="shared" si="44"/>
        <v>0</v>
      </c>
      <c r="I15" s="60"/>
      <c r="J15" s="66">
        <f t="shared" si="85"/>
        <v>0</v>
      </c>
      <c r="K15" s="60"/>
      <c r="L15" s="66">
        <f t="shared" si="45"/>
        <v>0</v>
      </c>
      <c r="M15" s="60"/>
      <c r="N15" s="66">
        <f t="shared" si="46"/>
        <v>0</v>
      </c>
      <c r="O15" s="60"/>
      <c r="P15" s="67">
        <f t="shared" si="47"/>
        <v>0</v>
      </c>
      <c r="Q15" s="60"/>
      <c r="R15" s="67">
        <f t="shared" si="48"/>
        <v>0</v>
      </c>
      <c r="S15" s="60"/>
      <c r="T15" s="67">
        <f t="shared" si="86"/>
        <v>0</v>
      </c>
      <c r="U15" s="60"/>
      <c r="V15" s="67">
        <f t="shared" si="50"/>
        <v>0</v>
      </c>
      <c r="W15" s="60"/>
      <c r="X15" s="67">
        <f t="shared" si="65"/>
        <v>0</v>
      </c>
      <c r="Y15" s="60"/>
      <c r="Z15" s="67">
        <f t="shared" si="66"/>
        <v>0</v>
      </c>
      <c r="AA15" s="60"/>
      <c r="AB15" s="67">
        <f t="shared" si="67"/>
        <v>0</v>
      </c>
      <c r="AC15" s="60"/>
      <c r="AD15" s="67">
        <f t="shared" si="68"/>
        <v>0</v>
      </c>
      <c r="AE15" s="60"/>
      <c r="AF15" s="67">
        <f t="shared" si="69"/>
        <v>0</v>
      </c>
      <c r="AG15" s="60"/>
      <c r="AH15" s="67">
        <f t="shared" si="51"/>
        <v>0</v>
      </c>
      <c r="AI15" s="60"/>
      <c r="AJ15" s="67">
        <f t="shared" si="70"/>
        <v>0</v>
      </c>
      <c r="AK15" s="60"/>
      <c r="AL15" s="67">
        <f t="shared" si="52"/>
        <v>0</v>
      </c>
      <c r="AM15" s="60"/>
      <c r="AN15" s="67">
        <f t="shared" si="53"/>
        <v>0</v>
      </c>
      <c r="AO15" s="60"/>
      <c r="AP15" s="67">
        <f t="shared" si="54"/>
        <v>0</v>
      </c>
      <c r="AQ15" s="60"/>
      <c r="AR15" s="67">
        <f t="shared" si="71"/>
        <v>0</v>
      </c>
      <c r="AS15" s="60"/>
      <c r="AT15" s="67">
        <f t="shared" si="72"/>
        <v>0</v>
      </c>
      <c r="AU15" s="60"/>
      <c r="AV15" s="67">
        <f t="shared" si="73"/>
        <v>0</v>
      </c>
      <c r="AW15" s="60"/>
      <c r="AX15" s="67">
        <f t="shared" si="74"/>
        <v>0</v>
      </c>
      <c r="AY15" s="60"/>
      <c r="AZ15" s="67">
        <f t="shared" si="75"/>
        <v>0</v>
      </c>
      <c r="BA15" s="60"/>
      <c r="BB15" s="67">
        <f t="shared" si="76"/>
        <v>0</v>
      </c>
      <c r="BC15" s="60"/>
      <c r="BD15" s="67">
        <f t="shared" si="77"/>
        <v>0</v>
      </c>
      <c r="BE15" s="61"/>
      <c r="BF15" s="67">
        <f t="shared" si="55"/>
        <v>0</v>
      </c>
      <c r="BG15" s="62"/>
      <c r="BH15" s="67">
        <f t="shared" si="78"/>
        <v>0</v>
      </c>
      <c r="BI15" s="62"/>
      <c r="BJ15" s="67">
        <f t="shared" si="79"/>
        <v>0</v>
      </c>
      <c r="BK15" s="62"/>
      <c r="BL15" s="67">
        <f t="shared" si="80"/>
        <v>0</v>
      </c>
      <c r="BM15" s="62"/>
      <c r="BN15" s="67">
        <f t="shared" si="81"/>
        <v>0</v>
      </c>
      <c r="BO15" s="62"/>
      <c r="BP15" s="67">
        <f t="shared" si="82"/>
        <v>0</v>
      </c>
      <c r="BQ15" s="62"/>
      <c r="BR15" s="67">
        <f t="shared" si="56"/>
        <v>0</v>
      </c>
      <c r="BS15" s="62"/>
      <c r="BT15" s="67">
        <f t="shared" si="83"/>
        <v>0</v>
      </c>
      <c r="BU15" s="62"/>
      <c r="BV15" s="67">
        <f t="shared" si="57"/>
        <v>0</v>
      </c>
      <c r="BW15" s="62"/>
      <c r="BX15" s="67">
        <f t="shared" si="84"/>
        <v>0</v>
      </c>
      <c r="BY15" s="62"/>
      <c r="BZ15" s="67">
        <f t="shared" si="58"/>
        <v>0</v>
      </c>
      <c r="CA15" s="62"/>
      <c r="CB15" s="67">
        <f t="shared" si="59"/>
        <v>0</v>
      </c>
      <c r="CC15" s="62"/>
      <c r="CD15" s="67">
        <f t="shared" si="60"/>
        <v>0</v>
      </c>
      <c r="CE15" s="62"/>
      <c r="CF15" s="67">
        <f t="shared" si="61"/>
        <v>0</v>
      </c>
      <c r="CG15" s="62"/>
      <c r="CH15" s="67">
        <f t="shared" si="62"/>
        <v>0</v>
      </c>
      <c r="CI15" s="62"/>
      <c r="CJ15" s="67">
        <f t="shared" si="63"/>
        <v>0</v>
      </c>
      <c r="CK15" s="62"/>
      <c r="CL15" s="66">
        <f t="shared" si="64"/>
        <v>0</v>
      </c>
      <c r="CM15" s="67"/>
      <c r="CN15" s="64">
        <v>0</v>
      </c>
      <c r="CO15" s="64">
        <v>0</v>
      </c>
    </row>
    <row r="16" spans="1:93" ht="25.5" customHeight="1" thickBot="1" x14ac:dyDescent="0.45">
      <c r="A16" s="65">
        <v>43964</v>
      </c>
      <c r="B16" s="45"/>
      <c r="C16" s="60"/>
      <c r="D16" s="66">
        <f t="shared" si="42"/>
        <v>0</v>
      </c>
      <c r="E16" s="60"/>
      <c r="F16" s="66">
        <f t="shared" si="43"/>
        <v>0</v>
      </c>
      <c r="G16" s="60"/>
      <c r="H16" s="66">
        <f t="shared" si="44"/>
        <v>0</v>
      </c>
      <c r="I16" s="60"/>
      <c r="J16" s="66">
        <f t="shared" si="85"/>
        <v>0</v>
      </c>
      <c r="K16" s="60"/>
      <c r="L16" s="66">
        <f t="shared" si="45"/>
        <v>0</v>
      </c>
      <c r="M16" s="60"/>
      <c r="N16" s="66">
        <f t="shared" si="46"/>
        <v>0</v>
      </c>
      <c r="O16" s="60"/>
      <c r="P16" s="67">
        <f t="shared" si="47"/>
        <v>0</v>
      </c>
      <c r="Q16" s="60"/>
      <c r="R16" s="67">
        <f t="shared" si="48"/>
        <v>0</v>
      </c>
      <c r="S16" s="60"/>
      <c r="T16" s="67">
        <f t="shared" si="86"/>
        <v>0</v>
      </c>
      <c r="U16" s="60"/>
      <c r="V16" s="67">
        <f t="shared" si="50"/>
        <v>0</v>
      </c>
      <c r="W16" s="60"/>
      <c r="X16" s="67">
        <f t="shared" si="65"/>
        <v>0</v>
      </c>
      <c r="Y16" s="60"/>
      <c r="Z16" s="67">
        <f t="shared" si="66"/>
        <v>0</v>
      </c>
      <c r="AA16" s="60"/>
      <c r="AB16" s="67">
        <f t="shared" si="67"/>
        <v>0</v>
      </c>
      <c r="AC16" s="60"/>
      <c r="AD16" s="67">
        <f t="shared" si="68"/>
        <v>0</v>
      </c>
      <c r="AE16" s="60"/>
      <c r="AF16" s="67">
        <f t="shared" si="69"/>
        <v>0</v>
      </c>
      <c r="AG16" s="60"/>
      <c r="AH16" s="67">
        <f t="shared" si="51"/>
        <v>0</v>
      </c>
      <c r="AI16" s="60"/>
      <c r="AJ16" s="67">
        <f t="shared" si="70"/>
        <v>0</v>
      </c>
      <c r="AK16" s="60"/>
      <c r="AL16" s="67">
        <f t="shared" si="52"/>
        <v>0</v>
      </c>
      <c r="AM16" s="60"/>
      <c r="AN16" s="67">
        <f t="shared" si="53"/>
        <v>0</v>
      </c>
      <c r="AO16" s="60"/>
      <c r="AP16" s="67">
        <f t="shared" si="54"/>
        <v>0</v>
      </c>
      <c r="AQ16" s="60"/>
      <c r="AR16" s="67">
        <f t="shared" si="71"/>
        <v>0</v>
      </c>
      <c r="AS16" s="60"/>
      <c r="AT16" s="67">
        <f t="shared" si="72"/>
        <v>0</v>
      </c>
      <c r="AU16" s="60"/>
      <c r="AV16" s="67">
        <f t="shared" si="73"/>
        <v>0</v>
      </c>
      <c r="AW16" s="60"/>
      <c r="AX16" s="67">
        <f t="shared" si="74"/>
        <v>0</v>
      </c>
      <c r="AY16" s="60"/>
      <c r="AZ16" s="67">
        <f t="shared" si="75"/>
        <v>0</v>
      </c>
      <c r="BA16" s="60"/>
      <c r="BB16" s="67">
        <f t="shared" si="76"/>
        <v>0</v>
      </c>
      <c r="BC16" s="60"/>
      <c r="BD16" s="67">
        <f t="shared" si="77"/>
        <v>0</v>
      </c>
      <c r="BE16" s="61"/>
      <c r="BF16" s="67">
        <f t="shared" si="55"/>
        <v>0</v>
      </c>
      <c r="BG16" s="62"/>
      <c r="BH16" s="67">
        <f t="shared" si="78"/>
        <v>0</v>
      </c>
      <c r="BI16" s="62"/>
      <c r="BJ16" s="67">
        <f t="shared" si="79"/>
        <v>0</v>
      </c>
      <c r="BK16" s="62"/>
      <c r="BL16" s="67">
        <f t="shared" si="80"/>
        <v>0</v>
      </c>
      <c r="BM16" s="62"/>
      <c r="BN16" s="67">
        <f t="shared" si="81"/>
        <v>0</v>
      </c>
      <c r="BO16" s="62"/>
      <c r="BP16" s="67">
        <f t="shared" si="82"/>
        <v>0</v>
      </c>
      <c r="BQ16" s="62"/>
      <c r="BR16" s="67">
        <f t="shared" si="56"/>
        <v>0</v>
      </c>
      <c r="BS16" s="62"/>
      <c r="BT16" s="67">
        <f t="shared" si="83"/>
        <v>0</v>
      </c>
      <c r="BU16" s="62"/>
      <c r="BV16" s="67">
        <f t="shared" si="57"/>
        <v>0</v>
      </c>
      <c r="BW16" s="62"/>
      <c r="BX16" s="67">
        <f t="shared" si="84"/>
        <v>0</v>
      </c>
      <c r="BY16" s="62"/>
      <c r="BZ16" s="67">
        <f t="shared" si="58"/>
        <v>0</v>
      </c>
      <c r="CA16" s="62"/>
      <c r="CB16" s="67">
        <f t="shared" si="59"/>
        <v>0</v>
      </c>
      <c r="CC16" s="62"/>
      <c r="CD16" s="67">
        <f t="shared" si="60"/>
        <v>0</v>
      </c>
      <c r="CE16" s="62"/>
      <c r="CF16" s="67">
        <f t="shared" si="61"/>
        <v>0</v>
      </c>
      <c r="CG16" s="62"/>
      <c r="CH16" s="67">
        <f t="shared" si="62"/>
        <v>0</v>
      </c>
      <c r="CI16" s="62"/>
      <c r="CJ16" s="67">
        <f t="shared" si="63"/>
        <v>0</v>
      </c>
      <c r="CK16" s="62"/>
      <c r="CL16" s="66">
        <f t="shared" si="64"/>
        <v>0</v>
      </c>
      <c r="CM16" s="67"/>
      <c r="CN16" s="64">
        <v>0</v>
      </c>
      <c r="CO16" s="64">
        <v>0</v>
      </c>
    </row>
    <row r="17" spans="1:93" ht="25.5" customHeight="1" thickBot="1" x14ac:dyDescent="0.45">
      <c r="A17" s="65">
        <v>43965</v>
      </c>
      <c r="B17" s="45"/>
      <c r="C17" s="60"/>
      <c r="D17" s="66">
        <f t="shared" si="42"/>
        <v>0</v>
      </c>
      <c r="E17" s="60"/>
      <c r="F17" s="66">
        <f t="shared" si="43"/>
        <v>0</v>
      </c>
      <c r="G17" s="60"/>
      <c r="H17" s="66">
        <f t="shared" si="44"/>
        <v>0</v>
      </c>
      <c r="I17" s="60"/>
      <c r="J17" s="66">
        <f t="shared" si="85"/>
        <v>0</v>
      </c>
      <c r="K17" s="60"/>
      <c r="L17" s="66">
        <f t="shared" si="45"/>
        <v>0</v>
      </c>
      <c r="M17" s="60"/>
      <c r="N17" s="66">
        <f t="shared" si="46"/>
        <v>0</v>
      </c>
      <c r="O17" s="60"/>
      <c r="P17" s="67">
        <f t="shared" si="47"/>
        <v>0</v>
      </c>
      <c r="Q17" s="60"/>
      <c r="R17" s="67">
        <f t="shared" si="48"/>
        <v>0</v>
      </c>
      <c r="S17" s="60"/>
      <c r="T17" s="67">
        <f t="shared" si="86"/>
        <v>0</v>
      </c>
      <c r="U17" s="60"/>
      <c r="V17" s="67">
        <f t="shared" si="50"/>
        <v>0</v>
      </c>
      <c r="W17" s="60"/>
      <c r="X17" s="67">
        <f t="shared" si="65"/>
        <v>0</v>
      </c>
      <c r="Y17" s="60"/>
      <c r="Z17" s="67">
        <f t="shared" si="66"/>
        <v>0</v>
      </c>
      <c r="AA17" s="60"/>
      <c r="AB17" s="67">
        <f t="shared" si="67"/>
        <v>0</v>
      </c>
      <c r="AC17" s="60"/>
      <c r="AD17" s="67">
        <f t="shared" si="68"/>
        <v>0</v>
      </c>
      <c r="AE17" s="60"/>
      <c r="AF17" s="67">
        <f t="shared" si="69"/>
        <v>0</v>
      </c>
      <c r="AG17" s="60"/>
      <c r="AH17" s="67">
        <f t="shared" si="51"/>
        <v>0</v>
      </c>
      <c r="AI17" s="60"/>
      <c r="AJ17" s="67">
        <f t="shared" si="70"/>
        <v>0</v>
      </c>
      <c r="AK17" s="60"/>
      <c r="AL17" s="67">
        <f t="shared" si="52"/>
        <v>0</v>
      </c>
      <c r="AM17" s="60"/>
      <c r="AN17" s="67">
        <f t="shared" si="53"/>
        <v>0</v>
      </c>
      <c r="AO17" s="60"/>
      <c r="AP17" s="67">
        <f t="shared" si="54"/>
        <v>0</v>
      </c>
      <c r="AQ17" s="60"/>
      <c r="AR17" s="67">
        <f t="shared" si="71"/>
        <v>0</v>
      </c>
      <c r="AS17" s="60"/>
      <c r="AT17" s="67">
        <f t="shared" si="72"/>
        <v>0</v>
      </c>
      <c r="AU17" s="60"/>
      <c r="AV17" s="67">
        <f t="shared" si="73"/>
        <v>0</v>
      </c>
      <c r="AW17" s="60"/>
      <c r="AX17" s="67">
        <f t="shared" si="74"/>
        <v>0</v>
      </c>
      <c r="AY17" s="60"/>
      <c r="AZ17" s="67">
        <f t="shared" si="75"/>
        <v>0</v>
      </c>
      <c r="BA17" s="60"/>
      <c r="BB17" s="67">
        <f t="shared" si="76"/>
        <v>0</v>
      </c>
      <c r="BC17" s="60"/>
      <c r="BD17" s="67">
        <f t="shared" si="77"/>
        <v>0</v>
      </c>
      <c r="BE17" s="61"/>
      <c r="BF17" s="67">
        <f t="shared" si="55"/>
        <v>0</v>
      </c>
      <c r="BG17" s="62"/>
      <c r="BH17" s="67">
        <f t="shared" si="78"/>
        <v>0</v>
      </c>
      <c r="BI17" s="62"/>
      <c r="BJ17" s="67">
        <f t="shared" si="79"/>
        <v>0</v>
      </c>
      <c r="BK17" s="62"/>
      <c r="BL17" s="67">
        <f t="shared" si="80"/>
        <v>0</v>
      </c>
      <c r="BM17" s="62"/>
      <c r="BN17" s="67">
        <f t="shared" si="81"/>
        <v>0</v>
      </c>
      <c r="BO17" s="62"/>
      <c r="BP17" s="67">
        <f t="shared" si="82"/>
        <v>0</v>
      </c>
      <c r="BQ17" s="62"/>
      <c r="BR17" s="67">
        <f t="shared" si="56"/>
        <v>0</v>
      </c>
      <c r="BS17" s="62"/>
      <c r="BT17" s="67">
        <f t="shared" si="83"/>
        <v>0</v>
      </c>
      <c r="BU17" s="62"/>
      <c r="BV17" s="67">
        <f t="shared" si="57"/>
        <v>0</v>
      </c>
      <c r="BW17" s="62"/>
      <c r="BX17" s="67">
        <f t="shared" si="84"/>
        <v>0</v>
      </c>
      <c r="BY17" s="62"/>
      <c r="BZ17" s="67">
        <f t="shared" si="58"/>
        <v>0</v>
      </c>
      <c r="CA17" s="62"/>
      <c r="CB17" s="67">
        <f t="shared" si="59"/>
        <v>0</v>
      </c>
      <c r="CC17" s="62"/>
      <c r="CD17" s="67">
        <f t="shared" si="60"/>
        <v>0</v>
      </c>
      <c r="CE17" s="62"/>
      <c r="CF17" s="67">
        <f t="shared" si="61"/>
        <v>0</v>
      </c>
      <c r="CG17" s="62"/>
      <c r="CH17" s="67">
        <f t="shared" si="62"/>
        <v>0</v>
      </c>
      <c r="CI17" s="62"/>
      <c r="CJ17" s="67">
        <f t="shared" si="63"/>
        <v>0</v>
      </c>
      <c r="CK17" s="62"/>
      <c r="CL17" s="66">
        <f t="shared" si="64"/>
        <v>0</v>
      </c>
      <c r="CM17" s="67"/>
      <c r="CN17" s="64">
        <v>0</v>
      </c>
      <c r="CO17" s="64">
        <v>0</v>
      </c>
    </row>
    <row r="18" spans="1:93" ht="25.5" customHeight="1" thickBot="1" x14ac:dyDescent="0.45">
      <c r="A18" s="65">
        <v>43966</v>
      </c>
      <c r="B18" s="45"/>
      <c r="C18" s="60"/>
      <c r="D18" s="66">
        <f t="shared" si="42"/>
        <v>0</v>
      </c>
      <c r="E18" s="60"/>
      <c r="F18" s="66">
        <f t="shared" si="43"/>
        <v>0</v>
      </c>
      <c r="G18" s="60"/>
      <c r="H18" s="66">
        <f t="shared" si="44"/>
        <v>0</v>
      </c>
      <c r="I18" s="60"/>
      <c r="J18" s="66">
        <f t="shared" si="85"/>
        <v>0</v>
      </c>
      <c r="K18" s="60"/>
      <c r="L18" s="66">
        <f t="shared" si="45"/>
        <v>0</v>
      </c>
      <c r="M18" s="60"/>
      <c r="N18" s="66">
        <f t="shared" si="46"/>
        <v>0</v>
      </c>
      <c r="O18" s="60"/>
      <c r="P18" s="67">
        <f t="shared" si="47"/>
        <v>0</v>
      </c>
      <c r="Q18" s="60"/>
      <c r="R18" s="67">
        <f t="shared" si="48"/>
        <v>0</v>
      </c>
      <c r="S18" s="60"/>
      <c r="T18" s="67">
        <f t="shared" si="86"/>
        <v>0</v>
      </c>
      <c r="U18" s="60"/>
      <c r="V18" s="67">
        <f t="shared" si="50"/>
        <v>0</v>
      </c>
      <c r="W18" s="60"/>
      <c r="X18" s="67">
        <f t="shared" si="65"/>
        <v>0</v>
      </c>
      <c r="Y18" s="60"/>
      <c r="Z18" s="67">
        <f t="shared" si="66"/>
        <v>0</v>
      </c>
      <c r="AA18" s="60"/>
      <c r="AB18" s="67">
        <f t="shared" si="67"/>
        <v>0</v>
      </c>
      <c r="AC18" s="60"/>
      <c r="AD18" s="67">
        <f t="shared" si="68"/>
        <v>0</v>
      </c>
      <c r="AE18" s="60"/>
      <c r="AF18" s="67">
        <f t="shared" si="69"/>
        <v>0</v>
      </c>
      <c r="AG18" s="60"/>
      <c r="AH18" s="67">
        <f t="shared" si="51"/>
        <v>0</v>
      </c>
      <c r="AI18" s="60"/>
      <c r="AJ18" s="67">
        <f t="shared" si="70"/>
        <v>0</v>
      </c>
      <c r="AK18" s="60"/>
      <c r="AL18" s="67">
        <f t="shared" si="52"/>
        <v>0</v>
      </c>
      <c r="AM18" s="60"/>
      <c r="AN18" s="67">
        <f t="shared" si="53"/>
        <v>0</v>
      </c>
      <c r="AO18" s="60"/>
      <c r="AP18" s="67">
        <f t="shared" si="54"/>
        <v>0</v>
      </c>
      <c r="AQ18" s="60"/>
      <c r="AR18" s="67">
        <f t="shared" si="71"/>
        <v>0</v>
      </c>
      <c r="AS18" s="60"/>
      <c r="AT18" s="67">
        <f t="shared" si="72"/>
        <v>0</v>
      </c>
      <c r="AU18" s="60"/>
      <c r="AV18" s="67">
        <f t="shared" si="73"/>
        <v>0</v>
      </c>
      <c r="AW18" s="60"/>
      <c r="AX18" s="67">
        <f t="shared" si="74"/>
        <v>0</v>
      </c>
      <c r="AY18" s="60"/>
      <c r="AZ18" s="67">
        <f t="shared" si="75"/>
        <v>0</v>
      </c>
      <c r="BA18" s="60"/>
      <c r="BB18" s="67">
        <f t="shared" si="76"/>
        <v>0</v>
      </c>
      <c r="BC18" s="60"/>
      <c r="BD18" s="67">
        <f t="shared" si="77"/>
        <v>0</v>
      </c>
      <c r="BE18" s="61"/>
      <c r="BF18" s="67">
        <f t="shared" si="55"/>
        <v>0</v>
      </c>
      <c r="BG18" s="62"/>
      <c r="BH18" s="67">
        <f t="shared" si="78"/>
        <v>0</v>
      </c>
      <c r="BI18" s="62"/>
      <c r="BJ18" s="67">
        <f t="shared" si="79"/>
        <v>0</v>
      </c>
      <c r="BK18" s="62"/>
      <c r="BL18" s="67">
        <f t="shared" si="80"/>
        <v>0</v>
      </c>
      <c r="BM18" s="62"/>
      <c r="BN18" s="67">
        <f t="shared" si="81"/>
        <v>0</v>
      </c>
      <c r="BO18" s="62"/>
      <c r="BP18" s="67">
        <f t="shared" si="82"/>
        <v>0</v>
      </c>
      <c r="BQ18" s="62"/>
      <c r="BR18" s="67">
        <f t="shared" si="56"/>
        <v>0</v>
      </c>
      <c r="BS18" s="62"/>
      <c r="BT18" s="67">
        <f t="shared" si="83"/>
        <v>0</v>
      </c>
      <c r="BU18" s="62"/>
      <c r="BV18" s="67">
        <f t="shared" si="57"/>
        <v>0</v>
      </c>
      <c r="BW18" s="62"/>
      <c r="BX18" s="67">
        <f t="shared" si="84"/>
        <v>0</v>
      </c>
      <c r="BY18" s="62"/>
      <c r="BZ18" s="67">
        <f t="shared" si="58"/>
        <v>0</v>
      </c>
      <c r="CA18" s="62"/>
      <c r="CB18" s="67">
        <f t="shared" si="59"/>
        <v>0</v>
      </c>
      <c r="CC18" s="62"/>
      <c r="CD18" s="67">
        <f t="shared" si="60"/>
        <v>0</v>
      </c>
      <c r="CE18" s="62"/>
      <c r="CF18" s="67">
        <f t="shared" si="61"/>
        <v>0</v>
      </c>
      <c r="CG18" s="62"/>
      <c r="CH18" s="67">
        <f t="shared" si="62"/>
        <v>0</v>
      </c>
      <c r="CI18" s="62"/>
      <c r="CJ18" s="67">
        <f t="shared" si="63"/>
        <v>0</v>
      </c>
      <c r="CK18" s="62"/>
      <c r="CL18" s="66">
        <f t="shared" si="64"/>
        <v>0</v>
      </c>
      <c r="CM18" s="67"/>
      <c r="CN18" s="64">
        <v>0</v>
      </c>
      <c r="CO18" s="64">
        <v>0</v>
      </c>
    </row>
    <row r="19" spans="1:93" ht="25.5" customHeight="1" thickBot="1" x14ac:dyDescent="0.45">
      <c r="A19" s="65">
        <v>43967</v>
      </c>
      <c r="B19" s="45"/>
      <c r="C19" s="60"/>
      <c r="D19" s="66">
        <f t="shared" si="42"/>
        <v>0</v>
      </c>
      <c r="E19" s="60"/>
      <c r="F19" s="66">
        <f t="shared" si="43"/>
        <v>0</v>
      </c>
      <c r="G19" s="60"/>
      <c r="H19" s="66">
        <f t="shared" si="44"/>
        <v>0</v>
      </c>
      <c r="I19" s="60"/>
      <c r="J19" s="66">
        <f t="shared" si="85"/>
        <v>0</v>
      </c>
      <c r="K19" s="60"/>
      <c r="L19" s="66">
        <f t="shared" si="45"/>
        <v>0</v>
      </c>
      <c r="M19" s="60"/>
      <c r="N19" s="66">
        <f t="shared" si="46"/>
        <v>0</v>
      </c>
      <c r="O19" s="60"/>
      <c r="P19" s="67">
        <f t="shared" si="47"/>
        <v>0</v>
      </c>
      <c r="Q19" s="60"/>
      <c r="R19" s="67">
        <f t="shared" si="48"/>
        <v>0</v>
      </c>
      <c r="S19" s="60"/>
      <c r="T19" s="67">
        <f t="shared" si="86"/>
        <v>0</v>
      </c>
      <c r="U19" s="60"/>
      <c r="V19" s="67">
        <f t="shared" si="50"/>
        <v>0</v>
      </c>
      <c r="W19" s="60"/>
      <c r="X19" s="67">
        <f t="shared" si="65"/>
        <v>0</v>
      </c>
      <c r="Y19" s="60"/>
      <c r="Z19" s="67">
        <f t="shared" si="66"/>
        <v>0</v>
      </c>
      <c r="AA19" s="60"/>
      <c r="AB19" s="67">
        <f t="shared" si="67"/>
        <v>0</v>
      </c>
      <c r="AC19" s="60"/>
      <c r="AD19" s="67">
        <f t="shared" si="68"/>
        <v>0</v>
      </c>
      <c r="AE19" s="60"/>
      <c r="AF19" s="67">
        <f t="shared" si="69"/>
        <v>0</v>
      </c>
      <c r="AG19" s="60"/>
      <c r="AH19" s="67">
        <f t="shared" si="51"/>
        <v>0</v>
      </c>
      <c r="AI19" s="60"/>
      <c r="AJ19" s="67">
        <f t="shared" si="70"/>
        <v>0</v>
      </c>
      <c r="AK19" s="60"/>
      <c r="AL19" s="67">
        <f t="shared" si="52"/>
        <v>0</v>
      </c>
      <c r="AM19" s="60"/>
      <c r="AN19" s="67">
        <f t="shared" si="53"/>
        <v>0</v>
      </c>
      <c r="AO19" s="60"/>
      <c r="AP19" s="67">
        <f t="shared" si="54"/>
        <v>0</v>
      </c>
      <c r="AQ19" s="60"/>
      <c r="AR19" s="67">
        <f t="shared" si="71"/>
        <v>0</v>
      </c>
      <c r="AS19" s="60"/>
      <c r="AT19" s="67">
        <f t="shared" si="72"/>
        <v>0</v>
      </c>
      <c r="AU19" s="60"/>
      <c r="AV19" s="67">
        <f t="shared" si="73"/>
        <v>0</v>
      </c>
      <c r="AW19" s="60"/>
      <c r="AX19" s="67">
        <f t="shared" si="74"/>
        <v>0</v>
      </c>
      <c r="AY19" s="60"/>
      <c r="AZ19" s="67">
        <f t="shared" si="75"/>
        <v>0</v>
      </c>
      <c r="BA19" s="60"/>
      <c r="BB19" s="67">
        <f t="shared" si="76"/>
        <v>0</v>
      </c>
      <c r="BC19" s="60"/>
      <c r="BD19" s="67">
        <f t="shared" si="77"/>
        <v>0</v>
      </c>
      <c r="BE19" s="61"/>
      <c r="BF19" s="67">
        <f t="shared" si="55"/>
        <v>0</v>
      </c>
      <c r="BG19" s="62"/>
      <c r="BH19" s="67">
        <f t="shared" si="78"/>
        <v>0</v>
      </c>
      <c r="BI19" s="62"/>
      <c r="BJ19" s="67">
        <f t="shared" si="79"/>
        <v>0</v>
      </c>
      <c r="BK19" s="62"/>
      <c r="BL19" s="67">
        <f t="shared" si="80"/>
        <v>0</v>
      </c>
      <c r="BM19" s="62"/>
      <c r="BN19" s="67">
        <f t="shared" si="81"/>
        <v>0</v>
      </c>
      <c r="BO19" s="62"/>
      <c r="BP19" s="67">
        <f t="shared" si="82"/>
        <v>0</v>
      </c>
      <c r="BQ19" s="62"/>
      <c r="BR19" s="67">
        <f t="shared" si="56"/>
        <v>0</v>
      </c>
      <c r="BS19" s="62"/>
      <c r="BT19" s="67">
        <f t="shared" si="83"/>
        <v>0</v>
      </c>
      <c r="BU19" s="62"/>
      <c r="BV19" s="67">
        <f t="shared" si="57"/>
        <v>0</v>
      </c>
      <c r="BW19" s="62"/>
      <c r="BX19" s="67">
        <f t="shared" si="84"/>
        <v>0</v>
      </c>
      <c r="BY19" s="62"/>
      <c r="BZ19" s="67">
        <f t="shared" si="58"/>
        <v>0</v>
      </c>
      <c r="CA19" s="62"/>
      <c r="CB19" s="67">
        <f t="shared" si="59"/>
        <v>0</v>
      </c>
      <c r="CC19" s="62"/>
      <c r="CD19" s="67">
        <f t="shared" si="60"/>
        <v>0</v>
      </c>
      <c r="CE19" s="62"/>
      <c r="CF19" s="67">
        <f t="shared" si="61"/>
        <v>0</v>
      </c>
      <c r="CG19" s="62"/>
      <c r="CH19" s="67">
        <f t="shared" si="62"/>
        <v>0</v>
      </c>
      <c r="CI19" s="62"/>
      <c r="CJ19" s="67">
        <f t="shared" si="63"/>
        <v>0</v>
      </c>
      <c r="CK19" s="62"/>
      <c r="CL19" s="66">
        <f t="shared" si="64"/>
        <v>0</v>
      </c>
      <c r="CM19" s="67"/>
      <c r="CN19" s="64">
        <v>0</v>
      </c>
      <c r="CO19" s="64">
        <v>0</v>
      </c>
    </row>
    <row r="20" spans="1:93" ht="25.5" customHeight="1" thickBot="1" x14ac:dyDescent="0.45">
      <c r="A20" s="65">
        <v>43968</v>
      </c>
      <c r="B20" s="45"/>
      <c r="C20" s="60"/>
      <c r="D20" s="66">
        <f t="shared" si="42"/>
        <v>0</v>
      </c>
      <c r="E20" s="60"/>
      <c r="F20" s="66">
        <f t="shared" si="43"/>
        <v>0</v>
      </c>
      <c r="G20" s="60"/>
      <c r="H20" s="66">
        <f t="shared" si="44"/>
        <v>0</v>
      </c>
      <c r="I20" s="60"/>
      <c r="J20" s="66">
        <f t="shared" si="85"/>
        <v>0</v>
      </c>
      <c r="K20" s="60"/>
      <c r="L20" s="66">
        <f t="shared" si="45"/>
        <v>0</v>
      </c>
      <c r="M20" s="60"/>
      <c r="N20" s="66">
        <f t="shared" si="46"/>
        <v>0</v>
      </c>
      <c r="O20" s="60"/>
      <c r="P20" s="67">
        <f t="shared" si="47"/>
        <v>0</v>
      </c>
      <c r="Q20" s="60"/>
      <c r="R20" s="67">
        <f t="shared" si="48"/>
        <v>0</v>
      </c>
      <c r="S20" s="60"/>
      <c r="T20" s="67">
        <f t="shared" si="86"/>
        <v>0</v>
      </c>
      <c r="U20" s="60"/>
      <c r="V20" s="67">
        <f t="shared" si="50"/>
        <v>0</v>
      </c>
      <c r="W20" s="60"/>
      <c r="X20" s="67">
        <f t="shared" si="65"/>
        <v>0</v>
      </c>
      <c r="Y20" s="60"/>
      <c r="Z20" s="67">
        <f t="shared" si="66"/>
        <v>0</v>
      </c>
      <c r="AA20" s="60"/>
      <c r="AB20" s="67">
        <f t="shared" si="67"/>
        <v>0</v>
      </c>
      <c r="AC20" s="60"/>
      <c r="AD20" s="67">
        <f t="shared" si="68"/>
        <v>0</v>
      </c>
      <c r="AE20" s="60"/>
      <c r="AF20" s="67">
        <f t="shared" si="69"/>
        <v>0</v>
      </c>
      <c r="AG20" s="60"/>
      <c r="AH20" s="67">
        <f t="shared" si="51"/>
        <v>0</v>
      </c>
      <c r="AI20" s="60"/>
      <c r="AJ20" s="67">
        <f t="shared" si="70"/>
        <v>0</v>
      </c>
      <c r="AK20" s="60"/>
      <c r="AL20" s="67">
        <f t="shared" si="52"/>
        <v>0</v>
      </c>
      <c r="AM20" s="60"/>
      <c r="AN20" s="67">
        <f t="shared" si="53"/>
        <v>0</v>
      </c>
      <c r="AO20" s="60"/>
      <c r="AP20" s="67">
        <f t="shared" si="54"/>
        <v>0</v>
      </c>
      <c r="AQ20" s="60"/>
      <c r="AR20" s="67">
        <f t="shared" si="71"/>
        <v>0</v>
      </c>
      <c r="AS20" s="60"/>
      <c r="AT20" s="67">
        <f t="shared" si="72"/>
        <v>0</v>
      </c>
      <c r="AU20" s="60"/>
      <c r="AV20" s="67">
        <f t="shared" si="73"/>
        <v>0</v>
      </c>
      <c r="AW20" s="60"/>
      <c r="AX20" s="67">
        <f t="shared" si="74"/>
        <v>0</v>
      </c>
      <c r="AY20" s="60"/>
      <c r="AZ20" s="67">
        <f t="shared" si="75"/>
        <v>0</v>
      </c>
      <c r="BA20" s="60"/>
      <c r="BB20" s="67">
        <f t="shared" si="76"/>
        <v>0</v>
      </c>
      <c r="BC20" s="60"/>
      <c r="BD20" s="67">
        <f t="shared" si="77"/>
        <v>0</v>
      </c>
      <c r="BE20" s="61"/>
      <c r="BF20" s="67">
        <f t="shared" si="55"/>
        <v>0</v>
      </c>
      <c r="BG20" s="62"/>
      <c r="BH20" s="67">
        <f t="shared" si="78"/>
        <v>0</v>
      </c>
      <c r="BI20" s="62"/>
      <c r="BJ20" s="67">
        <f t="shared" si="79"/>
        <v>0</v>
      </c>
      <c r="BK20" s="62"/>
      <c r="BL20" s="67">
        <f t="shared" si="80"/>
        <v>0</v>
      </c>
      <c r="BM20" s="62"/>
      <c r="BN20" s="67">
        <f t="shared" si="81"/>
        <v>0</v>
      </c>
      <c r="BO20" s="62"/>
      <c r="BP20" s="67">
        <f t="shared" si="82"/>
        <v>0</v>
      </c>
      <c r="BQ20" s="62"/>
      <c r="BR20" s="67">
        <f t="shared" si="56"/>
        <v>0</v>
      </c>
      <c r="BS20" s="62"/>
      <c r="BT20" s="67">
        <f t="shared" si="83"/>
        <v>0</v>
      </c>
      <c r="BU20" s="62"/>
      <c r="BV20" s="67">
        <f t="shared" si="57"/>
        <v>0</v>
      </c>
      <c r="BW20" s="62"/>
      <c r="BX20" s="67">
        <f t="shared" si="84"/>
        <v>0</v>
      </c>
      <c r="BY20" s="62"/>
      <c r="BZ20" s="67">
        <f t="shared" si="58"/>
        <v>0</v>
      </c>
      <c r="CA20" s="62"/>
      <c r="CB20" s="67">
        <f t="shared" si="59"/>
        <v>0</v>
      </c>
      <c r="CC20" s="62"/>
      <c r="CD20" s="67">
        <f t="shared" si="60"/>
        <v>0</v>
      </c>
      <c r="CE20" s="62"/>
      <c r="CF20" s="67">
        <f t="shared" si="61"/>
        <v>0</v>
      </c>
      <c r="CG20" s="62"/>
      <c r="CH20" s="67">
        <f t="shared" si="62"/>
        <v>0</v>
      </c>
      <c r="CI20" s="62"/>
      <c r="CJ20" s="67">
        <f t="shared" si="63"/>
        <v>0</v>
      </c>
      <c r="CK20" s="62"/>
      <c r="CL20" s="66">
        <f t="shared" si="64"/>
        <v>0</v>
      </c>
      <c r="CM20" s="67"/>
      <c r="CN20" s="64">
        <v>0</v>
      </c>
      <c r="CO20" s="64">
        <v>0</v>
      </c>
    </row>
    <row r="21" spans="1:93" ht="25.5" customHeight="1" thickBot="1" x14ac:dyDescent="0.45">
      <c r="A21" s="65">
        <v>43969</v>
      </c>
      <c r="B21" s="45"/>
      <c r="C21" s="60"/>
      <c r="D21" s="66">
        <f t="shared" si="42"/>
        <v>0</v>
      </c>
      <c r="E21" s="60"/>
      <c r="F21" s="66">
        <f t="shared" si="43"/>
        <v>0</v>
      </c>
      <c r="G21" s="60"/>
      <c r="H21" s="66">
        <f t="shared" si="44"/>
        <v>0</v>
      </c>
      <c r="I21" s="60"/>
      <c r="J21" s="66">
        <f t="shared" si="85"/>
        <v>0</v>
      </c>
      <c r="K21" s="60"/>
      <c r="L21" s="66">
        <f t="shared" si="45"/>
        <v>0</v>
      </c>
      <c r="M21" s="60"/>
      <c r="N21" s="66">
        <f t="shared" si="46"/>
        <v>0</v>
      </c>
      <c r="O21" s="60"/>
      <c r="P21" s="67">
        <f t="shared" si="47"/>
        <v>0</v>
      </c>
      <c r="Q21" s="60"/>
      <c r="R21" s="67">
        <f t="shared" si="48"/>
        <v>0</v>
      </c>
      <c r="S21" s="60"/>
      <c r="T21" s="67">
        <f t="shared" si="86"/>
        <v>0</v>
      </c>
      <c r="U21" s="60"/>
      <c r="V21" s="67">
        <f t="shared" si="50"/>
        <v>0</v>
      </c>
      <c r="W21" s="60"/>
      <c r="X21" s="67">
        <f t="shared" si="65"/>
        <v>0</v>
      </c>
      <c r="Y21" s="60"/>
      <c r="Z21" s="67">
        <f t="shared" si="66"/>
        <v>0</v>
      </c>
      <c r="AA21" s="60"/>
      <c r="AB21" s="67">
        <f t="shared" si="67"/>
        <v>0</v>
      </c>
      <c r="AC21" s="60"/>
      <c r="AD21" s="67">
        <f t="shared" si="68"/>
        <v>0</v>
      </c>
      <c r="AE21" s="60"/>
      <c r="AF21" s="67">
        <f t="shared" si="69"/>
        <v>0</v>
      </c>
      <c r="AG21" s="60"/>
      <c r="AH21" s="67">
        <f t="shared" si="51"/>
        <v>0</v>
      </c>
      <c r="AI21" s="60"/>
      <c r="AJ21" s="67">
        <f t="shared" si="70"/>
        <v>0</v>
      </c>
      <c r="AK21" s="60"/>
      <c r="AL21" s="67">
        <f t="shared" si="52"/>
        <v>0</v>
      </c>
      <c r="AM21" s="60"/>
      <c r="AN21" s="67">
        <f t="shared" si="53"/>
        <v>0</v>
      </c>
      <c r="AO21" s="60"/>
      <c r="AP21" s="67">
        <f t="shared" si="54"/>
        <v>0</v>
      </c>
      <c r="AQ21" s="60"/>
      <c r="AR21" s="67">
        <f t="shared" si="71"/>
        <v>0</v>
      </c>
      <c r="AS21" s="60"/>
      <c r="AT21" s="67">
        <f t="shared" si="72"/>
        <v>0</v>
      </c>
      <c r="AU21" s="60"/>
      <c r="AV21" s="67">
        <f t="shared" si="73"/>
        <v>0</v>
      </c>
      <c r="AW21" s="60"/>
      <c r="AX21" s="67">
        <f t="shared" si="74"/>
        <v>0</v>
      </c>
      <c r="AY21" s="60"/>
      <c r="AZ21" s="67">
        <f t="shared" si="75"/>
        <v>0</v>
      </c>
      <c r="BA21" s="60"/>
      <c r="BB21" s="67">
        <f t="shared" si="76"/>
        <v>0</v>
      </c>
      <c r="BC21" s="60"/>
      <c r="BD21" s="67">
        <f t="shared" si="77"/>
        <v>0</v>
      </c>
      <c r="BE21" s="61"/>
      <c r="BF21" s="67">
        <f t="shared" si="55"/>
        <v>0</v>
      </c>
      <c r="BG21" s="62"/>
      <c r="BH21" s="67">
        <f t="shared" si="78"/>
        <v>0</v>
      </c>
      <c r="BI21" s="62"/>
      <c r="BJ21" s="67">
        <f t="shared" si="79"/>
        <v>0</v>
      </c>
      <c r="BK21" s="62"/>
      <c r="BL21" s="67">
        <f t="shared" si="80"/>
        <v>0</v>
      </c>
      <c r="BM21" s="62"/>
      <c r="BN21" s="67">
        <f t="shared" si="81"/>
        <v>0</v>
      </c>
      <c r="BO21" s="62"/>
      <c r="BP21" s="67">
        <f t="shared" si="82"/>
        <v>0</v>
      </c>
      <c r="BQ21" s="62"/>
      <c r="BR21" s="67">
        <f t="shared" si="56"/>
        <v>0</v>
      </c>
      <c r="BS21" s="62"/>
      <c r="BT21" s="67">
        <f t="shared" si="83"/>
        <v>0</v>
      </c>
      <c r="BU21" s="62"/>
      <c r="BV21" s="67">
        <f t="shared" si="57"/>
        <v>0</v>
      </c>
      <c r="BW21" s="62"/>
      <c r="BX21" s="67">
        <f t="shared" si="84"/>
        <v>0</v>
      </c>
      <c r="BY21" s="62"/>
      <c r="BZ21" s="67">
        <f t="shared" si="58"/>
        <v>0</v>
      </c>
      <c r="CA21" s="62"/>
      <c r="CB21" s="67">
        <f t="shared" si="59"/>
        <v>0</v>
      </c>
      <c r="CC21" s="62"/>
      <c r="CD21" s="67">
        <f t="shared" si="60"/>
        <v>0</v>
      </c>
      <c r="CE21" s="62"/>
      <c r="CF21" s="67">
        <f t="shared" si="61"/>
        <v>0</v>
      </c>
      <c r="CG21" s="62"/>
      <c r="CH21" s="67">
        <f t="shared" si="62"/>
        <v>0</v>
      </c>
      <c r="CI21" s="62"/>
      <c r="CJ21" s="67">
        <f t="shared" si="63"/>
        <v>0</v>
      </c>
      <c r="CK21" s="62"/>
      <c r="CL21" s="66">
        <f t="shared" si="64"/>
        <v>0</v>
      </c>
      <c r="CM21" s="67"/>
      <c r="CN21" s="64">
        <v>0</v>
      </c>
      <c r="CO21" s="64">
        <v>0</v>
      </c>
    </row>
    <row r="22" spans="1:93" ht="25.5" customHeight="1" thickBot="1" x14ac:dyDescent="0.45">
      <c r="A22" s="65">
        <v>43970</v>
      </c>
      <c r="B22" s="45"/>
      <c r="C22" s="60"/>
      <c r="D22" s="66">
        <f t="shared" si="42"/>
        <v>0</v>
      </c>
      <c r="E22" s="60"/>
      <c r="F22" s="66">
        <f t="shared" si="43"/>
        <v>0</v>
      </c>
      <c r="G22" s="60"/>
      <c r="H22" s="66">
        <f t="shared" si="44"/>
        <v>0</v>
      </c>
      <c r="I22" s="60"/>
      <c r="J22" s="66">
        <f t="shared" si="85"/>
        <v>0</v>
      </c>
      <c r="K22" s="60"/>
      <c r="L22" s="66">
        <f t="shared" si="45"/>
        <v>0</v>
      </c>
      <c r="M22" s="60"/>
      <c r="N22" s="66">
        <f t="shared" si="46"/>
        <v>0</v>
      </c>
      <c r="O22" s="60"/>
      <c r="P22" s="67">
        <f t="shared" si="47"/>
        <v>0</v>
      </c>
      <c r="Q22" s="60"/>
      <c r="R22" s="67">
        <f t="shared" si="48"/>
        <v>0</v>
      </c>
      <c r="S22" s="60"/>
      <c r="T22" s="67">
        <f t="shared" si="86"/>
        <v>0</v>
      </c>
      <c r="U22" s="60"/>
      <c r="V22" s="67">
        <f t="shared" si="50"/>
        <v>0</v>
      </c>
      <c r="W22" s="60"/>
      <c r="X22" s="67">
        <f t="shared" si="65"/>
        <v>0</v>
      </c>
      <c r="Y22" s="60"/>
      <c r="Z22" s="67">
        <f t="shared" si="66"/>
        <v>0</v>
      </c>
      <c r="AA22" s="60"/>
      <c r="AB22" s="67">
        <f t="shared" si="67"/>
        <v>0</v>
      </c>
      <c r="AC22" s="60"/>
      <c r="AD22" s="67">
        <f t="shared" si="68"/>
        <v>0</v>
      </c>
      <c r="AE22" s="60"/>
      <c r="AF22" s="67">
        <f t="shared" si="69"/>
        <v>0</v>
      </c>
      <c r="AG22" s="60"/>
      <c r="AH22" s="67">
        <f t="shared" si="51"/>
        <v>0</v>
      </c>
      <c r="AI22" s="60"/>
      <c r="AJ22" s="67">
        <f t="shared" si="70"/>
        <v>0</v>
      </c>
      <c r="AK22" s="60"/>
      <c r="AL22" s="67">
        <f t="shared" si="52"/>
        <v>0</v>
      </c>
      <c r="AM22" s="60"/>
      <c r="AN22" s="67">
        <f t="shared" si="53"/>
        <v>0</v>
      </c>
      <c r="AO22" s="60"/>
      <c r="AP22" s="67">
        <f t="shared" si="54"/>
        <v>0</v>
      </c>
      <c r="AQ22" s="60"/>
      <c r="AR22" s="67">
        <f t="shared" si="71"/>
        <v>0</v>
      </c>
      <c r="AS22" s="60"/>
      <c r="AT22" s="67">
        <f t="shared" si="72"/>
        <v>0</v>
      </c>
      <c r="AU22" s="60"/>
      <c r="AV22" s="67">
        <f t="shared" si="73"/>
        <v>0</v>
      </c>
      <c r="AW22" s="60"/>
      <c r="AX22" s="67">
        <f t="shared" si="74"/>
        <v>0</v>
      </c>
      <c r="AY22" s="60"/>
      <c r="AZ22" s="67">
        <f t="shared" si="75"/>
        <v>0</v>
      </c>
      <c r="BA22" s="60"/>
      <c r="BB22" s="67">
        <f t="shared" si="76"/>
        <v>0</v>
      </c>
      <c r="BC22" s="60"/>
      <c r="BD22" s="67">
        <f t="shared" si="77"/>
        <v>0</v>
      </c>
      <c r="BE22" s="61"/>
      <c r="BF22" s="67">
        <f t="shared" si="55"/>
        <v>0</v>
      </c>
      <c r="BG22" s="62"/>
      <c r="BH22" s="67">
        <f t="shared" si="78"/>
        <v>0</v>
      </c>
      <c r="BI22" s="62"/>
      <c r="BJ22" s="67">
        <f t="shared" si="79"/>
        <v>0</v>
      </c>
      <c r="BK22" s="62"/>
      <c r="BL22" s="67">
        <f t="shared" si="80"/>
        <v>0</v>
      </c>
      <c r="BM22" s="62"/>
      <c r="BN22" s="67">
        <f t="shared" si="81"/>
        <v>0</v>
      </c>
      <c r="BO22" s="62"/>
      <c r="BP22" s="67">
        <f t="shared" si="82"/>
        <v>0</v>
      </c>
      <c r="BQ22" s="62"/>
      <c r="BR22" s="67">
        <f t="shared" si="56"/>
        <v>0</v>
      </c>
      <c r="BS22" s="62"/>
      <c r="BT22" s="67">
        <f t="shared" si="83"/>
        <v>0</v>
      </c>
      <c r="BU22" s="62"/>
      <c r="BV22" s="67">
        <f t="shared" si="57"/>
        <v>0</v>
      </c>
      <c r="BW22" s="62"/>
      <c r="BX22" s="67">
        <f t="shared" si="84"/>
        <v>0</v>
      </c>
      <c r="BY22" s="62"/>
      <c r="BZ22" s="67">
        <f t="shared" si="58"/>
        <v>0</v>
      </c>
      <c r="CA22" s="62"/>
      <c r="CB22" s="67">
        <f t="shared" si="59"/>
        <v>0</v>
      </c>
      <c r="CC22" s="62"/>
      <c r="CD22" s="67">
        <f>IF((CC23-CC21&lt;0), "",CC23-CC21)</f>
        <v>0</v>
      </c>
      <c r="CE22" s="62"/>
      <c r="CF22" s="67">
        <f t="shared" si="61"/>
        <v>0</v>
      </c>
      <c r="CG22" s="62"/>
      <c r="CH22" s="67">
        <f t="shared" si="62"/>
        <v>0</v>
      </c>
      <c r="CI22" s="62"/>
      <c r="CJ22" s="67">
        <f t="shared" si="63"/>
        <v>0</v>
      </c>
      <c r="CK22" s="62"/>
      <c r="CL22" s="66">
        <f t="shared" si="64"/>
        <v>0</v>
      </c>
      <c r="CM22" s="67"/>
      <c r="CN22" s="64">
        <v>0</v>
      </c>
      <c r="CO22" s="64">
        <v>0</v>
      </c>
    </row>
    <row r="23" spans="1:93" ht="25.5" customHeight="1" thickBot="1" x14ac:dyDescent="0.45">
      <c r="A23" s="65">
        <v>43971</v>
      </c>
      <c r="B23" s="45"/>
      <c r="C23" s="60"/>
      <c r="D23" s="66">
        <f t="shared" si="42"/>
        <v>0</v>
      </c>
      <c r="E23" s="60"/>
      <c r="F23" s="66">
        <f t="shared" si="43"/>
        <v>0</v>
      </c>
      <c r="G23" s="60"/>
      <c r="H23" s="66">
        <f t="shared" si="44"/>
        <v>0</v>
      </c>
      <c r="I23" s="60"/>
      <c r="J23" s="66">
        <f t="shared" si="85"/>
        <v>0</v>
      </c>
      <c r="K23" s="60"/>
      <c r="L23" s="66">
        <f t="shared" si="45"/>
        <v>0</v>
      </c>
      <c r="M23" s="60"/>
      <c r="N23" s="66">
        <f t="shared" si="46"/>
        <v>0</v>
      </c>
      <c r="O23" s="60"/>
      <c r="P23" s="67">
        <f t="shared" si="47"/>
        <v>0</v>
      </c>
      <c r="Q23" s="60"/>
      <c r="R23" s="67">
        <f t="shared" si="48"/>
        <v>0</v>
      </c>
      <c r="S23" s="60"/>
      <c r="T23" s="67">
        <f t="shared" si="86"/>
        <v>0</v>
      </c>
      <c r="U23" s="60"/>
      <c r="V23" s="67">
        <f t="shared" si="50"/>
        <v>0</v>
      </c>
      <c r="W23" s="60"/>
      <c r="X23" s="67">
        <f t="shared" si="65"/>
        <v>0</v>
      </c>
      <c r="Y23" s="60"/>
      <c r="Z23" s="67">
        <f t="shared" si="66"/>
        <v>0</v>
      </c>
      <c r="AA23" s="60"/>
      <c r="AB23" s="67">
        <f t="shared" si="67"/>
        <v>0</v>
      </c>
      <c r="AC23" s="60"/>
      <c r="AD23" s="67">
        <f t="shared" si="68"/>
        <v>0</v>
      </c>
      <c r="AE23" s="60"/>
      <c r="AF23" s="67">
        <f t="shared" si="69"/>
        <v>0</v>
      </c>
      <c r="AG23" s="60"/>
      <c r="AH23" s="67">
        <f t="shared" si="51"/>
        <v>0</v>
      </c>
      <c r="AI23" s="60"/>
      <c r="AJ23" s="67">
        <f t="shared" si="70"/>
        <v>0</v>
      </c>
      <c r="AK23" s="60"/>
      <c r="AL23" s="67"/>
      <c r="AM23" s="60"/>
      <c r="AN23" s="67">
        <f t="shared" si="53"/>
        <v>0</v>
      </c>
      <c r="AO23" s="60"/>
      <c r="AP23" s="67">
        <f t="shared" si="54"/>
        <v>0</v>
      </c>
      <c r="AQ23" s="60"/>
      <c r="AR23" s="67">
        <f t="shared" si="71"/>
        <v>0</v>
      </c>
      <c r="AS23" s="60"/>
      <c r="AT23" s="67">
        <f t="shared" si="72"/>
        <v>0</v>
      </c>
      <c r="AU23" s="60"/>
      <c r="AV23" s="67">
        <f t="shared" si="73"/>
        <v>0</v>
      </c>
      <c r="AW23" s="60"/>
      <c r="AX23" s="67">
        <f t="shared" si="74"/>
        <v>0</v>
      </c>
      <c r="AY23" s="60"/>
      <c r="AZ23" s="67">
        <f t="shared" si="75"/>
        <v>0</v>
      </c>
      <c r="BA23" s="60"/>
      <c r="BB23" s="67">
        <f t="shared" si="76"/>
        <v>0</v>
      </c>
      <c r="BC23" s="60"/>
      <c r="BD23" s="67">
        <f t="shared" si="77"/>
        <v>0</v>
      </c>
      <c r="BE23" s="61"/>
      <c r="BF23" s="67">
        <f t="shared" si="55"/>
        <v>0</v>
      </c>
      <c r="BG23" s="62"/>
      <c r="BH23" s="67">
        <f t="shared" si="78"/>
        <v>0</v>
      </c>
      <c r="BI23" s="62"/>
      <c r="BJ23" s="67">
        <f t="shared" si="79"/>
        <v>0</v>
      </c>
      <c r="BK23" s="62"/>
      <c r="BL23" s="67">
        <f t="shared" si="80"/>
        <v>0</v>
      </c>
      <c r="BM23" s="62"/>
      <c r="BN23" s="67">
        <f t="shared" si="81"/>
        <v>0</v>
      </c>
      <c r="BO23" s="62"/>
      <c r="BP23" s="67">
        <f t="shared" si="82"/>
        <v>0</v>
      </c>
      <c r="BQ23" s="62"/>
      <c r="BR23" s="67">
        <f t="shared" si="56"/>
        <v>0</v>
      </c>
      <c r="BS23" s="62"/>
      <c r="BT23" s="67">
        <f t="shared" si="83"/>
        <v>0</v>
      </c>
      <c r="BU23" s="62"/>
      <c r="BV23" s="67">
        <f t="shared" si="57"/>
        <v>0</v>
      </c>
      <c r="BW23" s="62"/>
      <c r="BX23" s="67">
        <f t="shared" si="84"/>
        <v>0</v>
      </c>
      <c r="BY23" s="62"/>
      <c r="BZ23" s="67">
        <f t="shared" si="58"/>
        <v>0</v>
      </c>
      <c r="CA23" s="62"/>
      <c r="CB23" s="67">
        <f t="shared" si="59"/>
        <v>0</v>
      </c>
      <c r="CC23" s="62"/>
      <c r="CD23" s="67">
        <f t="shared" ref="CD23:CD24" si="87">IF((CC24-CC22&lt;0), "",CC24-CC22)</f>
        <v>0</v>
      </c>
      <c r="CE23" s="62"/>
      <c r="CF23" s="67">
        <f t="shared" si="61"/>
        <v>0</v>
      </c>
      <c r="CG23" s="62"/>
      <c r="CH23" s="67">
        <f t="shared" si="62"/>
        <v>0</v>
      </c>
      <c r="CI23" s="62"/>
      <c r="CJ23" s="67">
        <f t="shared" si="63"/>
        <v>0</v>
      </c>
      <c r="CK23" s="62"/>
      <c r="CL23" s="66">
        <f t="shared" si="64"/>
        <v>0</v>
      </c>
      <c r="CM23" s="67"/>
      <c r="CN23" s="64">
        <v>0</v>
      </c>
      <c r="CO23" s="64">
        <v>0</v>
      </c>
    </row>
    <row r="24" spans="1:93" ht="25.5" customHeight="1" thickBot="1" x14ac:dyDescent="0.45">
      <c r="A24" s="65">
        <v>43972</v>
      </c>
      <c r="B24" s="45"/>
      <c r="C24" s="60"/>
      <c r="D24" s="66">
        <f t="shared" si="42"/>
        <v>0</v>
      </c>
      <c r="E24" s="60"/>
      <c r="F24" s="66">
        <f t="shared" si="43"/>
        <v>0</v>
      </c>
      <c r="G24" s="60"/>
      <c r="H24" s="66">
        <f t="shared" si="44"/>
        <v>0</v>
      </c>
      <c r="I24" s="60"/>
      <c r="J24" s="66">
        <f t="shared" si="85"/>
        <v>0</v>
      </c>
      <c r="K24" s="60"/>
      <c r="L24" s="66">
        <f t="shared" si="45"/>
        <v>0</v>
      </c>
      <c r="M24" s="60"/>
      <c r="N24" s="66">
        <f t="shared" si="46"/>
        <v>0</v>
      </c>
      <c r="O24" s="60"/>
      <c r="P24" s="67">
        <f t="shared" si="47"/>
        <v>0</v>
      </c>
      <c r="Q24" s="60"/>
      <c r="R24" s="67">
        <f t="shared" si="48"/>
        <v>0</v>
      </c>
      <c r="S24" s="60"/>
      <c r="T24" s="67">
        <f t="shared" si="86"/>
        <v>0</v>
      </c>
      <c r="U24" s="60"/>
      <c r="V24" s="67">
        <f t="shared" si="50"/>
        <v>0</v>
      </c>
      <c r="W24" s="60"/>
      <c r="X24" s="67">
        <f t="shared" si="65"/>
        <v>0</v>
      </c>
      <c r="Y24" s="60"/>
      <c r="Z24" s="67">
        <f t="shared" si="66"/>
        <v>0</v>
      </c>
      <c r="AA24" s="60"/>
      <c r="AB24" s="67">
        <f t="shared" si="67"/>
        <v>0</v>
      </c>
      <c r="AC24" s="60"/>
      <c r="AD24" s="67">
        <f t="shared" si="68"/>
        <v>0</v>
      </c>
      <c r="AE24" s="60"/>
      <c r="AF24" s="67">
        <f t="shared" si="69"/>
        <v>0</v>
      </c>
      <c r="AG24" s="60"/>
      <c r="AH24" s="67">
        <f t="shared" si="51"/>
        <v>0</v>
      </c>
      <c r="AI24" s="60"/>
      <c r="AJ24" s="67">
        <f t="shared" si="70"/>
        <v>0</v>
      </c>
      <c r="AK24" s="60"/>
      <c r="AL24" s="67">
        <f t="shared" si="52"/>
        <v>0</v>
      </c>
      <c r="AM24" s="60"/>
      <c r="AN24" s="67">
        <f t="shared" si="53"/>
        <v>0</v>
      </c>
      <c r="AO24" s="60"/>
      <c r="AP24" s="67">
        <f t="shared" si="54"/>
        <v>0</v>
      </c>
      <c r="AQ24" s="60"/>
      <c r="AR24" s="67">
        <f t="shared" si="71"/>
        <v>0</v>
      </c>
      <c r="AS24" s="60"/>
      <c r="AT24" s="67">
        <f t="shared" si="72"/>
        <v>0</v>
      </c>
      <c r="AU24" s="60"/>
      <c r="AV24" s="67">
        <f t="shared" si="73"/>
        <v>0</v>
      </c>
      <c r="AW24" s="60"/>
      <c r="AX24" s="67">
        <f t="shared" si="74"/>
        <v>0</v>
      </c>
      <c r="AY24" s="60"/>
      <c r="AZ24" s="67">
        <f t="shared" si="75"/>
        <v>0</v>
      </c>
      <c r="BA24" s="60"/>
      <c r="BB24" s="67">
        <f t="shared" si="76"/>
        <v>0</v>
      </c>
      <c r="BC24" s="60"/>
      <c r="BD24" s="67">
        <f t="shared" si="77"/>
        <v>0</v>
      </c>
      <c r="BE24" s="61"/>
      <c r="BF24" s="67">
        <f t="shared" si="55"/>
        <v>0</v>
      </c>
      <c r="BG24" s="62"/>
      <c r="BH24" s="67">
        <f t="shared" si="78"/>
        <v>0</v>
      </c>
      <c r="BI24" s="62"/>
      <c r="BJ24" s="67">
        <f t="shared" si="79"/>
        <v>0</v>
      </c>
      <c r="BK24" s="62"/>
      <c r="BL24" s="67">
        <f t="shared" si="80"/>
        <v>0</v>
      </c>
      <c r="BM24" s="62"/>
      <c r="BN24" s="67">
        <f t="shared" si="81"/>
        <v>0</v>
      </c>
      <c r="BO24" s="62"/>
      <c r="BP24" s="67">
        <f t="shared" si="82"/>
        <v>0</v>
      </c>
      <c r="BQ24" s="62"/>
      <c r="BR24" s="67">
        <f t="shared" si="56"/>
        <v>0</v>
      </c>
      <c r="BS24" s="62"/>
      <c r="BT24" s="67">
        <f t="shared" si="83"/>
        <v>0</v>
      </c>
      <c r="BU24" s="62"/>
      <c r="BV24" s="67">
        <f t="shared" si="57"/>
        <v>0</v>
      </c>
      <c r="BW24" s="62"/>
      <c r="BX24" s="67">
        <f t="shared" si="84"/>
        <v>0</v>
      </c>
      <c r="BY24" s="62"/>
      <c r="BZ24" s="67">
        <f t="shared" si="58"/>
        <v>0</v>
      </c>
      <c r="CA24" s="62"/>
      <c r="CB24" s="67">
        <f t="shared" si="59"/>
        <v>0</v>
      </c>
      <c r="CC24" s="62"/>
      <c r="CD24" s="67">
        <f t="shared" si="87"/>
        <v>0</v>
      </c>
      <c r="CE24" s="62"/>
      <c r="CF24" s="67">
        <f t="shared" si="61"/>
        <v>0</v>
      </c>
      <c r="CG24" s="62"/>
      <c r="CH24" s="67">
        <f t="shared" si="62"/>
        <v>0</v>
      </c>
      <c r="CI24" s="62"/>
      <c r="CJ24" s="67">
        <f t="shared" si="63"/>
        <v>0</v>
      </c>
      <c r="CK24" s="62"/>
      <c r="CL24" s="66">
        <f t="shared" si="64"/>
        <v>0</v>
      </c>
      <c r="CM24" s="67"/>
      <c r="CN24" s="64">
        <v>0</v>
      </c>
      <c r="CO24" s="64">
        <v>0</v>
      </c>
    </row>
    <row r="25" spans="1:93" ht="25.5" customHeight="1" thickBot="1" x14ac:dyDescent="0.45">
      <c r="A25" s="65">
        <v>43973</v>
      </c>
      <c r="B25" s="45"/>
      <c r="C25" s="60"/>
      <c r="D25" s="66">
        <f t="shared" si="42"/>
        <v>0</v>
      </c>
      <c r="E25" s="60"/>
      <c r="F25" s="66">
        <f t="shared" si="43"/>
        <v>0</v>
      </c>
      <c r="G25" s="60"/>
      <c r="H25" s="66">
        <f t="shared" si="44"/>
        <v>0</v>
      </c>
      <c r="I25" s="60"/>
      <c r="J25" s="66">
        <f t="shared" si="85"/>
        <v>0</v>
      </c>
      <c r="K25" s="60"/>
      <c r="L25" s="66">
        <f t="shared" si="45"/>
        <v>0</v>
      </c>
      <c r="M25" s="60"/>
      <c r="N25" s="66">
        <f t="shared" si="46"/>
        <v>0</v>
      </c>
      <c r="O25" s="60"/>
      <c r="P25" s="67">
        <f t="shared" si="47"/>
        <v>0</v>
      </c>
      <c r="Q25" s="60"/>
      <c r="R25" s="67">
        <f t="shared" si="48"/>
        <v>0</v>
      </c>
      <c r="S25" s="60"/>
      <c r="T25" s="67">
        <f t="shared" si="86"/>
        <v>0</v>
      </c>
      <c r="U25" s="60"/>
      <c r="V25" s="67">
        <f t="shared" si="50"/>
        <v>0</v>
      </c>
      <c r="W25" s="60"/>
      <c r="X25" s="67">
        <f t="shared" si="65"/>
        <v>0</v>
      </c>
      <c r="Y25" s="60"/>
      <c r="Z25" s="67">
        <f t="shared" si="66"/>
        <v>0</v>
      </c>
      <c r="AA25" s="60"/>
      <c r="AB25" s="67">
        <f t="shared" si="67"/>
        <v>0</v>
      </c>
      <c r="AC25" s="60"/>
      <c r="AD25" s="67">
        <f t="shared" si="68"/>
        <v>0</v>
      </c>
      <c r="AE25" s="60"/>
      <c r="AF25" s="67">
        <f t="shared" si="69"/>
        <v>0</v>
      </c>
      <c r="AG25" s="60"/>
      <c r="AH25" s="67">
        <f t="shared" si="51"/>
        <v>0</v>
      </c>
      <c r="AI25" s="60"/>
      <c r="AJ25" s="67">
        <f t="shared" si="70"/>
        <v>0</v>
      </c>
      <c r="AK25" s="60"/>
      <c r="AL25" s="67">
        <f t="shared" si="52"/>
        <v>0</v>
      </c>
      <c r="AM25" s="60"/>
      <c r="AN25" s="67">
        <f t="shared" si="53"/>
        <v>0</v>
      </c>
      <c r="AO25" s="60"/>
      <c r="AP25" s="67">
        <f t="shared" si="54"/>
        <v>0</v>
      </c>
      <c r="AQ25" s="60"/>
      <c r="AR25" s="67">
        <f t="shared" si="71"/>
        <v>0</v>
      </c>
      <c r="AS25" s="60"/>
      <c r="AT25" s="67">
        <f t="shared" si="72"/>
        <v>0</v>
      </c>
      <c r="AU25" s="60"/>
      <c r="AV25" s="67">
        <f t="shared" si="73"/>
        <v>0</v>
      </c>
      <c r="AW25" s="60"/>
      <c r="AX25" s="67">
        <f t="shared" si="74"/>
        <v>0</v>
      </c>
      <c r="AY25" s="60"/>
      <c r="AZ25" s="67">
        <f t="shared" si="75"/>
        <v>0</v>
      </c>
      <c r="BA25" s="60"/>
      <c r="BB25" s="67">
        <f t="shared" si="76"/>
        <v>0</v>
      </c>
      <c r="BC25" s="60"/>
      <c r="BD25" s="67">
        <f t="shared" si="77"/>
        <v>0</v>
      </c>
      <c r="BE25" s="61"/>
      <c r="BF25" s="67">
        <f t="shared" si="55"/>
        <v>0</v>
      </c>
      <c r="BG25" s="62"/>
      <c r="BH25" s="67">
        <f t="shared" si="78"/>
        <v>0</v>
      </c>
      <c r="BI25" s="62"/>
      <c r="BJ25" s="67">
        <f t="shared" si="79"/>
        <v>0</v>
      </c>
      <c r="BK25" s="62"/>
      <c r="BL25" s="67">
        <f t="shared" si="80"/>
        <v>0</v>
      </c>
      <c r="BM25" s="62"/>
      <c r="BN25" s="67">
        <f t="shared" si="81"/>
        <v>0</v>
      </c>
      <c r="BO25" s="62"/>
      <c r="BP25" s="67">
        <f t="shared" si="82"/>
        <v>0</v>
      </c>
      <c r="BQ25" s="62"/>
      <c r="BR25" s="67">
        <f t="shared" si="56"/>
        <v>0</v>
      </c>
      <c r="BS25" s="62"/>
      <c r="BT25" s="67">
        <f t="shared" si="83"/>
        <v>0</v>
      </c>
      <c r="BU25" s="62"/>
      <c r="BV25" s="67">
        <f t="shared" si="57"/>
        <v>0</v>
      </c>
      <c r="BW25" s="62"/>
      <c r="BX25" s="67">
        <f t="shared" si="84"/>
        <v>0</v>
      </c>
      <c r="BY25" s="62"/>
      <c r="BZ25" s="67">
        <f t="shared" si="58"/>
        <v>0</v>
      </c>
      <c r="CA25" s="62"/>
      <c r="CB25" s="67">
        <f t="shared" si="59"/>
        <v>0</v>
      </c>
      <c r="CC25" s="62"/>
      <c r="CD25" s="67">
        <f t="shared" si="60"/>
        <v>0</v>
      </c>
      <c r="CE25" s="62"/>
      <c r="CF25" s="67">
        <f t="shared" si="61"/>
        <v>0</v>
      </c>
      <c r="CG25" s="62"/>
      <c r="CH25" s="67">
        <f t="shared" si="62"/>
        <v>0</v>
      </c>
      <c r="CI25" s="62"/>
      <c r="CJ25" s="67">
        <f t="shared" si="63"/>
        <v>0</v>
      </c>
      <c r="CK25" s="62"/>
      <c r="CL25" s="66">
        <f t="shared" si="64"/>
        <v>0</v>
      </c>
      <c r="CM25" s="67"/>
      <c r="CN25" s="64">
        <v>0</v>
      </c>
      <c r="CO25" s="64">
        <v>0</v>
      </c>
    </row>
    <row r="26" spans="1:93" ht="25.5" customHeight="1" thickBot="1" x14ac:dyDescent="0.45">
      <c r="A26" s="65">
        <v>43974</v>
      </c>
      <c r="B26" s="45"/>
      <c r="C26" s="60"/>
      <c r="D26" s="66">
        <f t="shared" si="42"/>
        <v>0</v>
      </c>
      <c r="E26" s="60"/>
      <c r="F26" s="66">
        <f t="shared" si="43"/>
        <v>0</v>
      </c>
      <c r="G26" s="60"/>
      <c r="H26" s="66">
        <f t="shared" si="44"/>
        <v>0</v>
      </c>
      <c r="I26" s="60"/>
      <c r="J26" s="66">
        <f t="shared" si="85"/>
        <v>0</v>
      </c>
      <c r="K26" s="60"/>
      <c r="L26" s="66">
        <f t="shared" si="45"/>
        <v>0</v>
      </c>
      <c r="M26" s="60"/>
      <c r="N26" s="66">
        <f t="shared" si="46"/>
        <v>0</v>
      </c>
      <c r="O26" s="60"/>
      <c r="P26" s="67">
        <f t="shared" si="47"/>
        <v>0</v>
      </c>
      <c r="Q26" s="60"/>
      <c r="R26" s="67">
        <f t="shared" si="48"/>
        <v>0</v>
      </c>
      <c r="S26" s="60"/>
      <c r="T26" s="67">
        <f t="shared" si="86"/>
        <v>0</v>
      </c>
      <c r="U26" s="60"/>
      <c r="V26" s="67">
        <f t="shared" si="50"/>
        <v>0</v>
      </c>
      <c r="W26" s="60"/>
      <c r="X26" s="67">
        <f t="shared" si="65"/>
        <v>0</v>
      </c>
      <c r="Y26" s="60"/>
      <c r="Z26" s="67">
        <f t="shared" si="66"/>
        <v>0</v>
      </c>
      <c r="AA26" s="60"/>
      <c r="AB26" s="67">
        <f t="shared" si="67"/>
        <v>0</v>
      </c>
      <c r="AC26" s="60"/>
      <c r="AD26" s="67">
        <f t="shared" si="68"/>
        <v>0</v>
      </c>
      <c r="AE26" s="60"/>
      <c r="AF26" s="67">
        <f t="shared" si="69"/>
        <v>0</v>
      </c>
      <c r="AG26" s="60"/>
      <c r="AH26" s="67">
        <f t="shared" si="51"/>
        <v>0</v>
      </c>
      <c r="AI26" s="60"/>
      <c r="AJ26" s="67">
        <f t="shared" si="70"/>
        <v>0</v>
      </c>
      <c r="AK26" s="60"/>
      <c r="AL26" s="67">
        <f t="shared" si="52"/>
        <v>0</v>
      </c>
      <c r="AM26" s="60"/>
      <c r="AN26" s="67">
        <f t="shared" si="53"/>
        <v>0</v>
      </c>
      <c r="AO26" s="60"/>
      <c r="AP26" s="67">
        <f t="shared" si="54"/>
        <v>0</v>
      </c>
      <c r="AQ26" s="60"/>
      <c r="AR26" s="67">
        <f t="shared" si="71"/>
        <v>0</v>
      </c>
      <c r="AS26" s="60"/>
      <c r="AT26" s="67">
        <f t="shared" si="72"/>
        <v>0</v>
      </c>
      <c r="AU26" s="60"/>
      <c r="AV26" s="67">
        <f t="shared" si="73"/>
        <v>0</v>
      </c>
      <c r="AW26" s="60"/>
      <c r="AX26" s="67">
        <f t="shared" si="74"/>
        <v>0</v>
      </c>
      <c r="AY26" s="60"/>
      <c r="AZ26" s="67">
        <f t="shared" si="75"/>
        <v>0</v>
      </c>
      <c r="BA26" s="60"/>
      <c r="BB26" s="67">
        <f t="shared" si="76"/>
        <v>0</v>
      </c>
      <c r="BC26" s="60"/>
      <c r="BD26" s="67">
        <f t="shared" si="77"/>
        <v>0</v>
      </c>
      <c r="BE26" s="61"/>
      <c r="BF26" s="67">
        <f t="shared" si="55"/>
        <v>0</v>
      </c>
      <c r="BG26" s="62"/>
      <c r="BH26" s="67">
        <f t="shared" si="78"/>
        <v>0</v>
      </c>
      <c r="BI26" s="62"/>
      <c r="BJ26" s="67">
        <f t="shared" si="79"/>
        <v>0</v>
      </c>
      <c r="BK26" s="62"/>
      <c r="BL26" s="67">
        <f t="shared" si="80"/>
        <v>0</v>
      </c>
      <c r="BM26" s="62"/>
      <c r="BN26" s="67">
        <f t="shared" si="81"/>
        <v>0</v>
      </c>
      <c r="BO26" s="62"/>
      <c r="BP26" s="67">
        <f t="shared" si="82"/>
        <v>0</v>
      </c>
      <c r="BQ26" s="62"/>
      <c r="BR26" s="67">
        <f t="shared" si="56"/>
        <v>0</v>
      </c>
      <c r="BS26" s="62"/>
      <c r="BT26" s="67">
        <f t="shared" si="83"/>
        <v>0</v>
      </c>
      <c r="BU26" s="62"/>
      <c r="BV26" s="67">
        <f t="shared" si="57"/>
        <v>0</v>
      </c>
      <c r="BW26" s="62"/>
      <c r="BX26" s="67">
        <f t="shared" si="84"/>
        <v>0</v>
      </c>
      <c r="BY26" s="62"/>
      <c r="BZ26" s="67">
        <f t="shared" si="58"/>
        <v>0</v>
      </c>
      <c r="CA26" s="62"/>
      <c r="CB26" s="67">
        <f t="shared" si="59"/>
        <v>0</v>
      </c>
      <c r="CC26" s="62"/>
      <c r="CD26" s="67">
        <f t="shared" si="60"/>
        <v>0</v>
      </c>
      <c r="CE26" s="62"/>
      <c r="CF26" s="67">
        <f t="shared" si="61"/>
        <v>0</v>
      </c>
      <c r="CG26" s="62"/>
      <c r="CH26" s="67">
        <f t="shared" si="62"/>
        <v>0</v>
      </c>
      <c r="CI26" s="62"/>
      <c r="CJ26" s="67">
        <f t="shared" si="63"/>
        <v>0</v>
      </c>
      <c r="CK26" s="62"/>
      <c r="CL26" s="66">
        <f t="shared" si="64"/>
        <v>0</v>
      </c>
      <c r="CM26" s="67"/>
      <c r="CN26" s="64">
        <v>0</v>
      </c>
      <c r="CO26" s="64">
        <v>0</v>
      </c>
    </row>
    <row r="27" spans="1:93" ht="25.5" customHeight="1" thickBot="1" x14ac:dyDescent="0.45">
      <c r="A27" s="65">
        <v>43975</v>
      </c>
      <c r="B27" s="45"/>
      <c r="C27" s="60"/>
      <c r="D27" s="66">
        <f t="shared" si="42"/>
        <v>0</v>
      </c>
      <c r="E27" s="60"/>
      <c r="F27" s="66">
        <f t="shared" si="43"/>
        <v>0</v>
      </c>
      <c r="G27" s="60"/>
      <c r="H27" s="66">
        <f t="shared" si="44"/>
        <v>0</v>
      </c>
      <c r="I27" s="60"/>
      <c r="J27" s="66">
        <f t="shared" si="85"/>
        <v>0</v>
      </c>
      <c r="K27" s="60"/>
      <c r="L27" s="66">
        <f t="shared" si="45"/>
        <v>0</v>
      </c>
      <c r="M27" s="60"/>
      <c r="N27" s="66">
        <f t="shared" si="46"/>
        <v>0</v>
      </c>
      <c r="O27" s="60"/>
      <c r="P27" s="67">
        <f t="shared" si="47"/>
        <v>0</v>
      </c>
      <c r="Q27" s="60"/>
      <c r="R27" s="67">
        <f t="shared" si="48"/>
        <v>0</v>
      </c>
      <c r="S27" s="60"/>
      <c r="T27" s="67">
        <f t="shared" si="86"/>
        <v>0</v>
      </c>
      <c r="U27" s="60"/>
      <c r="V27" s="67">
        <f t="shared" si="50"/>
        <v>0</v>
      </c>
      <c r="W27" s="60"/>
      <c r="X27" s="67">
        <f t="shared" si="65"/>
        <v>0</v>
      </c>
      <c r="Y27" s="60"/>
      <c r="Z27" s="67">
        <f t="shared" si="66"/>
        <v>0</v>
      </c>
      <c r="AA27" s="60"/>
      <c r="AB27" s="67">
        <f t="shared" si="67"/>
        <v>0</v>
      </c>
      <c r="AC27" s="60"/>
      <c r="AD27" s="67">
        <f t="shared" si="68"/>
        <v>0</v>
      </c>
      <c r="AE27" s="60"/>
      <c r="AF27" s="67">
        <f t="shared" si="69"/>
        <v>0</v>
      </c>
      <c r="AG27" s="60"/>
      <c r="AH27" s="67">
        <f t="shared" si="51"/>
        <v>0</v>
      </c>
      <c r="AI27" s="60"/>
      <c r="AJ27" s="67">
        <f t="shared" si="70"/>
        <v>0</v>
      </c>
      <c r="AK27" s="60"/>
      <c r="AL27" s="67">
        <f t="shared" si="52"/>
        <v>0</v>
      </c>
      <c r="AM27" s="60"/>
      <c r="AN27" s="67">
        <f t="shared" si="53"/>
        <v>0</v>
      </c>
      <c r="AO27" s="60"/>
      <c r="AP27" s="67">
        <f t="shared" si="54"/>
        <v>0</v>
      </c>
      <c r="AQ27" s="60"/>
      <c r="AR27" s="67">
        <f t="shared" si="71"/>
        <v>0</v>
      </c>
      <c r="AS27" s="60"/>
      <c r="AT27" s="67">
        <f t="shared" si="72"/>
        <v>0</v>
      </c>
      <c r="AU27" s="60"/>
      <c r="AV27" s="67">
        <f t="shared" si="73"/>
        <v>0</v>
      </c>
      <c r="AW27" s="60"/>
      <c r="AX27" s="67">
        <f t="shared" si="74"/>
        <v>0</v>
      </c>
      <c r="AY27" s="60"/>
      <c r="AZ27" s="67">
        <f t="shared" si="75"/>
        <v>0</v>
      </c>
      <c r="BA27" s="60"/>
      <c r="BB27" s="67">
        <f t="shared" si="76"/>
        <v>0</v>
      </c>
      <c r="BC27" s="60"/>
      <c r="BD27" s="67">
        <f t="shared" si="77"/>
        <v>0</v>
      </c>
      <c r="BE27" s="61"/>
      <c r="BF27" s="67">
        <f t="shared" si="55"/>
        <v>0</v>
      </c>
      <c r="BG27" s="62"/>
      <c r="BH27" s="67">
        <f t="shared" si="78"/>
        <v>0</v>
      </c>
      <c r="BI27" s="62"/>
      <c r="BJ27" s="67">
        <f t="shared" si="79"/>
        <v>0</v>
      </c>
      <c r="BK27" s="62"/>
      <c r="BL27" s="67">
        <f t="shared" si="80"/>
        <v>0</v>
      </c>
      <c r="BM27" s="62"/>
      <c r="BN27" s="67">
        <f t="shared" si="81"/>
        <v>0</v>
      </c>
      <c r="BO27" s="62"/>
      <c r="BP27" s="67">
        <f t="shared" si="82"/>
        <v>0</v>
      </c>
      <c r="BQ27" s="62"/>
      <c r="BR27" s="67">
        <f t="shared" si="56"/>
        <v>0</v>
      </c>
      <c r="BS27" s="62"/>
      <c r="BT27" s="67">
        <f t="shared" si="83"/>
        <v>0</v>
      </c>
      <c r="BU27" s="62"/>
      <c r="BV27" s="67">
        <f t="shared" si="57"/>
        <v>0</v>
      </c>
      <c r="BW27" s="62"/>
      <c r="BX27" s="67">
        <f t="shared" si="84"/>
        <v>0</v>
      </c>
      <c r="BY27" s="62"/>
      <c r="BZ27" s="67">
        <f t="shared" si="58"/>
        <v>0</v>
      </c>
      <c r="CA27" s="62"/>
      <c r="CB27" s="67">
        <f t="shared" si="59"/>
        <v>0</v>
      </c>
      <c r="CC27" s="62"/>
      <c r="CD27" s="67">
        <f t="shared" si="60"/>
        <v>0</v>
      </c>
      <c r="CE27" s="62"/>
      <c r="CF27" s="67">
        <f t="shared" si="61"/>
        <v>0</v>
      </c>
      <c r="CG27" s="62"/>
      <c r="CH27" s="67">
        <f t="shared" si="62"/>
        <v>0</v>
      </c>
      <c r="CI27" s="62"/>
      <c r="CJ27" s="67">
        <f t="shared" si="63"/>
        <v>0</v>
      </c>
      <c r="CK27" s="62"/>
      <c r="CL27" s="66">
        <f t="shared" si="64"/>
        <v>0</v>
      </c>
      <c r="CM27" s="67"/>
      <c r="CN27" s="64">
        <v>0</v>
      </c>
      <c r="CO27" s="64">
        <v>0</v>
      </c>
    </row>
    <row r="28" spans="1:93" ht="25.5" customHeight="1" thickBot="1" x14ac:dyDescent="0.45">
      <c r="A28" s="65">
        <v>43976</v>
      </c>
      <c r="B28" s="45"/>
      <c r="C28" s="60"/>
      <c r="D28" s="66">
        <f t="shared" si="42"/>
        <v>0</v>
      </c>
      <c r="E28" s="60"/>
      <c r="F28" s="66">
        <f t="shared" si="43"/>
        <v>0</v>
      </c>
      <c r="G28" s="60"/>
      <c r="H28" s="66">
        <f t="shared" si="44"/>
        <v>0</v>
      </c>
      <c r="I28" s="60"/>
      <c r="J28" s="66">
        <f t="shared" si="85"/>
        <v>0</v>
      </c>
      <c r="K28" s="60"/>
      <c r="L28" s="66">
        <f t="shared" si="45"/>
        <v>0</v>
      </c>
      <c r="M28" s="60"/>
      <c r="N28" s="66">
        <f t="shared" si="46"/>
        <v>0</v>
      </c>
      <c r="O28" s="60"/>
      <c r="P28" s="67">
        <f t="shared" si="47"/>
        <v>0</v>
      </c>
      <c r="Q28" s="60"/>
      <c r="R28" s="67">
        <f t="shared" si="48"/>
        <v>0</v>
      </c>
      <c r="S28" s="60"/>
      <c r="T28" s="67">
        <f t="shared" si="86"/>
        <v>0</v>
      </c>
      <c r="U28" s="60"/>
      <c r="V28" s="67">
        <f t="shared" si="50"/>
        <v>0</v>
      </c>
      <c r="W28" s="60"/>
      <c r="X28" s="67">
        <f t="shared" si="65"/>
        <v>0</v>
      </c>
      <c r="Y28" s="60"/>
      <c r="Z28" s="67">
        <f t="shared" si="66"/>
        <v>0</v>
      </c>
      <c r="AA28" s="60"/>
      <c r="AB28" s="67">
        <f t="shared" si="67"/>
        <v>0</v>
      </c>
      <c r="AC28" s="60"/>
      <c r="AD28" s="67">
        <f t="shared" si="68"/>
        <v>0</v>
      </c>
      <c r="AE28" s="60"/>
      <c r="AF28" s="67">
        <f t="shared" si="69"/>
        <v>0</v>
      </c>
      <c r="AG28" s="60"/>
      <c r="AH28" s="67">
        <f t="shared" si="51"/>
        <v>0</v>
      </c>
      <c r="AI28" s="60"/>
      <c r="AJ28" s="67">
        <f t="shared" si="70"/>
        <v>0</v>
      </c>
      <c r="AK28" s="60"/>
      <c r="AL28" s="67">
        <f t="shared" si="52"/>
        <v>0</v>
      </c>
      <c r="AM28" s="60"/>
      <c r="AN28" s="67">
        <f t="shared" si="53"/>
        <v>0</v>
      </c>
      <c r="AO28" s="60"/>
      <c r="AP28" s="67">
        <f t="shared" si="54"/>
        <v>0</v>
      </c>
      <c r="AQ28" s="60"/>
      <c r="AR28" s="67">
        <f t="shared" si="71"/>
        <v>0</v>
      </c>
      <c r="AS28" s="60"/>
      <c r="AT28" s="67">
        <f t="shared" si="72"/>
        <v>0</v>
      </c>
      <c r="AU28" s="60"/>
      <c r="AV28" s="67">
        <f t="shared" si="73"/>
        <v>0</v>
      </c>
      <c r="AW28" s="60"/>
      <c r="AX28" s="67">
        <f t="shared" si="74"/>
        <v>0</v>
      </c>
      <c r="AY28" s="60"/>
      <c r="AZ28" s="67">
        <f t="shared" si="75"/>
        <v>0</v>
      </c>
      <c r="BA28" s="60"/>
      <c r="BB28" s="67">
        <f t="shared" si="76"/>
        <v>0</v>
      </c>
      <c r="BC28" s="60"/>
      <c r="BD28" s="67">
        <f t="shared" si="77"/>
        <v>0</v>
      </c>
      <c r="BE28" s="61"/>
      <c r="BF28" s="67">
        <f t="shared" si="55"/>
        <v>0</v>
      </c>
      <c r="BG28" s="62"/>
      <c r="BH28" s="67">
        <f t="shared" si="78"/>
        <v>0</v>
      </c>
      <c r="BI28" s="62"/>
      <c r="BJ28" s="67">
        <f t="shared" si="79"/>
        <v>0</v>
      </c>
      <c r="BK28" s="62"/>
      <c r="BL28" s="67">
        <f t="shared" si="80"/>
        <v>0</v>
      </c>
      <c r="BM28" s="62"/>
      <c r="BN28" s="67">
        <f t="shared" si="81"/>
        <v>0</v>
      </c>
      <c r="BO28" s="62"/>
      <c r="BP28" s="67">
        <f t="shared" si="82"/>
        <v>0</v>
      </c>
      <c r="BQ28" s="62"/>
      <c r="BR28" s="67">
        <f t="shared" si="56"/>
        <v>0</v>
      </c>
      <c r="BS28" s="62"/>
      <c r="BT28" s="67">
        <f t="shared" si="83"/>
        <v>0</v>
      </c>
      <c r="BU28" s="62"/>
      <c r="BV28" s="67">
        <f t="shared" si="57"/>
        <v>0</v>
      </c>
      <c r="BW28" s="62"/>
      <c r="BX28" s="67">
        <f t="shared" si="84"/>
        <v>0</v>
      </c>
      <c r="BY28" s="62"/>
      <c r="BZ28" s="67">
        <f t="shared" si="58"/>
        <v>0</v>
      </c>
      <c r="CA28" s="62"/>
      <c r="CB28" s="67">
        <f t="shared" si="59"/>
        <v>0</v>
      </c>
      <c r="CC28" s="62"/>
      <c r="CD28" s="67">
        <f t="shared" si="60"/>
        <v>0</v>
      </c>
      <c r="CE28" s="62"/>
      <c r="CF28" s="67">
        <f t="shared" si="61"/>
        <v>0</v>
      </c>
      <c r="CG28" s="62"/>
      <c r="CH28" s="67">
        <f t="shared" si="62"/>
        <v>0</v>
      </c>
      <c r="CI28" s="62"/>
      <c r="CJ28" s="67">
        <f t="shared" si="63"/>
        <v>0</v>
      </c>
      <c r="CK28" s="62"/>
      <c r="CL28" s="66">
        <f t="shared" si="64"/>
        <v>0</v>
      </c>
      <c r="CM28" s="67"/>
      <c r="CN28" s="64">
        <v>0</v>
      </c>
      <c r="CO28" s="64">
        <v>0</v>
      </c>
    </row>
    <row r="29" spans="1:93" ht="25.5" customHeight="1" thickBot="1" x14ac:dyDescent="0.45">
      <c r="A29" s="65">
        <v>43977</v>
      </c>
      <c r="B29" s="45"/>
      <c r="C29" s="60"/>
      <c r="D29" s="66">
        <f t="shared" si="42"/>
        <v>0</v>
      </c>
      <c r="E29" s="60"/>
      <c r="F29" s="66">
        <f t="shared" si="43"/>
        <v>0</v>
      </c>
      <c r="G29" s="60"/>
      <c r="H29" s="66">
        <f t="shared" si="44"/>
        <v>0</v>
      </c>
      <c r="I29" s="60"/>
      <c r="J29" s="66">
        <f t="shared" si="85"/>
        <v>0</v>
      </c>
      <c r="K29" s="60"/>
      <c r="L29" s="66">
        <f t="shared" si="45"/>
        <v>0</v>
      </c>
      <c r="M29" s="60"/>
      <c r="N29" s="66">
        <f t="shared" si="46"/>
        <v>0</v>
      </c>
      <c r="O29" s="60"/>
      <c r="P29" s="67">
        <f t="shared" si="47"/>
        <v>0</v>
      </c>
      <c r="Q29" s="60"/>
      <c r="R29" s="67">
        <f t="shared" si="48"/>
        <v>0</v>
      </c>
      <c r="S29" s="60"/>
      <c r="T29" s="67">
        <f t="shared" si="86"/>
        <v>0</v>
      </c>
      <c r="U29" s="60"/>
      <c r="V29" s="67">
        <f t="shared" si="50"/>
        <v>0</v>
      </c>
      <c r="W29" s="60"/>
      <c r="X29" s="67">
        <f t="shared" si="65"/>
        <v>0</v>
      </c>
      <c r="Y29" s="60"/>
      <c r="Z29" s="67">
        <f t="shared" si="66"/>
        <v>0</v>
      </c>
      <c r="AA29" s="60"/>
      <c r="AB29" s="67">
        <f t="shared" si="67"/>
        <v>0</v>
      </c>
      <c r="AC29" s="60"/>
      <c r="AD29" s="67">
        <f t="shared" si="68"/>
        <v>0</v>
      </c>
      <c r="AE29" s="60"/>
      <c r="AF29" s="67">
        <f t="shared" si="69"/>
        <v>0</v>
      </c>
      <c r="AG29" s="60"/>
      <c r="AH29" s="67">
        <f t="shared" si="51"/>
        <v>0</v>
      </c>
      <c r="AI29" s="60"/>
      <c r="AJ29" s="67">
        <f t="shared" si="70"/>
        <v>0</v>
      </c>
      <c r="AK29" s="60"/>
      <c r="AL29" s="67">
        <f t="shared" si="52"/>
        <v>0</v>
      </c>
      <c r="AM29" s="60"/>
      <c r="AN29" s="67">
        <f t="shared" si="53"/>
        <v>0</v>
      </c>
      <c r="AO29" s="60"/>
      <c r="AP29" s="67">
        <f t="shared" si="54"/>
        <v>0</v>
      </c>
      <c r="AQ29" s="60"/>
      <c r="AR29" s="67">
        <f t="shared" si="71"/>
        <v>0</v>
      </c>
      <c r="AS29" s="60"/>
      <c r="AT29" s="67">
        <f t="shared" si="72"/>
        <v>0</v>
      </c>
      <c r="AU29" s="60"/>
      <c r="AV29" s="67">
        <f t="shared" si="73"/>
        <v>0</v>
      </c>
      <c r="AW29" s="60"/>
      <c r="AX29" s="67">
        <f t="shared" si="74"/>
        <v>0</v>
      </c>
      <c r="AY29" s="60"/>
      <c r="AZ29" s="67">
        <f t="shared" si="75"/>
        <v>0</v>
      </c>
      <c r="BA29" s="60"/>
      <c r="BB29" s="67">
        <f t="shared" si="76"/>
        <v>0</v>
      </c>
      <c r="BC29" s="60"/>
      <c r="BD29" s="67">
        <f t="shared" si="77"/>
        <v>0</v>
      </c>
      <c r="BE29" s="61"/>
      <c r="BF29" s="67">
        <f t="shared" si="55"/>
        <v>0</v>
      </c>
      <c r="BG29" s="62"/>
      <c r="BH29" s="67">
        <f t="shared" si="78"/>
        <v>0</v>
      </c>
      <c r="BI29" s="62"/>
      <c r="BJ29" s="67">
        <f t="shared" si="79"/>
        <v>0</v>
      </c>
      <c r="BK29" s="62"/>
      <c r="BL29" s="67">
        <f t="shared" si="80"/>
        <v>0</v>
      </c>
      <c r="BM29" s="62"/>
      <c r="BN29" s="67">
        <f t="shared" si="81"/>
        <v>0</v>
      </c>
      <c r="BO29" s="62"/>
      <c r="BP29" s="67">
        <f t="shared" si="82"/>
        <v>0</v>
      </c>
      <c r="BQ29" s="62"/>
      <c r="BR29" s="67">
        <f t="shared" si="56"/>
        <v>0</v>
      </c>
      <c r="BS29" s="62"/>
      <c r="BT29" s="67">
        <f t="shared" si="83"/>
        <v>0</v>
      </c>
      <c r="BU29" s="62"/>
      <c r="BV29" s="67">
        <f t="shared" si="57"/>
        <v>0</v>
      </c>
      <c r="BW29" s="62"/>
      <c r="BX29" s="67">
        <f t="shared" si="84"/>
        <v>0</v>
      </c>
      <c r="BY29" s="62"/>
      <c r="BZ29" s="67">
        <f t="shared" si="58"/>
        <v>0</v>
      </c>
      <c r="CA29" s="62"/>
      <c r="CB29" s="67">
        <f t="shared" si="59"/>
        <v>0</v>
      </c>
      <c r="CC29" s="62"/>
      <c r="CD29" s="67">
        <f t="shared" si="60"/>
        <v>0</v>
      </c>
      <c r="CE29" s="62"/>
      <c r="CF29" s="67">
        <f t="shared" si="61"/>
        <v>0</v>
      </c>
      <c r="CG29" s="62"/>
      <c r="CH29" s="67">
        <f t="shared" si="62"/>
        <v>0</v>
      </c>
      <c r="CI29" s="62"/>
      <c r="CJ29" s="67">
        <f t="shared" si="63"/>
        <v>0</v>
      </c>
      <c r="CK29" s="62"/>
      <c r="CL29" s="66">
        <f t="shared" si="64"/>
        <v>0</v>
      </c>
      <c r="CM29" s="67"/>
      <c r="CN29" s="64">
        <v>0</v>
      </c>
      <c r="CO29" s="64">
        <v>0</v>
      </c>
    </row>
    <row r="30" spans="1:93" ht="25.5" customHeight="1" thickBot="1" x14ac:dyDescent="0.45">
      <c r="A30" s="65">
        <v>43978</v>
      </c>
      <c r="B30" s="45"/>
      <c r="C30" s="60"/>
      <c r="D30" s="66">
        <f t="shared" si="42"/>
        <v>0</v>
      </c>
      <c r="E30" s="60"/>
      <c r="F30" s="66">
        <f t="shared" si="43"/>
        <v>0</v>
      </c>
      <c r="G30" s="60"/>
      <c r="H30" s="66">
        <f t="shared" si="44"/>
        <v>0</v>
      </c>
      <c r="I30" s="60"/>
      <c r="J30" s="66">
        <f t="shared" si="85"/>
        <v>0</v>
      </c>
      <c r="K30" s="60"/>
      <c r="L30" s="66">
        <f t="shared" si="45"/>
        <v>0</v>
      </c>
      <c r="M30" s="60"/>
      <c r="N30" s="66">
        <f t="shared" si="46"/>
        <v>0</v>
      </c>
      <c r="O30" s="60"/>
      <c r="P30" s="67">
        <f t="shared" si="47"/>
        <v>0</v>
      </c>
      <c r="Q30" s="60"/>
      <c r="R30" s="67">
        <f t="shared" si="48"/>
        <v>0</v>
      </c>
      <c r="S30" s="60"/>
      <c r="T30" s="67">
        <f t="shared" si="86"/>
        <v>0</v>
      </c>
      <c r="U30" s="60"/>
      <c r="V30" s="67">
        <f t="shared" si="50"/>
        <v>0</v>
      </c>
      <c r="W30" s="60"/>
      <c r="X30" s="67">
        <f t="shared" si="65"/>
        <v>0</v>
      </c>
      <c r="Y30" s="60"/>
      <c r="Z30" s="67">
        <f t="shared" si="66"/>
        <v>0</v>
      </c>
      <c r="AA30" s="60"/>
      <c r="AB30" s="67">
        <f t="shared" si="67"/>
        <v>0</v>
      </c>
      <c r="AC30" s="60"/>
      <c r="AD30" s="67">
        <f t="shared" si="68"/>
        <v>0</v>
      </c>
      <c r="AE30" s="60"/>
      <c r="AF30" s="67">
        <f t="shared" si="69"/>
        <v>0</v>
      </c>
      <c r="AG30" s="60"/>
      <c r="AH30" s="67">
        <f t="shared" si="51"/>
        <v>0</v>
      </c>
      <c r="AI30" s="60"/>
      <c r="AJ30" s="67">
        <f t="shared" si="70"/>
        <v>0</v>
      </c>
      <c r="AK30" s="60"/>
      <c r="AL30" s="67">
        <f t="shared" si="52"/>
        <v>0</v>
      </c>
      <c r="AM30" s="60"/>
      <c r="AN30" s="67">
        <f t="shared" si="53"/>
        <v>0</v>
      </c>
      <c r="AO30" s="60"/>
      <c r="AP30" s="67">
        <f t="shared" si="54"/>
        <v>0</v>
      </c>
      <c r="AQ30" s="60"/>
      <c r="AR30" s="67">
        <f t="shared" si="71"/>
        <v>0</v>
      </c>
      <c r="AS30" s="60"/>
      <c r="AT30" s="67">
        <f t="shared" si="72"/>
        <v>0</v>
      </c>
      <c r="AU30" s="60"/>
      <c r="AV30" s="67">
        <f t="shared" si="73"/>
        <v>0</v>
      </c>
      <c r="AW30" s="60"/>
      <c r="AX30" s="67">
        <f t="shared" si="74"/>
        <v>0</v>
      </c>
      <c r="AY30" s="60"/>
      <c r="AZ30" s="67">
        <f t="shared" si="75"/>
        <v>0</v>
      </c>
      <c r="BA30" s="60"/>
      <c r="BB30" s="67">
        <f t="shared" si="76"/>
        <v>0</v>
      </c>
      <c r="BC30" s="60"/>
      <c r="BD30" s="67">
        <f t="shared" si="77"/>
        <v>0</v>
      </c>
      <c r="BE30" s="61"/>
      <c r="BF30" s="67">
        <f t="shared" si="55"/>
        <v>0</v>
      </c>
      <c r="BG30" s="62"/>
      <c r="BH30" s="67">
        <f t="shared" si="78"/>
        <v>0</v>
      </c>
      <c r="BI30" s="62"/>
      <c r="BJ30" s="67">
        <f t="shared" si="79"/>
        <v>0</v>
      </c>
      <c r="BK30" s="62"/>
      <c r="BL30" s="67">
        <f t="shared" si="80"/>
        <v>0</v>
      </c>
      <c r="BM30" s="62"/>
      <c r="BN30" s="67">
        <f t="shared" si="81"/>
        <v>0</v>
      </c>
      <c r="BO30" s="62"/>
      <c r="BP30" s="67">
        <f t="shared" si="82"/>
        <v>0</v>
      </c>
      <c r="BQ30" s="62"/>
      <c r="BR30" s="67">
        <f t="shared" si="56"/>
        <v>0</v>
      </c>
      <c r="BS30" s="62"/>
      <c r="BT30" s="67">
        <f t="shared" si="83"/>
        <v>0</v>
      </c>
      <c r="BU30" s="62"/>
      <c r="BV30" s="67">
        <f t="shared" si="57"/>
        <v>0</v>
      </c>
      <c r="BW30" s="62"/>
      <c r="BX30" s="67">
        <f t="shared" si="84"/>
        <v>0</v>
      </c>
      <c r="BY30" s="62"/>
      <c r="BZ30" s="67">
        <f t="shared" si="58"/>
        <v>0</v>
      </c>
      <c r="CA30" s="62"/>
      <c r="CB30" s="67">
        <f t="shared" si="59"/>
        <v>0</v>
      </c>
      <c r="CC30" s="62"/>
      <c r="CD30" s="67">
        <f t="shared" si="60"/>
        <v>0</v>
      </c>
      <c r="CE30" s="62"/>
      <c r="CF30" s="67">
        <f t="shared" si="61"/>
        <v>0</v>
      </c>
      <c r="CG30" s="62"/>
      <c r="CH30" s="67">
        <f t="shared" si="62"/>
        <v>0</v>
      </c>
      <c r="CI30" s="62"/>
      <c r="CJ30" s="67">
        <f t="shared" si="63"/>
        <v>0</v>
      </c>
      <c r="CK30" s="62"/>
      <c r="CL30" s="66">
        <f t="shared" si="64"/>
        <v>0</v>
      </c>
      <c r="CM30" s="67"/>
      <c r="CN30" s="64">
        <v>0</v>
      </c>
      <c r="CO30" s="64">
        <v>0</v>
      </c>
    </row>
    <row r="31" spans="1:93" ht="25.5" customHeight="1" thickBot="1" x14ac:dyDescent="0.45">
      <c r="A31" s="65">
        <v>43979</v>
      </c>
      <c r="B31" s="68"/>
      <c r="C31" s="60"/>
      <c r="D31" s="66">
        <f t="shared" si="42"/>
        <v>0</v>
      </c>
      <c r="E31" s="60"/>
      <c r="F31" s="66">
        <f t="shared" si="43"/>
        <v>0</v>
      </c>
      <c r="G31" s="60"/>
      <c r="H31" s="66">
        <f t="shared" si="44"/>
        <v>0</v>
      </c>
      <c r="I31" s="60"/>
      <c r="J31" s="66">
        <f t="shared" si="85"/>
        <v>0</v>
      </c>
      <c r="K31" s="60"/>
      <c r="L31" s="66">
        <f t="shared" si="45"/>
        <v>0</v>
      </c>
      <c r="M31" s="60"/>
      <c r="N31" s="66">
        <f t="shared" si="46"/>
        <v>0</v>
      </c>
      <c r="O31" s="60"/>
      <c r="P31" s="69">
        <f t="shared" si="47"/>
        <v>0</v>
      </c>
      <c r="Q31" s="60"/>
      <c r="R31" s="69">
        <f t="shared" si="48"/>
        <v>0</v>
      </c>
      <c r="S31" s="60"/>
      <c r="T31" s="69">
        <f t="shared" si="86"/>
        <v>0</v>
      </c>
      <c r="U31" s="60"/>
      <c r="V31" s="69">
        <f t="shared" si="50"/>
        <v>0</v>
      </c>
      <c r="W31" s="60"/>
      <c r="X31" s="67">
        <f t="shared" si="65"/>
        <v>0</v>
      </c>
      <c r="Y31" s="60"/>
      <c r="Z31" s="67">
        <f t="shared" si="66"/>
        <v>0</v>
      </c>
      <c r="AA31" s="60"/>
      <c r="AB31" s="67">
        <f t="shared" si="67"/>
        <v>0</v>
      </c>
      <c r="AC31" s="60"/>
      <c r="AD31" s="67">
        <f t="shared" si="68"/>
        <v>0</v>
      </c>
      <c r="AE31" s="60"/>
      <c r="AF31" s="67">
        <f t="shared" si="69"/>
        <v>0</v>
      </c>
      <c r="AG31" s="60"/>
      <c r="AH31" s="69">
        <f t="shared" si="51"/>
        <v>0</v>
      </c>
      <c r="AI31" s="60"/>
      <c r="AJ31" s="67">
        <f t="shared" si="70"/>
        <v>0</v>
      </c>
      <c r="AK31" s="60"/>
      <c r="AL31" s="67">
        <f t="shared" si="52"/>
        <v>0</v>
      </c>
      <c r="AM31" s="60"/>
      <c r="AN31" s="67">
        <f t="shared" si="53"/>
        <v>0</v>
      </c>
      <c r="AO31" s="60"/>
      <c r="AP31" s="67">
        <f t="shared" si="54"/>
        <v>0</v>
      </c>
      <c r="AQ31" s="60"/>
      <c r="AR31" s="67">
        <f t="shared" si="71"/>
        <v>0</v>
      </c>
      <c r="AS31" s="60"/>
      <c r="AT31" s="67">
        <f t="shared" si="72"/>
        <v>0</v>
      </c>
      <c r="AU31" s="60"/>
      <c r="AV31" s="67">
        <f t="shared" si="73"/>
        <v>0</v>
      </c>
      <c r="AW31" s="60"/>
      <c r="AX31" s="67">
        <f t="shared" si="74"/>
        <v>0</v>
      </c>
      <c r="AY31" s="60"/>
      <c r="AZ31" s="67">
        <f t="shared" si="75"/>
        <v>0</v>
      </c>
      <c r="BA31" s="60"/>
      <c r="BB31" s="67">
        <f t="shared" si="76"/>
        <v>0</v>
      </c>
      <c r="BC31" s="60"/>
      <c r="BD31" s="67">
        <f t="shared" si="77"/>
        <v>0</v>
      </c>
      <c r="BE31" s="61"/>
      <c r="BF31" s="69">
        <f t="shared" si="55"/>
        <v>0</v>
      </c>
      <c r="BG31" s="62"/>
      <c r="BH31" s="67">
        <f t="shared" si="78"/>
        <v>0</v>
      </c>
      <c r="BI31" s="62"/>
      <c r="BJ31" s="67">
        <f t="shared" si="79"/>
        <v>0</v>
      </c>
      <c r="BK31" s="62"/>
      <c r="BL31" s="67">
        <f t="shared" si="80"/>
        <v>0</v>
      </c>
      <c r="BM31" s="62"/>
      <c r="BN31" s="67">
        <f t="shared" si="81"/>
        <v>0</v>
      </c>
      <c r="BO31" s="62"/>
      <c r="BP31" s="67">
        <f t="shared" si="82"/>
        <v>0</v>
      </c>
      <c r="BQ31" s="62"/>
      <c r="BR31" s="67">
        <f t="shared" si="56"/>
        <v>0</v>
      </c>
      <c r="BS31" s="62"/>
      <c r="BT31" s="67">
        <f t="shared" si="83"/>
        <v>0</v>
      </c>
      <c r="BU31" s="62"/>
      <c r="BV31" s="67">
        <f t="shared" si="57"/>
        <v>0</v>
      </c>
      <c r="BW31" s="62"/>
      <c r="BX31" s="67">
        <f t="shared" si="84"/>
        <v>0</v>
      </c>
      <c r="BY31" s="62"/>
      <c r="BZ31" s="67">
        <f t="shared" si="58"/>
        <v>0</v>
      </c>
      <c r="CA31" s="62"/>
      <c r="CB31" s="69">
        <f t="shared" si="59"/>
        <v>0</v>
      </c>
      <c r="CC31" s="62"/>
      <c r="CD31" s="69">
        <f t="shared" si="60"/>
        <v>0</v>
      </c>
      <c r="CE31" s="62"/>
      <c r="CF31" s="69">
        <f t="shared" si="61"/>
        <v>0</v>
      </c>
      <c r="CG31" s="62"/>
      <c r="CH31" s="69">
        <f t="shared" si="62"/>
        <v>0</v>
      </c>
      <c r="CI31" s="62"/>
      <c r="CJ31" s="69">
        <f t="shared" si="63"/>
        <v>0</v>
      </c>
      <c r="CK31" s="62"/>
      <c r="CL31" s="66">
        <f t="shared" si="64"/>
        <v>0</v>
      </c>
      <c r="CM31" s="67"/>
      <c r="CN31" s="64">
        <v>0</v>
      </c>
      <c r="CO31" s="64">
        <v>0</v>
      </c>
    </row>
    <row r="32" spans="1:93" ht="25.5" customHeight="1" thickBot="1" x14ac:dyDescent="0.45">
      <c r="A32" s="65">
        <v>43980</v>
      </c>
      <c r="B32" s="70"/>
      <c r="C32" s="60"/>
      <c r="D32" s="66">
        <f t="shared" si="42"/>
        <v>0</v>
      </c>
      <c r="E32" s="60"/>
      <c r="F32" s="66">
        <f t="shared" si="43"/>
        <v>0</v>
      </c>
      <c r="G32" s="60"/>
      <c r="H32" s="66">
        <f t="shared" si="44"/>
        <v>0</v>
      </c>
      <c r="I32" s="60"/>
      <c r="J32" s="66">
        <f t="shared" si="85"/>
        <v>0</v>
      </c>
      <c r="K32" s="60"/>
      <c r="L32" s="66">
        <f t="shared" si="45"/>
        <v>0</v>
      </c>
      <c r="M32" s="60"/>
      <c r="N32" s="66">
        <f t="shared" si="46"/>
        <v>0</v>
      </c>
      <c r="O32" s="60"/>
      <c r="P32" s="69">
        <f t="shared" si="47"/>
        <v>0</v>
      </c>
      <c r="Q32" s="60"/>
      <c r="R32" s="69">
        <f t="shared" si="48"/>
        <v>0</v>
      </c>
      <c r="S32" s="60"/>
      <c r="T32" s="69">
        <f t="shared" si="86"/>
        <v>0</v>
      </c>
      <c r="U32" s="60"/>
      <c r="V32" s="69">
        <f t="shared" si="50"/>
        <v>0</v>
      </c>
      <c r="W32" s="60"/>
      <c r="X32" s="67">
        <f t="shared" si="65"/>
        <v>0</v>
      </c>
      <c r="Y32" s="60"/>
      <c r="Z32" s="67">
        <f t="shared" si="66"/>
        <v>0</v>
      </c>
      <c r="AA32" s="60"/>
      <c r="AB32" s="67">
        <f t="shared" si="67"/>
        <v>0</v>
      </c>
      <c r="AC32" s="60"/>
      <c r="AD32" s="67">
        <f t="shared" si="68"/>
        <v>0</v>
      </c>
      <c r="AE32" s="60"/>
      <c r="AF32" s="67">
        <f t="shared" si="69"/>
        <v>0</v>
      </c>
      <c r="AG32" s="60"/>
      <c r="AH32" s="69">
        <f t="shared" si="51"/>
        <v>0</v>
      </c>
      <c r="AI32" s="60"/>
      <c r="AJ32" s="67">
        <f t="shared" si="70"/>
        <v>0</v>
      </c>
      <c r="AK32" s="60"/>
      <c r="AL32" s="67">
        <f t="shared" si="52"/>
        <v>0</v>
      </c>
      <c r="AM32" s="60"/>
      <c r="AN32" s="67">
        <f t="shared" si="53"/>
        <v>0</v>
      </c>
      <c r="AO32" s="60"/>
      <c r="AP32" s="67">
        <f t="shared" si="54"/>
        <v>0</v>
      </c>
      <c r="AQ32" s="60"/>
      <c r="AR32" s="67">
        <f t="shared" si="71"/>
        <v>0</v>
      </c>
      <c r="AS32" s="60"/>
      <c r="AT32" s="67">
        <f t="shared" si="72"/>
        <v>0</v>
      </c>
      <c r="AU32" s="60"/>
      <c r="AV32" s="67">
        <f t="shared" si="73"/>
        <v>0</v>
      </c>
      <c r="AW32" s="60"/>
      <c r="AX32" s="67">
        <f t="shared" si="74"/>
        <v>0</v>
      </c>
      <c r="AY32" s="60"/>
      <c r="AZ32" s="67">
        <f t="shared" si="75"/>
        <v>0</v>
      </c>
      <c r="BA32" s="60"/>
      <c r="BB32" s="67">
        <f t="shared" si="76"/>
        <v>0</v>
      </c>
      <c r="BC32" s="60"/>
      <c r="BD32" s="67">
        <f t="shared" si="77"/>
        <v>0</v>
      </c>
      <c r="BE32" s="61"/>
      <c r="BF32" s="69">
        <f t="shared" si="55"/>
        <v>0</v>
      </c>
      <c r="BG32" s="62"/>
      <c r="BH32" s="67">
        <f t="shared" si="78"/>
        <v>0</v>
      </c>
      <c r="BI32" s="62"/>
      <c r="BJ32" s="67">
        <f t="shared" si="79"/>
        <v>0</v>
      </c>
      <c r="BK32" s="62"/>
      <c r="BL32" s="67">
        <f t="shared" si="80"/>
        <v>0</v>
      </c>
      <c r="BM32" s="62"/>
      <c r="BN32" s="67">
        <f t="shared" si="81"/>
        <v>0</v>
      </c>
      <c r="BO32" s="62"/>
      <c r="BP32" s="67">
        <f t="shared" si="82"/>
        <v>0</v>
      </c>
      <c r="BQ32" s="62"/>
      <c r="BR32" s="67">
        <f t="shared" si="56"/>
        <v>0</v>
      </c>
      <c r="BS32" s="62"/>
      <c r="BT32" s="67">
        <f t="shared" si="83"/>
        <v>0</v>
      </c>
      <c r="BU32" s="62"/>
      <c r="BV32" s="67">
        <f t="shared" si="57"/>
        <v>0</v>
      </c>
      <c r="BW32" s="62"/>
      <c r="BX32" s="67">
        <f t="shared" si="84"/>
        <v>0</v>
      </c>
      <c r="BY32" s="62"/>
      <c r="BZ32" s="67">
        <f t="shared" si="58"/>
        <v>0</v>
      </c>
      <c r="CA32" s="62"/>
      <c r="CB32" s="69">
        <f t="shared" si="59"/>
        <v>0</v>
      </c>
      <c r="CC32" s="62"/>
      <c r="CD32" s="69">
        <f t="shared" si="60"/>
        <v>0</v>
      </c>
      <c r="CE32" s="62"/>
      <c r="CF32" s="69">
        <f t="shared" si="61"/>
        <v>0</v>
      </c>
      <c r="CG32" s="62"/>
      <c r="CH32" s="69">
        <f t="shared" si="62"/>
        <v>0</v>
      </c>
      <c r="CI32" s="62"/>
      <c r="CJ32" s="69">
        <f t="shared" si="63"/>
        <v>0</v>
      </c>
      <c r="CK32" s="62"/>
      <c r="CL32" s="66">
        <f t="shared" si="64"/>
        <v>0</v>
      </c>
      <c r="CM32" s="67"/>
      <c r="CN32" s="64">
        <v>0</v>
      </c>
      <c r="CO32" s="64">
        <v>0</v>
      </c>
    </row>
    <row r="33" spans="1:93" ht="25.5" customHeight="1" thickBot="1" x14ac:dyDescent="0.45">
      <c r="A33" s="65">
        <v>43981</v>
      </c>
      <c r="B33" s="70"/>
      <c r="C33" s="60"/>
      <c r="D33" s="66">
        <f t="shared" si="42"/>
        <v>0</v>
      </c>
      <c r="E33" s="60"/>
      <c r="F33" s="66">
        <f t="shared" si="43"/>
        <v>0</v>
      </c>
      <c r="G33" s="60"/>
      <c r="H33" s="66">
        <f t="shared" si="44"/>
        <v>0</v>
      </c>
      <c r="I33" s="60"/>
      <c r="J33" s="66">
        <f t="shared" si="85"/>
        <v>0</v>
      </c>
      <c r="K33" s="60"/>
      <c r="L33" s="66">
        <f t="shared" si="45"/>
        <v>0</v>
      </c>
      <c r="M33" s="60"/>
      <c r="N33" s="66">
        <f t="shared" si="46"/>
        <v>0</v>
      </c>
      <c r="O33" s="60"/>
      <c r="P33" s="69">
        <f>IF((O33-O32&lt;0), "",O33-O32)</f>
        <v>0</v>
      </c>
      <c r="Q33" s="60"/>
      <c r="R33" s="69">
        <f t="shared" si="48"/>
        <v>0</v>
      </c>
      <c r="S33" s="60"/>
      <c r="T33" s="69">
        <f t="shared" si="86"/>
        <v>0</v>
      </c>
      <c r="U33" s="60"/>
      <c r="V33" s="69">
        <f t="shared" si="50"/>
        <v>0</v>
      </c>
      <c r="W33" s="60"/>
      <c r="X33" s="67">
        <f t="shared" si="65"/>
        <v>0</v>
      </c>
      <c r="Y33" s="60"/>
      <c r="Z33" s="67">
        <f t="shared" si="66"/>
        <v>0</v>
      </c>
      <c r="AA33" s="60"/>
      <c r="AB33" s="67">
        <f t="shared" si="67"/>
        <v>0</v>
      </c>
      <c r="AC33" s="60"/>
      <c r="AD33" s="67">
        <f t="shared" si="68"/>
        <v>0</v>
      </c>
      <c r="AE33" s="60"/>
      <c r="AF33" s="67">
        <f t="shared" si="69"/>
        <v>0</v>
      </c>
      <c r="AG33" s="60"/>
      <c r="AH33" s="69">
        <f t="shared" si="51"/>
        <v>0</v>
      </c>
      <c r="AI33" s="60"/>
      <c r="AJ33" s="67">
        <f t="shared" si="70"/>
        <v>0</v>
      </c>
      <c r="AK33" s="60"/>
      <c r="AL33" s="67">
        <f t="shared" si="52"/>
        <v>0</v>
      </c>
      <c r="AM33" s="60"/>
      <c r="AN33" s="67">
        <f t="shared" si="53"/>
        <v>0</v>
      </c>
      <c r="AO33" s="60"/>
      <c r="AP33" s="67">
        <f t="shared" si="54"/>
        <v>0</v>
      </c>
      <c r="AQ33" s="60"/>
      <c r="AR33" s="67">
        <f t="shared" si="71"/>
        <v>0</v>
      </c>
      <c r="AS33" s="60"/>
      <c r="AT33" s="67">
        <f t="shared" si="72"/>
        <v>0</v>
      </c>
      <c r="AU33" s="60"/>
      <c r="AV33" s="67">
        <f t="shared" si="73"/>
        <v>0</v>
      </c>
      <c r="AW33" s="60"/>
      <c r="AX33" s="67">
        <f t="shared" si="74"/>
        <v>0</v>
      </c>
      <c r="AY33" s="60"/>
      <c r="AZ33" s="67">
        <f t="shared" si="75"/>
        <v>0</v>
      </c>
      <c r="BA33" s="60"/>
      <c r="BB33" s="67">
        <f t="shared" si="76"/>
        <v>0</v>
      </c>
      <c r="BC33" s="60"/>
      <c r="BD33" s="67">
        <f t="shared" si="77"/>
        <v>0</v>
      </c>
      <c r="BE33" s="61"/>
      <c r="BF33" s="69">
        <f t="shared" si="55"/>
        <v>0</v>
      </c>
      <c r="BG33" s="62"/>
      <c r="BH33" s="67">
        <f t="shared" si="78"/>
        <v>0</v>
      </c>
      <c r="BI33" s="62"/>
      <c r="BJ33" s="67">
        <f t="shared" si="79"/>
        <v>0</v>
      </c>
      <c r="BK33" s="62"/>
      <c r="BL33" s="67">
        <f t="shared" si="80"/>
        <v>0</v>
      </c>
      <c r="BM33" s="62"/>
      <c r="BN33" s="67">
        <f t="shared" si="81"/>
        <v>0</v>
      </c>
      <c r="BO33" s="62"/>
      <c r="BP33" s="67">
        <f t="shared" si="82"/>
        <v>0</v>
      </c>
      <c r="BQ33" s="62"/>
      <c r="BR33" s="67">
        <f t="shared" si="56"/>
        <v>0</v>
      </c>
      <c r="BS33" s="62"/>
      <c r="BT33" s="67">
        <f t="shared" si="83"/>
        <v>0</v>
      </c>
      <c r="BU33" s="62"/>
      <c r="BV33" s="67">
        <f t="shared" si="57"/>
        <v>0</v>
      </c>
      <c r="BW33" s="62"/>
      <c r="BX33" s="67">
        <f t="shared" si="84"/>
        <v>0</v>
      </c>
      <c r="BY33" s="62"/>
      <c r="BZ33" s="67">
        <f t="shared" si="58"/>
        <v>0</v>
      </c>
      <c r="CA33" s="62"/>
      <c r="CB33" s="69">
        <f t="shared" si="59"/>
        <v>0</v>
      </c>
      <c r="CC33" s="62"/>
      <c r="CD33" s="69">
        <f t="shared" si="60"/>
        <v>0</v>
      </c>
      <c r="CE33" s="62"/>
      <c r="CF33" s="69">
        <f t="shared" si="61"/>
        <v>0</v>
      </c>
      <c r="CG33" s="62"/>
      <c r="CH33" s="69">
        <f t="shared" si="62"/>
        <v>0</v>
      </c>
      <c r="CI33" s="62"/>
      <c r="CJ33" s="69">
        <f t="shared" si="63"/>
        <v>0</v>
      </c>
      <c r="CK33" s="62"/>
      <c r="CL33" s="66">
        <f t="shared" si="64"/>
        <v>0</v>
      </c>
      <c r="CM33" s="67"/>
      <c r="CN33" s="64">
        <v>0</v>
      </c>
      <c r="CO33" s="64">
        <v>0</v>
      </c>
    </row>
    <row r="34" spans="1:93" ht="25.5" customHeight="1" thickBot="1" x14ac:dyDescent="0.45">
      <c r="A34" s="65">
        <v>43982</v>
      </c>
      <c r="B34" s="70"/>
      <c r="C34" s="60"/>
      <c r="D34" s="66">
        <f t="shared" si="42"/>
        <v>0</v>
      </c>
      <c r="E34" s="60"/>
      <c r="F34" s="66">
        <f t="shared" si="43"/>
        <v>0</v>
      </c>
      <c r="G34" s="60"/>
      <c r="H34" s="66">
        <f t="shared" si="44"/>
        <v>0</v>
      </c>
      <c r="I34" s="60"/>
      <c r="J34" s="66">
        <f t="shared" si="85"/>
        <v>0</v>
      </c>
      <c r="K34" s="60"/>
      <c r="L34" s="66">
        <f t="shared" si="45"/>
        <v>0</v>
      </c>
      <c r="M34" s="60"/>
      <c r="N34" s="66">
        <f t="shared" si="46"/>
        <v>0</v>
      </c>
      <c r="O34" s="60"/>
      <c r="P34" s="69">
        <f>IF((O34-O33&lt;0), "",O34-O33)</f>
        <v>0</v>
      </c>
      <c r="Q34" s="60"/>
      <c r="R34" s="69">
        <f t="shared" si="48"/>
        <v>0</v>
      </c>
      <c r="S34" s="60"/>
      <c r="T34" s="69">
        <f t="shared" si="86"/>
        <v>0</v>
      </c>
      <c r="U34" s="60"/>
      <c r="V34" s="69">
        <f t="shared" si="50"/>
        <v>0</v>
      </c>
      <c r="W34" s="60"/>
      <c r="X34" s="67">
        <f t="shared" si="65"/>
        <v>0</v>
      </c>
      <c r="Y34" s="60"/>
      <c r="Z34" s="67">
        <f t="shared" si="66"/>
        <v>0</v>
      </c>
      <c r="AA34" s="60"/>
      <c r="AB34" s="67">
        <f t="shared" si="67"/>
        <v>0</v>
      </c>
      <c r="AC34" s="60"/>
      <c r="AD34" s="67">
        <f t="shared" si="68"/>
        <v>0</v>
      </c>
      <c r="AE34" s="60"/>
      <c r="AF34" s="67">
        <f t="shared" si="69"/>
        <v>0</v>
      </c>
      <c r="AG34" s="60"/>
      <c r="AH34" s="69">
        <f t="shared" si="51"/>
        <v>0</v>
      </c>
      <c r="AI34" s="60"/>
      <c r="AJ34" s="67">
        <f t="shared" si="70"/>
        <v>0</v>
      </c>
      <c r="AK34" s="60"/>
      <c r="AL34" s="67">
        <f t="shared" si="52"/>
        <v>0</v>
      </c>
      <c r="AM34" s="60"/>
      <c r="AN34" s="67">
        <f t="shared" si="53"/>
        <v>0</v>
      </c>
      <c r="AO34" s="60"/>
      <c r="AP34" s="67">
        <f t="shared" si="54"/>
        <v>0</v>
      </c>
      <c r="AQ34" s="60"/>
      <c r="AR34" s="67">
        <f t="shared" si="71"/>
        <v>0</v>
      </c>
      <c r="AS34" s="60"/>
      <c r="AT34" s="67">
        <f t="shared" si="72"/>
        <v>0</v>
      </c>
      <c r="AU34" s="60"/>
      <c r="AV34" s="67">
        <f t="shared" si="73"/>
        <v>0</v>
      </c>
      <c r="AW34" s="60"/>
      <c r="AX34" s="67">
        <f t="shared" si="74"/>
        <v>0</v>
      </c>
      <c r="AY34" s="60"/>
      <c r="AZ34" s="67">
        <f t="shared" si="75"/>
        <v>0</v>
      </c>
      <c r="BA34" s="60"/>
      <c r="BB34" s="67">
        <f t="shared" si="76"/>
        <v>0</v>
      </c>
      <c r="BC34" s="60"/>
      <c r="BD34" s="67">
        <f t="shared" si="77"/>
        <v>0</v>
      </c>
      <c r="BE34" s="61"/>
      <c r="BF34" s="69">
        <f>IF((BE34-BE33&lt;0), "",BE34-BE33)</f>
        <v>0</v>
      </c>
      <c r="BG34" s="62"/>
      <c r="BH34" s="67">
        <f t="shared" si="78"/>
        <v>0</v>
      </c>
      <c r="BI34" s="62"/>
      <c r="BJ34" s="67">
        <f t="shared" si="79"/>
        <v>0</v>
      </c>
      <c r="BK34" s="62"/>
      <c r="BL34" s="67">
        <f t="shared" si="80"/>
        <v>0</v>
      </c>
      <c r="BM34" s="62"/>
      <c r="BN34" s="67">
        <f t="shared" si="81"/>
        <v>0</v>
      </c>
      <c r="BO34" s="62"/>
      <c r="BP34" s="67">
        <f t="shared" si="82"/>
        <v>0</v>
      </c>
      <c r="BQ34" s="62"/>
      <c r="BR34" s="67">
        <f t="shared" si="56"/>
        <v>0</v>
      </c>
      <c r="BS34" s="62"/>
      <c r="BT34" s="67">
        <f t="shared" si="83"/>
        <v>0</v>
      </c>
      <c r="BU34" s="62"/>
      <c r="BV34" s="67">
        <f t="shared" si="57"/>
        <v>0</v>
      </c>
      <c r="BW34" s="62"/>
      <c r="BX34" s="67">
        <f t="shared" si="84"/>
        <v>0</v>
      </c>
      <c r="BY34" s="62"/>
      <c r="BZ34" s="69">
        <f t="shared" si="58"/>
        <v>0</v>
      </c>
      <c r="CA34" s="62"/>
      <c r="CB34" s="69">
        <f t="shared" si="59"/>
        <v>0</v>
      </c>
      <c r="CC34" s="62"/>
      <c r="CD34" s="69">
        <f t="shared" si="60"/>
        <v>0</v>
      </c>
      <c r="CE34" s="62"/>
      <c r="CF34" s="69">
        <f t="shared" si="61"/>
        <v>0</v>
      </c>
      <c r="CG34" s="62"/>
      <c r="CH34" s="69">
        <f t="shared" si="62"/>
        <v>0</v>
      </c>
      <c r="CI34" s="62"/>
      <c r="CJ34" s="69">
        <f t="shared" si="63"/>
        <v>0</v>
      </c>
      <c r="CK34" s="62"/>
      <c r="CL34" s="66">
        <f t="shared" si="64"/>
        <v>0</v>
      </c>
      <c r="CM34" s="67"/>
      <c r="CN34" s="64">
        <v>0</v>
      </c>
      <c r="CO34" s="64">
        <v>0</v>
      </c>
    </row>
    <row r="35" spans="1:93" ht="21.75" x14ac:dyDescent="0.4">
      <c r="P35" s="71">
        <f>SUM(P4:P33)</f>
        <v>20</v>
      </c>
      <c r="R35" s="71"/>
      <c r="AX35" s="67">
        <f t="shared" si="74"/>
        <v>0</v>
      </c>
      <c r="BF35" s="71">
        <f>SUM(BF4:BF33)</f>
        <v>280</v>
      </c>
      <c r="BJ35" s="67">
        <f t="shared" si="79"/>
        <v>0</v>
      </c>
      <c r="BL35" s="67">
        <f t="shared" si="80"/>
        <v>0</v>
      </c>
      <c r="BT35" s="67">
        <f t="shared" si="83"/>
        <v>0</v>
      </c>
      <c r="BV35" s="67">
        <f t="shared" si="57"/>
        <v>0</v>
      </c>
    </row>
    <row r="36" spans="1:93" ht="21.75" x14ac:dyDescent="0.4">
      <c r="AX36" s="67">
        <f t="shared" si="74"/>
        <v>0</v>
      </c>
    </row>
    <row r="37" spans="1:93" ht="22.5" thickBot="1" x14ac:dyDescent="0.45">
      <c r="AX37" s="67">
        <f t="shared" si="74"/>
        <v>0</v>
      </c>
    </row>
    <row r="38" spans="1:93" ht="19.5" thickBot="1" x14ac:dyDescent="0.35">
      <c r="Q38" s="60"/>
      <c r="T38" s="60"/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13" zoomScaleNormal="100" workbookViewId="0">
      <selection activeCell="B22" sqref="B22:D39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79" t="s">
        <v>0</v>
      </c>
      <c r="B4" s="82" t="s">
        <v>53</v>
      </c>
      <c r="C4" s="82" t="s">
        <v>54</v>
      </c>
      <c r="D4" s="85" t="s">
        <v>55</v>
      </c>
      <c r="E4" s="88" t="s">
        <v>56</v>
      </c>
      <c r="F4" s="89"/>
      <c r="G4" s="89"/>
      <c r="H4" s="89"/>
      <c r="I4" s="89"/>
      <c r="J4" s="90"/>
      <c r="K4" s="98" t="s">
        <v>57</v>
      </c>
      <c r="L4" s="99"/>
      <c r="M4" s="100"/>
      <c r="N4" s="91" t="s">
        <v>36</v>
      </c>
      <c r="O4" s="91"/>
      <c r="P4" s="91"/>
      <c r="Q4" s="91"/>
    </row>
    <row r="5" spans="1:17" ht="33.75" customHeight="1" x14ac:dyDescent="0.25">
      <c r="A5" s="80"/>
      <c r="B5" s="83"/>
      <c r="C5" s="83"/>
      <c r="D5" s="86"/>
      <c r="E5" s="88" t="s">
        <v>58</v>
      </c>
      <c r="F5" s="90"/>
      <c r="G5" s="88" t="s">
        <v>59</v>
      </c>
      <c r="H5" s="90"/>
      <c r="I5" s="88" t="s">
        <v>60</v>
      </c>
      <c r="J5" s="90"/>
      <c r="K5" s="92" t="s">
        <v>61</v>
      </c>
      <c r="L5" s="93"/>
      <c r="M5" s="94"/>
      <c r="N5" s="95" t="s">
        <v>62</v>
      </c>
      <c r="O5" s="96"/>
      <c r="P5" s="96"/>
      <c r="Q5" s="97"/>
    </row>
    <row r="6" spans="1:17" x14ac:dyDescent="0.25">
      <c r="A6" s="81"/>
      <c r="B6" s="84"/>
      <c r="C6" s="84"/>
      <c r="D6" s="87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>
        <v>43951</v>
      </c>
      <c r="B7" s="41">
        <v>0</v>
      </c>
      <c r="C7" s="41">
        <v>0</v>
      </c>
      <c r="D7" s="41">
        <v>0</v>
      </c>
      <c r="E7" s="42">
        <v>15</v>
      </c>
      <c r="F7" s="42">
        <v>4775</v>
      </c>
      <c r="G7" s="42">
        <v>0</v>
      </c>
      <c r="H7" s="42">
        <v>1374</v>
      </c>
      <c r="I7" s="42">
        <v>85</v>
      </c>
      <c r="J7" s="42">
        <v>273</v>
      </c>
      <c r="K7" s="43">
        <v>85</v>
      </c>
      <c r="L7" s="43">
        <v>45</v>
      </c>
      <c r="M7" s="43">
        <v>1152</v>
      </c>
      <c r="N7" s="40">
        <v>82</v>
      </c>
      <c r="O7" s="40">
        <v>0</v>
      </c>
      <c r="P7" s="40">
        <v>0</v>
      </c>
      <c r="Q7" s="40">
        <v>2383</v>
      </c>
    </row>
    <row r="8" spans="1:17" x14ac:dyDescent="0.25">
      <c r="A8" s="27">
        <v>43952</v>
      </c>
      <c r="B8" s="41">
        <v>0</v>
      </c>
      <c r="C8" s="41">
        <v>0</v>
      </c>
      <c r="D8" s="41">
        <v>0</v>
      </c>
      <c r="E8" s="42">
        <v>15</v>
      </c>
      <c r="F8" s="42">
        <v>4775</v>
      </c>
      <c r="G8" s="42">
        <v>0</v>
      </c>
      <c r="H8" s="42">
        <v>1374</v>
      </c>
      <c r="I8" s="42">
        <v>85</v>
      </c>
      <c r="J8" s="42">
        <v>273</v>
      </c>
      <c r="K8" s="43">
        <v>85</v>
      </c>
      <c r="L8" s="43">
        <v>45</v>
      </c>
      <c r="M8" s="43">
        <v>1152</v>
      </c>
      <c r="N8" s="40">
        <v>78</v>
      </c>
      <c r="O8" s="40">
        <v>0</v>
      </c>
      <c r="P8" s="40">
        <v>0</v>
      </c>
      <c r="Q8" s="40">
        <v>2388</v>
      </c>
    </row>
    <row r="9" spans="1:17" x14ac:dyDescent="0.25">
      <c r="A9" s="27">
        <v>43953</v>
      </c>
      <c r="B9" s="41">
        <v>0</v>
      </c>
      <c r="C9" s="41">
        <v>0</v>
      </c>
      <c r="D9" s="41">
        <v>0</v>
      </c>
      <c r="E9" s="42">
        <v>15</v>
      </c>
      <c r="F9" s="42">
        <v>4775</v>
      </c>
      <c r="G9" s="42">
        <v>0</v>
      </c>
      <c r="H9" s="42">
        <v>1374</v>
      </c>
      <c r="I9" s="42">
        <v>85</v>
      </c>
      <c r="J9" s="42">
        <v>273</v>
      </c>
      <c r="K9" s="43">
        <v>85</v>
      </c>
      <c r="L9" s="43">
        <v>45</v>
      </c>
      <c r="M9" s="43">
        <v>1152</v>
      </c>
      <c r="N9" s="40">
        <v>68</v>
      </c>
      <c r="O9" s="40">
        <v>0</v>
      </c>
      <c r="P9" s="40">
        <v>0</v>
      </c>
      <c r="Q9" s="40">
        <v>2396</v>
      </c>
    </row>
    <row r="10" spans="1:17" x14ac:dyDescent="0.25">
      <c r="A10" s="27">
        <v>43954</v>
      </c>
      <c r="B10" s="41">
        <v>0</v>
      </c>
      <c r="C10" s="41">
        <v>0</v>
      </c>
      <c r="D10" s="41">
        <v>0</v>
      </c>
      <c r="E10" s="42">
        <v>15</v>
      </c>
      <c r="F10" s="42">
        <v>4775</v>
      </c>
      <c r="G10" s="42">
        <v>0</v>
      </c>
      <c r="H10" s="42">
        <v>1374</v>
      </c>
      <c r="I10" s="42">
        <v>85</v>
      </c>
      <c r="J10" s="42">
        <v>273</v>
      </c>
      <c r="K10" s="43">
        <v>85</v>
      </c>
      <c r="L10" s="43">
        <v>45</v>
      </c>
      <c r="M10" s="43">
        <v>1152</v>
      </c>
      <c r="N10" s="40">
        <v>65</v>
      </c>
      <c r="O10" s="40">
        <v>0</v>
      </c>
      <c r="P10" s="40">
        <v>0</v>
      </c>
      <c r="Q10" s="40">
        <v>2400</v>
      </c>
    </row>
    <row r="11" spans="1:17" x14ac:dyDescent="0.25">
      <c r="A11" s="27">
        <v>43955</v>
      </c>
      <c r="B11" s="41">
        <v>0</v>
      </c>
      <c r="C11" s="41">
        <v>0</v>
      </c>
      <c r="D11" s="41">
        <v>0</v>
      </c>
      <c r="E11" s="42">
        <v>15</v>
      </c>
      <c r="F11" s="42">
        <v>4775</v>
      </c>
      <c r="G11" s="42">
        <v>0</v>
      </c>
      <c r="H11" s="42">
        <v>1374</v>
      </c>
      <c r="I11" s="42">
        <v>85</v>
      </c>
      <c r="J11" s="42">
        <v>273</v>
      </c>
      <c r="K11" s="43">
        <v>85</v>
      </c>
      <c r="L11" s="43">
        <v>45</v>
      </c>
      <c r="M11" s="43">
        <v>1152</v>
      </c>
      <c r="N11" s="40">
        <v>61</v>
      </c>
      <c r="O11" s="40">
        <v>0</v>
      </c>
      <c r="P11" s="40">
        <v>0</v>
      </c>
      <c r="Q11" s="40">
        <v>2404</v>
      </c>
    </row>
    <row r="12" spans="1:17" x14ac:dyDescent="0.25">
      <c r="A12" s="27">
        <v>43956</v>
      </c>
      <c r="B12" s="41">
        <v>0</v>
      </c>
      <c r="C12" s="41">
        <v>0</v>
      </c>
      <c r="D12" s="41">
        <v>0</v>
      </c>
      <c r="E12" s="42">
        <v>15</v>
      </c>
      <c r="F12" s="42">
        <v>4775</v>
      </c>
      <c r="G12" s="42">
        <v>0</v>
      </c>
      <c r="H12" s="42">
        <v>1374</v>
      </c>
      <c r="I12" s="42">
        <v>85</v>
      </c>
      <c r="J12" s="42">
        <v>273</v>
      </c>
      <c r="K12" s="43">
        <v>85</v>
      </c>
      <c r="L12" s="43">
        <v>45</v>
      </c>
      <c r="M12" s="43">
        <v>1152</v>
      </c>
      <c r="N12" s="40">
        <v>55</v>
      </c>
      <c r="O12" s="40">
        <v>0</v>
      </c>
      <c r="P12" s="40">
        <v>0</v>
      </c>
      <c r="Q12" s="40">
        <v>2408</v>
      </c>
    </row>
    <row r="13" spans="1:17" x14ac:dyDescent="0.25">
      <c r="A13" s="27">
        <v>43957</v>
      </c>
      <c r="B13" s="41">
        <v>0</v>
      </c>
      <c r="C13" s="41">
        <v>0</v>
      </c>
      <c r="D13" s="41">
        <v>0</v>
      </c>
      <c r="E13" s="42">
        <v>15</v>
      </c>
      <c r="F13" s="42">
        <v>4775</v>
      </c>
      <c r="G13" s="42">
        <v>0</v>
      </c>
      <c r="H13" s="42">
        <v>1374</v>
      </c>
      <c r="I13" s="42">
        <v>85</v>
      </c>
      <c r="J13" s="42">
        <v>273</v>
      </c>
      <c r="K13" s="43">
        <v>85</v>
      </c>
      <c r="L13" s="43">
        <v>45</v>
      </c>
      <c r="M13" s="43">
        <v>1152</v>
      </c>
      <c r="N13" s="40">
        <v>50</v>
      </c>
      <c r="O13" s="40">
        <v>0</v>
      </c>
      <c r="P13" s="40">
        <v>0</v>
      </c>
      <c r="Q13" s="40">
        <v>2412</v>
      </c>
    </row>
    <row r="14" spans="1:17" x14ac:dyDescent="0.25">
      <c r="A14" s="27">
        <v>43958</v>
      </c>
      <c r="B14" s="41">
        <v>0</v>
      </c>
      <c r="C14" s="41">
        <v>0</v>
      </c>
      <c r="D14" s="41">
        <v>0</v>
      </c>
      <c r="E14" s="42">
        <v>15</v>
      </c>
      <c r="F14" s="42">
        <v>4775</v>
      </c>
      <c r="G14" s="42">
        <v>0</v>
      </c>
      <c r="H14" s="42">
        <v>1374</v>
      </c>
      <c r="I14" s="42">
        <v>85</v>
      </c>
      <c r="J14" s="42">
        <v>273</v>
      </c>
      <c r="K14" s="43">
        <v>85</v>
      </c>
      <c r="L14" s="43">
        <v>45</v>
      </c>
      <c r="M14" s="43">
        <v>1152</v>
      </c>
      <c r="N14" s="40">
        <v>45</v>
      </c>
      <c r="O14" s="40">
        <v>0</v>
      </c>
      <c r="P14" s="40">
        <v>0</v>
      </c>
      <c r="Q14" s="40">
        <v>2416</v>
      </c>
    </row>
    <row r="15" spans="1:17" x14ac:dyDescent="0.25">
      <c r="A15" s="27">
        <v>43959</v>
      </c>
      <c r="B15" s="41">
        <v>0</v>
      </c>
      <c r="C15" s="41">
        <v>0</v>
      </c>
      <c r="D15" s="41">
        <v>0</v>
      </c>
      <c r="E15" s="42">
        <v>15</v>
      </c>
      <c r="F15" s="42">
        <v>4775</v>
      </c>
      <c r="G15" s="42">
        <v>0</v>
      </c>
      <c r="H15" s="42">
        <v>1374</v>
      </c>
      <c r="I15" s="42">
        <v>85</v>
      </c>
      <c r="J15" s="42">
        <v>273</v>
      </c>
      <c r="K15" s="43">
        <v>85</v>
      </c>
      <c r="L15" s="43">
        <v>45</v>
      </c>
      <c r="M15" s="43">
        <v>1152</v>
      </c>
      <c r="N15" s="40">
        <v>40</v>
      </c>
      <c r="O15" s="40">
        <v>0</v>
      </c>
      <c r="P15" s="40">
        <v>0</v>
      </c>
      <c r="Q15" s="40">
        <v>2420</v>
      </c>
    </row>
    <row r="16" spans="1:17" x14ac:dyDescent="0.25">
      <c r="A16" s="27">
        <v>43960</v>
      </c>
      <c r="B16" s="41">
        <v>0</v>
      </c>
      <c r="C16" s="41">
        <v>0</v>
      </c>
      <c r="D16" s="41">
        <v>0</v>
      </c>
      <c r="E16" s="42"/>
      <c r="F16" s="42"/>
      <c r="G16" s="42"/>
      <c r="H16" s="42"/>
      <c r="I16" s="42"/>
      <c r="J16" s="42"/>
      <c r="K16" s="43"/>
      <c r="L16" s="43"/>
      <c r="M16" s="43"/>
      <c r="N16" s="40"/>
      <c r="O16" s="40"/>
      <c r="P16" s="40"/>
      <c r="Q16" s="40"/>
    </row>
    <row r="17" spans="1:17" x14ac:dyDescent="0.25">
      <c r="A17" s="27">
        <v>43961</v>
      </c>
      <c r="B17" s="41">
        <v>0</v>
      </c>
      <c r="C17" s="41">
        <v>0</v>
      </c>
      <c r="D17" s="41">
        <v>0</v>
      </c>
      <c r="E17" s="42"/>
      <c r="F17" s="42"/>
      <c r="G17" s="42"/>
      <c r="H17" s="42"/>
      <c r="I17" s="42"/>
      <c r="J17" s="42"/>
      <c r="K17" s="43"/>
      <c r="L17" s="43"/>
      <c r="M17" s="43"/>
      <c r="N17" s="40"/>
      <c r="O17" s="40"/>
      <c r="P17" s="40"/>
      <c r="Q17" s="40"/>
    </row>
    <row r="18" spans="1:17" x14ac:dyDescent="0.25">
      <c r="A18" s="27">
        <v>43962</v>
      </c>
      <c r="B18" s="41">
        <v>0</v>
      </c>
      <c r="C18" s="41">
        <v>0</v>
      </c>
      <c r="D18" s="41">
        <v>0</v>
      </c>
      <c r="E18" s="42"/>
      <c r="F18" s="42"/>
      <c r="G18" s="42"/>
      <c r="H18" s="42"/>
      <c r="I18" s="42"/>
      <c r="J18" s="42"/>
      <c r="K18" s="43"/>
      <c r="L18" s="43"/>
      <c r="M18" s="43"/>
      <c r="N18" s="40"/>
      <c r="O18" s="40"/>
      <c r="P18" s="40"/>
      <c r="Q18" s="40"/>
    </row>
    <row r="19" spans="1:17" x14ac:dyDescent="0.25">
      <c r="A19" s="27">
        <v>43963</v>
      </c>
      <c r="B19" s="41">
        <v>0</v>
      </c>
      <c r="C19" s="41">
        <v>0</v>
      </c>
      <c r="D19" s="41">
        <v>0</v>
      </c>
      <c r="E19" s="42"/>
      <c r="F19" s="42"/>
      <c r="G19" s="42"/>
      <c r="H19" s="42"/>
      <c r="I19" s="42"/>
      <c r="J19" s="42"/>
      <c r="K19" s="43"/>
      <c r="L19" s="43"/>
      <c r="M19" s="43"/>
      <c r="N19" s="40"/>
      <c r="O19" s="40"/>
      <c r="P19" s="40"/>
      <c r="Q19" s="40"/>
    </row>
    <row r="20" spans="1:17" x14ac:dyDescent="0.25">
      <c r="A20" s="27">
        <v>43964</v>
      </c>
      <c r="B20" s="41">
        <v>0</v>
      </c>
      <c r="C20" s="41">
        <v>0</v>
      </c>
      <c r="D20" s="41">
        <v>0</v>
      </c>
      <c r="E20" s="42"/>
      <c r="F20" s="42"/>
      <c r="G20" s="42"/>
      <c r="H20" s="42"/>
      <c r="I20" s="42"/>
      <c r="J20" s="42"/>
      <c r="K20" s="43"/>
      <c r="L20" s="43"/>
      <c r="M20" s="43"/>
      <c r="N20" s="40"/>
      <c r="O20" s="40"/>
      <c r="P20" s="40"/>
      <c r="Q20" s="40"/>
    </row>
    <row r="21" spans="1:17" x14ac:dyDescent="0.25">
      <c r="A21" s="27">
        <v>43965</v>
      </c>
      <c r="B21" s="41">
        <v>0</v>
      </c>
      <c r="C21" s="41">
        <v>0</v>
      </c>
      <c r="D21" s="41">
        <v>0</v>
      </c>
      <c r="E21" s="42"/>
      <c r="F21" s="42"/>
      <c r="G21" s="42"/>
      <c r="H21" s="42"/>
      <c r="I21" s="42"/>
      <c r="J21" s="42"/>
      <c r="K21" s="43"/>
      <c r="L21" s="43"/>
      <c r="M21" s="43"/>
      <c r="N21" s="40"/>
      <c r="O21" s="40"/>
      <c r="P21" s="40"/>
      <c r="Q21" s="40"/>
    </row>
    <row r="22" spans="1:17" x14ac:dyDescent="0.25">
      <c r="A22" s="27">
        <v>43966</v>
      </c>
      <c r="B22" s="41">
        <v>0</v>
      </c>
      <c r="C22" s="41">
        <v>0</v>
      </c>
      <c r="D22" s="41">
        <v>0</v>
      </c>
      <c r="E22" s="42"/>
      <c r="F22" s="42"/>
      <c r="G22" s="42"/>
      <c r="H22" s="42"/>
      <c r="I22" s="42"/>
      <c r="J22" s="42"/>
      <c r="K22" s="43"/>
      <c r="L22" s="43"/>
      <c r="M22" s="43"/>
      <c r="N22" s="40"/>
      <c r="O22" s="40"/>
      <c r="P22" s="40"/>
      <c r="Q22" s="40"/>
    </row>
    <row r="23" spans="1:17" x14ac:dyDescent="0.25">
      <c r="A23" s="27">
        <v>43967</v>
      </c>
      <c r="B23" s="41">
        <v>0</v>
      </c>
      <c r="C23" s="41">
        <v>0</v>
      </c>
      <c r="D23" s="41">
        <v>0</v>
      </c>
      <c r="E23" s="42"/>
      <c r="F23" s="42"/>
      <c r="G23" s="42"/>
      <c r="H23" s="42"/>
      <c r="I23" s="42"/>
      <c r="J23" s="42"/>
      <c r="K23" s="43"/>
      <c r="L23" s="43"/>
      <c r="M23" s="43"/>
      <c r="N23" s="40"/>
      <c r="O23" s="40"/>
      <c r="P23" s="40"/>
      <c r="Q23" s="40"/>
    </row>
    <row r="24" spans="1:17" x14ac:dyDescent="0.25">
      <c r="A24" s="27">
        <v>43968</v>
      </c>
      <c r="B24" s="41">
        <v>0</v>
      </c>
      <c r="C24" s="41">
        <v>0</v>
      </c>
      <c r="D24" s="41">
        <v>0</v>
      </c>
      <c r="E24" s="42"/>
      <c r="F24" s="42"/>
      <c r="G24" s="42"/>
      <c r="H24" s="42"/>
      <c r="I24" s="42"/>
      <c r="J24" s="42"/>
      <c r="K24" s="43"/>
      <c r="L24" s="43"/>
      <c r="M24" s="43"/>
      <c r="N24" s="40"/>
      <c r="O24" s="40"/>
      <c r="P24" s="40"/>
      <c r="Q24" s="40"/>
    </row>
    <row r="25" spans="1:17" x14ac:dyDescent="0.25">
      <c r="A25" s="27">
        <v>43969</v>
      </c>
      <c r="B25" s="41">
        <v>0</v>
      </c>
      <c r="C25" s="41">
        <v>0</v>
      </c>
      <c r="D25" s="41">
        <v>0</v>
      </c>
      <c r="E25" s="42"/>
      <c r="F25" s="42"/>
      <c r="G25" s="42"/>
      <c r="H25" s="42"/>
      <c r="I25" s="42"/>
      <c r="J25" s="42"/>
      <c r="K25" s="43"/>
      <c r="L25" s="43"/>
      <c r="M25" s="43"/>
      <c r="N25" s="40"/>
      <c r="O25" s="40"/>
      <c r="P25" s="40"/>
      <c r="Q25" s="40"/>
    </row>
    <row r="26" spans="1:17" x14ac:dyDescent="0.25">
      <c r="A26" s="27">
        <v>43970</v>
      </c>
      <c r="B26" s="41">
        <v>0</v>
      </c>
      <c r="C26" s="41">
        <v>0</v>
      </c>
      <c r="D26" s="41">
        <v>0</v>
      </c>
      <c r="E26" s="42"/>
      <c r="F26" s="42"/>
      <c r="G26" s="42"/>
      <c r="H26" s="42"/>
      <c r="I26" s="42"/>
      <c r="J26" s="42"/>
      <c r="K26" s="43"/>
      <c r="L26" s="43"/>
      <c r="M26" s="43"/>
      <c r="N26" s="40"/>
      <c r="O26" s="40"/>
      <c r="P26" s="40"/>
      <c r="Q26" s="40"/>
    </row>
    <row r="27" spans="1:17" x14ac:dyDescent="0.25">
      <c r="A27" s="27">
        <v>43971</v>
      </c>
      <c r="B27" s="41">
        <v>0</v>
      </c>
      <c r="C27" s="41">
        <v>0</v>
      </c>
      <c r="D27" s="41">
        <v>0</v>
      </c>
      <c r="E27" s="42"/>
      <c r="F27" s="42"/>
      <c r="G27" s="42"/>
      <c r="H27" s="42"/>
      <c r="I27" s="42"/>
      <c r="J27" s="42"/>
      <c r="K27" s="43"/>
      <c r="L27" s="43"/>
      <c r="M27" s="43"/>
      <c r="N27" s="40"/>
      <c r="O27" s="40"/>
      <c r="P27" s="40"/>
      <c r="Q27" s="40"/>
    </row>
    <row r="28" spans="1:17" x14ac:dyDescent="0.25">
      <c r="A28" s="27">
        <v>43972</v>
      </c>
      <c r="B28" s="41">
        <v>0</v>
      </c>
      <c r="C28" s="41">
        <v>0</v>
      </c>
      <c r="D28" s="41">
        <v>0</v>
      </c>
      <c r="E28" s="42"/>
      <c r="F28" s="42"/>
      <c r="G28" s="42"/>
      <c r="H28" s="42"/>
      <c r="I28" s="42"/>
      <c r="J28" s="42"/>
      <c r="K28" s="43"/>
      <c r="L28" s="43"/>
      <c r="M28" s="43"/>
      <c r="N28" s="40"/>
      <c r="O28" s="40"/>
      <c r="P28" s="40"/>
      <c r="Q28" s="40"/>
    </row>
    <row r="29" spans="1:17" x14ac:dyDescent="0.25">
      <c r="A29" s="27">
        <v>43973</v>
      </c>
      <c r="B29" s="41">
        <v>0</v>
      </c>
      <c r="C29" s="41">
        <v>0</v>
      </c>
      <c r="D29" s="41">
        <v>0</v>
      </c>
      <c r="E29" s="42"/>
      <c r="F29" s="42"/>
      <c r="G29" s="42"/>
      <c r="H29" s="42"/>
      <c r="I29" s="42"/>
      <c r="J29" s="42"/>
      <c r="K29" s="43"/>
      <c r="L29" s="43"/>
      <c r="M29" s="43"/>
      <c r="N29" s="40"/>
      <c r="O29" s="40"/>
      <c r="P29" s="40"/>
      <c r="Q29" s="40"/>
    </row>
    <row r="30" spans="1:17" x14ac:dyDescent="0.25">
      <c r="A30" s="27">
        <v>43974</v>
      </c>
      <c r="B30" s="41">
        <v>0</v>
      </c>
      <c r="C30" s="41">
        <v>0</v>
      </c>
      <c r="D30" s="41">
        <v>0</v>
      </c>
      <c r="E30" s="42"/>
      <c r="F30" s="42"/>
      <c r="G30" s="42"/>
      <c r="H30" s="42"/>
      <c r="I30" s="42"/>
      <c r="J30" s="42"/>
      <c r="K30" s="43"/>
      <c r="L30" s="43"/>
      <c r="M30" s="43"/>
      <c r="N30" s="40"/>
      <c r="O30" s="40"/>
      <c r="P30" s="40"/>
      <c r="Q30" s="40"/>
    </row>
    <row r="31" spans="1:17" x14ac:dyDescent="0.25">
      <c r="A31" s="27">
        <v>43975</v>
      </c>
      <c r="B31" s="41">
        <v>0</v>
      </c>
      <c r="C31" s="41">
        <v>0</v>
      </c>
      <c r="D31" s="41">
        <v>0</v>
      </c>
      <c r="E31" s="42"/>
      <c r="F31" s="42"/>
      <c r="G31" s="42"/>
      <c r="H31" s="42"/>
      <c r="I31" s="42"/>
      <c r="J31" s="42"/>
      <c r="K31" s="43"/>
      <c r="L31" s="43"/>
      <c r="M31" s="43"/>
      <c r="N31" s="40"/>
      <c r="O31" s="40"/>
      <c r="P31" s="40"/>
      <c r="Q31" s="40"/>
    </row>
    <row r="32" spans="1:17" x14ac:dyDescent="0.25">
      <c r="A32" s="27">
        <v>43976</v>
      </c>
      <c r="B32" s="41">
        <v>0</v>
      </c>
      <c r="C32" s="41">
        <v>0</v>
      </c>
      <c r="D32" s="41">
        <v>0</v>
      </c>
      <c r="E32" s="42"/>
      <c r="F32" s="42"/>
      <c r="G32" s="42"/>
      <c r="H32" s="42"/>
      <c r="I32" s="42"/>
      <c r="J32" s="42"/>
      <c r="K32" s="43"/>
      <c r="L32" s="43"/>
      <c r="M32" s="43"/>
      <c r="N32" s="40"/>
      <c r="O32" s="40"/>
      <c r="P32" s="40"/>
      <c r="Q32" s="40"/>
    </row>
    <row r="33" spans="1:17" x14ac:dyDescent="0.25">
      <c r="A33" s="27">
        <v>43977</v>
      </c>
      <c r="B33" s="41">
        <v>0</v>
      </c>
      <c r="C33" s="41">
        <v>0</v>
      </c>
      <c r="D33" s="41">
        <v>0</v>
      </c>
      <c r="E33" s="42"/>
      <c r="F33" s="42"/>
      <c r="G33" s="42"/>
      <c r="H33" s="42"/>
      <c r="I33" s="42"/>
      <c r="J33" s="42"/>
      <c r="K33" s="43"/>
      <c r="L33" s="43"/>
      <c r="M33" s="43"/>
      <c r="N33" s="40"/>
      <c r="O33" s="40"/>
      <c r="P33" s="40"/>
      <c r="Q33" s="40"/>
    </row>
    <row r="34" spans="1:17" x14ac:dyDescent="0.25">
      <c r="A34" s="27">
        <v>43978</v>
      </c>
      <c r="B34" s="41">
        <v>0</v>
      </c>
      <c r="C34" s="41">
        <v>0</v>
      </c>
      <c r="D34" s="41">
        <v>0</v>
      </c>
      <c r="E34" s="42"/>
      <c r="F34" s="42"/>
      <c r="G34" s="42"/>
      <c r="H34" s="42"/>
      <c r="I34" s="42"/>
      <c r="J34" s="42"/>
      <c r="K34" s="43"/>
      <c r="L34" s="43"/>
      <c r="M34" s="43"/>
      <c r="N34" s="40"/>
      <c r="O34" s="40"/>
      <c r="P34" s="40"/>
      <c r="Q34" s="40"/>
    </row>
    <row r="35" spans="1:17" x14ac:dyDescent="0.25">
      <c r="A35" s="27">
        <v>43979</v>
      </c>
      <c r="B35" s="41">
        <v>0</v>
      </c>
      <c r="C35" s="41">
        <v>0</v>
      </c>
      <c r="D35" s="41">
        <v>0</v>
      </c>
      <c r="E35" s="42"/>
      <c r="F35" s="42"/>
      <c r="G35" s="42"/>
      <c r="H35" s="42"/>
      <c r="I35" s="42"/>
      <c r="J35" s="42"/>
      <c r="K35" s="43"/>
      <c r="L35" s="43"/>
      <c r="M35" s="43"/>
      <c r="N35" s="40"/>
      <c r="O35" s="40"/>
      <c r="P35" s="40"/>
      <c r="Q35" s="40"/>
    </row>
    <row r="36" spans="1:17" x14ac:dyDescent="0.25">
      <c r="A36" s="27">
        <v>43980</v>
      </c>
      <c r="B36" s="41">
        <v>0</v>
      </c>
      <c r="C36" s="41">
        <v>0</v>
      </c>
      <c r="D36" s="41">
        <v>0</v>
      </c>
      <c r="E36" s="42"/>
      <c r="F36" s="42"/>
      <c r="G36" s="42"/>
      <c r="H36" s="42"/>
      <c r="I36" s="42"/>
      <c r="J36" s="42"/>
      <c r="K36" s="43"/>
      <c r="L36" s="43"/>
      <c r="M36" s="43"/>
      <c r="N36" s="40"/>
      <c r="O36" s="40"/>
      <c r="P36" s="40"/>
      <c r="Q36" s="40"/>
    </row>
    <row r="37" spans="1:17" x14ac:dyDescent="0.25">
      <c r="A37" s="27">
        <v>43981</v>
      </c>
      <c r="B37" s="41">
        <v>0</v>
      </c>
      <c r="C37" s="41">
        <v>0</v>
      </c>
      <c r="D37" s="41">
        <v>0</v>
      </c>
      <c r="E37" s="42"/>
      <c r="F37" s="42"/>
      <c r="G37" s="42"/>
      <c r="H37" s="42"/>
      <c r="I37" s="42"/>
      <c r="J37" s="42"/>
      <c r="K37" s="43"/>
      <c r="L37" s="43"/>
      <c r="M37" s="43"/>
      <c r="N37" s="40"/>
      <c r="O37" s="40"/>
      <c r="P37" s="40"/>
      <c r="Q37" s="40"/>
    </row>
    <row r="38" spans="1:17" x14ac:dyDescent="0.25">
      <c r="A38" s="27">
        <v>43982</v>
      </c>
      <c r="B38" s="41">
        <v>0</v>
      </c>
      <c r="C38" s="41">
        <v>0</v>
      </c>
      <c r="D38" s="41">
        <v>0</v>
      </c>
      <c r="E38" s="42"/>
      <c r="F38" s="42"/>
      <c r="G38" s="42"/>
      <c r="H38" s="42"/>
      <c r="I38" s="42"/>
      <c r="J38" s="42"/>
      <c r="K38" s="43"/>
      <c r="L38" s="43"/>
      <c r="M38" s="43"/>
      <c r="N38" s="40"/>
      <c r="O38" s="40"/>
      <c r="P38" s="40"/>
      <c r="Q38" s="40"/>
    </row>
    <row r="39" spans="1:17" x14ac:dyDescent="0.25">
      <c r="A39" s="27">
        <v>43983</v>
      </c>
      <c r="B39" s="41">
        <v>0</v>
      </c>
      <c r="C39" s="41">
        <v>0</v>
      </c>
      <c r="D39" s="41">
        <v>0</v>
      </c>
      <c r="E39" s="42"/>
      <c r="F39" s="42"/>
      <c r="G39" s="42"/>
      <c r="H39" s="42"/>
      <c r="I39" s="42"/>
      <c r="J39" s="42"/>
      <c r="K39" s="43"/>
      <c r="L39" s="43"/>
      <c r="M39" s="43"/>
      <c r="N39" s="40"/>
      <c r="O39" s="40"/>
      <c r="P39" s="40"/>
      <c r="Q39" s="40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2020-05-09T15:02:42Z</dcterms:modified>
</cp:coreProperties>
</file>