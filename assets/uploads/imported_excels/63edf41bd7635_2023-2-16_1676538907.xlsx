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96208F70-BAFC-4441-852A-BB7C9A2B2E71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2" l="1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G32" i="21" s="1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E17" i="21" s="1"/>
  <c r="L26" i="2"/>
  <c r="L27" i="2"/>
  <c r="L28" i="2"/>
  <c r="L29" i="2"/>
  <c r="E21" i="21" s="1"/>
  <c r="L30" i="2"/>
  <c r="L31" i="2"/>
  <c r="L32" i="2"/>
  <c r="L33" i="2"/>
  <c r="L34" i="2"/>
  <c r="E26" i="21" s="1"/>
  <c r="L35" i="2"/>
  <c r="L36" i="2"/>
  <c r="L37" i="2"/>
  <c r="L38" i="2"/>
  <c r="L39" i="2"/>
  <c r="L40" i="2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F32" i="21" s="1"/>
  <c r="I4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11" i="6"/>
  <c r="E12" i="6"/>
  <c r="E13" i="6"/>
  <c r="E14" i="6"/>
  <c r="E15" i="6"/>
  <c r="E16" i="6"/>
  <c r="E17" i="6"/>
  <c r="E18" i="6"/>
  <c r="F19" i="2" s="1"/>
  <c r="E19" i="6"/>
  <c r="E20" i="6"/>
  <c r="E21" i="6"/>
  <c r="E22" i="6"/>
  <c r="F23" i="2" s="1"/>
  <c r="E23" i="6"/>
  <c r="E24" i="6"/>
  <c r="F25" i="2" s="1"/>
  <c r="E25" i="6"/>
  <c r="E26" i="6"/>
  <c r="F27" i="2" s="1"/>
  <c r="E27" i="6"/>
  <c r="E28" i="6"/>
  <c r="E29" i="6"/>
  <c r="E30" i="6"/>
  <c r="F31" i="2" s="1"/>
  <c r="E31" i="6"/>
  <c r="E32" i="6"/>
  <c r="F33" i="2" s="1"/>
  <c r="E33" i="6"/>
  <c r="E34" i="6"/>
  <c r="F35" i="2" s="1"/>
  <c r="E35" i="6"/>
  <c r="E36" i="6"/>
  <c r="E37" i="6"/>
  <c r="E38" i="6"/>
  <c r="F39" i="2" s="1"/>
  <c r="E39" i="6"/>
  <c r="E40" i="6"/>
  <c r="F20" i="2"/>
  <c r="F21" i="2"/>
  <c r="F22" i="2"/>
  <c r="F24" i="2"/>
  <c r="F26" i="2"/>
  <c r="F28" i="2"/>
  <c r="F29" i="2"/>
  <c r="F30" i="2"/>
  <c r="F32" i="2"/>
  <c r="F34" i="2"/>
  <c r="F36" i="2"/>
  <c r="F37" i="2"/>
  <c r="F38" i="2"/>
  <c r="F40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B32" i="22"/>
  <c r="I32" i="21"/>
  <c r="H32" i="21"/>
  <c r="B32" i="21"/>
  <c r="F3" i="21"/>
  <c r="E14" i="21"/>
  <c r="E15" i="21"/>
  <c r="E16" i="21"/>
  <c r="E25" i="21"/>
  <c r="E32" i="21"/>
  <c r="E28" i="21"/>
  <c r="E22" i="21"/>
  <c r="E23" i="21"/>
  <c r="E24" i="21"/>
  <c r="E29" i="21"/>
  <c r="E30" i="21"/>
  <c r="E31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G3" i="2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E3" i="21" l="1"/>
  <c r="E20" i="21"/>
  <c r="E27" i="21"/>
  <c r="E19" i="21"/>
  <c r="E18" i="21"/>
  <c r="M48" i="4" l="1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4" i="4"/>
  <c r="C40" i="6"/>
  <c r="C39" i="6"/>
  <c r="G31" i="21"/>
  <c r="C38" i="6"/>
  <c r="G30" i="21"/>
  <c r="C37" i="6"/>
  <c r="G29" i="21"/>
  <c r="Q37" i="2"/>
  <c r="C36" i="6"/>
  <c r="G28" i="21"/>
  <c r="C35" i="6"/>
  <c r="G27" i="21"/>
  <c r="C34" i="6"/>
  <c r="Q39" i="2"/>
  <c r="G26" i="21"/>
  <c r="C33" i="6"/>
  <c r="G23" i="21"/>
  <c r="G24" i="21"/>
  <c r="G25" i="21"/>
  <c r="C32" i="6"/>
  <c r="C30" i="6"/>
  <c r="C31" i="6"/>
  <c r="G22" i="21"/>
  <c r="C29" i="6"/>
  <c r="G21" i="21"/>
  <c r="C28" i="6"/>
  <c r="G20" i="21"/>
  <c r="C27" i="6"/>
  <c r="G19" i="21"/>
  <c r="C26" i="6"/>
  <c r="G18" i="21"/>
  <c r="C25" i="6"/>
  <c r="G17" i="21"/>
  <c r="C24" i="6"/>
  <c r="G16" i="21"/>
  <c r="C23" i="6"/>
  <c r="G15" i="21"/>
  <c r="C22" i="6"/>
  <c r="G14" i="21"/>
  <c r="C21" i="6"/>
  <c r="V16" i="2"/>
  <c r="V17" i="2"/>
  <c r="V18" i="2"/>
  <c r="G13" i="21"/>
  <c r="F13" i="21"/>
  <c r="C20" i="6"/>
  <c r="G12" i="21"/>
  <c r="F12" i="21"/>
  <c r="C19" i="6"/>
  <c r="G11" i="21"/>
  <c r="F11" i="21"/>
  <c r="C18" i="6"/>
  <c r="G10" i="21"/>
  <c r="F10" i="21"/>
  <c r="F18" i="2"/>
  <c r="C17" i="6"/>
  <c r="G9" i="21"/>
  <c r="F9" i="21"/>
  <c r="F17" i="2"/>
  <c r="C16" i="6"/>
  <c r="V11" i="2"/>
  <c r="V12" i="2"/>
  <c r="V13" i="2"/>
  <c r="V14" i="2"/>
  <c r="V15" i="2"/>
  <c r="V10" i="2"/>
  <c r="G8" i="21"/>
  <c r="F8" i="21"/>
  <c r="F16" i="2"/>
  <c r="C15" i="6"/>
  <c r="C11" i="6"/>
  <c r="C12" i="6"/>
  <c r="C13" i="6"/>
  <c r="C14" i="6"/>
  <c r="C10" i="6"/>
  <c r="G4" i="21"/>
  <c r="G5" i="21"/>
  <c r="G6" i="21"/>
  <c r="G7" i="21"/>
  <c r="K10" i="6"/>
  <c r="F4" i="21"/>
  <c r="F5" i="21"/>
  <c r="F6" i="21"/>
  <c r="F7" i="21"/>
  <c r="I10" i="6"/>
  <c r="G10" i="6"/>
  <c r="E10" i="6"/>
  <c r="F11" i="2"/>
  <c r="F12" i="2"/>
  <c r="F13" i="2"/>
  <c r="F14" i="2"/>
  <c r="F15" i="2"/>
  <c r="N10" i="2"/>
  <c r="M10" i="2"/>
  <c r="L10" i="2"/>
  <c r="F10" i="2"/>
  <c r="G4" i="4"/>
  <c r="E4" i="4"/>
  <c r="C4" i="4"/>
  <c r="X39" i="2"/>
  <c r="X40" i="2"/>
  <c r="H39" i="2"/>
  <c r="X38" i="2"/>
  <c r="X37" i="2"/>
  <c r="X35" i="2"/>
  <c r="X36" i="2"/>
  <c r="X34" i="2"/>
  <c r="X33" i="2"/>
  <c r="X30" i="2"/>
  <c r="X28" i="2"/>
  <c r="X26" i="2"/>
  <c r="X27" i="2"/>
  <c r="X25" i="2"/>
  <c r="X23" i="2"/>
  <c r="X24" i="2"/>
  <c r="X21" i="2"/>
  <c r="X18" i="2"/>
  <c r="X19" i="2"/>
  <c r="X20" i="2"/>
  <c r="X17" i="2"/>
  <c r="X16" i="2"/>
  <c r="X14" i="2"/>
  <c r="X15" i="2"/>
  <c r="X12" i="2"/>
  <c r="X13" i="2"/>
  <c r="X11" i="2"/>
  <c r="P37" i="4"/>
  <c r="P38" i="4"/>
  <c r="P39" i="4"/>
  <c r="P40" i="4"/>
  <c r="X10" i="2"/>
  <c r="C35" i="4"/>
  <c r="D29" i="10"/>
  <c r="Q10" i="2"/>
  <c r="H37" i="2"/>
  <c r="H36" i="2"/>
  <c r="G21" i="4"/>
  <c r="E21" i="4"/>
  <c r="C21" i="4"/>
  <c r="M4" i="4"/>
  <c r="M5" i="4"/>
  <c r="M6" i="4"/>
  <c r="M7" i="4"/>
  <c r="G17" i="4"/>
  <c r="P42" i="4"/>
  <c r="G28" i="4"/>
  <c r="G33" i="4"/>
  <c r="G35" i="4"/>
  <c r="E28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G2" i="21"/>
  <c r="O10" i="2"/>
  <c r="I2" i="22"/>
  <c r="Q33" i="2"/>
  <c r="H35" i="2"/>
  <c r="H38" i="2"/>
  <c r="H34" i="2"/>
  <c r="Q32" i="2"/>
  <c r="H31" i="2"/>
  <c r="H30" i="2"/>
  <c r="H26" i="2"/>
  <c r="H25" i="2"/>
  <c r="Q23" i="2"/>
  <c r="H21" i="2"/>
  <c r="H20" i="2"/>
  <c r="H17" i="2"/>
  <c r="H18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19" i="2"/>
  <c r="H23" i="2"/>
  <c r="H27" i="2"/>
  <c r="H28" i="2"/>
  <c r="H22" i="2"/>
  <c r="H32" i="2"/>
  <c r="H24" i="2"/>
  <c r="Q25" i="2"/>
  <c r="I19" i="10"/>
  <c r="E20" i="10"/>
  <c r="D25" i="10"/>
  <c r="F25" i="10"/>
  <c r="F32" i="10"/>
  <c r="H25" i="10"/>
  <c r="I25" i="10"/>
  <c r="I32" i="10"/>
  <c r="F18" i="10"/>
  <c r="Q38" i="2"/>
  <c r="H15" i="2"/>
  <c r="Q17" i="2"/>
  <c r="H29" i="2"/>
  <c r="Q35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E2" i="21"/>
  <c r="J2" i="21"/>
  <c r="Q11" i="2"/>
  <c r="O7" i="4"/>
  <c r="J3" i="21"/>
  <c r="H10" i="2"/>
  <c r="E2" i="22"/>
  <c r="Q44" i="4"/>
  <c r="AC44" i="4"/>
  <c r="K48" i="4" s="1"/>
  <c r="L48" i="4" s="1"/>
  <c r="L9" i="4"/>
  <c r="N9" i="4"/>
  <c r="AC43" i="4"/>
  <c r="I9" i="4"/>
  <c r="O9" i="4"/>
  <c r="Q27" i="2" l="1"/>
  <c r="Q31" i="2"/>
  <c r="Q28" i="2"/>
  <c r="Q21" i="2"/>
  <c r="Q36" i="2"/>
  <c r="N41" i="2"/>
  <c r="I46" i="2" s="1"/>
  <c r="L46" i="2" s="1"/>
  <c r="Q16" i="2"/>
  <c r="Q30" i="2"/>
  <c r="Q22" i="2"/>
  <c r="Q34" i="2"/>
  <c r="F21" i="21"/>
  <c r="F28" i="21"/>
  <c r="F18" i="21"/>
  <c r="Q29" i="2"/>
  <c r="Q19" i="2"/>
  <c r="F20" i="21"/>
  <c r="F30" i="21"/>
  <c r="F31" i="21"/>
  <c r="Q20" i="2"/>
  <c r="F15" i="21"/>
  <c r="F17" i="21"/>
  <c r="F27" i="21"/>
  <c r="M41" i="2"/>
  <c r="I45" i="2" s="1"/>
  <c r="L45" i="2" s="1"/>
  <c r="F22" i="21"/>
  <c r="F25" i="21"/>
  <c r="F26" i="21"/>
  <c r="F14" i="21"/>
  <c r="F19" i="21"/>
  <c r="F24" i="21"/>
  <c r="F29" i="21"/>
  <c r="Q26" i="2"/>
  <c r="Q18" i="2"/>
  <c r="F16" i="21"/>
  <c r="F23" i="21"/>
  <c r="E13" i="21"/>
  <c r="E8" i="21"/>
  <c r="E10" i="21"/>
  <c r="E12" i="21"/>
  <c r="E11" i="21"/>
  <c r="E7" i="21"/>
  <c r="E9" i="21"/>
  <c r="E5" i="21"/>
  <c r="E4" i="21"/>
  <c r="E6" i="21"/>
  <c r="C31" i="4"/>
  <c r="G31" i="4"/>
  <c r="E31" i="4"/>
  <c r="X31" i="2"/>
  <c r="X32" i="2"/>
  <c r="Q40" i="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L8" i="4"/>
  <c r="N8" i="4" s="1"/>
  <c r="O8" i="4" s="1"/>
  <c r="I4" i="4"/>
  <c r="L4" i="4"/>
  <c r="N4" i="4" s="1"/>
  <c r="J18" i="21" l="1"/>
  <c r="M18" i="22"/>
  <c r="J22" i="21"/>
  <c r="J17" i="21"/>
  <c r="M17" i="22"/>
  <c r="J16" i="21"/>
  <c r="M16" i="22"/>
  <c r="J19" i="21"/>
  <c r="M19" i="22"/>
  <c r="J20" i="21"/>
  <c r="J21" i="21"/>
  <c r="J8" i="21"/>
  <c r="M8" i="22"/>
  <c r="J13" i="21"/>
  <c r="M13" i="22"/>
  <c r="J9" i="21"/>
  <c r="M9" i="22"/>
  <c r="J14" i="21"/>
  <c r="M25" i="22"/>
  <c r="J25" i="21"/>
  <c r="J15" i="21"/>
  <c r="M15" i="22"/>
  <c r="J24" i="21"/>
  <c r="M26" i="22"/>
  <c r="J26" i="21"/>
  <c r="J23" i="21"/>
  <c r="M23" i="22"/>
  <c r="M21" i="22"/>
  <c r="M22" i="22"/>
  <c r="M12" i="22"/>
  <c r="J12" i="21"/>
  <c r="M11" i="22"/>
  <c r="J11" i="21"/>
  <c r="M10" i="22"/>
  <c r="J10" i="21"/>
  <c r="X29" i="2"/>
  <c r="X22" i="2"/>
  <c r="H40" i="2"/>
  <c r="F41" i="2"/>
  <c r="Q41" i="2"/>
  <c r="M20" i="22"/>
  <c r="M14" i="22"/>
  <c r="Q15" i="2"/>
  <c r="Q13" i="2"/>
  <c r="Q12" i="2"/>
  <c r="O41" i="2"/>
  <c r="H16" i="2"/>
  <c r="H14" i="2"/>
  <c r="H13" i="2"/>
  <c r="H12" i="2"/>
  <c r="H11" i="2"/>
  <c r="H41" i="2" s="1"/>
  <c r="O4" i="4"/>
  <c r="N43" i="4"/>
  <c r="M3" i="22"/>
  <c r="M24" i="22" l="1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<sst xmlns="http://schemas.openxmlformats.org/spreadsheetml/2006/main" count="485" uniqueCount="187">
  <si>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</si>
  <si>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</si>
  <si>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</si>
  <si>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</si>
  <si>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</si>
  <si>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</si>
  <si>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</si>
  <si>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</si>
  <si>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</si>
  <si>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</si>
  <si>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</si>
  <si>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</si>
  <si>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</si>
  <si>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</si>
  <si>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</si>
  <si>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</si>
  <si>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</si>
  <si>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</si>
  <si>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</si>
  <si>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</si>
  <si>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</si>
  <si>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</si>
  <si>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</si>
  <si>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</si>
  <si>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</si>
  <si>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</si>
  <si>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</si>
  <si>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</si>
  <si>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</si>
  <si>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</si>
  <si>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</si>
  <si>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</si>
  <si>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</si>
  <si>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</si>
  <si>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</si>
  <si>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</si>
  <si>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</si>
  <si>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</si>
  <si>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</si>
  <si>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</si>
  <si>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</si>
  <si>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</si>
  <si>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</si>
  <si>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</si>
  <si>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</si>
  <si>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</si>
  <si>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</si>
  <si>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</si>
  <si>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</si>
  <si>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</si>
  <si>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</si>
  <si>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</si>
  <si>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</si>
  <si>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</si>
  <si>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</si>
  <si>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</si>
  <si>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</si>
  <si>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</si>
  <si>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</si>
  <si>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</si>
  <si>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</si>
  <si>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</si>
  <si>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</si>
  <si>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</si>
  <si>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</si>
  <si>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</si>
  <si>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</si>
  <si>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</si>
  <si>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</si>
  <si>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</si>
  <si>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</si>
  <si>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</si>
  <si>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</si>
  <si>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</si>
  <si>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</si>
  <si>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</si>
  <si>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</si>
  <si>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</si>
  <si>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</si>
  <si>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</si>
  <si>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</si>
  <si>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</si>
  <si>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</si>
  <si>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</si>
  <si>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</si>
  <si>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</si>
  <si>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</si>
  <si>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OCT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</si>
  <si>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</si>
  <si>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</si>
  <si>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</si>
  <si>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</si>
  <si>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</si>
  <si>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</si>
  <si>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</si>
  <si>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</si>
  <si>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</si>
  <si>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31/10/2022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</si>
  <si>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</si>
  <si>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</si>
  <si>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</si>
  <si>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</si>
  <si>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</si>
  <si>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</si>
  <si>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</si>
  <si>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</si>
  <si>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</si>
  <si>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</si>
  <si>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</si>
  <si>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</si>
  <si>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</si>
  <si>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</si>
  <si>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</si>
  <si>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</si>
  <si>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</si>
  <si>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</si>
  <si>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</si>
  <si>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</si>
  <si>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</si>
  <si>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</si>
  <si>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</si>
  <si>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</si>
  <si>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</si>
  <si>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</si>
  <si>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</si>
  <si>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</si>
  <si>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</si>
  <si>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</si>
  <si>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</si>
  <si>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</si>
  <si>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</si>
  <si>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</si>
  <si>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</si>
  <si>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OCT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</si>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</sst>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120.29999999998836</c:v>
                </c:pt>
                <c:pt idx="1">
                  <c:v>139</c:v>
                </c:pt>
                <c:pt idx="2">
                  <c:v>134</c:v>
                </c:pt>
                <c:pt idx="3">
                  <c:v>136.5</c:v>
                </c:pt>
                <c:pt idx="4">
                  <c:v>143.29999999998836</c:v>
                </c:pt>
                <c:pt idx="5">
                  <c:v>146.60000000000582</c:v>
                </c:pt>
                <c:pt idx="6">
                  <c:v>149.60000000000582</c:v>
                </c:pt>
                <c:pt idx="7">
                  <c:v>131</c:v>
                </c:pt>
                <c:pt idx="8">
                  <c:v>124</c:v>
                </c:pt>
                <c:pt idx="9">
                  <c:v>126</c:v>
                </c:pt>
                <c:pt idx="10">
                  <c:v>123</c:v>
                </c:pt>
                <c:pt idx="11">
                  <c:v>153.5</c:v>
                </c:pt>
                <c:pt idx="12">
                  <c:v>132.20000000001164</c:v>
                </c:pt>
                <c:pt idx="13">
                  <c:v>131.29999999998836</c:v>
                </c:pt>
                <c:pt idx="14">
                  <c:v>147</c:v>
                </c:pt>
                <c:pt idx="15">
                  <c:v>145</c:v>
                </c:pt>
                <c:pt idx="16">
                  <c:v>136</c:v>
                </c:pt>
                <c:pt idx="17">
                  <c:v>132</c:v>
                </c:pt>
                <c:pt idx="18">
                  <c:v>200.39999999999418</c:v>
                </c:pt>
                <c:pt idx="19">
                  <c:v>145.39999999999418</c:v>
                </c:pt>
                <c:pt idx="20">
                  <c:v>141.20000000001164</c:v>
                </c:pt>
                <c:pt idx="21">
                  <c:v>139</c:v>
                </c:pt>
                <c:pt idx="22">
                  <c:v>140</c:v>
                </c:pt>
                <c:pt idx="23">
                  <c:v>138</c:v>
                </c:pt>
                <c:pt idx="24">
                  <c:v>184.10000000000582</c:v>
                </c:pt>
                <c:pt idx="25">
                  <c:v>103.89999999999418</c:v>
                </c:pt>
                <c:pt idx="26">
                  <c:v>137</c:v>
                </c:pt>
                <c:pt idx="27">
                  <c:v>151.89999999999418</c:v>
                </c:pt>
                <c:pt idx="28">
                  <c:v>165.60000000000582</c:v>
                </c:pt>
                <c:pt idx="29">
                  <c:v>151.5</c:v>
                </c:pt>
                <c:pt idx="30">
                  <c:v>159</c:v>
                </c:pt>
                <c:pt idx="3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4593</c:v>
                </c:pt>
                <c:pt idx="1">
                  <c:v>6635</c:v>
                </c:pt>
                <c:pt idx="2">
                  <c:v>5388</c:v>
                </c:pt>
                <c:pt idx="3">
                  <c:v>5796</c:v>
                </c:pt>
                <c:pt idx="4">
                  <c:v>6203</c:v>
                </c:pt>
                <c:pt idx="5">
                  <c:v>6296</c:v>
                </c:pt>
                <c:pt idx="6">
                  <c:v>5474</c:v>
                </c:pt>
                <c:pt idx="7">
                  <c:v>4716</c:v>
                </c:pt>
                <c:pt idx="8">
                  <c:v>5068</c:v>
                </c:pt>
                <c:pt idx="9">
                  <c:v>5107</c:v>
                </c:pt>
                <c:pt idx="10">
                  <c:v>5060</c:v>
                </c:pt>
                <c:pt idx="11">
                  <c:v>5580</c:v>
                </c:pt>
                <c:pt idx="12">
                  <c:v>5981</c:v>
                </c:pt>
                <c:pt idx="13">
                  <c:v>5036</c:v>
                </c:pt>
                <c:pt idx="14">
                  <c:v>5214</c:v>
                </c:pt>
                <c:pt idx="15">
                  <c:v>5383</c:v>
                </c:pt>
                <c:pt idx="16">
                  <c:v>4798</c:v>
                </c:pt>
                <c:pt idx="17">
                  <c:v>4978</c:v>
                </c:pt>
                <c:pt idx="18">
                  <c:v>5641</c:v>
                </c:pt>
                <c:pt idx="19">
                  <c:v>6358</c:v>
                </c:pt>
                <c:pt idx="20">
                  <c:v>5337</c:v>
                </c:pt>
                <c:pt idx="21">
                  <c:v>4940</c:v>
                </c:pt>
                <c:pt idx="22">
                  <c:v>4932</c:v>
                </c:pt>
                <c:pt idx="23">
                  <c:v>4862</c:v>
                </c:pt>
                <c:pt idx="24">
                  <c:v>4727</c:v>
                </c:pt>
                <c:pt idx="25">
                  <c:v>4874</c:v>
                </c:pt>
                <c:pt idx="26">
                  <c:v>4664</c:v>
                </c:pt>
                <c:pt idx="27">
                  <c:v>5421</c:v>
                </c:pt>
                <c:pt idx="28">
                  <c:v>5751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8275</c:v>
                </c:pt>
                <c:pt idx="1">
                  <c:v>8358</c:v>
                </c:pt>
                <c:pt idx="2">
                  <c:v>7402</c:v>
                </c:pt>
                <c:pt idx="3">
                  <c:v>9135</c:v>
                </c:pt>
                <c:pt idx="4">
                  <c:v>9572</c:v>
                </c:pt>
                <c:pt idx="5">
                  <c:v>9428</c:v>
                </c:pt>
                <c:pt idx="6">
                  <c:v>8584</c:v>
                </c:pt>
                <c:pt idx="7">
                  <c:v>7698</c:v>
                </c:pt>
                <c:pt idx="8">
                  <c:v>7813</c:v>
                </c:pt>
                <c:pt idx="9">
                  <c:v>7968</c:v>
                </c:pt>
                <c:pt idx="10">
                  <c:v>7583</c:v>
                </c:pt>
                <c:pt idx="11">
                  <c:v>7563</c:v>
                </c:pt>
                <c:pt idx="12">
                  <c:v>8066</c:v>
                </c:pt>
                <c:pt idx="13">
                  <c:v>8284</c:v>
                </c:pt>
                <c:pt idx="14">
                  <c:v>7779</c:v>
                </c:pt>
                <c:pt idx="15">
                  <c:v>9128</c:v>
                </c:pt>
                <c:pt idx="16">
                  <c:v>8052</c:v>
                </c:pt>
                <c:pt idx="17">
                  <c:v>8111</c:v>
                </c:pt>
                <c:pt idx="18">
                  <c:v>8154</c:v>
                </c:pt>
                <c:pt idx="19">
                  <c:v>9018</c:v>
                </c:pt>
                <c:pt idx="20">
                  <c:v>8484</c:v>
                </c:pt>
                <c:pt idx="21">
                  <c:v>7519</c:v>
                </c:pt>
                <c:pt idx="22">
                  <c:v>8397</c:v>
                </c:pt>
                <c:pt idx="23">
                  <c:v>7702</c:v>
                </c:pt>
                <c:pt idx="24">
                  <c:v>7499</c:v>
                </c:pt>
                <c:pt idx="25">
                  <c:v>7554</c:v>
                </c:pt>
                <c:pt idx="26">
                  <c:v>7585</c:v>
                </c:pt>
                <c:pt idx="27">
                  <c:v>7403</c:v>
                </c:pt>
                <c:pt idx="28">
                  <c:v>7361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3636</c:v>
                </c:pt>
                <c:pt idx="1">
                  <c:v>4373</c:v>
                </c:pt>
                <c:pt idx="2">
                  <c:v>3620</c:v>
                </c:pt>
                <c:pt idx="3">
                  <c:v>4513</c:v>
                </c:pt>
                <c:pt idx="4">
                  <c:v>4642</c:v>
                </c:pt>
                <c:pt idx="5">
                  <c:v>4548</c:v>
                </c:pt>
                <c:pt idx="6">
                  <c:v>4089</c:v>
                </c:pt>
                <c:pt idx="7">
                  <c:v>3581</c:v>
                </c:pt>
                <c:pt idx="8">
                  <c:v>3803</c:v>
                </c:pt>
                <c:pt idx="9">
                  <c:v>3706</c:v>
                </c:pt>
                <c:pt idx="10">
                  <c:v>3316</c:v>
                </c:pt>
                <c:pt idx="11">
                  <c:v>3668</c:v>
                </c:pt>
                <c:pt idx="12">
                  <c:v>4022</c:v>
                </c:pt>
                <c:pt idx="13">
                  <c:v>4067</c:v>
                </c:pt>
                <c:pt idx="14">
                  <c:v>4100</c:v>
                </c:pt>
                <c:pt idx="15">
                  <c:v>4759</c:v>
                </c:pt>
                <c:pt idx="16">
                  <c:v>3815</c:v>
                </c:pt>
                <c:pt idx="17">
                  <c:v>4245</c:v>
                </c:pt>
                <c:pt idx="18">
                  <c:v>4006</c:v>
                </c:pt>
                <c:pt idx="19">
                  <c:v>4089</c:v>
                </c:pt>
                <c:pt idx="20">
                  <c:v>4221</c:v>
                </c:pt>
                <c:pt idx="21">
                  <c:v>3668</c:v>
                </c:pt>
                <c:pt idx="22">
                  <c:v>3987</c:v>
                </c:pt>
                <c:pt idx="23">
                  <c:v>3721</c:v>
                </c:pt>
                <c:pt idx="24">
                  <c:v>3635</c:v>
                </c:pt>
                <c:pt idx="25">
                  <c:v>3817</c:v>
                </c:pt>
                <c:pt idx="26">
                  <c:v>3819</c:v>
                </c:pt>
                <c:pt idx="27">
                  <c:v>3728</c:v>
                </c:pt>
                <c:pt idx="28">
                  <c:v>3837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479.98815000000002</c:v>
                </c:pt>
                <c:pt idx="1">
                  <c:v>447.98894000000001</c:v>
                </c:pt>
                <c:pt idx="2">
                  <c:v>383.99052</c:v>
                </c:pt>
                <c:pt idx="3">
                  <c:v>384.71640000000002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415.98973000000001</c:v>
                </c:pt>
                <c:pt idx="7">
                  <c:v>351.99131</c:v>
                </c:pt>
                <c:pt idx="8">
                  <c:v>351.99131</c:v>
                </c:pt>
                <c:pt idx="9">
                  <c:v>415.98973000000001</c:v>
                </c:pt>
                <c:pt idx="10">
                  <c:v>223.99447000000001</c:v>
                </c:pt>
                <c:pt idx="11">
                  <c:v>223.99447000000001</c:v>
                </c:pt>
                <c:pt idx="12">
                  <c:v>255.99368000000001</c:v>
                </c:pt>
                <c:pt idx="13">
                  <c:v>447.98894000000001</c:v>
                </c:pt>
                <c:pt idx="14">
                  <c:v>383.99052</c:v>
                </c:pt>
                <c:pt idx="15">
                  <c:v>287.99288999999999</c:v>
                </c:pt>
                <c:pt idx="16">
                  <c:v>255.99368000000001</c:v>
                </c:pt>
                <c:pt idx="17">
                  <c:v>511.98736000000002</c:v>
                </c:pt>
                <c:pt idx="18">
                  <c:v>415.98973000000001</c:v>
                </c:pt>
                <c:pt idx="19">
                  <c:v>479.98815000000002</c:v>
                </c:pt>
                <c:pt idx="20">
                  <c:v>223.99447000000001</c:v>
                </c:pt>
                <c:pt idx="21">
                  <c:v>351.99131</c:v>
                </c:pt>
                <c:pt idx="22">
                  <c:v>319.99209999999999</c:v>
                </c:pt>
                <c:pt idx="23">
                  <c:v>863.97867000000008</c:v>
                </c:pt>
                <c:pt idx="24">
                  <c:v>319.99209999999999</c:v>
                </c:pt>
                <c:pt idx="25">
                  <c:v>319.99209999999999</c:v>
                </c:pt>
                <c:pt idx="26">
                  <c:v>319.99209999999999</c:v>
                </c:pt>
                <c:pt idx="27">
                  <c:v>511.98736000000002</c:v>
                </c:pt>
                <c:pt idx="28">
                  <c:v>127.99684000000001</c:v>
                </c:pt>
                <c:pt idx="29">
                  <c:v>287.99288999999999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  <c:pt idx="9">
                  <c:v>522652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  <c:pt idx="9">
                  <c:v>550972.29053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  <c:pt idx="9">
                  <c:v>3767.6000000000058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  <c:pt idx="9">
                  <c:v>42973.640000000065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  <c:pt idx="9">
                  <c:v>10799.535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  <c:pt idx="9">
                  <c:v>132186.30840000001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abSelected="1" workbookViewId="0">
      <selection activeCell="R29" sqref="R29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10</v>
      </c>
      <c r="D2" s="141">
        <v>2022</v>
      </c>
      <c r="E2" s="137">
        <f>submetering!E2+submetering!F2+submetering!G2</f>
        <v>16504</v>
      </c>
      <c r="F2" s="134">
        <v>1.05</v>
      </c>
      <c r="G2" s="134">
        <f>'Consommation mensuel énergie'!V10</f>
        <v>479.98815000000002</v>
      </c>
      <c r="H2" s="134">
        <v>12.24</v>
      </c>
      <c r="I2" s="134">
        <f>'Consommation mensuel énergie'!F10</f>
        <v>120.29999999998836</v>
      </c>
      <c r="J2" s="134">
        <v>11.4</v>
      </c>
      <c r="K2" s="137">
        <f>'Consommation mensuel énergie'!D10</f>
        <v>136</v>
      </c>
      <c r="L2" s="137">
        <f>'Consommation mensuel énergie'!E10</f>
        <v>210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submetering!E3+submetering!F3+submetering!G3</f>
        <v>19366</v>
      </c>
      <c r="F3" s="134">
        <v>1.05</v>
      </c>
      <c r="G3" s="134">
        <f>'Consommation mensuel énergie'!V11</f>
        <v>447.98894000000001</v>
      </c>
      <c r="H3" s="134">
        <v>12.24</v>
      </c>
      <c r="I3" s="134">
        <f>'Consommation mensuel énergie'!F11</f>
        <v>139</v>
      </c>
      <c r="J3" s="134">
        <v>11.4</v>
      </c>
      <c r="K3" s="137">
        <f>'Consommation mensuel énergie'!D11</f>
        <v>154</v>
      </c>
      <c r="L3" s="137">
        <f>'Consommation mensuel énergie'!E11</f>
        <v>221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submetering!E4+submetering!F4+submetering!G4</f>
        <v>16410</v>
      </c>
      <c r="F4" s="134">
        <v>1.05</v>
      </c>
      <c r="G4" s="134">
        <f>'Consommation mensuel énergie'!V12</f>
        <v>383.99052</v>
      </c>
      <c r="H4" s="134">
        <v>12.24</v>
      </c>
      <c r="I4" s="134">
        <f>'Consommation mensuel énergie'!F12</f>
        <v>134</v>
      </c>
      <c r="J4" s="134">
        <v>11.4</v>
      </c>
      <c r="K4" s="137">
        <f>'Consommation mensuel énergie'!D12</f>
        <v>147</v>
      </c>
      <c r="L4" s="137">
        <f>'Consommation mensuel énergie'!E12</f>
        <v>178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submetering!E5+submetering!F5+submetering!G5</f>
        <v>19444</v>
      </c>
      <c r="F5" s="134">
        <v>1.05</v>
      </c>
      <c r="G5" s="134">
        <f>'Consommation mensuel énergie'!V13</f>
        <v>384.71640000000002</v>
      </c>
      <c r="H5" s="134">
        <v>12.24</v>
      </c>
      <c r="I5" s="134">
        <f>'Consommation mensuel énergie'!F13</f>
        <v>136.5</v>
      </c>
      <c r="J5" s="134">
        <v>11.4</v>
      </c>
      <c r="K5" s="137">
        <f>'Consommation mensuel énergie'!D13</f>
        <v>146</v>
      </c>
      <c r="L5" s="137">
        <f>'Consommation mensuel énergie'!E13</f>
        <v>188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submetering!E6+submetering!F6+submetering!G6</f>
        <v>20417</v>
      </c>
      <c r="F6" s="134">
        <v>1.05</v>
      </c>
      <c r="G6" s="134">
        <f>'Consommation mensuel énergie'!V14</f>
        <v>383.99052</v>
      </c>
      <c r="H6" s="134">
        <v>12.24</v>
      </c>
      <c r="I6" s="134">
        <f>'Consommation mensuel énergie'!F14</f>
        <v>143.29999999998836</v>
      </c>
      <c r="J6" s="134">
        <v>11.4</v>
      </c>
      <c r="K6" s="137">
        <f>'Consommation mensuel énergie'!D14</f>
        <v>133</v>
      </c>
      <c r="L6" s="137">
        <f>'Consommation mensuel énergie'!E14</f>
        <v>185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submetering!E7+submetering!F7+submetering!G7</f>
        <v>20272</v>
      </c>
      <c r="F7" s="134">
        <v>1.05</v>
      </c>
      <c r="G7" s="134">
        <f>'Consommation mensuel énergie'!V15</f>
        <v>255.99368000000001</v>
      </c>
      <c r="H7" s="134">
        <v>12.24</v>
      </c>
      <c r="I7" s="134">
        <f>'Consommation mensuel énergie'!F15</f>
        <v>146.60000000000582</v>
      </c>
      <c r="J7" s="134">
        <v>11.4</v>
      </c>
      <c r="K7" s="137">
        <f>'Consommation mensuel énergie'!D15</f>
        <v>125</v>
      </c>
      <c r="L7" s="137">
        <f>'Consommation mensuel énergie'!E15</f>
        <v>183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submetering!E8+submetering!F8+submetering!G8</f>
        <v>18147</v>
      </c>
      <c r="F8" s="134">
        <v>1.05</v>
      </c>
      <c r="G8" s="134">
        <f>'Consommation mensuel énergie'!V16</f>
        <v>415.98973000000001</v>
      </c>
      <c r="H8" s="134">
        <v>12.24</v>
      </c>
      <c r="I8" s="134">
        <f>'Consommation mensuel énergie'!F16</f>
        <v>149.60000000000582</v>
      </c>
      <c r="J8" s="134">
        <v>11.4</v>
      </c>
      <c r="K8" s="137">
        <f>'Consommation mensuel énergie'!D16</f>
        <v>103</v>
      </c>
      <c r="L8" s="137">
        <f>'Consommation mensuel énergie'!E16</f>
        <v>178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submetering!E9+submetering!F9+submetering!G9</f>
        <v>15995</v>
      </c>
      <c r="F9" s="134">
        <v>1.05</v>
      </c>
      <c r="G9" s="134">
        <f>'Consommation mensuel énergie'!V17</f>
        <v>351.99131</v>
      </c>
      <c r="H9" s="134">
        <v>12.24</v>
      </c>
      <c r="I9" s="134">
        <f>'Consommation mensuel énergie'!F17</f>
        <v>131</v>
      </c>
      <c r="J9" s="134">
        <v>11.4</v>
      </c>
      <c r="K9" s="137">
        <f>'Consommation mensuel énergie'!D17</f>
        <v>113</v>
      </c>
      <c r="L9" s="137">
        <f>'Consommation mensuel énergie'!E17</f>
        <v>199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submetering!E10+submetering!F10+submetering!G10</f>
        <v>16684</v>
      </c>
      <c r="F10" s="134">
        <v>1.05</v>
      </c>
      <c r="G10" s="134">
        <f>'Consommation mensuel énergie'!V18</f>
        <v>351.99131</v>
      </c>
      <c r="H10" s="134">
        <v>12.24</v>
      </c>
      <c r="I10" s="134">
        <f>'Consommation mensuel énergie'!F18</f>
        <v>124</v>
      </c>
      <c r="J10" s="134">
        <v>11.4</v>
      </c>
      <c r="K10" s="137">
        <f>'Consommation mensuel énergie'!D18</f>
        <v>105</v>
      </c>
      <c r="L10" s="137">
        <f>'Consommation mensuel énergie'!E18</f>
        <v>184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submetering!E11+submetering!F11+submetering!G11</f>
        <v>16781</v>
      </c>
      <c r="F11" s="134">
        <v>1.05</v>
      </c>
      <c r="G11" s="134">
        <f>'Consommation mensuel énergie'!V19</f>
        <v>415.98973000000001</v>
      </c>
      <c r="H11" s="134">
        <v>12.24</v>
      </c>
      <c r="I11" s="134">
        <f>'Consommation mensuel énergie'!F19</f>
        <v>126</v>
      </c>
      <c r="J11" s="134">
        <v>11.4</v>
      </c>
      <c r="K11" s="137">
        <f>'Consommation mensuel énergie'!D19</f>
        <v>131</v>
      </c>
      <c r="L11" s="137">
        <f>'Consommation mensuel énergie'!E19</f>
        <v>208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submetering!E12+submetering!F12+submetering!G12</f>
        <v>15959</v>
      </c>
      <c r="F12" s="134">
        <v>1.05</v>
      </c>
      <c r="G12" s="134">
        <f>'Consommation mensuel énergie'!V20</f>
        <v>223.99447000000001</v>
      </c>
      <c r="H12" s="134">
        <v>12.24</v>
      </c>
      <c r="I12" s="134">
        <f>'Consommation mensuel énergie'!F20</f>
        <v>123</v>
      </c>
      <c r="J12" s="134">
        <v>11.4</v>
      </c>
      <c r="K12" s="137">
        <f>'Consommation mensuel énergie'!D20</f>
        <v>130</v>
      </c>
      <c r="L12" s="137">
        <f>'Consommation mensuel énergie'!E20</f>
        <v>189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submetering!E13+submetering!F13+submetering!G13</f>
        <v>16811</v>
      </c>
      <c r="F13" s="134">
        <v>1.05</v>
      </c>
      <c r="G13" s="134">
        <f>'Consommation mensuel énergie'!V21</f>
        <v>223.99447000000001</v>
      </c>
      <c r="H13" s="134">
        <v>12.24</v>
      </c>
      <c r="I13" s="134">
        <f>'Consommation mensuel énergie'!F21</f>
        <v>153.5</v>
      </c>
      <c r="J13" s="134">
        <v>11.4</v>
      </c>
      <c r="K13" s="137">
        <f>'Consommation mensuel énergie'!D21</f>
        <v>143</v>
      </c>
      <c r="L13" s="137">
        <f>'Consommation mensuel énergie'!E21</f>
        <v>210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submetering!E14+submetering!F14+submetering!G14</f>
        <v>18069</v>
      </c>
      <c r="F14" s="134">
        <v>1.05</v>
      </c>
      <c r="G14" s="134">
        <f>'Consommation mensuel énergie'!V22</f>
        <v>255.99368000000001</v>
      </c>
      <c r="H14" s="134">
        <v>12.24</v>
      </c>
      <c r="I14" s="134">
        <f>'Consommation mensuel énergie'!F22</f>
        <v>132.20000000001164</v>
      </c>
      <c r="J14" s="134">
        <v>11.4</v>
      </c>
      <c r="K14" s="137">
        <f>'Consommation mensuel énergie'!D22</f>
        <v>122</v>
      </c>
      <c r="L14" s="137">
        <f>'Consommation mensuel énergie'!E22</f>
        <v>174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submetering!E15+submetering!F15+submetering!G15</f>
        <v>17387</v>
      </c>
      <c r="F15" s="134">
        <v>1.05</v>
      </c>
      <c r="G15" s="134">
        <f>'Consommation mensuel énergie'!V23</f>
        <v>447.98894000000001</v>
      </c>
      <c r="H15" s="134">
        <v>12.24</v>
      </c>
      <c r="I15" s="134">
        <f>'Consommation mensuel énergie'!F23</f>
        <v>131.29999999998836</v>
      </c>
      <c r="J15" s="134">
        <v>11.4</v>
      </c>
      <c r="K15" s="137">
        <f>'Consommation mensuel énergie'!D23</f>
        <v>129</v>
      </c>
      <c r="L15" s="137">
        <f>'Consommation mensuel énergie'!E23</f>
        <v>212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submetering!E16+submetering!F16+submetering!G16</f>
        <v>17093</v>
      </c>
      <c r="F16" s="134">
        <v>1.05</v>
      </c>
      <c r="G16" s="134">
        <f>'Consommation mensuel énergie'!V24</f>
        <v>383.99052</v>
      </c>
      <c r="H16" s="134">
        <v>12.24</v>
      </c>
      <c r="I16" s="134">
        <f>'Consommation mensuel énergie'!F24</f>
        <v>147</v>
      </c>
      <c r="J16" s="134">
        <v>11.4</v>
      </c>
      <c r="K16" s="137">
        <f>'Consommation mensuel énergie'!D24</f>
        <v>125</v>
      </c>
      <c r="L16" s="137">
        <f>'Consommation mensuel énergie'!E24</f>
        <v>222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submetering!E17+submetering!F17+submetering!G17</f>
        <v>19270</v>
      </c>
      <c r="F17" s="134">
        <v>1.05</v>
      </c>
      <c r="G17" s="134">
        <f>'Consommation mensuel énergie'!V25</f>
        <v>287.99288999999999</v>
      </c>
      <c r="H17" s="134">
        <v>12.24</v>
      </c>
      <c r="I17" s="134">
        <f>'Consommation mensuel énergie'!F25</f>
        <v>145</v>
      </c>
      <c r="J17" s="134">
        <v>11.4</v>
      </c>
      <c r="K17" s="137">
        <f>'Consommation mensuel énergie'!D25</f>
        <v>113</v>
      </c>
      <c r="L17" s="137">
        <f>'Consommation mensuel énergie'!E25</f>
        <v>192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submetering!E18+submetering!F18+submetering!G18</f>
        <v>16665</v>
      </c>
      <c r="F18" s="134">
        <v>1.05</v>
      </c>
      <c r="G18" s="134">
        <f>'Consommation mensuel énergie'!V26</f>
        <v>255.99368000000001</v>
      </c>
      <c r="H18" s="134">
        <v>12.24</v>
      </c>
      <c r="I18" s="134">
        <f>'Consommation mensuel énergie'!F26</f>
        <v>136</v>
      </c>
      <c r="J18" s="134">
        <v>11.4</v>
      </c>
      <c r="K18" s="137">
        <f>'Consommation mensuel énergie'!D26</f>
        <v>153</v>
      </c>
      <c r="L18" s="137">
        <f>'Consommation mensuel énergie'!E26</f>
        <v>239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submetering!E19+submetering!F19+submetering!G19</f>
        <v>17334</v>
      </c>
      <c r="F19" s="134">
        <v>1.05</v>
      </c>
      <c r="G19" s="134">
        <f>'Consommation mensuel énergie'!V27</f>
        <v>511.98736000000002</v>
      </c>
      <c r="H19" s="134">
        <v>12.24</v>
      </c>
      <c r="I19" s="134">
        <f>'Consommation mensuel énergie'!F27</f>
        <v>132</v>
      </c>
      <c r="J19" s="134">
        <v>11.4</v>
      </c>
      <c r="K19" s="137">
        <f>'Consommation mensuel énergie'!D27</f>
        <v>158</v>
      </c>
      <c r="L19" s="137">
        <f>'Consommation mensuel énergie'!E27</f>
        <v>235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submetering!E20+submetering!F20+submetering!G20</f>
        <v>17801</v>
      </c>
      <c r="F20" s="134">
        <v>1.05</v>
      </c>
      <c r="G20" s="134">
        <f>'Consommation mensuel énergie'!V28</f>
        <v>415.98973000000001</v>
      </c>
      <c r="H20" s="134">
        <v>12.24</v>
      </c>
      <c r="I20" s="134">
        <f>'Consommation mensuel énergie'!F28</f>
        <v>200.39999999999418</v>
      </c>
      <c r="J20" s="134">
        <v>11.4</v>
      </c>
      <c r="K20" s="137">
        <f>'Consommation mensuel énergie'!D28</f>
        <v>159</v>
      </c>
      <c r="L20" s="137">
        <f>'Consommation mensuel énergie'!E28</f>
        <v>229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submetering!E21+submetering!F21+submetering!G21</f>
        <v>19465</v>
      </c>
      <c r="F21" s="134">
        <v>1.05</v>
      </c>
      <c r="G21" s="134">
        <f>'Consommation mensuel énergie'!V29</f>
        <v>479.98815000000002</v>
      </c>
      <c r="H21" s="134">
        <v>12.24</v>
      </c>
      <c r="I21" s="134">
        <f>'Consommation mensuel énergie'!F29</f>
        <v>145.39999999999418</v>
      </c>
      <c r="J21" s="134">
        <v>11.4</v>
      </c>
      <c r="K21" s="137">
        <f>'Consommation mensuel énergie'!D29</f>
        <v>166</v>
      </c>
      <c r="L21" s="137">
        <f>'Consommation mensuel énergie'!E29</f>
        <v>260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submetering!E22+submetering!F22+submetering!G22</f>
        <v>18042</v>
      </c>
      <c r="F22" s="134">
        <v>1.05</v>
      </c>
      <c r="G22" s="134">
        <f>'Consommation mensuel énergie'!V30</f>
        <v>223.99447000000001</v>
      </c>
      <c r="H22" s="134">
        <v>12.24</v>
      </c>
      <c r="I22" s="134">
        <f>'Consommation mensuel énergie'!F30</f>
        <v>141.20000000001164</v>
      </c>
      <c r="J22" s="134">
        <v>11.4</v>
      </c>
      <c r="K22" s="137">
        <f>'Consommation mensuel énergie'!D30</f>
        <v>143</v>
      </c>
      <c r="L22" s="137">
        <f>'Consommation mensuel énergie'!E30</f>
        <v>233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submetering!E23+submetering!F23+submetering!G23</f>
        <v>16127</v>
      </c>
      <c r="F23" s="134">
        <v>1.05</v>
      </c>
      <c r="G23" s="134">
        <f>'Consommation mensuel énergie'!V31</f>
        <v>351.99131</v>
      </c>
      <c r="H23" s="134">
        <v>12.24</v>
      </c>
      <c r="I23" s="134">
        <f>'Consommation mensuel énergie'!F31</f>
        <v>139</v>
      </c>
      <c r="J23" s="134">
        <v>11.4</v>
      </c>
      <c r="K23" s="137">
        <f>'Consommation mensuel énergie'!D31</f>
        <v>147</v>
      </c>
      <c r="L23" s="137">
        <f>'Consommation mensuel énergie'!E31</f>
        <v>253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submetering!E24+submetering!F24+submetering!G24</f>
        <v>17316</v>
      </c>
      <c r="F24" s="134">
        <v>1.05</v>
      </c>
      <c r="G24" s="134">
        <f>'Consommation mensuel énergie'!V32</f>
        <v>319.99209999999999</v>
      </c>
      <c r="H24" s="134">
        <v>12.24</v>
      </c>
      <c r="I24" s="134">
        <f>'Consommation mensuel énergie'!F32</f>
        <v>140</v>
      </c>
      <c r="J24" s="134">
        <v>11.4</v>
      </c>
      <c r="K24" s="137">
        <f>'Consommation mensuel énergie'!D32</f>
        <v>133</v>
      </c>
      <c r="L24" s="137">
        <f>'Consommation mensuel énergie'!E32</f>
        <v>216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submetering!E25+submetering!F25+submetering!G25</f>
        <v>16285</v>
      </c>
      <c r="F25" s="134">
        <v>1.05</v>
      </c>
      <c r="G25" s="134">
        <f>'Consommation mensuel énergie'!V33</f>
        <v>863.97867000000008</v>
      </c>
      <c r="H25" s="134">
        <v>12.24</v>
      </c>
      <c r="I25" s="134">
        <f>'Consommation mensuel énergie'!F33</f>
        <v>138</v>
      </c>
      <c r="J25" s="134">
        <v>11.4</v>
      </c>
      <c r="K25" s="137">
        <f>'Consommation mensuel énergie'!D33</f>
        <v>152</v>
      </c>
      <c r="L25" s="137">
        <f>'Consommation mensuel énergie'!E33</f>
        <v>229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submetering!E26+submetering!F26+submetering!G26</f>
        <v>15861</v>
      </c>
      <c r="F26" s="134">
        <v>1.05</v>
      </c>
      <c r="G26" s="134">
        <f>'Consommation mensuel énergie'!V34</f>
        <v>319.99209999999999</v>
      </c>
      <c r="H26" s="134">
        <v>12.24</v>
      </c>
      <c r="I26" s="134">
        <f>'Consommation mensuel énergie'!F34</f>
        <v>184.10000000000582</v>
      </c>
      <c r="J26" s="134">
        <v>11.4</v>
      </c>
      <c r="K26" s="137">
        <f>'Consommation mensuel énergie'!D34</f>
        <v>116</v>
      </c>
      <c r="L26" s="137">
        <f>'Consommation mensuel énergie'!E34</f>
        <v>173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10</v>
      </c>
      <c r="D27" s="141">
        <v>2022</v>
      </c>
      <c r="E27" s="137">
        <f>submetering!E27+submetering!F27+submetering!G27</f>
        <v>16245</v>
      </c>
      <c r="F27" s="134">
        <v>1.05</v>
      </c>
      <c r="G27" s="134">
        <f>'Consommation mensuel énergie'!V35</f>
        <v>319.99209999999999</v>
      </c>
      <c r="H27" s="134">
        <v>12.24</v>
      </c>
      <c r="I27" s="134">
        <f>'Consommation mensuel énergie'!F35</f>
        <v>103.89999999999418</v>
      </c>
      <c r="J27" s="134">
        <v>11.4</v>
      </c>
      <c r="K27" s="137">
        <f>'Consommation mensuel énergie'!D35</f>
        <v>139</v>
      </c>
      <c r="L27" s="137">
        <f>'Consommation mensuel énergie'!E35</f>
        <v>201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submetering!E28+submetering!F28+submetering!G28</f>
        <v>16068</v>
      </c>
      <c r="F28" s="134">
        <v>1.05</v>
      </c>
      <c r="G28" s="134">
        <f>'Consommation mensuel énergie'!V36</f>
        <v>319.99209999999999</v>
      </c>
      <c r="H28" s="134">
        <v>12.24</v>
      </c>
      <c r="I28" s="134">
        <f>'Consommation mensuel énergie'!F36</f>
        <v>137</v>
      </c>
      <c r="J28" s="134">
        <v>11.4</v>
      </c>
      <c r="K28" s="137">
        <f>'Consommation mensuel énergie'!D36</f>
        <v>142</v>
      </c>
      <c r="L28" s="137">
        <f>'Consommation mensuel énergie'!E36</f>
        <v>212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submetering!E29+submetering!F29+submetering!G29</f>
        <v>16552</v>
      </c>
      <c r="F29" s="134">
        <v>1.05</v>
      </c>
      <c r="G29" s="134">
        <f>'Consommation mensuel énergie'!V37</f>
        <v>511.98736000000002</v>
      </c>
      <c r="H29" s="134">
        <v>12.24</v>
      </c>
      <c r="I29" s="134">
        <f>'Consommation mensuel énergie'!F37</f>
        <v>151.89999999999418</v>
      </c>
      <c r="J29" s="134">
        <v>11.4</v>
      </c>
      <c r="K29" s="137">
        <f>'Consommation mensuel énergie'!D37</f>
        <v>113</v>
      </c>
      <c r="L29" s="137">
        <f>'Consommation mensuel énergie'!E37</f>
        <v>191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submetering!E30+submetering!F30+submetering!G30</f>
        <v>16949</v>
      </c>
      <c r="F30" s="134">
        <v>1.05</v>
      </c>
      <c r="G30" s="134">
        <f>'Consommation mensuel énergie'!V38</f>
        <v>127.99684000000001</v>
      </c>
      <c r="H30" s="134">
        <v>12.24</v>
      </c>
      <c r="I30" s="134">
        <f>'Consommation mensuel énergie'!F38</f>
        <v>165.60000000000582</v>
      </c>
      <c r="J30" s="134">
        <v>11.4</v>
      </c>
      <c r="K30" s="137">
        <f>'Consommation mensuel énergie'!D38</f>
        <v>153</v>
      </c>
      <c r="L30" s="137">
        <f>'Consommation mensuel énergie'!E38</f>
        <v>256</v>
      </c>
      <c r="M30" s="133"/>
    </row>
    <row r="31" spans="1:13" x14ac:dyDescent="0.2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submetering!E31+submetering!F31+submetering!G31</f>
        <v>16232</v>
      </c>
      <c r="F31" s="134">
        <v>1.05</v>
      </c>
      <c r="G31" s="134">
        <f>'Consommation mensuel énergie'!V39</f>
        <v>287.99288999999999</v>
      </c>
      <c r="H31" s="134">
        <v>12.24</v>
      </c>
      <c r="I31" s="134">
        <f>'Consommation mensuel énergie'!F39</f>
        <v>151.5</v>
      </c>
      <c r="J31" s="134">
        <v>11.4</v>
      </c>
      <c r="K31" s="137">
        <f>'Consommation mensuel énergie'!D39</f>
        <v>135</v>
      </c>
      <c r="L31" s="137">
        <f>'Consommation mensuel énergie'!E39</f>
        <v>221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10</v>
      </c>
      <c r="D32" s="141">
        <v>2022</v>
      </c>
      <c r="E32" s="137">
        <f>submetering!E32+submetering!F32+submetering!G32</f>
        <v>16569</v>
      </c>
      <c r="F32" s="134">
        <v>1.05</v>
      </c>
      <c r="G32" s="134">
        <f>'Consommation mensuel énergie'!V40</f>
        <v>447.98894000000001</v>
      </c>
      <c r="H32" s="134">
        <v>12.24</v>
      </c>
      <c r="I32" s="134">
        <f>'Consommation mensuel énergie'!F40</f>
        <v>159</v>
      </c>
      <c r="J32" s="134">
        <v>11.4</v>
      </c>
      <c r="K32" s="137">
        <f>'Consommation mensuel énergie'!D40</f>
        <v>135</v>
      </c>
      <c r="L32" s="137">
        <f>'Consommation mensuel énergie'!E40</f>
        <v>214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F34" s="134"/>
      <c r="G34" s="134"/>
      <c r="H34" s="134"/>
      <c r="I34" s="134"/>
      <c r="J34" s="134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Z31" sqref="Z31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10</v>
      </c>
      <c r="D2" s="141">
        <v>2022</v>
      </c>
      <c r="E2" s="137">
        <f>'Consommation mensuel énergie'!L10</f>
        <v>4593</v>
      </c>
      <c r="F2" s="137">
        <f>'Consommation mensuel énergie'!M10</f>
        <v>8275</v>
      </c>
      <c r="G2" s="137">
        <f>'Consommation mensuel énergie'!N10</f>
        <v>3636</v>
      </c>
      <c r="H2" s="137">
        <f>'Consommation mensuel énergie'!D10</f>
        <v>136</v>
      </c>
      <c r="I2" s="137">
        <f>'Consommation mensuel énergie'!E10</f>
        <v>210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'Consommation mensuel énergie'!L11</f>
        <v>6635</v>
      </c>
      <c r="F3" s="137">
        <f>'Consommation mensuel énergie'!M11</f>
        <v>8358</v>
      </c>
      <c r="G3" s="137">
        <f>'Consommation mensuel énergie'!N11</f>
        <v>4373</v>
      </c>
      <c r="H3" s="137">
        <f>'Consommation mensuel énergie'!D11</f>
        <v>154</v>
      </c>
      <c r="I3" s="137">
        <f>'Consommation mensuel énergie'!E11</f>
        <v>221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'Consommation mensuel énergie'!L12</f>
        <v>5388</v>
      </c>
      <c r="F4" s="137">
        <f>'Consommation mensuel énergie'!M12</f>
        <v>7402</v>
      </c>
      <c r="G4" s="137">
        <f>'Consommation mensuel énergie'!N12</f>
        <v>3620</v>
      </c>
      <c r="H4" s="137">
        <f>'Consommation mensuel énergie'!D12</f>
        <v>147</v>
      </c>
      <c r="I4" s="137">
        <f>'Consommation mensuel énergie'!E12</f>
        <v>178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'Consommation mensuel énergie'!L13</f>
        <v>5796</v>
      </c>
      <c r="F5" s="137">
        <f>'Consommation mensuel énergie'!M13</f>
        <v>9135</v>
      </c>
      <c r="G5" s="137">
        <f>'Consommation mensuel énergie'!N13</f>
        <v>4513</v>
      </c>
      <c r="H5" s="137">
        <f>'Consommation mensuel énergie'!D13</f>
        <v>146</v>
      </c>
      <c r="I5" s="137">
        <f>'Consommation mensuel énergie'!E13</f>
        <v>188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'Consommation mensuel énergie'!L14</f>
        <v>6203</v>
      </c>
      <c r="F6" s="137">
        <f>'Consommation mensuel énergie'!M14</f>
        <v>9572</v>
      </c>
      <c r="G6" s="137">
        <f>'Consommation mensuel énergie'!N14</f>
        <v>4642</v>
      </c>
      <c r="H6" s="137">
        <f>'Consommation mensuel énergie'!D14</f>
        <v>133</v>
      </c>
      <c r="I6" s="137">
        <f>'Consommation mensuel énergie'!E14</f>
        <v>185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'Consommation mensuel énergie'!L15</f>
        <v>6296</v>
      </c>
      <c r="F7" s="137">
        <f>'Consommation mensuel énergie'!M15</f>
        <v>9428</v>
      </c>
      <c r="G7" s="137">
        <f>'Consommation mensuel énergie'!N15</f>
        <v>4548</v>
      </c>
      <c r="H7" s="137">
        <f>'Consommation mensuel énergie'!D15</f>
        <v>125</v>
      </c>
      <c r="I7" s="137">
        <f>'Consommation mensuel énergie'!E15</f>
        <v>183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'Consommation mensuel énergie'!L16</f>
        <v>5474</v>
      </c>
      <c r="F8" s="137">
        <f>'Consommation mensuel énergie'!M16</f>
        <v>8584</v>
      </c>
      <c r="G8" s="137">
        <f>'Consommation mensuel énergie'!N16</f>
        <v>4089</v>
      </c>
      <c r="H8" s="137">
        <f>'Consommation mensuel énergie'!D16</f>
        <v>103</v>
      </c>
      <c r="I8" s="137">
        <f>'Consommation mensuel énergie'!E16</f>
        <v>178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'Consommation mensuel énergie'!L17</f>
        <v>4716</v>
      </c>
      <c r="F9" s="137">
        <f>'Consommation mensuel énergie'!M17</f>
        <v>7698</v>
      </c>
      <c r="G9" s="137">
        <f>'Consommation mensuel énergie'!N17</f>
        <v>3581</v>
      </c>
      <c r="H9" s="137">
        <f>'Consommation mensuel énergie'!D17</f>
        <v>113</v>
      </c>
      <c r="I9" s="137">
        <f>'Consommation mensuel énergie'!E17</f>
        <v>199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'Consommation mensuel énergie'!L18</f>
        <v>5068</v>
      </c>
      <c r="F10" s="137">
        <f>'Consommation mensuel énergie'!M18</f>
        <v>7813</v>
      </c>
      <c r="G10" s="137">
        <f>'Consommation mensuel énergie'!N18</f>
        <v>3803</v>
      </c>
      <c r="H10" s="137">
        <f>'Consommation mensuel énergie'!D18</f>
        <v>105</v>
      </c>
      <c r="I10" s="137">
        <f>'Consommation mensuel énergie'!E18</f>
        <v>184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'Consommation mensuel énergie'!L19</f>
        <v>5107</v>
      </c>
      <c r="F11" s="137">
        <f>'Consommation mensuel énergie'!M19</f>
        <v>7968</v>
      </c>
      <c r="G11" s="137">
        <f>'Consommation mensuel énergie'!N19</f>
        <v>3706</v>
      </c>
      <c r="H11" s="137">
        <f>'Consommation mensuel énergie'!D19</f>
        <v>131</v>
      </c>
      <c r="I11" s="137">
        <f>'Consommation mensuel énergie'!E19</f>
        <v>208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'Consommation mensuel énergie'!L20</f>
        <v>5060</v>
      </c>
      <c r="F12" s="137">
        <f>'Consommation mensuel énergie'!M20</f>
        <v>7583</v>
      </c>
      <c r="G12" s="137">
        <f>'Consommation mensuel énergie'!N20</f>
        <v>3316</v>
      </c>
      <c r="H12" s="137">
        <f>'Consommation mensuel énergie'!D20</f>
        <v>130</v>
      </c>
      <c r="I12" s="137">
        <f>'Consommation mensuel énergie'!E20</f>
        <v>189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'Consommation mensuel énergie'!L21</f>
        <v>5580</v>
      </c>
      <c r="F13" s="137">
        <f>'Consommation mensuel énergie'!M21</f>
        <v>7563</v>
      </c>
      <c r="G13" s="137">
        <f>'Consommation mensuel énergie'!N21</f>
        <v>3668</v>
      </c>
      <c r="H13" s="137">
        <f>'Consommation mensuel énergie'!D21</f>
        <v>143</v>
      </c>
      <c r="I13" s="137">
        <f>'Consommation mensuel énergie'!E21</f>
        <v>210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'Consommation mensuel énergie'!L22</f>
        <v>5981</v>
      </c>
      <c r="F14" s="137">
        <f>'Consommation mensuel énergie'!M22</f>
        <v>8066</v>
      </c>
      <c r="G14" s="137">
        <f>'Consommation mensuel énergie'!N22</f>
        <v>4022</v>
      </c>
      <c r="H14" s="137">
        <f>'Consommation mensuel énergie'!D22</f>
        <v>122</v>
      </c>
      <c r="I14" s="137">
        <f>'Consommation mensuel énergie'!E22</f>
        <v>174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'Consommation mensuel énergie'!L23</f>
        <v>5036</v>
      </c>
      <c r="F15" s="137">
        <f>'Consommation mensuel énergie'!M23</f>
        <v>8284</v>
      </c>
      <c r="G15" s="137">
        <f>'Consommation mensuel énergie'!N23</f>
        <v>4067</v>
      </c>
      <c r="H15" s="137">
        <f>'Consommation mensuel énergie'!D23</f>
        <v>129</v>
      </c>
      <c r="I15" s="137">
        <f>'Consommation mensuel énergie'!E23</f>
        <v>212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'Consommation mensuel énergie'!L24</f>
        <v>5214</v>
      </c>
      <c r="F16" s="137">
        <f>'Consommation mensuel énergie'!M24</f>
        <v>7779</v>
      </c>
      <c r="G16" s="137">
        <f>'Consommation mensuel énergie'!N24</f>
        <v>4100</v>
      </c>
      <c r="H16" s="137">
        <f>'Consommation mensuel énergie'!D24</f>
        <v>125</v>
      </c>
      <c r="I16" s="137">
        <f>'Consommation mensuel énergie'!E24</f>
        <v>222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'Consommation mensuel énergie'!L25</f>
        <v>5383</v>
      </c>
      <c r="F17" s="137">
        <f>'Consommation mensuel énergie'!M25</f>
        <v>9128</v>
      </c>
      <c r="G17" s="137">
        <f>'Consommation mensuel énergie'!N25</f>
        <v>4759</v>
      </c>
      <c r="H17" s="137">
        <f>'Consommation mensuel énergie'!D25</f>
        <v>113</v>
      </c>
      <c r="I17" s="137">
        <f>'Consommation mensuel énergie'!E25</f>
        <v>192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'Consommation mensuel énergie'!L26</f>
        <v>4798</v>
      </c>
      <c r="F18" s="137">
        <f>'Consommation mensuel énergie'!M26</f>
        <v>8052</v>
      </c>
      <c r="G18" s="137">
        <f>'Consommation mensuel énergie'!N26</f>
        <v>3815</v>
      </c>
      <c r="H18" s="137">
        <f>'Consommation mensuel énergie'!D26</f>
        <v>153</v>
      </c>
      <c r="I18" s="137">
        <f>'Consommation mensuel énergie'!E26</f>
        <v>239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'Consommation mensuel énergie'!L27</f>
        <v>4978</v>
      </c>
      <c r="F19" s="137">
        <f>'Consommation mensuel énergie'!M27</f>
        <v>8111</v>
      </c>
      <c r="G19" s="137">
        <f>'Consommation mensuel énergie'!N27</f>
        <v>4245</v>
      </c>
      <c r="H19" s="137">
        <f>'Consommation mensuel énergie'!D27</f>
        <v>158</v>
      </c>
      <c r="I19" s="137">
        <f>'Consommation mensuel énergie'!E27</f>
        <v>235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'Consommation mensuel énergie'!L28</f>
        <v>5641</v>
      </c>
      <c r="F20" s="137">
        <f>'Consommation mensuel énergie'!M28</f>
        <v>8154</v>
      </c>
      <c r="G20" s="137">
        <f>'Consommation mensuel énergie'!N28</f>
        <v>4006</v>
      </c>
      <c r="H20" s="137">
        <f>'Consommation mensuel énergie'!D28</f>
        <v>159</v>
      </c>
      <c r="I20" s="137">
        <f>'Consommation mensuel énergie'!E28</f>
        <v>229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'Consommation mensuel énergie'!L29</f>
        <v>6358</v>
      </c>
      <c r="F21" s="137">
        <f>'Consommation mensuel énergie'!M29</f>
        <v>9018</v>
      </c>
      <c r="G21" s="137">
        <f>'Consommation mensuel énergie'!N29</f>
        <v>4089</v>
      </c>
      <c r="H21" s="137">
        <f>'Consommation mensuel énergie'!D29</f>
        <v>166</v>
      </c>
      <c r="I21" s="137">
        <f>'Consommation mensuel énergie'!E29</f>
        <v>260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'Consommation mensuel énergie'!L30</f>
        <v>5337</v>
      </c>
      <c r="F22" s="137">
        <f>'Consommation mensuel énergie'!M30</f>
        <v>8484</v>
      </c>
      <c r="G22" s="137">
        <f>'Consommation mensuel énergie'!N30</f>
        <v>4221</v>
      </c>
      <c r="H22" s="137">
        <f>'Consommation mensuel énergie'!D30</f>
        <v>143</v>
      </c>
      <c r="I22" s="137">
        <f>'Consommation mensuel énergie'!E30</f>
        <v>233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'Consommation mensuel énergie'!L31</f>
        <v>4940</v>
      </c>
      <c r="F23" s="137">
        <f>'Consommation mensuel énergie'!M31</f>
        <v>7519</v>
      </c>
      <c r="G23" s="137">
        <f>'Consommation mensuel énergie'!N31</f>
        <v>3668</v>
      </c>
      <c r="H23" s="137">
        <f>'Consommation mensuel énergie'!D31</f>
        <v>147</v>
      </c>
      <c r="I23" s="137">
        <f>'Consommation mensuel énergie'!E31</f>
        <v>253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'Consommation mensuel énergie'!L32</f>
        <v>4932</v>
      </c>
      <c r="F24" s="137">
        <f>'Consommation mensuel énergie'!M32</f>
        <v>8397</v>
      </c>
      <c r="G24" s="137">
        <f>'Consommation mensuel énergie'!N32</f>
        <v>3987</v>
      </c>
      <c r="H24" s="137">
        <f>'Consommation mensuel énergie'!D32</f>
        <v>133</v>
      </c>
      <c r="I24" s="137">
        <f>'Consommation mensuel énergie'!E32</f>
        <v>216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'Consommation mensuel énergie'!L33</f>
        <v>4862</v>
      </c>
      <c r="F25" s="137">
        <f>'Consommation mensuel énergie'!M33</f>
        <v>7702</v>
      </c>
      <c r="G25" s="137">
        <f>'Consommation mensuel énergie'!N33</f>
        <v>3721</v>
      </c>
      <c r="H25" s="137">
        <f>'Consommation mensuel énergie'!D33</f>
        <v>152</v>
      </c>
      <c r="I25" s="137">
        <f>'Consommation mensuel énergie'!E33</f>
        <v>229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'Consommation mensuel énergie'!L34</f>
        <v>4727</v>
      </c>
      <c r="F26" s="137">
        <f>'Consommation mensuel énergie'!M34</f>
        <v>7499</v>
      </c>
      <c r="G26" s="137">
        <f>'Consommation mensuel énergie'!N34</f>
        <v>3635</v>
      </c>
      <c r="H26" s="137">
        <f>'Consommation mensuel énergie'!D34</f>
        <v>116</v>
      </c>
      <c r="I26" s="137">
        <f>'Consommation mensuel énergie'!E34</f>
        <v>173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10</v>
      </c>
      <c r="D27" s="141">
        <v>2022</v>
      </c>
      <c r="E27" s="137">
        <f>'Consommation mensuel énergie'!L35</f>
        <v>4874</v>
      </c>
      <c r="F27" s="137">
        <f>'Consommation mensuel énergie'!M35</f>
        <v>7554</v>
      </c>
      <c r="G27" s="137">
        <f>'Consommation mensuel énergie'!N35</f>
        <v>3817</v>
      </c>
      <c r="H27" s="137">
        <f>'Consommation mensuel énergie'!D35</f>
        <v>139</v>
      </c>
      <c r="I27" s="137">
        <f>'Consommation mensuel énergie'!E35</f>
        <v>201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'Consommation mensuel énergie'!L36</f>
        <v>4664</v>
      </c>
      <c r="F28" s="137">
        <f>'Consommation mensuel énergie'!M36</f>
        <v>7585</v>
      </c>
      <c r="G28" s="137">
        <f>'Consommation mensuel énergie'!N36</f>
        <v>3819</v>
      </c>
      <c r="H28" s="137">
        <f>'Consommation mensuel énergie'!D36</f>
        <v>142</v>
      </c>
      <c r="I28" s="137">
        <f>'Consommation mensuel énergie'!E36</f>
        <v>212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'Consommation mensuel énergie'!L37</f>
        <v>5421</v>
      </c>
      <c r="F29" s="137">
        <f>'Consommation mensuel énergie'!M37</f>
        <v>7403</v>
      </c>
      <c r="G29" s="137">
        <f>'Consommation mensuel énergie'!N37</f>
        <v>3728</v>
      </c>
      <c r="H29" s="137">
        <f>'Consommation mensuel énergie'!D37</f>
        <v>113</v>
      </c>
      <c r="I29" s="137">
        <f>'Consommation mensuel énergie'!E37</f>
        <v>191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'Consommation mensuel énergie'!L38</f>
        <v>5751</v>
      </c>
      <c r="F30" s="137">
        <f>'Consommation mensuel énergie'!M38</f>
        <v>7361</v>
      </c>
      <c r="G30" s="137">
        <f>'Consommation mensuel énergie'!N38</f>
        <v>3837</v>
      </c>
      <c r="H30" s="137">
        <f>'Consommation mensuel énergie'!D38</f>
        <v>153</v>
      </c>
      <c r="I30" s="137">
        <f>'Consommation mensuel énergie'!E38</f>
        <v>256</v>
      </c>
      <c r="J30" s="133"/>
    </row>
    <row r="31" spans="1:10" x14ac:dyDescent="0.2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'Consommation mensuel énergie'!L39</f>
        <v>4749</v>
      </c>
      <c r="F31" s="137">
        <f>'Consommation mensuel énergie'!M39</f>
        <v>7718</v>
      </c>
      <c r="G31" s="137">
        <f>'Consommation mensuel énergie'!N39</f>
        <v>3765</v>
      </c>
      <c r="H31" s="137">
        <f>'Consommation mensuel énergie'!D39</f>
        <v>135</v>
      </c>
      <c r="I31" s="137">
        <f>'Consommation mensuel énergie'!E39</f>
        <v>221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10</v>
      </c>
      <c r="D32" s="141">
        <v>2022</v>
      </c>
      <c r="E32" s="137">
        <f>'Consommation mensuel énergie'!L40</f>
        <v>4807</v>
      </c>
      <c r="F32" s="137">
        <f>'Consommation mensuel énergie'!M40</f>
        <v>7909</v>
      </c>
      <c r="G32" s="137">
        <f>'Consommation mensuel énergie'!N40</f>
        <v>3853</v>
      </c>
      <c r="H32" s="137">
        <f>'Consommation mensuel énergie'!D40</f>
        <v>135</v>
      </c>
      <c r="I32" s="137">
        <f>'Consommation mensuel énergie'!E40</f>
        <v>214</v>
      </c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8" activePane="bottomRight" state="frozen"/>
      <selection pane="topRight" activeCell="B21" sqref="A21:IV21"/>
      <selection pane="bottomLeft" activeCell="B21" sqref="A21:IV21"/>
      <selection pane="bottomRight" activeCell="O41" sqref="O41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 x14ac:dyDescent="0.25"/>
    <row r="4" spans="1:24" ht="39" hidden="1" customHeight="1" thickBot="1" x14ac:dyDescent="0.25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 x14ac:dyDescent="0.25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 x14ac:dyDescent="0.25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 x14ac:dyDescent="0.25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 x14ac:dyDescent="0.25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 x14ac:dyDescent="0.2">
      <c r="A10" s="2"/>
      <c r="B10" s="6">
        <v>44835</v>
      </c>
      <c r="C10" s="7"/>
      <c r="D10" s="143">
        <v>136</v>
      </c>
      <c r="E10" s="143">
        <v>210</v>
      </c>
      <c r="F10" s="13">
        <f>'Suivi EAU-ELEC'!E9</f>
        <v>120.29999999998836</v>
      </c>
      <c r="G10" s="11"/>
      <c r="H10" s="168">
        <f>F10*8.79</f>
        <v>1057.4369999998976</v>
      </c>
      <c r="I10" s="169"/>
      <c r="J10" s="169"/>
      <c r="K10" s="60">
        <v>42278</v>
      </c>
      <c r="L10" s="90">
        <f>'Suivi EAU-ELEC'!G9</f>
        <v>4593</v>
      </c>
      <c r="M10" s="91">
        <f>'Suivi EAU-ELEC'!I9</f>
        <v>8275</v>
      </c>
      <c r="N10" s="91">
        <f>'Suivi EAU-ELEC'!K9</f>
        <v>3636</v>
      </c>
      <c r="O10" s="91">
        <f>L10+M10+N10</f>
        <v>16504</v>
      </c>
      <c r="P10" s="11"/>
      <c r="Q10" s="34">
        <f>L10*0.6985+M10*0.9514+N10*1.3304</f>
        <v>15918.3799</v>
      </c>
      <c r="R10" s="11"/>
      <c r="S10" s="28"/>
      <c r="T10" s="11"/>
      <c r="U10" s="28"/>
      <c r="V10" s="146">
        <f>'Suvi Gaz'!O4</f>
        <v>479.98815000000002</v>
      </c>
      <c r="W10" s="11"/>
      <c r="X10" s="34">
        <f>V10*12.74</f>
        <v>6115.0490310000005</v>
      </c>
    </row>
    <row r="11" spans="1:24" ht="32.25" customHeight="1" x14ac:dyDescent="0.2">
      <c r="A11" s="2"/>
      <c r="B11" s="6">
        <v>44836</v>
      </c>
      <c r="C11" s="7"/>
      <c r="D11" s="143">
        <v>154</v>
      </c>
      <c r="E11" s="143">
        <v>221</v>
      </c>
      <c r="F11" s="13">
        <f>'Suivi EAU-ELEC'!E10</f>
        <v>139</v>
      </c>
      <c r="G11" s="11"/>
      <c r="H11" s="168">
        <f t="shared" ref="H11:H21" si="0">F11*8.79</f>
        <v>1221.81</v>
      </c>
      <c r="I11" s="169"/>
      <c r="J11" s="169"/>
      <c r="K11" s="60">
        <v>42279</v>
      </c>
      <c r="L11" s="90">
        <f>'Suivi EAU-ELEC'!G10</f>
        <v>6635</v>
      </c>
      <c r="M11" s="91">
        <f>'Suivi EAU-ELEC'!I10</f>
        <v>8358</v>
      </c>
      <c r="N11" s="91">
        <f>'Suivi EAU-ELEC'!K10</f>
        <v>4373</v>
      </c>
      <c r="O11" s="91">
        <f t="shared" ref="O11:O40" si="1">L11+M11+N11</f>
        <v>19366</v>
      </c>
      <c r="P11" s="11"/>
      <c r="Q11" s="34">
        <f>L11*0.6985+M11*0.9514+N14*1.3304</f>
        <v>18762.065499999997</v>
      </c>
      <c r="R11" s="11"/>
      <c r="S11" s="28"/>
      <c r="T11" s="11"/>
      <c r="U11" s="28"/>
      <c r="V11" s="146">
        <f>'Suvi Gaz'!O5</f>
        <v>447.98894000000001</v>
      </c>
      <c r="W11" s="11"/>
      <c r="X11" s="34">
        <f t="shared" ref="X11:X40" si="2">V11*12.74</f>
        <v>5707.3790956000003</v>
      </c>
    </row>
    <row r="12" spans="1:24" ht="32.25" customHeight="1" x14ac:dyDescent="0.2">
      <c r="A12" s="2"/>
      <c r="B12" s="6">
        <v>44837</v>
      </c>
      <c r="C12" s="7"/>
      <c r="D12" s="143">
        <v>147</v>
      </c>
      <c r="E12" s="143">
        <v>178</v>
      </c>
      <c r="F12" s="13">
        <f>'Suivi EAU-ELEC'!E11</f>
        <v>134</v>
      </c>
      <c r="G12" s="11"/>
      <c r="H12" s="168">
        <f t="shared" si="0"/>
        <v>1177.8599999999999</v>
      </c>
      <c r="I12" s="169"/>
      <c r="J12" s="169"/>
      <c r="K12" s="60">
        <v>42280</v>
      </c>
      <c r="L12" s="90">
        <f>'Suivi EAU-ELEC'!G11</f>
        <v>5388</v>
      </c>
      <c r="M12" s="91">
        <f>'Suivi EAU-ELEC'!I11</f>
        <v>7402</v>
      </c>
      <c r="N12" s="91">
        <f>'Suivi EAU-ELEC'!K11</f>
        <v>3620</v>
      </c>
      <c r="O12" s="91">
        <f t="shared" si="1"/>
        <v>16410</v>
      </c>
      <c r="P12" s="11"/>
      <c r="Q12" s="34">
        <f>L12*0.6985+M12*0.9514+N12*1.3304</f>
        <v>15621.828799999999</v>
      </c>
      <c r="R12" s="11"/>
      <c r="S12" s="28"/>
      <c r="T12" s="11"/>
      <c r="U12" s="28"/>
      <c r="V12" s="146">
        <f>'Suvi Gaz'!O6</f>
        <v>383.99052</v>
      </c>
      <c r="W12" s="11"/>
      <c r="X12" s="34">
        <f t="shared" si="2"/>
        <v>4892.0392247999998</v>
      </c>
    </row>
    <row r="13" spans="1:24" ht="32.25" customHeight="1" x14ac:dyDescent="0.2">
      <c r="A13" s="2"/>
      <c r="B13" s="6">
        <v>44838</v>
      </c>
      <c r="C13" s="7"/>
      <c r="D13" s="143">
        <v>146</v>
      </c>
      <c r="E13" s="143">
        <v>188</v>
      </c>
      <c r="F13" s="13">
        <f>'Suivi EAU-ELEC'!E12</f>
        <v>136.5</v>
      </c>
      <c r="G13" s="11"/>
      <c r="H13" s="168">
        <f t="shared" si="0"/>
        <v>1199.8349999999998</v>
      </c>
      <c r="I13" s="169"/>
      <c r="J13" s="169"/>
      <c r="K13" s="60">
        <v>42281</v>
      </c>
      <c r="L13" s="90">
        <f>'Suivi EAU-ELEC'!G12</f>
        <v>5796</v>
      </c>
      <c r="M13" s="91">
        <f>'Suivi EAU-ELEC'!I12</f>
        <v>9135</v>
      </c>
      <c r="N13" s="91">
        <f>'Suivi EAU-ELEC'!K12</f>
        <v>4513</v>
      </c>
      <c r="O13" s="91">
        <f t="shared" si="1"/>
        <v>19444</v>
      </c>
      <c r="P13" s="11"/>
      <c r="Q13" s="34">
        <f t="shared" ref="Q13:Q36" si="3">L13*0.6985+M13*0.9514+N13*1.3304</f>
        <v>18743.640200000002</v>
      </c>
      <c r="R13" s="11"/>
      <c r="S13" s="28"/>
      <c r="T13" s="11"/>
      <c r="U13" s="28"/>
      <c r="V13" s="146">
        <f>'Suvi Gaz'!O7</f>
        <v>384.71640000000002</v>
      </c>
      <c r="W13" s="11"/>
      <c r="X13" s="34">
        <f t="shared" si="2"/>
        <v>4901.2869360000004</v>
      </c>
    </row>
    <row r="14" spans="1:24" ht="32.25" customHeight="1" x14ac:dyDescent="0.2">
      <c r="A14" s="2"/>
      <c r="B14" s="6">
        <v>44839</v>
      </c>
      <c r="C14" s="7"/>
      <c r="D14" s="143">
        <v>133</v>
      </c>
      <c r="E14" s="143">
        <v>185</v>
      </c>
      <c r="F14" s="13">
        <f>'Suivi EAU-ELEC'!E13</f>
        <v>143.29999999998836</v>
      </c>
      <c r="G14" s="12"/>
      <c r="H14" s="168">
        <f t="shared" si="0"/>
        <v>1259.6069999998977</v>
      </c>
      <c r="I14" s="169"/>
      <c r="J14" s="169"/>
      <c r="K14" s="60">
        <v>42282</v>
      </c>
      <c r="L14" s="90">
        <f>'Suivi EAU-ELEC'!G13</f>
        <v>6203</v>
      </c>
      <c r="M14" s="91">
        <f>'Suivi EAU-ELEC'!I13</f>
        <v>9572</v>
      </c>
      <c r="N14" s="91">
        <f>'Suivi EAU-ELEC'!K13</f>
        <v>4642</v>
      </c>
      <c r="O14" s="91">
        <f t="shared" si="1"/>
        <v>20417</v>
      </c>
      <c r="P14" s="12"/>
      <c r="Q14" s="34">
        <f t="shared" si="3"/>
        <v>19615.313099999999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2"/>
        <v>4892.0392247999998</v>
      </c>
    </row>
    <row r="15" spans="1:24" ht="32.25" customHeight="1" x14ac:dyDescent="0.2">
      <c r="A15" s="5"/>
      <c r="B15" s="6">
        <v>44840</v>
      </c>
      <c r="C15" s="7"/>
      <c r="D15" s="143">
        <v>125</v>
      </c>
      <c r="E15" s="143">
        <v>183</v>
      </c>
      <c r="F15" s="13">
        <f>'Suivi EAU-ELEC'!E14</f>
        <v>146.60000000000582</v>
      </c>
      <c r="G15" s="11"/>
      <c r="H15" s="168">
        <f t="shared" si="0"/>
        <v>1288.614000000051</v>
      </c>
      <c r="I15" s="169"/>
      <c r="J15" s="169"/>
      <c r="K15" s="60">
        <v>42283</v>
      </c>
      <c r="L15" s="90">
        <f>'Suivi EAU-ELEC'!G14</f>
        <v>6296</v>
      </c>
      <c r="M15" s="91">
        <f>'Suivi EAU-ELEC'!I14</f>
        <v>9428</v>
      </c>
      <c r="N15" s="91">
        <f>'Suivi EAU-ELEC'!K14</f>
        <v>4548</v>
      </c>
      <c r="O15" s="91">
        <f t="shared" si="1"/>
        <v>20272</v>
      </c>
      <c r="P15" s="12"/>
      <c r="Q15" s="34">
        <f>L15*0.6985+M15*0.9514+N15*1.3304</f>
        <v>19418.214399999997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2"/>
        <v>3261.3594832000003</v>
      </c>
    </row>
    <row r="16" spans="1:24" ht="32.25" customHeight="1" x14ac:dyDescent="0.2">
      <c r="A16" s="5"/>
      <c r="B16" s="6">
        <v>44841</v>
      </c>
      <c r="C16" s="7"/>
      <c r="D16" s="143">
        <v>103</v>
      </c>
      <c r="E16" s="143">
        <v>178</v>
      </c>
      <c r="F16" s="13">
        <f>'Suivi EAU-ELEC'!E15</f>
        <v>149.60000000000582</v>
      </c>
      <c r="G16" s="11"/>
      <c r="H16" s="168">
        <f t="shared" si="0"/>
        <v>1314.9840000000511</v>
      </c>
      <c r="I16" s="169"/>
      <c r="J16" s="169"/>
      <c r="K16" s="60">
        <v>42284</v>
      </c>
      <c r="L16" s="90">
        <f>'Suivi EAU-ELEC'!G15</f>
        <v>5474</v>
      </c>
      <c r="M16" s="91">
        <f>'Suivi EAU-ELEC'!I15</f>
        <v>8584</v>
      </c>
      <c r="N16" s="91">
        <f>'Suivi EAU-ELEC'!K15</f>
        <v>4089</v>
      </c>
      <c r="O16" s="91">
        <f t="shared" si="1"/>
        <v>18147</v>
      </c>
      <c r="P16" s="11"/>
      <c r="Q16" s="34">
        <f t="shared" si="3"/>
        <v>17430.412199999999</v>
      </c>
      <c r="R16" s="11"/>
      <c r="S16" s="28"/>
      <c r="T16" s="11"/>
      <c r="U16" s="28"/>
      <c r="V16" s="146">
        <f>'Suvi Gaz'!O10</f>
        <v>415.98973000000001</v>
      </c>
      <c r="W16" s="11"/>
      <c r="X16" s="34">
        <f t="shared" si="2"/>
        <v>5299.7091602</v>
      </c>
    </row>
    <row r="17" spans="1:24" s="5" customFormat="1" ht="32.25" customHeight="1" x14ac:dyDescent="0.2">
      <c r="A17" s="2"/>
      <c r="B17" s="6">
        <v>44842</v>
      </c>
      <c r="C17" s="7"/>
      <c r="D17" s="143">
        <v>113</v>
      </c>
      <c r="E17" s="143">
        <v>199</v>
      </c>
      <c r="F17" s="13">
        <f>'Suivi EAU-ELEC'!E16</f>
        <v>131</v>
      </c>
      <c r="G17" s="11"/>
      <c r="H17" s="168">
        <f t="shared" si="0"/>
        <v>1151.4899999999998</v>
      </c>
      <c r="I17" s="169"/>
      <c r="J17" s="169"/>
      <c r="K17" s="60">
        <v>42285</v>
      </c>
      <c r="L17" s="90">
        <f>'Suivi EAU-ELEC'!G16</f>
        <v>4716</v>
      </c>
      <c r="M17" s="91">
        <f>'Suivi EAU-ELEC'!I16</f>
        <v>7698</v>
      </c>
      <c r="N17" s="91">
        <f>'Suivi EAU-ELEC'!K16</f>
        <v>3581</v>
      </c>
      <c r="O17" s="91">
        <f t="shared" si="1"/>
        <v>15995</v>
      </c>
      <c r="P17" s="12"/>
      <c r="Q17" s="34">
        <f t="shared" si="3"/>
        <v>15382.1656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2"/>
        <v>4484.3692893999996</v>
      </c>
    </row>
    <row r="18" spans="1:24" ht="32.25" customHeight="1" x14ac:dyDescent="0.2">
      <c r="A18" s="2"/>
      <c r="B18" s="6">
        <v>44843</v>
      </c>
      <c r="C18" s="7"/>
      <c r="D18" s="143">
        <v>105</v>
      </c>
      <c r="E18" s="143">
        <v>184</v>
      </c>
      <c r="F18" s="13">
        <f>'Suivi EAU-ELEC'!E17</f>
        <v>124</v>
      </c>
      <c r="G18" s="11"/>
      <c r="H18" s="168">
        <f t="shared" si="0"/>
        <v>1089.9599999999998</v>
      </c>
      <c r="I18" s="169"/>
      <c r="J18" s="169"/>
      <c r="K18" s="60">
        <v>42286</v>
      </c>
      <c r="L18" s="90">
        <f>'Suivi EAU-ELEC'!G17</f>
        <v>5068</v>
      </c>
      <c r="M18" s="91">
        <f>'Suivi EAU-ELEC'!I17</f>
        <v>7813</v>
      </c>
      <c r="N18" s="91">
        <f>'Suivi EAU-ELEC'!K17</f>
        <v>3803</v>
      </c>
      <c r="O18" s="91">
        <f t="shared" si="1"/>
        <v>16684</v>
      </c>
      <c r="P18" s="12"/>
      <c r="Q18" s="34">
        <f t="shared" si="3"/>
        <v>16032.797399999999</v>
      </c>
      <c r="R18" s="12"/>
      <c r="S18" s="28"/>
      <c r="T18" s="12"/>
      <c r="U18" s="28"/>
      <c r="V18" s="146">
        <f>'Suvi Gaz'!O12</f>
        <v>351.99131</v>
      </c>
      <c r="W18" s="11"/>
      <c r="X18" s="34">
        <f t="shared" si="2"/>
        <v>4484.3692893999996</v>
      </c>
    </row>
    <row r="19" spans="1:24" ht="32.25" customHeight="1" x14ac:dyDescent="0.2">
      <c r="A19" s="2"/>
      <c r="B19" s="6">
        <v>44844</v>
      </c>
      <c r="C19" s="7"/>
      <c r="D19" s="143">
        <v>131</v>
      </c>
      <c r="E19" s="143">
        <v>208</v>
      </c>
      <c r="F19" s="13">
        <f>'Suivi EAU-ELEC'!E18</f>
        <v>126</v>
      </c>
      <c r="G19" s="12"/>
      <c r="H19" s="168">
        <f t="shared" si="0"/>
        <v>1107.54</v>
      </c>
      <c r="I19" s="169"/>
      <c r="J19" s="169"/>
      <c r="K19" s="60">
        <v>42287</v>
      </c>
      <c r="L19" s="90">
        <f>'Suivi EAU-ELEC'!G18</f>
        <v>5107</v>
      </c>
      <c r="M19" s="91">
        <f>'Suivi EAU-ELEC'!I18</f>
        <v>7968</v>
      </c>
      <c r="N19" s="91">
        <f>'Suivi EAU-ELEC'!K18</f>
        <v>3706</v>
      </c>
      <c r="O19" s="91">
        <f t="shared" si="1"/>
        <v>16781</v>
      </c>
      <c r="P19" s="12"/>
      <c r="Q19" s="34">
        <f t="shared" si="3"/>
        <v>16078.457100000001</v>
      </c>
      <c r="R19" s="12"/>
      <c r="S19" s="28"/>
      <c r="T19" s="12"/>
      <c r="U19" s="28"/>
      <c r="V19" s="146">
        <f>'Suvi Gaz'!O13</f>
        <v>415.98973000000001</v>
      </c>
      <c r="W19" s="11"/>
      <c r="X19" s="34">
        <f t="shared" si="2"/>
        <v>5299.7091602</v>
      </c>
    </row>
    <row r="20" spans="1:24" ht="32.25" customHeight="1" x14ac:dyDescent="0.2">
      <c r="A20" s="2"/>
      <c r="B20" s="6">
        <v>44845</v>
      </c>
      <c r="C20" s="7"/>
      <c r="D20" s="143">
        <v>130</v>
      </c>
      <c r="E20" s="143">
        <v>189</v>
      </c>
      <c r="F20" s="13">
        <f>'Suivi EAU-ELEC'!E19</f>
        <v>123</v>
      </c>
      <c r="G20" s="12"/>
      <c r="H20" s="168">
        <f t="shared" si="0"/>
        <v>1081.1699999999998</v>
      </c>
      <c r="I20" s="169"/>
      <c r="J20" s="169"/>
      <c r="K20" s="60">
        <v>42288</v>
      </c>
      <c r="L20" s="90">
        <f>'Suivi EAU-ELEC'!G19</f>
        <v>5060</v>
      </c>
      <c r="M20" s="91">
        <f>'Suivi EAU-ELEC'!I19</f>
        <v>7583</v>
      </c>
      <c r="N20" s="91">
        <f>'Suivi EAU-ELEC'!K19</f>
        <v>3316</v>
      </c>
      <c r="O20" s="91">
        <f t="shared" si="1"/>
        <v>15959</v>
      </c>
      <c r="P20" s="12"/>
      <c r="Q20" s="34">
        <f t="shared" si="3"/>
        <v>15160.482599999999</v>
      </c>
      <c r="R20" s="12"/>
      <c r="S20" s="28"/>
      <c r="T20" s="12"/>
      <c r="U20" s="28"/>
      <c r="V20" s="146">
        <f>'Suvi Gaz'!O14</f>
        <v>223.99447000000001</v>
      </c>
      <c r="W20" s="11"/>
      <c r="X20" s="34">
        <f t="shared" si="2"/>
        <v>2853.6895478000001</v>
      </c>
    </row>
    <row r="21" spans="1:24" ht="32.25" customHeight="1" x14ac:dyDescent="0.2">
      <c r="A21" s="2"/>
      <c r="B21" s="6">
        <v>44846</v>
      </c>
      <c r="C21" s="7"/>
      <c r="D21" s="143">
        <v>143</v>
      </c>
      <c r="E21" s="143">
        <v>210</v>
      </c>
      <c r="F21" s="13">
        <f>'Suivi EAU-ELEC'!E20</f>
        <v>153.5</v>
      </c>
      <c r="G21" s="12"/>
      <c r="H21" s="168">
        <f t="shared" si="0"/>
        <v>1349.2649999999999</v>
      </c>
      <c r="I21" s="169"/>
      <c r="J21" s="169"/>
      <c r="K21" s="60">
        <v>42289</v>
      </c>
      <c r="L21" s="90">
        <f>'Suivi EAU-ELEC'!G20</f>
        <v>5580</v>
      </c>
      <c r="M21" s="91">
        <f>'Suivi EAU-ELEC'!I20</f>
        <v>7563</v>
      </c>
      <c r="N21" s="91">
        <f>'Suivi EAU-ELEC'!K20</f>
        <v>3668</v>
      </c>
      <c r="O21" s="91">
        <f t="shared" si="1"/>
        <v>16811</v>
      </c>
      <c r="P21" s="12"/>
      <c r="Q21" s="34">
        <f t="shared" si="3"/>
        <v>15972.975400000001</v>
      </c>
      <c r="R21" s="12"/>
      <c r="S21" s="28"/>
      <c r="T21" s="12"/>
      <c r="U21" s="28"/>
      <c r="V21" s="146">
        <f>'Suvi Gaz'!O15</f>
        <v>223.99447000000001</v>
      </c>
      <c r="W21" s="11"/>
      <c r="X21" s="34">
        <f t="shared" si="2"/>
        <v>2853.6895478000001</v>
      </c>
    </row>
    <row r="22" spans="1:24" ht="32.25" customHeight="1" x14ac:dyDescent="0.2">
      <c r="A22" s="2"/>
      <c r="B22" s="6">
        <v>44847</v>
      </c>
      <c r="C22" s="7"/>
      <c r="D22" s="143">
        <v>122</v>
      </c>
      <c r="E22" s="143">
        <v>174</v>
      </c>
      <c r="F22" s="13">
        <f>'Suivi EAU-ELEC'!E21</f>
        <v>132.20000000001164</v>
      </c>
      <c r="G22" s="12"/>
      <c r="H22" s="168">
        <f t="shared" ref="H22:H35" si="4">F22*8.79</f>
        <v>1162.0380000001023</v>
      </c>
      <c r="I22" s="169"/>
      <c r="J22" s="169"/>
      <c r="K22" s="60">
        <v>42290</v>
      </c>
      <c r="L22" s="90">
        <f>'Suivi EAU-ELEC'!G21</f>
        <v>5981</v>
      </c>
      <c r="M22" s="91">
        <f>'Suivi EAU-ELEC'!I21</f>
        <v>8066</v>
      </c>
      <c r="N22" s="91">
        <f>'Suivi EAU-ELEC'!K21</f>
        <v>4022</v>
      </c>
      <c r="O22" s="91">
        <f t="shared" si="1"/>
        <v>18069</v>
      </c>
      <c r="P22" s="12"/>
      <c r="Q22" s="34">
        <f t="shared" si="3"/>
        <v>17202.5897</v>
      </c>
      <c r="R22" s="12"/>
      <c r="S22" s="28"/>
      <c r="T22" s="12"/>
      <c r="U22" s="28"/>
      <c r="V22" s="146">
        <f>'Suvi Gaz'!O16</f>
        <v>255.99368000000001</v>
      </c>
      <c r="W22" s="11"/>
      <c r="X22" s="34">
        <f t="shared" si="2"/>
        <v>3261.3594832000003</v>
      </c>
    </row>
    <row r="23" spans="1:24" ht="32.25" customHeight="1" x14ac:dyDescent="0.2">
      <c r="A23" s="2"/>
      <c r="B23" s="6">
        <v>44848</v>
      </c>
      <c r="C23" s="7"/>
      <c r="D23" s="143">
        <v>129</v>
      </c>
      <c r="E23" s="143">
        <v>212</v>
      </c>
      <c r="F23" s="13">
        <f>'Suivi EAU-ELEC'!E22</f>
        <v>131.29999999998836</v>
      </c>
      <c r="G23" s="14"/>
      <c r="H23" s="168">
        <f t="shared" si="4"/>
        <v>1154.1269999998976</v>
      </c>
      <c r="I23" s="169"/>
      <c r="J23" s="169"/>
      <c r="K23" s="60">
        <v>42291</v>
      </c>
      <c r="L23" s="90">
        <f>'Suivi EAU-ELEC'!G22</f>
        <v>5036</v>
      </c>
      <c r="M23" s="91">
        <f>'Suivi EAU-ELEC'!I22</f>
        <v>8284</v>
      </c>
      <c r="N23" s="91">
        <f>'Suivi EAU-ELEC'!K22</f>
        <v>4067</v>
      </c>
      <c r="O23" s="91">
        <f t="shared" si="1"/>
        <v>17387</v>
      </c>
      <c r="P23" s="12"/>
      <c r="Q23" s="34">
        <f>L23*0.6985+M23*0.9514+N23*1.3304</f>
        <v>16809.7804</v>
      </c>
      <c r="R23" s="12"/>
      <c r="S23" s="28"/>
      <c r="T23" s="14"/>
      <c r="U23" s="28"/>
      <c r="V23" s="146">
        <f>'Suvi Gaz'!O17</f>
        <v>447.98894000000001</v>
      </c>
      <c r="W23" s="11"/>
      <c r="X23" s="34">
        <f t="shared" si="2"/>
        <v>5707.3790956000003</v>
      </c>
    </row>
    <row r="24" spans="1:24" ht="32.25" customHeight="1" x14ac:dyDescent="0.2">
      <c r="A24" s="2"/>
      <c r="B24" s="6">
        <v>44849</v>
      </c>
      <c r="C24" s="7"/>
      <c r="D24" s="143">
        <v>125</v>
      </c>
      <c r="E24" s="143">
        <v>222</v>
      </c>
      <c r="F24" s="13">
        <f>'Suivi EAU-ELEC'!E23</f>
        <v>147</v>
      </c>
      <c r="G24" s="14"/>
      <c r="H24" s="168">
        <f t="shared" si="4"/>
        <v>1292.1299999999999</v>
      </c>
      <c r="I24" s="169"/>
      <c r="J24" s="169"/>
      <c r="K24" s="60">
        <v>42292</v>
      </c>
      <c r="L24" s="90">
        <f>'Suivi EAU-ELEC'!G23</f>
        <v>5214</v>
      </c>
      <c r="M24" s="91">
        <f>'Suivi EAU-ELEC'!I23</f>
        <v>7779</v>
      </c>
      <c r="N24" s="91">
        <f>'Suivi EAU-ELEC'!K23</f>
        <v>4100</v>
      </c>
      <c r="O24" s="91">
        <f t="shared" si="1"/>
        <v>17093</v>
      </c>
      <c r="P24" s="12"/>
      <c r="Q24" s="34">
        <f>L24*0.6985+M24*0.9514+N24*1.3304</f>
        <v>16497.559600000001</v>
      </c>
      <c r="R24" s="12"/>
      <c r="S24" s="28"/>
      <c r="T24" s="14"/>
      <c r="U24" s="28"/>
      <c r="V24" s="146">
        <f>'Suvi Gaz'!O18</f>
        <v>383.99052</v>
      </c>
      <c r="W24" s="11"/>
      <c r="X24" s="34">
        <f t="shared" si="2"/>
        <v>4892.0392247999998</v>
      </c>
    </row>
    <row r="25" spans="1:24" ht="32.25" customHeight="1" x14ac:dyDescent="0.2">
      <c r="A25" s="2"/>
      <c r="B25" s="6">
        <v>44850</v>
      </c>
      <c r="C25" s="7"/>
      <c r="D25" s="143">
        <v>113</v>
      </c>
      <c r="E25" s="143">
        <v>192</v>
      </c>
      <c r="F25" s="13">
        <f>'Suivi EAU-ELEC'!E24</f>
        <v>145</v>
      </c>
      <c r="G25" s="14"/>
      <c r="H25" s="168">
        <f t="shared" si="4"/>
        <v>1274.55</v>
      </c>
      <c r="I25" s="169"/>
      <c r="J25" s="169"/>
      <c r="K25" s="60">
        <v>42293</v>
      </c>
      <c r="L25" s="90">
        <f>'Suivi EAU-ELEC'!G24</f>
        <v>5383</v>
      </c>
      <c r="M25" s="91">
        <f>'Suivi EAU-ELEC'!I24</f>
        <v>9128</v>
      </c>
      <c r="N25" s="91">
        <f>'Suivi EAU-ELEC'!K24</f>
        <v>4759</v>
      </c>
      <c r="O25" s="91">
        <f t="shared" si="1"/>
        <v>19270</v>
      </c>
      <c r="P25" s="12"/>
      <c r="Q25" s="34">
        <f>L25*0.6985+M25*0.9514+N25*1.3304</f>
        <v>18775.778299999998</v>
      </c>
      <c r="R25" s="12"/>
      <c r="S25" s="28"/>
      <c r="T25" s="14"/>
      <c r="U25" s="28"/>
      <c r="V25" s="146">
        <f>'Suvi Gaz'!O19</f>
        <v>287.99288999999999</v>
      </c>
      <c r="W25" s="11"/>
      <c r="X25" s="34">
        <f t="shared" si="2"/>
        <v>3669.0294186000001</v>
      </c>
    </row>
    <row r="26" spans="1:24" ht="32.25" customHeight="1" x14ac:dyDescent="0.2">
      <c r="A26" s="2"/>
      <c r="B26" s="6">
        <v>44851</v>
      </c>
      <c r="C26" s="7"/>
      <c r="D26" s="143">
        <v>153</v>
      </c>
      <c r="E26" s="143">
        <v>239</v>
      </c>
      <c r="F26" s="13">
        <f>'Suivi EAU-ELEC'!E25</f>
        <v>136</v>
      </c>
      <c r="G26" s="14"/>
      <c r="H26" s="168">
        <f t="shared" si="4"/>
        <v>1195.4399999999998</v>
      </c>
      <c r="I26" s="169"/>
      <c r="J26" s="169"/>
      <c r="K26" s="60">
        <v>42294</v>
      </c>
      <c r="L26" s="90">
        <f>'Suivi EAU-ELEC'!G25</f>
        <v>4798</v>
      </c>
      <c r="M26" s="91">
        <f>'Suivi EAU-ELEC'!I25</f>
        <v>8052</v>
      </c>
      <c r="N26" s="91">
        <f>'Suivi EAU-ELEC'!K25</f>
        <v>3815</v>
      </c>
      <c r="O26" s="91">
        <f t="shared" si="1"/>
        <v>16665</v>
      </c>
      <c r="P26" s="14"/>
      <c r="Q26" s="34">
        <f>L26*0.6985+M26*0.9514+N26*1.3304</f>
        <v>16087.551800000001</v>
      </c>
      <c r="R26" s="14"/>
      <c r="S26" s="28"/>
      <c r="T26" s="14"/>
      <c r="U26" s="28"/>
      <c r="V26" s="146">
        <f>'Suvi Gaz'!O20</f>
        <v>255.99368000000001</v>
      </c>
      <c r="W26" s="11"/>
      <c r="X26" s="34">
        <f t="shared" si="2"/>
        <v>3261.3594832000003</v>
      </c>
    </row>
    <row r="27" spans="1:24" ht="32.25" customHeight="1" x14ac:dyDescent="0.2">
      <c r="A27" s="2"/>
      <c r="B27" s="6">
        <v>44852</v>
      </c>
      <c r="C27" s="7"/>
      <c r="D27" s="143">
        <v>158</v>
      </c>
      <c r="E27" s="143">
        <v>235</v>
      </c>
      <c r="F27" s="13">
        <f>'Suivi EAU-ELEC'!E26</f>
        <v>132</v>
      </c>
      <c r="G27" s="14"/>
      <c r="H27" s="168">
        <f t="shared" si="4"/>
        <v>1160.28</v>
      </c>
      <c r="I27" s="169"/>
      <c r="J27" s="169"/>
      <c r="K27" s="60">
        <v>42295</v>
      </c>
      <c r="L27" s="90">
        <f>'Suivi EAU-ELEC'!G26</f>
        <v>4978</v>
      </c>
      <c r="M27" s="91">
        <f>'Suivi EAU-ELEC'!I26</f>
        <v>8111</v>
      </c>
      <c r="N27" s="91">
        <f>'Suivi EAU-ELEC'!K26</f>
        <v>4245</v>
      </c>
      <c r="O27" s="91">
        <f t="shared" si="1"/>
        <v>17334</v>
      </c>
      <c r="P27" s="14"/>
      <c r="Q27" s="34">
        <f t="shared" si="3"/>
        <v>16841.486400000002</v>
      </c>
      <c r="R27" s="14"/>
      <c r="S27" s="28"/>
      <c r="T27" s="14"/>
      <c r="U27" s="28"/>
      <c r="V27" s="146">
        <f>'Suvi Gaz'!O21</f>
        <v>511.98736000000002</v>
      </c>
      <c r="W27" s="11"/>
      <c r="X27" s="34">
        <f t="shared" si="2"/>
        <v>6522.7189664000007</v>
      </c>
    </row>
    <row r="28" spans="1:24" ht="32.25" customHeight="1" x14ac:dyDescent="0.2">
      <c r="A28" s="2"/>
      <c r="B28" s="6">
        <v>44853</v>
      </c>
      <c r="C28" s="7"/>
      <c r="D28" s="143">
        <v>159</v>
      </c>
      <c r="E28" s="143">
        <v>229</v>
      </c>
      <c r="F28" s="13">
        <f>'Suivi EAU-ELEC'!E27</f>
        <v>200.39999999999418</v>
      </c>
      <c r="G28" s="11"/>
      <c r="H28" s="168">
        <f t="shared" si="4"/>
        <v>1761.5159999999487</v>
      </c>
      <c r="I28" s="169"/>
      <c r="J28" s="169"/>
      <c r="K28" s="60">
        <v>42296</v>
      </c>
      <c r="L28" s="90">
        <f>'Suivi EAU-ELEC'!G27</f>
        <v>5641</v>
      </c>
      <c r="M28" s="91">
        <f>'Suivi EAU-ELEC'!I27</f>
        <v>8154</v>
      </c>
      <c r="N28" s="91">
        <f>'Suivi EAU-ELEC'!K27</f>
        <v>4006</v>
      </c>
      <c r="O28" s="91">
        <f t="shared" si="1"/>
        <v>17801</v>
      </c>
      <c r="P28" s="11"/>
      <c r="Q28" s="34">
        <f>L28*0.6985+M28*0.9514+N28*1.3304</f>
        <v>17027.536500000002</v>
      </c>
      <c r="R28" s="11"/>
      <c r="S28" s="28"/>
      <c r="T28" s="11"/>
      <c r="U28" s="28"/>
      <c r="V28" s="146">
        <f>'Suvi Gaz'!O22</f>
        <v>415.98973000000001</v>
      </c>
      <c r="W28" s="11"/>
      <c r="X28" s="34">
        <f t="shared" si="2"/>
        <v>5299.7091602</v>
      </c>
    </row>
    <row r="29" spans="1:24" ht="32.25" customHeight="1" x14ac:dyDescent="0.2">
      <c r="A29" s="2"/>
      <c r="B29" s="6">
        <v>44854</v>
      </c>
      <c r="C29" s="7"/>
      <c r="D29" s="143">
        <v>166</v>
      </c>
      <c r="E29" s="143">
        <v>260</v>
      </c>
      <c r="F29" s="13">
        <f>'Suivi EAU-ELEC'!E28</f>
        <v>145.39999999999418</v>
      </c>
      <c r="G29" s="11"/>
      <c r="H29" s="168">
        <f t="shared" si="4"/>
        <v>1278.0659999999486</v>
      </c>
      <c r="I29" s="169"/>
      <c r="J29" s="169"/>
      <c r="K29" s="60">
        <v>42297</v>
      </c>
      <c r="L29" s="90">
        <f>'Suivi EAU-ELEC'!G28</f>
        <v>6358</v>
      </c>
      <c r="M29" s="91">
        <f>'Suivi EAU-ELEC'!I28</f>
        <v>9018</v>
      </c>
      <c r="N29" s="91">
        <f>'Suivi EAU-ELEC'!K28</f>
        <v>4089</v>
      </c>
      <c r="O29" s="91">
        <f t="shared" si="1"/>
        <v>19465</v>
      </c>
      <c r="P29" s="11"/>
      <c r="Q29" s="34">
        <f t="shared" si="3"/>
        <v>18460.793799999999</v>
      </c>
      <c r="R29" s="11"/>
      <c r="S29" s="28"/>
      <c r="T29" s="11"/>
      <c r="U29" s="28"/>
      <c r="V29" s="146">
        <f>'Suvi Gaz'!O23</f>
        <v>479.98815000000002</v>
      </c>
      <c r="W29" s="11"/>
      <c r="X29" s="34">
        <f t="shared" si="2"/>
        <v>6115.0490310000005</v>
      </c>
    </row>
    <row r="30" spans="1:24" ht="32.25" customHeight="1" x14ac:dyDescent="0.2">
      <c r="A30" s="2"/>
      <c r="B30" s="6">
        <v>44855</v>
      </c>
      <c r="C30" s="7"/>
      <c r="D30" s="143">
        <v>143</v>
      </c>
      <c r="E30" s="143">
        <v>233</v>
      </c>
      <c r="F30" s="13">
        <f>'Suivi EAU-ELEC'!E29</f>
        <v>141.20000000001164</v>
      </c>
      <c r="G30" s="11"/>
      <c r="H30" s="168">
        <f t="shared" si="4"/>
        <v>1241.1480000001022</v>
      </c>
      <c r="I30" s="169"/>
      <c r="J30" s="169"/>
      <c r="K30" s="60">
        <v>42298</v>
      </c>
      <c r="L30" s="90">
        <f>'Suivi EAU-ELEC'!G29</f>
        <v>5337</v>
      </c>
      <c r="M30" s="91">
        <f>'Suivi EAU-ELEC'!I29</f>
        <v>8484</v>
      </c>
      <c r="N30" s="91">
        <f>'Suivi EAU-ELEC'!K29</f>
        <v>4221</v>
      </c>
      <c r="O30" s="91">
        <f t="shared" si="1"/>
        <v>18042</v>
      </c>
      <c r="P30" s="11"/>
      <c r="Q30" s="34">
        <f>L30*0.6985+M30*0.9514+N30*1.3304</f>
        <v>17415.190500000001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2"/>
        <v>2853.6895478000001</v>
      </c>
    </row>
    <row r="31" spans="1:24" ht="27.75" customHeight="1" x14ac:dyDescent="0.2">
      <c r="A31" s="2"/>
      <c r="B31" s="6">
        <v>44856</v>
      </c>
      <c r="C31" s="7"/>
      <c r="D31" s="143">
        <v>147</v>
      </c>
      <c r="E31" s="143">
        <v>253</v>
      </c>
      <c r="F31" s="13">
        <f>'Suivi EAU-ELEC'!E30</f>
        <v>139</v>
      </c>
      <c r="G31" s="11"/>
      <c r="H31" s="168">
        <f t="shared" si="4"/>
        <v>1221.81</v>
      </c>
      <c r="I31" s="169"/>
      <c r="J31" s="169"/>
      <c r="K31" s="60">
        <v>42299</v>
      </c>
      <c r="L31" s="90">
        <f>'Suivi EAU-ELEC'!G30</f>
        <v>4940</v>
      </c>
      <c r="M31" s="91">
        <f>'Suivi EAU-ELEC'!I30</f>
        <v>7519</v>
      </c>
      <c r="N31" s="91">
        <f>'Suivi EAU-ELEC'!K30</f>
        <v>3668</v>
      </c>
      <c r="O31" s="91">
        <f t="shared" si="1"/>
        <v>16127</v>
      </c>
      <c r="P31" s="11"/>
      <c r="Q31" s="34">
        <f>L31*0.6985+M31*0.9514+N31*1.3304</f>
        <v>15484.0738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2"/>
        <v>4484.3692893999996</v>
      </c>
    </row>
    <row r="32" spans="1:24" ht="37.5" customHeight="1" x14ac:dyDescent="0.2">
      <c r="A32" s="2"/>
      <c r="B32" s="6">
        <v>44857</v>
      </c>
      <c r="C32" s="7"/>
      <c r="D32" s="143">
        <v>133</v>
      </c>
      <c r="E32" s="143">
        <v>216</v>
      </c>
      <c r="F32" s="13">
        <f>'Suivi EAU-ELEC'!E31</f>
        <v>140</v>
      </c>
      <c r="G32" s="11"/>
      <c r="H32" s="168">
        <f t="shared" si="4"/>
        <v>1230.5999999999999</v>
      </c>
      <c r="I32" s="169"/>
      <c r="J32" s="169"/>
      <c r="K32" s="60">
        <v>42300</v>
      </c>
      <c r="L32" s="90">
        <f>'Suivi EAU-ELEC'!G31</f>
        <v>4932</v>
      </c>
      <c r="M32" s="91">
        <f>'Suivi EAU-ELEC'!I31</f>
        <v>8397</v>
      </c>
      <c r="N32" s="91">
        <f>'Suivi EAU-ELEC'!K31</f>
        <v>3987</v>
      </c>
      <c r="O32" s="91">
        <f t="shared" si="1"/>
        <v>17316</v>
      </c>
      <c r="P32" s="11"/>
      <c r="Q32" s="34">
        <f t="shared" si="3"/>
        <v>16738.212599999999</v>
      </c>
      <c r="R32" s="11"/>
      <c r="S32" s="28"/>
      <c r="T32" s="11"/>
      <c r="U32" s="28"/>
      <c r="V32" s="146">
        <f>'Suvi Gaz'!O26</f>
        <v>319.99209999999999</v>
      </c>
      <c r="W32" s="11"/>
      <c r="X32" s="34">
        <f t="shared" si="2"/>
        <v>4076.6993539999999</v>
      </c>
    </row>
    <row r="33" spans="1:24" ht="37.5" customHeight="1" x14ac:dyDescent="0.2">
      <c r="A33" s="2"/>
      <c r="B33" s="6">
        <v>44858</v>
      </c>
      <c r="C33" s="7"/>
      <c r="D33" s="143">
        <v>152</v>
      </c>
      <c r="E33" s="143">
        <v>229</v>
      </c>
      <c r="F33" s="13">
        <f>'Suivi EAU-ELEC'!E32</f>
        <v>138</v>
      </c>
      <c r="G33" s="11"/>
      <c r="H33" s="168">
        <f t="shared" si="4"/>
        <v>1213.02</v>
      </c>
      <c r="I33" s="169"/>
      <c r="J33" s="169"/>
      <c r="K33" s="60">
        <v>42301</v>
      </c>
      <c r="L33" s="90">
        <f>'Suivi EAU-ELEC'!G32</f>
        <v>4862</v>
      </c>
      <c r="M33" s="91">
        <f>'Suivi EAU-ELEC'!I32</f>
        <v>7702</v>
      </c>
      <c r="N33" s="91">
        <f>'Suivi EAU-ELEC'!K32</f>
        <v>3721</v>
      </c>
      <c r="O33" s="91">
        <f t="shared" si="1"/>
        <v>16285</v>
      </c>
      <c r="P33" s="11"/>
      <c r="Q33" s="34">
        <f t="shared" si="3"/>
        <v>15674.208200000001</v>
      </c>
      <c r="R33" s="11"/>
      <c r="S33" s="28"/>
      <c r="T33" s="11"/>
      <c r="U33" s="28"/>
      <c r="V33" s="146">
        <f>'Suvi Gaz'!O27</f>
        <v>863.97867000000008</v>
      </c>
      <c r="W33" s="11"/>
      <c r="X33" s="34">
        <f t="shared" si="2"/>
        <v>11007.088255800001</v>
      </c>
    </row>
    <row r="34" spans="1:24" ht="37.5" customHeight="1" x14ac:dyDescent="0.2">
      <c r="A34" s="2"/>
      <c r="B34" s="6">
        <v>44859</v>
      </c>
      <c r="C34" s="7"/>
      <c r="D34" s="143">
        <v>116</v>
      </c>
      <c r="E34" s="143">
        <v>173</v>
      </c>
      <c r="F34" s="13">
        <f>'Suivi EAU-ELEC'!E33</f>
        <v>184.10000000000582</v>
      </c>
      <c r="G34" s="11"/>
      <c r="H34" s="168">
        <f t="shared" si="4"/>
        <v>1618.239000000051</v>
      </c>
      <c r="I34" s="169"/>
      <c r="J34" s="169"/>
      <c r="K34" s="60">
        <v>42302</v>
      </c>
      <c r="L34" s="90">
        <f>'Suivi EAU-ELEC'!G33</f>
        <v>4727</v>
      </c>
      <c r="M34" s="91">
        <f>'Suivi EAU-ELEC'!I33</f>
        <v>7499</v>
      </c>
      <c r="N34" s="91">
        <f>'Suivi EAU-ELEC'!K33</f>
        <v>3635</v>
      </c>
      <c r="O34" s="91">
        <f t="shared" si="1"/>
        <v>15861</v>
      </c>
      <c r="P34" s="11"/>
      <c r="Q34" s="34">
        <f t="shared" si="3"/>
        <v>15272.362099999998</v>
      </c>
      <c r="R34" s="11"/>
      <c r="S34" s="28"/>
      <c r="T34" s="11"/>
      <c r="U34" s="28"/>
      <c r="V34" s="146">
        <f>'Suvi Gaz'!O28</f>
        <v>319.99209999999999</v>
      </c>
      <c r="W34" s="11"/>
      <c r="X34" s="34">
        <f t="shared" si="2"/>
        <v>4076.6993539999999</v>
      </c>
    </row>
    <row r="35" spans="1:24" ht="33.75" customHeight="1" x14ac:dyDescent="0.2">
      <c r="A35" s="2"/>
      <c r="B35" s="6">
        <v>44860</v>
      </c>
      <c r="C35" s="7"/>
      <c r="D35" s="143">
        <v>139</v>
      </c>
      <c r="E35" s="143">
        <v>201</v>
      </c>
      <c r="F35" s="13">
        <f>'Suivi EAU-ELEC'!E34</f>
        <v>103.89999999999418</v>
      </c>
      <c r="G35" s="11"/>
      <c r="H35" s="168">
        <f t="shared" si="4"/>
        <v>913.28099999994879</v>
      </c>
      <c r="I35" s="169"/>
      <c r="J35" s="169"/>
      <c r="K35" s="60">
        <v>42303</v>
      </c>
      <c r="L35" s="90">
        <f>'Suivi EAU-ELEC'!G34</f>
        <v>4874</v>
      </c>
      <c r="M35" s="91">
        <f>'Suivi EAU-ELEC'!I34</f>
        <v>7554</v>
      </c>
      <c r="N35" s="91">
        <f>'Suivi EAU-ELEC'!K34</f>
        <v>3817</v>
      </c>
      <c r="O35" s="91">
        <f t="shared" si="1"/>
        <v>16245</v>
      </c>
      <c r="P35" s="11"/>
      <c r="Q35" s="34">
        <f t="shared" si="3"/>
        <v>15669.501400000001</v>
      </c>
      <c r="R35" s="11"/>
      <c r="S35" s="28"/>
      <c r="T35" s="11"/>
      <c r="U35" s="28"/>
      <c r="V35" s="146">
        <f>'Suvi Gaz'!O29</f>
        <v>319.99209999999999</v>
      </c>
      <c r="W35" s="11"/>
      <c r="X35" s="34">
        <f t="shared" si="2"/>
        <v>4076.6993539999999</v>
      </c>
    </row>
    <row r="36" spans="1:24" ht="33.75" customHeight="1" x14ac:dyDescent="0.2">
      <c r="A36" s="2"/>
      <c r="B36" s="6">
        <v>44861</v>
      </c>
      <c r="C36" s="7"/>
      <c r="D36" s="143">
        <v>142</v>
      </c>
      <c r="E36" s="143">
        <v>212</v>
      </c>
      <c r="F36" s="13">
        <f>'Suivi EAU-ELEC'!E35</f>
        <v>137</v>
      </c>
      <c r="G36" s="11"/>
      <c r="H36" s="168">
        <f t="shared" ref="H36:H37" si="5">F36*8.79</f>
        <v>1204.2299999999998</v>
      </c>
      <c r="I36" s="169"/>
      <c r="J36" s="169"/>
      <c r="K36" s="60"/>
      <c r="L36" s="90">
        <f>'Suivi EAU-ELEC'!G35</f>
        <v>4664</v>
      </c>
      <c r="M36" s="91">
        <f>'Suivi EAU-ELEC'!I35</f>
        <v>7585</v>
      </c>
      <c r="N36" s="91">
        <f>'Suivi EAU-ELEC'!K35</f>
        <v>3819</v>
      </c>
      <c r="O36" s="91">
        <f t="shared" si="1"/>
        <v>16068</v>
      </c>
      <c r="P36" s="11"/>
      <c r="Q36" s="34">
        <f t="shared" si="3"/>
        <v>15554.970600000001</v>
      </c>
      <c r="R36" s="11"/>
      <c r="S36" s="28"/>
      <c r="T36" s="11"/>
      <c r="U36" s="28"/>
      <c r="V36" s="146">
        <f>'Suvi Gaz'!O30</f>
        <v>319.99209999999999</v>
      </c>
      <c r="W36" s="11"/>
      <c r="X36" s="34">
        <f t="shared" si="2"/>
        <v>4076.6993539999999</v>
      </c>
    </row>
    <row r="37" spans="1:24" ht="33.75" customHeight="1" x14ac:dyDescent="0.2">
      <c r="A37" s="2"/>
      <c r="B37" s="6">
        <v>44862</v>
      </c>
      <c r="C37" s="7"/>
      <c r="D37" s="143">
        <v>113</v>
      </c>
      <c r="E37" s="143">
        <v>191</v>
      </c>
      <c r="F37" s="13">
        <f>'Suivi EAU-ELEC'!E36</f>
        <v>151.89999999999418</v>
      </c>
      <c r="G37" s="11"/>
      <c r="H37" s="168">
        <f t="shared" si="5"/>
        <v>1335.2009999999486</v>
      </c>
      <c r="I37" s="169"/>
      <c r="J37" s="169"/>
      <c r="K37" s="60"/>
      <c r="L37" s="90">
        <f>'Suivi EAU-ELEC'!G36</f>
        <v>5421</v>
      </c>
      <c r="M37" s="91">
        <f>'Suivi EAU-ELEC'!I36</f>
        <v>7403</v>
      </c>
      <c r="N37" s="91">
        <f>'Suivi EAU-ELEC'!K36</f>
        <v>3728</v>
      </c>
      <c r="O37" s="91">
        <f t="shared" si="1"/>
        <v>16552</v>
      </c>
      <c r="P37" s="11"/>
      <c r="Q37" s="34">
        <f>L37*0.6985+M37*0.9514+N37*1.3304</f>
        <v>15789.5139</v>
      </c>
      <c r="R37" s="11"/>
      <c r="S37" s="28"/>
      <c r="T37" s="11"/>
      <c r="U37" s="28"/>
      <c r="V37" s="146">
        <f>'Suvi Gaz'!O31</f>
        <v>511.98736000000002</v>
      </c>
      <c r="W37" s="11"/>
      <c r="X37" s="34">
        <f t="shared" si="2"/>
        <v>6522.7189664000007</v>
      </c>
    </row>
    <row r="38" spans="1:24" ht="33.75" customHeight="1" x14ac:dyDescent="0.2">
      <c r="A38" s="2"/>
      <c r="B38" s="6">
        <v>44863</v>
      </c>
      <c r="C38" s="7"/>
      <c r="D38" s="143">
        <v>153</v>
      </c>
      <c r="E38" s="143">
        <v>256</v>
      </c>
      <c r="F38" s="13">
        <f>'Suivi EAU-ELEC'!E37</f>
        <v>165.60000000000582</v>
      </c>
      <c r="G38" s="11"/>
      <c r="H38" s="168">
        <f>F38*8.79</f>
        <v>1455.624000000051</v>
      </c>
      <c r="I38" s="169"/>
      <c r="J38" s="169"/>
      <c r="K38" s="60">
        <v>42304</v>
      </c>
      <c r="L38" s="90">
        <f>'Suivi EAU-ELEC'!G37</f>
        <v>5751</v>
      </c>
      <c r="M38" s="91">
        <f>'Suivi EAU-ELEC'!I37</f>
        <v>7361</v>
      </c>
      <c r="N38" s="91">
        <f>'Suivi EAU-ELEC'!K37</f>
        <v>3837</v>
      </c>
      <c r="O38" s="91">
        <f t="shared" si="1"/>
        <v>16949</v>
      </c>
      <c r="P38" s="11"/>
      <c r="Q38" s="34">
        <f>L38*0.6985+M38*0.9514+N38*1.3304</f>
        <v>16125.073700000001</v>
      </c>
      <c r="R38" s="11"/>
      <c r="S38" s="28"/>
      <c r="T38" s="11"/>
      <c r="U38" s="28"/>
      <c r="V38" s="146">
        <f>'Suvi Gaz'!O32</f>
        <v>127.99684000000001</v>
      </c>
      <c r="W38" s="11"/>
      <c r="X38" s="34">
        <f t="shared" si="2"/>
        <v>1630.6797416000002</v>
      </c>
    </row>
    <row r="39" spans="1:24" ht="33.75" customHeight="1" x14ac:dyDescent="0.2">
      <c r="A39" s="2"/>
      <c r="B39" s="6">
        <v>44864</v>
      </c>
      <c r="C39" s="7"/>
      <c r="D39" s="143">
        <v>135</v>
      </c>
      <c r="E39" s="143">
        <v>221</v>
      </c>
      <c r="F39" s="13">
        <f>'Suivi EAU-ELEC'!E38</f>
        <v>151.5</v>
      </c>
      <c r="G39" s="11"/>
      <c r="H39" s="168">
        <f>F39*8.79</f>
        <v>1331.6849999999999</v>
      </c>
      <c r="I39" s="169"/>
      <c r="J39" s="169"/>
      <c r="K39" s="60"/>
      <c r="L39" s="90">
        <f>'Suivi EAU-ELEC'!G38</f>
        <v>4749</v>
      </c>
      <c r="M39" s="91">
        <f>'Suivi EAU-ELEC'!I38</f>
        <v>7718</v>
      </c>
      <c r="N39" s="91">
        <f>'Suivi EAU-ELEC'!K38</f>
        <v>3765</v>
      </c>
      <c r="O39" s="91">
        <f t="shared" si="1"/>
        <v>16232</v>
      </c>
      <c r="P39" s="11"/>
      <c r="Q39" s="34">
        <f>L39*0.6985+M39*0.9514+N39*1.3304</f>
        <v>15669.037700000001</v>
      </c>
      <c r="R39" s="11"/>
      <c r="S39" s="28"/>
      <c r="T39" s="11"/>
      <c r="U39" s="28"/>
      <c r="V39" s="146">
        <f>'Suvi Gaz'!O33</f>
        <v>287.99288999999999</v>
      </c>
      <c r="W39" s="11"/>
      <c r="X39" s="34">
        <f t="shared" si="2"/>
        <v>3669.0294186000001</v>
      </c>
    </row>
    <row r="40" spans="1:24" ht="33.75" customHeight="1" x14ac:dyDescent="0.2">
      <c r="A40" s="2"/>
      <c r="B40" s="6">
        <v>44865</v>
      </c>
      <c r="C40" s="7"/>
      <c r="D40" s="143">
        <v>135</v>
      </c>
      <c r="E40" s="143">
        <v>214</v>
      </c>
      <c r="F40" s="13">
        <f>'Suivi EAU-ELEC'!E39</f>
        <v>159</v>
      </c>
      <c r="G40" s="11"/>
      <c r="H40" s="168">
        <f>F40*8.79</f>
        <v>1397.61</v>
      </c>
      <c r="I40" s="169"/>
      <c r="J40" s="169"/>
      <c r="K40" s="60"/>
      <c r="L40" s="90">
        <f>'Suivi EAU-ELEC'!G39</f>
        <v>4807</v>
      </c>
      <c r="M40" s="91">
        <f>'Suivi EAU-ELEC'!I39</f>
        <v>7909</v>
      </c>
      <c r="N40" s="91">
        <f>'Suivi EAU-ELEC'!K39</f>
        <v>3853</v>
      </c>
      <c r="O40" s="91">
        <f t="shared" si="1"/>
        <v>16569</v>
      </c>
      <c r="P40" s="11"/>
      <c r="Q40" s="34">
        <f t="shared" ref="Q40" si="6">L40*0.6985+M40*0.9514+N40*1.3304</f>
        <v>16008.3433</v>
      </c>
      <c r="R40" s="11"/>
      <c r="S40" s="28"/>
      <c r="T40" s="11"/>
      <c r="U40" s="28"/>
      <c r="V40" s="146">
        <f>'Suvi Gaz'!O34</f>
        <v>447.98894000000001</v>
      </c>
      <c r="W40" s="11"/>
      <c r="X40" s="34">
        <f t="shared" si="2"/>
        <v>5707.3790956000003</v>
      </c>
    </row>
    <row r="41" spans="1:24" ht="42.75" customHeight="1" x14ac:dyDescent="0.2">
      <c r="A41" s="2"/>
      <c r="B41" s="10"/>
      <c r="C41" s="10"/>
      <c r="D41" s="8">
        <f>SUM(D10:D40)</f>
        <v>4199</v>
      </c>
      <c r="E41" s="8">
        <f>SUM(E10:E40)</f>
        <v>6495</v>
      </c>
      <c r="F41" s="152">
        <f>SUM(F10:F40)</f>
        <v>4407.2999999999884</v>
      </c>
      <c r="G41" s="1"/>
      <c r="H41" s="206">
        <f>SUM(H10:H40)</f>
        <v>38740.166999999899</v>
      </c>
      <c r="I41" s="207"/>
      <c r="J41" s="208"/>
      <c r="K41" s="1"/>
      <c r="L41" s="53">
        <f>SUM(L10:L40)</f>
        <v>164369</v>
      </c>
      <c r="M41" s="53">
        <f>SUM(M10:M40)</f>
        <v>251102</v>
      </c>
      <c r="N41" s="54">
        <f>SUM(N10:N40)</f>
        <v>122649</v>
      </c>
      <c r="O41" s="55">
        <f>SUM(O10:O40)</f>
        <v>538120</v>
      </c>
      <c r="P41" s="31"/>
      <c r="Q41" s="34">
        <f t="shared" ref="Q41" si="7">L41*0.6985+M41*0.9514+N41*1.3304</f>
        <v>516882.41890000005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11456.443059999996</v>
      </c>
      <c r="W41" s="31"/>
      <c r="X41" s="32">
        <f>SUM(X10:X40)</f>
        <v>145955.08458439997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86" t="s">
        <v>33</v>
      </c>
      <c r="B43" s="187"/>
      <c r="C43" s="187"/>
      <c r="D43" s="187"/>
      <c r="E43" s="187"/>
      <c r="F43" s="188"/>
      <c r="G43" s="26"/>
      <c r="H43" s="27" t="s">
        <v>34</v>
      </c>
      <c r="I43" s="198" t="s">
        <v>35</v>
      </c>
      <c r="J43" s="199"/>
      <c r="K43" s="200"/>
      <c r="L43" s="229" t="s">
        <v>36</v>
      </c>
      <c r="M43" s="230"/>
      <c r="N43" s="186" t="s">
        <v>37</v>
      </c>
      <c r="O43" s="187"/>
      <c r="P43" s="187"/>
      <c r="Q43" s="187"/>
      <c r="R43" s="187"/>
      <c r="S43" s="187"/>
      <c r="T43" s="187"/>
      <c r="U43" s="187"/>
      <c r="V43" s="187"/>
      <c r="W43" s="187"/>
      <c r="X43" s="188"/>
    </row>
    <row r="44" spans="1:24" s="18" customFormat="1" ht="29.25" customHeight="1" thickBot="1" x14ac:dyDescent="0.25">
      <c r="A44" s="223" t="s">
        <v>38</v>
      </c>
      <c r="B44" s="224"/>
      <c r="C44" s="225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20">
        <f>L41</f>
        <v>164369</v>
      </c>
      <c r="J44" s="221"/>
      <c r="K44" s="222"/>
      <c r="L44" s="204">
        <f>I44*H44</f>
        <v>114811.74650000001</v>
      </c>
      <c r="M44" s="205"/>
      <c r="N44" s="177">
        <f>L44+L45+L46</f>
        <v>516882.41890000005</v>
      </c>
      <c r="O44" s="178"/>
      <c r="P44" s="178"/>
      <c r="Q44" s="178"/>
      <c r="R44" s="178"/>
      <c r="S44" s="178"/>
      <c r="T44" s="178"/>
      <c r="U44" s="178"/>
      <c r="V44" s="178"/>
      <c r="W44" s="178"/>
      <c r="X44" s="179"/>
    </row>
    <row r="45" spans="1:24" s="18" customFormat="1" ht="29.25" customHeight="1" thickBot="1" x14ac:dyDescent="0.25">
      <c r="A45" s="226"/>
      <c r="B45" s="227"/>
      <c r="C45" s="228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20">
        <f>M41</f>
        <v>251102</v>
      </c>
      <c r="J45" s="221"/>
      <c r="K45" s="222"/>
      <c r="L45" s="204">
        <f>I45*H45</f>
        <v>238898.44280000002</v>
      </c>
      <c r="M45" s="205"/>
      <c r="N45" s="180"/>
      <c r="O45" s="181"/>
      <c r="P45" s="181"/>
      <c r="Q45" s="181"/>
      <c r="R45" s="181"/>
      <c r="S45" s="181"/>
      <c r="T45" s="181"/>
      <c r="U45" s="181"/>
      <c r="V45" s="181"/>
      <c r="W45" s="181"/>
      <c r="X45" s="182"/>
    </row>
    <row r="46" spans="1:24" s="18" customFormat="1" ht="24.75" customHeight="1" thickBot="1" x14ac:dyDescent="0.25">
      <c r="A46" s="226"/>
      <c r="B46" s="227"/>
      <c r="C46" s="228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5">
        <f>N41</f>
        <v>122649</v>
      </c>
      <c r="J46" s="196"/>
      <c r="K46" s="197"/>
      <c r="L46" s="204">
        <f>I46*H46</f>
        <v>163172.22959999999</v>
      </c>
      <c r="M46" s="205"/>
      <c r="N46" s="183"/>
      <c r="O46" s="184"/>
      <c r="P46" s="184"/>
      <c r="Q46" s="184"/>
      <c r="R46" s="184"/>
      <c r="S46" s="184"/>
      <c r="T46" s="184"/>
      <c r="U46" s="184"/>
      <c r="V46" s="184"/>
      <c r="W46" s="184"/>
      <c r="X46" s="185"/>
    </row>
    <row r="47" spans="1:24" s="18" customFormat="1" ht="43.5" customHeight="1" thickBot="1" x14ac:dyDescent="0.25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1">
        <f>N44*1.3</f>
        <v>671947.14457000012</v>
      </c>
      <c r="O47" s="202"/>
      <c r="P47" s="202"/>
      <c r="Q47" s="202"/>
      <c r="R47" s="202"/>
      <c r="S47" s="202"/>
      <c r="T47" s="202"/>
      <c r="U47" s="202"/>
      <c r="V47" s="202"/>
      <c r="W47" s="202"/>
      <c r="X47" s="203"/>
    </row>
    <row r="48" spans="1:24" s="23" customFormat="1" ht="32.25" customHeight="1" thickBot="1" x14ac:dyDescent="0.25">
      <c r="A48" s="215" t="s">
        <v>39</v>
      </c>
      <c r="B48" s="216"/>
      <c r="C48" s="216"/>
      <c r="D48" s="216"/>
      <c r="E48" s="216"/>
      <c r="F48" s="217"/>
      <c r="G48" s="21"/>
      <c r="H48" s="22">
        <v>8.7899999999999991</v>
      </c>
      <c r="I48" s="215">
        <f>F41</f>
        <v>4407.2999999999884</v>
      </c>
      <c r="J48" s="216"/>
      <c r="K48" s="217"/>
      <c r="L48" s="218">
        <f>I48*H48</f>
        <v>38740.166999999892</v>
      </c>
      <c r="M48" s="219"/>
      <c r="N48" s="174">
        <f>L48</f>
        <v>38740.166999999892</v>
      </c>
      <c r="O48" s="175"/>
      <c r="P48" s="175"/>
      <c r="Q48" s="175"/>
      <c r="R48" s="175"/>
      <c r="S48" s="175"/>
      <c r="T48" s="175"/>
      <c r="U48" s="175"/>
      <c r="V48" s="175"/>
      <c r="W48" s="175"/>
      <c r="X48" s="176"/>
    </row>
    <row r="49" spans="1:24" s="23" customFormat="1" ht="36.75" customHeight="1" x14ac:dyDescent="0.2">
      <c r="A49" s="189" t="s">
        <v>40</v>
      </c>
      <c r="B49" s="190"/>
      <c r="C49" s="190"/>
      <c r="D49" s="190"/>
      <c r="E49" s="190"/>
      <c r="F49" s="191"/>
      <c r="G49" s="24"/>
      <c r="H49" s="25">
        <v>12.24</v>
      </c>
      <c r="I49" s="192">
        <f>V41</f>
        <v>11456.443059999996</v>
      </c>
      <c r="J49" s="193"/>
      <c r="K49" s="194"/>
      <c r="L49" s="192">
        <f>I49*H49</f>
        <v>140226.86305439996</v>
      </c>
      <c r="M49" s="194"/>
      <c r="N49" s="171">
        <f>L49</f>
        <v>140226.86305439996</v>
      </c>
      <c r="O49" s="172"/>
      <c r="P49" s="172"/>
      <c r="Q49" s="172"/>
      <c r="R49" s="172"/>
      <c r="S49" s="172"/>
      <c r="T49" s="172"/>
      <c r="U49" s="172"/>
      <c r="V49" s="172"/>
      <c r="W49" s="172"/>
      <c r="X49" s="173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</row>
  </sheetData>
  <mergeCells count="73"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N33" sqref="N33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 x14ac:dyDescent="0.2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 x14ac:dyDescent="0.2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 x14ac:dyDescent="0.25"/>
    <row r="7" spans="1:12" ht="16.5" customHeight="1" x14ac:dyDescent="0.2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 x14ac:dyDescent="0.2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44835</v>
      </c>
      <c r="B9" s="116">
        <v>2560</v>
      </c>
      <c r="C9" s="115">
        <v>0</v>
      </c>
      <c r="D9" s="57">
        <v>168113</v>
      </c>
      <c r="E9" s="50">
        <v>120.29999999998836</v>
      </c>
      <c r="F9" s="51">
        <v>12469994</v>
      </c>
      <c r="G9" s="50">
        <v>4593</v>
      </c>
      <c r="H9" s="51">
        <v>21361968</v>
      </c>
      <c r="I9" s="50">
        <v>8275</v>
      </c>
      <c r="J9" s="51">
        <v>9342849</v>
      </c>
      <c r="K9" s="50">
        <v>3636</v>
      </c>
    </row>
    <row r="10" spans="1:12" ht="19.5" x14ac:dyDescent="0.3">
      <c r="A10" s="59">
        <v>44836</v>
      </c>
      <c r="B10" s="116">
        <v>2560</v>
      </c>
      <c r="C10" s="115">
        <f>B10-B9</f>
        <v>0</v>
      </c>
      <c r="D10" s="57">
        <v>168252</v>
      </c>
      <c r="E10" s="50">
        <f>D10-D9</f>
        <v>139</v>
      </c>
      <c r="F10" s="51">
        <v>12476629</v>
      </c>
      <c r="G10" s="50">
        <f>F10-F9</f>
        <v>6635</v>
      </c>
      <c r="H10" s="51">
        <v>21370326</v>
      </c>
      <c r="I10" s="50">
        <f>H10-H9</f>
        <v>8358</v>
      </c>
      <c r="J10" s="51">
        <v>9347222</v>
      </c>
      <c r="K10" s="50">
        <f>J10-J9</f>
        <v>4373</v>
      </c>
    </row>
    <row r="11" spans="1:12" ht="19.5" x14ac:dyDescent="0.3">
      <c r="A11" s="59">
        <v>44837</v>
      </c>
      <c r="B11" s="116">
        <v>2560</v>
      </c>
      <c r="C11" s="115">
        <f t="shared" ref="C11:C38" si="0">B11-B10</f>
        <v>0</v>
      </c>
      <c r="D11" s="57">
        <v>168386</v>
      </c>
      <c r="E11" s="50">
        <f t="shared" ref="E11:E40" si="1">D11-D10</f>
        <v>134</v>
      </c>
      <c r="F11" s="51">
        <v>12482017</v>
      </c>
      <c r="G11" s="50">
        <f t="shared" ref="G11:G40" si="2">F11-F10</f>
        <v>5388</v>
      </c>
      <c r="H11" s="51">
        <v>21377728</v>
      </c>
      <c r="I11" s="50">
        <f t="shared" ref="I11:I40" si="3">H11-H10</f>
        <v>7402</v>
      </c>
      <c r="J11" s="51">
        <v>9350842</v>
      </c>
      <c r="K11" s="50">
        <f t="shared" ref="K11:K40" si="4">J11-J10</f>
        <v>3620</v>
      </c>
    </row>
    <row r="12" spans="1:12" ht="19.5" x14ac:dyDescent="0.3">
      <c r="A12" s="59">
        <v>44838</v>
      </c>
      <c r="B12" s="116">
        <v>2560</v>
      </c>
      <c r="C12" s="115">
        <f t="shared" si="0"/>
        <v>0</v>
      </c>
      <c r="D12" s="57">
        <v>168522.5</v>
      </c>
      <c r="E12" s="50">
        <f t="shared" si="1"/>
        <v>136.5</v>
      </c>
      <c r="F12" s="51">
        <v>12487813</v>
      </c>
      <c r="G12" s="50">
        <f t="shared" si="2"/>
        <v>5796</v>
      </c>
      <c r="H12" s="51">
        <v>21386863</v>
      </c>
      <c r="I12" s="50">
        <f t="shared" si="3"/>
        <v>9135</v>
      </c>
      <c r="J12" s="51">
        <v>9355355</v>
      </c>
      <c r="K12" s="50">
        <f t="shared" si="4"/>
        <v>4513</v>
      </c>
    </row>
    <row r="13" spans="1:12" ht="19.5" x14ac:dyDescent="0.3">
      <c r="A13" s="59">
        <v>44839</v>
      </c>
      <c r="B13" s="116">
        <v>2560</v>
      </c>
      <c r="C13" s="115">
        <f t="shared" si="0"/>
        <v>0</v>
      </c>
      <c r="D13" s="57">
        <v>168665.8</v>
      </c>
      <c r="E13" s="50">
        <f t="shared" si="1"/>
        <v>143.29999999998836</v>
      </c>
      <c r="F13" s="51">
        <v>12494016</v>
      </c>
      <c r="G13" s="50">
        <f t="shared" si="2"/>
        <v>6203</v>
      </c>
      <c r="H13" s="51">
        <v>21396435</v>
      </c>
      <c r="I13" s="50">
        <f t="shared" si="3"/>
        <v>9572</v>
      </c>
      <c r="J13" s="51">
        <v>9359997</v>
      </c>
      <c r="K13" s="50">
        <f t="shared" si="4"/>
        <v>4642</v>
      </c>
    </row>
    <row r="14" spans="1:12" ht="19.5" x14ac:dyDescent="0.3">
      <c r="A14" s="59">
        <v>44840</v>
      </c>
      <c r="B14" s="116">
        <v>2569</v>
      </c>
      <c r="C14" s="115">
        <f t="shared" si="0"/>
        <v>9</v>
      </c>
      <c r="D14" s="57">
        <v>168812.4</v>
      </c>
      <c r="E14" s="50">
        <f t="shared" si="1"/>
        <v>146.60000000000582</v>
      </c>
      <c r="F14" s="51">
        <v>12500312</v>
      </c>
      <c r="G14" s="50">
        <f t="shared" si="2"/>
        <v>6296</v>
      </c>
      <c r="H14" s="51">
        <v>21405863</v>
      </c>
      <c r="I14" s="50">
        <f t="shared" si="3"/>
        <v>9428</v>
      </c>
      <c r="J14" s="51">
        <v>9364545</v>
      </c>
      <c r="K14" s="50">
        <f t="shared" si="4"/>
        <v>4548</v>
      </c>
    </row>
    <row r="15" spans="1:12" ht="19.5" x14ac:dyDescent="0.3">
      <c r="A15" s="59">
        <v>44841</v>
      </c>
      <c r="B15" s="116">
        <v>2569</v>
      </c>
      <c r="C15" s="115">
        <f t="shared" si="0"/>
        <v>0</v>
      </c>
      <c r="D15" s="57">
        <v>168962</v>
      </c>
      <c r="E15" s="50">
        <f t="shared" si="1"/>
        <v>149.60000000000582</v>
      </c>
      <c r="F15" s="51">
        <v>12505786</v>
      </c>
      <c r="G15" s="50">
        <f t="shared" si="2"/>
        <v>5474</v>
      </c>
      <c r="H15" s="51">
        <v>21414447</v>
      </c>
      <c r="I15" s="50">
        <f t="shared" si="3"/>
        <v>8584</v>
      </c>
      <c r="J15" s="51">
        <v>9368634</v>
      </c>
      <c r="K15" s="50">
        <f t="shared" si="4"/>
        <v>4089</v>
      </c>
    </row>
    <row r="16" spans="1:12" ht="19.5" x14ac:dyDescent="0.3">
      <c r="A16" s="59">
        <v>44842</v>
      </c>
      <c r="B16" s="116">
        <v>2569</v>
      </c>
      <c r="C16" s="115">
        <f t="shared" si="0"/>
        <v>0</v>
      </c>
      <c r="D16" s="57">
        <v>169093</v>
      </c>
      <c r="E16" s="50">
        <f t="shared" si="1"/>
        <v>131</v>
      </c>
      <c r="F16" s="51">
        <v>12510502</v>
      </c>
      <c r="G16" s="50">
        <f t="shared" si="2"/>
        <v>4716</v>
      </c>
      <c r="H16" s="51">
        <v>21422145</v>
      </c>
      <c r="I16" s="50">
        <f t="shared" si="3"/>
        <v>7698</v>
      </c>
      <c r="J16" s="51">
        <v>9372215</v>
      </c>
      <c r="K16" s="50">
        <f t="shared" si="4"/>
        <v>3581</v>
      </c>
    </row>
    <row r="17" spans="1:29" ht="19.5" x14ac:dyDescent="0.3">
      <c r="A17" s="59">
        <v>44843</v>
      </c>
      <c r="B17" s="116">
        <v>2569</v>
      </c>
      <c r="C17" s="115">
        <f t="shared" si="0"/>
        <v>0</v>
      </c>
      <c r="D17" s="57">
        <v>169217</v>
      </c>
      <c r="E17" s="50">
        <f t="shared" si="1"/>
        <v>124</v>
      </c>
      <c r="F17" s="51">
        <v>12515570</v>
      </c>
      <c r="G17" s="50">
        <f t="shared" si="2"/>
        <v>5068</v>
      </c>
      <c r="H17" s="51">
        <v>21429958</v>
      </c>
      <c r="I17" s="50">
        <f t="shared" si="3"/>
        <v>7813</v>
      </c>
      <c r="J17" s="51">
        <v>9376018</v>
      </c>
      <c r="K17" s="50">
        <f t="shared" si="4"/>
        <v>3803</v>
      </c>
    </row>
    <row r="18" spans="1:29" ht="19.5" x14ac:dyDescent="0.3">
      <c r="A18" s="59">
        <v>44844</v>
      </c>
      <c r="B18" s="116">
        <v>2569</v>
      </c>
      <c r="C18" s="115">
        <f t="shared" si="0"/>
        <v>0</v>
      </c>
      <c r="D18" s="57">
        <v>169343</v>
      </c>
      <c r="E18" s="50">
        <f t="shared" si="1"/>
        <v>126</v>
      </c>
      <c r="F18" s="51">
        <v>12520677</v>
      </c>
      <c r="G18" s="50">
        <f t="shared" si="2"/>
        <v>5107</v>
      </c>
      <c r="H18" s="51">
        <v>21437926</v>
      </c>
      <c r="I18" s="50">
        <f t="shared" si="3"/>
        <v>7968</v>
      </c>
      <c r="J18" s="51">
        <v>9379724</v>
      </c>
      <c r="K18" s="50">
        <f t="shared" si="4"/>
        <v>3706</v>
      </c>
    </row>
    <row r="19" spans="1:29" ht="19.5" x14ac:dyDescent="0.3">
      <c r="A19" s="59">
        <v>44845</v>
      </c>
      <c r="B19" s="116">
        <v>2569</v>
      </c>
      <c r="C19" s="115">
        <f t="shared" si="0"/>
        <v>0</v>
      </c>
      <c r="D19" s="57">
        <v>169466</v>
      </c>
      <c r="E19" s="50">
        <f t="shared" si="1"/>
        <v>123</v>
      </c>
      <c r="F19" s="51">
        <v>12525737</v>
      </c>
      <c r="G19" s="50">
        <f t="shared" si="2"/>
        <v>5060</v>
      </c>
      <c r="H19" s="51">
        <v>21445509</v>
      </c>
      <c r="I19" s="50">
        <f t="shared" si="3"/>
        <v>7583</v>
      </c>
      <c r="J19" s="51">
        <v>9383040</v>
      </c>
      <c r="K19" s="50">
        <f t="shared" si="4"/>
        <v>3316</v>
      </c>
    </row>
    <row r="20" spans="1:29" ht="25.5" x14ac:dyDescent="0.35">
      <c r="A20" s="59">
        <v>44846</v>
      </c>
      <c r="B20" s="116">
        <v>2569</v>
      </c>
      <c r="C20" s="115">
        <f t="shared" si="0"/>
        <v>0</v>
      </c>
      <c r="D20" s="57">
        <v>169619.5</v>
      </c>
      <c r="E20" s="50">
        <f t="shared" si="1"/>
        <v>153.5</v>
      </c>
      <c r="F20" s="51">
        <v>12531317</v>
      </c>
      <c r="G20" s="50">
        <f t="shared" si="2"/>
        <v>5580</v>
      </c>
      <c r="H20" s="51">
        <v>21453072</v>
      </c>
      <c r="I20" s="50">
        <f t="shared" si="3"/>
        <v>7563</v>
      </c>
      <c r="J20" s="51">
        <v>9386708</v>
      </c>
      <c r="K20" s="50">
        <f t="shared" si="4"/>
        <v>3668</v>
      </c>
      <c r="L20" s="117" t="s">
        <v>18</v>
      </c>
      <c r="AC20" t="s">
        <v>56</v>
      </c>
    </row>
    <row r="21" spans="1:29" ht="19.5" x14ac:dyDescent="0.3">
      <c r="A21" s="59">
        <v>44847</v>
      </c>
      <c r="B21" s="116">
        <v>2569</v>
      </c>
      <c r="C21" s="115">
        <f t="shared" si="0"/>
        <v>0</v>
      </c>
      <c r="D21" s="57">
        <v>169751.7</v>
      </c>
      <c r="E21" s="50">
        <f t="shared" si="1"/>
        <v>132.20000000001164</v>
      </c>
      <c r="F21" s="51">
        <v>12537298</v>
      </c>
      <c r="G21" s="50">
        <f t="shared" si="2"/>
        <v>5981</v>
      </c>
      <c r="H21" s="51">
        <v>21461138</v>
      </c>
      <c r="I21" s="50">
        <f t="shared" si="3"/>
        <v>8066</v>
      </c>
      <c r="J21" s="51">
        <v>9390730</v>
      </c>
      <c r="K21" s="50">
        <f t="shared" si="4"/>
        <v>4022</v>
      </c>
    </row>
    <row r="22" spans="1:29" ht="19.5" x14ac:dyDescent="0.3">
      <c r="A22" s="59">
        <v>44848</v>
      </c>
      <c r="B22" s="116">
        <v>2569</v>
      </c>
      <c r="C22" s="115">
        <f t="shared" si="0"/>
        <v>0</v>
      </c>
      <c r="D22" s="57">
        <v>169883</v>
      </c>
      <c r="E22" s="50">
        <f t="shared" si="1"/>
        <v>131.29999999998836</v>
      </c>
      <c r="F22" s="51">
        <v>12542334</v>
      </c>
      <c r="G22" s="50">
        <f t="shared" si="2"/>
        <v>5036</v>
      </c>
      <c r="H22" s="51">
        <v>21469422</v>
      </c>
      <c r="I22" s="50">
        <f t="shared" si="3"/>
        <v>8284</v>
      </c>
      <c r="J22" s="51">
        <v>9394797</v>
      </c>
      <c r="K22" s="50">
        <f t="shared" si="4"/>
        <v>4067</v>
      </c>
    </row>
    <row r="23" spans="1:29" ht="19.5" x14ac:dyDescent="0.3">
      <c r="A23" s="59">
        <v>44849</v>
      </c>
      <c r="B23" s="116">
        <v>2569</v>
      </c>
      <c r="C23" s="115">
        <f t="shared" si="0"/>
        <v>0</v>
      </c>
      <c r="D23" s="57">
        <v>170030</v>
      </c>
      <c r="E23" s="50">
        <f t="shared" si="1"/>
        <v>147</v>
      </c>
      <c r="F23" s="51">
        <v>12547548</v>
      </c>
      <c r="G23" s="50">
        <f t="shared" si="2"/>
        <v>5214</v>
      </c>
      <c r="H23" s="51">
        <v>21477201</v>
      </c>
      <c r="I23" s="50">
        <f t="shared" si="3"/>
        <v>7779</v>
      </c>
      <c r="J23" s="51">
        <v>9398897</v>
      </c>
      <c r="K23" s="50">
        <f t="shared" si="4"/>
        <v>4100</v>
      </c>
    </row>
    <row r="24" spans="1:29" ht="19.5" x14ac:dyDescent="0.3">
      <c r="A24" s="59">
        <v>44850</v>
      </c>
      <c r="B24" s="116">
        <v>2569</v>
      </c>
      <c r="C24" s="115">
        <f t="shared" si="0"/>
        <v>0</v>
      </c>
      <c r="D24" s="57">
        <v>170175</v>
      </c>
      <c r="E24" s="50">
        <f t="shared" si="1"/>
        <v>145</v>
      </c>
      <c r="F24" s="51">
        <v>12552931</v>
      </c>
      <c r="G24" s="50">
        <f t="shared" si="2"/>
        <v>5383</v>
      </c>
      <c r="H24" s="51">
        <v>21486329</v>
      </c>
      <c r="I24" s="50">
        <f t="shared" si="3"/>
        <v>9128</v>
      </c>
      <c r="J24" s="51">
        <v>9403656</v>
      </c>
      <c r="K24" s="50">
        <f t="shared" si="4"/>
        <v>4759</v>
      </c>
    </row>
    <row r="25" spans="1:29" ht="19.5" x14ac:dyDescent="0.3">
      <c r="A25" s="59">
        <v>44851</v>
      </c>
      <c r="B25" s="116">
        <v>2569</v>
      </c>
      <c r="C25" s="115">
        <f t="shared" si="0"/>
        <v>0</v>
      </c>
      <c r="D25" s="57">
        <v>170311</v>
      </c>
      <c r="E25" s="50">
        <f t="shared" si="1"/>
        <v>136</v>
      </c>
      <c r="F25" s="51">
        <v>12557729</v>
      </c>
      <c r="G25" s="50">
        <f t="shared" si="2"/>
        <v>4798</v>
      </c>
      <c r="H25" s="51">
        <v>21494381</v>
      </c>
      <c r="I25" s="50">
        <f t="shared" si="3"/>
        <v>8052</v>
      </c>
      <c r="J25" s="51">
        <v>9407471</v>
      </c>
      <c r="K25" s="50">
        <f t="shared" si="4"/>
        <v>3815</v>
      </c>
    </row>
    <row r="26" spans="1:29" ht="19.5" x14ac:dyDescent="0.3">
      <c r="A26" s="59">
        <v>44852</v>
      </c>
      <c r="B26" s="116">
        <v>2569</v>
      </c>
      <c r="C26" s="115">
        <f t="shared" si="0"/>
        <v>0</v>
      </c>
      <c r="D26" s="57">
        <v>170443</v>
      </c>
      <c r="E26" s="50">
        <f t="shared" si="1"/>
        <v>132</v>
      </c>
      <c r="F26" s="51">
        <v>12562707</v>
      </c>
      <c r="G26" s="50">
        <f t="shared" si="2"/>
        <v>4978</v>
      </c>
      <c r="H26" s="51">
        <v>21502492</v>
      </c>
      <c r="I26" s="50">
        <f t="shared" si="3"/>
        <v>8111</v>
      </c>
      <c r="J26" s="51">
        <v>9411716</v>
      </c>
      <c r="K26" s="50">
        <f t="shared" si="4"/>
        <v>4245</v>
      </c>
    </row>
    <row r="27" spans="1:29" ht="19.5" x14ac:dyDescent="0.3">
      <c r="A27" s="59">
        <v>44853</v>
      </c>
      <c r="B27" s="116">
        <v>2569</v>
      </c>
      <c r="C27" s="115">
        <f t="shared" si="0"/>
        <v>0</v>
      </c>
      <c r="D27" s="57">
        <v>170643.4</v>
      </c>
      <c r="E27" s="50">
        <f t="shared" si="1"/>
        <v>200.39999999999418</v>
      </c>
      <c r="F27" s="51">
        <v>12568348</v>
      </c>
      <c r="G27" s="50">
        <f t="shared" si="2"/>
        <v>5641</v>
      </c>
      <c r="H27" s="51">
        <v>21510646</v>
      </c>
      <c r="I27" s="50">
        <f t="shared" si="3"/>
        <v>8154</v>
      </c>
      <c r="J27" s="51">
        <v>9415722</v>
      </c>
      <c r="K27" s="50">
        <f t="shared" si="4"/>
        <v>4006</v>
      </c>
    </row>
    <row r="28" spans="1:29" ht="19.5" x14ac:dyDescent="0.3">
      <c r="A28" s="59">
        <v>44854</v>
      </c>
      <c r="B28" s="116">
        <v>2569</v>
      </c>
      <c r="C28" s="115">
        <f t="shared" si="0"/>
        <v>0</v>
      </c>
      <c r="D28" s="57">
        <v>170788.8</v>
      </c>
      <c r="E28" s="50">
        <f t="shared" si="1"/>
        <v>145.39999999999418</v>
      </c>
      <c r="F28" s="51">
        <v>12574706</v>
      </c>
      <c r="G28" s="50">
        <f t="shared" si="2"/>
        <v>6358</v>
      </c>
      <c r="H28" s="51">
        <v>21519664</v>
      </c>
      <c r="I28" s="50">
        <f t="shared" si="3"/>
        <v>9018</v>
      </c>
      <c r="J28" s="51">
        <v>9419811</v>
      </c>
      <c r="K28" s="50">
        <f t="shared" si="4"/>
        <v>4089</v>
      </c>
    </row>
    <row r="29" spans="1:29" ht="19.5" x14ac:dyDescent="0.3">
      <c r="A29" s="59">
        <v>44855</v>
      </c>
      <c r="B29" s="116">
        <v>2569</v>
      </c>
      <c r="C29" s="115">
        <f t="shared" si="0"/>
        <v>0</v>
      </c>
      <c r="D29" s="57">
        <v>170930</v>
      </c>
      <c r="E29" s="50">
        <f t="shared" si="1"/>
        <v>141.20000000001164</v>
      </c>
      <c r="F29" s="51">
        <v>12580043</v>
      </c>
      <c r="G29" s="50">
        <f t="shared" si="2"/>
        <v>5337</v>
      </c>
      <c r="H29" s="51">
        <v>21528148</v>
      </c>
      <c r="I29" s="50">
        <f t="shared" si="3"/>
        <v>8484</v>
      </c>
      <c r="J29" s="51">
        <v>9424032</v>
      </c>
      <c r="K29" s="50">
        <f t="shared" si="4"/>
        <v>4221</v>
      </c>
    </row>
    <row r="30" spans="1:29" ht="19.5" x14ac:dyDescent="0.3">
      <c r="A30" s="59">
        <v>44856</v>
      </c>
      <c r="B30" s="116">
        <v>2569</v>
      </c>
      <c r="C30" s="115">
        <f t="shared" si="0"/>
        <v>0</v>
      </c>
      <c r="D30" s="57">
        <v>171069</v>
      </c>
      <c r="E30" s="50">
        <f t="shared" si="1"/>
        <v>139</v>
      </c>
      <c r="F30" s="51">
        <v>12584983</v>
      </c>
      <c r="G30" s="50">
        <f t="shared" si="2"/>
        <v>4940</v>
      </c>
      <c r="H30" s="51">
        <v>21535667</v>
      </c>
      <c r="I30" s="50">
        <f t="shared" si="3"/>
        <v>7519</v>
      </c>
      <c r="J30" s="51">
        <v>9427700</v>
      </c>
      <c r="K30" s="50">
        <f t="shared" si="4"/>
        <v>3668</v>
      </c>
    </row>
    <row r="31" spans="1:29" ht="19.5" x14ac:dyDescent="0.3">
      <c r="A31" s="59">
        <v>44857</v>
      </c>
      <c r="B31" s="116">
        <v>2569</v>
      </c>
      <c r="C31" s="115">
        <f t="shared" si="0"/>
        <v>0</v>
      </c>
      <c r="D31" s="57">
        <v>171209</v>
      </c>
      <c r="E31" s="50">
        <f t="shared" si="1"/>
        <v>140</v>
      </c>
      <c r="F31" s="51">
        <v>12589915</v>
      </c>
      <c r="G31" s="50">
        <f t="shared" si="2"/>
        <v>4932</v>
      </c>
      <c r="H31" s="51">
        <v>21544064</v>
      </c>
      <c r="I31" s="50">
        <f t="shared" si="3"/>
        <v>8397</v>
      </c>
      <c r="J31" s="51">
        <v>9431687</v>
      </c>
      <c r="K31" s="50">
        <f t="shared" si="4"/>
        <v>3987</v>
      </c>
    </row>
    <row r="32" spans="1:29" ht="19.5" x14ac:dyDescent="0.3">
      <c r="A32" s="59">
        <v>44858</v>
      </c>
      <c r="B32" s="116">
        <v>2569</v>
      </c>
      <c r="C32" s="115">
        <f t="shared" si="0"/>
        <v>0</v>
      </c>
      <c r="D32" s="57">
        <v>171347</v>
      </c>
      <c r="E32" s="50">
        <f t="shared" si="1"/>
        <v>138</v>
      </c>
      <c r="F32" s="51">
        <v>12594777</v>
      </c>
      <c r="G32" s="50">
        <f t="shared" si="2"/>
        <v>4862</v>
      </c>
      <c r="H32" s="51">
        <v>21551766</v>
      </c>
      <c r="I32" s="50">
        <f t="shared" si="3"/>
        <v>7702</v>
      </c>
      <c r="J32" s="51">
        <v>9435408</v>
      </c>
      <c r="K32" s="50">
        <f t="shared" si="4"/>
        <v>3721</v>
      </c>
    </row>
    <row r="33" spans="1:11" ht="19.5" x14ac:dyDescent="0.3">
      <c r="A33" s="59">
        <v>44859</v>
      </c>
      <c r="B33" s="116">
        <v>2569</v>
      </c>
      <c r="C33" s="115">
        <f t="shared" si="0"/>
        <v>0</v>
      </c>
      <c r="D33" s="57">
        <v>171531.1</v>
      </c>
      <c r="E33" s="50">
        <f t="shared" si="1"/>
        <v>184.10000000000582</v>
      </c>
      <c r="F33" s="51">
        <v>12599504</v>
      </c>
      <c r="G33" s="50">
        <f t="shared" si="2"/>
        <v>4727</v>
      </c>
      <c r="H33" s="51">
        <v>21559265</v>
      </c>
      <c r="I33" s="50">
        <f t="shared" si="3"/>
        <v>7499</v>
      </c>
      <c r="J33" s="51">
        <v>9439043</v>
      </c>
      <c r="K33" s="50">
        <f t="shared" si="4"/>
        <v>3635</v>
      </c>
    </row>
    <row r="34" spans="1:11" ht="19.5" x14ac:dyDescent="0.3">
      <c r="A34" s="59">
        <v>44860</v>
      </c>
      <c r="B34" s="116">
        <v>2569</v>
      </c>
      <c r="C34" s="115">
        <f t="shared" si="0"/>
        <v>0</v>
      </c>
      <c r="D34" s="57">
        <v>171635</v>
      </c>
      <c r="E34" s="50">
        <f t="shared" si="1"/>
        <v>103.89999999999418</v>
      </c>
      <c r="F34" s="51">
        <v>12604378</v>
      </c>
      <c r="G34" s="50">
        <f t="shared" si="2"/>
        <v>4874</v>
      </c>
      <c r="H34" s="51">
        <v>21566819</v>
      </c>
      <c r="I34" s="50">
        <f t="shared" si="3"/>
        <v>7554</v>
      </c>
      <c r="J34" s="51">
        <v>9442860</v>
      </c>
      <c r="K34" s="50">
        <f t="shared" si="4"/>
        <v>3817</v>
      </c>
    </row>
    <row r="35" spans="1:11" ht="19.5" x14ac:dyDescent="0.3">
      <c r="A35" s="59">
        <v>44861</v>
      </c>
      <c r="B35" s="116">
        <v>2569</v>
      </c>
      <c r="C35" s="115">
        <f t="shared" si="0"/>
        <v>0</v>
      </c>
      <c r="D35" s="57">
        <v>171772</v>
      </c>
      <c r="E35" s="50">
        <f t="shared" si="1"/>
        <v>137</v>
      </c>
      <c r="F35" s="51">
        <v>12609042</v>
      </c>
      <c r="G35" s="50">
        <f t="shared" si="2"/>
        <v>4664</v>
      </c>
      <c r="H35" s="51">
        <v>21574404</v>
      </c>
      <c r="I35" s="50">
        <f t="shared" si="3"/>
        <v>7585</v>
      </c>
      <c r="J35" s="51">
        <v>9446679</v>
      </c>
      <c r="K35" s="50">
        <f t="shared" si="4"/>
        <v>3819</v>
      </c>
    </row>
    <row r="36" spans="1:11" ht="19.5" x14ac:dyDescent="0.3">
      <c r="A36" s="59">
        <v>44862</v>
      </c>
      <c r="B36" s="116">
        <v>2569</v>
      </c>
      <c r="C36" s="115">
        <f t="shared" si="0"/>
        <v>0</v>
      </c>
      <c r="D36" s="57">
        <v>171923.9</v>
      </c>
      <c r="E36" s="50">
        <f t="shared" si="1"/>
        <v>151.89999999999418</v>
      </c>
      <c r="F36" s="51">
        <v>12614463</v>
      </c>
      <c r="G36" s="50">
        <f t="shared" si="2"/>
        <v>5421</v>
      </c>
      <c r="H36" s="51">
        <v>21581807</v>
      </c>
      <c r="I36" s="50">
        <f t="shared" si="3"/>
        <v>7403</v>
      </c>
      <c r="J36" s="51">
        <v>9450407</v>
      </c>
      <c r="K36" s="50">
        <f t="shared" si="4"/>
        <v>3728</v>
      </c>
    </row>
    <row r="37" spans="1:11" ht="19.5" x14ac:dyDescent="0.3">
      <c r="A37" s="59">
        <v>44863</v>
      </c>
      <c r="B37" s="116">
        <v>2569</v>
      </c>
      <c r="C37" s="115">
        <f t="shared" si="0"/>
        <v>0</v>
      </c>
      <c r="D37" s="57">
        <v>172089.5</v>
      </c>
      <c r="E37" s="50">
        <f t="shared" si="1"/>
        <v>165.60000000000582</v>
      </c>
      <c r="F37" s="51">
        <v>12620214</v>
      </c>
      <c r="G37" s="50">
        <f t="shared" si="2"/>
        <v>5751</v>
      </c>
      <c r="H37" s="51">
        <v>21589168</v>
      </c>
      <c r="I37" s="50">
        <f t="shared" si="3"/>
        <v>7361</v>
      </c>
      <c r="J37" s="51">
        <v>9454244</v>
      </c>
      <c r="K37" s="50">
        <f t="shared" si="4"/>
        <v>3837</v>
      </c>
    </row>
    <row r="38" spans="1:11" ht="19.5" x14ac:dyDescent="0.3">
      <c r="A38" s="59">
        <v>44864</v>
      </c>
      <c r="B38" s="116">
        <v>2569</v>
      </c>
      <c r="C38" s="115">
        <f t="shared" si="0"/>
        <v>0</v>
      </c>
      <c r="D38" s="57">
        <v>172241</v>
      </c>
      <c r="E38" s="50">
        <f t="shared" si="1"/>
        <v>151.5</v>
      </c>
      <c r="F38" s="51">
        <v>12624963</v>
      </c>
      <c r="G38" s="50">
        <f t="shared" si="2"/>
        <v>4749</v>
      </c>
      <c r="H38" s="51">
        <v>21596886</v>
      </c>
      <c r="I38" s="50">
        <f t="shared" si="3"/>
        <v>7718</v>
      </c>
      <c r="J38" s="51">
        <v>9458009</v>
      </c>
      <c r="K38" s="50">
        <f t="shared" si="4"/>
        <v>3765</v>
      </c>
    </row>
    <row r="39" spans="1:11" ht="19.5" x14ac:dyDescent="0.3">
      <c r="A39" s="59">
        <v>44865</v>
      </c>
      <c r="B39" s="116">
        <v>2569</v>
      </c>
      <c r="C39" s="115">
        <f>B39-B37</f>
        <v>0</v>
      </c>
      <c r="D39" s="57">
        <v>172400</v>
      </c>
      <c r="E39" s="50">
        <f t="shared" si="1"/>
        <v>159</v>
      </c>
      <c r="F39" s="51">
        <v>12629770</v>
      </c>
      <c r="G39" s="50">
        <f t="shared" si="2"/>
        <v>4807</v>
      </c>
      <c r="H39" s="51">
        <v>21604795</v>
      </c>
      <c r="I39" s="50">
        <f t="shared" si="3"/>
        <v>7909</v>
      </c>
      <c r="J39" s="51">
        <v>9461862</v>
      </c>
      <c r="K39" s="50">
        <f t="shared" si="4"/>
        <v>3853</v>
      </c>
    </row>
    <row r="40" spans="1:11" ht="19.5" x14ac:dyDescent="0.3">
      <c r="A40" s="59">
        <v>44866</v>
      </c>
      <c r="B40" s="116">
        <v>2569</v>
      </c>
      <c r="C40" s="115">
        <f>B40-B38</f>
        <v>0</v>
      </c>
      <c r="D40" s="57">
        <v>172580</v>
      </c>
      <c r="E40" s="50">
        <f t="shared" si="1"/>
        <v>180</v>
      </c>
      <c r="F40" s="51">
        <v>12634618</v>
      </c>
      <c r="G40" s="50">
        <f t="shared" si="2"/>
        <v>4848</v>
      </c>
      <c r="H40" s="51">
        <v>21612801</v>
      </c>
      <c r="I40" s="50">
        <f t="shared" si="3"/>
        <v>8006</v>
      </c>
      <c r="J40" s="51">
        <v>9466063</v>
      </c>
      <c r="K40" s="50">
        <f t="shared" si="4"/>
        <v>4201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63" stopIfTrue="1" operator="lessThanOrEqual">
      <formula>0</formula>
    </cfRule>
  </conditionalFormatting>
  <conditionalFormatting sqref="E9:E40">
    <cfRule type="cellIs" dxfId="1" priority="8" stopIfTrue="1" operator="lessThanOrEqual">
      <formula>0</formula>
    </cfRule>
  </conditionalFormatting>
  <conditionalFormatting sqref="E9:E40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5" activePane="bottomRight" state="frozen"/>
      <selection pane="topRight" activeCell="B1" sqref="B1"/>
      <selection pane="bottomLeft" activeCell="A4" sqref="A4"/>
      <selection pane="bottomRight" activeCell="B35" sqref="B35:H35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 x14ac:dyDescent="0.4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44835</v>
      </c>
      <c r="B4" s="41">
        <v>81</v>
      </c>
      <c r="C4" s="39">
        <f t="shared" ref="C4" si="0">IF(AC4&gt;0,((B4-R4)+(S4-B5)),IF(B5=0, ,(B4-B5)))</f>
        <v>1</v>
      </c>
      <c r="D4" s="41">
        <v>83</v>
      </c>
      <c r="E4" s="39">
        <f t="shared" ref="E4" si="1">IF(AC4&gt;0,((D4-U4)+(V4-D5)),IF(D5=0, ,(D4-D5)))</f>
        <v>7</v>
      </c>
      <c r="F4" s="41">
        <v>81</v>
      </c>
      <c r="G4" s="39">
        <f t="shared" ref="G4" si="2">IF(AC4&gt;0,((F4-X4)+(Y4-F5)),IF(F5=0, ,(F4-F5)))</f>
        <v>2</v>
      </c>
      <c r="H4" s="41">
        <v>81</v>
      </c>
      <c r="I4" s="39">
        <f>IF(AC4&gt;0,((H4-AA4)+(AB4-H5)),IF(H5=0, ,(H4-H5)))</f>
        <v>5</v>
      </c>
      <c r="J4" s="39">
        <f>B4+D4+F4+H4</f>
        <v>326</v>
      </c>
      <c r="K4" s="39">
        <f>J4/4</f>
        <v>81.5</v>
      </c>
      <c r="L4" s="39">
        <f>IF(AC4&gt;0,((K4-AD4)+(AE4-K5)),IF(K5=0, ,(K4-K5)))</f>
        <v>3.75</v>
      </c>
      <c r="M4" s="149">
        <f t="shared" ref="M4:M7" si="3">6049*4</f>
        <v>24196</v>
      </c>
      <c r="N4" s="39">
        <f>L4*M4/100</f>
        <v>907.35</v>
      </c>
      <c r="O4" s="167">
        <f>N4*0.529</f>
        <v>479.98815000000002</v>
      </c>
      <c r="P4" s="42">
        <f>O4*12.24</f>
        <v>5875.0549559999999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44836</v>
      </c>
      <c r="B5" s="41">
        <v>80</v>
      </c>
      <c r="C5" s="39">
        <f t="shared" ref="C5:C35" si="7">IF(AC5&gt;0,((B5-R5)+(S5-B6)),IF(B6=0, ,(B5-B6)))</f>
        <v>4</v>
      </c>
      <c r="D5" s="41">
        <v>76</v>
      </c>
      <c r="E5" s="39">
        <f t="shared" ref="E5:E35" si="8">IF(AC5&gt;0,((D5-U5)+(V5-D6)),IF(D6=0, ,(D5-D6)))</f>
        <v>3</v>
      </c>
      <c r="F5" s="41">
        <v>79</v>
      </c>
      <c r="G5" s="39">
        <f t="shared" ref="G5:G35" si="9">IF(AC5&gt;0,((F5-X5)+(Y5-F6)),IF(F6=0, ,(F5-F6)))</f>
        <v>3</v>
      </c>
      <c r="H5" s="41">
        <v>76</v>
      </c>
      <c r="I5" s="39">
        <f>IF(AC5&gt;0,((H5-AA5)+(AB5-H6)),IF(H6=0, ,(H5-H6)))</f>
        <v>4</v>
      </c>
      <c r="J5" s="39">
        <f>B5+D5+F5+H5</f>
        <v>311</v>
      </c>
      <c r="K5" s="39">
        <f>J5/4</f>
        <v>77.75</v>
      </c>
      <c r="L5" s="39">
        <f>IF(AC5&gt;0,((K5-AD5)+(AE5-K6)),IF(K6=0, ,(K5-K6)))</f>
        <v>3.5</v>
      </c>
      <c r="M5" s="149">
        <f t="shared" si="3"/>
        <v>24196</v>
      </c>
      <c r="N5" s="39">
        <f>L5*M5/100</f>
        <v>846.86</v>
      </c>
      <c r="O5" s="39">
        <f>N5*0.529</f>
        <v>447.98894000000001</v>
      </c>
      <c r="P5" s="42">
        <f t="shared" ref="P5:P36" si="10">O5*12.24</f>
        <v>5483.3846256000006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44837</v>
      </c>
      <c r="B6" s="41">
        <v>76</v>
      </c>
      <c r="C6" s="39">
        <f t="shared" si="7"/>
        <v>4</v>
      </c>
      <c r="D6" s="41">
        <v>73</v>
      </c>
      <c r="E6" s="39">
        <f t="shared" si="8"/>
        <v>3</v>
      </c>
      <c r="F6" s="41">
        <v>76</v>
      </c>
      <c r="G6" s="39">
        <f t="shared" si="9"/>
        <v>3</v>
      </c>
      <c r="H6" s="41">
        <v>72</v>
      </c>
      <c r="I6" s="39">
        <f t="shared" ref="I6:I36" si="11">IF(AC6&gt;0,((H6-AA6)+(AB6-H7)),IF(H7=0, ,(H6-H7)))</f>
        <v>2</v>
      </c>
      <c r="J6" s="39">
        <f t="shared" ref="J6:J42" si="12">B6+D6+F6+H6</f>
        <v>297</v>
      </c>
      <c r="K6" s="39">
        <f t="shared" ref="K6:K42" si="13">J6/4</f>
        <v>74.25</v>
      </c>
      <c r="L6" s="39">
        <f t="shared" ref="L6:L19" si="14">IF(AC6&gt;0,((K6-AD6)+(AE6-K7)),IF(K7=0, ,(K6-K7)))</f>
        <v>3</v>
      </c>
      <c r="M6" s="149">
        <f t="shared" si="3"/>
        <v>24196</v>
      </c>
      <c r="N6" s="39">
        <f t="shared" ref="N6:N42" si="15">L6*M6/100</f>
        <v>725.88</v>
      </c>
      <c r="O6" s="39">
        <f>N6*0.529</f>
        <v>383.99052</v>
      </c>
      <c r="P6" s="42">
        <f t="shared" si="10"/>
        <v>4700.0439648000001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44838</v>
      </c>
      <c r="B7" s="41">
        <v>72</v>
      </c>
      <c r="C7" s="39">
        <f t="shared" si="7"/>
        <v>3</v>
      </c>
      <c r="D7" s="41">
        <v>70</v>
      </c>
      <c r="E7" s="39">
        <f t="shared" si="8"/>
        <v>2</v>
      </c>
      <c r="F7" s="41">
        <v>73</v>
      </c>
      <c r="G7" s="39">
        <f t="shared" si="9"/>
        <v>5</v>
      </c>
      <c r="H7" s="41">
        <v>70</v>
      </c>
      <c r="I7" s="39">
        <f t="shared" si="11"/>
        <v>2</v>
      </c>
      <c r="J7" s="39">
        <f t="shared" si="12"/>
        <v>285</v>
      </c>
      <c r="K7" s="39">
        <f t="shared" si="13"/>
        <v>71.25</v>
      </c>
      <c r="L7" s="39">
        <f t="shared" si="14"/>
        <v>3</v>
      </c>
      <c r="M7" s="149">
        <f t="shared" si="3"/>
        <v>24196</v>
      </c>
      <c r="N7" s="39">
        <f t="shared" si="15"/>
        <v>725.88</v>
      </c>
      <c r="O7" s="39">
        <f>N7*0.53</f>
        <v>384.71640000000002</v>
      </c>
      <c r="P7" s="42">
        <f t="shared" si="10"/>
        <v>4708.9287360000008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44839</v>
      </c>
      <c r="B8" s="41">
        <v>69</v>
      </c>
      <c r="C8" s="39">
        <f t="shared" si="7"/>
        <v>4</v>
      </c>
      <c r="D8" s="41">
        <v>68</v>
      </c>
      <c r="E8" s="39">
        <f t="shared" si="8"/>
        <v>3</v>
      </c>
      <c r="F8" s="41">
        <v>68</v>
      </c>
      <c r="G8" s="39">
        <f t="shared" si="9"/>
        <v>2</v>
      </c>
      <c r="H8" s="41">
        <v>68</v>
      </c>
      <c r="I8" s="39">
        <f t="shared" si="11"/>
        <v>3</v>
      </c>
      <c r="J8" s="39">
        <f t="shared" si="12"/>
        <v>273</v>
      </c>
      <c r="K8" s="39">
        <f t="shared" si="13"/>
        <v>68.25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4700.0439648000001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44840</v>
      </c>
      <c r="B9" s="41">
        <v>65</v>
      </c>
      <c r="C9" s="39">
        <f t="shared" si="7"/>
        <v>3</v>
      </c>
      <c r="D9" s="41">
        <v>65</v>
      </c>
      <c r="E9" s="39">
        <f t="shared" si="8"/>
        <v>3</v>
      </c>
      <c r="F9" s="41">
        <v>66</v>
      </c>
      <c r="G9" s="39">
        <f t="shared" si="9"/>
        <v>1</v>
      </c>
      <c r="H9" s="41">
        <v>65</v>
      </c>
      <c r="I9" s="39">
        <f t="shared" si="11"/>
        <v>1</v>
      </c>
      <c r="J9" s="39">
        <f t="shared" si="12"/>
        <v>261</v>
      </c>
      <c r="K9" s="39">
        <f t="shared" si="13"/>
        <v>65.25</v>
      </c>
      <c r="L9" s="39">
        <f t="shared" si="14"/>
        <v>2</v>
      </c>
      <c r="M9" s="149">
        <f t="shared" ref="M9:M42" si="17">6049*4</f>
        <v>24196</v>
      </c>
      <c r="N9" s="39">
        <f t="shared" si="15"/>
        <v>483.92</v>
      </c>
      <c r="O9" s="39">
        <f t="shared" si="16"/>
        <v>255.99368000000001</v>
      </c>
      <c r="P9" s="42">
        <f t="shared" si="10"/>
        <v>3133.3626432000001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44841</v>
      </c>
      <c r="B10" s="41">
        <v>62</v>
      </c>
      <c r="C10" s="39">
        <f t="shared" si="7"/>
        <v>2</v>
      </c>
      <c r="D10" s="41">
        <v>62</v>
      </c>
      <c r="E10" s="39">
        <f t="shared" si="8"/>
        <v>2</v>
      </c>
      <c r="F10" s="41">
        <v>65</v>
      </c>
      <c r="G10" s="39">
        <f t="shared" si="9"/>
        <v>5</v>
      </c>
      <c r="H10" s="41">
        <v>64</v>
      </c>
      <c r="I10" s="39">
        <f t="shared" si="11"/>
        <v>4</v>
      </c>
      <c r="J10" s="39">
        <f t="shared" si="12"/>
        <v>253</v>
      </c>
      <c r="K10" s="39">
        <f t="shared" si="13"/>
        <v>63.25</v>
      </c>
      <c r="L10" s="39">
        <f t="shared" si="14"/>
        <v>3.25</v>
      </c>
      <c r="M10" s="149">
        <f t="shared" si="17"/>
        <v>24196</v>
      </c>
      <c r="N10" s="39">
        <f t="shared" si="15"/>
        <v>786.37</v>
      </c>
      <c r="O10" s="148">
        <f t="shared" si="16"/>
        <v>415.98973000000001</v>
      </c>
      <c r="P10" s="42">
        <f t="shared" si="10"/>
        <v>5091.7142952000004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44842</v>
      </c>
      <c r="B11" s="41">
        <v>60</v>
      </c>
      <c r="C11" s="39">
        <f t="shared" si="7"/>
        <v>2</v>
      </c>
      <c r="D11" s="41">
        <v>60</v>
      </c>
      <c r="E11" s="39">
        <f t="shared" si="8"/>
        <v>2</v>
      </c>
      <c r="F11" s="41">
        <v>60</v>
      </c>
      <c r="G11" s="39">
        <f t="shared" si="9"/>
        <v>4</v>
      </c>
      <c r="H11" s="41">
        <v>60</v>
      </c>
      <c r="I11" s="39">
        <f t="shared" si="11"/>
        <v>3</v>
      </c>
      <c r="J11" s="39">
        <f t="shared" si="12"/>
        <v>240</v>
      </c>
      <c r="K11" s="39">
        <f t="shared" si="13"/>
        <v>60</v>
      </c>
      <c r="L11" s="39">
        <f t="shared" si="14"/>
        <v>2.75</v>
      </c>
      <c r="M11" s="149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4308.3736343999999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44843</v>
      </c>
      <c r="B12" s="41">
        <v>58</v>
      </c>
      <c r="C12" s="39">
        <f t="shared" si="7"/>
        <v>4</v>
      </c>
      <c r="D12" s="41">
        <v>58</v>
      </c>
      <c r="E12" s="39">
        <f t="shared" si="8"/>
        <v>4</v>
      </c>
      <c r="F12" s="41">
        <v>56</v>
      </c>
      <c r="G12" s="39">
        <f t="shared" si="9"/>
        <v>1</v>
      </c>
      <c r="H12" s="41">
        <v>57</v>
      </c>
      <c r="I12" s="39">
        <f t="shared" si="11"/>
        <v>2</v>
      </c>
      <c r="J12" s="39">
        <f t="shared" si="12"/>
        <v>229</v>
      </c>
      <c r="K12" s="39">
        <f t="shared" si="13"/>
        <v>57.25</v>
      </c>
      <c r="L12" s="39">
        <f t="shared" si="14"/>
        <v>2.75</v>
      </c>
      <c r="M12" s="149">
        <f t="shared" si="17"/>
        <v>24196</v>
      </c>
      <c r="N12" s="39">
        <f t="shared" si="15"/>
        <v>665.39</v>
      </c>
      <c r="O12" s="39">
        <f t="shared" si="16"/>
        <v>351.99131</v>
      </c>
      <c r="P12" s="42">
        <f t="shared" si="10"/>
        <v>4308.3736343999999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44844</v>
      </c>
      <c r="B13" s="41">
        <v>54</v>
      </c>
      <c r="C13" s="39">
        <f t="shared" si="7"/>
        <v>5</v>
      </c>
      <c r="D13" s="41">
        <v>54</v>
      </c>
      <c r="E13" s="39">
        <f t="shared" si="8"/>
        <v>3</v>
      </c>
      <c r="F13" s="41">
        <v>55</v>
      </c>
      <c r="G13" s="39">
        <f t="shared" si="9"/>
        <v>2</v>
      </c>
      <c r="H13" s="41">
        <v>55</v>
      </c>
      <c r="I13" s="39">
        <f t="shared" si="11"/>
        <v>3</v>
      </c>
      <c r="J13" s="39">
        <f t="shared" si="12"/>
        <v>218</v>
      </c>
      <c r="K13" s="39">
        <f t="shared" si="13"/>
        <v>54.5</v>
      </c>
      <c r="L13" s="39">
        <f t="shared" si="14"/>
        <v>3.25</v>
      </c>
      <c r="M13" s="149">
        <f t="shared" si="17"/>
        <v>24196</v>
      </c>
      <c r="N13" s="39">
        <f t="shared" si="15"/>
        <v>786.37</v>
      </c>
      <c r="O13" s="39">
        <f t="shared" si="16"/>
        <v>415.98973000000001</v>
      </c>
      <c r="P13" s="42">
        <f t="shared" si="10"/>
        <v>5091.7142952000004</v>
      </c>
      <c r="Q13" s="39">
        <v>2816</v>
      </c>
      <c r="R13" s="39">
        <v>50</v>
      </c>
      <c r="S13" s="39">
        <v>85</v>
      </c>
      <c r="T13" s="39">
        <v>2656</v>
      </c>
      <c r="U13" s="39">
        <v>52</v>
      </c>
      <c r="V13" s="39">
        <v>85</v>
      </c>
      <c r="W13" s="39">
        <v>2548</v>
      </c>
      <c r="X13" s="39">
        <v>53</v>
      </c>
      <c r="Y13" s="39">
        <v>85</v>
      </c>
      <c r="Z13" s="39">
        <v>2517</v>
      </c>
      <c r="AA13" s="39">
        <v>53</v>
      </c>
      <c r="AB13" s="39">
        <v>85</v>
      </c>
      <c r="AC13" s="39">
        <f t="shared" si="4"/>
        <v>10537</v>
      </c>
      <c r="AD13" s="38">
        <f t="shared" si="5"/>
        <v>52</v>
      </c>
      <c r="AE13" s="38">
        <f t="shared" si="6"/>
        <v>85</v>
      </c>
    </row>
    <row r="14" spans="1:31" ht="32.25" customHeight="1" x14ac:dyDescent="0.3">
      <c r="A14" s="40">
        <v>44845</v>
      </c>
      <c r="B14" s="41">
        <v>84</v>
      </c>
      <c r="C14" s="39">
        <f t="shared" si="7"/>
        <v>2</v>
      </c>
      <c r="D14" s="41">
        <v>84</v>
      </c>
      <c r="E14" s="39">
        <f t="shared" si="8"/>
        <v>2</v>
      </c>
      <c r="F14" s="41">
        <v>85</v>
      </c>
      <c r="G14" s="39">
        <f t="shared" si="9"/>
        <v>2</v>
      </c>
      <c r="H14" s="41">
        <v>84</v>
      </c>
      <c r="I14" s="39">
        <f>IF(AC14&gt;0,((H14-AA14)+(AB14-H15)),IF(H15=0, ,(H14-H15)))</f>
        <v>1</v>
      </c>
      <c r="J14" s="39">
        <f t="shared" si="12"/>
        <v>337</v>
      </c>
      <c r="K14" s="39">
        <f t="shared" si="13"/>
        <v>84.25</v>
      </c>
      <c r="L14" s="39">
        <f t="shared" si="14"/>
        <v>1.75</v>
      </c>
      <c r="M14" s="149">
        <f t="shared" si="17"/>
        <v>24196</v>
      </c>
      <c r="N14" s="39">
        <f t="shared" si="15"/>
        <v>423.43</v>
      </c>
      <c r="O14" s="39">
        <f t="shared" si="16"/>
        <v>223.99447000000001</v>
      </c>
      <c r="P14" s="42">
        <f t="shared" si="10"/>
        <v>2741.6923128000003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44846</v>
      </c>
      <c r="B15" s="41">
        <v>82</v>
      </c>
      <c r="C15" s="39">
        <f t="shared" si="7"/>
        <v>2</v>
      </c>
      <c r="D15" s="41">
        <v>82</v>
      </c>
      <c r="E15" s="39">
        <f t="shared" si="8"/>
        <v>2</v>
      </c>
      <c r="F15" s="41">
        <v>83</v>
      </c>
      <c r="G15" s="39">
        <f t="shared" si="9"/>
        <v>2</v>
      </c>
      <c r="H15" s="41">
        <v>83</v>
      </c>
      <c r="I15" s="39">
        <f>IF(AC15&gt;0,((H15-AA15)+(AB15-H16)),IF(H16=0, ,(H15-H16)))</f>
        <v>1</v>
      </c>
      <c r="J15" s="39">
        <f t="shared" si="12"/>
        <v>330</v>
      </c>
      <c r="K15" s="39">
        <f t="shared" si="13"/>
        <v>82.5</v>
      </c>
      <c r="L15" s="39">
        <f t="shared" si="14"/>
        <v>1.75</v>
      </c>
      <c r="M15" s="149">
        <f t="shared" si="17"/>
        <v>24196</v>
      </c>
      <c r="N15" s="39">
        <f t="shared" si="15"/>
        <v>423.43</v>
      </c>
      <c r="O15" s="39">
        <f t="shared" si="16"/>
        <v>223.99447000000001</v>
      </c>
      <c r="P15" s="42">
        <f t="shared" si="10"/>
        <v>2741.6923128000003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44847</v>
      </c>
      <c r="B16" s="41">
        <v>80</v>
      </c>
      <c r="C16" s="39">
        <f t="shared" si="7"/>
        <v>0</v>
      </c>
      <c r="D16" s="41">
        <v>80</v>
      </c>
      <c r="E16" s="39">
        <f t="shared" si="8"/>
        <v>4</v>
      </c>
      <c r="F16" s="41">
        <v>81</v>
      </c>
      <c r="G16" s="39">
        <f t="shared" si="9"/>
        <v>2</v>
      </c>
      <c r="H16" s="41">
        <v>82</v>
      </c>
      <c r="I16" s="39">
        <f t="shared" si="11"/>
        <v>2</v>
      </c>
      <c r="J16" s="39">
        <f t="shared" si="12"/>
        <v>323</v>
      </c>
      <c r="K16" s="39">
        <f t="shared" si="13"/>
        <v>80.75</v>
      </c>
      <c r="L16" s="39">
        <f t="shared" si="14"/>
        <v>2</v>
      </c>
      <c r="M16" s="149">
        <f t="shared" si="17"/>
        <v>24196</v>
      </c>
      <c r="N16" s="39">
        <f t="shared" si="15"/>
        <v>483.92</v>
      </c>
      <c r="O16" s="39">
        <f t="shared" si="16"/>
        <v>255.99368000000001</v>
      </c>
      <c r="P16" s="42">
        <f t="shared" si="10"/>
        <v>3133.3626432000001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44848</v>
      </c>
      <c r="B17" s="41">
        <v>80</v>
      </c>
      <c r="C17" s="39">
        <f t="shared" si="7"/>
        <v>4</v>
      </c>
      <c r="D17" s="41">
        <v>76</v>
      </c>
      <c r="E17" s="39">
        <f t="shared" si="8"/>
        <v>1</v>
      </c>
      <c r="F17" s="41">
        <v>79</v>
      </c>
      <c r="G17" s="39">
        <f t="shared" si="9"/>
        <v>4</v>
      </c>
      <c r="H17" s="41">
        <v>80</v>
      </c>
      <c r="I17" s="39">
        <f t="shared" si="11"/>
        <v>5</v>
      </c>
      <c r="J17" s="39">
        <f t="shared" si="12"/>
        <v>315</v>
      </c>
      <c r="K17" s="39">
        <f t="shared" si="13"/>
        <v>78.75</v>
      </c>
      <c r="L17" s="39">
        <f t="shared" si="14"/>
        <v>3.5</v>
      </c>
      <c r="M17" s="149">
        <f t="shared" si="17"/>
        <v>24196</v>
      </c>
      <c r="N17" s="39">
        <f t="shared" si="15"/>
        <v>846.86</v>
      </c>
      <c r="O17" s="39">
        <f t="shared" si="16"/>
        <v>447.98894000000001</v>
      </c>
      <c r="P17" s="42">
        <f t="shared" si="10"/>
        <v>5483.3846256000006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44849</v>
      </c>
      <c r="B18" s="41">
        <v>76</v>
      </c>
      <c r="C18" s="39">
        <f t="shared" si="7"/>
        <v>4</v>
      </c>
      <c r="D18" s="41">
        <v>75</v>
      </c>
      <c r="E18" s="39">
        <f t="shared" si="8"/>
        <v>0</v>
      </c>
      <c r="F18" s="41">
        <v>75</v>
      </c>
      <c r="G18" s="39">
        <f t="shared" si="9"/>
        <v>5</v>
      </c>
      <c r="H18" s="41">
        <v>75</v>
      </c>
      <c r="I18" s="39">
        <f t="shared" si="11"/>
        <v>3</v>
      </c>
      <c r="J18" s="39">
        <f t="shared" si="12"/>
        <v>301</v>
      </c>
      <c r="K18" s="39">
        <f t="shared" si="13"/>
        <v>75.25</v>
      </c>
      <c r="L18" s="39">
        <f t="shared" si="14"/>
        <v>3</v>
      </c>
      <c r="M18" s="149">
        <f t="shared" si="17"/>
        <v>24196</v>
      </c>
      <c r="N18" s="39">
        <f t="shared" si="15"/>
        <v>725.88</v>
      </c>
      <c r="O18" s="39">
        <f t="shared" si="16"/>
        <v>383.99052</v>
      </c>
      <c r="P18" s="42">
        <f t="shared" si="10"/>
        <v>4700.0439648000001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44850</v>
      </c>
      <c r="B19" s="41">
        <v>72</v>
      </c>
      <c r="C19" s="39">
        <f t="shared" si="7"/>
        <v>2</v>
      </c>
      <c r="D19" s="41">
        <v>75</v>
      </c>
      <c r="E19" s="39">
        <f t="shared" si="8"/>
        <v>5</v>
      </c>
      <c r="F19" s="41">
        <v>70</v>
      </c>
      <c r="G19" s="39">
        <f t="shared" si="9"/>
        <v>0</v>
      </c>
      <c r="H19" s="41">
        <v>72</v>
      </c>
      <c r="I19" s="39">
        <f t="shared" si="11"/>
        <v>2</v>
      </c>
      <c r="J19" s="39">
        <f t="shared" si="12"/>
        <v>289</v>
      </c>
      <c r="K19" s="39">
        <f t="shared" si="13"/>
        <v>72.25</v>
      </c>
      <c r="L19" s="39">
        <f t="shared" si="14"/>
        <v>2.25</v>
      </c>
      <c r="M19" s="149">
        <f t="shared" si="17"/>
        <v>24196</v>
      </c>
      <c r="N19" s="39">
        <f t="shared" si="15"/>
        <v>544.41</v>
      </c>
      <c r="O19" s="39">
        <f t="shared" si="16"/>
        <v>287.99288999999999</v>
      </c>
      <c r="P19" s="42">
        <f t="shared" si="10"/>
        <v>3525.0329735999999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44851</v>
      </c>
      <c r="B20" s="41">
        <v>70</v>
      </c>
      <c r="C20" s="39">
        <f t="shared" si="7"/>
        <v>2</v>
      </c>
      <c r="D20" s="41">
        <v>70</v>
      </c>
      <c r="E20" s="39">
        <f t="shared" si="8"/>
        <v>5</v>
      </c>
      <c r="F20" s="41">
        <v>70</v>
      </c>
      <c r="G20" s="39">
        <f t="shared" si="9"/>
        <v>0</v>
      </c>
      <c r="H20" s="41">
        <v>70</v>
      </c>
      <c r="I20" s="39">
        <f t="shared" si="11"/>
        <v>1</v>
      </c>
      <c r="J20" s="39">
        <f t="shared" si="12"/>
        <v>280</v>
      </c>
      <c r="K20" s="39">
        <f t="shared" si="13"/>
        <v>70</v>
      </c>
      <c r="L20" s="39">
        <f t="shared" ref="L20:L42" si="18">IF(AC20&gt;0,((K20-AD20)+(AE20-K21)),IF(K21=0, ,(K20-K21)))</f>
        <v>2</v>
      </c>
      <c r="M20" s="149">
        <f t="shared" si="17"/>
        <v>24196</v>
      </c>
      <c r="N20" s="39">
        <f t="shared" si="15"/>
        <v>483.92</v>
      </c>
      <c r="O20" s="39">
        <f t="shared" si="16"/>
        <v>255.99368000000001</v>
      </c>
      <c r="P20" s="42">
        <f t="shared" si="10"/>
        <v>3133.3626432000001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44852</v>
      </c>
      <c r="B21" s="41">
        <v>68</v>
      </c>
      <c r="C21" s="39">
        <f t="shared" si="7"/>
        <v>3</v>
      </c>
      <c r="D21" s="41">
        <v>65</v>
      </c>
      <c r="E21" s="39">
        <f t="shared" si="8"/>
        <v>4</v>
      </c>
      <c r="F21" s="41">
        <v>70</v>
      </c>
      <c r="G21" s="39">
        <f t="shared" si="9"/>
        <v>5</v>
      </c>
      <c r="H21" s="41">
        <v>69</v>
      </c>
      <c r="I21" s="39">
        <f t="shared" si="11"/>
        <v>4</v>
      </c>
      <c r="J21" s="39">
        <f t="shared" si="12"/>
        <v>272</v>
      </c>
      <c r="K21" s="39">
        <f t="shared" si="13"/>
        <v>68</v>
      </c>
      <c r="L21" s="39">
        <f>IF(AC21&gt;0,((K21-AD21)+(AE21-K22)),IF(K22=0, ,(K21-K22)))</f>
        <v>4</v>
      </c>
      <c r="M21" s="149">
        <f t="shared" si="17"/>
        <v>24196</v>
      </c>
      <c r="N21" s="39">
        <f t="shared" si="15"/>
        <v>967.84</v>
      </c>
      <c r="O21" s="39">
        <f t="shared" si="16"/>
        <v>511.98736000000002</v>
      </c>
      <c r="P21" s="42">
        <f t="shared" si="10"/>
        <v>6266.7252864000002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44853</v>
      </c>
      <c r="B22" s="41">
        <v>65</v>
      </c>
      <c r="C22" s="39">
        <f t="shared" si="7"/>
        <v>5</v>
      </c>
      <c r="D22" s="41">
        <v>61</v>
      </c>
      <c r="E22" s="39">
        <f t="shared" si="8"/>
        <v>1</v>
      </c>
      <c r="F22" s="41">
        <v>65</v>
      </c>
      <c r="G22" s="39">
        <f t="shared" si="9"/>
        <v>3</v>
      </c>
      <c r="H22" s="41">
        <v>65</v>
      </c>
      <c r="I22" s="39">
        <f t="shared" si="11"/>
        <v>4</v>
      </c>
      <c r="J22" s="39">
        <f t="shared" si="12"/>
        <v>256</v>
      </c>
      <c r="K22" s="39">
        <f t="shared" si="13"/>
        <v>64</v>
      </c>
      <c r="L22" s="39">
        <f>IF(AC22&gt;0,((K22-AD22)+(AE22-K23)),IF(K23=0, ,(K22-K23)))</f>
        <v>3.25</v>
      </c>
      <c r="M22" s="149">
        <f t="shared" si="17"/>
        <v>24196</v>
      </c>
      <c r="N22" s="39">
        <f t="shared" si="15"/>
        <v>786.37</v>
      </c>
      <c r="O22" s="39">
        <f t="shared" si="16"/>
        <v>415.98973000000001</v>
      </c>
      <c r="P22" s="42">
        <f t="shared" si="10"/>
        <v>5091.7142952000004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44854</v>
      </c>
      <c r="B23" s="41">
        <v>60</v>
      </c>
      <c r="C23" s="39">
        <f t="shared" si="7"/>
        <v>3</v>
      </c>
      <c r="D23" s="41">
        <v>60</v>
      </c>
      <c r="E23" s="39">
        <f t="shared" si="8"/>
        <v>3</v>
      </c>
      <c r="F23" s="41">
        <v>62</v>
      </c>
      <c r="G23" s="39">
        <f t="shared" si="9"/>
        <v>4</v>
      </c>
      <c r="H23" s="41">
        <v>61</v>
      </c>
      <c r="I23" s="39">
        <f t="shared" si="11"/>
        <v>5</v>
      </c>
      <c r="J23" s="39">
        <f t="shared" si="12"/>
        <v>243</v>
      </c>
      <c r="K23" s="39">
        <f t="shared" si="13"/>
        <v>60.75</v>
      </c>
      <c r="L23" s="39">
        <f t="shared" si="18"/>
        <v>3.75</v>
      </c>
      <c r="M23" s="149">
        <f t="shared" si="17"/>
        <v>24196</v>
      </c>
      <c r="N23" s="39">
        <f t="shared" si="15"/>
        <v>907.35</v>
      </c>
      <c r="O23" s="39">
        <f t="shared" si="16"/>
        <v>479.98815000000002</v>
      </c>
      <c r="P23" s="42">
        <f t="shared" si="10"/>
        <v>5875.0549559999999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44855</v>
      </c>
      <c r="B24" s="41">
        <v>57</v>
      </c>
      <c r="C24" s="39">
        <f t="shared" si="7"/>
        <v>2</v>
      </c>
      <c r="D24" s="41">
        <v>57</v>
      </c>
      <c r="E24" s="39">
        <f t="shared" si="8"/>
        <v>2</v>
      </c>
      <c r="F24" s="41">
        <v>58</v>
      </c>
      <c r="G24" s="39">
        <f t="shared" si="9"/>
        <v>2</v>
      </c>
      <c r="H24" s="41">
        <v>56</v>
      </c>
      <c r="I24" s="39">
        <f t="shared" si="11"/>
        <v>1</v>
      </c>
      <c r="J24" s="39">
        <f t="shared" si="12"/>
        <v>228</v>
      </c>
      <c r="K24" s="39">
        <f t="shared" si="13"/>
        <v>57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2741.6923128000003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44856</v>
      </c>
      <c r="B25" s="41">
        <v>55</v>
      </c>
      <c r="C25" s="39">
        <f t="shared" si="7"/>
        <v>5</v>
      </c>
      <c r="D25" s="41">
        <v>55</v>
      </c>
      <c r="E25" s="39">
        <f t="shared" si="8"/>
        <v>2</v>
      </c>
      <c r="F25" s="41">
        <v>56</v>
      </c>
      <c r="G25" s="39">
        <f t="shared" si="9"/>
        <v>1</v>
      </c>
      <c r="H25" s="41">
        <v>55</v>
      </c>
      <c r="I25" s="39">
        <f t="shared" si="11"/>
        <v>3</v>
      </c>
      <c r="J25" s="39">
        <f t="shared" si="12"/>
        <v>221</v>
      </c>
      <c r="K25" s="39">
        <f t="shared" si="13"/>
        <v>55.25</v>
      </c>
      <c r="L25" s="39">
        <f t="shared" si="18"/>
        <v>2.75</v>
      </c>
      <c r="M25" s="149">
        <f t="shared" si="17"/>
        <v>24196</v>
      </c>
      <c r="N25" s="39">
        <f t="shared" si="15"/>
        <v>665.39</v>
      </c>
      <c r="O25" s="167">
        <f t="shared" si="16"/>
        <v>351.99131</v>
      </c>
      <c r="P25" s="42">
        <f t="shared" si="10"/>
        <v>4308.3736343999999</v>
      </c>
      <c r="Q25" s="39">
        <v>2876</v>
      </c>
      <c r="R25" s="39">
        <v>50</v>
      </c>
      <c r="S25" s="39">
        <v>85</v>
      </c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2876</v>
      </c>
      <c r="AD25" s="38">
        <f t="shared" ref="AD25:AD42" si="19">(R25+U25+X25+AA25)/4</f>
        <v>12.5</v>
      </c>
      <c r="AE25" s="38">
        <f>(S25+V25+Y25+AB25)/4</f>
        <v>21.25</v>
      </c>
    </row>
    <row r="26" spans="1:31" ht="32.25" customHeight="1" x14ac:dyDescent="0.3">
      <c r="A26" s="40">
        <v>44857</v>
      </c>
      <c r="B26" s="41">
        <v>85</v>
      </c>
      <c r="C26" s="39">
        <f t="shared" si="7"/>
        <v>5</v>
      </c>
      <c r="D26" s="41">
        <v>53</v>
      </c>
      <c r="E26" s="39">
        <f t="shared" si="8"/>
        <v>3</v>
      </c>
      <c r="F26" s="41">
        <v>55</v>
      </c>
      <c r="G26" s="39">
        <f t="shared" si="9"/>
        <v>1</v>
      </c>
      <c r="H26" s="41">
        <v>52</v>
      </c>
      <c r="I26" s="39">
        <f t="shared" si="11"/>
        <v>1</v>
      </c>
      <c r="J26" s="39">
        <f t="shared" si="12"/>
        <v>245</v>
      </c>
      <c r="K26" s="39">
        <f t="shared" si="13"/>
        <v>61.25</v>
      </c>
      <c r="L26" s="39">
        <f t="shared" si="18"/>
        <v>2.5</v>
      </c>
      <c r="M26" s="149">
        <f t="shared" si="17"/>
        <v>24196</v>
      </c>
      <c r="N26" s="39">
        <f t="shared" si="15"/>
        <v>604.9</v>
      </c>
      <c r="O26" s="39">
        <f t="shared" si="16"/>
        <v>319.99209999999999</v>
      </c>
      <c r="P26" s="42">
        <f t="shared" si="10"/>
        <v>3916.7033040000001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44858</v>
      </c>
      <c r="B27" s="41">
        <v>80</v>
      </c>
      <c r="C27" s="39">
        <f t="shared" ref="C27" si="21">IF(AC27&gt;0,((B27-R27)+(S27-B28)),IF(B28=0, ,(B27-B28)))</f>
        <v>2</v>
      </c>
      <c r="D27" s="41">
        <v>50</v>
      </c>
      <c r="E27" s="39">
        <f t="shared" ref="E27" si="22">IF(AC27&gt;0,((D27-U27)+(V27-D28)),IF(D28=0, ,(D27-D28)))</f>
        <v>0</v>
      </c>
      <c r="F27" s="41">
        <v>54</v>
      </c>
      <c r="G27" s="39">
        <f t="shared" ref="G27" si="23">IF(AC27&gt;0,((F27-X27)+(Y27-F28)),IF(F28=0, ,(F27-F28)))</f>
        <v>14</v>
      </c>
      <c r="H27" s="41">
        <v>51</v>
      </c>
      <c r="I27" s="39">
        <f t="shared" si="11"/>
        <v>11</v>
      </c>
      <c r="J27" s="39">
        <f t="shared" si="12"/>
        <v>235</v>
      </c>
      <c r="K27" s="39">
        <f t="shared" si="13"/>
        <v>58.75</v>
      </c>
      <c r="L27" s="39">
        <f t="shared" si="18"/>
        <v>6.75</v>
      </c>
      <c r="M27" s="149">
        <f t="shared" si="17"/>
        <v>24196</v>
      </c>
      <c r="N27" s="39">
        <f t="shared" si="15"/>
        <v>1633.23</v>
      </c>
      <c r="O27" s="39">
        <f t="shared" si="16"/>
        <v>863.97867000000008</v>
      </c>
      <c r="P27" s="42">
        <f t="shared" si="10"/>
        <v>10575.098920800001</v>
      </c>
      <c r="Q27" s="39"/>
      <c r="R27" s="39"/>
      <c r="S27" s="39"/>
      <c r="T27" s="39">
        <v>2334</v>
      </c>
      <c r="U27" s="39">
        <v>50</v>
      </c>
      <c r="V27" s="39">
        <v>75</v>
      </c>
      <c r="W27" s="39">
        <v>2334</v>
      </c>
      <c r="X27" s="39">
        <v>50</v>
      </c>
      <c r="Y27" s="39">
        <v>75</v>
      </c>
      <c r="Z27" s="39">
        <v>2334</v>
      </c>
      <c r="AA27" s="39">
        <v>50</v>
      </c>
      <c r="AB27" s="39">
        <v>75</v>
      </c>
      <c r="AC27" s="39">
        <f t="shared" si="20"/>
        <v>7002</v>
      </c>
      <c r="AD27" s="38">
        <f t="shared" si="19"/>
        <v>37.5</v>
      </c>
      <c r="AE27" s="38">
        <f>(S27+V27+Y27+AB27)/4</f>
        <v>56.25</v>
      </c>
    </row>
    <row r="28" spans="1:31" ht="32.25" customHeight="1" x14ac:dyDescent="0.3">
      <c r="A28" s="40">
        <v>44859</v>
      </c>
      <c r="B28" s="41">
        <v>78</v>
      </c>
      <c r="C28" s="39">
        <f t="shared" si="7"/>
        <v>3</v>
      </c>
      <c r="D28" s="41">
        <v>75</v>
      </c>
      <c r="E28" s="39">
        <f t="shared" si="8"/>
        <v>5</v>
      </c>
      <c r="F28" s="41">
        <v>65</v>
      </c>
      <c r="G28" s="39">
        <f t="shared" si="9"/>
        <v>1</v>
      </c>
      <c r="H28" s="41">
        <v>65</v>
      </c>
      <c r="I28" s="39">
        <f>IF(AC28&gt;0,((H28-AA28)+(AB28-H29)),IF(H29=0, ,(H28-H29)))</f>
        <v>1</v>
      </c>
      <c r="J28" s="39">
        <f t="shared" si="12"/>
        <v>283</v>
      </c>
      <c r="K28" s="39">
        <f t="shared" si="13"/>
        <v>70.75</v>
      </c>
      <c r="L28" s="39">
        <f t="shared" si="18"/>
        <v>2.5</v>
      </c>
      <c r="M28" s="149">
        <f t="shared" si="17"/>
        <v>24196</v>
      </c>
      <c r="N28" s="39">
        <f t="shared" si="15"/>
        <v>604.9</v>
      </c>
      <c r="O28" s="39">
        <f t="shared" si="16"/>
        <v>319.99209999999999</v>
      </c>
      <c r="P28" s="42">
        <f t="shared" si="10"/>
        <v>3916.7033040000001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44860</v>
      </c>
      <c r="B29" s="41">
        <v>75</v>
      </c>
      <c r="C29" s="39">
        <f t="shared" si="7"/>
        <v>3</v>
      </c>
      <c r="D29" s="41">
        <v>70</v>
      </c>
      <c r="E29" s="39">
        <f t="shared" si="8"/>
        <v>3</v>
      </c>
      <c r="F29" s="41">
        <v>64</v>
      </c>
      <c r="G29" s="39">
        <f t="shared" si="9"/>
        <v>2</v>
      </c>
      <c r="H29" s="41">
        <v>64</v>
      </c>
      <c r="I29" s="39">
        <f t="shared" si="11"/>
        <v>2</v>
      </c>
      <c r="J29" s="39">
        <f t="shared" si="12"/>
        <v>273</v>
      </c>
      <c r="K29" s="39">
        <f t="shared" si="13"/>
        <v>68.25</v>
      </c>
      <c r="L29" s="39">
        <f t="shared" si="18"/>
        <v>2.5</v>
      </c>
      <c r="M29" s="149">
        <f t="shared" si="17"/>
        <v>24196</v>
      </c>
      <c r="N29" s="39">
        <f t="shared" si="15"/>
        <v>604.9</v>
      </c>
      <c r="O29" s="39">
        <f t="shared" si="16"/>
        <v>319.99209999999999</v>
      </c>
      <c r="P29" s="42">
        <f t="shared" si="10"/>
        <v>3916.7033040000001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44861</v>
      </c>
      <c r="B30" s="41">
        <v>72</v>
      </c>
      <c r="C30" s="39">
        <f t="shared" si="7"/>
        <v>2</v>
      </c>
      <c r="D30" s="41">
        <v>67</v>
      </c>
      <c r="E30" s="39">
        <f t="shared" si="8"/>
        <v>3</v>
      </c>
      <c r="F30" s="41">
        <v>62</v>
      </c>
      <c r="G30" s="39">
        <f t="shared" si="9"/>
        <v>3</v>
      </c>
      <c r="H30" s="41">
        <v>62</v>
      </c>
      <c r="I30" s="39">
        <f t="shared" si="11"/>
        <v>2</v>
      </c>
      <c r="J30" s="39">
        <f t="shared" si="12"/>
        <v>263</v>
      </c>
      <c r="K30" s="39">
        <f t="shared" si="13"/>
        <v>65.75</v>
      </c>
      <c r="L30" s="39">
        <f t="shared" si="18"/>
        <v>2.5</v>
      </c>
      <c r="M30" s="149">
        <f t="shared" si="17"/>
        <v>24196</v>
      </c>
      <c r="N30" s="39">
        <f t="shared" si="15"/>
        <v>604.9</v>
      </c>
      <c r="O30" s="39">
        <f t="shared" si="16"/>
        <v>319.99209999999999</v>
      </c>
      <c r="P30" s="42">
        <f t="shared" si="10"/>
        <v>3916.7033040000001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 x14ac:dyDescent="0.3">
      <c r="A31" s="40">
        <v>44862</v>
      </c>
      <c r="B31" s="41">
        <v>70</v>
      </c>
      <c r="C31" s="39">
        <f t="shared" si="7"/>
        <v>4</v>
      </c>
      <c r="D31" s="41">
        <v>64</v>
      </c>
      <c r="E31" s="39">
        <f t="shared" si="8"/>
        <v>4</v>
      </c>
      <c r="F31" s="41">
        <v>59</v>
      </c>
      <c r="G31" s="39">
        <f t="shared" si="9"/>
        <v>4</v>
      </c>
      <c r="H31" s="41">
        <v>60</v>
      </c>
      <c r="I31" s="39">
        <f t="shared" si="11"/>
        <v>4</v>
      </c>
      <c r="J31" s="39">
        <f t="shared" si="12"/>
        <v>253</v>
      </c>
      <c r="K31" s="39">
        <f t="shared" si="13"/>
        <v>63.25</v>
      </c>
      <c r="L31" s="39">
        <f t="shared" si="18"/>
        <v>4</v>
      </c>
      <c r="M31" s="149">
        <f t="shared" si="17"/>
        <v>24196</v>
      </c>
      <c r="N31" s="39">
        <f t="shared" si="15"/>
        <v>967.84</v>
      </c>
      <c r="O31" s="39">
        <f t="shared" si="16"/>
        <v>511.98736000000002</v>
      </c>
      <c r="P31" s="42">
        <f t="shared" si="10"/>
        <v>6266.7252864000002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3">
      <c r="A32" s="40">
        <v>44863</v>
      </c>
      <c r="B32" s="41">
        <v>66</v>
      </c>
      <c r="C32" s="39">
        <f t="shared" si="7"/>
        <v>2</v>
      </c>
      <c r="D32" s="41">
        <v>60</v>
      </c>
      <c r="E32" s="39">
        <f t="shared" si="8"/>
        <v>0</v>
      </c>
      <c r="F32" s="41">
        <v>55</v>
      </c>
      <c r="G32" s="39">
        <f t="shared" si="9"/>
        <v>1</v>
      </c>
      <c r="H32" s="41">
        <v>56</v>
      </c>
      <c r="I32" s="39">
        <f t="shared" si="11"/>
        <v>1</v>
      </c>
      <c r="J32" s="39">
        <f t="shared" si="12"/>
        <v>237</v>
      </c>
      <c r="K32" s="39">
        <f t="shared" si="13"/>
        <v>59.25</v>
      </c>
      <c r="L32" s="39">
        <f t="shared" si="18"/>
        <v>1</v>
      </c>
      <c r="M32" s="149">
        <f t="shared" si="17"/>
        <v>24196</v>
      </c>
      <c r="N32" s="39">
        <f t="shared" si="15"/>
        <v>241.96</v>
      </c>
      <c r="O32" s="149">
        <f t="shared" si="16"/>
        <v>127.99684000000001</v>
      </c>
      <c r="P32" s="42">
        <f t="shared" si="10"/>
        <v>1566.6813216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 x14ac:dyDescent="0.3">
      <c r="A33" s="40">
        <v>44864</v>
      </c>
      <c r="B33" s="41">
        <v>64</v>
      </c>
      <c r="C33" s="39">
        <f t="shared" si="7"/>
        <v>3</v>
      </c>
      <c r="D33" s="41">
        <v>60</v>
      </c>
      <c r="E33" s="39">
        <f t="shared" si="8"/>
        <v>4</v>
      </c>
      <c r="F33" s="41">
        <v>54</v>
      </c>
      <c r="G33" s="39">
        <f t="shared" si="9"/>
        <v>1</v>
      </c>
      <c r="H33" s="41">
        <v>55</v>
      </c>
      <c r="I33" s="39">
        <f t="shared" si="11"/>
        <v>1</v>
      </c>
      <c r="J33" s="39">
        <f t="shared" si="12"/>
        <v>233</v>
      </c>
      <c r="K33" s="39">
        <f t="shared" si="13"/>
        <v>58.25</v>
      </c>
      <c r="L33" s="39">
        <f t="shared" si="18"/>
        <v>2.25</v>
      </c>
      <c r="M33" s="149">
        <f t="shared" si="17"/>
        <v>24196</v>
      </c>
      <c r="N33" s="39">
        <f t="shared" si="15"/>
        <v>544.41</v>
      </c>
      <c r="O33" s="39">
        <f t="shared" si="16"/>
        <v>287.99288999999999</v>
      </c>
      <c r="P33" s="42">
        <f t="shared" si="10"/>
        <v>3525.0329735999999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3">
      <c r="A34" s="40">
        <v>44865</v>
      </c>
      <c r="B34" s="41">
        <v>61</v>
      </c>
      <c r="C34" s="39">
        <f t="shared" si="7"/>
        <v>8</v>
      </c>
      <c r="D34" s="41">
        <v>56</v>
      </c>
      <c r="E34" s="39">
        <f t="shared" si="8"/>
        <v>0</v>
      </c>
      <c r="F34" s="41">
        <v>53</v>
      </c>
      <c r="G34" s="39">
        <f t="shared" si="9"/>
        <v>3</v>
      </c>
      <c r="H34" s="41">
        <v>54</v>
      </c>
      <c r="I34" s="39">
        <f t="shared" si="11"/>
        <v>3</v>
      </c>
      <c r="J34" s="39">
        <f>B34+D34+F34+H34</f>
        <v>224</v>
      </c>
      <c r="K34" s="39">
        <f>J34/4</f>
        <v>56</v>
      </c>
      <c r="L34" s="39">
        <f>IF(AC34&gt;0,((K34-AD34)+(AE34-K35)),IF(K35=0, ,(K34-K35)))</f>
        <v>3.5</v>
      </c>
      <c r="M34" s="149">
        <f t="shared" si="17"/>
        <v>24196</v>
      </c>
      <c r="N34" s="39">
        <f>L34*M34/100</f>
        <v>846.86</v>
      </c>
      <c r="O34" s="39">
        <f>N34*0.529</f>
        <v>447.98894000000001</v>
      </c>
      <c r="P34" s="42">
        <f t="shared" si="10"/>
        <v>5483.3846256000006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 x14ac:dyDescent="0.3">
      <c r="A35" s="40">
        <v>44866</v>
      </c>
      <c r="B35" s="41">
        <v>53</v>
      </c>
      <c r="C35" s="39">
        <f t="shared" si="7"/>
        <v>0</v>
      </c>
      <c r="D35" s="41">
        <v>56</v>
      </c>
      <c r="E35" s="39">
        <f t="shared" si="8"/>
        <v>0</v>
      </c>
      <c r="F35" s="41">
        <v>50</v>
      </c>
      <c r="G35" s="39">
        <f t="shared" si="9"/>
        <v>0</v>
      </c>
      <c r="H35" s="41">
        <v>51</v>
      </c>
      <c r="I35" s="39">
        <f t="shared" si="11"/>
        <v>0</v>
      </c>
      <c r="J35" s="39">
        <f>B35+D35+F35+H35</f>
        <v>210</v>
      </c>
      <c r="K35" s="39">
        <f>J35/4</f>
        <v>52.5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5">IF(AC36&gt;0,((D36-U36)+(V36-D37)),IF(D37=0, ,(D36-D37)))</f>
        <v>0</v>
      </c>
      <c r="F36" s="41"/>
      <c r="G36" s="39">
        <f t="shared" ref="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37:P40" si="30">O37*12.84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3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3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41:P42" si="31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21655.420000000006</v>
      </c>
      <c r="O43" s="39">
        <f>N43*0.529</f>
        <v>11455.717180000003</v>
      </c>
      <c r="P43" s="42">
        <f>O43*12.24</f>
        <v>140217.97828320003</v>
      </c>
      <c r="Q43" s="286">
        <f>SUM(Q4:Q42)</f>
        <v>5692</v>
      </c>
      <c r="R43" s="287"/>
      <c r="S43" s="288"/>
      <c r="T43" s="289">
        <f>SUM(T4:T42)</f>
        <v>4990</v>
      </c>
      <c r="U43" s="287"/>
      <c r="V43" s="288"/>
      <c r="W43" s="289">
        <f>SUM(W4:W42)</f>
        <v>4882</v>
      </c>
      <c r="X43" s="287"/>
      <c r="Y43" s="288"/>
      <c r="Z43" s="289">
        <f>SUM(Z4:Z42)</f>
        <v>4851</v>
      </c>
      <c r="AA43" s="287"/>
      <c r="AB43" s="288"/>
      <c r="AC43" s="39">
        <f t="shared" si="20"/>
        <v>20415</v>
      </c>
    </row>
    <row r="44" spans="1:31" ht="35.25" customHeight="1" thickBot="1" x14ac:dyDescent="0.35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20415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20415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2" t="s">
        <v>85</v>
      </c>
      <c r="I47" s="283"/>
      <c r="J47" s="284"/>
      <c r="K47" s="45">
        <f>N43</f>
        <v>21655.420000000006</v>
      </c>
      <c r="L47" s="46">
        <f>O43</f>
        <v>11455.717180000003</v>
      </c>
      <c r="M47" s="46">
        <f>P43</f>
        <v>140217.97828320003</v>
      </c>
    </row>
    <row r="48" spans="1:31" ht="54.75" customHeight="1" thickBot="1" x14ac:dyDescent="0.35">
      <c r="H48" s="282" t="s">
        <v>86</v>
      </c>
      <c r="I48" s="283"/>
      <c r="J48" s="284"/>
      <c r="K48" s="43">
        <f>AC44</f>
        <v>20415</v>
      </c>
      <c r="L48" s="44">
        <f>K48*0.529</f>
        <v>10799.535</v>
      </c>
      <c r="M48" s="44">
        <f>L48*12.24</f>
        <v>132186.30840000001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5"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 x14ac:dyDescent="0.25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 x14ac:dyDescent="0.2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 x14ac:dyDescent="0.25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 x14ac:dyDescent="0.25"/>
    <row r="7" spans="1:10" ht="36.75" thickTop="1" x14ac:dyDescent="0.2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 x14ac:dyDescent="0.2">
      <c r="A8" s="326">
        <v>95670781</v>
      </c>
      <c r="B8" s="326"/>
      <c r="C8" s="327" t="s">
        <v>97</v>
      </c>
      <c r="D8" s="328"/>
      <c r="E8" s="113">
        <v>44572</v>
      </c>
      <c r="F8" s="163" t="s">
        <v>98</v>
      </c>
      <c r="G8" s="62"/>
      <c r="H8" s="62"/>
      <c r="I8" s="329"/>
      <c r="J8" s="330"/>
    </row>
    <row r="10" spans="1:10" ht="23.25" customHeight="1" thickBot="1" x14ac:dyDescent="0.25"/>
    <row r="11" spans="1:10" ht="24.75" customHeight="1" thickTop="1" x14ac:dyDescent="0.2">
      <c r="A11" s="331" t="s">
        <v>99</v>
      </c>
      <c r="B11" s="331"/>
      <c r="C11" s="332" t="s">
        <v>100</v>
      </c>
      <c r="D11" s="333"/>
      <c r="E11" s="331" t="s">
        <v>101</v>
      </c>
      <c r="F11" s="331"/>
      <c r="G11" s="332" t="s">
        <v>102</v>
      </c>
      <c r="H11" s="333"/>
      <c r="I11" s="334" t="s">
        <v>103</v>
      </c>
      <c r="J11" s="334"/>
    </row>
    <row r="12" spans="1:10" x14ac:dyDescent="0.2">
      <c r="A12" s="326" t="s">
        <v>104</v>
      </c>
      <c r="B12" s="326"/>
      <c r="C12" s="326">
        <v>3750</v>
      </c>
      <c r="D12" s="326"/>
      <c r="E12" s="326">
        <v>1000</v>
      </c>
      <c r="F12" s="326"/>
      <c r="G12" s="335">
        <v>1319</v>
      </c>
      <c r="H12" s="335"/>
      <c r="I12" s="336"/>
      <c r="J12" s="336"/>
    </row>
    <row r="13" spans="1:10" x14ac:dyDescent="0.2">
      <c r="A13" s="324"/>
      <c r="B13" s="325"/>
      <c r="C13" s="325"/>
      <c r="D13" s="325"/>
      <c r="E13" s="325"/>
      <c r="F13" s="325"/>
      <c r="G13" s="325"/>
      <c r="H13" s="325"/>
      <c r="I13" s="325"/>
      <c r="J13" s="325"/>
    </row>
    <row r="15" spans="1:10" ht="13.5" thickBot="1" x14ac:dyDescent="0.25"/>
    <row r="16" spans="1:10" ht="26.25" thickTop="1" x14ac:dyDescent="0.2">
      <c r="A16" s="331" t="s">
        <v>105</v>
      </c>
      <c r="B16" s="331"/>
      <c r="C16" s="63" t="s">
        <v>106</v>
      </c>
      <c r="D16" s="64" t="s">
        <v>107</v>
      </c>
      <c r="E16" s="64" t="s">
        <v>48</v>
      </c>
      <c r="F16" s="64" t="s">
        <v>108</v>
      </c>
      <c r="G16" s="337" t="s">
        <v>109</v>
      </c>
      <c r="H16" s="337"/>
      <c r="I16" s="338" t="s">
        <v>110</v>
      </c>
      <c r="J16" s="339"/>
    </row>
    <row r="17" spans="1:10" x14ac:dyDescent="0.2">
      <c r="A17" s="340" t="s">
        <v>111</v>
      </c>
      <c r="B17" s="341"/>
      <c r="C17" s="66">
        <v>21612801</v>
      </c>
      <c r="D17" s="66">
        <v>21604795</v>
      </c>
      <c r="E17" s="67">
        <f>MIN(C17-D17)</f>
        <v>8006</v>
      </c>
      <c r="F17" s="67">
        <f>+E17</f>
        <v>8006</v>
      </c>
      <c r="G17" s="342"/>
      <c r="H17" s="343"/>
      <c r="I17" s="342">
        <f>+E17</f>
        <v>8006</v>
      </c>
      <c r="J17" s="343"/>
    </row>
    <row r="18" spans="1:10" x14ac:dyDescent="0.2">
      <c r="A18" s="340" t="s">
        <v>112</v>
      </c>
      <c r="B18" s="341"/>
      <c r="C18" s="66">
        <v>12634618</v>
      </c>
      <c r="D18" s="66">
        <v>12629770</v>
      </c>
      <c r="E18" s="67">
        <f>MIN(C18-D18)</f>
        <v>4848</v>
      </c>
      <c r="F18" s="67">
        <f>+E18</f>
        <v>4848</v>
      </c>
      <c r="G18" s="342"/>
      <c r="H18" s="343"/>
      <c r="I18" s="342">
        <f>+E18</f>
        <v>4848</v>
      </c>
      <c r="J18" s="343"/>
    </row>
    <row r="19" spans="1:10" x14ac:dyDescent="0.2">
      <c r="A19" s="340" t="s">
        <v>113</v>
      </c>
      <c r="B19" s="341"/>
      <c r="C19" s="66">
        <v>9466063</v>
      </c>
      <c r="D19" s="66">
        <v>9461862</v>
      </c>
      <c r="E19" s="67">
        <f>AVERAGE(C19-D19)</f>
        <v>4201</v>
      </c>
      <c r="F19" s="67">
        <f>+E19</f>
        <v>4201</v>
      </c>
      <c r="G19" s="342"/>
      <c r="H19" s="343"/>
      <c r="I19" s="342">
        <f>+E19</f>
        <v>4201</v>
      </c>
      <c r="J19" s="343"/>
    </row>
    <row r="20" spans="1:10" ht="15" x14ac:dyDescent="0.25">
      <c r="A20" s="362" t="s">
        <v>114</v>
      </c>
      <c r="B20" s="363"/>
      <c r="C20" s="68"/>
      <c r="D20" s="69"/>
      <c r="E20" s="68">
        <f>SUM(E17:E19)</f>
        <v>17055</v>
      </c>
      <c r="F20" s="70"/>
      <c r="G20" s="364"/>
      <c r="H20" s="365"/>
      <c r="I20" s="364"/>
      <c r="J20" s="365"/>
    </row>
    <row r="21" spans="1:10" x14ac:dyDescent="0.2">
      <c r="C21" s="110" t="s">
        <v>18</v>
      </c>
      <c r="D21" t="s">
        <v>115</v>
      </c>
      <c r="G21" s="366"/>
      <c r="H21" s="366"/>
    </row>
    <row r="22" spans="1:10" ht="13.5" thickBot="1" x14ac:dyDescent="0.25">
      <c r="G22" s="367"/>
      <c r="H22" s="367"/>
    </row>
    <row r="23" spans="1:10" ht="13.5" thickTop="1" x14ac:dyDescent="0.2">
      <c r="A23" s="352" t="s">
        <v>116</v>
      </c>
      <c r="B23" s="353"/>
      <c r="C23" s="354"/>
      <c r="D23" s="331" t="s">
        <v>117</v>
      </c>
      <c r="E23" s="331" t="s">
        <v>118</v>
      </c>
      <c r="F23" s="359" t="s">
        <v>119</v>
      </c>
      <c r="G23" s="361" t="s">
        <v>120</v>
      </c>
      <c r="H23" s="361"/>
      <c r="I23" s="368" t="s">
        <v>121</v>
      </c>
      <c r="J23" s="368"/>
    </row>
    <row r="24" spans="1:10" x14ac:dyDescent="0.2">
      <c r="A24" s="355"/>
      <c r="B24" s="356"/>
      <c r="C24" s="357"/>
      <c r="D24" s="358"/>
      <c r="E24" s="358"/>
      <c r="F24" s="360"/>
      <c r="G24" s="164" t="s">
        <v>122</v>
      </c>
      <c r="H24" s="71" t="s">
        <v>123</v>
      </c>
      <c r="I24" s="368"/>
      <c r="J24" s="368"/>
    </row>
    <row r="25" spans="1:10" ht="15" x14ac:dyDescent="0.25">
      <c r="A25" s="344" t="s">
        <v>124</v>
      </c>
      <c r="B25" s="345"/>
      <c r="C25" s="346"/>
      <c r="D25" s="67">
        <f>+E17</f>
        <v>8006</v>
      </c>
      <c r="E25" s="72">
        <v>0.95140000000000002</v>
      </c>
      <c r="F25" s="73">
        <f>PRODUCT(D25*E25)</f>
        <v>7616.9084000000003</v>
      </c>
      <c r="G25" s="151">
        <v>14</v>
      </c>
      <c r="H25" s="65">
        <f>PRODUCT(0.14,F25)</f>
        <v>1066.3671760000002</v>
      </c>
      <c r="I25" s="347">
        <f>SUM(H25,F25)</f>
        <v>8683.275576</v>
      </c>
      <c r="J25" s="348"/>
    </row>
    <row r="26" spans="1:10" ht="15" x14ac:dyDescent="0.25">
      <c r="A26" s="349" t="s">
        <v>125</v>
      </c>
      <c r="B26" s="350"/>
      <c r="C26" s="351"/>
      <c r="D26" s="67">
        <f>+E18</f>
        <v>4848</v>
      </c>
      <c r="E26" s="74">
        <v>0.69850000000000001</v>
      </c>
      <c r="F26" s="73">
        <f>PRODUCT(D26*E26)</f>
        <v>3386.328</v>
      </c>
      <c r="G26">
        <v>14</v>
      </c>
      <c r="H26" s="67">
        <f>PRODUCT(0.14,F26)</f>
        <v>474.08592000000004</v>
      </c>
      <c r="I26" s="347">
        <f t="shared" ref="I26:I31" si="0">SUM(H26,F26)</f>
        <v>3860.41392</v>
      </c>
      <c r="J26" s="348"/>
    </row>
    <row r="27" spans="1:10" ht="15" x14ac:dyDescent="0.25">
      <c r="A27" s="349" t="s">
        <v>126</v>
      </c>
      <c r="B27" s="350"/>
      <c r="C27" s="351"/>
      <c r="D27" s="67">
        <f>+E19</f>
        <v>4201</v>
      </c>
      <c r="E27" s="74">
        <v>1.3304</v>
      </c>
      <c r="F27" s="73">
        <f>PRODUCT(D27*E27)</f>
        <v>5589.0104000000001</v>
      </c>
      <c r="G27">
        <v>14</v>
      </c>
      <c r="H27" s="67">
        <f>PRODUCT(0.14,F27)</f>
        <v>782.46145600000011</v>
      </c>
      <c r="I27" s="347">
        <f>SUM(H27,F27)</f>
        <v>6371.4718560000001</v>
      </c>
      <c r="J27" s="348"/>
    </row>
    <row r="28" spans="1:10" ht="15" x14ac:dyDescent="0.25">
      <c r="A28" s="349" t="s">
        <v>127</v>
      </c>
      <c r="B28" s="350"/>
      <c r="C28" s="35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7">
        <f t="shared" si="0"/>
        <v>50025.103799999997</v>
      </c>
      <c r="J28" s="348"/>
    </row>
    <row r="29" spans="1:10" ht="15" x14ac:dyDescent="0.25">
      <c r="A29" s="377" t="s">
        <v>128</v>
      </c>
      <c r="B29" s="378"/>
      <c r="C29" s="379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0">
        <f t="shared" si="0"/>
        <v>0</v>
      </c>
      <c r="J29" s="381"/>
    </row>
    <row r="30" spans="1:10" ht="15" x14ac:dyDescent="0.25">
      <c r="A30" s="349" t="s">
        <v>129</v>
      </c>
      <c r="B30" s="350"/>
      <c r="C30" s="35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7">
        <f>SUM(H30,F30)</f>
        <v>1009.2</v>
      </c>
      <c r="J30" s="348"/>
    </row>
    <row r="31" spans="1:10" ht="15.75" thickBot="1" x14ac:dyDescent="0.3">
      <c r="A31" s="369" t="s">
        <v>130</v>
      </c>
      <c r="B31" s="370"/>
      <c r="C31" s="371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7">
        <f t="shared" si="0"/>
        <v>1596.44</v>
      </c>
      <c r="J31" s="348"/>
    </row>
    <row r="32" spans="1:10" ht="21" x14ac:dyDescent="0.2">
      <c r="A32" s="372" t="s">
        <v>131</v>
      </c>
      <c r="B32" s="373"/>
      <c r="C32" s="373"/>
      <c r="D32" s="373"/>
      <c r="E32" s="373"/>
      <c r="F32" s="84">
        <f>SUM(F25:F31)</f>
        <v>62806.916799999999</v>
      </c>
      <c r="G32" s="85"/>
      <c r="H32" s="86"/>
      <c r="I32" s="376">
        <f>SUM(I25:J31)</f>
        <v>71545.905151999992</v>
      </c>
      <c r="J32" s="376"/>
    </row>
    <row r="33" spans="1:10" ht="21.75" thickBot="1" x14ac:dyDescent="0.25">
      <c r="A33" s="374"/>
      <c r="B33" s="375"/>
      <c r="C33" s="375"/>
      <c r="D33" s="375"/>
      <c r="E33" s="375"/>
      <c r="F33" s="87"/>
      <c r="G33" s="88"/>
      <c r="H33" s="89"/>
      <c r="I33" s="376"/>
      <c r="J33" s="376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1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 x14ac:dyDescent="0.25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 x14ac:dyDescent="0.2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 x14ac:dyDescent="0.25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 x14ac:dyDescent="0.25"/>
    <row r="7" spans="1:10" ht="36.75" thickTop="1" x14ac:dyDescent="0.2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 x14ac:dyDescent="0.2">
      <c r="A8" s="326">
        <v>95670781</v>
      </c>
      <c r="B8" s="326"/>
      <c r="C8" s="327">
        <v>44467</v>
      </c>
      <c r="D8" s="328"/>
      <c r="E8" s="113">
        <v>44862</v>
      </c>
      <c r="F8" s="163" t="s">
        <v>132</v>
      </c>
      <c r="G8" s="62"/>
      <c r="H8" s="62"/>
      <c r="I8" s="329"/>
      <c r="J8" s="330"/>
    </row>
    <row r="10" spans="1:10" ht="23.25" customHeight="1" thickBot="1" x14ac:dyDescent="0.25"/>
    <row r="11" spans="1:10" ht="24.75" customHeight="1" thickTop="1" x14ac:dyDescent="0.2">
      <c r="A11" s="331" t="s">
        <v>99</v>
      </c>
      <c r="B11" s="331"/>
      <c r="C11" s="332" t="s">
        <v>100</v>
      </c>
      <c r="D11" s="333"/>
      <c r="E11" s="331" t="s">
        <v>101</v>
      </c>
      <c r="F11" s="331"/>
      <c r="G11" s="332" t="s">
        <v>102</v>
      </c>
      <c r="H11" s="333"/>
      <c r="I11" s="334" t="s">
        <v>103</v>
      </c>
      <c r="J11" s="334"/>
    </row>
    <row r="12" spans="1:10" x14ac:dyDescent="0.2">
      <c r="A12" s="326" t="s">
        <v>104</v>
      </c>
      <c r="B12" s="326"/>
      <c r="C12" s="326">
        <v>3750</v>
      </c>
      <c r="D12" s="326"/>
      <c r="E12" s="326">
        <v>1000</v>
      </c>
      <c r="F12" s="326"/>
      <c r="G12" s="335">
        <v>1046</v>
      </c>
      <c r="H12" s="335"/>
      <c r="I12" s="336"/>
      <c r="J12" s="336"/>
    </row>
    <row r="13" spans="1:10" x14ac:dyDescent="0.2">
      <c r="A13" s="324"/>
      <c r="B13" s="325"/>
      <c r="C13" s="325"/>
      <c r="D13" s="325"/>
      <c r="E13" s="325"/>
      <c r="F13" s="325"/>
      <c r="G13" s="325"/>
      <c r="H13" s="325"/>
      <c r="I13" s="325"/>
      <c r="J13" s="325"/>
    </row>
    <row r="15" spans="1:10" ht="13.5" thickBot="1" x14ac:dyDescent="0.25"/>
    <row r="16" spans="1:10" ht="26.25" thickTop="1" x14ac:dyDescent="0.2">
      <c r="A16" s="331" t="s">
        <v>105</v>
      </c>
      <c r="B16" s="331"/>
      <c r="C16" s="63" t="s">
        <v>106</v>
      </c>
      <c r="D16" s="64" t="s">
        <v>107</v>
      </c>
      <c r="E16" s="64" t="s">
        <v>48</v>
      </c>
      <c r="F16" s="64" t="s">
        <v>108</v>
      </c>
      <c r="G16" s="337" t="s">
        <v>109</v>
      </c>
      <c r="H16" s="337"/>
      <c r="I16" s="338" t="s">
        <v>110</v>
      </c>
      <c r="J16" s="339"/>
    </row>
    <row r="17" spans="1:10" x14ac:dyDescent="0.2">
      <c r="A17" s="340" t="s">
        <v>111</v>
      </c>
      <c r="B17" s="341"/>
      <c r="C17" s="66">
        <v>21581807</v>
      </c>
      <c r="D17" s="66">
        <v>21337062</v>
      </c>
      <c r="E17" s="67">
        <f>MIN(C17-D17)</f>
        <v>244745</v>
      </c>
      <c r="F17" s="67">
        <f>+E17</f>
        <v>244745</v>
      </c>
      <c r="G17" s="342"/>
      <c r="H17" s="343"/>
      <c r="I17" s="342">
        <f>+E17</f>
        <v>244745</v>
      </c>
      <c r="J17" s="343"/>
    </row>
    <row r="18" spans="1:10" x14ac:dyDescent="0.2">
      <c r="A18" s="340" t="s">
        <v>112</v>
      </c>
      <c r="B18" s="341"/>
      <c r="C18" s="66">
        <v>12611387</v>
      </c>
      <c r="D18" s="66">
        <v>12451792</v>
      </c>
      <c r="E18" s="67">
        <f>MIN(C18-D18)</f>
        <v>159595</v>
      </c>
      <c r="F18" s="67">
        <f>+E18</f>
        <v>159595</v>
      </c>
      <c r="G18" s="342"/>
      <c r="H18" s="343"/>
      <c r="I18" s="342">
        <f>+E18</f>
        <v>159595</v>
      </c>
      <c r="J18" s="343"/>
    </row>
    <row r="19" spans="1:10" x14ac:dyDescent="0.2">
      <c r="A19" s="340" t="s">
        <v>113</v>
      </c>
      <c r="B19" s="341"/>
      <c r="C19" s="66">
        <v>9450407</v>
      </c>
      <c r="D19" s="66">
        <v>9332095</v>
      </c>
      <c r="E19" s="67">
        <f>AVERAGE(C19-D19)</f>
        <v>118312</v>
      </c>
      <c r="F19" s="67">
        <f>+E19</f>
        <v>118312</v>
      </c>
      <c r="G19" s="342"/>
      <c r="H19" s="343"/>
      <c r="I19" s="342">
        <f>+E19</f>
        <v>118312</v>
      </c>
      <c r="J19" s="343"/>
    </row>
    <row r="20" spans="1:10" ht="15" x14ac:dyDescent="0.25">
      <c r="A20" s="362" t="s">
        <v>114</v>
      </c>
      <c r="B20" s="363"/>
      <c r="C20" s="68"/>
      <c r="D20" s="69"/>
      <c r="E20" s="68">
        <f>SUM(E17:E19)</f>
        <v>522652</v>
      </c>
      <c r="F20" s="70"/>
      <c r="G20" s="364"/>
      <c r="H20" s="365"/>
      <c r="I20" s="364"/>
      <c r="J20" s="365"/>
    </row>
    <row r="21" spans="1:10" x14ac:dyDescent="0.2">
      <c r="C21" s="110" t="s">
        <v>18</v>
      </c>
      <c r="D21" t="s">
        <v>115</v>
      </c>
      <c r="G21" s="366"/>
      <c r="H21" s="366"/>
    </row>
    <row r="22" spans="1:10" ht="13.5" thickBot="1" x14ac:dyDescent="0.25">
      <c r="G22" s="367"/>
      <c r="H22" s="367"/>
    </row>
    <row r="23" spans="1:10" ht="13.5" thickTop="1" x14ac:dyDescent="0.2">
      <c r="A23" s="352" t="s">
        <v>116</v>
      </c>
      <c r="B23" s="353"/>
      <c r="C23" s="354"/>
      <c r="D23" s="331" t="s">
        <v>117</v>
      </c>
      <c r="E23" s="331" t="s">
        <v>118</v>
      </c>
      <c r="F23" s="359" t="s">
        <v>119</v>
      </c>
      <c r="G23" s="361" t="s">
        <v>120</v>
      </c>
      <c r="H23" s="361"/>
      <c r="I23" s="368" t="s">
        <v>121</v>
      </c>
      <c r="J23" s="368"/>
    </row>
    <row r="24" spans="1:10" x14ac:dyDescent="0.2">
      <c r="A24" s="355"/>
      <c r="B24" s="356"/>
      <c r="C24" s="357"/>
      <c r="D24" s="358"/>
      <c r="E24" s="358"/>
      <c r="F24" s="360"/>
      <c r="G24" s="164" t="s">
        <v>122</v>
      </c>
      <c r="H24" s="71" t="s">
        <v>123</v>
      </c>
      <c r="I24" s="368"/>
      <c r="J24" s="368"/>
    </row>
    <row r="25" spans="1:10" ht="15" x14ac:dyDescent="0.25">
      <c r="A25" s="344" t="s">
        <v>124</v>
      </c>
      <c r="B25" s="345"/>
      <c r="C25" s="346"/>
      <c r="D25" s="67">
        <f>+E17</f>
        <v>244745</v>
      </c>
      <c r="E25" s="72">
        <v>0.95140000000000002</v>
      </c>
      <c r="F25" s="73">
        <f>PRODUCT(D25*E25)</f>
        <v>232850.39300000001</v>
      </c>
      <c r="G25" s="151">
        <v>14</v>
      </c>
      <c r="H25" s="65">
        <f>PRODUCT(0.14,F25)</f>
        <v>32599.055020000003</v>
      </c>
      <c r="I25" s="347">
        <f>SUM(H25,F25)</f>
        <v>265449.44802000001</v>
      </c>
      <c r="J25" s="348"/>
    </row>
    <row r="26" spans="1:10" ht="15" x14ac:dyDescent="0.25">
      <c r="A26" s="349" t="s">
        <v>125</v>
      </c>
      <c r="B26" s="350"/>
      <c r="C26" s="351"/>
      <c r="D26" s="67">
        <f>+E18</f>
        <v>159595</v>
      </c>
      <c r="E26" s="74">
        <v>0.69850000000000001</v>
      </c>
      <c r="F26" s="73">
        <f>PRODUCT(D26*E26)</f>
        <v>111477.1075</v>
      </c>
      <c r="G26">
        <v>14</v>
      </c>
      <c r="H26" s="67">
        <f>PRODUCT(0.14,F26)</f>
        <v>15606.795050000001</v>
      </c>
      <c r="I26" s="347">
        <f t="shared" ref="I26:I31" si="0">SUM(H26,F26)</f>
        <v>127083.90255</v>
      </c>
      <c r="J26" s="348"/>
    </row>
    <row r="27" spans="1:10" ht="15" x14ac:dyDescent="0.25">
      <c r="A27" s="349" t="s">
        <v>126</v>
      </c>
      <c r="B27" s="350"/>
      <c r="C27" s="351"/>
      <c r="D27" s="67">
        <f>+E19</f>
        <v>118312</v>
      </c>
      <c r="E27" s="74">
        <v>1.3304</v>
      </c>
      <c r="F27" s="73">
        <f>PRODUCT(D27*E27)</f>
        <v>157402.28479999999</v>
      </c>
      <c r="G27">
        <v>14</v>
      </c>
      <c r="H27" s="67">
        <f>PRODUCT(0.14,F27)</f>
        <v>22036.319872</v>
      </c>
      <c r="I27" s="347">
        <f>SUM(H27,F27)</f>
        <v>179438.60467199999</v>
      </c>
      <c r="J27" s="348"/>
    </row>
    <row r="28" spans="1:10" ht="15" x14ac:dyDescent="0.25">
      <c r="A28" s="349" t="s">
        <v>127</v>
      </c>
      <c r="B28" s="350"/>
      <c r="C28" s="35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7">
        <f t="shared" si="0"/>
        <v>50025.103799999997</v>
      </c>
      <c r="J28" s="348"/>
    </row>
    <row r="29" spans="1:10" ht="15" x14ac:dyDescent="0.25">
      <c r="A29" s="377" t="s">
        <v>128</v>
      </c>
      <c r="B29" s="378"/>
      <c r="C29" s="379"/>
      <c r="D29" s="75">
        <f>G12-D28</f>
        <v>46</v>
      </c>
      <c r="E29" s="76">
        <f>E28*1.5</f>
        <v>65.822505000000007</v>
      </c>
      <c r="F29" s="77">
        <f>PRODUCT(D29,E29)</f>
        <v>3027.8352300000001</v>
      </c>
      <c r="G29" s="78">
        <v>14</v>
      </c>
      <c r="H29" s="75">
        <f>PRODUCT(0.14,F29)</f>
        <v>423.89693220000004</v>
      </c>
      <c r="I29" s="380">
        <f t="shared" si="0"/>
        <v>3451.7321621999999</v>
      </c>
      <c r="J29" s="381"/>
    </row>
    <row r="30" spans="1:10" ht="15" x14ac:dyDescent="0.25">
      <c r="A30" s="349" t="s">
        <v>129</v>
      </c>
      <c r="B30" s="350"/>
      <c r="C30" s="35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7">
        <f>SUM(H30,F30)</f>
        <v>1009.2</v>
      </c>
      <c r="J30" s="348"/>
    </row>
    <row r="31" spans="1:10" ht="15.75" thickBot="1" x14ac:dyDescent="0.3">
      <c r="A31" s="369" t="s">
        <v>130</v>
      </c>
      <c r="B31" s="370"/>
      <c r="C31" s="371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7">
        <f t="shared" si="0"/>
        <v>1596.44</v>
      </c>
      <c r="J31" s="348"/>
    </row>
    <row r="32" spans="1:10" ht="21" x14ac:dyDescent="0.2">
      <c r="A32" s="372" t="s">
        <v>131</v>
      </c>
      <c r="B32" s="373"/>
      <c r="C32" s="373"/>
      <c r="D32" s="373"/>
      <c r="E32" s="373"/>
      <c r="F32" s="84">
        <f>SUM(F25:F31)</f>
        <v>550972.29053</v>
      </c>
      <c r="G32" s="85"/>
      <c r="H32" s="86"/>
      <c r="I32" s="376">
        <f>SUM(I25:J31)</f>
        <v>628054.43120420002</v>
      </c>
      <c r="J32" s="376"/>
    </row>
    <row r="33" spans="1:10" ht="21.75" thickBot="1" x14ac:dyDescent="0.25">
      <c r="A33" s="374"/>
      <c r="B33" s="375"/>
      <c r="C33" s="375"/>
      <c r="D33" s="375"/>
      <c r="E33" s="375"/>
      <c r="F33" s="87"/>
      <c r="G33" s="88"/>
      <c r="H33" s="89"/>
      <c r="I33" s="376"/>
      <c r="J33" s="376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01" t="s">
        <v>133</v>
      </c>
      <c r="C1" s="302"/>
      <c r="D1" s="302"/>
      <c r="E1" s="302"/>
      <c r="F1" s="408" t="s">
        <v>88</v>
      </c>
      <c r="G1" s="409"/>
      <c r="H1" s="410"/>
    </row>
    <row r="2" spans="1:8" ht="15.75" customHeight="1" thickBot="1" x14ac:dyDescent="0.25">
      <c r="A2" s="406"/>
      <c r="B2" s="303"/>
      <c r="C2" s="304"/>
      <c r="D2" s="304"/>
      <c r="E2" s="304"/>
      <c r="F2" s="411"/>
      <c r="G2" s="412"/>
      <c r="H2" s="413"/>
    </row>
    <row r="3" spans="1:8" ht="15" customHeight="1" x14ac:dyDescent="0.2">
      <c r="A3" s="406"/>
      <c r="B3" s="303"/>
      <c r="C3" s="304"/>
      <c r="D3" s="304"/>
      <c r="E3" s="304"/>
      <c r="F3" s="408" t="s">
        <v>89</v>
      </c>
      <c r="G3" s="409"/>
      <c r="H3" s="410"/>
    </row>
    <row r="4" spans="1:8" ht="15.75" customHeight="1" thickBot="1" x14ac:dyDescent="0.25">
      <c r="A4" s="407"/>
      <c r="B4" s="305"/>
      <c r="C4" s="306"/>
      <c r="D4" s="306"/>
      <c r="E4" s="306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168812.4</v>
      </c>
      <c r="D8" s="97">
        <v>44835</v>
      </c>
      <c r="E8" s="96">
        <v>172580</v>
      </c>
      <c r="F8" s="97">
        <v>44866</v>
      </c>
      <c r="G8" s="98">
        <f>E8-C8</f>
        <v>3767.6000000000058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117</v>
      </c>
      <c r="C10" s="418"/>
      <c r="D10" s="419" t="s">
        <v>139</v>
      </c>
      <c r="E10" s="419"/>
      <c r="F10" s="417" t="s">
        <v>140</v>
      </c>
      <c r="G10" s="420"/>
      <c r="H10" s="418"/>
    </row>
    <row r="11" spans="1:8" ht="15" x14ac:dyDescent="0.2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143</v>
      </c>
      <c r="B13" s="397">
        <f>G8</f>
        <v>3767.6000000000058</v>
      </c>
      <c r="C13" s="397"/>
      <c r="D13" s="397">
        <v>8.7899999999999991</v>
      </c>
      <c r="E13" s="397"/>
      <c r="F13" s="404">
        <f>PRODUCT(D13,B13)</f>
        <v>33117.204000000049</v>
      </c>
      <c r="G13" s="404"/>
      <c r="H13" s="404"/>
    </row>
    <row r="14" spans="1:8" ht="45" customHeight="1" x14ac:dyDescent="0.2">
      <c r="A14" s="401" t="s">
        <v>144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103" t="s">
        <v>148</v>
      </c>
      <c r="B19" s="397">
        <f>G8</f>
        <v>3767.6000000000058</v>
      </c>
      <c r="C19" s="397"/>
      <c r="D19" s="397">
        <v>2.61</v>
      </c>
      <c r="E19" s="397"/>
      <c r="F19" s="397">
        <f>PRODUCT(D19,B19)</f>
        <v>9833.4360000000142</v>
      </c>
      <c r="G19" s="397"/>
      <c r="H19" s="397"/>
    </row>
    <row r="20" spans="1:8" ht="18.75" x14ac:dyDescent="0.3">
      <c r="A20" s="393" t="s">
        <v>149</v>
      </c>
      <c r="B20" s="394"/>
      <c r="C20" s="394"/>
      <c r="D20" s="394"/>
      <c r="E20" s="395"/>
      <c r="F20" s="396">
        <f>SUM(F11+F13+F16+F17+F18+F19)</f>
        <v>42973.640000000065</v>
      </c>
      <c r="G20" s="396"/>
      <c r="H20" s="396"/>
    </row>
    <row r="21" spans="1:8" ht="15" x14ac:dyDescent="0.25">
      <c r="A21" s="382" t="s">
        <v>150</v>
      </c>
      <c r="B21" s="383"/>
      <c r="C21" s="383"/>
      <c r="D21" s="383"/>
      <c r="E21" s="384"/>
      <c r="F21" s="397">
        <f>PRODUCT(F20,0.07)</f>
        <v>3008.1548000000048</v>
      </c>
      <c r="G21" s="397"/>
      <c r="H21" s="397"/>
    </row>
    <row r="22" spans="1:8" ht="15" x14ac:dyDescent="0.25">
      <c r="A22" s="398" t="s">
        <v>151</v>
      </c>
      <c r="B22" s="399"/>
      <c r="C22" s="399"/>
      <c r="D22" s="399"/>
      <c r="E22" s="400"/>
      <c r="F22" s="397">
        <v>208.26</v>
      </c>
      <c r="G22" s="397"/>
      <c r="H22" s="397"/>
    </row>
    <row r="23" spans="1:8" ht="15.75" x14ac:dyDescent="0.25">
      <c r="A23" s="382" t="s">
        <v>152</v>
      </c>
      <c r="B23" s="383"/>
      <c r="C23" s="383"/>
      <c r="D23" s="383"/>
      <c r="E23" s="384"/>
      <c r="F23" s="385">
        <f>SUM(F21:H22)</f>
        <v>3216.414800000005</v>
      </c>
      <c r="G23" s="385"/>
      <c r="H23" s="385"/>
    </row>
    <row r="24" spans="1:8" x14ac:dyDescent="0.2">
      <c r="A24" s="386" t="s">
        <v>153</v>
      </c>
      <c r="B24" s="387"/>
      <c r="C24" s="387"/>
      <c r="D24" s="387"/>
      <c r="E24" s="388"/>
      <c r="F24" s="392">
        <f>SUM(F20,F23)</f>
        <v>46190.054800000071</v>
      </c>
      <c r="G24" s="392"/>
      <c r="H24" s="392"/>
    </row>
    <row r="25" spans="1:8" x14ac:dyDescent="0.2">
      <c r="A25" s="389"/>
      <c r="B25" s="390"/>
      <c r="C25" s="390"/>
      <c r="D25" s="390"/>
      <c r="E25" s="391"/>
      <c r="F25" s="392"/>
      <c r="G25" s="392"/>
      <c r="H25" s="392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8" sqref="E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01" t="s">
        <v>133</v>
      </c>
      <c r="C1" s="302"/>
      <c r="D1" s="302"/>
      <c r="E1" s="302"/>
      <c r="F1" s="408" t="s">
        <v>88</v>
      </c>
      <c r="G1" s="409"/>
      <c r="H1" s="410"/>
    </row>
    <row r="2" spans="1:8" ht="15.75" customHeight="1" thickBot="1" x14ac:dyDescent="0.25">
      <c r="A2" s="406"/>
      <c r="B2" s="303"/>
      <c r="C2" s="304"/>
      <c r="D2" s="304"/>
      <c r="E2" s="304"/>
      <c r="F2" s="411"/>
      <c r="G2" s="412"/>
      <c r="H2" s="413"/>
    </row>
    <row r="3" spans="1:8" ht="15" customHeight="1" x14ac:dyDescent="0.2">
      <c r="A3" s="406"/>
      <c r="B3" s="303"/>
      <c r="C3" s="304"/>
      <c r="D3" s="304"/>
      <c r="E3" s="304"/>
      <c r="F3" s="408" t="s">
        <v>89</v>
      </c>
      <c r="G3" s="409"/>
      <c r="H3" s="410"/>
    </row>
    <row r="4" spans="1:8" ht="15.75" customHeight="1" thickBot="1" x14ac:dyDescent="0.25">
      <c r="A4" s="407"/>
      <c r="B4" s="305"/>
      <c r="C4" s="306"/>
      <c r="D4" s="306"/>
      <c r="E4" s="306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172400</v>
      </c>
      <c r="D8" s="97">
        <v>44865</v>
      </c>
      <c r="E8" s="96">
        <v>172580</v>
      </c>
      <c r="F8" s="97">
        <v>44866</v>
      </c>
      <c r="G8" s="98">
        <f>E8-C8</f>
        <v>180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117</v>
      </c>
      <c r="C10" s="418"/>
      <c r="D10" s="419" t="s">
        <v>139</v>
      </c>
      <c r="E10" s="419"/>
      <c r="F10" s="417" t="s">
        <v>140</v>
      </c>
      <c r="G10" s="420"/>
      <c r="H10" s="418"/>
    </row>
    <row r="11" spans="1:8" ht="15" x14ac:dyDescent="0.2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143</v>
      </c>
      <c r="B13" s="397">
        <f>G8</f>
        <v>180</v>
      </c>
      <c r="C13" s="397"/>
      <c r="D13" s="397">
        <v>8.5</v>
      </c>
      <c r="E13" s="397"/>
      <c r="F13" s="404">
        <f>PRODUCT(D13,B13)</f>
        <v>1530</v>
      </c>
      <c r="G13" s="404"/>
      <c r="H13" s="404"/>
    </row>
    <row r="14" spans="1:8" ht="45" customHeight="1" x14ac:dyDescent="0.2">
      <c r="A14" s="401" t="s">
        <v>144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103" t="s">
        <v>148</v>
      </c>
      <c r="B19" s="397">
        <v>0</v>
      </c>
      <c r="C19" s="397"/>
      <c r="D19" s="421">
        <v>0</v>
      </c>
      <c r="E19" s="422"/>
      <c r="F19" s="421">
        <v>0</v>
      </c>
      <c r="G19" s="422"/>
      <c r="H19" s="165"/>
    </row>
    <row r="20" spans="1:8" ht="15" x14ac:dyDescent="0.25">
      <c r="A20" s="103" t="s">
        <v>154</v>
      </c>
      <c r="B20" s="397">
        <f>G8</f>
        <v>180</v>
      </c>
      <c r="C20" s="397"/>
      <c r="D20" s="397">
        <v>2.54</v>
      </c>
      <c r="E20" s="397"/>
      <c r="F20" s="397">
        <f>PRODUCT(D20,B20)</f>
        <v>457.2</v>
      </c>
      <c r="G20" s="397"/>
      <c r="H20" s="397"/>
    </row>
    <row r="21" spans="1:8" ht="18.75" x14ac:dyDescent="0.3">
      <c r="A21" s="393" t="s">
        <v>149</v>
      </c>
      <c r="B21" s="394"/>
      <c r="C21" s="394"/>
      <c r="D21" s="394"/>
      <c r="E21" s="395"/>
      <c r="F21" s="396">
        <f>SUM(F11+F13+F16+F17+F18+F20)</f>
        <v>2010.2</v>
      </c>
      <c r="G21" s="396"/>
      <c r="H21" s="396"/>
    </row>
    <row r="22" spans="1:8" ht="15" x14ac:dyDescent="0.25">
      <c r="A22" s="382" t="s">
        <v>150</v>
      </c>
      <c r="B22" s="383"/>
      <c r="C22" s="383"/>
      <c r="D22" s="383"/>
      <c r="E22" s="384"/>
      <c r="F22" s="397">
        <f>PRODUCT(F21,0.07)</f>
        <v>140.71400000000003</v>
      </c>
      <c r="G22" s="397"/>
      <c r="H22" s="397"/>
    </row>
    <row r="23" spans="1:8" ht="15" x14ac:dyDescent="0.25">
      <c r="A23" s="398" t="s">
        <v>151</v>
      </c>
      <c r="B23" s="399"/>
      <c r="C23" s="399"/>
      <c r="D23" s="399"/>
      <c r="E23" s="400"/>
      <c r="F23" s="397">
        <v>208.26</v>
      </c>
      <c r="G23" s="397"/>
      <c r="H23" s="397"/>
    </row>
    <row r="24" spans="1:8" ht="15.75" x14ac:dyDescent="0.25">
      <c r="A24" s="382" t="s">
        <v>152</v>
      </c>
      <c r="B24" s="383"/>
      <c r="C24" s="383"/>
      <c r="D24" s="383"/>
      <c r="E24" s="384"/>
      <c r="F24" s="385">
        <f>SUM(F22:H23)</f>
        <v>348.97400000000005</v>
      </c>
      <c r="G24" s="385"/>
      <c r="H24" s="385"/>
    </row>
    <row r="25" spans="1:8" x14ac:dyDescent="0.2">
      <c r="A25" s="386" t="s">
        <v>153</v>
      </c>
      <c r="B25" s="387"/>
      <c r="C25" s="387"/>
      <c r="D25" s="387"/>
      <c r="E25" s="388"/>
      <c r="F25" s="392">
        <f>SUM(F21,F24)</f>
        <v>2359.174</v>
      </c>
      <c r="G25" s="392"/>
      <c r="H25" s="392"/>
    </row>
    <row r="26" spans="1:8" x14ac:dyDescent="0.2">
      <c r="A26" s="389"/>
      <c r="B26" s="390"/>
      <c r="C26" s="390"/>
      <c r="D26" s="390"/>
      <c r="E26" s="391"/>
      <c r="F26" s="392"/>
      <c r="G26" s="392"/>
      <c r="H26" s="392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E9" sqref="E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01" t="s">
        <v>155</v>
      </c>
      <c r="C1" s="302"/>
      <c r="D1" s="302"/>
      <c r="E1" s="302"/>
      <c r="F1" s="408" t="s">
        <v>88</v>
      </c>
      <c r="G1" s="409"/>
      <c r="H1" s="410"/>
    </row>
    <row r="2" spans="1:8" ht="15.75" customHeight="1" thickBot="1" x14ac:dyDescent="0.25">
      <c r="A2" s="406"/>
      <c r="B2" s="303"/>
      <c r="C2" s="304"/>
      <c r="D2" s="304"/>
      <c r="E2" s="304"/>
      <c r="F2" s="411"/>
      <c r="G2" s="412"/>
      <c r="H2" s="413"/>
    </row>
    <row r="3" spans="1:8" ht="15" customHeight="1" x14ac:dyDescent="0.2">
      <c r="A3" s="406"/>
      <c r="B3" s="303"/>
      <c r="C3" s="304"/>
      <c r="D3" s="304"/>
      <c r="E3" s="304"/>
      <c r="F3" s="408" t="s">
        <v>89</v>
      </c>
      <c r="G3" s="409"/>
      <c r="H3" s="410"/>
    </row>
    <row r="4" spans="1:8" ht="15.75" customHeight="1" thickBot="1" x14ac:dyDescent="0.25">
      <c r="A4" s="407"/>
      <c r="B4" s="305"/>
      <c r="C4" s="306"/>
      <c r="D4" s="306"/>
      <c r="E4" s="306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2560</v>
      </c>
      <c r="D8" s="97">
        <v>44470</v>
      </c>
      <c r="E8" s="96">
        <v>2569</v>
      </c>
      <c r="F8" s="97">
        <v>44866</v>
      </c>
      <c r="G8" s="98">
        <f>E8-C8</f>
        <v>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117</v>
      </c>
      <c r="C10" s="418"/>
      <c r="D10" s="419" t="s">
        <v>139</v>
      </c>
      <c r="E10" s="419"/>
      <c r="F10" s="417" t="s">
        <v>140</v>
      </c>
      <c r="G10" s="420"/>
      <c r="H10" s="418"/>
    </row>
    <row r="11" spans="1:8" ht="15" x14ac:dyDescent="0.25">
      <c r="A11" s="102" t="s">
        <v>141</v>
      </c>
      <c r="B11" s="397"/>
      <c r="C11" s="397"/>
      <c r="D11" s="397"/>
      <c r="E11" s="397"/>
      <c r="F11" s="397">
        <v>15</v>
      </c>
      <c r="G11" s="397"/>
      <c r="H11" s="397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156</v>
      </c>
      <c r="B13" s="397">
        <f>G8</f>
        <v>9</v>
      </c>
      <c r="C13" s="397"/>
      <c r="D13" s="397">
        <v>16.48</v>
      </c>
      <c r="E13" s="397"/>
      <c r="F13" s="404">
        <f>PRODUCT(D13,B13)</f>
        <v>148.32</v>
      </c>
      <c r="G13" s="404"/>
      <c r="H13" s="404"/>
    </row>
    <row r="14" spans="1:8" ht="15" x14ac:dyDescent="0.25">
      <c r="A14" s="102" t="s">
        <v>157</v>
      </c>
      <c r="B14" s="421"/>
      <c r="C14" s="422"/>
      <c r="D14" s="421"/>
      <c r="E14" s="422"/>
      <c r="F14" s="421"/>
      <c r="G14" s="422"/>
      <c r="H14" s="111"/>
    </row>
    <row r="15" spans="1:8" ht="15" x14ac:dyDescent="0.25">
      <c r="A15" s="102" t="s">
        <v>158</v>
      </c>
      <c r="B15" s="421"/>
      <c r="C15" s="422"/>
      <c r="D15" s="421"/>
      <c r="E15" s="422"/>
      <c r="F15" s="421"/>
      <c r="G15" s="422"/>
      <c r="H15" s="111"/>
    </row>
    <row r="16" spans="1:8" ht="15" x14ac:dyDescent="0.25">
      <c r="A16" s="102" t="s">
        <v>159</v>
      </c>
      <c r="B16" s="421"/>
      <c r="C16" s="422"/>
      <c r="D16" s="421"/>
      <c r="E16" s="422"/>
      <c r="F16" s="421"/>
      <c r="G16" s="422"/>
      <c r="H16" s="111"/>
    </row>
    <row r="17" spans="1:8" ht="15" x14ac:dyDescent="0.25">
      <c r="A17" s="102" t="s">
        <v>160</v>
      </c>
      <c r="B17" s="421"/>
      <c r="C17" s="422"/>
      <c r="D17" s="421"/>
      <c r="E17" s="422"/>
      <c r="F17" s="421"/>
      <c r="G17" s="422"/>
      <c r="H17" s="111"/>
    </row>
    <row r="18" spans="1:8" ht="45" customHeight="1" x14ac:dyDescent="0.2">
      <c r="A18" s="401" t="s">
        <v>144</v>
      </c>
      <c r="B18" s="401"/>
      <c r="C18" s="401"/>
      <c r="D18" s="401"/>
      <c r="E18" s="401"/>
      <c r="F18" s="401"/>
      <c r="G18" s="401"/>
      <c r="H18" s="401"/>
    </row>
    <row r="19" spans="1:8" x14ac:dyDescent="0.2">
      <c r="A19" s="402"/>
      <c r="B19" s="402"/>
      <c r="C19" s="402"/>
      <c r="D19" s="402"/>
      <c r="E19" s="402"/>
      <c r="F19" s="402"/>
      <c r="G19" s="402"/>
      <c r="H19" s="402"/>
    </row>
    <row r="20" spans="1:8" ht="15" x14ac:dyDescent="0.25">
      <c r="A20" s="103" t="s">
        <v>145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 x14ac:dyDescent="0.25">
      <c r="A21" s="103" t="s">
        <v>146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 x14ac:dyDescent="0.25">
      <c r="A22" s="103" t="s">
        <v>147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 x14ac:dyDescent="0.25">
      <c r="A23" s="103" t="s">
        <v>148</v>
      </c>
      <c r="B23" s="397">
        <f>G8</f>
        <v>9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 x14ac:dyDescent="0.25">
      <c r="A24" s="103" t="s">
        <v>154</v>
      </c>
      <c r="B24" s="421">
        <v>0</v>
      </c>
      <c r="C24" s="422"/>
      <c r="D24" s="421">
        <v>2.54</v>
      </c>
      <c r="E24" s="422"/>
      <c r="F24" s="421">
        <f>B24*D24</f>
        <v>0</v>
      </c>
      <c r="G24" s="422"/>
      <c r="H24" s="165"/>
    </row>
    <row r="25" spans="1:8" ht="18.75" x14ac:dyDescent="0.3">
      <c r="A25" s="393" t="s">
        <v>149</v>
      </c>
      <c r="B25" s="394"/>
      <c r="C25" s="394"/>
      <c r="D25" s="394"/>
      <c r="E25" s="395"/>
      <c r="F25" s="423">
        <f>SUM(F11+F13+F20+F21+F22+F23)</f>
        <v>163.32</v>
      </c>
      <c r="G25" s="396"/>
      <c r="H25" s="396"/>
    </row>
    <row r="26" spans="1:8" ht="15" x14ac:dyDescent="0.25">
      <c r="A26" s="382" t="s">
        <v>150</v>
      </c>
      <c r="B26" s="383"/>
      <c r="C26" s="383"/>
      <c r="D26" s="383"/>
      <c r="E26" s="384"/>
      <c r="F26" s="397">
        <v>63.63</v>
      </c>
      <c r="G26" s="397"/>
      <c r="H26" s="397"/>
    </row>
    <row r="27" spans="1:8" ht="15" x14ac:dyDescent="0.25">
      <c r="A27" s="398" t="s">
        <v>151</v>
      </c>
      <c r="B27" s="399"/>
      <c r="C27" s="399"/>
      <c r="D27" s="399"/>
      <c r="E27" s="400"/>
      <c r="F27" s="397">
        <v>2.4300000000000002</v>
      </c>
      <c r="G27" s="397"/>
      <c r="H27" s="397"/>
    </row>
    <row r="28" spans="1:8" ht="15.75" x14ac:dyDescent="0.25">
      <c r="A28" s="382" t="s">
        <v>152</v>
      </c>
      <c r="B28" s="383"/>
      <c r="C28" s="383"/>
      <c r="D28" s="383"/>
      <c r="E28" s="384"/>
      <c r="F28" s="385">
        <f>SUM(F26:H27)</f>
        <v>66.06</v>
      </c>
      <c r="G28" s="385"/>
      <c r="H28" s="385"/>
    </row>
    <row r="29" spans="1:8" x14ac:dyDescent="0.2">
      <c r="A29" s="386" t="s">
        <v>153</v>
      </c>
      <c r="B29" s="387"/>
      <c r="C29" s="387"/>
      <c r="D29" s="387"/>
      <c r="E29" s="388"/>
      <c r="F29" s="392">
        <f>SUM(F25,F28)</f>
        <v>229.38</v>
      </c>
      <c r="G29" s="392"/>
      <c r="H29" s="392"/>
    </row>
    <row r="30" spans="1:8" x14ac:dyDescent="0.2">
      <c r="A30" s="389"/>
      <c r="B30" s="390"/>
      <c r="C30" s="390"/>
      <c r="D30" s="390"/>
      <c r="E30" s="391"/>
      <c r="F30" s="392"/>
      <c r="G30" s="392"/>
      <c r="H30" s="392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3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4" t="s">
        <v>161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>
        <v>590677</v>
      </c>
      <c r="L15" s="104">
        <v>522652</v>
      </c>
      <c r="M15" s="104"/>
      <c r="N15" s="104"/>
    </row>
    <row r="16" spans="2:14" ht="21" thickBot="1" x14ac:dyDescent="0.35">
      <c r="C16" s="427" t="s">
        <v>182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 x14ac:dyDescent="0.2">
      <c r="B19" s="106" t="s">
        <v>174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>
        <v>638754.70409500005</v>
      </c>
      <c r="L26" s="84">
        <v>550972.29053</v>
      </c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183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30"/>
      <c r="D8" s="431"/>
      <c r="E8" s="431"/>
      <c r="F8" s="431"/>
      <c r="G8" s="431"/>
      <c r="H8" s="431"/>
      <c r="I8" s="431"/>
      <c r="J8" s="431"/>
      <c r="K8" s="432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>
        <v>4320.6000000000058</v>
      </c>
      <c r="L15" s="104">
        <v>3767.6000000000058</v>
      </c>
      <c r="M15" s="104"/>
      <c r="N15" s="104"/>
    </row>
    <row r="16" spans="2:14" ht="21" thickBot="1" x14ac:dyDescent="0.35">
      <c r="C16" s="427" t="s">
        <v>184</v>
      </c>
      <c r="D16" s="435"/>
      <c r="E16" s="435"/>
      <c r="F16" s="435"/>
      <c r="G16" s="435"/>
      <c r="H16" s="435"/>
      <c r="I16" s="435"/>
      <c r="J16" s="435"/>
      <c r="K16" s="435"/>
      <c r="L16" s="435"/>
      <c r="M16" s="435"/>
      <c r="N16" s="436"/>
    </row>
    <row r="18" spans="2:15" ht="18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 x14ac:dyDescent="0.2">
      <c r="B19" s="106" t="s">
        <v>174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>
        <v>49277.840000000055</v>
      </c>
      <c r="L26" s="104">
        <v>42973.640000000065</v>
      </c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8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185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>
        <v>11550.186</v>
      </c>
      <c r="L15" s="104">
        <v>10799.535</v>
      </c>
      <c r="M15" s="104"/>
      <c r="N15" s="104"/>
    </row>
    <row r="16" spans="2:14" ht="21" thickBot="1" x14ac:dyDescent="0.35">
      <c r="C16" s="427" t="s">
        <v>186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ht="17.25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 x14ac:dyDescent="0.2">
      <c r="B19" s="106" t="s">
        <v>174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>
        <v>147149.36963999999</v>
      </c>
      <c r="L26" s="104">
        <v>132186.30840000001</v>
      </c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2023-02-16T09:14:45Z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