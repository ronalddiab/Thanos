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2" i="5"/>
  <c r="S32" i="9" l="1"/>
  <c r="B32" i="9"/>
  <c r="AU6" i="7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R28" i="9"/>
  <c r="G28" i="5" s="1"/>
  <c r="T20" i="7"/>
  <c r="T21" i="7"/>
  <c r="AI21" i="7" s="1"/>
  <c r="AG21" i="7"/>
  <c r="AJ35" i="7"/>
  <c r="AQ24" i="7"/>
  <c r="F14" i="9"/>
  <c r="N12" i="9"/>
  <c r="H21" i="9"/>
  <c r="R17" i="9"/>
  <c r="G17" i="5" s="1"/>
  <c r="F17" i="9"/>
  <c r="AI26" i="7"/>
  <c r="P21" i="9"/>
  <c r="AM28" i="7"/>
  <c r="F24" i="9"/>
  <c r="J26" i="9"/>
  <c r="AL32" i="7"/>
  <c r="AL33" i="7"/>
  <c r="AG33" i="7"/>
  <c r="AJ33" i="7"/>
  <c r="AO35" i="7"/>
  <c r="R30" i="9"/>
  <c r="G30" i="5" s="1"/>
  <c r="P22" i="9"/>
  <c r="AQ28" i="7"/>
  <c r="AF11" i="7"/>
  <c r="AW13" i="7"/>
  <c r="R6" i="9"/>
  <c r="G6" i="5" s="1"/>
  <c r="AW19" i="7"/>
  <c r="L11" i="9"/>
  <c r="F11" i="9"/>
  <c r="AN7" i="7"/>
  <c r="G6" i="9"/>
  <c r="AW17" i="7" l="1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0" i="7"/>
  <c r="AS21" i="7"/>
  <c r="AS34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<sst xmlns="http://schemas.openxmlformats.org/spreadsheetml/2006/main" count="128" uniqueCount="49">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</sst>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66320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170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66040</v>
      </c>
      <c r="F8" s="11">
        <v>5.0000000000000001E-3</v>
      </c>
      <c r="G8" s="12">
        <f>Submetering!R8</f>
        <v>400.11783700000001</v>
      </c>
      <c r="H8" s="11">
        <v>0.52800000000000002</v>
      </c>
      <c r="I8" s="12">
        <f>Hotel!B13</f>
        <v>181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63450</v>
      </c>
      <c r="F9" s="11">
        <v>5.0000000000000001E-3</v>
      </c>
      <c r="G9" s="12">
        <f>Submetering!R9</f>
        <v>577.27502499999991</v>
      </c>
      <c r="H9" s="11">
        <v>0.52800000000000002</v>
      </c>
      <c r="I9" s="12">
        <f>Hotel!B14</f>
        <v>188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67630</v>
      </c>
      <c r="F10" s="11">
        <v>5.0000000000000001E-3</v>
      </c>
      <c r="G10" s="12">
        <f>Submetering!R10</f>
        <v>631.78492900000003</v>
      </c>
      <c r="H10" s="11">
        <v>0.52800000000000002</v>
      </c>
      <c r="I10" s="12">
        <f>Hotel!B15</f>
        <v>212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66010</v>
      </c>
      <c r="F11" s="11">
        <v>5.0000000000000001E-3</v>
      </c>
      <c r="G11" s="12">
        <f>Submetering!R11</f>
        <v>514.43721899999991</v>
      </c>
      <c r="H11" s="11">
        <v>0.52800000000000002</v>
      </c>
      <c r="I11" s="12">
        <f>Hotel!B16</f>
        <v>221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530</v>
      </c>
      <c r="F7" s="4">
        <f>Hotel!R12</f>
        <v>10800</v>
      </c>
      <c r="G7" s="4">
        <f>Hotel!S12</f>
        <v>0</v>
      </c>
      <c r="H7" s="4">
        <f>Hotel!T12</f>
        <v>1470</v>
      </c>
      <c r="I7" s="4">
        <f>Hotel!U12</f>
        <v>6990</v>
      </c>
      <c r="J7" s="4">
        <f>Hotel!V12</f>
        <v>4720</v>
      </c>
      <c r="K7" s="4">
        <f>Hotel!W12</f>
        <v>2780</v>
      </c>
      <c r="L7" s="4">
        <f>Hotel!X12</f>
        <v>4380</v>
      </c>
      <c r="M7" s="4">
        <f>Hotel!Y12</f>
        <v>5140</v>
      </c>
      <c r="N7" s="4">
        <f>Hotel!Z12</f>
        <v>2860</v>
      </c>
      <c r="O7" s="4">
        <f>Hotel!AA12</f>
        <v>3680</v>
      </c>
      <c r="P7" s="4">
        <f>Hotel!AB12</f>
        <v>7320</v>
      </c>
      <c r="Q7" s="4">
        <f>Hotel!AC12</f>
        <v>15650</v>
      </c>
      <c r="R7" s="4">
        <f>Hotel!AV12*0.00378541*100</f>
        <v>681.37379999999996</v>
      </c>
      <c r="S7" s="4">
        <f>Hotel!B12</f>
        <v>170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520</v>
      </c>
      <c r="F8" s="4">
        <f>Hotel!R13</f>
        <v>10830</v>
      </c>
      <c r="G8" s="4">
        <f>Hotel!S13</f>
        <v>0</v>
      </c>
      <c r="H8" s="4">
        <f>Hotel!T13</f>
        <v>1470</v>
      </c>
      <c r="I8" s="4">
        <f>Hotel!U13</f>
        <v>6760</v>
      </c>
      <c r="J8" s="4">
        <f>Hotel!V13</f>
        <v>4690</v>
      </c>
      <c r="K8" s="4">
        <f>Hotel!W13</f>
        <v>2730</v>
      </c>
      <c r="L8" s="4">
        <f>Hotel!X13</f>
        <v>4250</v>
      </c>
      <c r="M8" s="4">
        <f>Hotel!Y13</f>
        <v>5330</v>
      </c>
      <c r="N8" s="4">
        <f>Hotel!Z13</f>
        <v>2830</v>
      </c>
      <c r="O8" s="4">
        <f>Hotel!AA13</f>
        <v>3620</v>
      </c>
      <c r="P8" s="4">
        <f>Hotel!AB13</f>
        <v>7280</v>
      </c>
      <c r="Q8" s="4">
        <f>Hotel!AC13</f>
        <v>15730</v>
      </c>
      <c r="R8" s="4">
        <f>Hotel!AV13*0.00378541*100</f>
        <v>400.11783700000001</v>
      </c>
      <c r="S8" s="4">
        <f>Hotel!B13</f>
        <v>181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510</v>
      </c>
      <c r="F9" s="4">
        <f>Hotel!R14</f>
        <v>10290</v>
      </c>
      <c r="G9" s="4">
        <f>Hotel!S14</f>
        <v>0</v>
      </c>
      <c r="H9" s="4">
        <f>Hotel!T14</f>
        <v>1420</v>
      </c>
      <c r="I9" s="4">
        <f>Hotel!U14</f>
        <v>6690</v>
      </c>
      <c r="J9" s="4">
        <f>Hotel!V14</f>
        <v>4510</v>
      </c>
      <c r="K9" s="4">
        <f>Hotel!W14</f>
        <v>2650</v>
      </c>
      <c r="L9" s="4">
        <f>Hotel!X14</f>
        <v>4270</v>
      </c>
      <c r="M9" s="4">
        <f>Hotel!Y14</f>
        <v>5160</v>
      </c>
      <c r="N9" s="4">
        <f>Hotel!Z14</f>
        <v>2740</v>
      </c>
      <c r="O9" s="4">
        <f>Hotel!AA14</f>
        <v>3440</v>
      </c>
      <c r="P9" s="4">
        <f>Hotel!AB14</f>
        <v>7040</v>
      </c>
      <c r="Q9" s="4">
        <f>Hotel!AC14</f>
        <v>14730</v>
      </c>
      <c r="R9" s="4">
        <f>Hotel!AV14*0.00378541*100</f>
        <v>577.27502499999991</v>
      </c>
      <c r="S9" s="4">
        <f>Hotel!B14</f>
        <v>188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540</v>
      </c>
      <c r="F10" s="4">
        <f>Hotel!R15</f>
        <v>10700</v>
      </c>
      <c r="G10" s="4">
        <f>Hotel!S15</f>
        <v>0</v>
      </c>
      <c r="H10" s="4">
        <f>Hotel!T15</f>
        <v>1500</v>
      </c>
      <c r="I10" s="4">
        <f>Hotel!U15</f>
        <v>7130</v>
      </c>
      <c r="J10" s="4">
        <f>Hotel!V15</f>
        <v>4940</v>
      </c>
      <c r="K10" s="4">
        <f>Hotel!W15</f>
        <v>3040</v>
      </c>
      <c r="L10" s="4">
        <f>Hotel!X15</f>
        <v>4570</v>
      </c>
      <c r="M10" s="4">
        <f>Hotel!Y15</f>
        <v>5470</v>
      </c>
      <c r="N10" s="4">
        <f>Hotel!Z15</f>
        <v>2970</v>
      </c>
      <c r="O10" s="4">
        <f>Hotel!AA15</f>
        <v>3760</v>
      </c>
      <c r="P10" s="4">
        <f>Hotel!AB15</f>
        <v>7210</v>
      </c>
      <c r="Q10" s="4">
        <f>Hotel!AC15</f>
        <v>15800</v>
      </c>
      <c r="R10" s="4">
        <f>Hotel!AV15*0.00378541*100</f>
        <v>631.78492900000003</v>
      </c>
      <c r="S10" s="4">
        <f>Hotel!B15</f>
        <v>212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520</v>
      </c>
      <c r="F11" s="4">
        <f>Hotel!R16</f>
        <v>10280</v>
      </c>
      <c r="G11" s="4">
        <f>Hotel!S16</f>
        <v>0</v>
      </c>
      <c r="H11" s="4">
        <f>Hotel!T16</f>
        <v>1430</v>
      </c>
      <c r="I11" s="4">
        <f>Hotel!U16</f>
        <v>6880</v>
      </c>
      <c r="J11" s="4">
        <f>Hotel!V16</f>
        <v>4890</v>
      </c>
      <c r="K11" s="4">
        <f>Hotel!W16</f>
        <v>3260</v>
      </c>
      <c r="L11" s="4">
        <f>Hotel!X16</f>
        <v>4280</v>
      </c>
      <c r="M11" s="4">
        <f>Hotel!Y16</f>
        <v>5580</v>
      </c>
      <c r="N11" s="4">
        <f>Hotel!Z16</f>
        <v>2870</v>
      </c>
      <c r="O11" s="4">
        <f>Hotel!AA16</f>
        <v>3830</v>
      </c>
      <c r="P11" s="4">
        <f>Hotel!AB16</f>
        <v>7060</v>
      </c>
      <c r="Q11" s="4">
        <f>Hotel!AC16</f>
        <v>15130</v>
      </c>
      <c r="R11" s="4">
        <f>Hotel!AV16*0.00378541*100</f>
        <v>514.43721899999991</v>
      </c>
      <c r="S11" s="4">
        <f>Hotel!B16</f>
        <v>221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I12" sqref="AI1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>
        <v>170</v>
      </c>
      <c r="C12" s="49">
        <v>5925800</v>
      </c>
      <c r="D12" s="24">
        <v>12466900</v>
      </c>
      <c r="E12" s="24">
        <v>1470310</v>
      </c>
      <c r="F12" s="24">
        <v>2654030</v>
      </c>
      <c r="G12" s="24">
        <v>8140230</v>
      </c>
      <c r="H12" s="24">
        <v>3911450</v>
      </c>
      <c r="I12" s="24">
        <v>3853910</v>
      </c>
      <c r="J12" s="24">
        <v>4386940</v>
      </c>
      <c r="K12" s="24">
        <v>7024510</v>
      </c>
      <c r="L12" s="24">
        <v>2535890</v>
      </c>
      <c r="M12" s="24">
        <v>6447960</v>
      </c>
      <c r="N12" s="24">
        <v>8896630</v>
      </c>
      <c r="O12" s="24">
        <v>11781180</v>
      </c>
      <c r="Q12" s="37">
        <f t="shared" si="16"/>
        <v>530</v>
      </c>
      <c r="R12" s="37">
        <f t="shared" si="17"/>
        <v>10800</v>
      </c>
      <c r="S12" s="37">
        <f t="shared" si="15"/>
        <v>0</v>
      </c>
      <c r="T12" s="37">
        <f t="shared" ref="T12:W14" si="32">IF((F12-F11&lt;0), "0",F12-F11)</f>
        <v>1470</v>
      </c>
      <c r="U12" s="37">
        <f t="shared" si="32"/>
        <v>6990</v>
      </c>
      <c r="V12" s="37">
        <f t="shared" si="32"/>
        <v>4720</v>
      </c>
      <c r="W12" s="37">
        <f t="shared" si="32"/>
        <v>2780</v>
      </c>
      <c r="X12" s="37">
        <f t="shared" si="22"/>
        <v>4380</v>
      </c>
      <c r="Y12" s="37">
        <f t="shared" si="23"/>
        <v>5140</v>
      </c>
      <c r="Z12" s="37">
        <f>IF((L12-L11&lt;0), "0",L12-L11)</f>
        <v>2860</v>
      </c>
      <c r="AA12" s="37">
        <f t="shared" si="25"/>
        <v>3680</v>
      </c>
      <c r="AB12" s="37">
        <f t="shared" si="26"/>
        <v>7320</v>
      </c>
      <c r="AC12" s="37">
        <f t="shared" si="27"/>
        <v>15650</v>
      </c>
      <c r="AD12" s="35">
        <f t="shared" si="28"/>
        <v>66320</v>
      </c>
      <c r="AF12" s="20">
        <f t="shared" si="1"/>
        <v>2.65</v>
      </c>
      <c r="AG12" s="20">
        <f t="shared" si="2"/>
        <v>54</v>
      </c>
      <c r="AH12" s="20">
        <f t="shared" si="3"/>
        <v>0</v>
      </c>
      <c r="AI12" s="20">
        <f t="shared" si="4"/>
        <v>7.3500000000000005</v>
      </c>
      <c r="AJ12" s="20">
        <f t="shared" si="5"/>
        <v>34.950000000000003</v>
      </c>
      <c r="AK12" s="20">
        <f t="shared" si="6"/>
        <v>23.6</v>
      </c>
      <c r="AL12" s="20">
        <f t="shared" si="7"/>
        <v>13.9</v>
      </c>
      <c r="AM12" s="20">
        <f t="shared" si="8"/>
        <v>21.900000000000002</v>
      </c>
      <c r="AN12" s="20">
        <f t="shared" si="9"/>
        <v>25.7</v>
      </c>
      <c r="AO12" s="20">
        <f t="shared" si="10"/>
        <v>14.3</v>
      </c>
      <c r="AP12" s="20">
        <f t="shared" si="11"/>
        <v>18.400000000000002</v>
      </c>
      <c r="AQ12" s="20">
        <f t="shared" si="12"/>
        <v>36.6</v>
      </c>
      <c r="AR12" s="20">
        <f t="shared" si="13"/>
        <v>78.25</v>
      </c>
      <c r="AS12" s="35">
        <f t="shared" si="29"/>
        <v>331.6</v>
      </c>
      <c r="AU12" s="47">
        <v>727150</v>
      </c>
      <c r="AV12" s="37">
        <f t="shared" si="31"/>
        <v>1800</v>
      </c>
      <c r="AW12" s="35">
        <f t="shared" si="30"/>
        <v>3.6</v>
      </c>
    </row>
    <row r="13" spans="1:49" x14ac:dyDescent="0.25">
      <c r="A13" s="23">
        <v>43837</v>
      </c>
      <c r="B13" s="40">
        <v>181</v>
      </c>
      <c r="C13" s="24">
        <v>5926320</v>
      </c>
      <c r="D13" s="24">
        <v>12477730</v>
      </c>
      <c r="E13" s="24">
        <v>1470310</v>
      </c>
      <c r="F13" s="24">
        <v>2655500</v>
      </c>
      <c r="G13" s="24">
        <v>8146990</v>
      </c>
      <c r="H13" s="24">
        <v>3916140</v>
      </c>
      <c r="I13" s="24">
        <v>3856640</v>
      </c>
      <c r="J13" s="24">
        <v>4391190</v>
      </c>
      <c r="K13" s="24">
        <v>7029840</v>
      </c>
      <c r="L13" s="24">
        <v>2538720</v>
      </c>
      <c r="M13" s="24">
        <v>6451580</v>
      </c>
      <c r="N13" s="24">
        <v>8903910</v>
      </c>
      <c r="O13" s="24">
        <v>11796910</v>
      </c>
      <c r="Q13" s="37">
        <f t="shared" si="16"/>
        <v>520</v>
      </c>
      <c r="R13" s="37">
        <f t="shared" si="17"/>
        <v>10830</v>
      </c>
      <c r="S13" s="37">
        <f t="shared" si="15"/>
        <v>0</v>
      </c>
      <c r="T13" s="37">
        <f t="shared" si="32"/>
        <v>1470</v>
      </c>
      <c r="U13" s="37">
        <f t="shared" si="32"/>
        <v>6760</v>
      </c>
      <c r="V13" s="37">
        <f t="shared" si="32"/>
        <v>4690</v>
      </c>
      <c r="W13" s="37">
        <f t="shared" si="32"/>
        <v>2730</v>
      </c>
      <c r="X13" s="37">
        <f t="shared" si="22"/>
        <v>4250</v>
      </c>
      <c r="Y13" s="37">
        <f t="shared" si="23"/>
        <v>5330</v>
      </c>
      <c r="Z13" s="37">
        <f>IF((L13-L12&lt;0), "0",L13-L12)</f>
        <v>2830</v>
      </c>
      <c r="AA13" s="37">
        <f t="shared" si="25"/>
        <v>3620</v>
      </c>
      <c r="AB13" s="37">
        <f t="shared" si="26"/>
        <v>7280</v>
      </c>
      <c r="AC13" s="37">
        <f t="shared" si="27"/>
        <v>15730</v>
      </c>
      <c r="AD13" s="35">
        <f t="shared" si="28"/>
        <v>66040</v>
      </c>
      <c r="AF13" s="20">
        <f t="shared" si="1"/>
        <v>2.6</v>
      </c>
      <c r="AG13" s="20">
        <f t="shared" si="2"/>
        <v>54.15</v>
      </c>
      <c r="AH13" s="20">
        <f t="shared" si="3"/>
        <v>0</v>
      </c>
      <c r="AI13" s="20">
        <f t="shared" si="4"/>
        <v>7.3500000000000005</v>
      </c>
      <c r="AJ13" s="20">
        <f t="shared" si="5"/>
        <v>33.799999999999997</v>
      </c>
      <c r="AK13" s="20">
        <f t="shared" si="6"/>
        <v>23.45</v>
      </c>
      <c r="AL13" s="20">
        <f t="shared" si="7"/>
        <v>13.65</v>
      </c>
      <c r="AM13" s="20">
        <f t="shared" si="8"/>
        <v>21.25</v>
      </c>
      <c r="AN13" s="20">
        <f t="shared" si="9"/>
        <v>26.650000000000002</v>
      </c>
      <c r="AO13" s="20">
        <f t="shared" si="10"/>
        <v>14.15</v>
      </c>
      <c r="AP13" s="20">
        <f t="shared" si="11"/>
        <v>18.100000000000001</v>
      </c>
      <c r="AQ13" s="20">
        <f t="shared" si="12"/>
        <v>36.4</v>
      </c>
      <c r="AR13" s="20">
        <f t="shared" si="13"/>
        <v>78.650000000000006</v>
      </c>
      <c r="AS13" s="35">
        <f t="shared" si="29"/>
        <v>330.20000000000005</v>
      </c>
      <c r="AU13" s="47">
        <v>728207</v>
      </c>
      <c r="AV13" s="37">
        <f t="shared" si="31"/>
        <v>1057</v>
      </c>
      <c r="AW13" s="35">
        <f t="shared" si="30"/>
        <v>2.1139999999999999</v>
      </c>
    </row>
    <row r="14" spans="1:49" x14ac:dyDescent="0.25">
      <c r="A14" s="23">
        <v>43838</v>
      </c>
      <c r="B14" s="40">
        <v>188</v>
      </c>
      <c r="C14" s="24">
        <v>5926830</v>
      </c>
      <c r="D14" s="24">
        <v>12488020</v>
      </c>
      <c r="E14" s="24">
        <v>1470310</v>
      </c>
      <c r="F14" s="24">
        <v>2656920</v>
      </c>
      <c r="G14" s="24">
        <v>8153680</v>
      </c>
      <c r="H14" s="24">
        <v>3920650</v>
      </c>
      <c r="I14" s="24">
        <v>3859290</v>
      </c>
      <c r="J14" s="24">
        <v>4395460</v>
      </c>
      <c r="K14" s="24">
        <v>7035000</v>
      </c>
      <c r="L14" s="24">
        <v>2541460</v>
      </c>
      <c r="M14" s="24">
        <v>6455020</v>
      </c>
      <c r="N14" s="24">
        <v>8910950</v>
      </c>
      <c r="O14" s="24">
        <v>11811640</v>
      </c>
      <c r="Q14" s="37">
        <f t="shared" si="16"/>
        <v>510</v>
      </c>
      <c r="R14" s="37">
        <f t="shared" si="17"/>
        <v>10290</v>
      </c>
      <c r="S14" s="37">
        <f t="shared" si="15"/>
        <v>0</v>
      </c>
      <c r="T14" s="37">
        <f t="shared" si="32"/>
        <v>1420</v>
      </c>
      <c r="U14" s="37">
        <f t="shared" si="32"/>
        <v>6690</v>
      </c>
      <c r="V14" s="37">
        <f t="shared" si="32"/>
        <v>4510</v>
      </c>
      <c r="W14" s="37">
        <f t="shared" si="32"/>
        <v>2650</v>
      </c>
      <c r="X14" s="37">
        <f t="shared" si="22"/>
        <v>4270</v>
      </c>
      <c r="Y14" s="37">
        <f t="shared" si="23"/>
        <v>5160</v>
      </c>
      <c r="Z14" s="37">
        <f>IF((L14-L13&lt;0), "0",L14-L13)</f>
        <v>2740</v>
      </c>
      <c r="AA14" s="37">
        <f t="shared" si="25"/>
        <v>3440</v>
      </c>
      <c r="AB14" s="37">
        <f t="shared" si="26"/>
        <v>7040</v>
      </c>
      <c r="AC14" s="37">
        <f t="shared" si="27"/>
        <v>14730</v>
      </c>
      <c r="AD14" s="35">
        <f t="shared" si="28"/>
        <v>63450</v>
      </c>
      <c r="AF14" s="20">
        <f t="shared" si="1"/>
        <v>2.5500000000000003</v>
      </c>
      <c r="AG14" s="20">
        <f t="shared" si="2"/>
        <v>51.45</v>
      </c>
      <c r="AH14" s="20">
        <f t="shared" si="3"/>
        <v>0</v>
      </c>
      <c r="AI14" s="20">
        <f t="shared" si="4"/>
        <v>7.1000000000000005</v>
      </c>
      <c r="AJ14" s="20">
        <f t="shared" si="5"/>
        <v>33.450000000000003</v>
      </c>
      <c r="AK14" s="20">
        <f t="shared" si="6"/>
        <v>22.55</v>
      </c>
      <c r="AL14" s="20">
        <f t="shared" si="7"/>
        <v>13.25</v>
      </c>
      <c r="AM14" s="20">
        <f t="shared" si="8"/>
        <v>21.35</v>
      </c>
      <c r="AN14" s="20">
        <f t="shared" si="9"/>
        <v>25.8</v>
      </c>
      <c r="AO14" s="20">
        <f t="shared" si="10"/>
        <v>13.700000000000001</v>
      </c>
      <c r="AP14" s="20">
        <f t="shared" si="11"/>
        <v>17.2</v>
      </c>
      <c r="AQ14" s="20">
        <f t="shared" si="12"/>
        <v>35.200000000000003</v>
      </c>
      <c r="AR14" s="20">
        <f t="shared" si="13"/>
        <v>73.650000000000006</v>
      </c>
      <c r="AS14" s="35">
        <f t="shared" si="29"/>
        <v>317.25</v>
      </c>
      <c r="AU14" s="47">
        <v>729732</v>
      </c>
      <c r="AV14" s="37">
        <f t="shared" si="31"/>
        <v>1525</v>
      </c>
      <c r="AW14" s="35">
        <f t="shared" si="30"/>
        <v>3.0500000000000003</v>
      </c>
    </row>
    <row r="15" spans="1:49" x14ac:dyDescent="0.25">
      <c r="A15" s="23">
        <v>43839</v>
      </c>
      <c r="B15" s="40">
        <v>212</v>
      </c>
      <c r="C15" s="24">
        <v>5927370</v>
      </c>
      <c r="D15" s="24">
        <v>12498720</v>
      </c>
      <c r="E15" s="24">
        <v>1470310</v>
      </c>
      <c r="F15" s="24">
        <v>2658420</v>
      </c>
      <c r="G15" s="24">
        <v>8160810</v>
      </c>
      <c r="H15" s="24">
        <v>3925590</v>
      </c>
      <c r="I15" s="24">
        <v>3862330</v>
      </c>
      <c r="J15" s="24">
        <v>4400030</v>
      </c>
      <c r="K15" s="24">
        <v>7040470</v>
      </c>
      <c r="L15" s="24">
        <v>2544430</v>
      </c>
      <c r="M15" s="24">
        <v>6458780</v>
      </c>
      <c r="N15" s="24">
        <v>8918160</v>
      </c>
      <c r="O15" s="24">
        <v>11827440</v>
      </c>
      <c r="Q15" s="37">
        <f t="shared" si="16"/>
        <v>540</v>
      </c>
      <c r="R15" s="37">
        <f t="shared" si="17"/>
        <v>10700</v>
      </c>
      <c r="S15" s="37">
        <f t="shared" si="15"/>
        <v>0</v>
      </c>
      <c r="T15" s="37">
        <f t="shared" si="18"/>
        <v>1500</v>
      </c>
      <c r="U15" s="37">
        <f t="shared" si="19"/>
        <v>7130</v>
      </c>
      <c r="V15" s="37">
        <f t="shared" si="20"/>
        <v>4940</v>
      </c>
      <c r="W15" s="37">
        <f t="shared" si="21"/>
        <v>3040</v>
      </c>
      <c r="X15" s="37">
        <f t="shared" si="22"/>
        <v>4570</v>
      </c>
      <c r="Y15" s="37">
        <f t="shared" si="23"/>
        <v>5470</v>
      </c>
      <c r="Z15" s="37">
        <f t="shared" si="24"/>
        <v>2970</v>
      </c>
      <c r="AA15" s="37">
        <f t="shared" si="25"/>
        <v>3760</v>
      </c>
      <c r="AB15" s="37">
        <f t="shared" si="26"/>
        <v>7210</v>
      </c>
      <c r="AC15" s="37">
        <f t="shared" si="27"/>
        <v>15800</v>
      </c>
      <c r="AD15" s="35">
        <f t="shared" si="28"/>
        <v>67630</v>
      </c>
      <c r="AF15" s="20">
        <f t="shared" si="1"/>
        <v>2.7</v>
      </c>
      <c r="AG15" s="20">
        <f t="shared" si="2"/>
        <v>53.5</v>
      </c>
      <c r="AH15" s="20">
        <f t="shared" si="3"/>
        <v>0</v>
      </c>
      <c r="AI15" s="20">
        <f t="shared" si="4"/>
        <v>7.5</v>
      </c>
      <c r="AJ15" s="20">
        <f t="shared" si="5"/>
        <v>35.65</v>
      </c>
      <c r="AK15" s="20">
        <f t="shared" si="6"/>
        <v>24.7</v>
      </c>
      <c r="AL15" s="20">
        <f t="shared" si="7"/>
        <v>15.200000000000001</v>
      </c>
      <c r="AM15" s="20">
        <f t="shared" si="8"/>
        <v>22.85</v>
      </c>
      <c r="AN15" s="20">
        <f t="shared" si="9"/>
        <v>27.35</v>
      </c>
      <c r="AO15" s="20">
        <f t="shared" si="10"/>
        <v>14.85</v>
      </c>
      <c r="AP15" s="20">
        <f t="shared" si="11"/>
        <v>18.8</v>
      </c>
      <c r="AQ15" s="20">
        <f t="shared" si="12"/>
        <v>36.050000000000004</v>
      </c>
      <c r="AR15" s="20">
        <f t="shared" si="13"/>
        <v>79</v>
      </c>
      <c r="AS15" s="35">
        <f t="shared" si="29"/>
        <v>338.15</v>
      </c>
      <c r="AU15" s="47">
        <v>731401</v>
      </c>
      <c r="AV15" s="37">
        <f t="shared" si="31"/>
        <v>1669</v>
      </c>
      <c r="AW15" s="35">
        <f t="shared" si="30"/>
        <v>3.3380000000000001</v>
      </c>
    </row>
    <row r="16" spans="1:49" x14ac:dyDescent="0.25">
      <c r="A16" s="23">
        <v>43840</v>
      </c>
      <c r="B16" s="40">
        <v>221</v>
      </c>
      <c r="C16" s="24">
        <v>5927890</v>
      </c>
      <c r="D16" s="24">
        <v>12509000</v>
      </c>
      <c r="E16" s="24">
        <v>1470310</v>
      </c>
      <c r="F16" s="24">
        <v>2659850</v>
      </c>
      <c r="G16" s="24">
        <v>8167690</v>
      </c>
      <c r="H16" s="24">
        <v>3930480</v>
      </c>
      <c r="I16" s="24">
        <v>3865590</v>
      </c>
      <c r="J16" s="24">
        <v>4404310</v>
      </c>
      <c r="K16" s="24">
        <v>7046050</v>
      </c>
      <c r="L16" s="24">
        <v>2547300</v>
      </c>
      <c r="M16" s="24">
        <v>6462610</v>
      </c>
      <c r="N16" s="24">
        <v>8925220</v>
      </c>
      <c r="O16" s="24">
        <v>11842570</v>
      </c>
      <c r="Q16" s="37">
        <f t="shared" si="16"/>
        <v>520</v>
      </c>
      <c r="R16" s="37">
        <f t="shared" si="17"/>
        <v>10280</v>
      </c>
      <c r="S16" s="37">
        <f t="shared" si="15"/>
        <v>0</v>
      </c>
      <c r="T16" s="37">
        <f t="shared" si="18"/>
        <v>1430</v>
      </c>
      <c r="U16" s="37">
        <f t="shared" si="19"/>
        <v>6880</v>
      </c>
      <c r="V16" s="37">
        <f t="shared" si="20"/>
        <v>4890</v>
      </c>
      <c r="W16" s="37">
        <f t="shared" si="21"/>
        <v>3260</v>
      </c>
      <c r="X16" s="37">
        <f t="shared" si="22"/>
        <v>4280</v>
      </c>
      <c r="Y16" s="37">
        <f t="shared" si="23"/>
        <v>5580</v>
      </c>
      <c r="Z16" s="37">
        <f t="shared" si="24"/>
        <v>2870</v>
      </c>
      <c r="AA16" s="37">
        <f t="shared" si="25"/>
        <v>3830</v>
      </c>
      <c r="AB16" s="37">
        <f t="shared" si="26"/>
        <v>7060</v>
      </c>
      <c r="AC16" s="37">
        <f t="shared" si="27"/>
        <v>15130</v>
      </c>
      <c r="AD16" s="35">
        <f t="shared" si="28"/>
        <v>66010</v>
      </c>
      <c r="AF16" s="20">
        <f t="shared" si="1"/>
        <v>2.6</v>
      </c>
      <c r="AG16" s="20">
        <f t="shared" si="2"/>
        <v>51.4</v>
      </c>
      <c r="AH16" s="20">
        <f t="shared" si="3"/>
        <v>0</v>
      </c>
      <c r="AI16" s="20">
        <f t="shared" si="4"/>
        <v>7.15</v>
      </c>
      <c r="AJ16" s="20">
        <f t="shared" si="5"/>
        <v>34.4</v>
      </c>
      <c r="AK16" s="20">
        <f t="shared" si="6"/>
        <v>24.45</v>
      </c>
      <c r="AL16" s="20">
        <f t="shared" si="7"/>
        <v>16.3</v>
      </c>
      <c r="AM16" s="20">
        <f t="shared" si="8"/>
        <v>21.400000000000002</v>
      </c>
      <c r="AN16" s="20">
        <f t="shared" si="9"/>
        <v>27.900000000000002</v>
      </c>
      <c r="AO16" s="20">
        <f t="shared" si="10"/>
        <v>14.35</v>
      </c>
      <c r="AP16" s="20">
        <f t="shared" si="11"/>
        <v>19.150000000000002</v>
      </c>
      <c r="AQ16" s="20">
        <f t="shared" si="12"/>
        <v>35.300000000000004</v>
      </c>
      <c r="AR16" s="20">
        <f t="shared" si="13"/>
        <v>75.650000000000006</v>
      </c>
      <c r="AS16" s="35">
        <f t="shared" si="29"/>
        <v>330.05000000000007</v>
      </c>
      <c r="AU16" s="47">
        <v>732760</v>
      </c>
      <c r="AV16" s="37">
        <f t="shared" si="31"/>
        <v>1359</v>
      </c>
      <c r="AW16" s="35">
        <f t="shared" si="30"/>
        <v>2.718</v>
      </c>
    </row>
    <row r="17" spans="1:49" x14ac:dyDescent="0.25">
      <c r="A17" s="23">
        <v>43841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6"/>
        <v>0</v>
      </c>
      <c r="R17" s="37" t="str">
        <f t="shared" si="17"/>
        <v>0</v>
      </c>
      <c r="S17" s="37" t="str">
        <f t="shared" si="15"/>
        <v>0</v>
      </c>
      <c r="T17" s="37" t="str">
        <f t="shared" si="18"/>
        <v>0</v>
      </c>
      <c r="U17" s="37" t="str">
        <f t="shared" si="19"/>
        <v>0</v>
      </c>
      <c r="V17" s="37" t="str">
        <f t="shared" si="20"/>
        <v>0</v>
      </c>
      <c r="W17" s="37" t="str">
        <f t="shared" si="21"/>
        <v>0</v>
      </c>
      <c r="X17" s="37" t="str">
        <f t="shared" si="22"/>
        <v>0</v>
      </c>
      <c r="Y17" s="37" t="str">
        <f t="shared" si="23"/>
        <v>0</v>
      </c>
      <c r="Z17" s="37" t="str">
        <f t="shared" si="24"/>
        <v>0</v>
      </c>
      <c r="AA17" s="37" t="str">
        <f t="shared" si="25"/>
        <v>0</v>
      </c>
      <c r="AB17" s="37" t="str">
        <f t="shared" si="26"/>
        <v>0</v>
      </c>
      <c r="AC17" s="37" t="str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 t="str">
        <f t="shared" si="31"/>
        <v>0</v>
      </c>
      <c r="AW17" s="35">
        <f t="shared" si="30"/>
        <v>0</v>
      </c>
    </row>
    <row r="18" spans="1:49" x14ac:dyDescent="0.25">
      <c r="A18" s="23">
        <v>43842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43843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5240</v>
      </c>
      <c r="R38" s="30">
        <f t="shared" si="64"/>
        <v>108320</v>
      </c>
      <c r="S38" s="30">
        <f t="shared" si="64"/>
        <v>10</v>
      </c>
      <c r="T38" s="30">
        <f t="shared" si="64"/>
        <v>14670</v>
      </c>
      <c r="U38" s="30">
        <f t="shared" si="64"/>
        <v>72440</v>
      </c>
      <c r="V38" s="30">
        <f t="shared" si="64"/>
        <v>47040</v>
      </c>
      <c r="W38" s="30">
        <f t="shared" si="64"/>
        <v>29830</v>
      </c>
      <c r="X38" s="30">
        <f t="shared" si="64"/>
        <v>45220</v>
      </c>
      <c r="Y38" s="30">
        <f t="shared" si="64"/>
        <v>53910</v>
      </c>
      <c r="Z38" s="30">
        <f t="shared" si="64"/>
        <v>29550</v>
      </c>
      <c r="AA38" s="30">
        <f t="shared" si="64"/>
        <v>37710</v>
      </c>
      <c r="AB38" s="30">
        <f t="shared" si="64"/>
        <v>72810</v>
      </c>
      <c r="AC38" s="30">
        <f t="shared" si="64"/>
        <v>152610</v>
      </c>
      <c r="AD38" s="35">
        <f t="shared" si="64"/>
        <v>669360</v>
      </c>
      <c r="AF38" s="35">
        <f t="shared" ref="AF38:AS38" si="65">SUM(AF7:AF34)</f>
        <v>26.200000000000003</v>
      </c>
      <c r="AG38" s="35">
        <f t="shared" si="65"/>
        <v>541.59999999999991</v>
      </c>
      <c r="AH38" s="35">
        <f t="shared" si="65"/>
        <v>0.05</v>
      </c>
      <c r="AI38" s="35">
        <f t="shared" si="65"/>
        <v>73.350000000000009</v>
      </c>
      <c r="AJ38" s="35">
        <f t="shared" si="65"/>
        <v>362.19999999999993</v>
      </c>
      <c r="AK38" s="35">
        <f t="shared" si="65"/>
        <v>235.2</v>
      </c>
      <c r="AL38" s="35">
        <f t="shared" si="65"/>
        <v>149.15000000000003</v>
      </c>
      <c r="AM38" s="35">
        <f t="shared" si="65"/>
        <v>226.10000000000002</v>
      </c>
      <c r="AN38" s="35">
        <f t="shared" si="65"/>
        <v>269.55</v>
      </c>
      <c r="AO38" s="35">
        <f t="shared" si="65"/>
        <v>147.75</v>
      </c>
      <c r="AP38" s="35">
        <f t="shared" si="65"/>
        <v>188.55</v>
      </c>
      <c r="AQ38" s="35">
        <f t="shared" si="65"/>
        <v>364.05</v>
      </c>
      <c r="AR38" s="35">
        <f t="shared" si="65"/>
        <v>763.05</v>
      </c>
      <c r="AS38" s="35">
        <f t="shared" si="65"/>
        <v>3346.8000000000006</v>
      </c>
      <c r="AU38" s="48"/>
      <c r="AV38" s="35">
        <f>SUM(AV7:AV34)</f>
        <v>15952</v>
      </c>
      <c r="AW38" s="35">
        <f>SUM(AW7:AW34)</f>
        <v>25.068000000000001</v>
      </c>
    </row>
    <row r="39" spans="1:49" x14ac:dyDescent="0.25">
      <c r="D39">
        <v>5.0000000000000001E-3</v>
      </c>
      <c r="AV39" s="36">
        <f>AV38*0.00378541*1000</f>
        <v>60384.86032</v>
      </c>
    </row>
    <row r="40" spans="1:49" x14ac:dyDescent="0.25">
      <c r="D40">
        <v>2E-3</v>
      </c>
      <c r="AV40">
        <f>AV39/31</f>
        <v>1947.8987199999999</v>
      </c>
    </row>
    <row r="41" spans="1:49" x14ac:dyDescent="0.25">
      <c r="AV41">
        <f>AV38*0.00378541</f>
        <v>60.384860320000001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2020-01-11T08:59:42Z</dcterms:modified>
</cp:coreProperties>
</file>