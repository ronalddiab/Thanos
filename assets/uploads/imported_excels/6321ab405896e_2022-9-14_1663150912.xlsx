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064" documentId="8_{5B502D95-7A37-4D5A-8B6B-374537CC2F26}" xr6:coauthVersionLast="47" xr6:coauthVersionMax="47" xr10:uidLastSave="{C34E6CE7-00B1-4100-83A3-0D7FC4CF9E15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2" i="2" l="1"/>
  <c r="N23" i="2"/>
  <c r="M23" i="2"/>
  <c r="L23" i="2"/>
  <c r="L24" i="2"/>
  <c r="F23" i="2"/>
  <c r="F24" i="2"/>
  <c r="V21" i="2"/>
  <c r="N22" i="2"/>
  <c r="M22" i="2"/>
  <c r="L22" i="2"/>
  <c r="F22" i="2"/>
  <c r="K21" i="6"/>
  <c r="K22" i="6"/>
  <c r="I21" i="6"/>
  <c r="I22" i="6"/>
  <c r="G21" i="6"/>
  <c r="G22" i="6"/>
  <c r="E21" i="6"/>
  <c r="E22" i="6"/>
  <c r="C21" i="6"/>
  <c r="C22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<sst xmlns="http://schemas.openxmlformats.org/spreadsheetml/2006/main" count="482" uniqueCount="186">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</sst>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  <c:pt idx="12">
                  <c:v>149</c:v>
                </c:pt>
                <c:pt idx="1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  <c:pt idx="12">
                  <c:v>6472</c:v>
                </c:pt>
                <c:pt idx="13">
                  <c:v>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  <c:pt idx="12">
                  <c:v>10630</c:v>
                </c:pt>
                <c:pt idx="13">
                  <c:v>10547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  <c:pt idx="12">
                  <c:v>4544</c:v>
                </c:pt>
                <c:pt idx="13">
                  <c:v>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223.99447000000001</v>
      </c>
      <c r="H13" s="134">
        <v>12.84</v>
      </c>
      <c r="I13" s="134">
        <f>'Consommation mensuel énergie'!F21</f>
        <v>138</v>
      </c>
      <c r="J13" s="134">
        <v>11.4</v>
      </c>
      <c r="K13" s="137">
        <f>'Consommation mensuel énergie'!D21</f>
        <v>180</v>
      </c>
      <c r="L13" s="137">
        <f>'Consommation mensuel énergie'!E21</f>
        <v>229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21646</v>
      </c>
      <c r="F14" s="134">
        <v>1.05</v>
      </c>
      <c r="G14" s="134">
        <f>'Consommation mensuel énergie'!V22</f>
        <v>255.99368000000001</v>
      </c>
      <c r="H14" s="134">
        <v>12.84</v>
      </c>
      <c r="I14" s="134">
        <f>'Consommation mensuel énergie'!F22</f>
        <v>149</v>
      </c>
      <c r="J14" s="134">
        <v>11.4</v>
      </c>
      <c r="K14" s="137">
        <f>'Consommation mensuel énergie'!D22</f>
        <v>165</v>
      </c>
      <c r="L14" s="137">
        <f>'Consommation mensuel énergie'!E22</f>
        <v>224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19644</v>
      </c>
      <c r="F15" s="134">
        <v>1.05</v>
      </c>
      <c r="G15" s="134">
        <f>'Consommation mensuel énergie'!V23</f>
        <v>0</v>
      </c>
      <c r="H15" s="134">
        <v>12.84</v>
      </c>
      <c r="I15" s="134">
        <f>'Consommation mensuel énergie'!F23</f>
        <v>157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12.84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180</v>
      </c>
      <c r="I13" s="137">
        <f>'Consommation mensuel énergie'!E21</f>
        <v>229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6472</v>
      </c>
      <c r="F14" s="137">
        <f>'Consommation mensuel énergie'!M22</f>
        <v>10630</v>
      </c>
      <c r="G14" s="137">
        <f>'Consommation mensuel énergie'!N22</f>
        <v>4544</v>
      </c>
      <c r="H14" s="137">
        <f>'Consommation mensuel énergie'!D22</f>
        <v>165</v>
      </c>
      <c r="I14" s="137">
        <f>'Consommation mensuel énergie'!E22</f>
        <v>224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4462</v>
      </c>
      <c r="F15" s="137">
        <f>'Consommation mensuel énergie'!M23</f>
        <v>10547</v>
      </c>
      <c r="G15" s="137">
        <f>'Consommation mensuel énergie'!N23</f>
        <v>4635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2" activePane="bottomRight" state="frozen"/>
      <selection pane="bottomRight" activeCell="E23" sqref="E2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6573.9177024000001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44816</v>
      </c>
      <c r="C21" s="7"/>
      <c r="D21" s="143">
        <v>180</v>
      </c>
      <c r="E21" s="143">
        <v>229</v>
      </c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2876.0889947999999</v>
      </c>
    </row>
    <row r="22" spans="1:24" ht="32.25" customHeight="1">
      <c r="A22" s="2"/>
      <c r="B22" s="6">
        <v>44817</v>
      </c>
      <c r="C22" s="7"/>
      <c r="D22" s="143">
        <v>165</v>
      </c>
      <c r="E22" s="143">
        <v>224</v>
      </c>
      <c r="F22" s="13">
        <f>'Suivi EAU-ELEC'!E21</f>
        <v>149</v>
      </c>
      <c r="G22" s="12"/>
      <c r="H22" s="168">
        <f t="shared" ref="H22:H35" si="4">F22*8.79</f>
        <v>1309.7099999999998</v>
      </c>
      <c r="I22" s="169"/>
      <c r="J22" s="169"/>
      <c r="K22" s="60">
        <v>42290</v>
      </c>
      <c r="L22" s="90">
        <f>'Suivi EAU-ELEC'!G21</f>
        <v>6472</v>
      </c>
      <c r="M22" s="91">
        <f>'Suivi EAU-ELEC'!I21</f>
        <v>10630</v>
      </c>
      <c r="N22" s="91">
        <f>'Suivi EAU-ELEC'!K21</f>
        <v>4544</v>
      </c>
      <c r="O22" s="91">
        <f t="shared" si="2"/>
        <v>21646</v>
      </c>
      <c r="P22" s="12"/>
      <c r="Q22" s="34">
        <f t="shared" si="3"/>
        <v>20679.411599999999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3286.9588512</v>
      </c>
    </row>
    <row r="23" spans="1:24" ht="32.25" customHeight="1">
      <c r="A23" s="2"/>
      <c r="B23" s="6">
        <v>44818</v>
      </c>
      <c r="C23" s="7"/>
      <c r="D23" s="143"/>
      <c r="E23" s="143"/>
      <c r="F23" s="13">
        <f>'Suivi EAU-ELEC'!E22</f>
        <v>157</v>
      </c>
      <c r="G23" s="14"/>
      <c r="H23" s="168">
        <f t="shared" si="4"/>
        <v>1380.03</v>
      </c>
      <c r="I23" s="169"/>
      <c r="J23" s="169"/>
      <c r="K23" s="60">
        <v>42291</v>
      </c>
      <c r="L23" s="90">
        <f>'Suivi EAU-ELEC'!G22</f>
        <v>4462</v>
      </c>
      <c r="M23" s="91">
        <f>'Suivi EAU-ELEC'!I22</f>
        <v>10547</v>
      </c>
      <c r="N23" s="91">
        <f>'Suivi EAU-ELEC'!K22</f>
        <v>4635</v>
      </c>
      <c r="O23" s="91">
        <f>L23+M23+N23</f>
        <v>19644</v>
      </c>
      <c r="P23" s="12"/>
      <c r="Q23" s="34">
        <f>L23*0.6985+M23*0.9514+N23*1.3304</f>
        <v>19317.5268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44819</v>
      </c>
      <c r="C24" s="7"/>
      <c r="D24" s="143"/>
      <c r="E24" s="143"/>
      <c r="F24" s="13">
        <f>'Suivi EAU-ELEC'!E23</f>
        <v>0</v>
      </c>
      <c r="G24" s="14"/>
      <c r="H24" s="168">
        <f t="shared" si="4"/>
        <v>0</v>
      </c>
      <c r="I24" s="169"/>
      <c r="J24" s="169"/>
      <c r="K24" s="60">
        <v>42292</v>
      </c>
      <c r="L24" s="90">
        <f>'Suivi EAU-ELEC'!G23</f>
        <v>0</v>
      </c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44820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1963</v>
      </c>
      <c r="E40" s="8">
        <f>SUM(E10:E39)</f>
        <v>2866</v>
      </c>
      <c r="F40" s="152">
        <f>SUM(F10:F39)</f>
        <v>2091.1000000000058</v>
      </c>
      <c r="G40" s="1"/>
      <c r="H40" s="249">
        <f>SUM(H10:H39)</f>
        <v>18380.769000000051</v>
      </c>
      <c r="I40" s="250"/>
      <c r="J40" s="251"/>
      <c r="K40" s="1"/>
      <c r="L40" s="53">
        <f>SUM(L10:L39)</f>
        <v>70547</v>
      </c>
      <c r="M40" s="53">
        <f>SUM(M10:M39)</f>
        <v>139233</v>
      </c>
      <c r="N40" s="54">
        <f>SUM(N10:N39)</f>
        <v>59720</v>
      </c>
      <c r="O40" s="55">
        <f>SUM(O10:O39)</f>
        <v>269500</v>
      </c>
      <c r="P40" s="31"/>
      <c r="Q40" s="34">
        <f t="shared" ref="Q40" si="8">L40*0.6985+M40*0.9514+N40*1.3304</f>
        <v>261194.84369999997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3488.2768300000002</v>
      </c>
      <c r="W40" s="31"/>
      <c r="X40" s="32">
        <f>SUM(X10:X39)</f>
        <v>44789.474497199997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70547</v>
      </c>
      <c r="J43" s="210"/>
      <c r="K43" s="211"/>
      <c r="L43" s="170">
        <f>I43*H43</f>
        <v>49277.0795</v>
      </c>
      <c r="M43" s="171"/>
      <c r="N43" s="227">
        <f>L43+L44+L45</f>
        <v>261194.84369999997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139233</v>
      </c>
      <c r="J44" s="210"/>
      <c r="K44" s="211"/>
      <c r="L44" s="170">
        <f>I44*H44</f>
        <v>132466.27619999999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59720</v>
      </c>
      <c r="J45" s="241"/>
      <c r="K45" s="242"/>
      <c r="L45" s="170">
        <f>I45*H45</f>
        <v>79451.487999999998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339553.29680999997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2091.1000000000058</v>
      </c>
      <c r="J47" s="202"/>
      <c r="K47" s="203"/>
      <c r="L47" s="207">
        <f>I47*H47</f>
        <v>18380.769000000051</v>
      </c>
      <c r="M47" s="208"/>
      <c r="N47" s="224">
        <f>L47</f>
        <v>18380.769000000051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12.84</v>
      </c>
      <c r="I48" s="199">
        <f>V40</f>
        <v>3488.2768300000002</v>
      </c>
      <c r="J48" s="239"/>
      <c r="K48" s="200"/>
      <c r="L48" s="199">
        <f>I48*H48</f>
        <v>44789.474497200004</v>
      </c>
      <c r="M48" s="200"/>
      <c r="N48" s="221">
        <f>L48</f>
        <v>44789.474497200004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9" activePane="bottomRight" state="frozen"/>
      <selection pane="bottomRight" activeCell="B21" sqref="B21:K2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22" si="0">B14-B13</f>
        <v>0</v>
      </c>
      <c r="D14" s="57">
        <v>164537</v>
      </c>
      <c r="E14" s="50">
        <f t="shared" ref="E14:E22" si="1">D14-D13</f>
        <v>145</v>
      </c>
      <c r="F14" s="51">
        <v>12342786</v>
      </c>
      <c r="G14" s="50">
        <f t="shared" ref="G14:G22" si="2">F14-F13</f>
        <v>4101</v>
      </c>
      <c r="H14" s="51">
        <v>21120262</v>
      </c>
      <c r="I14" s="50">
        <f t="shared" ref="I14:I22" si="3">H14-H13</f>
        <v>9545</v>
      </c>
      <c r="J14" s="51">
        <v>9240174</v>
      </c>
      <c r="K14" s="50">
        <f t="shared" ref="K14:K22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>
        <v>2560</v>
      </c>
      <c r="C21" s="115">
        <f t="shared" si="0"/>
        <v>0</v>
      </c>
      <c r="D21" s="57">
        <v>165589</v>
      </c>
      <c r="E21" s="50">
        <f t="shared" si="1"/>
        <v>149</v>
      </c>
      <c r="F21" s="51">
        <v>12378746</v>
      </c>
      <c r="G21" s="50">
        <f t="shared" si="2"/>
        <v>6472</v>
      </c>
      <c r="H21" s="51">
        <v>21189596</v>
      </c>
      <c r="I21" s="50">
        <f t="shared" si="3"/>
        <v>10630</v>
      </c>
      <c r="J21" s="51">
        <v>9269908</v>
      </c>
      <c r="K21" s="50">
        <f t="shared" si="4"/>
        <v>4544</v>
      </c>
    </row>
    <row r="22" spans="1:29" ht="19.5">
      <c r="A22" s="59">
        <v>44818</v>
      </c>
      <c r="B22" s="116">
        <v>2560</v>
      </c>
      <c r="C22" s="115">
        <f t="shared" si="0"/>
        <v>0</v>
      </c>
      <c r="D22" s="57">
        <v>165746</v>
      </c>
      <c r="E22" s="50">
        <f t="shared" si="1"/>
        <v>157</v>
      </c>
      <c r="F22" s="51">
        <v>12383208</v>
      </c>
      <c r="G22" s="50">
        <f t="shared" si="2"/>
        <v>4462</v>
      </c>
      <c r="H22" s="51">
        <v>21200143</v>
      </c>
      <c r="I22" s="50">
        <f t="shared" si="3"/>
        <v>10547</v>
      </c>
      <c r="J22" s="51">
        <v>9274543</v>
      </c>
      <c r="K22" s="50">
        <f t="shared" si="4"/>
        <v>4635</v>
      </c>
    </row>
    <row r="23" spans="1:29" ht="19.5">
      <c r="A23" s="59">
        <v>44819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44820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bottomRight" activeCell="B16" sqref="B16:H1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6573.9177024000001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1</v>
      </c>
      <c r="D15" s="41">
        <v>85</v>
      </c>
      <c r="E15" s="39">
        <f t="shared" si="8"/>
        <v>3</v>
      </c>
      <c r="F15" s="41">
        <v>85</v>
      </c>
      <c r="G15" s="39">
        <f t="shared" si="9"/>
        <v>3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2876.0889947999999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>
        <v>82</v>
      </c>
      <c r="C16" s="39">
        <f t="shared" si="7"/>
        <v>2</v>
      </c>
      <c r="D16" s="41">
        <v>82</v>
      </c>
      <c r="E16" s="39">
        <f t="shared" si="8"/>
        <v>2</v>
      </c>
      <c r="F16" s="41">
        <v>82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328</v>
      </c>
      <c r="K16" s="39">
        <f t="shared" si="13"/>
        <v>82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3286.9588512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>
        <v>80</v>
      </c>
      <c r="C17" s="39">
        <f t="shared" si="7"/>
        <v>0</v>
      </c>
      <c r="D17" s="41">
        <v>80</v>
      </c>
      <c r="E17" s="39">
        <f t="shared" si="8"/>
        <v>0</v>
      </c>
      <c r="F17" s="41">
        <v>80</v>
      </c>
      <c r="G17" s="39">
        <f t="shared" si="9"/>
        <v>0</v>
      </c>
      <c r="H17" s="41">
        <v>80</v>
      </c>
      <c r="I17" s="39">
        <f t="shared" si="11"/>
        <v>0</v>
      </c>
      <c r="J17" s="39">
        <f t="shared" si="12"/>
        <v>320</v>
      </c>
      <c r="K17" s="39">
        <f t="shared" si="13"/>
        <v>80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6593.41</v>
      </c>
      <c r="O43" s="39">
        <f>N43*0.529</f>
        <v>3487.9138900000003</v>
      </c>
      <c r="P43" s="42">
        <f>O43*12.84</f>
        <v>44784.814347600004</v>
      </c>
      <c r="Q43" s="286">
        <f>SUM(Q4:Q42)</f>
        <v>2515</v>
      </c>
      <c r="R43" s="287"/>
      <c r="S43" s="288"/>
      <c r="T43" s="289">
        <f>SUM(T4:T42)</f>
        <v>2610</v>
      </c>
      <c r="U43" s="287"/>
      <c r="V43" s="288"/>
      <c r="W43" s="289">
        <f>SUM(W4:W42)</f>
        <v>2348</v>
      </c>
      <c r="X43" s="287"/>
      <c r="Y43" s="288"/>
      <c r="Z43" s="289">
        <f>SUM(Z4:Z42)</f>
        <v>2241</v>
      </c>
      <c r="AA43" s="287"/>
      <c r="AB43" s="288"/>
      <c r="AC43" s="39">
        <f t="shared" si="20"/>
        <v>9714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9714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9714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6593.41</v>
      </c>
      <c r="L47" s="46">
        <f>O43</f>
        <v>3487.9138900000003</v>
      </c>
      <c r="M47" s="46">
        <f>P43</f>
        <v>44784.814347600004</v>
      </c>
    </row>
    <row r="48" spans="1:31" ht="54.75" customHeight="1" thickBot="1">
      <c r="H48" s="282" t="s">
        <v>86</v>
      </c>
      <c r="I48" s="283"/>
      <c r="J48" s="284"/>
      <c r="K48" s="43">
        <f>AC44</f>
        <v>9714</v>
      </c>
      <c r="L48" s="44">
        <f>K48*0.529</f>
        <v>5138.7060000000001</v>
      </c>
      <c r="M48" s="44">
        <f>L48*12.84</f>
        <v>65980.98504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44570</v>
      </c>
      <c r="D8" s="350"/>
      <c r="E8" s="113">
        <v>44601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44405</v>
      </c>
      <c r="D8" s="350"/>
      <c r="E8" s="113">
        <v>44801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1400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29"/>
      <c r="H17" s="330"/>
      <c r="I17" s="329">
        <f>+E17</f>
        <v>329853</v>
      </c>
      <c r="J17" s="330"/>
    </row>
    <row r="18" spans="1:10">
      <c r="A18" s="327" t="s">
        <v>111</v>
      </c>
      <c r="B18" s="328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29"/>
      <c r="H18" s="330"/>
      <c r="I18" s="329">
        <f>+E18</f>
        <v>171013</v>
      </c>
      <c r="J18" s="330"/>
    </row>
    <row r="19" spans="1:10">
      <c r="A19" s="327" t="s">
        <v>112</v>
      </c>
      <c r="B19" s="328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29"/>
      <c r="H19" s="330"/>
      <c r="I19" s="329">
        <f>+E19</f>
        <v>138178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639044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04">
        <f>SUM(H25,F25)</f>
        <v>357757.24438799999</v>
      </c>
      <c r="J25" s="305"/>
    </row>
    <row r="26" spans="1:10" ht="15">
      <c r="A26" s="301" t="s">
        <v>124</v>
      </c>
      <c r="B26" s="302"/>
      <c r="C26" s="303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04">
        <f t="shared" ref="I26:I31" si="0">SUM(H26,F26)</f>
        <v>136175.94177</v>
      </c>
      <c r="J26" s="305"/>
    </row>
    <row r="27" spans="1:10" ht="15">
      <c r="A27" s="301" t="s">
        <v>125</v>
      </c>
      <c r="B27" s="302"/>
      <c r="C27" s="303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04">
        <f>SUM(H27,F27)</f>
        <v>209568.492768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17">
        <f t="shared" si="0"/>
        <v>30015.062280000006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689650.40789999999</v>
      </c>
      <c r="G32" s="85"/>
      <c r="H32" s="86"/>
      <c r="I32" s="313">
        <f>SUM(I25:J31)</f>
        <v>786147.48500599992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5198.3999999999942</v>
      </c>
      <c r="C13" s="397"/>
      <c r="D13" s="397">
        <v>8.7899999999999991</v>
      </c>
      <c r="E13" s="397"/>
      <c r="F13" s="399">
        <f>PRODUCT(D13,B13)</f>
        <v>45693.935999999943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59284.759999999929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4149.9331999999958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4358.1931999999961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63642.953199999924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2022-09-14T10:17:25Z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