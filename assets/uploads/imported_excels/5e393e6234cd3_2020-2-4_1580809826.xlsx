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6" i="7" l="1"/>
  <c r="Q35" i="7" l="1"/>
  <c r="Q34" i="7"/>
  <c r="Q31" i="7"/>
  <c r="Q33" i="7"/>
  <c r="Q32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AL32" i="7"/>
  <c r="AL33" i="7"/>
  <c r="R30" i="9"/>
  <c r="G30" i="5" s="1"/>
  <c r="AW13" i="7"/>
  <c r="L11" i="9"/>
  <c r="G6" i="9"/>
  <c r="J26" i="9" l="1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6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U36" i="7"/>
  <c r="AA36" i="7"/>
  <c r="Y36" i="7"/>
  <c r="AD23" i="7"/>
  <c r="AP26" i="7"/>
  <c r="AI33" i="7"/>
  <c r="H28" i="9"/>
  <c r="J23" i="9"/>
  <c r="AK28" i="7"/>
  <c r="AQ20" i="7"/>
  <c r="P15" i="9"/>
  <c r="E7" i="9"/>
  <c r="AD12" i="7"/>
  <c r="R36" i="7"/>
  <c r="T36" i="7"/>
  <c r="V36" i="7"/>
  <c r="X36" i="7"/>
  <c r="AD8" i="7"/>
  <c r="W36" i="7"/>
  <c r="AB36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6" i="7"/>
  <c r="AV36" i="7"/>
  <c r="Z36" i="7"/>
  <c r="AD19" i="7"/>
  <c r="AO25" i="7"/>
  <c r="N20" i="9"/>
  <c r="AH20" i="7"/>
  <c r="G15" i="9"/>
  <c r="Q36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AG36" i="7"/>
  <c r="E28" i="5"/>
  <c r="AJ36" i="7"/>
  <c r="AS31" i="7"/>
  <c r="AN36" i="7"/>
  <c r="AW36" i="7"/>
  <c r="E23" i="5"/>
  <c r="E22" i="5"/>
  <c r="AS27" i="7"/>
  <c r="AL36" i="7"/>
  <c r="E21" i="5"/>
  <c r="E20" i="5"/>
  <c r="E19" i="5"/>
  <c r="AP36" i="7"/>
  <c r="AS23" i="7"/>
  <c r="E18" i="5"/>
  <c r="E17" i="5"/>
  <c r="AO36" i="7"/>
  <c r="E16" i="5"/>
  <c r="AS20" i="7"/>
  <c r="AR36" i="7"/>
  <c r="AS19" i="7"/>
  <c r="AQ36" i="7"/>
  <c r="AS17" i="7"/>
  <c r="AK36" i="7"/>
  <c r="E11" i="5"/>
  <c r="AS16" i="7"/>
  <c r="AS15" i="7"/>
  <c r="AD36" i="7"/>
  <c r="E10" i="5"/>
  <c r="AM36" i="7"/>
  <c r="AS7" i="7"/>
  <c r="AF36" i="7"/>
  <c r="E15" i="5"/>
  <c r="AS18" i="7"/>
  <c r="AV37" i="7"/>
  <c r="AV38" i="7" s="1"/>
  <c r="AV39" i="7"/>
  <c r="E7" i="5"/>
  <c r="AI36" i="7"/>
  <c r="E26" i="5"/>
  <c r="AS25" i="7"/>
  <c r="AH36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<sst xmlns="http://schemas.openxmlformats.org/spreadsheetml/2006/main" count="124" uniqueCount="49">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</sst>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C2" sqref="C2:C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72130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62070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Hotel!C34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C35" sqref="C3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10090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 t="str">
        <f>Hotel!W9</f>
        <v>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Hotel!C34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zoomScale="93" zoomScaleNormal="93" workbookViewId="0">
      <selection activeCell="B9" sqref="B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3947810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10090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72130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50.45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360.65000000000003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0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 t="str">
        <f t="shared" ref="W9:W35" si="21">IF((I9-I8&lt;0), "0",I9-I8)</f>
        <v>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62070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0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310.35000000000002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6"/>
        <v>0</v>
      </c>
      <c r="R10" s="37" t="str">
        <f t="shared" si="17"/>
        <v>0</v>
      </c>
      <c r="S10" s="37" t="str">
        <f t="shared" si="15"/>
        <v>0</v>
      </c>
      <c r="T10" s="37" t="str">
        <f t="shared" si="18"/>
        <v>0</v>
      </c>
      <c r="U10" s="37" t="str">
        <f t="shared" si="19"/>
        <v>0</v>
      </c>
      <c r="V10" s="37" t="str">
        <f t="shared" si="20"/>
        <v>0</v>
      </c>
      <c r="W10" s="37" t="str">
        <f t="shared" si="21"/>
        <v>0</v>
      </c>
      <c r="X10" s="37" t="str">
        <f t="shared" si="22"/>
        <v>0</v>
      </c>
      <c r="Y10" s="37" t="str">
        <f t="shared" si="23"/>
        <v>0</v>
      </c>
      <c r="Z10" s="37" t="str">
        <f t="shared" si="24"/>
        <v>0</v>
      </c>
      <c r="AA10" s="37" t="str">
        <f t="shared" si="25"/>
        <v>0</v>
      </c>
      <c r="AB10" s="37" t="str">
        <f t="shared" si="26"/>
        <v>0</v>
      </c>
      <c r="AC10" s="37" t="str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 t="str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43866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43867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43868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43869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43870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43871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43872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43873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43874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43875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43876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43877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43878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43879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43889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 t="shared" ref="Q36:AD36" si="35">SUM(Q7:Q34)</f>
        <v>1600</v>
      </c>
      <c r="R36" s="30">
        <f t="shared" si="35"/>
        <v>28970</v>
      </c>
      <c r="S36" s="30">
        <f t="shared" si="35"/>
        <v>0</v>
      </c>
      <c r="T36" s="30">
        <f t="shared" si="35"/>
        <v>4310</v>
      </c>
      <c r="U36" s="30">
        <f t="shared" si="35"/>
        <v>20470</v>
      </c>
      <c r="V36" s="30">
        <f t="shared" si="35"/>
        <v>13650</v>
      </c>
      <c r="W36" s="30">
        <f t="shared" si="35"/>
        <v>13140</v>
      </c>
      <c r="X36" s="30">
        <f t="shared" si="35"/>
        <v>14010</v>
      </c>
      <c r="Y36" s="30">
        <f t="shared" si="35"/>
        <v>16320</v>
      </c>
      <c r="Z36" s="30">
        <f t="shared" si="35"/>
        <v>8380</v>
      </c>
      <c r="AA36" s="30">
        <f t="shared" si="35"/>
        <v>10500</v>
      </c>
      <c r="AB36" s="30">
        <f t="shared" si="35"/>
        <v>20970</v>
      </c>
      <c r="AC36" s="30">
        <f t="shared" si="35"/>
        <v>48700</v>
      </c>
      <c r="AD36" s="35">
        <f t="shared" si="35"/>
        <v>201020</v>
      </c>
      <c r="AF36" s="35">
        <f t="shared" ref="AF36:AS36" si="36">SUM(AF7:AF34)</f>
        <v>8</v>
      </c>
      <c r="AG36" s="35">
        <f t="shared" si="36"/>
        <v>144.85</v>
      </c>
      <c r="AH36" s="35">
        <f t="shared" si="36"/>
        <v>0</v>
      </c>
      <c r="AI36" s="35">
        <f t="shared" si="36"/>
        <v>21.55</v>
      </c>
      <c r="AJ36" s="35">
        <f t="shared" si="36"/>
        <v>102.35</v>
      </c>
      <c r="AK36" s="35">
        <f t="shared" si="36"/>
        <v>68.25</v>
      </c>
      <c r="AL36" s="35">
        <f t="shared" si="36"/>
        <v>65.7</v>
      </c>
      <c r="AM36" s="35">
        <f t="shared" si="36"/>
        <v>70.05</v>
      </c>
      <c r="AN36" s="35">
        <f t="shared" si="36"/>
        <v>81.599999999999994</v>
      </c>
      <c r="AO36" s="35">
        <f t="shared" si="36"/>
        <v>41.9</v>
      </c>
      <c r="AP36" s="35">
        <f t="shared" si="36"/>
        <v>52.5</v>
      </c>
      <c r="AQ36" s="35">
        <f t="shared" si="36"/>
        <v>104.85000000000001</v>
      </c>
      <c r="AR36" s="35">
        <f t="shared" si="36"/>
        <v>243.5</v>
      </c>
      <c r="AS36" s="35">
        <f t="shared" si="36"/>
        <v>1005.1</v>
      </c>
      <c r="AU36" s="48"/>
      <c r="AV36" s="35">
        <f>SUM(AV7:AV34)</f>
        <v>4620</v>
      </c>
      <c r="AW36" s="35">
        <f>SUM(AW7:AW34)</f>
        <v>3.274</v>
      </c>
    </row>
    <row r="37" spans="1:49" x14ac:dyDescent="0.25">
      <c r="D37">
        <v>5.0000000000000001E-3</v>
      </c>
      <c r="AV37" s="36">
        <f>AV36*0.00378541*1000</f>
        <v>17488.5942</v>
      </c>
    </row>
    <row r="38" spans="1:49" x14ac:dyDescent="0.25">
      <c r="D38">
        <v>2E-3</v>
      </c>
      <c r="AV38">
        <f>AV37/31</f>
        <v>564.14819999999997</v>
      </c>
    </row>
    <row r="39" spans="1:49" x14ac:dyDescent="0.25">
      <c r="AV39">
        <f>AV36*0.00378541</f>
        <v>17.488594199999998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2020-02-04T09:49:11Z</dcterms:modified>
</cp:coreProperties>
</file>